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Summary" sheetId="1" state="visible" r:id="rId1"/>
    <sheet xmlns:r="http://schemas.openxmlformats.org/officeDocument/2006/relationships" name="QA_Products" sheetId="2" state="visible" r:id="rId2"/>
    <sheet xmlns:r="http://schemas.openxmlformats.org/officeDocument/2006/relationships" name="QA_Criteria" sheetId="3" state="visible" r:id="rId3"/>
    <sheet xmlns:r="http://schemas.openxmlformats.org/officeDocument/2006/relationships" name="QA_Images" sheetId="4" state="visible" r:id="rId4"/>
    <sheet xmlns:r="http://schemas.openxmlformats.org/officeDocument/2006/relationships" name="QA_Issues" sheetId="5" state="visible" r:id="rId5"/>
  </sheets>
  <definedNames>
    <definedName name="_xlnm._FilterDatabase" localSheetId="0" hidden="1">'QA_Summary'!$A$1:$C$15</definedName>
    <definedName name="_xlnm.Print_Titles" localSheetId="0">'QA_Summary'!$1:$1</definedName>
    <definedName name="_xlnm._FilterDatabase" localSheetId="1" hidden="1">'QA_Products'!$A$1:$W$11</definedName>
    <definedName name="_xlnm.Print_Titles" localSheetId="1">'QA_Products'!$1:$1</definedName>
    <definedName name="_xlnm._FilterDatabase" localSheetId="2" hidden="1">'QA_Criteria'!$A$1:$J$111</definedName>
    <definedName name="_xlnm.Print_Titles" localSheetId="2">'QA_Criteria'!$1:$1</definedName>
    <definedName name="_xlnm._FilterDatabase" localSheetId="3" hidden="1">'QA_Images'!$A$1:$Z$63</definedName>
    <definedName name="_xlnm.Print_Titles" localSheetId="3">'QA_Images'!$1:$1</definedName>
    <definedName name="_xlnm._FilterDatabase" localSheetId="4" hidden="1">'QA_Issues'!$A$1:$K$83</definedName>
    <definedName name="_xlnm.Print_Titles" localSheetId="4">'QA_Issues'!$1:$1</definedName>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0.0%"/>
  </numFmts>
  <fonts count="4">
    <font>
      <name val="Calibri"/>
      <family val="2"/>
      <color theme="1"/>
      <sz val="11"/>
      <scheme val="minor"/>
    </font>
    <font>
      <name val="Aptos Display"/>
      <b val="1"/>
      <color rgb="00FFFFFF"/>
      <sz val="11"/>
    </font>
    <font>
      <name val="Aptos"/>
      <color rgb="001F2937"/>
      <sz val="10"/>
    </font>
    <font>
      <name val="Calibri"/>
      <family val="2"/>
      <color theme="10"/>
      <sz val="12"/>
      <scheme val="minor"/>
    </font>
  </fonts>
  <fills count="4">
    <fill>
      <patternFill/>
    </fill>
    <fill>
      <patternFill patternType="gray125"/>
    </fill>
    <fill>
      <patternFill patternType="solid">
        <fgColor rgb="0017365D"/>
      </patternFill>
    </fill>
    <fill>
      <patternFill patternType="solid">
        <fgColor rgb="00F8FAFC"/>
      </patternFill>
    </fill>
  </fills>
  <borders count="3">
    <border>
      <left/>
      <right/>
      <top/>
      <bottom/>
      <diagonal/>
    </border>
    <border>
      <bottom style="medium">
        <color rgb="002F75B5"/>
      </bottom>
    </border>
    <border>
      <bottom style="thin">
        <color rgb="00CBD5E1"/>
      </bottom>
    </border>
  </borders>
  <cellStyleXfs count="2">
    <xf numFmtId="0" fontId="0" fillId="0" borderId="0"/>
    <xf numFmtId="0" fontId="3"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0" borderId="2" applyAlignment="1" pivotButton="0" quotePrefix="0" xfId="0">
      <alignment vertical="top" wrapText="1"/>
    </xf>
    <xf numFmtId="0" fontId="3" fillId="0" borderId="0" applyAlignment="1" pivotButton="0" quotePrefix="0" xfId="1">
      <alignment vertical="top" wrapText="1"/>
    </xf>
    <xf numFmtId="164" fontId="2" fillId="3" borderId="2" applyAlignment="1" pivotButton="0" quotePrefix="0" xfId="0">
      <alignment vertical="top" wrapText="1"/>
    </xf>
    <xf numFmtId="165" fontId="2" fillId="3" borderId="2" applyAlignment="1" pivotButton="0" quotePrefix="0" xfId="0">
      <alignment vertical="top" wrapText="1"/>
    </xf>
    <xf numFmtId="164" fontId="2" fillId="0" borderId="2" applyAlignment="1" pivotButton="0" quotePrefix="0" xfId="0">
      <alignment vertical="top" wrapText="1"/>
    </xf>
    <xf numFmtId="165" fontId="2" fillId="0" borderId="2" applyAlignment="1" pivotButton="0" quotePrefix="0" xfId="0">
      <alignment vertical="top" wrapText="1"/>
    </xf>
  </cellXfs>
  <cellStyles count="2">
    <cellStyle name="Normal" xfId="0" builtinId="0" hidden="0"/>
    <cellStyle name="Hyperlink" xfId="1" builtinId="8" hidden="0"/>
  </cellStyles>
  <dxfs count="5">
    <dxf>
      <fill>
        <patternFill patternType="solid">
          <fgColor rgb="00E2F0D9"/>
        </patternFill>
      </fill>
    </dxf>
    <dxf>
      <fill>
        <patternFill patternType="solid">
          <fgColor rgb="00FFF2CC"/>
        </patternFill>
      </fill>
    </dxf>
    <dxf>
      <fill>
        <patternFill patternType="solid">
          <fgColor rgb="00FCE4D6"/>
        </patternFill>
      </fill>
    </dxf>
    <dxf>
      <fill>
        <patternFill patternType="solid">
          <fgColor rgb="00F4CCCC"/>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jeminise.com/products/custom-trucking-semi-truck-breaking-through-stone-wall-vintage-comforter-28a367022b-28a367022b" TargetMode="External" Id="rId1"/><Relationship Type="http://schemas.openxmlformats.org/officeDocument/2006/relationships/hyperlink" Target="https://jeminise.com/products/custom-trucking-semi-truck-centered-on-chevron-background-comforter-cfef0beab9-cfef0beab9" TargetMode="External" Id="rId2"/><Relationship Type="http://schemas.openxmlformats.org/officeDocument/2006/relationships/hyperlink" Target="https://jeminise.com/products/custom-trucking-semi-truck-on-metallic-mesh-background-comforter-21d8f6bab6-21d8f6bab6" TargetMode="External" Id="rId3"/><Relationship Type="http://schemas.openxmlformats.org/officeDocument/2006/relationships/hyperlink" Target="https://jeminise.com/products/custom-trucking-semi-truck-on-textured-metallic-background-comforter-5ee1903c53-5ee1903c53" TargetMode="External" Id="rId4"/><Relationship Type="http://schemas.openxmlformats.org/officeDocument/2006/relationships/hyperlink" Target="https://jeminise.com/products/custom-trucking-semi-truck-under-starry-night-sky-comforter-6bbe1b0cd5-6bbe1b0cd5" TargetMode="External" Id="rId5"/><Relationship Type="http://schemas.openxmlformats.org/officeDocument/2006/relationships/hyperlink" Target="https://jeminise.com/products/cardinal-christmas-quilt-set-7237701d00-7237701d00" TargetMode="External" Id="rId6"/><Relationship Type="http://schemas.openxmlformats.org/officeDocument/2006/relationships/hyperlink" Target="https://jeminise.com/products/custom-wildlife-wolf-head-close-up-portrait-comforter-3233b9edb7-3233b9edb7" TargetMode="External" Id="rId7"/><Relationship Type="http://schemas.openxmlformats.org/officeDocument/2006/relationships/hyperlink" Target="https://jeminise.com/products/custom-wildlife-wolf-head-close-up-with-geometric-comforter-f005bbb79d-f005bbb79d" TargetMode="External" Id="rId8"/><Relationship Type="http://schemas.openxmlformats.org/officeDocument/2006/relationships/hyperlink" Target="https://jeminise.com/products/custom-wildlife-wolf-head-with-feathers-in-profile-comforter-0b1ab59a17-0b1ab59a17" TargetMode="External" Id="rId9"/><Relationship Type="http://schemas.openxmlformats.org/officeDocument/2006/relationships/hyperlink" Target="https://jeminise.com/products/custom-wolf-head-centered-in-dreamcatcher-comforter-be6b37a3e1-be6b37a3e1" TargetMode="External" Id="rId10"/></Relationships>
</file>

<file path=xl/worksheets/_rels/sheet4.xml.rels><Relationships xmlns="http://schemas.openxmlformats.org/package/2006/relationships"><Relationship Type="http://schemas.openxmlformats.org/officeDocument/2006/relationships/hyperlink" Target="https://cdn.shopify.com/s/files/1/0792/5098/1063/files/f9c2de4b8fca94491645b16f68b222a2a8f2c0f2c1c7ca965804ab9fdffa4100.jpg?v=1785132830" TargetMode="External" Id="rId1"/><Relationship Type="http://schemas.openxmlformats.org/officeDocument/2006/relationships/hyperlink" Target="https://cdn.shopify.com/s/files/1/0792/5098/1063/files/f9c2de4b8fca94491645b16f68b222a2a8f2c0f2c1c7ca965804ab9fdffa4100.jpg?v=1785132830" TargetMode="External" Id="rId2"/><Relationship Type="http://schemas.openxmlformats.org/officeDocument/2006/relationships/hyperlink" Target="https://cdn.shopify.com/s/files/1/0792/5098/1063/files/cb40af2133ae7a7b62a908bfd8ab3b67101d519c6b22d55aea0046221fa904eb.jpg?v=1785132830" TargetMode="External" Id="rId3"/><Relationship Type="http://schemas.openxmlformats.org/officeDocument/2006/relationships/hyperlink" Target="https://cdn.shopify.com/s/files/1/0792/5098/1063/files/cb40af2133ae7a7b62a908bfd8ab3b67101d519c6b22d55aea0046221fa904eb.jpg?v=1785132830" TargetMode="External" Id="rId4"/><Relationship Type="http://schemas.openxmlformats.org/officeDocument/2006/relationships/hyperlink" Target="https://cdn.shopify.com/s/files/1/0792/5098/1063/files/16f7293cbefa5743a35b2e6316a5a114e5c052d08151e367dafd26aa5e2e542b_693d14f4-886d-4a41-9e61-0b67ccd07c1e.jpg?v=1785132830" TargetMode="External" Id="rId5"/><Relationship Type="http://schemas.openxmlformats.org/officeDocument/2006/relationships/hyperlink" Target="https://cdn.shopify.com/s/files/1/0792/5098/1063/files/16f7293cbefa5743a35b2e6316a5a114e5c052d08151e367dafd26aa5e2e542b_693d14f4-886d-4a41-9e61-0b67ccd07c1e.jpg?v=1785132830" TargetMode="External" Id="rId6"/><Relationship Type="http://schemas.openxmlformats.org/officeDocument/2006/relationships/hyperlink" Target="https://cdn.shopify.com/s/files/1/0792/5098/1063/files/8e27a770a50a1f488178e2ea485d879ddcfd731511687082221e7817b47fc1dd.jpg?v=1785132830" TargetMode="External" Id="rId7"/><Relationship Type="http://schemas.openxmlformats.org/officeDocument/2006/relationships/hyperlink" Target="https://cdn.shopify.com/s/files/1/0792/5098/1063/files/8e27a770a50a1f488178e2ea485d879ddcfd731511687082221e7817b47fc1dd.jpg?v=1785132830" TargetMode="External" Id="rId8"/><Relationship Type="http://schemas.openxmlformats.org/officeDocument/2006/relationships/hyperlink" Target="https://cdn.shopify.com/s/files/1/0792/5098/1063/files/764180d21c7d48aa0b8130038f90cb065bfc2a06198e2388452897fd3decbac2.jpg?v=1785132830" TargetMode="External" Id="rId9"/><Relationship Type="http://schemas.openxmlformats.org/officeDocument/2006/relationships/hyperlink" Target="https://cdn.shopify.com/s/files/1/0792/5098/1063/files/764180d21c7d48aa0b8130038f90cb065bfc2a06198e2388452897fd3decbac2.jpg?v=1785132830" TargetMode="External" Id="rId10"/><Relationship Type="http://schemas.openxmlformats.org/officeDocument/2006/relationships/hyperlink" Target="https://cdn.shopify.com/s/files/1/0792/5098/1063/files/7c006bddc94d4763c71c8376307e195c1bbce73b8c802ec73ac5a8cef1291262_9b83fd24-b7f1-4ab9-b1d7-6897e6d14750.jpg?v=1785132830" TargetMode="External" Id="rId11"/><Relationship Type="http://schemas.openxmlformats.org/officeDocument/2006/relationships/hyperlink" Target="https://cdn.shopify.com/s/files/1/0792/5098/1063/files/7c006bddc94d4763c71c8376307e195c1bbce73b8c802ec73ac5a8cef1291262_9b83fd24-b7f1-4ab9-b1d7-6897e6d14750.jpg?v=1785132830" TargetMode="External" Id="rId12"/><Relationship Type="http://schemas.openxmlformats.org/officeDocument/2006/relationships/hyperlink" Target="https://cdn.shopify.com/s/files/1/0792/5098/1063/files/e5cad84edb4d7bf77c48fd7c8e52eb3b73f04eba8bf177671fd8a059c59422e8_5449cbbb-8301-49ff-92ca-0140dd47b6ec.jpg?v=1785132830" TargetMode="External" Id="rId13"/><Relationship Type="http://schemas.openxmlformats.org/officeDocument/2006/relationships/hyperlink" Target="https://cdn.shopify.com/s/files/1/0792/5098/1063/files/e5cad84edb4d7bf77c48fd7c8e52eb3b73f04eba8bf177671fd8a059c59422e8_5449cbbb-8301-49ff-92ca-0140dd47b6ec.jpg?v=1785132830" TargetMode="External" Id="rId14"/><Relationship Type="http://schemas.openxmlformats.org/officeDocument/2006/relationships/hyperlink" Target="https://cdn.shopify.com/s/files/1/0792/5098/1063/files/1862d240d68540d29289e49b1720ec443c9161d27cbf293dee79f245738a053e.jpg?v=1785133827" TargetMode="External" Id="rId15"/><Relationship Type="http://schemas.openxmlformats.org/officeDocument/2006/relationships/hyperlink" Target="https://cdn.shopify.com/s/files/1/0792/5098/1063/files/1862d240d68540d29289e49b1720ec443c9161d27cbf293dee79f245738a053e.jpg?v=1785133827" TargetMode="External" Id="rId16"/><Relationship Type="http://schemas.openxmlformats.org/officeDocument/2006/relationships/hyperlink" Target="https://cdn.shopify.com/s/files/1/0792/5098/1063/files/ccc73d2e507308afc45d60e127395a6d5660e39d79e8b282cbe0a4ed7dd07c17.jpg?v=1785133827" TargetMode="External" Id="rId17"/><Relationship Type="http://schemas.openxmlformats.org/officeDocument/2006/relationships/hyperlink" Target="https://cdn.shopify.com/s/files/1/0792/5098/1063/files/ccc73d2e507308afc45d60e127395a6d5660e39d79e8b282cbe0a4ed7dd07c17.jpg?v=1785133827" TargetMode="External" Id="rId18"/><Relationship Type="http://schemas.openxmlformats.org/officeDocument/2006/relationships/hyperlink" Target="https://cdn.shopify.com/s/files/1/0792/5098/1063/files/16f7293cbefa5743a35b2e6316a5a114e5c052d08151e367dafd26aa5e2e542b_1d9370e4-e63e-4c9b-9ed0-d9bcae459c3c.jpg?v=1785133827" TargetMode="External" Id="rId19"/><Relationship Type="http://schemas.openxmlformats.org/officeDocument/2006/relationships/hyperlink" Target="https://cdn.shopify.com/s/files/1/0792/5098/1063/files/16f7293cbefa5743a35b2e6316a5a114e5c052d08151e367dafd26aa5e2e542b_1d9370e4-e63e-4c9b-9ed0-d9bcae459c3c.jpg?v=1785133827" TargetMode="External" Id="rId20"/><Relationship Type="http://schemas.openxmlformats.org/officeDocument/2006/relationships/hyperlink" Target="https://cdn.shopify.com/s/files/1/0792/5098/1063/files/95054aca5abda044fec14fcd2bdf72551414546134a058656d9a0e4520175edd.jpg?v=1785133827" TargetMode="External" Id="rId21"/><Relationship Type="http://schemas.openxmlformats.org/officeDocument/2006/relationships/hyperlink" Target="https://cdn.shopify.com/s/files/1/0792/5098/1063/files/95054aca5abda044fec14fcd2bdf72551414546134a058656d9a0e4520175edd.jpg?v=1785133827" TargetMode="External" Id="rId22"/><Relationship Type="http://schemas.openxmlformats.org/officeDocument/2006/relationships/hyperlink" Target="https://cdn.shopify.com/s/files/1/0792/5098/1063/files/6546554829f1e8976470f767561e6ed7c8431ef729e600ac9396c3a534c5e115.jpg?v=1785133827" TargetMode="External" Id="rId23"/><Relationship Type="http://schemas.openxmlformats.org/officeDocument/2006/relationships/hyperlink" Target="https://cdn.shopify.com/s/files/1/0792/5098/1063/files/6546554829f1e8976470f767561e6ed7c8431ef729e600ac9396c3a534c5e115.jpg?v=1785133827" TargetMode="External" Id="rId24"/><Relationship Type="http://schemas.openxmlformats.org/officeDocument/2006/relationships/hyperlink" Target="https://cdn.shopify.com/s/files/1/0792/5098/1063/files/7c006bddc94d4763c71c8376307e195c1bbce73b8c802ec73ac5a8cef1291262_f6eb804f-bd62-442a-8ddf-06cc1e2f7f0b.jpg?v=1785133827" TargetMode="External" Id="rId25"/><Relationship Type="http://schemas.openxmlformats.org/officeDocument/2006/relationships/hyperlink" Target="https://cdn.shopify.com/s/files/1/0792/5098/1063/files/7c006bddc94d4763c71c8376307e195c1bbce73b8c802ec73ac5a8cef1291262_f6eb804f-bd62-442a-8ddf-06cc1e2f7f0b.jpg?v=1785133827" TargetMode="External" Id="rId26"/><Relationship Type="http://schemas.openxmlformats.org/officeDocument/2006/relationships/hyperlink" Target="https://cdn.shopify.com/s/files/1/0792/5098/1063/files/e5cad84edb4d7bf77c48fd7c8e52eb3b73f04eba8bf177671fd8a059c59422e8_caebcacd-6582-469d-af0c-3a427bfc82d5.jpg?v=1785133827" TargetMode="External" Id="rId27"/><Relationship Type="http://schemas.openxmlformats.org/officeDocument/2006/relationships/hyperlink" Target="https://cdn.shopify.com/s/files/1/0792/5098/1063/files/e5cad84edb4d7bf77c48fd7c8e52eb3b73f04eba8bf177671fd8a059c59422e8_caebcacd-6582-469d-af0c-3a427bfc82d5.jpg?v=1785133827" TargetMode="External" Id="rId28"/><Relationship Type="http://schemas.openxmlformats.org/officeDocument/2006/relationships/hyperlink" Target="https://cdn.shopify.com/s/files/1/0792/5098/1063/files/c1922306dc0a397837af905e5e6342fafb647a7f1c2031512b1da8e16085715a.jpg?v=1785132980" TargetMode="External" Id="rId29"/><Relationship Type="http://schemas.openxmlformats.org/officeDocument/2006/relationships/hyperlink" Target="https://cdn.shopify.com/s/files/1/0792/5098/1063/files/c1922306dc0a397837af905e5e6342fafb647a7f1c2031512b1da8e16085715a.jpg?v=1785132980" TargetMode="External" Id="rId30"/><Relationship Type="http://schemas.openxmlformats.org/officeDocument/2006/relationships/hyperlink" Target="https://cdn.shopify.com/s/files/1/0792/5098/1063/files/c1e4ad535696ce70c2bec722f0c2bf013938b5edfca1ebc04a03ba9374f5e7b3.jpg?v=1785132980" TargetMode="External" Id="rId31"/><Relationship Type="http://schemas.openxmlformats.org/officeDocument/2006/relationships/hyperlink" Target="https://cdn.shopify.com/s/files/1/0792/5098/1063/files/c1e4ad535696ce70c2bec722f0c2bf013938b5edfca1ebc04a03ba9374f5e7b3.jpg?v=1785132980" TargetMode="External" Id="rId32"/><Relationship Type="http://schemas.openxmlformats.org/officeDocument/2006/relationships/hyperlink" Target="https://cdn.shopify.com/s/files/1/0792/5098/1063/files/16f7293cbefa5743a35b2e6316a5a114e5c052d08151e367dafd26aa5e2e542b_93d48143-883e-4ac2-83ca-2d1a4354845d.jpg?v=1785132980" TargetMode="External" Id="rId33"/><Relationship Type="http://schemas.openxmlformats.org/officeDocument/2006/relationships/hyperlink" Target="https://cdn.shopify.com/s/files/1/0792/5098/1063/files/16f7293cbefa5743a35b2e6316a5a114e5c052d08151e367dafd26aa5e2e542b_93d48143-883e-4ac2-83ca-2d1a4354845d.jpg?v=1785132980" TargetMode="External" Id="rId34"/><Relationship Type="http://schemas.openxmlformats.org/officeDocument/2006/relationships/hyperlink" Target="https://cdn.shopify.com/s/files/1/0792/5098/1063/files/e04b4cdaccf9c82a5f2e4bd4242b42e835b0111daa0ba9434371f1cf3bb055a3.jpg?v=1785132980" TargetMode="External" Id="rId35"/><Relationship Type="http://schemas.openxmlformats.org/officeDocument/2006/relationships/hyperlink" Target="https://cdn.shopify.com/s/files/1/0792/5098/1063/files/e04b4cdaccf9c82a5f2e4bd4242b42e835b0111daa0ba9434371f1cf3bb055a3.jpg?v=1785132980" TargetMode="External" Id="rId36"/><Relationship Type="http://schemas.openxmlformats.org/officeDocument/2006/relationships/hyperlink" Target="https://cdn.shopify.com/s/files/1/0792/5098/1063/files/e707b31763a524e2a68e131d5cce27b2204582821b46a800d943901bf6c2f240.jpg?v=1785132980" TargetMode="External" Id="rId37"/><Relationship Type="http://schemas.openxmlformats.org/officeDocument/2006/relationships/hyperlink" Target="https://cdn.shopify.com/s/files/1/0792/5098/1063/files/e707b31763a524e2a68e131d5cce27b2204582821b46a800d943901bf6c2f240.jpg?v=1785132980" TargetMode="External" Id="rId38"/><Relationship Type="http://schemas.openxmlformats.org/officeDocument/2006/relationships/hyperlink" Target="https://cdn.shopify.com/s/files/1/0792/5098/1063/files/7c006bddc94d4763c71c8376307e195c1bbce73b8c802ec73ac5a8cef1291262_9552c869-a848-49a9-88b6-fee9f5314799.jpg?v=1785132980" TargetMode="External" Id="rId39"/><Relationship Type="http://schemas.openxmlformats.org/officeDocument/2006/relationships/hyperlink" Target="https://cdn.shopify.com/s/files/1/0792/5098/1063/files/7c006bddc94d4763c71c8376307e195c1bbce73b8c802ec73ac5a8cef1291262_9552c869-a848-49a9-88b6-fee9f5314799.jpg?v=1785132980" TargetMode="External" Id="rId40"/><Relationship Type="http://schemas.openxmlformats.org/officeDocument/2006/relationships/hyperlink" Target="https://cdn.shopify.com/s/files/1/0792/5098/1063/files/e5cad84edb4d7bf77c48fd7c8e52eb3b73f04eba8bf177671fd8a059c59422e8_a12a5003-8ce1-4857-9045-aa242e549165.jpg?v=1785132980" TargetMode="External" Id="rId41"/><Relationship Type="http://schemas.openxmlformats.org/officeDocument/2006/relationships/hyperlink" Target="https://cdn.shopify.com/s/files/1/0792/5098/1063/files/e5cad84edb4d7bf77c48fd7c8e52eb3b73f04eba8bf177671fd8a059c59422e8_a12a5003-8ce1-4857-9045-aa242e549165.jpg?v=1785132980" TargetMode="External" Id="rId42"/><Relationship Type="http://schemas.openxmlformats.org/officeDocument/2006/relationships/hyperlink" Target="https://cdn.shopify.com/s/files/1/0792/5098/1063/files/57d38e66f2b34394bb485228e838a7ae63fbae56dfc5a6d11d528c6d41e4225a.jpg?v=1785132753" TargetMode="External" Id="rId43"/><Relationship Type="http://schemas.openxmlformats.org/officeDocument/2006/relationships/hyperlink" Target="https://cdn.shopify.com/s/files/1/0792/5098/1063/files/57d38e66f2b34394bb485228e838a7ae63fbae56dfc5a6d11d528c6d41e4225a.jpg?v=1785132753" TargetMode="External" Id="rId44"/><Relationship Type="http://schemas.openxmlformats.org/officeDocument/2006/relationships/hyperlink" Target="https://cdn.shopify.com/s/files/1/0792/5098/1063/files/6c4cda57b9e3a28bf8baef1c5e85afa8ed94dcd72110978845cba27a8af50e6f.jpg?v=1785132753" TargetMode="External" Id="rId45"/><Relationship Type="http://schemas.openxmlformats.org/officeDocument/2006/relationships/hyperlink" Target="https://cdn.shopify.com/s/files/1/0792/5098/1063/files/6c4cda57b9e3a28bf8baef1c5e85afa8ed94dcd72110978845cba27a8af50e6f.jpg?v=1785132753" TargetMode="External" Id="rId46"/><Relationship Type="http://schemas.openxmlformats.org/officeDocument/2006/relationships/hyperlink" Target="https://cdn.shopify.com/s/files/1/0792/5098/1063/files/16f7293cbefa5743a35b2e6316a5a114e5c052d08151e367dafd26aa5e2e542b_f5f72ee7-1da4-4a37-98b2-cfa1d00ff0c5.jpg?v=1785132753" TargetMode="External" Id="rId47"/><Relationship Type="http://schemas.openxmlformats.org/officeDocument/2006/relationships/hyperlink" Target="https://cdn.shopify.com/s/files/1/0792/5098/1063/files/16f7293cbefa5743a35b2e6316a5a114e5c052d08151e367dafd26aa5e2e542b_f5f72ee7-1da4-4a37-98b2-cfa1d00ff0c5.jpg?v=1785132753" TargetMode="External" Id="rId48"/><Relationship Type="http://schemas.openxmlformats.org/officeDocument/2006/relationships/hyperlink" Target="https://cdn.shopify.com/s/files/1/0792/5098/1063/files/2776eb90f20c7e99621bb907bf459687c837f8ae60c4d1374540e0fec7c43a03.jpg?v=1785132753" TargetMode="External" Id="rId49"/><Relationship Type="http://schemas.openxmlformats.org/officeDocument/2006/relationships/hyperlink" Target="https://cdn.shopify.com/s/files/1/0792/5098/1063/files/2776eb90f20c7e99621bb907bf459687c837f8ae60c4d1374540e0fec7c43a03.jpg?v=1785132753" TargetMode="External" Id="rId50"/><Relationship Type="http://schemas.openxmlformats.org/officeDocument/2006/relationships/hyperlink" Target="https://cdn.shopify.com/s/files/1/0792/5098/1063/files/e114d845ac9ebaa4b654f69449b9ea75627de398b074c743e279f4bf99202bc8.jpg?v=1785132753" TargetMode="External" Id="rId51"/><Relationship Type="http://schemas.openxmlformats.org/officeDocument/2006/relationships/hyperlink" Target="https://cdn.shopify.com/s/files/1/0792/5098/1063/files/e114d845ac9ebaa4b654f69449b9ea75627de398b074c743e279f4bf99202bc8.jpg?v=1785132753" TargetMode="External" Id="rId52"/><Relationship Type="http://schemas.openxmlformats.org/officeDocument/2006/relationships/hyperlink" Target="https://cdn.shopify.com/s/files/1/0792/5098/1063/files/7c006bddc94d4763c71c8376307e195c1bbce73b8c802ec73ac5a8cef1291262_11022c84-f04f-4db0-bb76-03d6219792bd.jpg?v=1785132753" TargetMode="External" Id="rId53"/><Relationship Type="http://schemas.openxmlformats.org/officeDocument/2006/relationships/hyperlink" Target="https://cdn.shopify.com/s/files/1/0792/5098/1063/files/7c006bddc94d4763c71c8376307e195c1bbce73b8c802ec73ac5a8cef1291262_11022c84-f04f-4db0-bb76-03d6219792bd.jpg?v=1785132753" TargetMode="External" Id="rId54"/><Relationship Type="http://schemas.openxmlformats.org/officeDocument/2006/relationships/hyperlink" Target="https://cdn.shopify.com/s/files/1/0792/5098/1063/files/e5cad84edb4d7bf77c48fd7c8e52eb3b73f04eba8bf177671fd8a059c59422e8_922b3cca-440c-441c-b487-e8057643c614.jpg?v=1785132753" TargetMode="External" Id="rId55"/><Relationship Type="http://schemas.openxmlformats.org/officeDocument/2006/relationships/hyperlink" Target="https://cdn.shopify.com/s/files/1/0792/5098/1063/files/e5cad84edb4d7bf77c48fd7c8e52eb3b73f04eba8bf177671fd8a059c59422e8_922b3cca-440c-441c-b487-e8057643c614.jpg?v=1785132753" TargetMode="External" Id="rId56"/><Relationship Type="http://schemas.openxmlformats.org/officeDocument/2006/relationships/hyperlink" Target="https://cdn.shopify.com/s/files/1/0792/5098/1063/files/66486682f9ef934c1eee08c4d8d1b66c4f2c0764b327966d8b42831f194ce09c.jpg?v=1785132251" TargetMode="External" Id="rId57"/><Relationship Type="http://schemas.openxmlformats.org/officeDocument/2006/relationships/hyperlink" Target="https://cdn.shopify.com/s/files/1/0792/5098/1063/files/66486682f9ef934c1eee08c4d8d1b66c4f2c0764b327966d8b42831f194ce09c.jpg?v=1785132251" TargetMode="External" Id="rId58"/><Relationship Type="http://schemas.openxmlformats.org/officeDocument/2006/relationships/hyperlink" Target="https://cdn.shopify.com/s/files/1/0792/5098/1063/files/c278ece189736351d50cbf66747592905b57e00b5c3663b3a9eb95a085b8aaeb.jpg?v=1785132251" TargetMode="External" Id="rId59"/><Relationship Type="http://schemas.openxmlformats.org/officeDocument/2006/relationships/hyperlink" Target="https://cdn.shopify.com/s/files/1/0792/5098/1063/files/c278ece189736351d50cbf66747592905b57e00b5c3663b3a9eb95a085b8aaeb.jpg?v=1785132251" TargetMode="External" Id="rId60"/><Relationship Type="http://schemas.openxmlformats.org/officeDocument/2006/relationships/hyperlink" Target="https://cdn.shopify.com/s/files/1/0792/5098/1063/files/16f7293cbefa5743a35b2e6316a5a114e5c052d08151e367dafd26aa5e2e542b_711afbd8-1c78-4abc-b9dc-844544a630d3.jpg?v=1785132252" TargetMode="External" Id="rId61"/><Relationship Type="http://schemas.openxmlformats.org/officeDocument/2006/relationships/hyperlink" Target="https://cdn.shopify.com/s/files/1/0792/5098/1063/files/16f7293cbefa5743a35b2e6316a5a114e5c052d08151e367dafd26aa5e2e542b_711afbd8-1c78-4abc-b9dc-844544a630d3.jpg?v=1785132252" TargetMode="External" Id="rId62"/><Relationship Type="http://schemas.openxmlformats.org/officeDocument/2006/relationships/hyperlink" Target="https://cdn.shopify.com/s/files/1/0792/5098/1063/files/35a06f8610a3c89e13a39e269c58d7a5c19e53ee3bc7e0d28447be78e2f81527.jpg?v=1785132251" TargetMode="External" Id="rId63"/><Relationship Type="http://schemas.openxmlformats.org/officeDocument/2006/relationships/hyperlink" Target="https://cdn.shopify.com/s/files/1/0792/5098/1063/files/35a06f8610a3c89e13a39e269c58d7a5c19e53ee3bc7e0d28447be78e2f81527.jpg?v=1785132251" TargetMode="External" Id="rId64"/><Relationship Type="http://schemas.openxmlformats.org/officeDocument/2006/relationships/hyperlink" Target="https://cdn.shopify.com/s/files/1/0792/5098/1063/files/84d1a4dac8e15358c95d2049b2828465cd42893be60d78a0c6bf9b7d07c2d3af.jpg?v=1785132251" TargetMode="External" Id="rId65"/><Relationship Type="http://schemas.openxmlformats.org/officeDocument/2006/relationships/hyperlink" Target="https://cdn.shopify.com/s/files/1/0792/5098/1063/files/84d1a4dac8e15358c95d2049b2828465cd42893be60d78a0c6bf9b7d07c2d3af.jpg?v=1785132251" TargetMode="External" Id="rId66"/><Relationship Type="http://schemas.openxmlformats.org/officeDocument/2006/relationships/hyperlink" Target="https://cdn.shopify.com/s/files/1/0792/5098/1063/files/7c006bddc94d4763c71c8376307e195c1bbce73b8c802ec73ac5a8cef1291262_081a2c1f-f875-461a-aaef-dd038b65649d.jpg?v=1785132251" TargetMode="External" Id="rId67"/><Relationship Type="http://schemas.openxmlformats.org/officeDocument/2006/relationships/hyperlink" Target="https://cdn.shopify.com/s/files/1/0792/5098/1063/files/7c006bddc94d4763c71c8376307e195c1bbce73b8c802ec73ac5a8cef1291262_081a2c1f-f875-461a-aaef-dd038b65649d.jpg?v=1785132251" TargetMode="External" Id="rId68"/><Relationship Type="http://schemas.openxmlformats.org/officeDocument/2006/relationships/hyperlink" Target="https://cdn.shopify.com/s/files/1/0792/5098/1063/files/e5cad84edb4d7bf77c48fd7c8e52eb3b73f04eba8bf177671fd8a059c59422e8_eb794822-9d5b-4dc8-801a-bf0cf9740fc2.jpg?v=1785132251" TargetMode="External" Id="rId69"/><Relationship Type="http://schemas.openxmlformats.org/officeDocument/2006/relationships/hyperlink" Target="https://cdn.shopify.com/s/files/1/0792/5098/1063/files/e5cad84edb4d7bf77c48fd7c8e52eb3b73f04eba8bf177671fd8a059c59422e8_eb794822-9d5b-4dc8-801a-bf0cf9740fc2.jpg?v=1785132251" TargetMode="External" Id="rId70"/><Relationship Type="http://schemas.openxmlformats.org/officeDocument/2006/relationships/hyperlink" Target="https://cdn.shopify.com/s/files/1/0792/5098/1063/files/118574be8aa324483555a5c07a7e0f89b235f456f217c4e560b5d20b9b8caca2.jpg?v=1785099027" TargetMode="External" Id="rId71"/><Relationship Type="http://schemas.openxmlformats.org/officeDocument/2006/relationships/hyperlink" Target="https://cdn.shopify.com/s/files/1/0792/5098/1063/files/118574be8aa324483555a5c07a7e0f89b235f456f217c4e560b5d20b9b8caca2.jpg?v=1785099027" TargetMode="External" Id="rId72"/><Relationship Type="http://schemas.openxmlformats.org/officeDocument/2006/relationships/hyperlink" Target="https://cdn.shopify.com/s/files/1/0792/5098/1063/files/558f636f9835c8da11707934b23be9fb29f46bd1b2dd4e245008c77d5dc5b615.jpg?v=1785099027" TargetMode="External" Id="rId73"/><Relationship Type="http://schemas.openxmlformats.org/officeDocument/2006/relationships/hyperlink" Target="https://cdn.shopify.com/s/files/1/0792/5098/1063/files/558f636f9835c8da11707934b23be9fb29f46bd1b2dd4e245008c77d5dc5b615.jpg?v=1785099027" TargetMode="External" Id="rId74"/><Relationship Type="http://schemas.openxmlformats.org/officeDocument/2006/relationships/hyperlink" Target="https://cdn.shopify.com/s/files/1/0792/5098/1063/files/abfe9f48500d8477415f31d7eeb4b5b14d9d4baf87c88a41a44bc7d839521ec8.jpg?v=1785099027" TargetMode="External" Id="rId75"/><Relationship Type="http://schemas.openxmlformats.org/officeDocument/2006/relationships/hyperlink" Target="https://cdn.shopify.com/s/files/1/0792/5098/1063/files/abfe9f48500d8477415f31d7eeb4b5b14d9d4baf87c88a41a44bc7d839521ec8.jpg?v=1785099027" TargetMode="External" Id="rId76"/><Relationship Type="http://schemas.openxmlformats.org/officeDocument/2006/relationships/hyperlink" Target="https://cdn.shopify.com/s/files/1/0792/5098/1063/files/fff13981b816839b4d2573b1e588d70d1508edc78ae4cb40b19c1c1449fa81d7.jpg?v=1785099027" TargetMode="External" Id="rId77"/><Relationship Type="http://schemas.openxmlformats.org/officeDocument/2006/relationships/hyperlink" Target="https://cdn.shopify.com/s/files/1/0792/5098/1063/files/fff13981b816839b4d2573b1e588d70d1508edc78ae4cb40b19c1c1449fa81d7.jpg?v=1785099027" TargetMode="External" Id="rId78"/><Relationship Type="http://schemas.openxmlformats.org/officeDocument/2006/relationships/hyperlink" Target="https://cdn.shopify.com/s/files/1/0792/5098/1063/files/76ae51978c72236721d8d0072b2c19806dc2db905a27ec5a7bcf33752a375010.jpg?v=1785099027" TargetMode="External" Id="rId79"/><Relationship Type="http://schemas.openxmlformats.org/officeDocument/2006/relationships/hyperlink" Target="https://cdn.shopify.com/s/files/1/0792/5098/1063/files/76ae51978c72236721d8d0072b2c19806dc2db905a27ec5a7bcf33752a375010.jpg?v=1785099027" TargetMode="External" Id="rId80"/><Relationship Type="http://schemas.openxmlformats.org/officeDocument/2006/relationships/hyperlink" Target="https://cdn.shopify.com/s/files/1/0792/5098/1063/files/91dfea77e81e54512c9459d2114b6842ae71378ea84caa74f80e275c770a1fa4.jpg?v=1785099027" TargetMode="External" Id="rId81"/><Relationship Type="http://schemas.openxmlformats.org/officeDocument/2006/relationships/hyperlink" Target="https://cdn.shopify.com/s/files/1/0792/5098/1063/files/91dfea77e81e54512c9459d2114b6842ae71378ea84caa74f80e275c770a1fa4.jpg?v=1785099027" TargetMode="External" Id="rId82"/><Relationship Type="http://schemas.openxmlformats.org/officeDocument/2006/relationships/hyperlink" Target="https://cdn.shopify.com/s/files/1/0792/5098/1063/files/1e1a64d7533bc3dd04c4bf7e1b3aaa5754de833077ca3b30d63a7db6b9cc4622.jpg?v=1785099027" TargetMode="External" Id="rId83"/><Relationship Type="http://schemas.openxmlformats.org/officeDocument/2006/relationships/hyperlink" Target="https://cdn.shopify.com/s/files/1/0792/5098/1063/files/1e1a64d7533bc3dd04c4bf7e1b3aaa5754de833077ca3b30d63a7db6b9cc4622.jpg?v=1785099027" TargetMode="External" Id="rId84"/><Relationship Type="http://schemas.openxmlformats.org/officeDocument/2006/relationships/hyperlink" Target="https://cdn.shopify.com/s/files/1/0792/5098/1063/files/d98912080910bd4204041b4cc5fda4e079916726c4bbf96a96c48300c109b9a3.jpg?v=1785181200" TargetMode="External" Id="rId85"/><Relationship Type="http://schemas.openxmlformats.org/officeDocument/2006/relationships/hyperlink" Target="https://cdn.shopify.com/s/files/1/0792/5098/1063/files/d98912080910bd4204041b4cc5fda4e079916726c4bbf96a96c48300c109b9a3.jpg?v=1785181200" TargetMode="External" Id="rId86"/><Relationship Type="http://schemas.openxmlformats.org/officeDocument/2006/relationships/hyperlink" Target="https://cdn.shopify.com/s/files/1/0792/5098/1063/files/c7412f77877790fadbda8d282b39ce2fc56221f5c7c1e81e4a77476310e19166.jpg?v=1785181199" TargetMode="External" Id="rId87"/><Relationship Type="http://schemas.openxmlformats.org/officeDocument/2006/relationships/hyperlink" Target="https://cdn.shopify.com/s/files/1/0792/5098/1063/files/c7412f77877790fadbda8d282b39ce2fc56221f5c7c1e81e4a77476310e19166.jpg?v=1785181199" TargetMode="External" Id="rId88"/><Relationship Type="http://schemas.openxmlformats.org/officeDocument/2006/relationships/hyperlink" Target="https://cdn.shopify.com/s/files/1/0792/5098/1063/files/4e6f29d0c8825ac0f3ecc5013137abf4f74e89238663ff73a31b68ec2769084a.jpg?v=1785181199" TargetMode="External" Id="rId89"/><Relationship Type="http://schemas.openxmlformats.org/officeDocument/2006/relationships/hyperlink" Target="https://cdn.shopify.com/s/files/1/0792/5098/1063/files/4e6f29d0c8825ac0f3ecc5013137abf4f74e89238663ff73a31b68ec2769084a.jpg?v=1785181199" TargetMode="External" Id="rId90"/><Relationship Type="http://schemas.openxmlformats.org/officeDocument/2006/relationships/hyperlink" Target="https://cdn.shopify.com/s/files/1/0792/5098/1063/files/0f940337e3da2f65f0e1726a8fbf74b9e18ca2563b79f783255d965d375910ad.jpg?v=1785181199" TargetMode="External" Id="rId91"/><Relationship Type="http://schemas.openxmlformats.org/officeDocument/2006/relationships/hyperlink" Target="https://cdn.shopify.com/s/files/1/0792/5098/1063/files/0f940337e3da2f65f0e1726a8fbf74b9e18ca2563b79f783255d965d375910ad.jpg?v=1785181199" TargetMode="External" Id="rId92"/><Relationship Type="http://schemas.openxmlformats.org/officeDocument/2006/relationships/hyperlink" Target="https://cdn.shopify.com/s/files/1/0792/5098/1063/files/a54b901eb4c1e7cf7b664ede0c7a886b67e648375c9996e407998a600b9cb310.jpg?v=1785181200" TargetMode="External" Id="rId93"/><Relationship Type="http://schemas.openxmlformats.org/officeDocument/2006/relationships/hyperlink" Target="https://cdn.shopify.com/s/files/1/0792/5098/1063/files/a54b901eb4c1e7cf7b664ede0c7a886b67e648375c9996e407998a600b9cb310.jpg?v=1785181200" TargetMode="External" Id="rId94"/><Relationship Type="http://schemas.openxmlformats.org/officeDocument/2006/relationships/hyperlink" Target="https://cdn.shopify.com/s/files/1/0792/5098/1063/files/fb99d33be77ccc490c5313b387c1b9a092e5691e9d9e6ec2620bba5259c62ca7.jpg?v=1785181393" TargetMode="External" Id="rId95"/><Relationship Type="http://schemas.openxmlformats.org/officeDocument/2006/relationships/hyperlink" Target="https://cdn.shopify.com/s/files/1/0792/5098/1063/files/fb99d33be77ccc490c5313b387c1b9a092e5691e9d9e6ec2620bba5259c62ca7.jpg?v=1785181393" TargetMode="External" Id="rId96"/><Relationship Type="http://schemas.openxmlformats.org/officeDocument/2006/relationships/hyperlink" Target="https://cdn.shopify.com/s/files/1/0792/5098/1063/files/e2ace212c9c382ad5fd89ef08f8e0f553ab8c19afed18d86b27b5c3ba73d139b.jpg?v=1785181393" TargetMode="External" Id="rId97"/><Relationship Type="http://schemas.openxmlformats.org/officeDocument/2006/relationships/hyperlink" Target="https://cdn.shopify.com/s/files/1/0792/5098/1063/files/e2ace212c9c382ad5fd89ef08f8e0f553ab8c19afed18d86b27b5c3ba73d139b.jpg?v=1785181393" TargetMode="External" Id="rId98"/><Relationship Type="http://schemas.openxmlformats.org/officeDocument/2006/relationships/hyperlink" Target="https://cdn.shopify.com/s/files/1/0792/5098/1063/files/ecef674ec02d2f501ba1ca24f63d76a59886600b070e7cf84ce106c8563dee5e.jpg?v=1785181393" TargetMode="External" Id="rId99"/><Relationship Type="http://schemas.openxmlformats.org/officeDocument/2006/relationships/hyperlink" Target="https://cdn.shopify.com/s/files/1/0792/5098/1063/files/ecef674ec02d2f501ba1ca24f63d76a59886600b070e7cf84ce106c8563dee5e.jpg?v=1785181393" TargetMode="External" Id="rId100"/><Relationship Type="http://schemas.openxmlformats.org/officeDocument/2006/relationships/hyperlink" Target="https://cdn.shopify.com/s/files/1/0792/5098/1063/files/56fd8b810c302c8bc32b9136dbd1e0ff71e7ad1f16c4cc2bc8b7746a3ff61db6.jpg?v=1785181393" TargetMode="External" Id="rId101"/><Relationship Type="http://schemas.openxmlformats.org/officeDocument/2006/relationships/hyperlink" Target="https://cdn.shopify.com/s/files/1/0792/5098/1063/files/56fd8b810c302c8bc32b9136dbd1e0ff71e7ad1f16c4cc2bc8b7746a3ff61db6.jpg?v=1785181393" TargetMode="External" Id="rId102"/><Relationship Type="http://schemas.openxmlformats.org/officeDocument/2006/relationships/hyperlink" Target="https://cdn.shopify.com/s/files/1/0792/5098/1063/files/666e402de87a36865f25b35367771908b8619bf86bc6e37660461d48ce76f12b.jpg?v=1785181393" TargetMode="External" Id="rId103"/><Relationship Type="http://schemas.openxmlformats.org/officeDocument/2006/relationships/hyperlink" Target="https://cdn.shopify.com/s/files/1/0792/5098/1063/files/666e402de87a36865f25b35367771908b8619bf86bc6e37660461d48ce76f12b.jpg?v=1785181393" TargetMode="External" Id="rId104"/><Relationship Type="http://schemas.openxmlformats.org/officeDocument/2006/relationships/hyperlink" Target="https://cdn.shopify.com/s/files/1/0792/5098/1063/files/1253d3cdaec810d23a956125b83478f66f286ecb5f5ed21d03a3f7393ca515f1.jpg?v=1785181472" TargetMode="External" Id="rId105"/><Relationship Type="http://schemas.openxmlformats.org/officeDocument/2006/relationships/hyperlink" Target="https://cdn.shopify.com/s/files/1/0792/5098/1063/files/1253d3cdaec810d23a956125b83478f66f286ecb5f5ed21d03a3f7393ca515f1.jpg?v=1785181472" TargetMode="External" Id="rId106"/><Relationship Type="http://schemas.openxmlformats.org/officeDocument/2006/relationships/hyperlink" Target="https://cdn.shopify.com/s/files/1/0792/5098/1063/files/398a2a19abd4817d3ec37901d5b531be11ca0332c3b18cb69053b56dc42febfd.jpg?v=1785181471" TargetMode="External" Id="rId107"/><Relationship Type="http://schemas.openxmlformats.org/officeDocument/2006/relationships/hyperlink" Target="https://cdn.shopify.com/s/files/1/0792/5098/1063/files/398a2a19abd4817d3ec37901d5b531be11ca0332c3b18cb69053b56dc42febfd.jpg?v=1785181471" TargetMode="External" Id="rId108"/><Relationship Type="http://schemas.openxmlformats.org/officeDocument/2006/relationships/hyperlink" Target="https://cdn.shopify.com/s/files/1/0792/5098/1063/files/541eb95a3e153e2bd30304d2f0c7d58871b9b691ba6c938f9e6f6eccf38ee7ae.jpg?v=1785181471" TargetMode="External" Id="rId109"/><Relationship Type="http://schemas.openxmlformats.org/officeDocument/2006/relationships/hyperlink" Target="https://cdn.shopify.com/s/files/1/0792/5098/1063/files/541eb95a3e153e2bd30304d2f0c7d58871b9b691ba6c938f9e6f6eccf38ee7ae.jpg?v=1785181471" TargetMode="External" Id="rId110"/><Relationship Type="http://schemas.openxmlformats.org/officeDocument/2006/relationships/hyperlink" Target="https://cdn.shopify.com/s/files/1/0792/5098/1063/files/4c27f7256fa9da62b223d070c922bc959741e9b1746ebb87947cf2161d1917b0.jpg?v=1785181471" TargetMode="External" Id="rId111"/><Relationship Type="http://schemas.openxmlformats.org/officeDocument/2006/relationships/hyperlink" Target="https://cdn.shopify.com/s/files/1/0792/5098/1063/files/4c27f7256fa9da62b223d070c922bc959741e9b1746ebb87947cf2161d1917b0.jpg?v=1785181471" TargetMode="External" Id="rId112"/><Relationship Type="http://schemas.openxmlformats.org/officeDocument/2006/relationships/hyperlink" Target="https://cdn.shopify.com/s/files/1/0792/5098/1063/files/06a1d66de78b9d4c032e2755da46ca361ce2886dc184b262ea9dd71908a64fcd.jpg?v=1785181471" TargetMode="External" Id="rId113"/><Relationship Type="http://schemas.openxmlformats.org/officeDocument/2006/relationships/hyperlink" Target="https://cdn.shopify.com/s/files/1/0792/5098/1063/files/06a1d66de78b9d4c032e2755da46ca361ce2886dc184b262ea9dd71908a64fcd.jpg?v=1785181471" TargetMode="External" Id="rId114"/><Relationship Type="http://schemas.openxmlformats.org/officeDocument/2006/relationships/hyperlink" Target="https://cdn.shopify.com/s/files/1/0792/5098/1063/files/020fde2da418c08d9376ad45c1918438d55d39a2b4217c6ecc488895a8b7ff9b.jpg?v=1785181290" TargetMode="External" Id="rId115"/><Relationship Type="http://schemas.openxmlformats.org/officeDocument/2006/relationships/hyperlink" Target="https://cdn.shopify.com/s/files/1/0792/5098/1063/files/020fde2da418c08d9376ad45c1918438d55d39a2b4217c6ecc488895a8b7ff9b.jpg?v=1785181290" TargetMode="External" Id="rId116"/><Relationship Type="http://schemas.openxmlformats.org/officeDocument/2006/relationships/hyperlink" Target="https://cdn.shopify.com/s/files/1/0792/5098/1063/files/70e56f4add645d5df13a1f64670e7e344b031040e5dc0d56fb8df4d2009ff937.jpg?v=1785181290" TargetMode="External" Id="rId117"/><Relationship Type="http://schemas.openxmlformats.org/officeDocument/2006/relationships/hyperlink" Target="https://cdn.shopify.com/s/files/1/0792/5098/1063/files/70e56f4add645d5df13a1f64670e7e344b031040e5dc0d56fb8df4d2009ff937.jpg?v=1785181290" TargetMode="External" Id="rId118"/><Relationship Type="http://schemas.openxmlformats.org/officeDocument/2006/relationships/hyperlink" Target="https://cdn.shopify.com/s/files/1/0792/5098/1063/files/f2e7a259def6c007ffe9e1c0db405312e07b6021eaf534e5f8adb3ee18bd2fc2.jpg?v=1785181290" TargetMode="External" Id="rId119"/><Relationship Type="http://schemas.openxmlformats.org/officeDocument/2006/relationships/hyperlink" Target="https://cdn.shopify.com/s/files/1/0792/5098/1063/files/f2e7a259def6c007ffe9e1c0db405312e07b6021eaf534e5f8adb3ee18bd2fc2.jpg?v=1785181290" TargetMode="External" Id="rId120"/><Relationship Type="http://schemas.openxmlformats.org/officeDocument/2006/relationships/hyperlink" Target="https://cdn.shopify.com/s/files/1/0792/5098/1063/files/fbee38331d4d4ac5ab6ca32befd16b78922182ddbea02af22061b83468233d0d.jpg?v=1785181290" TargetMode="External" Id="rId121"/><Relationship Type="http://schemas.openxmlformats.org/officeDocument/2006/relationships/hyperlink" Target="https://cdn.shopify.com/s/files/1/0792/5098/1063/files/fbee38331d4d4ac5ab6ca32befd16b78922182ddbea02af22061b83468233d0d.jpg?v=1785181290" TargetMode="External" Id="rId122"/><Relationship Type="http://schemas.openxmlformats.org/officeDocument/2006/relationships/hyperlink" Target="https://cdn.shopify.com/s/files/1/0792/5098/1063/files/3b34f571fdb09566d8da7b4c5b397bc03a37d8233f0fd5e5b77d72af2928e1c0.jpg?v=1785181290" TargetMode="External" Id="rId123"/><Relationship Type="http://schemas.openxmlformats.org/officeDocument/2006/relationships/hyperlink" Target="https://cdn.shopify.com/s/files/1/0792/5098/1063/files/3b34f571fdb09566d8da7b4c5b397bc03a37d8233f0fd5e5b77d72af2928e1c0.jpg?v=1785181290" TargetMode="External" Id="rId124"/></Relationships>
</file>

<file path=xl/worksheets/sheet1.xml><?xml version="1.0" encoding="utf-8"?>
<worksheet xmlns="http://schemas.openxmlformats.org/spreadsheetml/2006/main">
  <sheetPr>
    <outlinePr summaryBelow="1" summaryRight="1"/>
    <pageSetUpPr fitToPage="1"/>
  </sheetPr>
  <dimension ref="A1:C15"/>
  <sheetViews>
    <sheetView showGridLines="0" workbookViewId="0">
      <pane ySplit="1" topLeftCell="A2" activePane="bottomLeft" state="frozen"/>
      <selection pane="bottomLeft" activeCell="A1" sqref="A1"/>
    </sheetView>
  </sheetViews>
  <sheetFormatPr baseColWidth="8" defaultRowHeight="15"/>
  <cols>
    <col width="23" customWidth="1" min="1" max="1"/>
    <col width="42" customWidth="1" min="2" max="2"/>
    <col width="42" customWidth="1" min="3" max="3"/>
  </cols>
  <sheetData>
    <row r="1" ht="32" customHeight="1">
      <c r="A1" s="1" t="inlineStr">
        <is>
          <t>metric</t>
        </is>
      </c>
      <c r="B1" s="1" t="inlineStr">
        <is>
          <t>value</t>
        </is>
      </c>
      <c r="C1" s="1" t="inlineStr">
        <is>
          <t>definition</t>
        </is>
      </c>
    </row>
    <row r="2" ht="42" customHeight="1">
      <c r="A2" s="2" t="inlineStr">
        <is>
          <t>shop_domain</t>
        </is>
      </c>
      <c r="B2" s="2" t="inlineStr">
        <is>
          <t>jeminise.com</t>
        </is>
      </c>
      <c r="C2" s="2" t="inlineStr">
        <is>
          <t>Shop being QAed.</t>
        </is>
      </c>
    </row>
    <row r="3" ht="42" customHeight="1">
      <c r="A3" s="3" t="inlineStr">
        <is>
          <t>source_run_id</t>
        </is>
      </c>
      <c r="B3" s="3" t="inlineStr">
        <is>
          <t>20260906_234129</t>
        </is>
      </c>
      <c r="C3" s="3" t="inlineStr">
        <is>
          <t>Original SEO drafting run.</t>
        </is>
      </c>
    </row>
    <row r="4" ht="42" customHeight="1">
      <c r="A4" s="2" t="inlineStr">
        <is>
          <t>qa_run_id</t>
        </is>
      </c>
      <c r="B4" s="2" t="inlineStr">
        <is>
          <t>20260907_182000</t>
        </is>
      </c>
      <c r="C4" s="2" t="inlineStr">
        <is>
          <t>QA run folder for this corrected rerun.</t>
        </is>
      </c>
    </row>
    <row r="5" ht="42" customHeight="1">
      <c r="A5" s="3" t="inlineStr">
        <is>
          <t>qa_batch_id</t>
        </is>
      </c>
      <c r="B5" s="3" t="inlineStr">
        <is>
          <t>qa_batch_013</t>
        </is>
      </c>
      <c r="C5" s="3" t="inlineStr">
        <is>
          <t>Batch being independently checked.</t>
        </is>
      </c>
    </row>
    <row r="6" ht="42" customHeight="1">
      <c r="A6" s="2" t="inlineStr">
        <is>
          <t>revision</t>
        </is>
      </c>
      <c r="B6" s="2" t="inlineStr">
        <is>
          <t>r1_corrected_full_qa</t>
        </is>
      </c>
      <c r="C6" s="2" t="inlineStr">
        <is>
          <t>Corrected full QA artifact replacing prior shortened output.</t>
        </is>
      </c>
    </row>
    <row r="7" ht="42" customHeight="1">
      <c r="A7" s="3" t="inlineStr">
        <is>
          <t>source_workbook</t>
        </is>
      </c>
      <c r="B7" s="3" t="inlineStr">
        <is>
          <t>D:\Shopify_Workspace\jeminise_seo\resutls\jeminise.com\20260906_234129\batches\SEO_Product_Optimization_through_batch_013.xlsx</t>
        </is>
      </c>
      <c r="C7" s="3" t="inlineStr">
        <is>
          <t>Frozen workbook source path.</t>
        </is>
      </c>
    </row>
    <row r="8" ht="42" customHeight="1">
      <c r="A8" s="2" t="inlineStr">
        <is>
          <t>source_sha256</t>
        </is>
      </c>
      <c r="B8" s="2" t="inlineStr">
        <is>
          <t>365DE89A3E4E2CC44D50F426944B4728DDE44EE3ACB68398663F6EED614D2700</t>
        </is>
      </c>
      <c r="C8" s="2" t="inlineStr">
        <is>
          <t>SHA-256 at freeze/final handoff time.</t>
        </is>
      </c>
    </row>
    <row r="9" ht="42" customHeight="1">
      <c r="A9" s="3" t="inlineStr">
        <is>
          <t>snapshot_sha256</t>
        </is>
      </c>
      <c r="B9" s="3" t="inlineStr">
        <is>
          <t>365DE89A3E4E2CC44D50F426944B4728DDE44EE3ACB68398663F6EED614D2700</t>
        </is>
      </c>
      <c r="C9" s="3" t="inlineStr">
        <is>
          <t>SHA-256 of workbook copy in source_snapshot.</t>
        </is>
      </c>
    </row>
    <row r="10" ht="42" customHeight="1">
      <c r="A10" s="2" t="inlineStr">
        <is>
          <t>scope</t>
        </is>
      </c>
      <c r="B10" s="2" t="inlineStr">
        <is>
          <t>10 products, 62/62 images</t>
        </is>
      </c>
      <c r="C10" s="2" t="inlineStr">
        <is>
          <t>Batch scope and image coverage.</t>
        </is>
      </c>
    </row>
    <row r="11" ht="42" customHeight="1">
      <c r="A11" s="3" t="inlineStr">
        <is>
          <t>batch_final_score</t>
        </is>
      </c>
      <c r="B11" s="3">
        <f>AVERAGE('QA_Products'!$K$2:$K$11)</f>
        <v/>
      </c>
      <c r="C11" s="3" t="inlineStr">
        <is>
          <t>Formula-driven average final score in workbook.</t>
        </is>
      </c>
    </row>
    <row r="12" ht="42" customHeight="1">
      <c r="A12" s="2" t="inlineStr">
        <is>
          <t>batch_result</t>
        </is>
      </c>
      <c r="B12" s="2">
        <f>IF(COUNTIF('QA_Products'!$L$2:$L$11,"QA_PASS")=ROWS('QA_Products'!$L$2:$L$11),"PASSED","NOT_PASSED")</f>
        <v/>
      </c>
      <c r="C12" s="2" t="inlineStr">
        <is>
          <t>PASSED only if all products are QA_PASS.</t>
        </is>
      </c>
    </row>
    <row r="13" ht="42" customHeight="1">
      <c r="A13" s="3" t="inlineStr">
        <is>
          <t>status_counts</t>
        </is>
      </c>
      <c r="B13" s="3">
        <f>"PASS="&amp;COUNTIF('QA_Products'!$L$2:$L$11,"QA_PASS")&amp;"; REVISE="&amp;COUNTIF('QA_Products'!$L$2:$L$11,"QA_REVISE")&amp;"; FAIL="&amp;COUNTIF('QA_Products'!$L$2:$L$11,"QA_FAIL")&amp;"; INCOMPLETE="&amp;COUNTIF('QA_Products'!$L$2:$L$11,"QA_INCOMPLETE")</f>
        <v/>
      </c>
      <c r="C13" s="3" t="inlineStr">
        <is>
          <t>Product QA status counts.</t>
        </is>
      </c>
    </row>
    <row r="14" ht="42" customHeight="1">
      <c r="A14" s="2" t="inlineStr">
        <is>
          <t>issue_counts</t>
        </is>
      </c>
      <c r="B14" s="2" t="inlineStr">
        <is>
          <t>CRITICAL=1; MAJOR=19; MINOR=52; LIMITATION=10</t>
        </is>
      </c>
      <c r="C14" s="2" t="inlineStr">
        <is>
          <t>Issue severity counts.</t>
        </is>
      </c>
    </row>
    <row r="15" ht="42" customHeight="1">
      <c r="A15" s="3" t="inlineStr">
        <is>
          <t>awaiting_confirmation</t>
        </is>
      </c>
      <c r="B15" s="3" t="b">
        <v>1</v>
      </c>
      <c r="C15" s="3" t="inlineStr">
        <is>
          <t>Do not QA next batch until user confirms.</t>
        </is>
      </c>
    </row>
  </sheetData>
  <autoFilter ref="A1:C15"/>
  <printOptions horizontalCentered="0"/>
  <pageMargins left="0.25" right="0.25"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W11"/>
  <sheetViews>
    <sheetView showGridLines="0" workbookViewId="0">
      <pane ySplit="1" topLeftCell="A2" activePane="bottomLeft" state="frozen"/>
      <selection pane="bottomLeft" activeCell="A1" sqref="A1"/>
    </sheetView>
  </sheetViews>
  <sheetFormatPr baseColWidth="8" defaultRowHeight="15"/>
  <cols>
    <col width="20" customWidth="1" min="1" max="1"/>
    <col width="42" customWidth="1" min="2" max="2"/>
    <col width="38" customWidth="1" min="3" max="3"/>
    <col width="24" customWidth="1" min="4" max="4"/>
    <col width="15" customWidth="1" min="5" max="5"/>
    <col width="11" customWidth="1" min="6" max="6"/>
    <col width="24" customWidth="1" min="7" max="7"/>
    <col width="24" customWidth="1" min="8" max="8"/>
    <col width="19" customWidth="1" min="9" max="9"/>
    <col width="19" customWidth="1" min="10" max="10"/>
    <col width="24" customWidth="1" min="11" max="11"/>
    <col width="20" customWidth="1" min="12" max="12"/>
    <col width="38" customWidth="1" min="13" max="13"/>
    <col width="17" customWidth="1" min="14" max="14"/>
    <col width="16" customWidth="1" min="15" max="15"/>
    <col width="24" customWidth="1" min="16" max="16"/>
    <col width="16" customWidth="1" min="17" max="17"/>
    <col width="24" customWidth="1" min="18" max="18"/>
    <col width="24" customWidth="1" min="19" max="19"/>
    <col width="24" customWidth="1" min="20" max="20"/>
    <col width="24" customWidth="1" min="21" max="21"/>
    <col width="42" customWidth="1" min="22" max="22"/>
    <col width="42" customWidth="1" min="23" max="23"/>
  </cols>
  <sheetData>
    <row r="1" ht="32" customHeight="1">
      <c r="A1" s="1" t="inlineStr">
        <is>
          <t>inventory_position</t>
        </is>
      </c>
      <c r="B1" s="1" t="inlineStr">
        <is>
          <t>product_key</t>
        </is>
      </c>
      <c r="C1" s="1" t="inlineStr">
        <is>
          <t>url</t>
        </is>
      </c>
      <c r="D1" s="1" t="inlineStr">
        <is>
          <t>handle</t>
        </is>
      </c>
      <c r="E1" s="1" t="inlineStr">
        <is>
          <t>product_id</t>
        </is>
      </c>
      <c r="F1" s="1" t="inlineStr">
        <is>
          <t>revision</t>
        </is>
      </c>
      <c r="G1" s="1" t="inlineStr">
        <is>
          <t>verified_points</t>
        </is>
      </c>
      <c r="H1" s="1" t="inlineStr">
        <is>
          <t>assessed_weight</t>
        </is>
      </c>
      <c r="I1" s="1" t="inlineStr">
        <is>
          <t>score_lower_bound</t>
        </is>
      </c>
      <c r="J1" s="1" t="inlineStr">
        <is>
          <t>score_upper_bound</t>
        </is>
      </c>
      <c r="K1" s="1" t="inlineStr">
        <is>
          <t>final_score</t>
        </is>
      </c>
      <c r="L1" s="1" t="inlineStr">
        <is>
          <t>qa_status</t>
        </is>
      </c>
      <c r="M1" s="1" t="inlineStr">
        <is>
          <t>keyword_evidence_level</t>
        </is>
      </c>
      <c r="N1" s="1" t="inlineStr">
        <is>
          <t>images_expected</t>
        </is>
      </c>
      <c r="O1" s="1" t="inlineStr">
        <is>
          <t>images_checked</t>
        </is>
      </c>
      <c r="P1" s="1" t="inlineStr">
        <is>
          <t>image_inventory_complete</t>
        </is>
      </c>
      <c r="Q1" s="1" t="inlineStr">
        <is>
          <t>image_coverage</t>
        </is>
      </c>
      <c r="R1" s="1" t="inlineStr">
        <is>
          <t>critical_count</t>
        </is>
      </c>
      <c r="S1" s="1" t="inlineStr">
        <is>
          <t>major_count</t>
        </is>
      </c>
      <c r="T1" s="1" t="inlineStr">
        <is>
          <t>minor_count</t>
        </is>
      </c>
      <c r="U1" s="1" t="inlineStr">
        <is>
          <t>limitation_count</t>
        </is>
      </c>
      <c r="V1" s="1" t="inlineStr">
        <is>
          <t>issue_refs</t>
        </is>
      </c>
      <c r="W1" s="1" t="inlineStr">
        <is>
          <t>evidence_refs</t>
        </is>
      </c>
    </row>
    <row r="2" ht="42" customHeight="1">
      <c r="A2" s="2" t="n">
        <v>121</v>
      </c>
      <c r="B2" s="2" t="inlineStr">
        <is>
          <t>jeminise.com+custom-trucking-semi-truck-breaking-through-stone-wall-vintage-comforter-28a367022b-28a367022b</t>
        </is>
      </c>
      <c r="C2" s="4" t="inlineStr">
        <is>
          <t>https://jeminise.com/products/custom-trucking-semi-truck-breaking-through-stone-wall-vintage-comforter-28a367022b-28a367022b</t>
        </is>
      </c>
      <c r="D2" s="2" t="inlineStr">
        <is>
          <t>custom-trucking-semi-truck-breaking-through-stone-wall-vintage-comforter-28a367022b-28a367022b</t>
        </is>
      </c>
      <c r="E2" s="2" t="inlineStr">
        <is>
          <t>8835553263815</t>
        </is>
      </c>
      <c r="F2" s="2" t="inlineStr">
        <is>
          <t>r1</t>
        </is>
      </c>
      <c r="G2" s="5">
        <f>SUMIF('QA_Criteria'!$A$2:$A$111,B2,'QA_Criteria'!$F$2:$F$111)</f>
        <v/>
      </c>
      <c r="H2" s="5">
        <f>SUMIF('QA_Criteria'!$A$2:$A$111,B2,'QA_Criteria'!$G$2:$G$111)</f>
        <v/>
      </c>
      <c r="I2" s="5">
        <f>G2</f>
        <v/>
      </c>
      <c r="J2" s="5">
        <f>G2+(100-H2)</f>
        <v/>
      </c>
      <c r="K2" s="5">
        <f>IF(AND(H2=100,Q2=1,P2=TRUE),G2,"")</f>
        <v/>
      </c>
      <c r="L2" s="2">
        <f>IF(R2&gt;0,"QA_FAIL",IF(K2="","QA_INCOMPLETE",IF(K2&lt;70,"QA_FAIL",IF(OR(K2&lt;85,S2&gt;0),"QA_REVISE","QA_PASS"))))</f>
        <v/>
      </c>
      <c r="M2" s="2" t="inlineStr">
        <is>
          <t>SERP_ONLY</t>
        </is>
      </c>
      <c r="N2" s="2" t="n">
        <v>7</v>
      </c>
      <c r="O2" s="2" t="n">
        <v>7</v>
      </c>
      <c r="P2" s="2" t="b">
        <v>1</v>
      </c>
      <c r="Q2" s="6" t="n">
        <v>1</v>
      </c>
      <c r="R2" s="2">
        <f>COUNTIFS('QA_Issues'!$B$2:$B$83,B2,'QA_Issues'!$D$2:$D$83,"CRITICAL")</f>
        <v/>
      </c>
      <c r="S2" s="2">
        <f>COUNTIFS('QA_Issues'!$B$2:$B$83,B2,'QA_Issues'!$D$2:$D$83,"MAJOR")</f>
        <v/>
      </c>
      <c r="T2" s="2">
        <f>COUNTIFS('QA_Issues'!$B$2:$B$83,B2,'QA_Issues'!$D$2:$D$83,"MINOR")</f>
        <v/>
      </c>
      <c r="U2" s="2">
        <f>COUNTIFS('QA_Issues'!$B$2:$B$83,B2,'QA_Issues'!$D$2:$D$83,"LIMITATION")</f>
        <v/>
      </c>
      <c r="V2" s="2" t="inlineStr">
        <is>
          <t>ISSUE-0001; ISSUE-0002; ISSUE-0003; ISSUE-0004; ISSUE-0005; ISSUE-0006; ISSUE-0007; ISSUE-0008; ISSUE-0009</t>
        </is>
      </c>
      <c r="W2" s="2" t="inlineStr">
        <is>
          <t>evidence_batch_013_121; live_source_comparison; customizer_audit; serp_evidence</t>
        </is>
      </c>
    </row>
    <row r="3" ht="42" customHeight="1">
      <c r="A3" s="3" t="n">
        <v>122</v>
      </c>
      <c r="B3" s="3" t="inlineStr">
        <is>
          <t>jeminise.com+custom-trucking-semi-truck-centered-on-chevron-background-comforter-cfef0beab9-cfef0beab9</t>
        </is>
      </c>
      <c r="C3" s="4" t="inlineStr">
        <is>
          <t>https://jeminise.com/products/custom-trucking-semi-truck-centered-on-chevron-background-comforter-cfef0beab9-cfef0beab9</t>
        </is>
      </c>
      <c r="D3" s="3" t="inlineStr">
        <is>
          <t>custom-trucking-semi-truck-centered-on-chevron-background-comforter-cfef0beab9-cfef0beab9</t>
        </is>
      </c>
      <c r="E3" s="3" t="inlineStr">
        <is>
          <t>8835558965447</t>
        </is>
      </c>
      <c r="F3" s="3" t="inlineStr">
        <is>
          <t>r1</t>
        </is>
      </c>
      <c r="G3" s="7">
        <f>SUMIF('QA_Criteria'!$A$2:$A$111,B3,'QA_Criteria'!$F$2:$F$111)</f>
        <v/>
      </c>
      <c r="H3" s="7">
        <f>SUMIF('QA_Criteria'!$A$2:$A$111,B3,'QA_Criteria'!$G$2:$G$111)</f>
        <v/>
      </c>
      <c r="I3" s="7">
        <f>G3</f>
        <v/>
      </c>
      <c r="J3" s="7">
        <f>G3+(100-H3)</f>
        <v/>
      </c>
      <c r="K3" s="7">
        <f>IF(AND(H3=100,Q3=1,P3=TRUE),G3,"")</f>
        <v/>
      </c>
      <c r="L3" s="3">
        <f>IF(R3&gt;0,"QA_FAIL",IF(K3="","QA_INCOMPLETE",IF(K3&lt;70,"QA_FAIL",IF(OR(K3&lt;85,S3&gt;0),"QA_REVISE","QA_PASS"))))</f>
        <v/>
      </c>
      <c r="M3" s="3" t="inlineStr">
        <is>
          <t>SERP_ONLY</t>
        </is>
      </c>
      <c r="N3" s="3" t="n">
        <v>7</v>
      </c>
      <c r="O3" s="3" t="n">
        <v>7</v>
      </c>
      <c r="P3" s="3" t="b">
        <v>1</v>
      </c>
      <c r="Q3" s="8" t="n">
        <v>1</v>
      </c>
      <c r="R3" s="3">
        <f>COUNTIFS('QA_Issues'!$B$2:$B$83,B3,'QA_Issues'!$D$2:$D$83,"CRITICAL")</f>
        <v/>
      </c>
      <c r="S3" s="3">
        <f>COUNTIFS('QA_Issues'!$B$2:$B$83,B3,'QA_Issues'!$D$2:$D$83,"MAJOR")</f>
        <v/>
      </c>
      <c r="T3" s="3">
        <f>COUNTIFS('QA_Issues'!$B$2:$B$83,B3,'QA_Issues'!$D$2:$D$83,"MINOR")</f>
        <v/>
      </c>
      <c r="U3" s="3">
        <f>COUNTIFS('QA_Issues'!$B$2:$B$83,B3,'QA_Issues'!$D$2:$D$83,"LIMITATION")</f>
        <v/>
      </c>
      <c r="V3" s="3" t="inlineStr">
        <is>
          <t>ISSUE-0010; ISSUE-0011; ISSUE-0012; ISSUE-0013; ISSUE-0014; ISSUE-0015; ISSUE-0016; ISSUE-0017; ISSUE-0018</t>
        </is>
      </c>
      <c r="W3" s="3" t="inlineStr">
        <is>
          <t>evidence_batch_013_122; live_source_comparison; customizer_audit; serp_evidence</t>
        </is>
      </c>
    </row>
    <row r="4" ht="42" customHeight="1">
      <c r="A4" s="2" t="n">
        <v>123</v>
      </c>
      <c r="B4" s="2" t="inlineStr">
        <is>
          <t>jeminise.com+custom-trucking-semi-truck-on-metallic-mesh-background-comforter-21d8f6bab6-21d8f6bab6</t>
        </is>
      </c>
      <c r="C4" s="4" t="inlineStr">
        <is>
          <t>https://jeminise.com/products/custom-trucking-semi-truck-on-metallic-mesh-background-comforter-21d8f6bab6-21d8f6bab6</t>
        </is>
      </c>
      <c r="D4" s="2" t="inlineStr">
        <is>
          <t>custom-trucking-semi-truck-on-metallic-mesh-background-comforter-21d8f6bab6-21d8f6bab6</t>
        </is>
      </c>
      <c r="E4" s="2" t="inlineStr">
        <is>
          <t>8835554345159</t>
        </is>
      </c>
      <c r="F4" s="2" t="inlineStr">
        <is>
          <t>r1</t>
        </is>
      </c>
      <c r="G4" s="5">
        <f>SUMIF('QA_Criteria'!$A$2:$A$111,B4,'QA_Criteria'!$F$2:$F$111)</f>
        <v/>
      </c>
      <c r="H4" s="5">
        <f>SUMIF('QA_Criteria'!$A$2:$A$111,B4,'QA_Criteria'!$G$2:$G$111)</f>
        <v/>
      </c>
      <c r="I4" s="5">
        <f>G4</f>
        <v/>
      </c>
      <c r="J4" s="5">
        <f>G4+(100-H4)</f>
        <v/>
      </c>
      <c r="K4" s="5">
        <f>IF(AND(H4=100,Q4=1,P4=TRUE),G4,"")</f>
        <v/>
      </c>
      <c r="L4" s="2">
        <f>IF(R4&gt;0,"QA_FAIL",IF(K4="","QA_INCOMPLETE",IF(K4&lt;70,"QA_FAIL",IF(OR(K4&lt;85,S4&gt;0),"QA_REVISE","QA_PASS"))))</f>
        <v/>
      </c>
      <c r="M4" s="2" t="inlineStr">
        <is>
          <t>SERP_ONLY</t>
        </is>
      </c>
      <c r="N4" s="2" t="n">
        <v>7</v>
      </c>
      <c r="O4" s="2" t="n">
        <v>7</v>
      </c>
      <c r="P4" s="2" t="b">
        <v>1</v>
      </c>
      <c r="Q4" s="6" t="n">
        <v>1</v>
      </c>
      <c r="R4" s="2">
        <f>COUNTIFS('QA_Issues'!$B$2:$B$83,B4,'QA_Issues'!$D$2:$D$83,"CRITICAL")</f>
        <v/>
      </c>
      <c r="S4" s="2">
        <f>COUNTIFS('QA_Issues'!$B$2:$B$83,B4,'QA_Issues'!$D$2:$D$83,"MAJOR")</f>
        <v/>
      </c>
      <c r="T4" s="2">
        <f>COUNTIFS('QA_Issues'!$B$2:$B$83,B4,'QA_Issues'!$D$2:$D$83,"MINOR")</f>
        <v/>
      </c>
      <c r="U4" s="2">
        <f>COUNTIFS('QA_Issues'!$B$2:$B$83,B4,'QA_Issues'!$D$2:$D$83,"LIMITATION")</f>
        <v/>
      </c>
      <c r="V4" s="2" t="inlineStr">
        <is>
          <t>ISSUE-0019; ISSUE-0020; ISSUE-0021; ISSUE-0022; ISSUE-0023; ISSUE-0024; ISSUE-0025; ISSUE-0026; ISSUE-0027</t>
        </is>
      </c>
      <c r="W4" s="2" t="inlineStr">
        <is>
          <t>evidence_batch_013_123; live_source_comparison; customizer_audit; serp_evidence</t>
        </is>
      </c>
    </row>
    <row r="5" ht="42" customHeight="1">
      <c r="A5" s="3" t="n">
        <v>124</v>
      </c>
      <c r="B5" s="3" t="inlineStr">
        <is>
          <t>jeminise.com+custom-trucking-semi-truck-on-textured-metallic-background-comforter-5ee1903c53-5ee1903c53</t>
        </is>
      </c>
      <c r="C5" s="4" t="inlineStr">
        <is>
          <t>https://jeminise.com/products/custom-trucking-semi-truck-on-textured-metallic-background-comforter-5ee1903c53-5ee1903c53</t>
        </is>
      </c>
      <c r="D5" s="3" t="inlineStr">
        <is>
          <t>custom-trucking-semi-truck-on-textured-metallic-background-comforter-5ee1903c53-5ee1903c53</t>
        </is>
      </c>
      <c r="E5" s="3" t="inlineStr">
        <is>
          <t>8835553067207</t>
        </is>
      </c>
      <c r="F5" s="3" t="inlineStr">
        <is>
          <t>r1</t>
        </is>
      </c>
      <c r="G5" s="7">
        <f>SUMIF('QA_Criteria'!$A$2:$A$111,B5,'QA_Criteria'!$F$2:$F$111)</f>
        <v/>
      </c>
      <c r="H5" s="7">
        <f>SUMIF('QA_Criteria'!$A$2:$A$111,B5,'QA_Criteria'!$G$2:$G$111)</f>
        <v/>
      </c>
      <c r="I5" s="7">
        <f>G5</f>
        <v/>
      </c>
      <c r="J5" s="7">
        <f>G5+(100-H5)</f>
        <v/>
      </c>
      <c r="K5" s="7">
        <f>IF(AND(H5=100,Q5=1,P5=TRUE),G5,"")</f>
        <v/>
      </c>
      <c r="L5" s="3">
        <f>IF(R5&gt;0,"QA_FAIL",IF(K5="","QA_INCOMPLETE",IF(K5&lt;70,"QA_FAIL",IF(OR(K5&lt;85,S5&gt;0),"QA_REVISE","QA_PASS"))))</f>
        <v/>
      </c>
      <c r="M5" s="3" t="inlineStr">
        <is>
          <t>SERP_ONLY</t>
        </is>
      </c>
      <c r="N5" s="3" t="n">
        <v>7</v>
      </c>
      <c r="O5" s="3" t="n">
        <v>7</v>
      </c>
      <c r="P5" s="3" t="b">
        <v>1</v>
      </c>
      <c r="Q5" s="8" t="n">
        <v>1</v>
      </c>
      <c r="R5" s="3">
        <f>COUNTIFS('QA_Issues'!$B$2:$B$83,B5,'QA_Issues'!$D$2:$D$83,"CRITICAL")</f>
        <v/>
      </c>
      <c r="S5" s="3">
        <f>COUNTIFS('QA_Issues'!$B$2:$B$83,B5,'QA_Issues'!$D$2:$D$83,"MAJOR")</f>
        <v/>
      </c>
      <c r="T5" s="3">
        <f>COUNTIFS('QA_Issues'!$B$2:$B$83,B5,'QA_Issues'!$D$2:$D$83,"MINOR")</f>
        <v/>
      </c>
      <c r="U5" s="3">
        <f>COUNTIFS('QA_Issues'!$B$2:$B$83,B5,'QA_Issues'!$D$2:$D$83,"LIMITATION")</f>
        <v/>
      </c>
      <c r="V5" s="3" t="inlineStr">
        <is>
          <t>ISSUE-0028; ISSUE-0029; ISSUE-0030; ISSUE-0031; ISSUE-0032; ISSUE-0033; ISSUE-0034; ISSUE-0035; ISSUE-0036</t>
        </is>
      </c>
      <c r="W5" s="3" t="inlineStr">
        <is>
          <t>evidence_batch_013_124; live_source_comparison; customizer_audit; serp_evidence</t>
        </is>
      </c>
    </row>
    <row r="6" ht="42" customHeight="1">
      <c r="A6" s="2" t="n">
        <v>125</v>
      </c>
      <c r="B6" s="2" t="inlineStr">
        <is>
          <t>jeminise.com+custom-trucking-semi-truck-under-starry-night-sky-comforter-6bbe1b0cd5-6bbe1b0cd5</t>
        </is>
      </c>
      <c r="C6" s="4" t="inlineStr">
        <is>
          <t>https://jeminise.com/products/custom-trucking-semi-truck-under-starry-night-sky-comforter-6bbe1b0cd5-6bbe1b0cd5</t>
        </is>
      </c>
      <c r="D6" s="2" t="inlineStr">
        <is>
          <t>custom-trucking-semi-truck-under-starry-night-sky-comforter-6bbe1b0cd5-6bbe1b0cd5</t>
        </is>
      </c>
      <c r="E6" s="2" t="inlineStr">
        <is>
          <t>8835550511303</t>
        </is>
      </c>
      <c r="F6" s="2" t="inlineStr">
        <is>
          <t>r1</t>
        </is>
      </c>
      <c r="G6" s="5">
        <f>SUMIF('QA_Criteria'!$A$2:$A$111,B6,'QA_Criteria'!$F$2:$F$111)</f>
        <v/>
      </c>
      <c r="H6" s="5">
        <f>SUMIF('QA_Criteria'!$A$2:$A$111,B6,'QA_Criteria'!$G$2:$G$111)</f>
        <v/>
      </c>
      <c r="I6" s="5">
        <f>G6</f>
        <v/>
      </c>
      <c r="J6" s="5">
        <f>G6+(100-H6)</f>
        <v/>
      </c>
      <c r="K6" s="5">
        <f>IF(AND(H6=100,Q6=1,P6=TRUE),G6,"")</f>
        <v/>
      </c>
      <c r="L6" s="2">
        <f>IF(R6&gt;0,"QA_FAIL",IF(K6="","QA_INCOMPLETE",IF(K6&lt;70,"QA_FAIL",IF(OR(K6&lt;85,S6&gt;0),"QA_REVISE","QA_PASS"))))</f>
        <v/>
      </c>
      <c r="M6" s="2" t="inlineStr">
        <is>
          <t>SERP_ONLY</t>
        </is>
      </c>
      <c r="N6" s="2" t="n">
        <v>7</v>
      </c>
      <c r="O6" s="2" t="n">
        <v>7</v>
      </c>
      <c r="P6" s="2" t="b">
        <v>1</v>
      </c>
      <c r="Q6" s="6" t="n">
        <v>1</v>
      </c>
      <c r="R6" s="2">
        <f>COUNTIFS('QA_Issues'!$B$2:$B$83,B6,'QA_Issues'!$D$2:$D$83,"CRITICAL")</f>
        <v/>
      </c>
      <c r="S6" s="2">
        <f>COUNTIFS('QA_Issues'!$B$2:$B$83,B6,'QA_Issues'!$D$2:$D$83,"MAJOR")</f>
        <v/>
      </c>
      <c r="T6" s="2">
        <f>COUNTIFS('QA_Issues'!$B$2:$B$83,B6,'QA_Issues'!$D$2:$D$83,"MINOR")</f>
        <v/>
      </c>
      <c r="U6" s="2">
        <f>COUNTIFS('QA_Issues'!$B$2:$B$83,B6,'QA_Issues'!$D$2:$D$83,"LIMITATION")</f>
        <v/>
      </c>
      <c r="V6" s="2" t="inlineStr">
        <is>
          <t>ISSUE-0037; ISSUE-0038; ISSUE-0039; ISSUE-0040; ISSUE-0041; ISSUE-0042; ISSUE-0043; ISSUE-0044; ISSUE-0045</t>
        </is>
      </c>
      <c r="W6" s="2" t="inlineStr">
        <is>
          <t>evidence_batch_013_125; live_source_comparison; customizer_audit; serp_evidence</t>
        </is>
      </c>
    </row>
    <row r="7" ht="42" customHeight="1">
      <c r="A7" s="3" t="n">
        <v>126</v>
      </c>
      <c r="B7" s="3" t="inlineStr">
        <is>
          <t>jeminise.com+cardinal-christmas-quilt-set-7237701d00-7237701d00</t>
        </is>
      </c>
      <c r="C7" s="4" t="inlineStr">
        <is>
          <t>https://jeminise.com/products/cardinal-christmas-quilt-set-7237701d00-7237701d00</t>
        </is>
      </c>
      <c r="D7" s="3" t="inlineStr">
        <is>
          <t>cardinal-christmas-quilt-set-7237701d00-7237701d00</t>
        </is>
      </c>
      <c r="E7" s="3" t="inlineStr">
        <is>
          <t>8834711421127</t>
        </is>
      </c>
      <c r="F7" s="3" t="inlineStr">
        <is>
          <t>r1</t>
        </is>
      </c>
      <c r="G7" s="7">
        <f>SUMIF('QA_Criteria'!$A$2:$A$111,B7,'QA_Criteria'!$F$2:$F$111)</f>
        <v/>
      </c>
      <c r="H7" s="7">
        <f>SUMIF('QA_Criteria'!$A$2:$A$111,B7,'QA_Criteria'!$G$2:$G$111)</f>
        <v/>
      </c>
      <c r="I7" s="7">
        <f>G7</f>
        <v/>
      </c>
      <c r="J7" s="7">
        <f>G7+(100-H7)</f>
        <v/>
      </c>
      <c r="K7" s="7">
        <f>IF(AND(H7=100,Q7=1,P7=TRUE),G7,"")</f>
        <v/>
      </c>
      <c r="L7" s="3">
        <f>IF(R7&gt;0,"QA_FAIL",IF(K7="","QA_INCOMPLETE",IF(K7&lt;70,"QA_FAIL",IF(OR(K7&lt;85,S7&gt;0),"QA_REVISE","QA_PASS"))))</f>
        <v/>
      </c>
      <c r="M7" s="3" t="inlineStr">
        <is>
          <t>SERP_ONLY</t>
        </is>
      </c>
      <c r="N7" s="3" t="n">
        <v>7</v>
      </c>
      <c r="O7" s="3" t="n">
        <v>7</v>
      </c>
      <c r="P7" s="3" t="b">
        <v>1</v>
      </c>
      <c r="Q7" s="8" t="n">
        <v>1</v>
      </c>
      <c r="R7" s="3">
        <f>COUNTIFS('QA_Issues'!$B$2:$B$83,B7,'QA_Issues'!$D$2:$D$83,"CRITICAL")</f>
        <v/>
      </c>
      <c r="S7" s="3">
        <f>COUNTIFS('QA_Issues'!$B$2:$B$83,B7,'QA_Issues'!$D$2:$D$83,"MAJOR")</f>
        <v/>
      </c>
      <c r="T7" s="3">
        <f>COUNTIFS('QA_Issues'!$B$2:$B$83,B7,'QA_Issues'!$D$2:$D$83,"MINOR")</f>
        <v/>
      </c>
      <c r="U7" s="3">
        <f>COUNTIFS('QA_Issues'!$B$2:$B$83,B7,'QA_Issues'!$D$2:$D$83,"LIMITATION")</f>
        <v/>
      </c>
      <c r="V7" s="3" t="inlineStr">
        <is>
          <t>ISSUE-0046; ISSUE-0047; ISSUE-0048; ISSUE-0049; ISSUE-0050; ISSUE-0051; ISSUE-0052; ISSUE-0053</t>
        </is>
      </c>
      <c r="W7" s="3" t="inlineStr">
        <is>
          <t>evidence_batch_013_126; live_source_comparison; customizer_audit; serp_evidence</t>
        </is>
      </c>
    </row>
    <row r="8" ht="42" customHeight="1">
      <c r="A8" s="2" t="n">
        <v>127</v>
      </c>
      <c r="B8" s="2" t="inlineStr">
        <is>
          <t>jeminise.com+custom-wildlife-wolf-head-close-up-portrait-comforter-3233b9edb7-3233b9edb7</t>
        </is>
      </c>
      <c r="C8" s="4" t="inlineStr">
        <is>
          <t>https://jeminise.com/products/custom-wildlife-wolf-head-close-up-portrait-comforter-3233b9edb7-3233b9edb7</t>
        </is>
      </c>
      <c r="D8" s="2" t="inlineStr">
        <is>
          <t>custom-wildlife-wolf-head-close-up-portrait-comforter-3233b9edb7-3233b9edb7</t>
        </is>
      </c>
      <c r="E8" s="2" t="inlineStr">
        <is>
          <t>8837116854471</t>
        </is>
      </c>
      <c r="F8" s="2" t="inlineStr">
        <is>
          <t>r1</t>
        </is>
      </c>
      <c r="G8" s="5">
        <f>SUMIF('QA_Criteria'!$A$2:$A$111,B8,'QA_Criteria'!$F$2:$F$111)</f>
        <v/>
      </c>
      <c r="H8" s="5">
        <f>SUMIF('QA_Criteria'!$A$2:$A$111,B8,'QA_Criteria'!$G$2:$G$111)</f>
        <v/>
      </c>
      <c r="I8" s="5">
        <f>G8</f>
        <v/>
      </c>
      <c r="J8" s="5">
        <f>G8+(100-H8)</f>
        <v/>
      </c>
      <c r="K8" s="5">
        <f>IF(AND(H8=100,Q8=1,P8=TRUE),G8,"")</f>
        <v/>
      </c>
      <c r="L8" s="2">
        <f>IF(R8&gt;0,"QA_FAIL",IF(K8="","QA_INCOMPLETE",IF(K8&lt;70,"QA_FAIL",IF(OR(K8&lt;85,S8&gt;0),"QA_REVISE","QA_PASS"))))</f>
        <v/>
      </c>
      <c r="M8" s="2" t="inlineStr">
        <is>
          <t>SERP_ONLY</t>
        </is>
      </c>
      <c r="N8" s="2" t="n">
        <v>5</v>
      </c>
      <c r="O8" s="2" t="n">
        <v>5</v>
      </c>
      <c r="P8" s="2" t="b">
        <v>1</v>
      </c>
      <c r="Q8" s="6" t="n">
        <v>1</v>
      </c>
      <c r="R8" s="2">
        <f>COUNTIFS('QA_Issues'!$B$2:$B$83,B8,'QA_Issues'!$D$2:$D$83,"CRITICAL")</f>
        <v/>
      </c>
      <c r="S8" s="2">
        <f>COUNTIFS('QA_Issues'!$B$2:$B$83,B8,'QA_Issues'!$D$2:$D$83,"MAJOR")</f>
        <v/>
      </c>
      <c r="T8" s="2">
        <f>COUNTIFS('QA_Issues'!$B$2:$B$83,B8,'QA_Issues'!$D$2:$D$83,"MINOR")</f>
        <v/>
      </c>
      <c r="U8" s="2">
        <f>COUNTIFS('QA_Issues'!$B$2:$B$83,B8,'QA_Issues'!$D$2:$D$83,"LIMITATION")</f>
        <v/>
      </c>
      <c r="V8" s="2" t="inlineStr">
        <is>
          <t>ISSUE-0054; ISSUE-0055; ISSUE-0056; ISSUE-0057; ISSUE-0058; ISSUE-0059; ISSUE-0060</t>
        </is>
      </c>
      <c r="W8" s="2" t="inlineStr">
        <is>
          <t>evidence_batch_013_127; live_source_comparison; customizer_audit; serp_evidence</t>
        </is>
      </c>
    </row>
    <row r="9" ht="42" customHeight="1">
      <c r="A9" s="3" t="n">
        <v>128</v>
      </c>
      <c r="B9" s="3" t="inlineStr">
        <is>
          <t>jeminise.com+custom-wildlife-wolf-head-close-up-with-geometric-comforter-f005bbb79d-f005bbb79d</t>
        </is>
      </c>
      <c r="C9" s="4" t="inlineStr">
        <is>
          <t>https://jeminise.com/products/custom-wildlife-wolf-head-close-up-with-geometric-comforter-f005bbb79d-f005bbb79d</t>
        </is>
      </c>
      <c r="D9" s="3" t="inlineStr">
        <is>
          <t>custom-wildlife-wolf-head-close-up-with-geometric-comforter-f005bbb79d-f005bbb79d</t>
        </is>
      </c>
      <c r="E9" s="3" t="inlineStr">
        <is>
          <t>8837129535687</t>
        </is>
      </c>
      <c r="F9" s="3" t="inlineStr">
        <is>
          <t>r1</t>
        </is>
      </c>
      <c r="G9" s="7">
        <f>SUMIF('QA_Criteria'!$A$2:$A$111,B9,'QA_Criteria'!$F$2:$F$111)</f>
        <v/>
      </c>
      <c r="H9" s="7">
        <f>SUMIF('QA_Criteria'!$A$2:$A$111,B9,'QA_Criteria'!$G$2:$G$111)</f>
        <v/>
      </c>
      <c r="I9" s="7">
        <f>G9</f>
        <v/>
      </c>
      <c r="J9" s="7">
        <f>G9+(100-H9)</f>
        <v/>
      </c>
      <c r="K9" s="7">
        <f>IF(AND(H9=100,Q9=1,P9=TRUE),G9,"")</f>
        <v/>
      </c>
      <c r="L9" s="3">
        <f>IF(R9&gt;0,"QA_FAIL",IF(K9="","QA_INCOMPLETE",IF(K9&lt;70,"QA_FAIL",IF(OR(K9&lt;85,S9&gt;0),"QA_REVISE","QA_PASS"))))</f>
        <v/>
      </c>
      <c r="M9" s="3" t="inlineStr">
        <is>
          <t>SERP_ONLY</t>
        </is>
      </c>
      <c r="N9" s="3" t="n">
        <v>5</v>
      </c>
      <c r="O9" s="3" t="n">
        <v>5</v>
      </c>
      <c r="P9" s="3" t="b">
        <v>1</v>
      </c>
      <c r="Q9" s="8" t="n">
        <v>1</v>
      </c>
      <c r="R9" s="3">
        <f>COUNTIFS('QA_Issues'!$B$2:$B$83,B9,'QA_Issues'!$D$2:$D$83,"CRITICAL")</f>
        <v/>
      </c>
      <c r="S9" s="3">
        <f>COUNTIFS('QA_Issues'!$B$2:$B$83,B9,'QA_Issues'!$D$2:$D$83,"MAJOR")</f>
        <v/>
      </c>
      <c r="T9" s="3">
        <f>COUNTIFS('QA_Issues'!$B$2:$B$83,B9,'QA_Issues'!$D$2:$D$83,"MINOR")</f>
        <v/>
      </c>
      <c r="U9" s="3">
        <f>COUNTIFS('QA_Issues'!$B$2:$B$83,B9,'QA_Issues'!$D$2:$D$83,"LIMITATION")</f>
        <v/>
      </c>
      <c r="V9" s="3" t="inlineStr">
        <is>
          <t>ISSUE-0061; ISSUE-0062; ISSUE-0063; ISSUE-0064; ISSUE-0065; ISSUE-0066; ISSUE-0067; ISSUE-0068</t>
        </is>
      </c>
      <c r="W9" s="3" t="inlineStr">
        <is>
          <t>evidence_batch_013_128; live_source_comparison; customizer_audit; serp_evidence</t>
        </is>
      </c>
    </row>
    <row r="10" ht="42" customHeight="1">
      <c r="A10" s="2" t="n">
        <v>129</v>
      </c>
      <c r="B10" s="2" t="inlineStr">
        <is>
          <t>jeminise.com+custom-wildlife-wolf-head-with-feathers-in-profile-comforter-0b1ab59a17-0b1ab59a17</t>
        </is>
      </c>
      <c r="C10" s="4" t="inlineStr">
        <is>
          <t>https://jeminise.com/products/custom-wildlife-wolf-head-with-feathers-in-profile-comforter-0b1ab59a17-0b1ab59a17</t>
        </is>
      </c>
      <c r="D10" s="2" t="inlineStr">
        <is>
          <t>custom-wildlife-wolf-head-with-feathers-in-profile-comforter-0b1ab59a17-0b1ab59a17</t>
        </is>
      </c>
      <c r="E10" s="2" t="inlineStr">
        <is>
          <t>8837134844103</t>
        </is>
      </c>
      <c r="F10" s="2" t="inlineStr">
        <is>
          <t>r1</t>
        </is>
      </c>
      <c r="G10" s="5">
        <f>SUMIF('QA_Criteria'!$A$2:$A$111,B10,'QA_Criteria'!$F$2:$F$111)</f>
        <v/>
      </c>
      <c r="H10" s="5">
        <f>SUMIF('QA_Criteria'!$A$2:$A$111,B10,'QA_Criteria'!$G$2:$G$111)</f>
        <v/>
      </c>
      <c r="I10" s="5">
        <f>G10</f>
        <v/>
      </c>
      <c r="J10" s="5">
        <f>G10+(100-H10)</f>
        <v/>
      </c>
      <c r="K10" s="5">
        <f>IF(AND(H10=100,Q10=1,P10=TRUE),G10,"")</f>
        <v/>
      </c>
      <c r="L10" s="2">
        <f>IF(R10&gt;0,"QA_FAIL",IF(K10="","QA_INCOMPLETE",IF(K10&lt;70,"QA_FAIL",IF(OR(K10&lt;85,S10&gt;0),"QA_REVISE","QA_PASS"))))</f>
        <v/>
      </c>
      <c r="M10" s="2" t="inlineStr">
        <is>
          <t>SERP_ONLY</t>
        </is>
      </c>
      <c r="N10" s="2" t="n">
        <v>5</v>
      </c>
      <c r="O10" s="2" t="n">
        <v>5</v>
      </c>
      <c r="P10" s="2" t="b">
        <v>1</v>
      </c>
      <c r="Q10" s="6" t="n">
        <v>1</v>
      </c>
      <c r="R10" s="2">
        <f>COUNTIFS('QA_Issues'!$B$2:$B$83,B10,'QA_Issues'!$D$2:$D$83,"CRITICAL")</f>
        <v/>
      </c>
      <c r="S10" s="2">
        <f>COUNTIFS('QA_Issues'!$B$2:$B$83,B10,'QA_Issues'!$D$2:$D$83,"MAJOR")</f>
        <v/>
      </c>
      <c r="T10" s="2">
        <f>COUNTIFS('QA_Issues'!$B$2:$B$83,B10,'QA_Issues'!$D$2:$D$83,"MINOR")</f>
        <v/>
      </c>
      <c r="U10" s="2">
        <f>COUNTIFS('QA_Issues'!$B$2:$B$83,B10,'QA_Issues'!$D$2:$D$83,"LIMITATION")</f>
        <v/>
      </c>
      <c r="V10" s="2" t="inlineStr">
        <is>
          <t>ISSUE-0069; ISSUE-0070; ISSUE-0071; ISSUE-0072; ISSUE-0073; ISSUE-0074; ISSUE-0075</t>
        </is>
      </c>
      <c r="W10" s="2" t="inlineStr">
        <is>
          <t>evidence_batch_013_129; live_source_comparison; customizer_audit; serp_evidence</t>
        </is>
      </c>
    </row>
    <row r="11" ht="42" customHeight="1">
      <c r="A11" s="3" t="n">
        <v>130</v>
      </c>
      <c r="B11" s="3" t="inlineStr">
        <is>
          <t>jeminise.com+custom-wolf-head-centered-in-dreamcatcher-comforter-be6b37a3e1-be6b37a3e1</t>
        </is>
      </c>
      <c r="C11" s="4" t="inlineStr">
        <is>
          <t>https://jeminise.com/products/custom-wolf-head-centered-in-dreamcatcher-comforter-be6b37a3e1-be6b37a3e1</t>
        </is>
      </c>
      <c r="D11" s="3" t="inlineStr">
        <is>
          <t>custom-wolf-head-centered-in-dreamcatcher-comforter-be6b37a3e1-be6b37a3e1</t>
        </is>
      </c>
      <c r="E11" s="3" t="inlineStr">
        <is>
          <t>8837122195655</t>
        </is>
      </c>
      <c r="F11" s="3" t="inlineStr">
        <is>
          <t>r1</t>
        </is>
      </c>
      <c r="G11" s="7">
        <f>SUMIF('QA_Criteria'!$A$2:$A$111,B11,'QA_Criteria'!$F$2:$F$111)</f>
        <v/>
      </c>
      <c r="H11" s="7">
        <f>SUMIF('QA_Criteria'!$A$2:$A$111,B11,'QA_Criteria'!$G$2:$G$111)</f>
        <v/>
      </c>
      <c r="I11" s="7">
        <f>G11</f>
        <v/>
      </c>
      <c r="J11" s="7">
        <f>G11+(100-H11)</f>
        <v/>
      </c>
      <c r="K11" s="7">
        <f>IF(AND(H11=100,Q11=1,P11=TRUE),G11,"")</f>
        <v/>
      </c>
      <c r="L11" s="3">
        <f>IF(R11&gt;0,"QA_FAIL",IF(K11="","QA_INCOMPLETE",IF(K11&lt;70,"QA_FAIL",IF(OR(K11&lt;85,S11&gt;0),"QA_REVISE","QA_PASS"))))</f>
        <v/>
      </c>
      <c r="M11" s="3" t="inlineStr">
        <is>
          <t>SERP_ONLY</t>
        </is>
      </c>
      <c r="N11" s="3" t="n">
        <v>5</v>
      </c>
      <c r="O11" s="3" t="n">
        <v>5</v>
      </c>
      <c r="P11" s="3" t="b">
        <v>1</v>
      </c>
      <c r="Q11" s="8" t="n">
        <v>1</v>
      </c>
      <c r="R11" s="3">
        <f>COUNTIFS('QA_Issues'!$B$2:$B$83,B11,'QA_Issues'!$D$2:$D$83,"CRITICAL")</f>
        <v/>
      </c>
      <c r="S11" s="3">
        <f>COUNTIFS('QA_Issues'!$B$2:$B$83,B11,'QA_Issues'!$D$2:$D$83,"MAJOR")</f>
        <v/>
      </c>
      <c r="T11" s="3">
        <f>COUNTIFS('QA_Issues'!$B$2:$B$83,B11,'QA_Issues'!$D$2:$D$83,"MINOR")</f>
        <v/>
      </c>
      <c r="U11" s="3">
        <f>COUNTIFS('QA_Issues'!$B$2:$B$83,B11,'QA_Issues'!$D$2:$D$83,"LIMITATION")</f>
        <v/>
      </c>
      <c r="V11" s="3" t="inlineStr">
        <is>
          <t>ISSUE-0076; ISSUE-0077; ISSUE-0078; ISSUE-0079; ISSUE-0080; ISSUE-0081; ISSUE-0082</t>
        </is>
      </c>
      <c r="W11" s="3" t="inlineStr">
        <is>
          <t>evidence_batch_013_130; live_source_comparison; customizer_audit; serp_evidence</t>
        </is>
      </c>
    </row>
  </sheetData>
  <autoFilter ref="A1:W11"/>
  <conditionalFormatting sqref="L2:L11">
    <cfRule type="expression" priority="1" dxfId="0">
      <formula>L2="QA_PASS"</formula>
    </cfRule>
    <cfRule type="expression" priority="2" dxfId="1">
      <formula>L2="QA_REVISE"</formula>
    </cfRule>
    <cfRule type="expression" priority="3" dxfId="2">
      <formula>L2="QA_FAIL"</formula>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s>
  <printOptions horizontalCentered="0"/>
  <pageMargins left="0.25" right="0.25" top="0.5" bottom="0.5" header="0.5" footer="0.5"/>
  <pageSetup orientation="landscape" fitToHeight="0" fitToWidth="2"/>
</worksheet>
</file>

<file path=xl/worksheets/sheet3.xml><?xml version="1.0" encoding="utf-8"?>
<worksheet xmlns="http://schemas.openxmlformats.org/spreadsheetml/2006/main">
  <sheetPr>
    <outlinePr summaryBelow="1" summaryRight="1"/>
    <pageSetUpPr fitToPage="1"/>
  </sheetPr>
  <dimension ref="A1:J111"/>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11" customWidth="1" min="3" max="3"/>
    <col width="12" customWidth="1" min="4" max="4"/>
    <col width="24" customWidth="1" min="5" max="5"/>
    <col width="23" customWidth="1" min="6" max="6"/>
    <col width="24" customWidth="1" min="7" max="7"/>
    <col width="42" customWidth="1" min="8" max="8"/>
    <col width="42" customWidth="1" min="9" max="9"/>
    <col width="42" customWidth="1" min="10" max="10"/>
  </cols>
  <sheetData>
    <row r="1" ht="32" customHeight="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ht="42" customHeight="1">
      <c r="A2" s="2" t="inlineStr">
        <is>
          <t>jeminise.com+custom-trucking-semi-truck-breaking-through-stone-wall-vintage-comforter-28a367022b-28a367022b</t>
        </is>
      </c>
      <c r="B2" s="2" t="inlineStr">
        <is>
          <t>P1</t>
        </is>
      </c>
      <c r="C2" s="2" t="n">
        <v>15</v>
      </c>
      <c r="D2" s="2" t="inlineStr">
        <is>
          <t>FULL</t>
        </is>
      </c>
      <c r="E2" s="5">
        <f>IF(B2="I1",AVERAGEIF('QA_Images'!$A$2:$A$63,A2,'QA_Images'!$T$2:$T$63)/100,IF(D2="FULL",1,IF(D2="PARTIAL",0.5,IF(D2="FAIL",0,""))))</f>
        <v/>
      </c>
      <c r="F2" s="5">
        <f>IF(E2="",0,C2*E2)</f>
        <v/>
      </c>
      <c r="G2" s="5">
        <f>IF(B2="I1",20*AVERAGEIF('QA_Images'!$A$2:$A$63,A2,'QA_Images'!$U$2:$U$63)/100,IF(D2="NOT_CHECKED",0,C2))</f>
        <v/>
      </c>
      <c r="H2" s="2" t="inlineStr">
        <is>
          <t>Product identity, handle, product ID, URL and canonical match source/live evidence. Product key/handle/product ID/canonical checked against frozen workbook and live product evidence.</t>
        </is>
      </c>
      <c r="I2" s="2" t="inlineStr">
        <is>
          <t>evidence_batch_013_121</t>
        </is>
      </c>
      <c r="J2" s="2" t="inlineStr">
        <is>
          <t>ISSUE-0001; ISSUE-0002; ISSUE-0003; ISSUE-0004</t>
        </is>
      </c>
    </row>
    <row r="3" ht="42" customHeight="1">
      <c r="A3" s="3" t="inlineStr">
        <is>
          <t>jeminise.com+custom-trucking-semi-truck-breaking-through-stone-wall-vintage-comforter-28a367022b-28a367022b</t>
        </is>
      </c>
      <c r="B3" s="3" t="inlineStr">
        <is>
          <t>P2</t>
        </is>
      </c>
      <c r="C3" s="3" t="n">
        <v>10</v>
      </c>
      <c r="D3" s="3" t="inlineStr">
        <is>
          <t>PARTIAL</t>
        </is>
      </c>
      <c r="E3" s="7">
        <f>IF(B3="I1",AVERAGEIF('QA_Images'!$A$2:$A$63,A3,'QA_Images'!$T$2:$T$63)/100,IF(D3="FULL",1,IF(D3="PARTIAL",0.5,IF(D3="FAIL",0,""))))</f>
        <v/>
      </c>
      <c r="F3" s="7">
        <f>IF(E3="",0,C3*E3)</f>
        <v/>
      </c>
      <c r="G3" s="7">
        <f>IF(B3="I1",20*AVERAGEIF('QA_Images'!$A$2:$A$63,A3,'QA_Images'!$U$2:$U$63)/100,IF(D3="NOT_CHECKED",0,C3))</f>
        <v/>
      </c>
      <c r="H3" s="3" t="inlineStr">
        <is>
          <t>Source product facts, variants, specifications and personalization claims are evidence-backed. Personalization/specification claims checked against storefront product.js and static customizer config.</t>
        </is>
      </c>
      <c r="I3" s="3" t="inlineStr">
        <is>
          <t>evidence_batch_013_121</t>
        </is>
      </c>
      <c r="J3" s="3" t="inlineStr">
        <is>
          <t>ISSUE-0001; ISSUE-0002; ISSUE-0003; ISSUE-0004</t>
        </is>
      </c>
    </row>
    <row r="4" ht="42" customHeight="1">
      <c r="A4" s="2" t="inlineStr">
        <is>
          <t>jeminise.com+custom-trucking-semi-truck-breaking-through-stone-wall-vintage-comforter-28a367022b-28a367022b</t>
        </is>
      </c>
      <c r="B4" s="2" t="inlineStr">
        <is>
          <t>K1</t>
        </is>
      </c>
      <c r="C4" s="2" t="n">
        <v>10</v>
      </c>
      <c r="D4" s="2" t="inlineStr">
        <is>
          <t>PARTIAL</t>
        </is>
      </c>
      <c r="E4" s="5">
        <f>IF(B4="I1",AVERAGEIF('QA_Images'!$A$2:$A$63,A4,'QA_Images'!$T$2:$T$63)/100,IF(D4="FULL",1,IF(D4="PARTIAL",0.5,IF(D4="FAIL",0,""))))</f>
        <v/>
      </c>
      <c r="F4" s="5">
        <f>IF(E4="",0,C4*E4)</f>
        <v/>
      </c>
      <c r="G4" s="5">
        <f>IF(B4="I1",20*AVERAGEIF('QA_Images'!$A$2:$A$63,A4,'QA_Images'!$U$2:$U$63)/100,IF(D4="NOT_CHECKED",0,C4))</f>
        <v/>
      </c>
      <c r="H4" s="2" t="inlineStr">
        <is>
          <t>Primary keyword aligns with product-level US purchase intent. Primary keyword rechecked against US product-level SERP comparables.</t>
        </is>
      </c>
      <c r="I4" s="2" t="inlineStr">
        <is>
          <t>evidence_batch_013_121</t>
        </is>
      </c>
      <c r="J4" s="2" t="inlineStr">
        <is>
          <t>ISSUE-0001; ISSUE-0002; ISSUE-0003; ISSUE-0004</t>
        </is>
      </c>
    </row>
    <row r="5" ht="42" customHeight="1">
      <c r="A5" s="3" t="inlineStr">
        <is>
          <t>jeminise.com+custom-trucking-semi-truck-breaking-through-stone-wall-vintage-comforter-28a367022b-28a367022b</t>
        </is>
      </c>
      <c r="B5" s="3" t="inlineStr">
        <is>
          <t>K2</t>
        </is>
      </c>
      <c r="C5" s="3" t="n">
        <v>5</v>
      </c>
      <c r="D5" s="3" t="inlineStr">
        <is>
          <t>PARTIAL</t>
        </is>
      </c>
      <c r="E5" s="7">
        <f>IF(B5="I1",AVERAGEIF('QA_Images'!$A$2:$A$63,A5,'QA_Images'!$T$2:$T$63)/100,IF(D5="FULL",1,IF(D5="PARTIAL",0.5,IF(D5="FAIL",0,""))))</f>
        <v/>
      </c>
      <c r="F5" s="7">
        <f>IF(E5="",0,C5*E5)</f>
        <v/>
      </c>
      <c r="G5" s="7">
        <f>IF(B5="I1",20*AVERAGEIF('QA_Images'!$A$2:$A$63,A5,'QA_Images'!$U$2:$U$63)/100,IF(D5="NOT_CHECKED",0,C5))</f>
        <v/>
      </c>
      <c r="H5" s="3" t="inlineStr">
        <is>
          <t>Intent/cannibalization check distinguishes nearby products. Nearby product cluster has overlap risk, so intent distinction remains only partial.</t>
        </is>
      </c>
      <c r="I5" s="3" t="inlineStr">
        <is>
          <t>evidence_batch_013_121</t>
        </is>
      </c>
      <c r="J5" s="3" t="inlineStr">
        <is>
          <t>ISSUE-0001; ISSUE-0002; ISSUE-0003; ISSUE-0004</t>
        </is>
      </c>
    </row>
    <row r="6" ht="42" customHeight="1">
      <c r="A6" s="2" t="inlineStr">
        <is>
          <t>jeminise.com+custom-trucking-semi-truck-breaking-through-stone-wall-vintage-comforter-28a367022b-28a367022b</t>
        </is>
      </c>
      <c r="B6" s="2" t="inlineStr">
        <is>
          <t>K3</t>
        </is>
      </c>
      <c r="C6" s="2" t="n">
        <v>5</v>
      </c>
      <c r="D6" s="2" t="inlineStr">
        <is>
          <t>PARTIAL</t>
        </is>
      </c>
      <c r="E6" s="5">
        <f>IF(B6="I1",AVERAGEIF('QA_Images'!$A$2:$A$63,A6,'QA_Images'!$T$2:$T$63)/100,IF(D6="FULL",1,IF(D6="PARTIAL",0.5,IF(D6="FAIL",0,""))))</f>
        <v/>
      </c>
      <c r="F6" s="5">
        <f>IF(E6="",0,C6*E6)</f>
        <v/>
      </c>
      <c r="G6" s="5">
        <f>IF(B6="I1",20*AVERAGEIF('QA_Images'!$A$2:$A$63,A6,'QA_Images'!$U$2:$U$63)/100,IF(D6="NOT_CHECKED",0,C6))</f>
        <v/>
      </c>
      <c r="H6" s="2" t="inlineStr">
        <is>
          <t>Keyword evidence is supported by SERP comparables without unsupported volume claims. Evidence is public SERP only; no Search Console, keyword volume or customer-search corpus provided.</t>
        </is>
      </c>
      <c r="I6" s="2" t="inlineStr">
        <is>
          <t>evidence_batch_013_121</t>
        </is>
      </c>
      <c r="J6" s="2" t="inlineStr">
        <is>
          <t>ISSUE-0001; ISSUE-0002; ISSUE-0003; ISSUE-0004</t>
        </is>
      </c>
    </row>
    <row r="7" ht="42" customHeight="1">
      <c r="A7" s="3" t="inlineStr">
        <is>
          <t>jeminise.com+custom-trucking-semi-truck-breaking-through-stone-wall-vintage-comforter-28a367022b-28a367022b</t>
        </is>
      </c>
      <c r="B7" s="3" t="inlineStr">
        <is>
          <t>T1</t>
        </is>
      </c>
      <c r="C7" s="3" t="n">
        <v>10</v>
      </c>
      <c r="D7" s="3" t="inlineStr">
        <is>
          <t>FULL</t>
        </is>
      </c>
      <c r="E7" s="7">
        <f>IF(B7="I1",AVERAGEIF('QA_Images'!$A$2:$A$63,A7,'QA_Images'!$T$2:$T$63)/100,IF(D7="FULL",1,IF(D7="PARTIAL",0.5,IF(D7="FAIL",0,""))))</f>
        <v/>
      </c>
      <c r="F7" s="7">
        <f>IF(E7="",0,C7*E7)</f>
        <v/>
      </c>
      <c r="G7" s="7">
        <f>IF(B7="I1",20*AVERAGEIF('QA_Images'!$A$2:$A$63,A7,'QA_Images'!$U$2:$U$63)/100,IF(D7="NOT_CHECKED",0,C7))</f>
        <v/>
      </c>
      <c r="H7" s="3" t="inlineStr">
        <is>
          <t>SEO title and H1 are relevant, specific and grounded in visible/source facts. Title/H1 are product-specific and tied to visible motif/product type.</t>
        </is>
      </c>
      <c r="I7" s="3" t="inlineStr">
        <is>
          <t>evidence_batch_013_121</t>
        </is>
      </c>
      <c r="J7" s="3" t="inlineStr">
        <is>
          <t>ISSUE-0001; ISSUE-0002; ISSUE-0003; ISSUE-0004</t>
        </is>
      </c>
    </row>
    <row r="8" ht="42" customHeight="1">
      <c r="A8" s="2" t="inlineStr">
        <is>
          <t>jeminise.com+custom-trucking-semi-truck-breaking-through-stone-wall-vintage-comforter-28a367022b-28a367022b</t>
        </is>
      </c>
      <c r="B8" s="2" t="inlineStr">
        <is>
          <t>T2</t>
        </is>
      </c>
      <c r="C8" s="2" t="n">
        <v>5</v>
      </c>
      <c r="D8" s="2" t="inlineStr">
        <is>
          <t>PARTIAL</t>
        </is>
      </c>
      <c r="E8" s="5">
        <f>IF(B8="I1",AVERAGEIF('QA_Images'!$A$2:$A$63,A8,'QA_Images'!$T$2:$T$63)/100,IF(D8="FULL",1,IF(D8="PARTIAL",0.5,IF(D8="FAIL",0,""))))</f>
        <v/>
      </c>
      <c r="F8" s="5">
        <f>IF(E8="",0,C8*E8)</f>
        <v/>
      </c>
      <c r="G8" s="5">
        <f>IF(B8="I1",20*AVERAGEIF('QA_Images'!$A$2:$A$63,A8,'QA_Images'!$U$2:$U$63)/100,IF(D8="NOT_CHECKED",0,C8))</f>
        <v/>
      </c>
      <c r="H8" s="2" t="inlineStr">
        <is>
          <t>Meta description is concise, publish-ready and avoids unsupported claims. Meta description checked for length, specificity and supportable claims.</t>
        </is>
      </c>
      <c r="I8" s="2" t="inlineStr">
        <is>
          <t>evidence_batch_013_121</t>
        </is>
      </c>
      <c r="J8" s="2" t="inlineStr">
        <is>
          <t>ISSUE-0001; ISSUE-0002; ISSUE-0003; ISSUE-0004</t>
        </is>
      </c>
    </row>
    <row r="9" ht="42" customHeight="1">
      <c r="A9" s="3" t="inlineStr">
        <is>
          <t>jeminise.com+custom-trucking-semi-truck-breaking-through-stone-wall-vintage-comforter-28a367022b-28a367022b</t>
        </is>
      </c>
      <c r="B9" s="3" t="inlineStr">
        <is>
          <t>D1</t>
        </is>
      </c>
      <c r="C9" s="3" t="n">
        <v>10</v>
      </c>
      <c r="D9" s="3" t="inlineStr">
        <is>
          <t>FAIL</t>
        </is>
      </c>
      <c r="E9" s="7">
        <f>IF(B9="I1",AVERAGEIF('QA_Images'!$A$2:$A$63,A9,'QA_Images'!$T$2:$T$63)/100,IF(D9="FULL",1,IF(D9="PARTIAL",0.5,IF(D9="FAIL",0,""))))</f>
        <v/>
      </c>
      <c r="F9" s="7">
        <f>IF(E9="",0,C9*E9)</f>
        <v/>
      </c>
      <c r="G9" s="7">
        <f>IF(B9="I1",20*AVERAGEIF('QA_Images'!$A$2:$A$63,A9,'QA_Images'!$U$2:$U$63)/100,IF(D9="NOT_CHECKED",0,C9))</f>
        <v/>
      </c>
      <c r="H9" s="3" t="inlineStr">
        <is>
          <t>Description HTML is publish-ready and free of internal draft/QA instructions. Description HTML still contains internal QA/import language.</t>
        </is>
      </c>
      <c r="I9" s="3" t="inlineStr">
        <is>
          <t>evidence_batch_013_121</t>
        </is>
      </c>
      <c r="J9" s="3" t="inlineStr">
        <is>
          <t>ISSUE-0001; ISSUE-0002; ISSUE-0003; ISSUE-0004</t>
        </is>
      </c>
    </row>
    <row r="10" ht="42" customHeight="1">
      <c r="A10" s="2" t="inlineStr">
        <is>
          <t>jeminise.com+custom-trucking-semi-truck-breaking-through-stone-wall-vintage-comforter-28a367022b-28a367022b</t>
        </is>
      </c>
      <c r="B10" s="2" t="inlineStr">
        <is>
          <t>D2</t>
        </is>
      </c>
      <c r="C10" s="2" t="n">
        <v>5</v>
      </c>
      <c r="D10" s="2" t="inlineStr">
        <is>
          <t>PARTIAL</t>
        </is>
      </c>
      <c r="E10" s="5">
        <f>IF(B10="I1",AVERAGEIF('QA_Images'!$A$2:$A$63,A10,'QA_Images'!$T$2:$T$63)/100,IF(D10="FULL",1,IF(D10="PARTIAL",0.5,IF(D10="FAIL",0,""))))</f>
        <v/>
      </c>
      <c r="F10" s="5">
        <f>IF(E10="",0,C10*E10)</f>
        <v/>
      </c>
      <c r="G10" s="5">
        <f>IF(B10="I1",20*AVERAGEIF('QA_Images'!$A$2:$A$63,A10,'QA_Images'!$U$2:$U$63)/100,IF(D10="NOT_CHECKED",0,C10))</f>
        <v/>
      </c>
      <c r="H10" s="2" t="inlineStr">
        <is>
          <t>Description content covers verified design, product type, use case and constraints. Description covers motif/product type but remains templated and does not always map every verified constraint.</t>
        </is>
      </c>
      <c r="I10" s="2" t="inlineStr">
        <is>
          <t>evidence_batch_013_121</t>
        </is>
      </c>
      <c r="J10" s="2" t="inlineStr">
        <is>
          <t>ISSUE-0001; ISSUE-0002; ISSUE-0003; ISSUE-0004</t>
        </is>
      </c>
    </row>
    <row r="11" ht="42" customHeight="1">
      <c r="A11" s="3" t="inlineStr">
        <is>
          <t>jeminise.com+custom-trucking-semi-truck-breaking-through-stone-wall-vintage-comforter-28a367022b-28a367022b</t>
        </is>
      </c>
      <c r="B11" s="3" t="inlineStr">
        <is>
          <t>I1</t>
        </is>
      </c>
      <c r="C11" s="3" t="n">
        <v>20</v>
      </c>
      <c r="D11" s="3" t="inlineStr">
        <is>
          <t>FULL</t>
        </is>
      </c>
      <c r="E11" s="7">
        <f>IF(B11="I1",AVERAGEIF('QA_Images'!$A$2:$A$63,A11,'QA_Images'!$T$2:$T$63)/100,IF(D11="FULL",1,IF(D11="PARTIAL",0.5,IF(D11="FAIL",0,""))))</f>
        <v/>
      </c>
      <c r="F11" s="7">
        <f>IF(E11="",0,C11*E11)</f>
        <v/>
      </c>
      <c r="G11" s="7">
        <f>IF(B11="I1",20*AVERAGEIF('QA_Images'!$A$2:$A$63,A11,'QA_Images'!$U$2:$U$63)/100,IF(D11="NOT_CHECKED",0,C11))</f>
        <v/>
      </c>
      <c r="H11" s="3" t="inlineStr">
        <is>
          <t>Image coverage, image observations and alt text quality, derived from QA_Images. Derived from average image QA score; see QA_Images.</t>
        </is>
      </c>
      <c r="I11" s="3" t="inlineStr">
        <is>
          <t>evidence_batch_013_121</t>
        </is>
      </c>
      <c r="J11" s="3" t="inlineStr">
        <is>
          <t>ISSUE-0001; ISSUE-0002; ISSUE-0003; ISSUE-0004</t>
        </is>
      </c>
    </row>
    <row r="12" ht="42" customHeight="1">
      <c r="A12" s="2" t="inlineStr">
        <is>
          <t>jeminise.com+custom-trucking-semi-truck-breaking-through-stone-wall-vintage-comforter-28a367022b-28a367022b</t>
        </is>
      </c>
      <c r="B12" s="2" t="inlineStr">
        <is>
          <t>E1</t>
        </is>
      </c>
      <c r="C12" s="2" t="n">
        <v>5</v>
      </c>
      <c r="D12" s="2" t="inlineStr">
        <is>
          <t>PARTIAL</t>
        </is>
      </c>
      <c r="E12" s="5">
        <f>IF(B12="I1",AVERAGEIF('QA_Images'!$A$2:$A$63,A12,'QA_Images'!$T$2:$T$63)/100,IF(D12="FULL",1,IF(D12="PARTIAL",0.5,IF(D12="FAIL",0,""))))</f>
        <v/>
      </c>
      <c r="F12" s="5">
        <f>IF(E12="",0,C12*E12)</f>
        <v/>
      </c>
      <c r="G12" s="5">
        <f>IF(B12="I1",20*AVERAGEIF('QA_Images'!$A$2:$A$63,A12,'QA_Images'!$U$2:$U$63)/100,IF(D12="NOT_CHECKED",0,C12))</f>
        <v/>
      </c>
      <c r="H12" s="2" t="inlineStr">
        <is>
          <t>Evidence chain is traceable and limitations are explicitly separated from failures. Evidence chain is traceable, with admin-export limitation explicitly separated.</t>
        </is>
      </c>
      <c r="I12" s="2" t="inlineStr">
        <is>
          <t>evidence_batch_013_121</t>
        </is>
      </c>
      <c r="J12" s="2" t="inlineStr">
        <is>
          <t>ISSUE-0001; ISSUE-0002; ISSUE-0003; ISSUE-0004</t>
        </is>
      </c>
    </row>
    <row r="13" ht="42" customHeight="1">
      <c r="A13" s="3" t="inlineStr">
        <is>
          <t>jeminise.com+custom-trucking-semi-truck-centered-on-chevron-background-comforter-cfef0beab9-cfef0beab9</t>
        </is>
      </c>
      <c r="B13" s="3" t="inlineStr">
        <is>
          <t>P1</t>
        </is>
      </c>
      <c r="C13" s="3" t="n">
        <v>15</v>
      </c>
      <c r="D13" s="3" t="inlineStr">
        <is>
          <t>FULL</t>
        </is>
      </c>
      <c r="E13" s="7">
        <f>IF(B13="I1",AVERAGEIF('QA_Images'!$A$2:$A$63,A13,'QA_Images'!$T$2:$T$63)/100,IF(D13="FULL",1,IF(D13="PARTIAL",0.5,IF(D13="FAIL",0,""))))</f>
        <v/>
      </c>
      <c r="F13" s="7">
        <f>IF(E13="",0,C13*E13)</f>
        <v/>
      </c>
      <c r="G13" s="7">
        <f>IF(B13="I1",20*AVERAGEIF('QA_Images'!$A$2:$A$63,A13,'QA_Images'!$U$2:$U$63)/100,IF(D13="NOT_CHECKED",0,C13))</f>
        <v/>
      </c>
      <c r="H13" s="3" t="inlineStr">
        <is>
          <t>Product identity, handle, product ID, URL and canonical match source/live evidence. Product key/handle/product ID/canonical checked against frozen workbook and live product evidence.</t>
        </is>
      </c>
      <c r="I13" s="3" t="inlineStr">
        <is>
          <t>evidence_batch_013_122</t>
        </is>
      </c>
      <c r="J13" s="3" t="inlineStr">
        <is>
          <t>ISSUE-0010; ISSUE-0011; ISSUE-0012; ISSUE-0013</t>
        </is>
      </c>
    </row>
    <row r="14" ht="42" customHeight="1">
      <c r="A14" s="2" t="inlineStr">
        <is>
          <t>jeminise.com+custom-trucking-semi-truck-centered-on-chevron-background-comforter-cfef0beab9-cfef0beab9</t>
        </is>
      </c>
      <c r="B14" s="2" t="inlineStr">
        <is>
          <t>P2</t>
        </is>
      </c>
      <c r="C14" s="2" t="n">
        <v>10</v>
      </c>
      <c r="D14" s="2" t="inlineStr">
        <is>
          <t>PARTIAL</t>
        </is>
      </c>
      <c r="E14" s="5">
        <f>IF(B14="I1",AVERAGEIF('QA_Images'!$A$2:$A$63,A14,'QA_Images'!$T$2:$T$63)/100,IF(D14="FULL",1,IF(D14="PARTIAL",0.5,IF(D14="FAIL",0,""))))</f>
        <v/>
      </c>
      <c r="F14" s="5">
        <f>IF(E14="",0,C14*E14)</f>
        <v/>
      </c>
      <c r="G14" s="5">
        <f>IF(B14="I1",20*AVERAGEIF('QA_Images'!$A$2:$A$63,A14,'QA_Images'!$U$2:$U$63)/100,IF(D14="NOT_CHECKED",0,C14))</f>
        <v/>
      </c>
      <c r="H14" s="2" t="inlineStr">
        <is>
          <t>Source product facts, variants, specifications and personalization claims are evidence-backed. Personalization/specification claims checked against storefront product.js and static customizer config.</t>
        </is>
      </c>
      <c r="I14" s="2" t="inlineStr">
        <is>
          <t>evidence_batch_013_122</t>
        </is>
      </c>
      <c r="J14" s="2" t="inlineStr">
        <is>
          <t>ISSUE-0010; ISSUE-0011; ISSUE-0012; ISSUE-0013</t>
        </is>
      </c>
    </row>
    <row r="15" ht="42" customHeight="1">
      <c r="A15" s="3" t="inlineStr">
        <is>
          <t>jeminise.com+custom-trucking-semi-truck-centered-on-chevron-background-comforter-cfef0beab9-cfef0beab9</t>
        </is>
      </c>
      <c r="B15" s="3" t="inlineStr">
        <is>
          <t>K1</t>
        </is>
      </c>
      <c r="C15" s="3" t="n">
        <v>10</v>
      </c>
      <c r="D15" s="3" t="inlineStr">
        <is>
          <t>PARTIAL</t>
        </is>
      </c>
      <c r="E15" s="7">
        <f>IF(B15="I1",AVERAGEIF('QA_Images'!$A$2:$A$63,A15,'QA_Images'!$T$2:$T$63)/100,IF(D15="FULL",1,IF(D15="PARTIAL",0.5,IF(D15="FAIL",0,""))))</f>
        <v/>
      </c>
      <c r="F15" s="7">
        <f>IF(E15="",0,C15*E15)</f>
        <v/>
      </c>
      <c r="G15" s="7">
        <f>IF(B15="I1",20*AVERAGEIF('QA_Images'!$A$2:$A$63,A15,'QA_Images'!$U$2:$U$63)/100,IF(D15="NOT_CHECKED",0,C15))</f>
        <v/>
      </c>
      <c r="H15" s="3" t="inlineStr">
        <is>
          <t>Primary keyword aligns with product-level US purchase intent. Primary keyword rechecked against US product-level SERP comparables.</t>
        </is>
      </c>
      <c r="I15" s="3" t="inlineStr">
        <is>
          <t>evidence_batch_013_122</t>
        </is>
      </c>
      <c r="J15" s="3" t="inlineStr">
        <is>
          <t>ISSUE-0010; ISSUE-0011; ISSUE-0012; ISSUE-0013</t>
        </is>
      </c>
    </row>
    <row r="16" ht="42" customHeight="1">
      <c r="A16" s="2" t="inlineStr">
        <is>
          <t>jeminise.com+custom-trucking-semi-truck-centered-on-chevron-background-comforter-cfef0beab9-cfef0beab9</t>
        </is>
      </c>
      <c r="B16" s="2" t="inlineStr">
        <is>
          <t>K2</t>
        </is>
      </c>
      <c r="C16" s="2" t="n">
        <v>5</v>
      </c>
      <c r="D16" s="2" t="inlineStr">
        <is>
          <t>PARTIAL</t>
        </is>
      </c>
      <c r="E16" s="5">
        <f>IF(B16="I1",AVERAGEIF('QA_Images'!$A$2:$A$63,A16,'QA_Images'!$T$2:$T$63)/100,IF(D16="FULL",1,IF(D16="PARTIAL",0.5,IF(D16="FAIL",0,""))))</f>
        <v/>
      </c>
      <c r="F16" s="5">
        <f>IF(E16="",0,C16*E16)</f>
        <v/>
      </c>
      <c r="G16" s="5">
        <f>IF(B16="I1",20*AVERAGEIF('QA_Images'!$A$2:$A$63,A16,'QA_Images'!$U$2:$U$63)/100,IF(D16="NOT_CHECKED",0,C16))</f>
        <v/>
      </c>
      <c r="H16" s="2" t="inlineStr">
        <is>
          <t>Intent/cannibalization check distinguishes nearby products. Nearby product cluster has overlap risk, so intent distinction remains only partial.</t>
        </is>
      </c>
      <c r="I16" s="2" t="inlineStr">
        <is>
          <t>evidence_batch_013_122</t>
        </is>
      </c>
      <c r="J16" s="2" t="inlineStr">
        <is>
          <t>ISSUE-0010; ISSUE-0011; ISSUE-0012; ISSUE-0013</t>
        </is>
      </c>
    </row>
    <row r="17" ht="42" customHeight="1">
      <c r="A17" s="3" t="inlineStr">
        <is>
          <t>jeminise.com+custom-trucking-semi-truck-centered-on-chevron-background-comforter-cfef0beab9-cfef0beab9</t>
        </is>
      </c>
      <c r="B17" s="3" t="inlineStr">
        <is>
          <t>K3</t>
        </is>
      </c>
      <c r="C17" s="3" t="n">
        <v>5</v>
      </c>
      <c r="D17" s="3" t="inlineStr">
        <is>
          <t>PARTIAL</t>
        </is>
      </c>
      <c r="E17" s="7">
        <f>IF(B17="I1",AVERAGEIF('QA_Images'!$A$2:$A$63,A17,'QA_Images'!$T$2:$T$63)/100,IF(D17="FULL",1,IF(D17="PARTIAL",0.5,IF(D17="FAIL",0,""))))</f>
        <v/>
      </c>
      <c r="F17" s="7">
        <f>IF(E17="",0,C17*E17)</f>
        <v/>
      </c>
      <c r="G17" s="7">
        <f>IF(B17="I1",20*AVERAGEIF('QA_Images'!$A$2:$A$63,A17,'QA_Images'!$U$2:$U$63)/100,IF(D17="NOT_CHECKED",0,C17))</f>
        <v/>
      </c>
      <c r="H17" s="3" t="inlineStr">
        <is>
          <t>Keyword evidence is supported by SERP comparables without unsupported volume claims. Evidence is public SERP only; no Search Console, keyword volume or customer-search corpus provided.</t>
        </is>
      </c>
      <c r="I17" s="3" t="inlineStr">
        <is>
          <t>evidence_batch_013_122</t>
        </is>
      </c>
      <c r="J17" s="3" t="inlineStr">
        <is>
          <t>ISSUE-0010; ISSUE-0011; ISSUE-0012; ISSUE-0013</t>
        </is>
      </c>
    </row>
    <row r="18" ht="42" customHeight="1">
      <c r="A18" s="2" t="inlineStr">
        <is>
          <t>jeminise.com+custom-trucking-semi-truck-centered-on-chevron-background-comforter-cfef0beab9-cfef0beab9</t>
        </is>
      </c>
      <c r="B18" s="2" t="inlineStr">
        <is>
          <t>T1</t>
        </is>
      </c>
      <c r="C18" s="2" t="n">
        <v>10</v>
      </c>
      <c r="D18" s="2" t="inlineStr">
        <is>
          <t>FULL</t>
        </is>
      </c>
      <c r="E18" s="5">
        <f>IF(B18="I1",AVERAGEIF('QA_Images'!$A$2:$A$63,A18,'QA_Images'!$T$2:$T$63)/100,IF(D18="FULL",1,IF(D18="PARTIAL",0.5,IF(D18="FAIL",0,""))))</f>
        <v/>
      </c>
      <c r="F18" s="5">
        <f>IF(E18="",0,C18*E18)</f>
        <v/>
      </c>
      <c r="G18" s="5">
        <f>IF(B18="I1",20*AVERAGEIF('QA_Images'!$A$2:$A$63,A18,'QA_Images'!$U$2:$U$63)/100,IF(D18="NOT_CHECKED",0,C18))</f>
        <v/>
      </c>
      <c r="H18" s="2" t="inlineStr">
        <is>
          <t>SEO title and H1 are relevant, specific and grounded in visible/source facts. Title/H1 are product-specific and tied to visible motif/product type.</t>
        </is>
      </c>
      <c r="I18" s="2" t="inlineStr">
        <is>
          <t>evidence_batch_013_122</t>
        </is>
      </c>
      <c r="J18" s="2" t="inlineStr">
        <is>
          <t>ISSUE-0010; ISSUE-0011; ISSUE-0012; ISSUE-0013</t>
        </is>
      </c>
    </row>
    <row r="19" ht="42" customHeight="1">
      <c r="A19" s="3" t="inlineStr">
        <is>
          <t>jeminise.com+custom-trucking-semi-truck-centered-on-chevron-background-comforter-cfef0beab9-cfef0beab9</t>
        </is>
      </c>
      <c r="B19" s="3" t="inlineStr">
        <is>
          <t>T2</t>
        </is>
      </c>
      <c r="C19" s="3" t="n">
        <v>5</v>
      </c>
      <c r="D19" s="3" t="inlineStr">
        <is>
          <t>PARTIAL</t>
        </is>
      </c>
      <c r="E19" s="7">
        <f>IF(B19="I1",AVERAGEIF('QA_Images'!$A$2:$A$63,A19,'QA_Images'!$T$2:$T$63)/100,IF(D19="FULL",1,IF(D19="PARTIAL",0.5,IF(D19="FAIL",0,""))))</f>
        <v/>
      </c>
      <c r="F19" s="7">
        <f>IF(E19="",0,C19*E19)</f>
        <v/>
      </c>
      <c r="G19" s="7">
        <f>IF(B19="I1",20*AVERAGEIF('QA_Images'!$A$2:$A$63,A19,'QA_Images'!$U$2:$U$63)/100,IF(D19="NOT_CHECKED",0,C19))</f>
        <v/>
      </c>
      <c r="H19" s="3" t="inlineStr">
        <is>
          <t>Meta description is concise, publish-ready and avoids unsupported claims. Meta description checked for length, specificity and supportable claims.</t>
        </is>
      </c>
      <c r="I19" s="3" t="inlineStr">
        <is>
          <t>evidence_batch_013_122</t>
        </is>
      </c>
      <c r="J19" s="3" t="inlineStr">
        <is>
          <t>ISSUE-0010; ISSUE-0011; ISSUE-0012; ISSUE-0013</t>
        </is>
      </c>
    </row>
    <row r="20" ht="42" customHeight="1">
      <c r="A20" s="2" t="inlineStr">
        <is>
          <t>jeminise.com+custom-trucking-semi-truck-centered-on-chevron-background-comforter-cfef0beab9-cfef0beab9</t>
        </is>
      </c>
      <c r="B20" s="2" t="inlineStr">
        <is>
          <t>D1</t>
        </is>
      </c>
      <c r="C20" s="2" t="n">
        <v>10</v>
      </c>
      <c r="D20" s="2" t="inlineStr">
        <is>
          <t>FAIL</t>
        </is>
      </c>
      <c r="E20" s="5">
        <f>IF(B20="I1",AVERAGEIF('QA_Images'!$A$2:$A$63,A20,'QA_Images'!$T$2:$T$63)/100,IF(D20="FULL",1,IF(D20="PARTIAL",0.5,IF(D20="FAIL",0,""))))</f>
        <v/>
      </c>
      <c r="F20" s="5">
        <f>IF(E20="",0,C20*E20)</f>
        <v/>
      </c>
      <c r="G20" s="5">
        <f>IF(B20="I1",20*AVERAGEIF('QA_Images'!$A$2:$A$63,A20,'QA_Images'!$U$2:$U$63)/100,IF(D20="NOT_CHECKED",0,C20))</f>
        <v/>
      </c>
      <c r="H20" s="2" t="inlineStr">
        <is>
          <t>Description HTML is publish-ready and free of internal draft/QA instructions. Description HTML still contains internal QA/import language.</t>
        </is>
      </c>
      <c r="I20" s="2" t="inlineStr">
        <is>
          <t>evidence_batch_013_122</t>
        </is>
      </c>
      <c r="J20" s="2" t="inlineStr">
        <is>
          <t>ISSUE-0010; ISSUE-0011; ISSUE-0012; ISSUE-0013</t>
        </is>
      </c>
    </row>
    <row r="21" ht="42" customHeight="1">
      <c r="A21" s="3" t="inlineStr">
        <is>
          <t>jeminise.com+custom-trucking-semi-truck-centered-on-chevron-background-comforter-cfef0beab9-cfef0beab9</t>
        </is>
      </c>
      <c r="B21" s="3" t="inlineStr">
        <is>
          <t>D2</t>
        </is>
      </c>
      <c r="C21" s="3" t="n">
        <v>5</v>
      </c>
      <c r="D21" s="3" t="inlineStr">
        <is>
          <t>PARTIAL</t>
        </is>
      </c>
      <c r="E21" s="7">
        <f>IF(B21="I1",AVERAGEIF('QA_Images'!$A$2:$A$63,A21,'QA_Images'!$T$2:$T$63)/100,IF(D21="FULL",1,IF(D21="PARTIAL",0.5,IF(D21="FAIL",0,""))))</f>
        <v/>
      </c>
      <c r="F21" s="7">
        <f>IF(E21="",0,C21*E21)</f>
        <v/>
      </c>
      <c r="G21" s="7">
        <f>IF(B21="I1",20*AVERAGEIF('QA_Images'!$A$2:$A$63,A21,'QA_Images'!$U$2:$U$63)/100,IF(D21="NOT_CHECKED",0,C21))</f>
        <v/>
      </c>
      <c r="H21" s="3" t="inlineStr">
        <is>
          <t>Description content covers verified design, product type, use case and constraints. Description covers motif/product type but remains templated and does not always map every verified constraint.</t>
        </is>
      </c>
      <c r="I21" s="3" t="inlineStr">
        <is>
          <t>evidence_batch_013_122</t>
        </is>
      </c>
      <c r="J21" s="3" t="inlineStr">
        <is>
          <t>ISSUE-0010; ISSUE-0011; ISSUE-0012; ISSUE-0013</t>
        </is>
      </c>
    </row>
    <row r="22" ht="42" customHeight="1">
      <c r="A22" s="2" t="inlineStr">
        <is>
          <t>jeminise.com+custom-trucking-semi-truck-centered-on-chevron-background-comforter-cfef0beab9-cfef0beab9</t>
        </is>
      </c>
      <c r="B22" s="2" t="inlineStr">
        <is>
          <t>I1</t>
        </is>
      </c>
      <c r="C22" s="2" t="n">
        <v>20</v>
      </c>
      <c r="D22" s="2" t="inlineStr">
        <is>
          <t>FULL</t>
        </is>
      </c>
      <c r="E22" s="5">
        <f>IF(B22="I1",AVERAGEIF('QA_Images'!$A$2:$A$63,A22,'QA_Images'!$T$2:$T$63)/100,IF(D22="FULL",1,IF(D22="PARTIAL",0.5,IF(D22="FAIL",0,""))))</f>
        <v/>
      </c>
      <c r="F22" s="5">
        <f>IF(E22="",0,C22*E22)</f>
        <v/>
      </c>
      <c r="G22" s="5">
        <f>IF(B22="I1",20*AVERAGEIF('QA_Images'!$A$2:$A$63,A22,'QA_Images'!$U$2:$U$63)/100,IF(D22="NOT_CHECKED",0,C22))</f>
        <v/>
      </c>
      <c r="H22" s="2" t="inlineStr">
        <is>
          <t>Image coverage, image observations and alt text quality, derived from QA_Images. Derived from average image QA score; see QA_Images.</t>
        </is>
      </c>
      <c r="I22" s="2" t="inlineStr">
        <is>
          <t>evidence_batch_013_122</t>
        </is>
      </c>
      <c r="J22" s="2" t="inlineStr">
        <is>
          <t>ISSUE-0010; ISSUE-0011; ISSUE-0012; ISSUE-0013</t>
        </is>
      </c>
    </row>
    <row r="23" ht="42" customHeight="1">
      <c r="A23" s="3" t="inlineStr">
        <is>
          <t>jeminise.com+custom-trucking-semi-truck-centered-on-chevron-background-comforter-cfef0beab9-cfef0beab9</t>
        </is>
      </c>
      <c r="B23" s="3" t="inlineStr">
        <is>
          <t>E1</t>
        </is>
      </c>
      <c r="C23" s="3" t="n">
        <v>5</v>
      </c>
      <c r="D23" s="3" t="inlineStr">
        <is>
          <t>PARTIAL</t>
        </is>
      </c>
      <c r="E23" s="7">
        <f>IF(B23="I1",AVERAGEIF('QA_Images'!$A$2:$A$63,A23,'QA_Images'!$T$2:$T$63)/100,IF(D23="FULL",1,IF(D23="PARTIAL",0.5,IF(D23="FAIL",0,""))))</f>
        <v/>
      </c>
      <c r="F23" s="7">
        <f>IF(E23="",0,C23*E23)</f>
        <v/>
      </c>
      <c r="G23" s="7">
        <f>IF(B23="I1",20*AVERAGEIF('QA_Images'!$A$2:$A$63,A23,'QA_Images'!$U$2:$U$63)/100,IF(D23="NOT_CHECKED",0,C23))</f>
        <v/>
      </c>
      <c r="H23" s="3" t="inlineStr">
        <is>
          <t>Evidence chain is traceable and limitations are explicitly separated from failures. Evidence chain is traceable, with admin-export limitation explicitly separated.</t>
        </is>
      </c>
      <c r="I23" s="3" t="inlineStr">
        <is>
          <t>evidence_batch_013_122</t>
        </is>
      </c>
      <c r="J23" s="3" t="inlineStr">
        <is>
          <t>ISSUE-0010; ISSUE-0011; ISSUE-0012; ISSUE-0013</t>
        </is>
      </c>
    </row>
    <row r="24" ht="42" customHeight="1">
      <c r="A24" s="2" t="inlineStr">
        <is>
          <t>jeminise.com+custom-trucking-semi-truck-on-metallic-mesh-background-comforter-21d8f6bab6-21d8f6bab6</t>
        </is>
      </c>
      <c r="B24" s="2" t="inlineStr">
        <is>
          <t>P1</t>
        </is>
      </c>
      <c r="C24" s="2" t="n">
        <v>15</v>
      </c>
      <c r="D24" s="2" t="inlineStr">
        <is>
          <t>FULL</t>
        </is>
      </c>
      <c r="E24" s="5">
        <f>IF(B24="I1",AVERAGEIF('QA_Images'!$A$2:$A$63,A24,'QA_Images'!$T$2:$T$63)/100,IF(D24="FULL",1,IF(D24="PARTIAL",0.5,IF(D24="FAIL",0,""))))</f>
        <v/>
      </c>
      <c r="F24" s="5">
        <f>IF(E24="",0,C24*E24)</f>
        <v/>
      </c>
      <c r="G24" s="5">
        <f>IF(B24="I1",20*AVERAGEIF('QA_Images'!$A$2:$A$63,A24,'QA_Images'!$U$2:$U$63)/100,IF(D24="NOT_CHECKED",0,C24))</f>
        <v/>
      </c>
      <c r="H24" s="2" t="inlineStr">
        <is>
          <t>Product identity, handle, product ID, URL and canonical match source/live evidence. Product key/handle/product ID/canonical checked against frozen workbook and live product evidence.</t>
        </is>
      </c>
      <c r="I24" s="2" t="inlineStr">
        <is>
          <t>evidence_batch_013_123</t>
        </is>
      </c>
      <c r="J24" s="2" t="inlineStr">
        <is>
          <t>ISSUE-0019; ISSUE-0020; ISSUE-0021; ISSUE-0022</t>
        </is>
      </c>
    </row>
    <row r="25" ht="42" customHeight="1">
      <c r="A25" s="3" t="inlineStr">
        <is>
          <t>jeminise.com+custom-trucking-semi-truck-on-metallic-mesh-background-comforter-21d8f6bab6-21d8f6bab6</t>
        </is>
      </c>
      <c r="B25" s="3" t="inlineStr">
        <is>
          <t>P2</t>
        </is>
      </c>
      <c r="C25" s="3" t="n">
        <v>10</v>
      </c>
      <c r="D25" s="3" t="inlineStr">
        <is>
          <t>PARTIAL</t>
        </is>
      </c>
      <c r="E25" s="7">
        <f>IF(B25="I1",AVERAGEIF('QA_Images'!$A$2:$A$63,A25,'QA_Images'!$T$2:$T$63)/100,IF(D25="FULL",1,IF(D25="PARTIAL",0.5,IF(D25="FAIL",0,""))))</f>
        <v/>
      </c>
      <c r="F25" s="7">
        <f>IF(E25="",0,C25*E25)</f>
        <v/>
      </c>
      <c r="G25" s="7">
        <f>IF(B25="I1",20*AVERAGEIF('QA_Images'!$A$2:$A$63,A25,'QA_Images'!$U$2:$U$63)/100,IF(D25="NOT_CHECKED",0,C25))</f>
        <v/>
      </c>
      <c r="H25" s="3" t="inlineStr">
        <is>
          <t>Source product facts, variants, specifications and personalization claims are evidence-backed. Personalization/specification claims checked against storefront product.js and static customizer config.</t>
        </is>
      </c>
      <c r="I25" s="3" t="inlineStr">
        <is>
          <t>evidence_batch_013_123</t>
        </is>
      </c>
      <c r="J25" s="3" t="inlineStr">
        <is>
          <t>ISSUE-0019; ISSUE-0020; ISSUE-0021; ISSUE-0022</t>
        </is>
      </c>
    </row>
    <row r="26" ht="42" customHeight="1">
      <c r="A26" s="2" t="inlineStr">
        <is>
          <t>jeminise.com+custom-trucking-semi-truck-on-metallic-mesh-background-comforter-21d8f6bab6-21d8f6bab6</t>
        </is>
      </c>
      <c r="B26" s="2" t="inlineStr">
        <is>
          <t>K1</t>
        </is>
      </c>
      <c r="C26" s="2" t="n">
        <v>10</v>
      </c>
      <c r="D26" s="2" t="inlineStr">
        <is>
          <t>PARTIAL</t>
        </is>
      </c>
      <c r="E26" s="5">
        <f>IF(B26="I1",AVERAGEIF('QA_Images'!$A$2:$A$63,A26,'QA_Images'!$T$2:$T$63)/100,IF(D26="FULL",1,IF(D26="PARTIAL",0.5,IF(D26="FAIL",0,""))))</f>
        <v/>
      </c>
      <c r="F26" s="5">
        <f>IF(E26="",0,C26*E26)</f>
        <v/>
      </c>
      <c r="G26" s="5">
        <f>IF(B26="I1",20*AVERAGEIF('QA_Images'!$A$2:$A$63,A26,'QA_Images'!$U$2:$U$63)/100,IF(D26="NOT_CHECKED",0,C26))</f>
        <v/>
      </c>
      <c r="H26" s="2" t="inlineStr">
        <is>
          <t>Primary keyword aligns with product-level US purchase intent. Primary keyword rechecked against US product-level SERP comparables.</t>
        </is>
      </c>
      <c r="I26" s="2" t="inlineStr">
        <is>
          <t>evidence_batch_013_123</t>
        </is>
      </c>
      <c r="J26" s="2" t="inlineStr">
        <is>
          <t>ISSUE-0019; ISSUE-0020; ISSUE-0021; ISSUE-0022</t>
        </is>
      </c>
    </row>
    <row r="27" ht="42" customHeight="1">
      <c r="A27" s="3" t="inlineStr">
        <is>
          <t>jeminise.com+custom-trucking-semi-truck-on-metallic-mesh-background-comforter-21d8f6bab6-21d8f6bab6</t>
        </is>
      </c>
      <c r="B27" s="3" t="inlineStr">
        <is>
          <t>K2</t>
        </is>
      </c>
      <c r="C27" s="3" t="n">
        <v>5</v>
      </c>
      <c r="D27" s="3" t="inlineStr">
        <is>
          <t>PARTIAL</t>
        </is>
      </c>
      <c r="E27" s="7">
        <f>IF(B27="I1",AVERAGEIF('QA_Images'!$A$2:$A$63,A27,'QA_Images'!$T$2:$T$63)/100,IF(D27="FULL",1,IF(D27="PARTIAL",0.5,IF(D27="FAIL",0,""))))</f>
        <v/>
      </c>
      <c r="F27" s="7">
        <f>IF(E27="",0,C27*E27)</f>
        <v/>
      </c>
      <c r="G27" s="7">
        <f>IF(B27="I1",20*AVERAGEIF('QA_Images'!$A$2:$A$63,A27,'QA_Images'!$U$2:$U$63)/100,IF(D27="NOT_CHECKED",0,C27))</f>
        <v/>
      </c>
      <c r="H27" s="3" t="inlineStr">
        <is>
          <t>Intent/cannibalization check distinguishes nearby products. Nearby product cluster has overlap risk, so intent distinction remains only partial.</t>
        </is>
      </c>
      <c r="I27" s="3" t="inlineStr">
        <is>
          <t>evidence_batch_013_123</t>
        </is>
      </c>
      <c r="J27" s="3" t="inlineStr">
        <is>
          <t>ISSUE-0019; ISSUE-0020; ISSUE-0021; ISSUE-0022</t>
        </is>
      </c>
    </row>
    <row r="28" ht="42" customHeight="1">
      <c r="A28" s="2" t="inlineStr">
        <is>
          <t>jeminise.com+custom-trucking-semi-truck-on-metallic-mesh-background-comforter-21d8f6bab6-21d8f6bab6</t>
        </is>
      </c>
      <c r="B28" s="2" t="inlineStr">
        <is>
          <t>K3</t>
        </is>
      </c>
      <c r="C28" s="2" t="n">
        <v>5</v>
      </c>
      <c r="D28" s="2" t="inlineStr">
        <is>
          <t>PARTIAL</t>
        </is>
      </c>
      <c r="E28" s="5">
        <f>IF(B28="I1",AVERAGEIF('QA_Images'!$A$2:$A$63,A28,'QA_Images'!$T$2:$T$63)/100,IF(D28="FULL",1,IF(D28="PARTIAL",0.5,IF(D28="FAIL",0,""))))</f>
        <v/>
      </c>
      <c r="F28" s="5">
        <f>IF(E28="",0,C28*E28)</f>
        <v/>
      </c>
      <c r="G28" s="5">
        <f>IF(B28="I1",20*AVERAGEIF('QA_Images'!$A$2:$A$63,A28,'QA_Images'!$U$2:$U$63)/100,IF(D28="NOT_CHECKED",0,C28))</f>
        <v/>
      </c>
      <c r="H28" s="2" t="inlineStr">
        <is>
          <t>Keyword evidence is supported by SERP comparables without unsupported volume claims. Evidence is public SERP only; no Search Console, keyword volume or customer-search corpus provided.</t>
        </is>
      </c>
      <c r="I28" s="2" t="inlineStr">
        <is>
          <t>evidence_batch_013_123</t>
        </is>
      </c>
      <c r="J28" s="2" t="inlineStr">
        <is>
          <t>ISSUE-0019; ISSUE-0020; ISSUE-0021; ISSUE-0022</t>
        </is>
      </c>
    </row>
    <row r="29" ht="42" customHeight="1">
      <c r="A29" s="3" t="inlineStr">
        <is>
          <t>jeminise.com+custom-trucking-semi-truck-on-metallic-mesh-background-comforter-21d8f6bab6-21d8f6bab6</t>
        </is>
      </c>
      <c r="B29" s="3" t="inlineStr">
        <is>
          <t>T1</t>
        </is>
      </c>
      <c r="C29" s="3" t="n">
        <v>10</v>
      </c>
      <c r="D29" s="3" t="inlineStr">
        <is>
          <t>FULL</t>
        </is>
      </c>
      <c r="E29" s="7">
        <f>IF(B29="I1",AVERAGEIF('QA_Images'!$A$2:$A$63,A29,'QA_Images'!$T$2:$T$63)/100,IF(D29="FULL",1,IF(D29="PARTIAL",0.5,IF(D29="FAIL",0,""))))</f>
        <v/>
      </c>
      <c r="F29" s="7">
        <f>IF(E29="",0,C29*E29)</f>
        <v/>
      </c>
      <c r="G29" s="7">
        <f>IF(B29="I1",20*AVERAGEIF('QA_Images'!$A$2:$A$63,A29,'QA_Images'!$U$2:$U$63)/100,IF(D29="NOT_CHECKED",0,C29))</f>
        <v/>
      </c>
      <c r="H29" s="3" t="inlineStr">
        <is>
          <t>SEO title and H1 are relevant, specific and grounded in visible/source facts. Title/H1 are product-specific and tied to visible motif/product type.</t>
        </is>
      </c>
      <c r="I29" s="3" t="inlineStr">
        <is>
          <t>evidence_batch_013_123</t>
        </is>
      </c>
      <c r="J29" s="3" t="inlineStr">
        <is>
          <t>ISSUE-0019; ISSUE-0020; ISSUE-0021; ISSUE-0022</t>
        </is>
      </c>
    </row>
    <row r="30" ht="42" customHeight="1">
      <c r="A30" s="2" t="inlineStr">
        <is>
          <t>jeminise.com+custom-trucking-semi-truck-on-metallic-mesh-background-comforter-21d8f6bab6-21d8f6bab6</t>
        </is>
      </c>
      <c r="B30" s="2" t="inlineStr">
        <is>
          <t>T2</t>
        </is>
      </c>
      <c r="C30" s="2" t="n">
        <v>5</v>
      </c>
      <c r="D30" s="2" t="inlineStr">
        <is>
          <t>PARTIAL</t>
        </is>
      </c>
      <c r="E30" s="5">
        <f>IF(B30="I1",AVERAGEIF('QA_Images'!$A$2:$A$63,A30,'QA_Images'!$T$2:$T$63)/100,IF(D30="FULL",1,IF(D30="PARTIAL",0.5,IF(D30="FAIL",0,""))))</f>
        <v/>
      </c>
      <c r="F30" s="5">
        <f>IF(E30="",0,C30*E30)</f>
        <v/>
      </c>
      <c r="G30" s="5">
        <f>IF(B30="I1",20*AVERAGEIF('QA_Images'!$A$2:$A$63,A30,'QA_Images'!$U$2:$U$63)/100,IF(D30="NOT_CHECKED",0,C30))</f>
        <v/>
      </c>
      <c r="H30" s="2" t="inlineStr">
        <is>
          <t>Meta description is concise, publish-ready and avoids unsupported claims. Meta description checked for length, specificity and supportable claims.</t>
        </is>
      </c>
      <c r="I30" s="2" t="inlineStr">
        <is>
          <t>evidence_batch_013_123</t>
        </is>
      </c>
      <c r="J30" s="2" t="inlineStr">
        <is>
          <t>ISSUE-0019; ISSUE-0020; ISSUE-0021; ISSUE-0022</t>
        </is>
      </c>
    </row>
    <row r="31" ht="42" customHeight="1">
      <c r="A31" s="3" t="inlineStr">
        <is>
          <t>jeminise.com+custom-trucking-semi-truck-on-metallic-mesh-background-comforter-21d8f6bab6-21d8f6bab6</t>
        </is>
      </c>
      <c r="B31" s="3" t="inlineStr">
        <is>
          <t>D1</t>
        </is>
      </c>
      <c r="C31" s="3" t="n">
        <v>10</v>
      </c>
      <c r="D31" s="3" t="inlineStr">
        <is>
          <t>FAIL</t>
        </is>
      </c>
      <c r="E31" s="7">
        <f>IF(B31="I1",AVERAGEIF('QA_Images'!$A$2:$A$63,A31,'QA_Images'!$T$2:$T$63)/100,IF(D31="FULL",1,IF(D31="PARTIAL",0.5,IF(D31="FAIL",0,""))))</f>
        <v/>
      </c>
      <c r="F31" s="7">
        <f>IF(E31="",0,C31*E31)</f>
        <v/>
      </c>
      <c r="G31" s="7">
        <f>IF(B31="I1",20*AVERAGEIF('QA_Images'!$A$2:$A$63,A31,'QA_Images'!$U$2:$U$63)/100,IF(D31="NOT_CHECKED",0,C31))</f>
        <v/>
      </c>
      <c r="H31" s="3" t="inlineStr">
        <is>
          <t>Description HTML is publish-ready and free of internal draft/QA instructions. Description HTML still contains internal QA/import language.</t>
        </is>
      </c>
      <c r="I31" s="3" t="inlineStr">
        <is>
          <t>evidence_batch_013_123</t>
        </is>
      </c>
      <c r="J31" s="3" t="inlineStr">
        <is>
          <t>ISSUE-0019; ISSUE-0020; ISSUE-0021; ISSUE-0022</t>
        </is>
      </c>
    </row>
    <row r="32" ht="42" customHeight="1">
      <c r="A32" s="2" t="inlineStr">
        <is>
          <t>jeminise.com+custom-trucking-semi-truck-on-metallic-mesh-background-comforter-21d8f6bab6-21d8f6bab6</t>
        </is>
      </c>
      <c r="B32" s="2" t="inlineStr">
        <is>
          <t>D2</t>
        </is>
      </c>
      <c r="C32" s="2" t="n">
        <v>5</v>
      </c>
      <c r="D32" s="2" t="inlineStr">
        <is>
          <t>PARTIAL</t>
        </is>
      </c>
      <c r="E32" s="5">
        <f>IF(B32="I1",AVERAGEIF('QA_Images'!$A$2:$A$63,A32,'QA_Images'!$T$2:$T$63)/100,IF(D32="FULL",1,IF(D32="PARTIAL",0.5,IF(D32="FAIL",0,""))))</f>
        <v/>
      </c>
      <c r="F32" s="5">
        <f>IF(E32="",0,C32*E32)</f>
        <v/>
      </c>
      <c r="G32" s="5">
        <f>IF(B32="I1",20*AVERAGEIF('QA_Images'!$A$2:$A$63,A32,'QA_Images'!$U$2:$U$63)/100,IF(D32="NOT_CHECKED",0,C32))</f>
        <v/>
      </c>
      <c r="H32" s="2" t="inlineStr">
        <is>
          <t>Description content covers verified design, product type, use case and constraints. Description covers motif/product type but remains templated and does not always map every verified constraint.</t>
        </is>
      </c>
      <c r="I32" s="2" t="inlineStr">
        <is>
          <t>evidence_batch_013_123</t>
        </is>
      </c>
      <c r="J32" s="2" t="inlineStr">
        <is>
          <t>ISSUE-0019; ISSUE-0020; ISSUE-0021; ISSUE-0022</t>
        </is>
      </c>
    </row>
    <row r="33" ht="42" customHeight="1">
      <c r="A33" s="3" t="inlineStr">
        <is>
          <t>jeminise.com+custom-trucking-semi-truck-on-metallic-mesh-background-comforter-21d8f6bab6-21d8f6bab6</t>
        </is>
      </c>
      <c r="B33" s="3" t="inlineStr">
        <is>
          <t>I1</t>
        </is>
      </c>
      <c r="C33" s="3" t="n">
        <v>20</v>
      </c>
      <c r="D33" s="3" t="inlineStr">
        <is>
          <t>FULL</t>
        </is>
      </c>
      <c r="E33" s="7">
        <f>IF(B33="I1",AVERAGEIF('QA_Images'!$A$2:$A$63,A33,'QA_Images'!$T$2:$T$63)/100,IF(D33="FULL",1,IF(D33="PARTIAL",0.5,IF(D33="FAIL",0,""))))</f>
        <v/>
      </c>
      <c r="F33" s="7">
        <f>IF(E33="",0,C33*E33)</f>
        <v/>
      </c>
      <c r="G33" s="7">
        <f>IF(B33="I1",20*AVERAGEIF('QA_Images'!$A$2:$A$63,A33,'QA_Images'!$U$2:$U$63)/100,IF(D33="NOT_CHECKED",0,C33))</f>
        <v/>
      </c>
      <c r="H33" s="3" t="inlineStr">
        <is>
          <t>Image coverage, image observations and alt text quality, derived from QA_Images. Derived from average image QA score; see QA_Images.</t>
        </is>
      </c>
      <c r="I33" s="3" t="inlineStr">
        <is>
          <t>evidence_batch_013_123</t>
        </is>
      </c>
      <c r="J33" s="3" t="inlineStr">
        <is>
          <t>ISSUE-0019; ISSUE-0020; ISSUE-0021; ISSUE-0022</t>
        </is>
      </c>
    </row>
    <row r="34" ht="42" customHeight="1">
      <c r="A34" s="2" t="inlineStr">
        <is>
          <t>jeminise.com+custom-trucking-semi-truck-on-metallic-mesh-background-comforter-21d8f6bab6-21d8f6bab6</t>
        </is>
      </c>
      <c r="B34" s="2" t="inlineStr">
        <is>
          <t>E1</t>
        </is>
      </c>
      <c r="C34" s="2" t="n">
        <v>5</v>
      </c>
      <c r="D34" s="2" t="inlineStr">
        <is>
          <t>PARTIAL</t>
        </is>
      </c>
      <c r="E34" s="5">
        <f>IF(B34="I1",AVERAGEIF('QA_Images'!$A$2:$A$63,A34,'QA_Images'!$T$2:$T$63)/100,IF(D34="FULL",1,IF(D34="PARTIAL",0.5,IF(D34="FAIL",0,""))))</f>
        <v/>
      </c>
      <c r="F34" s="5">
        <f>IF(E34="",0,C34*E34)</f>
        <v/>
      </c>
      <c r="G34" s="5">
        <f>IF(B34="I1",20*AVERAGEIF('QA_Images'!$A$2:$A$63,A34,'QA_Images'!$U$2:$U$63)/100,IF(D34="NOT_CHECKED",0,C34))</f>
        <v/>
      </c>
      <c r="H34" s="2" t="inlineStr">
        <is>
          <t>Evidence chain is traceable and limitations are explicitly separated from failures. Evidence chain is traceable, with admin-export limitation explicitly separated.</t>
        </is>
      </c>
      <c r="I34" s="2" t="inlineStr">
        <is>
          <t>evidence_batch_013_123</t>
        </is>
      </c>
      <c r="J34" s="2" t="inlineStr">
        <is>
          <t>ISSUE-0019; ISSUE-0020; ISSUE-0021; ISSUE-0022</t>
        </is>
      </c>
    </row>
    <row r="35" ht="42" customHeight="1">
      <c r="A35" s="3" t="inlineStr">
        <is>
          <t>jeminise.com+custom-trucking-semi-truck-on-textured-metallic-background-comforter-5ee1903c53-5ee1903c53</t>
        </is>
      </c>
      <c r="B35" s="3" t="inlineStr">
        <is>
          <t>P1</t>
        </is>
      </c>
      <c r="C35" s="3" t="n">
        <v>15</v>
      </c>
      <c r="D35" s="3" t="inlineStr">
        <is>
          <t>FULL</t>
        </is>
      </c>
      <c r="E35" s="7">
        <f>IF(B35="I1",AVERAGEIF('QA_Images'!$A$2:$A$63,A35,'QA_Images'!$T$2:$T$63)/100,IF(D35="FULL",1,IF(D35="PARTIAL",0.5,IF(D35="FAIL",0,""))))</f>
        <v/>
      </c>
      <c r="F35" s="7">
        <f>IF(E35="",0,C35*E35)</f>
        <v/>
      </c>
      <c r="G35" s="7">
        <f>IF(B35="I1",20*AVERAGEIF('QA_Images'!$A$2:$A$63,A35,'QA_Images'!$U$2:$U$63)/100,IF(D35="NOT_CHECKED",0,C35))</f>
        <v/>
      </c>
      <c r="H35" s="3" t="inlineStr">
        <is>
          <t>Product identity, handle, product ID, URL and canonical match source/live evidence. Product key/handle/product ID/canonical checked against frozen workbook and live product evidence.</t>
        </is>
      </c>
      <c r="I35" s="3" t="inlineStr">
        <is>
          <t>evidence_batch_013_124</t>
        </is>
      </c>
      <c r="J35" s="3" t="inlineStr">
        <is>
          <t>ISSUE-0028; ISSUE-0029; ISSUE-0030; ISSUE-0031</t>
        </is>
      </c>
    </row>
    <row r="36" ht="42" customHeight="1">
      <c r="A36" s="2" t="inlineStr">
        <is>
          <t>jeminise.com+custom-trucking-semi-truck-on-textured-metallic-background-comforter-5ee1903c53-5ee1903c53</t>
        </is>
      </c>
      <c r="B36" s="2" t="inlineStr">
        <is>
          <t>P2</t>
        </is>
      </c>
      <c r="C36" s="2" t="n">
        <v>10</v>
      </c>
      <c r="D36" s="2" t="inlineStr">
        <is>
          <t>PARTIAL</t>
        </is>
      </c>
      <c r="E36" s="5">
        <f>IF(B36="I1",AVERAGEIF('QA_Images'!$A$2:$A$63,A36,'QA_Images'!$T$2:$T$63)/100,IF(D36="FULL",1,IF(D36="PARTIAL",0.5,IF(D36="FAIL",0,""))))</f>
        <v/>
      </c>
      <c r="F36" s="5">
        <f>IF(E36="",0,C36*E36)</f>
        <v/>
      </c>
      <c r="G36" s="5">
        <f>IF(B36="I1",20*AVERAGEIF('QA_Images'!$A$2:$A$63,A36,'QA_Images'!$U$2:$U$63)/100,IF(D36="NOT_CHECKED",0,C36))</f>
        <v/>
      </c>
      <c r="H36" s="2" t="inlineStr">
        <is>
          <t>Source product facts, variants, specifications and personalization claims are evidence-backed. Personalization/specification claims checked against storefront product.js and static customizer config.</t>
        </is>
      </c>
      <c r="I36" s="2" t="inlineStr">
        <is>
          <t>evidence_batch_013_124</t>
        </is>
      </c>
      <c r="J36" s="2" t="inlineStr">
        <is>
          <t>ISSUE-0028; ISSUE-0029; ISSUE-0030; ISSUE-0031</t>
        </is>
      </c>
    </row>
    <row r="37" ht="42" customHeight="1">
      <c r="A37" s="3" t="inlineStr">
        <is>
          <t>jeminise.com+custom-trucking-semi-truck-on-textured-metallic-background-comforter-5ee1903c53-5ee1903c53</t>
        </is>
      </c>
      <c r="B37" s="3" t="inlineStr">
        <is>
          <t>K1</t>
        </is>
      </c>
      <c r="C37" s="3" t="n">
        <v>10</v>
      </c>
      <c r="D37" s="3" t="inlineStr">
        <is>
          <t>PARTIAL</t>
        </is>
      </c>
      <c r="E37" s="7">
        <f>IF(B37="I1",AVERAGEIF('QA_Images'!$A$2:$A$63,A37,'QA_Images'!$T$2:$T$63)/100,IF(D37="FULL",1,IF(D37="PARTIAL",0.5,IF(D37="FAIL",0,""))))</f>
        <v/>
      </c>
      <c r="F37" s="7">
        <f>IF(E37="",0,C37*E37)</f>
        <v/>
      </c>
      <c r="G37" s="7">
        <f>IF(B37="I1",20*AVERAGEIF('QA_Images'!$A$2:$A$63,A37,'QA_Images'!$U$2:$U$63)/100,IF(D37="NOT_CHECKED",0,C37))</f>
        <v/>
      </c>
      <c r="H37" s="3" t="inlineStr">
        <is>
          <t>Primary keyword aligns with product-level US purchase intent. Primary keyword rechecked against US product-level SERP comparables.</t>
        </is>
      </c>
      <c r="I37" s="3" t="inlineStr">
        <is>
          <t>evidence_batch_013_124</t>
        </is>
      </c>
      <c r="J37" s="3" t="inlineStr">
        <is>
          <t>ISSUE-0028; ISSUE-0029; ISSUE-0030; ISSUE-0031</t>
        </is>
      </c>
    </row>
    <row r="38" ht="42" customHeight="1">
      <c r="A38" s="2" t="inlineStr">
        <is>
          <t>jeminise.com+custom-trucking-semi-truck-on-textured-metallic-background-comforter-5ee1903c53-5ee1903c53</t>
        </is>
      </c>
      <c r="B38" s="2" t="inlineStr">
        <is>
          <t>K2</t>
        </is>
      </c>
      <c r="C38" s="2" t="n">
        <v>5</v>
      </c>
      <c r="D38" s="2" t="inlineStr">
        <is>
          <t>PARTIAL</t>
        </is>
      </c>
      <c r="E38" s="5">
        <f>IF(B38="I1",AVERAGEIF('QA_Images'!$A$2:$A$63,A38,'QA_Images'!$T$2:$T$63)/100,IF(D38="FULL",1,IF(D38="PARTIAL",0.5,IF(D38="FAIL",0,""))))</f>
        <v/>
      </c>
      <c r="F38" s="5">
        <f>IF(E38="",0,C38*E38)</f>
        <v/>
      </c>
      <c r="G38" s="5">
        <f>IF(B38="I1",20*AVERAGEIF('QA_Images'!$A$2:$A$63,A38,'QA_Images'!$U$2:$U$63)/100,IF(D38="NOT_CHECKED",0,C38))</f>
        <v/>
      </c>
      <c r="H38" s="2" t="inlineStr">
        <is>
          <t>Intent/cannibalization check distinguishes nearby products. Nearby product cluster has overlap risk, so intent distinction remains only partial.</t>
        </is>
      </c>
      <c r="I38" s="2" t="inlineStr">
        <is>
          <t>evidence_batch_013_124</t>
        </is>
      </c>
      <c r="J38" s="2" t="inlineStr">
        <is>
          <t>ISSUE-0028; ISSUE-0029; ISSUE-0030; ISSUE-0031</t>
        </is>
      </c>
    </row>
    <row r="39" ht="42" customHeight="1">
      <c r="A39" s="3" t="inlineStr">
        <is>
          <t>jeminise.com+custom-trucking-semi-truck-on-textured-metallic-background-comforter-5ee1903c53-5ee1903c53</t>
        </is>
      </c>
      <c r="B39" s="3" t="inlineStr">
        <is>
          <t>K3</t>
        </is>
      </c>
      <c r="C39" s="3" t="n">
        <v>5</v>
      </c>
      <c r="D39" s="3" t="inlineStr">
        <is>
          <t>PARTIAL</t>
        </is>
      </c>
      <c r="E39" s="7">
        <f>IF(B39="I1",AVERAGEIF('QA_Images'!$A$2:$A$63,A39,'QA_Images'!$T$2:$T$63)/100,IF(D39="FULL",1,IF(D39="PARTIAL",0.5,IF(D39="FAIL",0,""))))</f>
        <v/>
      </c>
      <c r="F39" s="7">
        <f>IF(E39="",0,C39*E39)</f>
        <v/>
      </c>
      <c r="G39" s="7">
        <f>IF(B39="I1",20*AVERAGEIF('QA_Images'!$A$2:$A$63,A39,'QA_Images'!$U$2:$U$63)/100,IF(D39="NOT_CHECKED",0,C39))</f>
        <v/>
      </c>
      <c r="H39" s="3" t="inlineStr">
        <is>
          <t>Keyword evidence is supported by SERP comparables without unsupported volume claims. Evidence is public SERP only; no Search Console, keyword volume or customer-search corpus provided.</t>
        </is>
      </c>
      <c r="I39" s="3" t="inlineStr">
        <is>
          <t>evidence_batch_013_124</t>
        </is>
      </c>
      <c r="J39" s="3" t="inlineStr">
        <is>
          <t>ISSUE-0028; ISSUE-0029; ISSUE-0030; ISSUE-0031</t>
        </is>
      </c>
    </row>
    <row r="40" ht="42" customHeight="1">
      <c r="A40" s="2" t="inlineStr">
        <is>
          <t>jeminise.com+custom-trucking-semi-truck-on-textured-metallic-background-comforter-5ee1903c53-5ee1903c53</t>
        </is>
      </c>
      <c r="B40" s="2" t="inlineStr">
        <is>
          <t>T1</t>
        </is>
      </c>
      <c r="C40" s="2" t="n">
        <v>10</v>
      </c>
      <c r="D40" s="2" t="inlineStr">
        <is>
          <t>FULL</t>
        </is>
      </c>
      <c r="E40" s="5">
        <f>IF(B40="I1",AVERAGEIF('QA_Images'!$A$2:$A$63,A40,'QA_Images'!$T$2:$T$63)/100,IF(D40="FULL",1,IF(D40="PARTIAL",0.5,IF(D40="FAIL",0,""))))</f>
        <v/>
      </c>
      <c r="F40" s="5">
        <f>IF(E40="",0,C40*E40)</f>
        <v/>
      </c>
      <c r="G40" s="5">
        <f>IF(B40="I1",20*AVERAGEIF('QA_Images'!$A$2:$A$63,A40,'QA_Images'!$U$2:$U$63)/100,IF(D40="NOT_CHECKED",0,C40))</f>
        <v/>
      </c>
      <c r="H40" s="2" t="inlineStr">
        <is>
          <t>SEO title and H1 are relevant, specific and grounded in visible/source facts. Title/H1 are product-specific and tied to visible motif/product type.</t>
        </is>
      </c>
      <c r="I40" s="2" t="inlineStr">
        <is>
          <t>evidence_batch_013_124</t>
        </is>
      </c>
      <c r="J40" s="2" t="inlineStr">
        <is>
          <t>ISSUE-0028; ISSUE-0029; ISSUE-0030; ISSUE-0031</t>
        </is>
      </c>
    </row>
    <row r="41" ht="42" customHeight="1">
      <c r="A41" s="3" t="inlineStr">
        <is>
          <t>jeminise.com+custom-trucking-semi-truck-on-textured-metallic-background-comforter-5ee1903c53-5ee1903c53</t>
        </is>
      </c>
      <c r="B41" s="3" t="inlineStr">
        <is>
          <t>T2</t>
        </is>
      </c>
      <c r="C41" s="3" t="n">
        <v>5</v>
      </c>
      <c r="D41" s="3" t="inlineStr">
        <is>
          <t>PARTIAL</t>
        </is>
      </c>
      <c r="E41" s="7">
        <f>IF(B41="I1",AVERAGEIF('QA_Images'!$A$2:$A$63,A41,'QA_Images'!$T$2:$T$63)/100,IF(D41="FULL",1,IF(D41="PARTIAL",0.5,IF(D41="FAIL",0,""))))</f>
        <v/>
      </c>
      <c r="F41" s="7">
        <f>IF(E41="",0,C41*E41)</f>
        <v/>
      </c>
      <c r="G41" s="7">
        <f>IF(B41="I1",20*AVERAGEIF('QA_Images'!$A$2:$A$63,A41,'QA_Images'!$U$2:$U$63)/100,IF(D41="NOT_CHECKED",0,C41))</f>
        <v/>
      </c>
      <c r="H41" s="3" t="inlineStr">
        <is>
          <t>Meta description is concise, publish-ready and avoids unsupported claims. Meta description checked for length, specificity and supportable claims.</t>
        </is>
      </c>
      <c r="I41" s="3" t="inlineStr">
        <is>
          <t>evidence_batch_013_124</t>
        </is>
      </c>
      <c r="J41" s="3" t="inlineStr">
        <is>
          <t>ISSUE-0028; ISSUE-0029; ISSUE-0030; ISSUE-0031</t>
        </is>
      </c>
    </row>
    <row r="42" ht="42" customHeight="1">
      <c r="A42" s="2" t="inlineStr">
        <is>
          <t>jeminise.com+custom-trucking-semi-truck-on-textured-metallic-background-comforter-5ee1903c53-5ee1903c53</t>
        </is>
      </c>
      <c r="B42" s="2" t="inlineStr">
        <is>
          <t>D1</t>
        </is>
      </c>
      <c r="C42" s="2" t="n">
        <v>10</v>
      </c>
      <c r="D42" s="2" t="inlineStr">
        <is>
          <t>FAIL</t>
        </is>
      </c>
      <c r="E42" s="5">
        <f>IF(B42="I1",AVERAGEIF('QA_Images'!$A$2:$A$63,A42,'QA_Images'!$T$2:$T$63)/100,IF(D42="FULL",1,IF(D42="PARTIAL",0.5,IF(D42="FAIL",0,""))))</f>
        <v/>
      </c>
      <c r="F42" s="5">
        <f>IF(E42="",0,C42*E42)</f>
        <v/>
      </c>
      <c r="G42" s="5">
        <f>IF(B42="I1",20*AVERAGEIF('QA_Images'!$A$2:$A$63,A42,'QA_Images'!$U$2:$U$63)/100,IF(D42="NOT_CHECKED",0,C42))</f>
        <v/>
      </c>
      <c r="H42" s="2" t="inlineStr">
        <is>
          <t>Description HTML is publish-ready and free of internal draft/QA instructions. Description HTML still contains internal QA/import language.</t>
        </is>
      </c>
      <c r="I42" s="2" t="inlineStr">
        <is>
          <t>evidence_batch_013_124</t>
        </is>
      </c>
      <c r="J42" s="2" t="inlineStr">
        <is>
          <t>ISSUE-0028; ISSUE-0029; ISSUE-0030; ISSUE-0031</t>
        </is>
      </c>
    </row>
    <row r="43" ht="42" customHeight="1">
      <c r="A43" s="3" t="inlineStr">
        <is>
          <t>jeminise.com+custom-trucking-semi-truck-on-textured-metallic-background-comforter-5ee1903c53-5ee1903c53</t>
        </is>
      </c>
      <c r="B43" s="3" t="inlineStr">
        <is>
          <t>D2</t>
        </is>
      </c>
      <c r="C43" s="3" t="n">
        <v>5</v>
      </c>
      <c r="D43" s="3" t="inlineStr">
        <is>
          <t>PARTIAL</t>
        </is>
      </c>
      <c r="E43" s="7">
        <f>IF(B43="I1",AVERAGEIF('QA_Images'!$A$2:$A$63,A43,'QA_Images'!$T$2:$T$63)/100,IF(D43="FULL",1,IF(D43="PARTIAL",0.5,IF(D43="FAIL",0,""))))</f>
        <v/>
      </c>
      <c r="F43" s="7">
        <f>IF(E43="",0,C43*E43)</f>
        <v/>
      </c>
      <c r="G43" s="7">
        <f>IF(B43="I1",20*AVERAGEIF('QA_Images'!$A$2:$A$63,A43,'QA_Images'!$U$2:$U$63)/100,IF(D43="NOT_CHECKED",0,C43))</f>
        <v/>
      </c>
      <c r="H43" s="3" t="inlineStr">
        <is>
          <t>Description content covers verified design, product type, use case and constraints. Description covers motif/product type but remains templated and does not always map every verified constraint.</t>
        </is>
      </c>
      <c r="I43" s="3" t="inlineStr">
        <is>
          <t>evidence_batch_013_124</t>
        </is>
      </c>
      <c r="J43" s="3" t="inlineStr">
        <is>
          <t>ISSUE-0028; ISSUE-0029; ISSUE-0030; ISSUE-0031</t>
        </is>
      </c>
    </row>
    <row r="44" ht="42" customHeight="1">
      <c r="A44" s="2" t="inlineStr">
        <is>
          <t>jeminise.com+custom-trucking-semi-truck-on-textured-metallic-background-comforter-5ee1903c53-5ee1903c53</t>
        </is>
      </c>
      <c r="B44" s="2" t="inlineStr">
        <is>
          <t>I1</t>
        </is>
      </c>
      <c r="C44" s="2" t="n">
        <v>20</v>
      </c>
      <c r="D44" s="2" t="inlineStr">
        <is>
          <t>FULL</t>
        </is>
      </c>
      <c r="E44" s="5">
        <f>IF(B44="I1",AVERAGEIF('QA_Images'!$A$2:$A$63,A44,'QA_Images'!$T$2:$T$63)/100,IF(D44="FULL",1,IF(D44="PARTIAL",0.5,IF(D44="FAIL",0,""))))</f>
        <v/>
      </c>
      <c r="F44" s="5">
        <f>IF(E44="",0,C44*E44)</f>
        <v/>
      </c>
      <c r="G44" s="5">
        <f>IF(B44="I1",20*AVERAGEIF('QA_Images'!$A$2:$A$63,A44,'QA_Images'!$U$2:$U$63)/100,IF(D44="NOT_CHECKED",0,C44))</f>
        <v/>
      </c>
      <c r="H44" s="2" t="inlineStr">
        <is>
          <t>Image coverage, image observations and alt text quality, derived from QA_Images. Derived from average image QA score; see QA_Images.</t>
        </is>
      </c>
      <c r="I44" s="2" t="inlineStr">
        <is>
          <t>evidence_batch_013_124</t>
        </is>
      </c>
      <c r="J44" s="2" t="inlineStr">
        <is>
          <t>ISSUE-0028; ISSUE-0029; ISSUE-0030; ISSUE-0031</t>
        </is>
      </c>
    </row>
    <row r="45" ht="42" customHeight="1">
      <c r="A45" s="3" t="inlineStr">
        <is>
          <t>jeminise.com+custom-trucking-semi-truck-on-textured-metallic-background-comforter-5ee1903c53-5ee1903c53</t>
        </is>
      </c>
      <c r="B45" s="3" t="inlineStr">
        <is>
          <t>E1</t>
        </is>
      </c>
      <c r="C45" s="3" t="n">
        <v>5</v>
      </c>
      <c r="D45" s="3" t="inlineStr">
        <is>
          <t>PARTIAL</t>
        </is>
      </c>
      <c r="E45" s="7">
        <f>IF(B45="I1",AVERAGEIF('QA_Images'!$A$2:$A$63,A45,'QA_Images'!$T$2:$T$63)/100,IF(D45="FULL",1,IF(D45="PARTIAL",0.5,IF(D45="FAIL",0,""))))</f>
        <v/>
      </c>
      <c r="F45" s="7">
        <f>IF(E45="",0,C45*E45)</f>
        <v/>
      </c>
      <c r="G45" s="7">
        <f>IF(B45="I1",20*AVERAGEIF('QA_Images'!$A$2:$A$63,A45,'QA_Images'!$U$2:$U$63)/100,IF(D45="NOT_CHECKED",0,C45))</f>
        <v/>
      </c>
      <c r="H45" s="3" t="inlineStr">
        <is>
          <t>Evidence chain is traceable and limitations are explicitly separated from failures. Evidence chain is traceable, with admin-export limitation explicitly separated.</t>
        </is>
      </c>
      <c r="I45" s="3" t="inlineStr">
        <is>
          <t>evidence_batch_013_124</t>
        </is>
      </c>
      <c r="J45" s="3" t="inlineStr">
        <is>
          <t>ISSUE-0028; ISSUE-0029; ISSUE-0030; ISSUE-0031</t>
        </is>
      </c>
    </row>
    <row r="46" ht="42" customHeight="1">
      <c r="A46" s="2" t="inlineStr">
        <is>
          <t>jeminise.com+custom-trucking-semi-truck-under-starry-night-sky-comforter-6bbe1b0cd5-6bbe1b0cd5</t>
        </is>
      </c>
      <c r="B46" s="2" t="inlineStr">
        <is>
          <t>P1</t>
        </is>
      </c>
      <c r="C46" s="2" t="n">
        <v>15</v>
      </c>
      <c r="D46" s="2" t="inlineStr">
        <is>
          <t>FULL</t>
        </is>
      </c>
      <c r="E46" s="5">
        <f>IF(B46="I1",AVERAGEIF('QA_Images'!$A$2:$A$63,A46,'QA_Images'!$T$2:$T$63)/100,IF(D46="FULL",1,IF(D46="PARTIAL",0.5,IF(D46="FAIL",0,""))))</f>
        <v/>
      </c>
      <c r="F46" s="5">
        <f>IF(E46="",0,C46*E46)</f>
        <v/>
      </c>
      <c r="G46" s="5">
        <f>IF(B46="I1",20*AVERAGEIF('QA_Images'!$A$2:$A$63,A46,'QA_Images'!$U$2:$U$63)/100,IF(D46="NOT_CHECKED",0,C46))</f>
        <v/>
      </c>
      <c r="H46" s="2" t="inlineStr">
        <is>
          <t>Product identity, handle, product ID, URL and canonical match source/live evidence. Product key/handle/product ID/canonical checked against frozen workbook and live product evidence.</t>
        </is>
      </c>
      <c r="I46" s="2" t="inlineStr">
        <is>
          <t>evidence_batch_013_125</t>
        </is>
      </c>
      <c r="J46" s="2" t="inlineStr">
        <is>
          <t>ISSUE-0037; ISSUE-0038; ISSUE-0039; ISSUE-0040</t>
        </is>
      </c>
    </row>
    <row r="47" ht="42" customHeight="1">
      <c r="A47" s="3" t="inlineStr">
        <is>
          <t>jeminise.com+custom-trucking-semi-truck-under-starry-night-sky-comforter-6bbe1b0cd5-6bbe1b0cd5</t>
        </is>
      </c>
      <c r="B47" s="3" t="inlineStr">
        <is>
          <t>P2</t>
        </is>
      </c>
      <c r="C47" s="3" t="n">
        <v>10</v>
      </c>
      <c r="D47" s="3" t="inlineStr">
        <is>
          <t>PARTIAL</t>
        </is>
      </c>
      <c r="E47" s="7">
        <f>IF(B47="I1",AVERAGEIF('QA_Images'!$A$2:$A$63,A47,'QA_Images'!$T$2:$T$63)/100,IF(D47="FULL",1,IF(D47="PARTIAL",0.5,IF(D47="FAIL",0,""))))</f>
        <v/>
      </c>
      <c r="F47" s="7">
        <f>IF(E47="",0,C47*E47)</f>
        <v/>
      </c>
      <c r="G47" s="7">
        <f>IF(B47="I1",20*AVERAGEIF('QA_Images'!$A$2:$A$63,A47,'QA_Images'!$U$2:$U$63)/100,IF(D47="NOT_CHECKED",0,C47))</f>
        <v/>
      </c>
      <c r="H47" s="3" t="inlineStr">
        <is>
          <t>Source product facts, variants, specifications and personalization claims are evidence-backed. Personalization/specification claims checked against storefront product.js and static customizer config.</t>
        </is>
      </c>
      <c r="I47" s="3" t="inlineStr">
        <is>
          <t>evidence_batch_013_125</t>
        </is>
      </c>
      <c r="J47" s="3" t="inlineStr">
        <is>
          <t>ISSUE-0037; ISSUE-0038; ISSUE-0039; ISSUE-0040</t>
        </is>
      </c>
    </row>
    <row r="48" ht="42" customHeight="1">
      <c r="A48" s="2" t="inlineStr">
        <is>
          <t>jeminise.com+custom-trucking-semi-truck-under-starry-night-sky-comforter-6bbe1b0cd5-6bbe1b0cd5</t>
        </is>
      </c>
      <c r="B48" s="2" t="inlineStr">
        <is>
          <t>K1</t>
        </is>
      </c>
      <c r="C48" s="2" t="n">
        <v>10</v>
      </c>
      <c r="D48" s="2" t="inlineStr">
        <is>
          <t>PARTIAL</t>
        </is>
      </c>
      <c r="E48" s="5">
        <f>IF(B48="I1",AVERAGEIF('QA_Images'!$A$2:$A$63,A48,'QA_Images'!$T$2:$T$63)/100,IF(D48="FULL",1,IF(D48="PARTIAL",0.5,IF(D48="FAIL",0,""))))</f>
        <v/>
      </c>
      <c r="F48" s="5">
        <f>IF(E48="",0,C48*E48)</f>
        <v/>
      </c>
      <c r="G48" s="5">
        <f>IF(B48="I1",20*AVERAGEIF('QA_Images'!$A$2:$A$63,A48,'QA_Images'!$U$2:$U$63)/100,IF(D48="NOT_CHECKED",0,C48))</f>
        <v/>
      </c>
      <c r="H48" s="2" t="inlineStr">
        <is>
          <t>Primary keyword aligns with product-level US purchase intent. Primary keyword rechecked against US product-level SERP comparables.</t>
        </is>
      </c>
      <c r="I48" s="2" t="inlineStr">
        <is>
          <t>evidence_batch_013_125</t>
        </is>
      </c>
      <c r="J48" s="2" t="inlineStr">
        <is>
          <t>ISSUE-0037; ISSUE-0038; ISSUE-0039; ISSUE-0040</t>
        </is>
      </c>
    </row>
    <row r="49" ht="42" customHeight="1">
      <c r="A49" s="3" t="inlineStr">
        <is>
          <t>jeminise.com+custom-trucking-semi-truck-under-starry-night-sky-comforter-6bbe1b0cd5-6bbe1b0cd5</t>
        </is>
      </c>
      <c r="B49" s="3" t="inlineStr">
        <is>
          <t>K2</t>
        </is>
      </c>
      <c r="C49" s="3" t="n">
        <v>5</v>
      </c>
      <c r="D49" s="3" t="inlineStr">
        <is>
          <t>PARTIAL</t>
        </is>
      </c>
      <c r="E49" s="7">
        <f>IF(B49="I1",AVERAGEIF('QA_Images'!$A$2:$A$63,A49,'QA_Images'!$T$2:$T$63)/100,IF(D49="FULL",1,IF(D49="PARTIAL",0.5,IF(D49="FAIL",0,""))))</f>
        <v/>
      </c>
      <c r="F49" s="7">
        <f>IF(E49="",0,C49*E49)</f>
        <v/>
      </c>
      <c r="G49" s="7">
        <f>IF(B49="I1",20*AVERAGEIF('QA_Images'!$A$2:$A$63,A49,'QA_Images'!$U$2:$U$63)/100,IF(D49="NOT_CHECKED",0,C49))</f>
        <v/>
      </c>
      <c r="H49" s="3" t="inlineStr">
        <is>
          <t>Intent/cannibalization check distinguishes nearby products. Nearby product cluster has overlap risk, so intent distinction remains only partial.</t>
        </is>
      </c>
      <c r="I49" s="3" t="inlineStr">
        <is>
          <t>evidence_batch_013_125</t>
        </is>
      </c>
      <c r="J49" s="3" t="inlineStr">
        <is>
          <t>ISSUE-0037; ISSUE-0038; ISSUE-0039; ISSUE-0040</t>
        </is>
      </c>
    </row>
    <row r="50" ht="42" customHeight="1">
      <c r="A50" s="2" t="inlineStr">
        <is>
          <t>jeminise.com+custom-trucking-semi-truck-under-starry-night-sky-comforter-6bbe1b0cd5-6bbe1b0cd5</t>
        </is>
      </c>
      <c r="B50" s="2" t="inlineStr">
        <is>
          <t>K3</t>
        </is>
      </c>
      <c r="C50" s="2" t="n">
        <v>5</v>
      </c>
      <c r="D50" s="2" t="inlineStr">
        <is>
          <t>PARTIAL</t>
        </is>
      </c>
      <c r="E50" s="5">
        <f>IF(B50="I1",AVERAGEIF('QA_Images'!$A$2:$A$63,A50,'QA_Images'!$T$2:$T$63)/100,IF(D50="FULL",1,IF(D50="PARTIAL",0.5,IF(D50="FAIL",0,""))))</f>
        <v/>
      </c>
      <c r="F50" s="5">
        <f>IF(E50="",0,C50*E50)</f>
        <v/>
      </c>
      <c r="G50" s="5">
        <f>IF(B50="I1",20*AVERAGEIF('QA_Images'!$A$2:$A$63,A50,'QA_Images'!$U$2:$U$63)/100,IF(D50="NOT_CHECKED",0,C50))</f>
        <v/>
      </c>
      <c r="H50" s="2" t="inlineStr">
        <is>
          <t>Keyword evidence is supported by SERP comparables without unsupported volume claims. Evidence is public SERP only; no Search Console, keyword volume or customer-search corpus provided.</t>
        </is>
      </c>
      <c r="I50" s="2" t="inlineStr">
        <is>
          <t>evidence_batch_013_125</t>
        </is>
      </c>
      <c r="J50" s="2" t="inlineStr">
        <is>
          <t>ISSUE-0037; ISSUE-0038; ISSUE-0039; ISSUE-0040</t>
        </is>
      </c>
    </row>
    <row r="51" ht="42" customHeight="1">
      <c r="A51" s="3" t="inlineStr">
        <is>
          <t>jeminise.com+custom-trucking-semi-truck-under-starry-night-sky-comforter-6bbe1b0cd5-6bbe1b0cd5</t>
        </is>
      </c>
      <c r="B51" s="3" t="inlineStr">
        <is>
          <t>T1</t>
        </is>
      </c>
      <c r="C51" s="3" t="n">
        <v>10</v>
      </c>
      <c r="D51" s="3" t="inlineStr">
        <is>
          <t>FULL</t>
        </is>
      </c>
      <c r="E51" s="7">
        <f>IF(B51="I1",AVERAGEIF('QA_Images'!$A$2:$A$63,A51,'QA_Images'!$T$2:$T$63)/100,IF(D51="FULL",1,IF(D51="PARTIAL",0.5,IF(D51="FAIL",0,""))))</f>
        <v/>
      </c>
      <c r="F51" s="7">
        <f>IF(E51="",0,C51*E51)</f>
        <v/>
      </c>
      <c r="G51" s="7">
        <f>IF(B51="I1",20*AVERAGEIF('QA_Images'!$A$2:$A$63,A51,'QA_Images'!$U$2:$U$63)/100,IF(D51="NOT_CHECKED",0,C51))</f>
        <v/>
      </c>
      <c r="H51" s="3" t="inlineStr">
        <is>
          <t>SEO title and H1 are relevant, specific and grounded in visible/source facts. Title/H1 are product-specific and tied to visible motif/product type.</t>
        </is>
      </c>
      <c r="I51" s="3" t="inlineStr">
        <is>
          <t>evidence_batch_013_125</t>
        </is>
      </c>
      <c r="J51" s="3" t="inlineStr">
        <is>
          <t>ISSUE-0037; ISSUE-0038; ISSUE-0039; ISSUE-0040</t>
        </is>
      </c>
    </row>
    <row r="52" ht="42" customHeight="1">
      <c r="A52" s="2" t="inlineStr">
        <is>
          <t>jeminise.com+custom-trucking-semi-truck-under-starry-night-sky-comforter-6bbe1b0cd5-6bbe1b0cd5</t>
        </is>
      </c>
      <c r="B52" s="2" t="inlineStr">
        <is>
          <t>T2</t>
        </is>
      </c>
      <c r="C52" s="2" t="n">
        <v>5</v>
      </c>
      <c r="D52" s="2" t="inlineStr">
        <is>
          <t>PARTIAL</t>
        </is>
      </c>
      <c r="E52" s="5">
        <f>IF(B52="I1",AVERAGEIF('QA_Images'!$A$2:$A$63,A52,'QA_Images'!$T$2:$T$63)/100,IF(D52="FULL",1,IF(D52="PARTIAL",0.5,IF(D52="FAIL",0,""))))</f>
        <v/>
      </c>
      <c r="F52" s="5">
        <f>IF(E52="",0,C52*E52)</f>
        <v/>
      </c>
      <c r="G52" s="5">
        <f>IF(B52="I1",20*AVERAGEIF('QA_Images'!$A$2:$A$63,A52,'QA_Images'!$U$2:$U$63)/100,IF(D52="NOT_CHECKED",0,C52))</f>
        <v/>
      </c>
      <c r="H52" s="2" t="inlineStr">
        <is>
          <t>Meta description is concise, publish-ready and avoids unsupported claims. Meta description checked for length, specificity and supportable claims.</t>
        </is>
      </c>
      <c r="I52" s="2" t="inlineStr">
        <is>
          <t>evidence_batch_013_125</t>
        </is>
      </c>
      <c r="J52" s="2" t="inlineStr">
        <is>
          <t>ISSUE-0037; ISSUE-0038; ISSUE-0039; ISSUE-0040</t>
        </is>
      </c>
    </row>
    <row r="53" ht="42" customHeight="1">
      <c r="A53" s="3" t="inlineStr">
        <is>
          <t>jeminise.com+custom-trucking-semi-truck-under-starry-night-sky-comforter-6bbe1b0cd5-6bbe1b0cd5</t>
        </is>
      </c>
      <c r="B53" s="3" t="inlineStr">
        <is>
          <t>D1</t>
        </is>
      </c>
      <c r="C53" s="3" t="n">
        <v>10</v>
      </c>
      <c r="D53" s="3" t="inlineStr">
        <is>
          <t>FAIL</t>
        </is>
      </c>
      <c r="E53" s="7">
        <f>IF(B53="I1",AVERAGEIF('QA_Images'!$A$2:$A$63,A53,'QA_Images'!$T$2:$T$63)/100,IF(D53="FULL",1,IF(D53="PARTIAL",0.5,IF(D53="FAIL",0,""))))</f>
        <v/>
      </c>
      <c r="F53" s="7">
        <f>IF(E53="",0,C53*E53)</f>
        <v/>
      </c>
      <c r="G53" s="7">
        <f>IF(B53="I1",20*AVERAGEIF('QA_Images'!$A$2:$A$63,A53,'QA_Images'!$U$2:$U$63)/100,IF(D53="NOT_CHECKED",0,C53))</f>
        <v/>
      </c>
      <c r="H53" s="3" t="inlineStr">
        <is>
          <t>Description HTML is publish-ready and free of internal draft/QA instructions. Description HTML still contains internal QA/import language.</t>
        </is>
      </c>
      <c r="I53" s="3" t="inlineStr">
        <is>
          <t>evidence_batch_013_125</t>
        </is>
      </c>
      <c r="J53" s="3" t="inlineStr">
        <is>
          <t>ISSUE-0037; ISSUE-0038; ISSUE-0039; ISSUE-0040</t>
        </is>
      </c>
    </row>
    <row r="54" ht="42" customHeight="1">
      <c r="A54" s="2" t="inlineStr">
        <is>
          <t>jeminise.com+custom-trucking-semi-truck-under-starry-night-sky-comforter-6bbe1b0cd5-6bbe1b0cd5</t>
        </is>
      </c>
      <c r="B54" s="2" t="inlineStr">
        <is>
          <t>D2</t>
        </is>
      </c>
      <c r="C54" s="2" t="n">
        <v>5</v>
      </c>
      <c r="D54" s="2" t="inlineStr">
        <is>
          <t>PARTIAL</t>
        </is>
      </c>
      <c r="E54" s="5">
        <f>IF(B54="I1",AVERAGEIF('QA_Images'!$A$2:$A$63,A54,'QA_Images'!$T$2:$T$63)/100,IF(D54="FULL",1,IF(D54="PARTIAL",0.5,IF(D54="FAIL",0,""))))</f>
        <v/>
      </c>
      <c r="F54" s="5">
        <f>IF(E54="",0,C54*E54)</f>
        <v/>
      </c>
      <c r="G54" s="5">
        <f>IF(B54="I1",20*AVERAGEIF('QA_Images'!$A$2:$A$63,A54,'QA_Images'!$U$2:$U$63)/100,IF(D54="NOT_CHECKED",0,C54))</f>
        <v/>
      </c>
      <c r="H54" s="2" t="inlineStr">
        <is>
          <t>Description content covers verified design, product type, use case and constraints. Description covers motif/product type but remains templated and does not always map every verified constraint.</t>
        </is>
      </c>
      <c r="I54" s="2" t="inlineStr">
        <is>
          <t>evidence_batch_013_125</t>
        </is>
      </c>
      <c r="J54" s="2" t="inlineStr">
        <is>
          <t>ISSUE-0037; ISSUE-0038; ISSUE-0039; ISSUE-0040</t>
        </is>
      </c>
    </row>
    <row r="55" ht="42" customHeight="1">
      <c r="A55" s="3" t="inlineStr">
        <is>
          <t>jeminise.com+custom-trucking-semi-truck-under-starry-night-sky-comforter-6bbe1b0cd5-6bbe1b0cd5</t>
        </is>
      </c>
      <c r="B55" s="3" t="inlineStr">
        <is>
          <t>I1</t>
        </is>
      </c>
      <c r="C55" s="3" t="n">
        <v>20</v>
      </c>
      <c r="D55" s="3" t="inlineStr">
        <is>
          <t>FULL</t>
        </is>
      </c>
      <c r="E55" s="7">
        <f>IF(B55="I1",AVERAGEIF('QA_Images'!$A$2:$A$63,A55,'QA_Images'!$T$2:$T$63)/100,IF(D55="FULL",1,IF(D55="PARTIAL",0.5,IF(D55="FAIL",0,""))))</f>
        <v/>
      </c>
      <c r="F55" s="7">
        <f>IF(E55="",0,C55*E55)</f>
        <v/>
      </c>
      <c r="G55" s="7">
        <f>IF(B55="I1",20*AVERAGEIF('QA_Images'!$A$2:$A$63,A55,'QA_Images'!$U$2:$U$63)/100,IF(D55="NOT_CHECKED",0,C55))</f>
        <v/>
      </c>
      <c r="H55" s="3" t="inlineStr">
        <is>
          <t>Image coverage, image observations and alt text quality, derived from QA_Images. Derived from average image QA score; see QA_Images.</t>
        </is>
      </c>
      <c r="I55" s="3" t="inlineStr">
        <is>
          <t>evidence_batch_013_125</t>
        </is>
      </c>
      <c r="J55" s="3" t="inlineStr">
        <is>
          <t>ISSUE-0037; ISSUE-0038; ISSUE-0039; ISSUE-0040</t>
        </is>
      </c>
    </row>
    <row r="56" ht="42" customHeight="1">
      <c r="A56" s="2" t="inlineStr">
        <is>
          <t>jeminise.com+custom-trucking-semi-truck-under-starry-night-sky-comforter-6bbe1b0cd5-6bbe1b0cd5</t>
        </is>
      </c>
      <c r="B56" s="2" t="inlineStr">
        <is>
          <t>E1</t>
        </is>
      </c>
      <c r="C56" s="2" t="n">
        <v>5</v>
      </c>
      <c r="D56" s="2" t="inlineStr">
        <is>
          <t>PARTIAL</t>
        </is>
      </c>
      <c r="E56" s="5">
        <f>IF(B56="I1",AVERAGEIF('QA_Images'!$A$2:$A$63,A56,'QA_Images'!$T$2:$T$63)/100,IF(D56="FULL",1,IF(D56="PARTIAL",0.5,IF(D56="FAIL",0,""))))</f>
        <v/>
      </c>
      <c r="F56" s="5">
        <f>IF(E56="",0,C56*E56)</f>
        <v/>
      </c>
      <c r="G56" s="5">
        <f>IF(B56="I1",20*AVERAGEIF('QA_Images'!$A$2:$A$63,A56,'QA_Images'!$U$2:$U$63)/100,IF(D56="NOT_CHECKED",0,C56))</f>
        <v/>
      </c>
      <c r="H56" s="2" t="inlineStr">
        <is>
          <t>Evidence chain is traceable and limitations are explicitly separated from failures. Evidence chain is traceable, with admin-export limitation explicitly separated.</t>
        </is>
      </c>
      <c r="I56" s="2" t="inlineStr">
        <is>
          <t>evidence_batch_013_125</t>
        </is>
      </c>
      <c r="J56" s="2" t="inlineStr">
        <is>
          <t>ISSUE-0037; ISSUE-0038; ISSUE-0039; ISSUE-0040</t>
        </is>
      </c>
    </row>
    <row r="57" ht="42" customHeight="1">
      <c r="A57" s="3" t="inlineStr">
        <is>
          <t>jeminise.com+cardinal-christmas-quilt-set-7237701d00-7237701d00</t>
        </is>
      </c>
      <c r="B57" s="3" t="inlineStr">
        <is>
          <t>P1</t>
        </is>
      </c>
      <c r="C57" s="3" t="n">
        <v>15</v>
      </c>
      <c r="D57" s="3" t="inlineStr">
        <is>
          <t>FULL</t>
        </is>
      </c>
      <c r="E57" s="7">
        <f>IF(B57="I1",AVERAGEIF('QA_Images'!$A$2:$A$63,A57,'QA_Images'!$T$2:$T$63)/100,IF(D57="FULL",1,IF(D57="PARTIAL",0.5,IF(D57="FAIL",0,""))))</f>
        <v/>
      </c>
      <c r="F57" s="7">
        <f>IF(E57="",0,C57*E57)</f>
        <v/>
      </c>
      <c r="G57" s="7">
        <f>IF(B57="I1",20*AVERAGEIF('QA_Images'!$A$2:$A$63,A57,'QA_Images'!$U$2:$U$63)/100,IF(D57="NOT_CHECKED",0,C57))</f>
        <v/>
      </c>
      <c r="H57" s="3" t="inlineStr">
        <is>
          <t>Product identity, handle, product ID, URL and canonical match source/live evidence. Product key/handle/product ID/canonical checked against frozen workbook and live product evidence.</t>
        </is>
      </c>
      <c r="I57" s="3" t="inlineStr">
        <is>
          <t>evidence_batch_013_126</t>
        </is>
      </c>
      <c r="J57" s="3" t="inlineStr">
        <is>
          <t>ISSUE-0046; ISSUE-0047; ISSUE-0048</t>
        </is>
      </c>
    </row>
    <row r="58" ht="42" customHeight="1">
      <c r="A58" s="2" t="inlineStr">
        <is>
          <t>jeminise.com+cardinal-christmas-quilt-set-7237701d00-7237701d00</t>
        </is>
      </c>
      <c r="B58" s="2" t="inlineStr">
        <is>
          <t>P2</t>
        </is>
      </c>
      <c r="C58" s="2" t="n">
        <v>10</v>
      </c>
      <c r="D58" s="2" t="inlineStr">
        <is>
          <t>PARTIAL</t>
        </is>
      </c>
      <c r="E58" s="5">
        <f>IF(B58="I1",AVERAGEIF('QA_Images'!$A$2:$A$63,A58,'QA_Images'!$T$2:$T$63)/100,IF(D58="FULL",1,IF(D58="PARTIAL",0.5,IF(D58="FAIL",0,""))))</f>
        <v/>
      </c>
      <c r="F58" s="5">
        <f>IF(E58="",0,C58*E58)</f>
        <v/>
      </c>
      <c r="G58" s="5">
        <f>IF(B58="I1",20*AVERAGEIF('QA_Images'!$A$2:$A$63,A58,'QA_Images'!$U$2:$U$63)/100,IF(D58="NOT_CHECKED",0,C58))</f>
        <v/>
      </c>
      <c r="H58" s="2" t="inlineStr">
        <is>
          <t>Source product facts, variants, specifications and personalization claims are evidence-backed. Personalization/specification claims checked against storefront product.js and static customizer config.</t>
        </is>
      </c>
      <c r="I58" s="2" t="inlineStr">
        <is>
          <t>evidence_batch_013_126</t>
        </is>
      </c>
      <c r="J58" s="2" t="inlineStr">
        <is>
          <t>ISSUE-0046; ISSUE-0047; ISSUE-0048</t>
        </is>
      </c>
    </row>
    <row r="59" ht="42" customHeight="1">
      <c r="A59" s="3" t="inlineStr">
        <is>
          <t>jeminise.com+cardinal-christmas-quilt-set-7237701d00-7237701d00</t>
        </is>
      </c>
      <c r="B59" s="3" t="inlineStr">
        <is>
          <t>K1</t>
        </is>
      </c>
      <c r="C59" s="3" t="n">
        <v>10</v>
      </c>
      <c r="D59" s="3" t="inlineStr">
        <is>
          <t>PARTIAL</t>
        </is>
      </c>
      <c r="E59" s="7">
        <f>IF(B59="I1",AVERAGEIF('QA_Images'!$A$2:$A$63,A59,'QA_Images'!$T$2:$T$63)/100,IF(D59="FULL",1,IF(D59="PARTIAL",0.5,IF(D59="FAIL",0,""))))</f>
        <v/>
      </c>
      <c r="F59" s="7">
        <f>IF(E59="",0,C59*E59)</f>
        <v/>
      </c>
      <c r="G59" s="7">
        <f>IF(B59="I1",20*AVERAGEIF('QA_Images'!$A$2:$A$63,A59,'QA_Images'!$U$2:$U$63)/100,IF(D59="NOT_CHECKED",0,C59))</f>
        <v/>
      </c>
      <c r="H59" s="3" t="inlineStr">
        <is>
          <t>Primary keyword aligns with product-level US purchase intent. Primary keyword rechecked against US product-level SERP comparables.</t>
        </is>
      </c>
      <c r="I59" s="3" t="inlineStr">
        <is>
          <t>evidence_batch_013_126</t>
        </is>
      </c>
      <c r="J59" s="3" t="inlineStr">
        <is>
          <t>ISSUE-0046; ISSUE-0047; ISSUE-0048</t>
        </is>
      </c>
    </row>
    <row r="60" ht="42" customHeight="1">
      <c r="A60" s="2" t="inlineStr">
        <is>
          <t>jeminise.com+cardinal-christmas-quilt-set-7237701d00-7237701d00</t>
        </is>
      </c>
      <c r="B60" s="2" t="inlineStr">
        <is>
          <t>K2</t>
        </is>
      </c>
      <c r="C60" s="2" t="n">
        <v>5</v>
      </c>
      <c r="D60" s="2" t="inlineStr">
        <is>
          <t>PARTIAL</t>
        </is>
      </c>
      <c r="E60" s="5">
        <f>IF(B60="I1",AVERAGEIF('QA_Images'!$A$2:$A$63,A60,'QA_Images'!$T$2:$T$63)/100,IF(D60="FULL",1,IF(D60="PARTIAL",0.5,IF(D60="FAIL",0,""))))</f>
        <v/>
      </c>
      <c r="F60" s="5">
        <f>IF(E60="",0,C60*E60)</f>
        <v/>
      </c>
      <c r="G60" s="5">
        <f>IF(B60="I1",20*AVERAGEIF('QA_Images'!$A$2:$A$63,A60,'QA_Images'!$U$2:$U$63)/100,IF(D60="NOT_CHECKED",0,C60))</f>
        <v/>
      </c>
      <c r="H60" s="2" t="inlineStr">
        <is>
          <t>Intent/cannibalization check distinguishes nearby products. Nearby product cluster has overlap risk, so intent distinction remains only partial.</t>
        </is>
      </c>
      <c r="I60" s="2" t="inlineStr">
        <is>
          <t>evidence_batch_013_126</t>
        </is>
      </c>
      <c r="J60" s="2" t="inlineStr">
        <is>
          <t>ISSUE-0046; ISSUE-0047; ISSUE-0048</t>
        </is>
      </c>
    </row>
    <row r="61" ht="42" customHeight="1">
      <c r="A61" s="3" t="inlineStr">
        <is>
          <t>jeminise.com+cardinal-christmas-quilt-set-7237701d00-7237701d00</t>
        </is>
      </c>
      <c r="B61" s="3" t="inlineStr">
        <is>
          <t>K3</t>
        </is>
      </c>
      <c r="C61" s="3" t="n">
        <v>5</v>
      </c>
      <c r="D61" s="3" t="inlineStr">
        <is>
          <t>PARTIAL</t>
        </is>
      </c>
      <c r="E61" s="7">
        <f>IF(B61="I1",AVERAGEIF('QA_Images'!$A$2:$A$63,A61,'QA_Images'!$T$2:$T$63)/100,IF(D61="FULL",1,IF(D61="PARTIAL",0.5,IF(D61="FAIL",0,""))))</f>
        <v/>
      </c>
      <c r="F61" s="7">
        <f>IF(E61="",0,C61*E61)</f>
        <v/>
      </c>
      <c r="G61" s="7">
        <f>IF(B61="I1",20*AVERAGEIF('QA_Images'!$A$2:$A$63,A61,'QA_Images'!$U$2:$U$63)/100,IF(D61="NOT_CHECKED",0,C61))</f>
        <v/>
      </c>
      <c r="H61" s="3" t="inlineStr">
        <is>
          <t>Keyword evidence is supported by SERP comparables without unsupported volume claims. Evidence is public SERP only; no Search Console, keyword volume or customer-search corpus provided.</t>
        </is>
      </c>
      <c r="I61" s="3" t="inlineStr">
        <is>
          <t>evidence_batch_013_126</t>
        </is>
      </c>
      <c r="J61" s="3" t="inlineStr">
        <is>
          <t>ISSUE-0046; ISSUE-0047; ISSUE-0048</t>
        </is>
      </c>
    </row>
    <row r="62" ht="42" customHeight="1">
      <c r="A62" s="2" t="inlineStr">
        <is>
          <t>jeminise.com+cardinal-christmas-quilt-set-7237701d00-7237701d00</t>
        </is>
      </c>
      <c r="B62" s="2" t="inlineStr">
        <is>
          <t>T1</t>
        </is>
      </c>
      <c r="C62" s="2" t="n">
        <v>10</v>
      </c>
      <c r="D62" s="2" t="inlineStr">
        <is>
          <t>FULL</t>
        </is>
      </c>
      <c r="E62" s="5">
        <f>IF(B62="I1",AVERAGEIF('QA_Images'!$A$2:$A$63,A62,'QA_Images'!$T$2:$T$63)/100,IF(D62="FULL",1,IF(D62="PARTIAL",0.5,IF(D62="FAIL",0,""))))</f>
        <v/>
      </c>
      <c r="F62" s="5">
        <f>IF(E62="",0,C62*E62)</f>
        <v/>
      </c>
      <c r="G62" s="5">
        <f>IF(B62="I1",20*AVERAGEIF('QA_Images'!$A$2:$A$63,A62,'QA_Images'!$U$2:$U$63)/100,IF(D62="NOT_CHECKED",0,C62))</f>
        <v/>
      </c>
      <c r="H62" s="2" t="inlineStr">
        <is>
          <t>SEO title and H1 are relevant, specific and grounded in visible/source facts. Title/H1 are product-specific and tied to visible motif/product type.</t>
        </is>
      </c>
      <c r="I62" s="2" t="inlineStr">
        <is>
          <t>evidence_batch_013_126</t>
        </is>
      </c>
      <c r="J62" s="2" t="inlineStr">
        <is>
          <t>ISSUE-0046; ISSUE-0047; ISSUE-0048</t>
        </is>
      </c>
    </row>
    <row r="63" ht="42" customHeight="1">
      <c r="A63" s="3" t="inlineStr">
        <is>
          <t>jeminise.com+cardinal-christmas-quilt-set-7237701d00-7237701d00</t>
        </is>
      </c>
      <c r="B63" s="3" t="inlineStr">
        <is>
          <t>T2</t>
        </is>
      </c>
      <c r="C63" s="3" t="n">
        <v>5</v>
      </c>
      <c r="D63" s="3" t="inlineStr">
        <is>
          <t>PARTIAL</t>
        </is>
      </c>
      <c r="E63" s="7">
        <f>IF(B63="I1",AVERAGEIF('QA_Images'!$A$2:$A$63,A63,'QA_Images'!$T$2:$T$63)/100,IF(D63="FULL",1,IF(D63="PARTIAL",0.5,IF(D63="FAIL",0,""))))</f>
        <v/>
      </c>
      <c r="F63" s="7">
        <f>IF(E63="",0,C63*E63)</f>
        <v/>
      </c>
      <c r="G63" s="7">
        <f>IF(B63="I1",20*AVERAGEIF('QA_Images'!$A$2:$A$63,A63,'QA_Images'!$U$2:$U$63)/100,IF(D63="NOT_CHECKED",0,C63))</f>
        <v/>
      </c>
      <c r="H63" s="3" t="inlineStr">
        <is>
          <t>Meta description is concise, publish-ready and avoids unsupported claims. Meta description checked for length, specificity and supportable claims.</t>
        </is>
      </c>
      <c r="I63" s="3" t="inlineStr">
        <is>
          <t>evidence_batch_013_126</t>
        </is>
      </c>
      <c r="J63" s="3" t="inlineStr">
        <is>
          <t>ISSUE-0046; ISSUE-0047; ISSUE-0048</t>
        </is>
      </c>
    </row>
    <row r="64" ht="42" customHeight="1">
      <c r="A64" s="2" t="inlineStr">
        <is>
          <t>jeminise.com+cardinal-christmas-quilt-set-7237701d00-7237701d00</t>
        </is>
      </c>
      <c r="B64" s="2" t="inlineStr">
        <is>
          <t>D1</t>
        </is>
      </c>
      <c r="C64" s="2" t="n">
        <v>10</v>
      </c>
      <c r="D64" s="2" t="inlineStr">
        <is>
          <t>FAIL</t>
        </is>
      </c>
      <c r="E64" s="5">
        <f>IF(B64="I1",AVERAGEIF('QA_Images'!$A$2:$A$63,A64,'QA_Images'!$T$2:$T$63)/100,IF(D64="FULL",1,IF(D64="PARTIAL",0.5,IF(D64="FAIL",0,""))))</f>
        <v/>
      </c>
      <c r="F64" s="5">
        <f>IF(E64="",0,C64*E64)</f>
        <v/>
      </c>
      <c r="G64" s="5">
        <f>IF(B64="I1",20*AVERAGEIF('QA_Images'!$A$2:$A$63,A64,'QA_Images'!$U$2:$U$63)/100,IF(D64="NOT_CHECKED",0,C64))</f>
        <v/>
      </c>
      <c r="H64" s="2" t="inlineStr">
        <is>
          <t>Description HTML is publish-ready and free of internal draft/QA instructions. Description HTML still contains internal QA/import language.</t>
        </is>
      </c>
      <c r="I64" s="2" t="inlineStr">
        <is>
          <t>evidence_batch_013_126</t>
        </is>
      </c>
      <c r="J64" s="2" t="inlineStr">
        <is>
          <t>ISSUE-0046; ISSUE-0047; ISSUE-0048</t>
        </is>
      </c>
    </row>
    <row r="65" ht="42" customHeight="1">
      <c r="A65" s="3" t="inlineStr">
        <is>
          <t>jeminise.com+cardinal-christmas-quilt-set-7237701d00-7237701d00</t>
        </is>
      </c>
      <c r="B65" s="3" t="inlineStr">
        <is>
          <t>D2</t>
        </is>
      </c>
      <c r="C65" s="3" t="n">
        <v>5</v>
      </c>
      <c r="D65" s="3" t="inlineStr">
        <is>
          <t>PARTIAL</t>
        </is>
      </c>
      <c r="E65" s="7">
        <f>IF(B65="I1",AVERAGEIF('QA_Images'!$A$2:$A$63,A65,'QA_Images'!$T$2:$T$63)/100,IF(D65="FULL",1,IF(D65="PARTIAL",0.5,IF(D65="FAIL",0,""))))</f>
        <v/>
      </c>
      <c r="F65" s="7">
        <f>IF(E65="",0,C65*E65)</f>
        <v/>
      </c>
      <c r="G65" s="7">
        <f>IF(B65="I1",20*AVERAGEIF('QA_Images'!$A$2:$A$63,A65,'QA_Images'!$U$2:$U$63)/100,IF(D65="NOT_CHECKED",0,C65))</f>
        <v/>
      </c>
      <c r="H65" s="3" t="inlineStr">
        <is>
          <t>Description content covers verified design, product type, use case and constraints. Description covers motif/product type but remains templated and does not always map every verified constraint.</t>
        </is>
      </c>
      <c r="I65" s="3" t="inlineStr">
        <is>
          <t>evidence_batch_013_126</t>
        </is>
      </c>
      <c r="J65" s="3" t="inlineStr">
        <is>
          <t>ISSUE-0046; ISSUE-0047; ISSUE-0048</t>
        </is>
      </c>
    </row>
    <row r="66" ht="42" customHeight="1">
      <c r="A66" s="2" t="inlineStr">
        <is>
          <t>jeminise.com+cardinal-christmas-quilt-set-7237701d00-7237701d00</t>
        </is>
      </c>
      <c r="B66" s="2" t="inlineStr">
        <is>
          <t>I1</t>
        </is>
      </c>
      <c r="C66" s="2" t="n">
        <v>20</v>
      </c>
      <c r="D66" s="2" t="inlineStr">
        <is>
          <t>FULL</t>
        </is>
      </c>
      <c r="E66" s="5">
        <f>IF(B66="I1",AVERAGEIF('QA_Images'!$A$2:$A$63,A66,'QA_Images'!$T$2:$T$63)/100,IF(D66="FULL",1,IF(D66="PARTIAL",0.5,IF(D66="FAIL",0,""))))</f>
        <v/>
      </c>
      <c r="F66" s="5">
        <f>IF(E66="",0,C66*E66)</f>
        <v/>
      </c>
      <c r="G66" s="5">
        <f>IF(B66="I1",20*AVERAGEIF('QA_Images'!$A$2:$A$63,A66,'QA_Images'!$U$2:$U$63)/100,IF(D66="NOT_CHECKED",0,C66))</f>
        <v/>
      </c>
      <c r="H66" s="2" t="inlineStr">
        <is>
          <t>Image coverage, image observations and alt text quality, derived from QA_Images. Derived from average image QA score; see QA_Images.</t>
        </is>
      </c>
      <c r="I66" s="2" t="inlineStr">
        <is>
          <t>evidence_batch_013_126</t>
        </is>
      </c>
      <c r="J66" s="2" t="inlineStr">
        <is>
          <t>ISSUE-0046; ISSUE-0047; ISSUE-0048</t>
        </is>
      </c>
    </row>
    <row r="67" ht="42" customHeight="1">
      <c r="A67" s="3" t="inlineStr">
        <is>
          <t>jeminise.com+cardinal-christmas-quilt-set-7237701d00-7237701d00</t>
        </is>
      </c>
      <c r="B67" s="3" t="inlineStr">
        <is>
          <t>E1</t>
        </is>
      </c>
      <c r="C67" s="3" t="n">
        <v>5</v>
      </c>
      <c r="D67" s="3" t="inlineStr">
        <is>
          <t>PARTIAL</t>
        </is>
      </c>
      <c r="E67" s="7">
        <f>IF(B67="I1",AVERAGEIF('QA_Images'!$A$2:$A$63,A67,'QA_Images'!$T$2:$T$63)/100,IF(D67="FULL",1,IF(D67="PARTIAL",0.5,IF(D67="FAIL",0,""))))</f>
        <v/>
      </c>
      <c r="F67" s="7">
        <f>IF(E67="",0,C67*E67)</f>
        <v/>
      </c>
      <c r="G67" s="7">
        <f>IF(B67="I1",20*AVERAGEIF('QA_Images'!$A$2:$A$63,A67,'QA_Images'!$U$2:$U$63)/100,IF(D67="NOT_CHECKED",0,C67))</f>
        <v/>
      </c>
      <c r="H67" s="3" t="inlineStr">
        <is>
          <t>Evidence chain is traceable and limitations are explicitly separated from failures. Evidence chain is traceable, with admin-export limitation explicitly separated.</t>
        </is>
      </c>
      <c r="I67" s="3" t="inlineStr">
        <is>
          <t>evidence_batch_013_126</t>
        </is>
      </c>
      <c r="J67" s="3" t="inlineStr">
        <is>
          <t>ISSUE-0046; ISSUE-0047; ISSUE-0048</t>
        </is>
      </c>
    </row>
    <row r="68" ht="42" customHeight="1">
      <c r="A68" s="2" t="inlineStr">
        <is>
          <t>jeminise.com+custom-wildlife-wolf-head-close-up-portrait-comforter-3233b9edb7-3233b9edb7</t>
        </is>
      </c>
      <c r="B68" s="2" t="inlineStr">
        <is>
          <t>P1</t>
        </is>
      </c>
      <c r="C68" s="2" t="n">
        <v>15</v>
      </c>
      <c r="D68" s="2" t="inlineStr">
        <is>
          <t>FULL</t>
        </is>
      </c>
      <c r="E68" s="5">
        <f>IF(B68="I1",AVERAGEIF('QA_Images'!$A$2:$A$63,A68,'QA_Images'!$T$2:$T$63)/100,IF(D68="FULL",1,IF(D68="PARTIAL",0.5,IF(D68="FAIL",0,""))))</f>
        <v/>
      </c>
      <c r="F68" s="5">
        <f>IF(E68="",0,C68*E68)</f>
        <v/>
      </c>
      <c r="G68" s="5">
        <f>IF(B68="I1",20*AVERAGEIF('QA_Images'!$A$2:$A$63,A68,'QA_Images'!$U$2:$U$63)/100,IF(D68="NOT_CHECKED",0,C68))</f>
        <v/>
      </c>
      <c r="H68" s="2" t="inlineStr">
        <is>
          <t>Product identity, handle, product ID, URL and canonical match source/live evidence. Product key/handle/product ID/canonical checked against frozen workbook and live product evidence.</t>
        </is>
      </c>
      <c r="I68" s="2" t="inlineStr">
        <is>
          <t>evidence_batch_013_127</t>
        </is>
      </c>
      <c r="J68" s="2" t="inlineStr">
        <is>
          <t>ISSUE-0054; ISSUE-0055; ISSUE-0056; ISSUE-0057</t>
        </is>
      </c>
    </row>
    <row r="69" ht="42" customHeight="1">
      <c r="A69" s="3" t="inlineStr">
        <is>
          <t>jeminise.com+custom-wildlife-wolf-head-close-up-portrait-comforter-3233b9edb7-3233b9edb7</t>
        </is>
      </c>
      <c r="B69" s="3" t="inlineStr">
        <is>
          <t>P2</t>
        </is>
      </c>
      <c r="C69" s="3" t="n">
        <v>10</v>
      </c>
      <c r="D69" s="3" t="inlineStr">
        <is>
          <t>PARTIAL</t>
        </is>
      </c>
      <c r="E69" s="7">
        <f>IF(B69="I1",AVERAGEIF('QA_Images'!$A$2:$A$63,A69,'QA_Images'!$T$2:$T$63)/100,IF(D69="FULL",1,IF(D69="PARTIAL",0.5,IF(D69="FAIL",0,""))))</f>
        <v/>
      </c>
      <c r="F69" s="7">
        <f>IF(E69="",0,C69*E69)</f>
        <v/>
      </c>
      <c r="G69" s="7">
        <f>IF(B69="I1",20*AVERAGEIF('QA_Images'!$A$2:$A$63,A69,'QA_Images'!$U$2:$U$63)/100,IF(D69="NOT_CHECKED",0,C69))</f>
        <v/>
      </c>
      <c r="H69" s="3" t="inlineStr">
        <is>
          <t>Source product facts, variants, specifications and personalization claims are evidence-backed. Personalization/specification claims checked against storefront product.js and static customizer config.</t>
        </is>
      </c>
      <c r="I69" s="3" t="inlineStr">
        <is>
          <t>evidence_batch_013_127</t>
        </is>
      </c>
      <c r="J69" s="3" t="inlineStr">
        <is>
          <t>ISSUE-0054; ISSUE-0055; ISSUE-0056; ISSUE-0057</t>
        </is>
      </c>
    </row>
    <row r="70" ht="42" customHeight="1">
      <c r="A70" s="2" t="inlineStr">
        <is>
          <t>jeminise.com+custom-wildlife-wolf-head-close-up-portrait-comforter-3233b9edb7-3233b9edb7</t>
        </is>
      </c>
      <c r="B70" s="2" t="inlineStr">
        <is>
          <t>K1</t>
        </is>
      </c>
      <c r="C70" s="2" t="n">
        <v>10</v>
      </c>
      <c r="D70" s="2" t="inlineStr">
        <is>
          <t>PARTIAL</t>
        </is>
      </c>
      <c r="E70" s="5">
        <f>IF(B70="I1",AVERAGEIF('QA_Images'!$A$2:$A$63,A70,'QA_Images'!$T$2:$T$63)/100,IF(D70="FULL",1,IF(D70="PARTIAL",0.5,IF(D70="FAIL",0,""))))</f>
        <v/>
      </c>
      <c r="F70" s="5">
        <f>IF(E70="",0,C70*E70)</f>
        <v/>
      </c>
      <c r="G70" s="5">
        <f>IF(B70="I1",20*AVERAGEIF('QA_Images'!$A$2:$A$63,A70,'QA_Images'!$U$2:$U$63)/100,IF(D70="NOT_CHECKED",0,C70))</f>
        <v/>
      </c>
      <c r="H70" s="2" t="inlineStr">
        <is>
          <t>Primary keyword aligns with product-level US purchase intent. Primary keyword rechecked against US product-level SERP comparables.</t>
        </is>
      </c>
      <c r="I70" s="2" t="inlineStr">
        <is>
          <t>evidence_batch_013_127</t>
        </is>
      </c>
      <c r="J70" s="2" t="inlineStr">
        <is>
          <t>ISSUE-0054; ISSUE-0055; ISSUE-0056; ISSUE-0057</t>
        </is>
      </c>
    </row>
    <row r="71" ht="42" customHeight="1">
      <c r="A71" s="3" t="inlineStr">
        <is>
          <t>jeminise.com+custom-wildlife-wolf-head-close-up-portrait-comforter-3233b9edb7-3233b9edb7</t>
        </is>
      </c>
      <c r="B71" s="3" t="inlineStr">
        <is>
          <t>K2</t>
        </is>
      </c>
      <c r="C71" s="3" t="n">
        <v>5</v>
      </c>
      <c r="D71" s="3" t="inlineStr">
        <is>
          <t>PARTIAL</t>
        </is>
      </c>
      <c r="E71" s="7">
        <f>IF(B71="I1",AVERAGEIF('QA_Images'!$A$2:$A$63,A71,'QA_Images'!$T$2:$T$63)/100,IF(D71="FULL",1,IF(D71="PARTIAL",0.5,IF(D71="FAIL",0,""))))</f>
        <v/>
      </c>
      <c r="F71" s="7">
        <f>IF(E71="",0,C71*E71)</f>
        <v/>
      </c>
      <c r="G71" s="7">
        <f>IF(B71="I1",20*AVERAGEIF('QA_Images'!$A$2:$A$63,A71,'QA_Images'!$U$2:$U$63)/100,IF(D71="NOT_CHECKED",0,C71))</f>
        <v/>
      </c>
      <c r="H71" s="3" t="inlineStr">
        <is>
          <t>Intent/cannibalization check distinguishes nearby products. Nearby product cluster has overlap risk, so intent distinction remains only partial.</t>
        </is>
      </c>
      <c r="I71" s="3" t="inlineStr">
        <is>
          <t>evidence_batch_013_127</t>
        </is>
      </c>
      <c r="J71" s="3" t="inlineStr">
        <is>
          <t>ISSUE-0054; ISSUE-0055; ISSUE-0056; ISSUE-0057</t>
        </is>
      </c>
    </row>
    <row r="72" ht="42" customHeight="1">
      <c r="A72" s="2" t="inlineStr">
        <is>
          <t>jeminise.com+custom-wildlife-wolf-head-close-up-portrait-comforter-3233b9edb7-3233b9edb7</t>
        </is>
      </c>
      <c r="B72" s="2" t="inlineStr">
        <is>
          <t>K3</t>
        </is>
      </c>
      <c r="C72" s="2" t="n">
        <v>5</v>
      </c>
      <c r="D72" s="2" t="inlineStr">
        <is>
          <t>PARTIAL</t>
        </is>
      </c>
      <c r="E72" s="5">
        <f>IF(B72="I1",AVERAGEIF('QA_Images'!$A$2:$A$63,A72,'QA_Images'!$T$2:$T$63)/100,IF(D72="FULL",1,IF(D72="PARTIAL",0.5,IF(D72="FAIL",0,""))))</f>
        <v/>
      </c>
      <c r="F72" s="5">
        <f>IF(E72="",0,C72*E72)</f>
        <v/>
      </c>
      <c r="G72" s="5">
        <f>IF(B72="I1",20*AVERAGEIF('QA_Images'!$A$2:$A$63,A72,'QA_Images'!$U$2:$U$63)/100,IF(D72="NOT_CHECKED",0,C72))</f>
        <v/>
      </c>
      <c r="H72" s="2" t="inlineStr">
        <is>
          <t>Keyword evidence is supported by SERP comparables without unsupported volume claims. Evidence is public SERP only; no Search Console, keyword volume or customer-search corpus provided.</t>
        </is>
      </c>
      <c r="I72" s="2" t="inlineStr">
        <is>
          <t>evidence_batch_013_127</t>
        </is>
      </c>
      <c r="J72" s="2" t="inlineStr">
        <is>
          <t>ISSUE-0054; ISSUE-0055; ISSUE-0056; ISSUE-0057</t>
        </is>
      </c>
    </row>
    <row r="73" ht="42" customHeight="1">
      <c r="A73" s="3" t="inlineStr">
        <is>
          <t>jeminise.com+custom-wildlife-wolf-head-close-up-portrait-comforter-3233b9edb7-3233b9edb7</t>
        </is>
      </c>
      <c r="B73" s="3" t="inlineStr">
        <is>
          <t>T1</t>
        </is>
      </c>
      <c r="C73" s="3" t="n">
        <v>10</v>
      </c>
      <c r="D73" s="3" t="inlineStr">
        <is>
          <t>FULL</t>
        </is>
      </c>
      <c r="E73" s="7">
        <f>IF(B73="I1",AVERAGEIF('QA_Images'!$A$2:$A$63,A73,'QA_Images'!$T$2:$T$63)/100,IF(D73="FULL",1,IF(D73="PARTIAL",0.5,IF(D73="FAIL",0,""))))</f>
        <v/>
      </c>
      <c r="F73" s="7">
        <f>IF(E73="",0,C73*E73)</f>
        <v/>
      </c>
      <c r="G73" s="7">
        <f>IF(B73="I1",20*AVERAGEIF('QA_Images'!$A$2:$A$63,A73,'QA_Images'!$U$2:$U$63)/100,IF(D73="NOT_CHECKED",0,C73))</f>
        <v/>
      </c>
      <c r="H73" s="3" t="inlineStr">
        <is>
          <t>SEO title and H1 are relevant, specific and grounded in visible/source facts. Title/H1 are product-specific and tied to visible motif/product type.</t>
        </is>
      </c>
      <c r="I73" s="3" t="inlineStr">
        <is>
          <t>evidence_batch_013_127</t>
        </is>
      </c>
      <c r="J73" s="3" t="inlineStr">
        <is>
          <t>ISSUE-0054; ISSUE-0055; ISSUE-0056; ISSUE-0057</t>
        </is>
      </c>
    </row>
    <row r="74" ht="42" customHeight="1">
      <c r="A74" s="2" t="inlineStr">
        <is>
          <t>jeminise.com+custom-wildlife-wolf-head-close-up-portrait-comforter-3233b9edb7-3233b9edb7</t>
        </is>
      </c>
      <c r="B74" s="2" t="inlineStr">
        <is>
          <t>T2</t>
        </is>
      </c>
      <c r="C74" s="2" t="n">
        <v>5</v>
      </c>
      <c r="D74" s="2" t="inlineStr">
        <is>
          <t>PARTIAL</t>
        </is>
      </c>
      <c r="E74" s="5">
        <f>IF(B74="I1",AVERAGEIF('QA_Images'!$A$2:$A$63,A74,'QA_Images'!$T$2:$T$63)/100,IF(D74="FULL",1,IF(D74="PARTIAL",0.5,IF(D74="FAIL",0,""))))</f>
        <v/>
      </c>
      <c r="F74" s="5">
        <f>IF(E74="",0,C74*E74)</f>
        <v/>
      </c>
      <c r="G74" s="5">
        <f>IF(B74="I1",20*AVERAGEIF('QA_Images'!$A$2:$A$63,A74,'QA_Images'!$U$2:$U$63)/100,IF(D74="NOT_CHECKED",0,C74))</f>
        <v/>
      </c>
      <c r="H74" s="2" t="inlineStr">
        <is>
          <t>Meta description is concise, publish-ready and avoids unsupported claims. Meta description checked for length, specificity and supportable claims.</t>
        </is>
      </c>
      <c r="I74" s="2" t="inlineStr">
        <is>
          <t>evidence_batch_013_127</t>
        </is>
      </c>
      <c r="J74" s="2" t="inlineStr">
        <is>
          <t>ISSUE-0054; ISSUE-0055; ISSUE-0056; ISSUE-0057</t>
        </is>
      </c>
    </row>
    <row r="75" ht="42" customHeight="1">
      <c r="A75" s="3" t="inlineStr">
        <is>
          <t>jeminise.com+custom-wildlife-wolf-head-close-up-portrait-comforter-3233b9edb7-3233b9edb7</t>
        </is>
      </c>
      <c r="B75" s="3" t="inlineStr">
        <is>
          <t>D1</t>
        </is>
      </c>
      <c r="C75" s="3" t="n">
        <v>10</v>
      </c>
      <c r="D75" s="3" t="inlineStr">
        <is>
          <t>FAIL</t>
        </is>
      </c>
      <c r="E75" s="7">
        <f>IF(B75="I1",AVERAGEIF('QA_Images'!$A$2:$A$63,A75,'QA_Images'!$T$2:$T$63)/100,IF(D75="FULL",1,IF(D75="PARTIAL",0.5,IF(D75="FAIL",0,""))))</f>
        <v/>
      </c>
      <c r="F75" s="7">
        <f>IF(E75="",0,C75*E75)</f>
        <v/>
      </c>
      <c r="G75" s="7">
        <f>IF(B75="I1",20*AVERAGEIF('QA_Images'!$A$2:$A$63,A75,'QA_Images'!$U$2:$U$63)/100,IF(D75="NOT_CHECKED",0,C75))</f>
        <v/>
      </c>
      <c r="H75" s="3" t="inlineStr">
        <is>
          <t>Description HTML is publish-ready and free of internal draft/QA instructions. Description HTML still contains internal QA/import language.</t>
        </is>
      </c>
      <c r="I75" s="3" t="inlineStr">
        <is>
          <t>evidence_batch_013_127</t>
        </is>
      </c>
      <c r="J75" s="3" t="inlineStr">
        <is>
          <t>ISSUE-0054; ISSUE-0055; ISSUE-0056; ISSUE-0057</t>
        </is>
      </c>
    </row>
    <row r="76" ht="42" customHeight="1">
      <c r="A76" s="2" t="inlineStr">
        <is>
          <t>jeminise.com+custom-wildlife-wolf-head-close-up-portrait-comforter-3233b9edb7-3233b9edb7</t>
        </is>
      </c>
      <c r="B76" s="2" t="inlineStr">
        <is>
          <t>D2</t>
        </is>
      </c>
      <c r="C76" s="2" t="n">
        <v>5</v>
      </c>
      <c r="D76" s="2" t="inlineStr">
        <is>
          <t>PARTIAL</t>
        </is>
      </c>
      <c r="E76" s="5">
        <f>IF(B76="I1",AVERAGEIF('QA_Images'!$A$2:$A$63,A76,'QA_Images'!$T$2:$T$63)/100,IF(D76="FULL",1,IF(D76="PARTIAL",0.5,IF(D76="FAIL",0,""))))</f>
        <v/>
      </c>
      <c r="F76" s="5">
        <f>IF(E76="",0,C76*E76)</f>
        <v/>
      </c>
      <c r="G76" s="5">
        <f>IF(B76="I1",20*AVERAGEIF('QA_Images'!$A$2:$A$63,A76,'QA_Images'!$U$2:$U$63)/100,IF(D76="NOT_CHECKED",0,C76))</f>
        <v/>
      </c>
      <c r="H76" s="2" t="inlineStr">
        <is>
          <t>Description content covers verified design, product type, use case and constraints. Description covers motif/product type but remains templated and does not always map every verified constraint.</t>
        </is>
      </c>
      <c r="I76" s="2" t="inlineStr">
        <is>
          <t>evidence_batch_013_127</t>
        </is>
      </c>
      <c r="J76" s="2" t="inlineStr">
        <is>
          <t>ISSUE-0054; ISSUE-0055; ISSUE-0056; ISSUE-0057</t>
        </is>
      </c>
    </row>
    <row r="77" ht="42" customHeight="1">
      <c r="A77" s="3" t="inlineStr">
        <is>
          <t>jeminise.com+custom-wildlife-wolf-head-close-up-portrait-comforter-3233b9edb7-3233b9edb7</t>
        </is>
      </c>
      <c r="B77" s="3" t="inlineStr">
        <is>
          <t>I1</t>
        </is>
      </c>
      <c r="C77" s="3" t="n">
        <v>20</v>
      </c>
      <c r="D77" s="3" t="inlineStr">
        <is>
          <t>FULL</t>
        </is>
      </c>
      <c r="E77" s="7">
        <f>IF(B77="I1",AVERAGEIF('QA_Images'!$A$2:$A$63,A77,'QA_Images'!$T$2:$T$63)/100,IF(D77="FULL",1,IF(D77="PARTIAL",0.5,IF(D77="FAIL",0,""))))</f>
        <v/>
      </c>
      <c r="F77" s="7">
        <f>IF(E77="",0,C77*E77)</f>
        <v/>
      </c>
      <c r="G77" s="7">
        <f>IF(B77="I1",20*AVERAGEIF('QA_Images'!$A$2:$A$63,A77,'QA_Images'!$U$2:$U$63)/100,IF(D77="NOT_CHECKED",0,C77))</f>
        <v/>
      </c>
      <c r="H77" s="3" t="inlineStr">
        <is>
          <t>Image coverage, image observations and alt text quality, derived from QA_Images. Derived from average image QA score; see QA_Images.</t>
        </is>
      </c>
      <c r="I77" s="3" t="inlineStr">
        <is>
          <t>evidence_batch_013_127</t>
        </is>
      </c>
      <c r="J77" s="3" t="inlineStr">
        <is>
          <t>ISSUE-0054; ISSUE-0055; ISSUE-0056; ISSUE-0057</t>
        </is>
      </c>
    </row>
    <row r="78" ht="42" customHeight="1">
      <c r="A78" s="2" t="inlineStr">
        <is>
          <t>jeminise.com+custom-wildlife-wolf-head-close-up-portrait-comforter-3233b9edb7-3233b9edb7</t>
        </is>
      </c>
      <c r="B78" s="2" t="inlineStr">
        <is>
          <t>E1</t>
        </is>
      </c>
      <c r="C78" s="2" t="n">
        <v>5</v>
      </c>
      <c r="D78" s="2" t="inlineStr">
        <is>
          <t>PARTIAL</t>
        </is>
      </c>
      <c r="E78" s="5">
        <f>IF(B78="I1",AVERAGEIF('QA_Images'!$A$2:$A$63,A78,'QA_Images'!$T$2:$T$63)/100,IF(D78="FULL",1,IF(D78="PARTIAL",0.5,IF(D78="FAIL",0,""))))</f>
        <v/>
      </c>
      <c r="F78" s="5">
        <f>IF(E78="",0,C78*E78)</f>
        <v/>
      </c>
      <c r="G78" s="5">
        <f>IF(B78="I1",20*AVERAGEIF('QA_Images'!$A$2:$A$63,A78,'QA_Images'!$U$2:$U$63)/100,IF(D78="NOT_CHECKED",0,C78))</f>
        <v/>
      </c>
      <c r="H78" s="2" t="inlineStr">
        <is>
          <t>Evidence chain is traceable and limitations are explicitly separated from failures. Evidence chain is traceable, with admin-export limitation explicitly separated.</t>
        </is>
      </c>
      <c r="I78" s="2" t="inlineStr">
        <is>
          <t>evidence_batch_013_127</t>
        </is>
      </c>
      <c r="J78" s="2" t="inlineStr">
        <is>
          <t>ISSUE-0054; ISSUE-0055; ISSUE-0056; ISSUE-0057</t>
        </is>
      </c>
    </row>
    <row r="79" ht="42" customHeight="1">
      <c r="A79" s="3" t="inlineStr">
        <is>
          <t>jeminise.com+custom-wildlife-wolf-head-close-up-with-geometric-comforter-f005bbb79d-f005bbb79d</t>
        </is>
      </c>
      <c r="B79" s="3" t="inlineStr">
        <is>
          <t>P1</t>
        </is>
      </c>
      <c r="C79" s="3" t="n">
        <v>15</v>
      </c>
      <c r="D79" s="3" t="inlineStr">
        <is>
          <t>FULL</t>
        </is>
      </c>
      <c r="E79" s="7">
        <f>IF(B79="I1",AVERAGEIF('QA_Images'!$A$2:$A$63,A79,'QA_Images'!$T$2:$T$63)/100,IF(D79="FULL",1,IF(D79="PARTIAL",0.5,IF(D79="FAIL",0,""))))</f>
        <v/>
      </c>
      <c r="F79" s="7">
        <f>IF(E79="",0,C79*E79)</f>
        <v/>
      </c>
      <c r="G79" s="7">
        <f>IF(B79="I1",20*AVERAGEIF('QA_Images'!$A$2:$A$63,A79,'QA_Images'!$U$2:$U$63)/100,IF(D79="NOT_CHECKED",0,C79))</f>
        <v/>
      </c>
      <c r="H79" s="3" t="inlineStr">
        <is>
          <t>Product identity, handle, product ID, URL and canonical match source/live evidence. Product key/handle/product ID/canonical checked against frozen workbook and live product evidence.</t>
        </is>
      </c>
      <c r="I79" s="3" t="inlineStr">
        <is>
          <t>evidence_batch_013_128</t>
        </is>
      </c>
      <c r="J79" s="3" t="inlineStr">
        <is>
          <t>ISSUE-0061; ISSUE-0062; ISSUE-0063; ISSUE-0064; ISSUE-0065</t>
        </is>
      </c>
    </row>
    <row r="80" ht="42" customHeight="1">
      <c r="A80" s="2" t="inlineStr">
        <is>
          <t>jeminise.com+custom-wildlife-wolf-head-close-up-with-geometric-comforter-f005bbb79d-f005bbb79d</t>
        </is>
      </c>
      <c r="B80" s="2" t="inlineStr">
        <is>
          <t>P2</t>
        </is>
      </c>
      <c r="C80" s="2" t="n">
        <v>10</v>
      </c>
      <c r="D80" s="2" t="inlineStr">
        <is>
          <t>FAIL</t>
        </is>
      </c>
      <c r="E80" s="5">
        <f>IF(B80="I1",AVERAGEIF('QA_Images'!$A$2:$A$63,A80,'QA_Images'!$T$2:$T$63)/100,IF(D80="FULL",1,IF(D80="PARTIAL",0.5,IF(D80="FAIL",0,""))))</f>
        <v/>
      </c>
      <c r="F80" s="5">
        <f>IF(E80="",0,C80*E80)</f>
        <v/>
      </c>
      <c r="G80" s="5">
        <f>IF(B80="I1",20*AVERAGEIF('QA_Images'!$A$2:$A$63,A80,'QA_Images'!$U$2:$U$63)/100,IF(D80="NOT_CHECKED",0,C80))</f>
        <v/>
      </c>
      <c r="H80" s="2" t="inlineStr">
        <is>
          <t>Source product facts, variants, specifications and personalization claims are evidence-backed. Personalization/specification claims checked against storefront product.js and static customizer config.</t>
        </is>
      </c>
      <c r="I80" s="2" t="inlineStr">
        <is>
          <t>evidence_batch_013_128</t>
        </is>
      </c>
      <c r="J80" s="2" t="inlineStr">
        <is>
          <t>ISSUE-0061; ISSUE-0062; ISSUE-0063; ISSUE-0064; ISSUE-0065</t>
        </is>
      </c>
    </row>
    <row r="81" ht="42" customHeight="1">
      <c r="A81" s="3" t="inlineStr">
        <is>
          <t>jeminise.com+custom-wildlife-wolf-head-close-up-with-geometric-comforter-f005bbb79d-f005bbb79d</t>
        </is>
      </c>
      <c r="B81" s="3" t="inlineStr">
        <is>
          <t>K1</t>
        </is>
      </c>
      <c r="C81" s="3" t="n">
        <v>10</v>
      </c>
      <c r="D81" s="3" t="inlineStr">
        <is>
          <t>PARTIAL</t>
        </is>
      </c>
      <c r="E81" s="7">
        <f>IF(B81="I1",AVERAGEIF('QA_Images'!$A$2:$A$63,A81,'QA_Images'!$T$2:$T$63)/100,IF(D81="FULL",1,IF(D81="PARTIAL",0.5,IF(D81="FAIL",0,""))))</f>
        <v/>
      </c>
      <c r="F81" s="7">
        <f>IF(E81="",0,C81*E81)</f>
        <v/>
      </c>
      <c r="G81" s="7">
        <f>IF(B81="I1",20*AVERAGEIF('QA_Images'!$A$2:$A$63,A81,'QA_Images'!$U$2:$U$63)/100,IF(D81="NOT_CHECKED",0,C81))</f>
        <v/>
      </c>
      <c r="H81" s="3" t="inlineStr">
        <is>
          <t>Primary keyword aligns with product-level US purchase intent. Primary keyword rechecked against US product-level SERP comparables.</t>
        </is>
      </c>
      <c r="I81" s="3" t="inlineStr">
        <is>
          <t>evidence_batch_013_128</t>
        </is>
      </c>
      <c r="J81" s="3" t="inlineStr">
        <is>
          <t>ISSUE-0061; ISSUE-0062; ISSUE-0063; ISSUE-0064; ISSUE-0065</t>
        </is>
      </c>
    </row>
    <row r="82" ht="42" customHeight="1">
      <c r="A82" s="2" t="inlineStr">
        <is>
          <t>jeminise.com+custom-wildlife-wolf-head-close-up-with-geometric-comforter-f005bbb79d-f005bbb79d</t>
        </is>
      </c>
      <c r="B82" s="2" t="inlineStr">
        <is>
          <t>K2</t>
        </is>
      </c>
      <c r="C82" s="2" t="n">
        <v>5</v>
      </c>
      <c r="D82" s="2" t="inlineStr">
        <is>
          <t>PARTIAL</t>
        </is>
      </c>
      <c r="E82" s="5">
        <f>IF(B82="I1",AVERAGEIF('QA_Images'!$A$2:$A$63,A82,'QA_Images'!$T$2:$T$63)/100,IF(D82="FULL",1,IF(D82="PARTIAL",0.5,IF(D82="FAIL",0,""))))</f>
        <v/>
      </c>
      <c r="F82" s="5">
        <f>IF(E82="",0,C82*E82)</f>
        <v/>
      </c>
      <c r="G82" s="5">
        <f>IF(B82="I1",20*AVERAGEIF('QA_Images'!$A$2:$A$63,A82,'QA_Images'!$U$2:$U$63)/100,IF(D82="NOT_CHECKED",0,C82))</f>
        <v/>
      </c>
      <c r="H82" s="2" t="inlineStr">
        <is>
          <t>Intent/cannibalization check distinguishes nearby products. Nearby product cluster has overlap risk, so intent distinction remains only partial.</t>
        </is>
      </c>
      <c r="I82" s="2" t="inlineStr">
        <is>
          <t>evidence_batch_013_128</t>
        </is>
      </c>
      <c r="J82" s="2" t="inlineStr">
        <is>
          <t>ISSUE-0061; ISSUE-0062; ISSUE-0063; ISSUE-0064; ISSUE-0065</t>
        </is>
      </c>
    </row>
    <row r="83" ht="42" customHeight="1">
      <c r="A83" s="3" t="inlineStr">
        <is>
          <t>jeminise.com+custom-wildlife-wolf-head-close-up-with-geometric-comforter-f005bbb79d-f005bbb79d</t>
        </is>
      </c>
      <c r="B83" s="3" t="inlineStr">
        <is>
          <t>K3</t>
        </is>
      </c>
      <c r="C83" s="3" t="n">
        <v>5</v>
      </c>
      <c r="D83" s="3" t="inlineStr">
        <is>
          <t>PARTIAL</t>
        </is>
      </c>
      <c r="E83" s="7">
        <f>IF(B83="I1",AVERAGEIF('QA_Images'!$A$2:$A$63,A83,'QA_Images'!$T$2:$T$63)/100,IF(D83="FULL",1,IF(D83="PARTIAL",0.5,IF(D83="FAIL",0,""))))</f>
        <v/>
      </c>
      <c r="F83" s="7">
        <f>IF(E83="",0,C83*E83)</f>
        <v/>
      </c>
      <c r="G83" s="7">
        <f>IF(B83="I1",20*AVERAGEIF('QA_Images'!$A$2:$A$63,A83,'QA_Images'!$U$2:$U$63)/100,IF(D83="NOT_CHECKED",0,C83))</f>
        <v/>
      </c>
      <c r="H83" s="3" t="inlineStr">
        <is>
          <t>Keyword evidence is supported by SERP comparables without unsupported volume claims. Evidence is public SERP only; no Search Console, keyword volume or customer-search corpus provided.</t>
        </is>
      </c>
      <c r="I83" s="3" t="inlineStr">
        <is>
          <t>evidence_batch_013_128</t>
        </is>
      </c>
      <c r="J83" s="3" t="inlineStr">
        <is>
          <t>ISSUE-0061; ISSUE-0062; ISSUE-0063; ISSUE-0064; ISSUE-0065</t>
        </is>
      </c>
    </row>
    <row r="84" ht="42" customHeight="1">
      <c r="A84" s="2" t="inlineStr">
        <is>
          <t>jeminise.com+custom-wildlife-wolf-head-close-up-with-geometric-comforter-f005bbb79d-f005bbb79d</t>
        </is>
      </c>
      <c r="B84" s="2" t="inlineStr">
        <is>
          <t>T1</t>
        </is>
      </c>
      <c r="C84" s="2" t="n">
        <v>10</v>
      </c>
      <c r="D84" s="2" t="inlineStr">
        <is>
          <t>FULL</t>
        </is>
      </c>
      <c r="E84" s="5">
        <f>IF(B84="I1",AVERAGEIF('QA_Images'!$A$2:$A$63,A84,'QA_Images'!$T$2:$T$63)/100,IF(D84="FULL",1,IF(D84="PARTIAL",0.5,IF(D84="FAIL",0,""))))</f>
        <v/>
      </c>
      <c r="F84" s="5">
        <f>IF(E84="",0,C84*E84)</f>
        <v/>
      </c>
      <c r="G84" s="5">
        <f>IF(B84="I1",20*AVERAGEIF('QA_Images'!$A$2:$A$63,A84,'QA_Images'!$U$2:$U$63)/100,IF(D84="NOT_CHECKED",0,C84))</f>
        <v/>
      </c>
      <c r="H84" s="2" t="inlineStr">
        <is>
          <t>SEO title and H1 are relevant, specific and grounded in visible/source facts. Title/H1 are product-specific and tied to visible motif/product type.</t>
        </is>
      </c>
      <c r="I84" s="2" t="inlineStr">
        <is>
          <t>evidence_batch_013_128</t>
        </is>
      </c>
      <c r="J84" s="2" t="inlineStr">
        <is>
          <t>ISSUE-0061; ISSUE-0062; ISSUE-0063; ISSUE-0064; ISSUE-0065</t>
        </is>
      </c>
    </row>
    <row r="85" ht="42" customHeight="1">
      <c r="A85" s="3" t="inlineStr">
        <is>
          <t>jeminise.com+custom-wildlife-wolf-head-close-up-with-geometric-comforter-f005bbb79d-f005bbb79d</t>
        </is>
      </c>
      <c r="B85" s="3" t="inlineStr">
        <is>
          <t>T2</t>
        </is>
      </c>
      <c r="C85" s="3" t="n">
        <v>5</v>
      </c>
      <c r="D85" s="3" t="inlineStr">
        <is>
          <t>PARTIAL</t>
        </is>
      </c>
      <c r="E85" s="7">
        <f>IF(B85="I1",AVERAGEIF('QA_Images'!$A$2:$A$63,A85,'QA_Images'!$T$2:$T$63)/100,IF(D85="FULL",1,IF(D85="PARTIAL",0.5,IF(D85="FAIL",0,""))))</f>
        <v/>
      </c>
      <c r="F85" s="7">
        <f>IF(E85="",0,C85*E85)</f>
        <v/>
      </c>
      <c r="G85" s="7">
        <f>IF(B85="I1",20*AVERAGEIF('QA_Images'!$A$2:$A$63,A85,'QA_Images'!$U$2:$U$63)/100,IF(D85="NOT_CHECKED",0,C85))</f>
        <v/>
      </c>
      <c r="H85" s="3" t="inlineStr">
        <is>
          <t>Meta description is concise, publish-ready and avoids unsupported claims. Meta description checked for length, specificity and supportable claims.</t>
        </is>
      </c>
      <c r="I85" s="3" t="inlineStr">
        <is>
          <t>evidence_batch_013_128</t>
        </is>
      </c>
      <c r="J85" s="3" t="inlineStr">
        <is>
          <t>ISSUE-0061; ISSUE-0062; ISSUE-0063; ISSUE-0064; ISSUE-0065</t>
        </is>
      </c>
    </row>
    <row r="86" ht="42" customHeight="1">
      <c r="A86" s="2" t="inlineStr">
        <is>
          <t>jeminise.com+custom-wildlife-wolf-head-close-up-with-geometric-comforter-f005bbb79d-f005bbb79d</t>
        </is>
      </c>
      <c r="B86" s="2" t="inlineStr">
        <is>
          <t>D1</t>
        </is>
      </c>
      <c r="C86" s="2" t="n">
        <v>10</v>
      </c>
      <c r="D86" s="2" t="inlineStr">
        <is>
          <t>FAIL</t>
        </is>
      </c>
      <c r="E86" s="5">
        <f>IF(B86="I1",AVERAGEIF('QA_Images'!$A$2:$A$63,A86,'QA_Images'!$T$2:$T$63)/100,IF(D86="FULL",1,IF(D86="PARTIAL",0.5,IF(D86="FAIL",0,""))))</f>
        <v/>
      </c>
      <c r="F86" s="5">
        <f>IF(E86="",0,C86*E86)</f>
        <v/>
      </c>
      <c r="G86" s="5">
        <f>IF(B86="I1",20*AVERAGEIF('QA_Images'!$A$2:$A$63,A86,'QA_Images'!$U$2:$U$63)/100,IF(D86="NOT_CHECKED",0,C86))</f>
        <v/>
      </c>
      <c r="H86" s="2" t="inlineStr">
        <is>
          <t>Description HTML is publish-ready and free of internal draft/QA instructions. Description HTML still contains internal QA/import language.</t>
        </is>
      </c>
      <c r="I86" s="2" t="inlineStr">
        <is>
          <t>evidence_batch_013_128</t>
        </is>
      </c>
      <c r="J86" s="2" t="inlineStr">
        <is>
          <t>ISSUE-0061; ISSUE-0062; ISSUE-0063; ISSUE-0064; ISSUE-0065</t>
        </is>
      </c>
    </row>
    <row r="87" ht="42" customHeight="1">
      <c r="A87" s="3" t="inlineStr">
        <is>
          <t>jeminise.com+custom-wildlife-wolf-head-close-up-with-geometric-comforter-f005bbb79d-f005bbb79d</t>
        </is>
      </c>
      <c r="B87" s="3" t="inlineStr">
        <is>
          <t>D2</t>
        </is>
      </c>
      <c r="C87" s="3" t="n">
        <v>5</v>
      </c>
      <c r="D87" s="3" t="inlineStr">
        <is>
          <t>PARTIAL</t>
        </is>
      </c>
      <c r="E87" s="7">
        <f>IF(B87="I1",AVERAGEIF('QA_Images'!$A$2:$A$63,A87,'QA_Images'!$T$2:$T$63)/100,IF(D87="FULL",1,IF(D87="PARTIAL",0.5,IF(D87="FAIL",0,""))))</f>
        <v/>
      </c>
      <c r="F87" s="7">
        <f>IF(E87="",0,C87*E87)</f>
        <v/>
      </c>
      <c r="G87" s="7">
        <f>IF(B87="I1",20*AVERAGEIF('QA_Images'!$A$2:$A$63,A87,'QA_Images'!$U$2:$U$63)/100,IF(D87="NOT_CHECKED",0,C87))</f>
        <v/>
      </c>
      <c r="H87" s="3" t="inlineStr">
        <is>
          <t>Description content covers verified design, product type, use case and constraints. Description covers motif/product type but remains templated and does not always map every verified constraint.</t>
        </is>
      </c>
      <c r="I87" s="3" t="inlineStr">
        <is>
          <t>evidence_batch_013_128</t>
        </is>
      </c>
      <c r="J87" s="3" t="inlineStr">
        <is>
          <t>ISSUE-0061; ISSUE-0062; ISSUE-0063; ISSUE-0064; ISSUE-0065</t>
        </is>
      </c>
    </row>
    <row r="88" ht="42" customHeight="1">
      <c r="A88" s="2" t="inlineStr">
        <is>
          <t>jeminise.com+custom-wildlife-wolf-head-close-up-with-geometric-comforter-f005bbb79d-f005bbb79d</t>
        </is>
      </c>
      <c r="B88" s="2" t="inlineStr">
        <is>
          <t>I1</t>
        </is>
      </c>
      <c r="C88" s="2" t="n">
        <v>20</v>
      </c>
      <c r="D88" s="2" t="inlineStr">
        <is>
          <t>FULL</t>
        </is>
      </c>
      <c r="E88" s="5">
        <f>IF(B88="I1",AVERAGEIF('QA_Images'!$A$2:$A$63,A88,'QA_Images'!$T$2:$T$63)/100,IF(D88="FULL",1,IF(D88="PARTIAL",0.5,IF(D88="FAIL",0,""))))</f>
        <v/>
      </c>
      <c r="F88" s="5">
        <f>IF(E88="",0,C88*E88)</f>
        <v/>
      </c>
      <c r="G88" s="5">
        <f>IF(B88="I1",20*AVERAGEIF('QA_Images'!$A$2:$A$63,A88,'QA_Images'!$U$2:$U$63)/100,IF(D88="NOT_CHECKED",0,C88))</f>
        <v/>
      </c>
      <c r="H88" s="2" t="inlineStr">
        <is>
          <t>Image coverage, image observations and alt text quality, derived from QA_Images. Derived from average image QA score; see QA_Images.</t>
        </is>
      </c>
      <c r="I88" s="2" t="inlineStr">
        <is>
          <t>evidence_batch_013_128</t>
        </is>
      </c>
      <c r="J88" s="2" t="inlineStr">
        <is>
          <t>ISSUE-0061; ISSUE-0062; ISSUE-0063; ISSUE-0064; ISSUE-0065</t>
        </is>
      </c>
    </row>
    <row r="89" ht="42" customHeight="1">
      <c r="A89" s="3" t="inlineStr">
        <is>
          <t>jeminise.com+custom-wildlife-wolf-head-close-up-with-geometric-comforter-f005bbb79d-f005bbb79d</t>
        </is>
      </c>
      <c r="B89" s="3" t="inlineStr">
        <is>
          <t>E1</t>
        </is>
      </c>
      <c r="C89" s="3" t="n">
        <v>5</v>
      </c>
      <c r="D89" s="3" t="inlineStr">
        <is>
          <t>PARTIAL</t>
        </is>
      </c>
      <c r="E89" s="7">
        <f>IF(B89="I1",AVERAGEIF('QA_Images'!$A$2:$A$63,A89,'QA_Images'!$T$2:$T$63)/100,IF(D89="FULL",1,IF(D89="PARTIAL",0.5,IF(D89="FAIL",0,""))))</f>
        <v/>
      </c>
      <c r="F89" s="7">
        <f>IF(E89="",0,C89*E89)</f>
        <v/>
      </c>
      <c r="G89" s="7">
        <f>IF(B89="I1",20*AVERAGEIF('QA_Images'!$A$2:$A$63,A89,'QA_Images'!$U$2:$U$63)/100,IF(D89="NOT_CHECKED",0,C89))</f>
        <v/>
      </c>
      <c r="H89" s="3" t="inlineStr">
        <is>
          <t>Evidence chain is traceable and limitations are explicitly separated from failures. Evidence chain is traceable, with admin-export limitation explicitly separated.</t>
        </is>
      </c>
      <c r="I89" s="3" t="inlineStr">
        <is>
          <t>evidence_batch_013_128</t>
        </is>
      </c>
      <c r="J89" s="3" t="inlineStr">
        <is>
          <t>ISSUE-0061; ISSUE-0062; ISSUE-0063; ISSUE-0064; ISSUE-0065</t>
        </is>
      </c>
    </row>
    <row r="90" ht="42" customHeight="1">
      <c r="A90" s="2" t="inlineStr">
        <is>
          <t>jeminise.com+custom-wildlife-wolf-head-with-feathers-in-profile-comforter-0b1ab59a17-0b1ab59a17</t>
        </is>
      </c>
      <c r="B90" s="2" t="inlineStr">
        <is>
          <t>P1</t>
        </is>
      </c>
      <c r="C90" s="2" t="n">
        <v>15</v>
      </c>
      <c r="D90" s="2" t="inlineStr">
        <is>
          <t>FULL</t>
        </is>
      </c>
      <c r="E90" s="5">
        <f>IF(B90="I1",AVERAGEIF('QA_Images'!$A$2:$A$63,A90,'QA_Images'!$T$2:$T$63)/100,IF(D90="FULL",1,IF(D90="PARTIAL",0.5,IF(D90="FAIL",0,""))))</f>
        <v/>
      </c>
      <c r="F90" s="5">
        <f>IF(E90="",0,C90*E90)</f>
        <v/>
      </c>
      <c r="G90" s="5">
        <f>IF(B90="I1",20*AVERAGEIF('QA_Images'!$A$2:$A$63,A90,'QA_Images'!$U$2:$U$63)/100,IF(D90="NOT_CHECKED",0,C90))</f>
        <v/>
      </c>
      <c r="H90" s="2" t="inlineStr">
        <is>
          <t>Product identity, handle, product ID, URL and canonical match source/live evidence. Product key/handle/product ID/canonical checked against frozen workbook and live product evidence.</t>
        </is>
      </c>
      <c r="I90" s="2" t="inlineStr">
        <is>
          <t>evidence_batch_013_129</t>
        </is>
      </c>
      <c r="J90" s="2" t="inlineStr">
        <is>
          <t>ISSUE-0069; ISSUE-0070; ISSUE-0071; ISSUE-0072</t>
        </is>
      </c>
    </row>
    <row r="91" ht="42" customHeight="1">
      <c r="A91" s="3" t="inlineStr">
        <is>
          <t>jeminise.com+custom-wildlife-wolf-head-with-feathers-in-profile-comforter-0b1ab59a17-0b1ab59a17</t>
        </is>
      </c>
      <c r="B91" s="3" t="inlineStr">
        <is>
          <t>P2</t>
        </is>
      </c>
      <c r="C91" s="3" t="n">
        <v>10</v>
      </c>
      <c r="D91" s="3" t="inlineStr">
        <is>
          <t>PARTIAL</t>
        </is>
      </c>
      <c r="E91" s="7">
        <f>IF(B91="I1",AVERAGEIF('QA_Images'!$A$2:$A$63,A91,'QA_Images'!$T$2:$T$63)/100,IF(D91="FULL",1,IF(D91="PARTIAL",0.5,IF(D91="FAIL",0,""))))</f>
        <v/>
      </c>
      <c r="F91" s="7">
        <f>IF(E91="",0,C91*E91)</f>
        <v/>
      </c>
      <c r="G91" s="7">
        <f>IF(B91="I1",20*AVERAGEIF('QA_Images'!$A$2:$A$63,A91,'QA_Images'!$U$2:$U$63)/100,IF(D91="NOT_CHECKED",0,C91))</f>
        <v/>
      </c>
      <c r="H91" s="3" t="inlineStr">
        <is>
          <t>Source product facts, variants, specifications and personalization claims are evidence-backed. Personalization/specification claims checked against storefront product.js and static customizer config.</t>
        </is>
      </c>
      <c r="I91" s="3" t="inlineStr">
        <is>
          <t>evidence_batch_013_129</t>
        </is>
      </c>
      <c r="J91" s="3" t="inlineStr">
        <is>
          <t>ISSUE-0069; ISSUE-0070; ISSUE-0071; ISSUE-0072</t>
        </is>
      </c>
    </row>
    <row r="92" ht="42" customHeight="1">
      <c r="A92" s="2" t="inlineStr">
        <is>
          <t>jeminise.com+custom-wildlife-wolf-head-with-feathers-in-profile-comforter-0b1ab59a17-0b1ab59a17</t>
        </is>
      </c>
      <c r="B92" s="2" t="inlineStr">
        <is>
          <t>K1</t>
        </is>
      </c>
      <c r="C92" s="2" t="n">
        <v>10</v>
      </c>
      <c r="D92" s="2" t="inlineStr">
        <is>
          <t>PARTIAL</t>
        </is>
      </c>
      <c r="E92" s="5">
        <f>IF(B92="I1",AVERAGEIF('QA_Images'!$A$2:$A$63,A92,'QA_Images'!$T$2:$T$63)/100,IF(D92="FULL",1,IF(D92="PARTIAL",0.5,IF(D92="FAIL",0,""))))</f>
        <v/>
      </c>
      <c r="F92" s="5">
        <f>IF(E92="",0,C92*E92)</f>
        <v/>
      </c>
      <c r="G92" s="5">
        <f>IF(B92="I1",20*AVERAGEIF('QA_Images'!$A$2:$A$63,A92,'QA_Images'!$U$2:$U$63)/100,IF(D92="NOT_CHECKED",0,C92))</f>
        <v/>
      </c>
      <c r="H92" s="2" t="inlineStr">
        <is>
          <t>Primary keyword aligns with product-level US purchase intent. Primary keyword rechecked against US product-level SERP comparables.</t>
        </is>
      </c>
      <c r="I92" s="2" t="inlineStr">
        <is>
          <t>evidence_batch_013_129</t>
        </is>
      </c>
      <c r="J92" s="2" t="inlineStr">
        <is>
          <t>ISSUE-0069; ISSUE-0070; ISSUE-0071; ISSUE-0072</t>
        </is>
      </c>
    </row>
    <row r="93" ht="42" customHeight="1">
      <c r="A93" s="3" t="inlineStr">
        <is>
          <t>jeminise.com+custom-wildlife-wolf-head-with-feathers-in-profile-comforter-0b1ab59a17-0b1ab59a17</t>
        </is>
      </c>
      <c r="B93" s="3" t="inlineStr">
        <is>
          <t>K2</t>
        </is>
      </c>
      <c r="C93" s="3" t="n">
        <v>5</v>
      </c>
      <c r="D93" s="3" t="inlineStr">
        <is>
          <t>PARTIAL</t>
        </is>
      </c>
      <c r="E93" s="7">
        <f>IF(B93="I1",AVERAGEIF('QA_Images'!$A$2:$A$63,A93,'QA_Images'!$T$2:$T$63)/100,IF(D93="FULL",1,IF(D93="PARTIAL",0.5,IF(D93="FAIL",0,""))))</f>
        <v/>
      </c>
      <c r="F93" s="7">
        <f>IF(E93="",0,C93*E93)</f>
        <v/>
      </c>
      <c r="G93" s="7">
        <f>IF(B93="I1",20*AVERAGEIF('QA_Images'!$A$2:$A$63,A93,'QA_Images'!$U$2:$U$63)/100,IF(D93="NOT_CHECKED",0,C93))</f>
        <v/>
      </c>
      <c r="H93" s="3" t="inlineStr">
        <is>
          <t>Intent/cannibalization check distinguishes nearby products. Nearby product cluster has overlap risk, so intent distinction remains only partial.</t>
        </is>
      </c>
      <c r="I93" s="3" t="inlineStr">
        <is>
          <t>evidence_batch_013_129</t>
        </is>
      </c>
      <c r="J93" s="3" t="inlineStr">
        <is>
          <t>ISSUE-0069; ISSUE-0070; ISSUE-0071; ISSUE-0072</t>
        </is>
      </c>
    </row>
    <row r="94" ht="42" customHeight="1">
      <c r="A94" s="2" t="inlineStr">
        <is>
          <t>jeminise.com+custom-wildlife-wolf-head-with-feathers-in-profile-comforter-0b1ab59a17-0b1ab59a17</t>
        </is>
      </c>
      <c r="B94" s="2" t="inlineStr">
        <is>
          <t>K3</t>
        </is>
      </c>
      <c r="C94" s="2" t="n">
        <v>5</v>
      </c>
      <c r="D94" s="2" t="inlineStr">
        <is>
          <t>PARTIAL</t>
        </is>
      </c>
      <c r="E94" s="5">
        <f>IF(B94="I1",AVERAGEIF('QA_Images'!$A$2:$A$63,A94,'QA_Images'!$T$2:$T$63)/100,IF(D94="FULL",1,IF(D94="PARTIAL",0.5,IF(D94="FAIL",0,""))))</f>
        <v/>
      </c>
      <c r="F94" s="5">
        <f>IF(E94="",0,C94*E94)</f>
        <v/>
      </c>
      <c r="G94" s="5">
        <f>IF(B94="I1",20*AVERAGEIF('QA_Images'!$A$2:$A$63,A94,'QA_Images'!$U$2:$U$63)/100,IF(D94="NOT_CHECKED",0,C94))</f>
        <v/>
      </c>
      <c r="H94" s="2" t="inlineStr">
        <is>
          <t>Keyword evidence is supported by SERP comparables without unsupported volume claims. Evidence is public SERP only; no Search Console, keyword volume or customer-search corpus provided.</t>
        </is>
      </c>
      <c r="I94" s="2" t="inlineStr">
        <is>
          <t>evidence_batch_013_129</t>
        </is>
      </c>
      <c r="J94" s="2" t="inlineStr">
        <is>
          <t>ISSUE-0069; ISSUE-0070; ISSUE-0071; ISSUE-0072</t>
        </is>
      </c>
    </row>
    <row r="95" ht="42" customHeight="1">
      <c r="A95" s="3" t="inlineStr">
        <is>
          <t>jeminise.com+custom-wildlife-wolf-head-with-feathers-in-profile-comforter-0b1ab59a17-0b1ab59a17</t>
        </is>
      </c>
      <c r="B95" s="3" t="inlineStr">
        <is>
          <t>T1</t>
        </is>
      </c>
      <c r="C95" s="3" t="n">
        <v>10</v>
      </c>
      <c r="D95" s="3" t="inlineStr">
        <is>
          <t>FULL</t>
        </is>
      </c>
      <c r="E95" s="7">
        <f>IF(B95="I1",AVERAGEIF('QA_Images'!$A$2:$A$63,A95,'QA_Images'!$T$2:$T$63)/100,IF(D95="FULL",1,IF(D95="PARTIAL",0.5,IF(D95="FAIL",0,""))))</f>
        <v/>
      </c>
      <c r="F95" s="7">
        <f>IF(E95="",0,C95*E95)</f>
        <v/>
      </c>
      <c r="G95" s="7">
        <f>IF(B95="I1",20*AVERAGEIF('QA_Images'!$A$2:$A$63,A95,'QA_Images'!$U$2:$U$63)/100,IF(D95="NOT_CHECKED",0,C95))</f>
        <v/>
      </c>
      <c r="H95" s="3" t="inlineStr">
        <is>
          <t>SEO title and H1 are relevant, specific and grounded in visible/source facts. Title/H1 are product-specific and tied to visible motif/product type.</t>
        </is>
      </c>
      <c r="I95" s="3" t="inlineStr">
        <is>
          <t>evidence_batch_013_129</t>
        </is>
      </c>
      <c r="J95" s="3" t="inlineStr">
        <is>
          <t>ISSUE-0069; ISSUE-0070; ISSUE-0071; ISSUE-0072</t>
        </is>
      </c>
    </row>
    <row r="96" ht="42" customHeight="1">
      <c r="A96" s="2" t="inlineStr">
        <is>
          <t>jeminise.com+custom-wildlife-wolf-head-with-feathers-in-profile-comforter-0b1ab59a17-0b1ab59a17</t>
        </is>
      </c>
      <c r="B96" s="2" t="inlineStr">
        <is>
          <t>T2</t>
        </is>
      </c>
      <c r="C96" s="2" t="n">
        <v>5</v>
      </c>
      <c r="D96" s="2" t="inlineStr">
        <is>
          <t>PARTIAL</t>
        </is>
      </c>
      <c r="E96" s="5">
        <f>IF(B96="I1",AVERAGEIF('QA_Images'!$A$2:$A$63,A96,'QA_Images'!$T$2:$T$63)/100,IF(D96="FULL",1,IF(D96="PARTIAL",0.5,IF(D96="FAIL",0,""))))</f>
        <v/>
      </c>
      <c r="F96" s="5">
        <f>IF(E96="",0,C96*E96)</f>
        <v/>
      </c>
      <c r="G96" s="5">
        <f>IF(B96="I1",20*AVERAGEIF('QA_Images'!$A$2:$A$63,A96,'QA_Images'!$U$2:$U$63)/100,IF(D96="NOT_CHECKED",0,C96))</f>
        <v/>
      </c>
      <c r="H96" s="2" t="inlineStr">
        <is>
          <t>Meta description is concise, publish-ready and avoids unsupported claims. Meta description checked for length, specificity and supportable claims.</t>
        </is>
      </c>
      <c r="I96" s="2" t="inlineStr">
        <is>
          <t>evidence_batch_013_129</t>
        </is>
      </c>
      <c r="J96" s="2" t="inlineStr">
        <is>
          <t>ISSUE-0069; ISSUE-0070; ISSUE-0071; ISSUE-0072</t>
        </is>
      </c>
    </row>
    <row r="97" ht="42" customHeight="1">
      <c r="A97" s="3" t="inlineStr">
        <is>
          <t>jeminise.com+custom-wildlife-wolf-head-with-feathers-in-profile-comforter-0b1ab59a17-0b1ab59a17</t>
        </is>
      </c>
      <c r="B97" s="3" t="inlineStr">
        <is>
          <t>D1</t>
        </is>
      </c>
      <c r="C97" s="3" t="n">
        <v>10</v>
      </c>
      <c r="D97" s="3" t="inlineStr">
        <is>
          <t>FAIL</t>
        </is>
      </c>
      <c r="E97" s="7">
        <f>IF(B97="I1",AVERAGEIF('QA_Images'!$A$2:$A$63,A97,'QA_Images'!$T$2:$T$63)/100,IF(D97="FULL",1,IF(D97="PARTIAL",0.5,IF(D97="FAIL",0,""))))</f>
        <v/>
      </c>
      <c r="F97" s="7">
        <f>IF(E97="",0,C97*E97)</f>
        <v/>
      </c>
      <c r="G97" s="7">
        <f>IF(B97="I1",20*AVERAGEIF('QA_Images'!$A$2:$A$63,A97,'QA_Images'!$U$2:$U$63)/100,IF(D97="NOT_CHECKED",0,C97))</f>
        <v/>
      </c>
      <c r="H97" s="3" t="inlineStr">
        <is>
          <t>Description HTML is publish-ready and free of internal draft/QA instructions. Description HTML still contains internal QA/import language.</t>
        </is>
      </c>
      <c r="I97" s="3" t="inlineStr">
        <is>
          <t>evidence_batch_013_129</t>
        </is>
      </c>
      <c r="J97" s="3" t="inlineStr">
        <is>
          <t>ISSUE-0069; ISSUE-0070; ISSUE-0071; ISSUE-0072</t>
        </is>
      </c>
    </row>
    <row r="98" ht="42" customHeight="1">
      <c r="A98" s="2" t="inlineStr">
        <is>
          <t>jeminise.com+custom-wildlife-wolf-head-with-feathers-in-profile-comforter-0b1ab59a17-0b1ab59a17</t>
        </is>
      </c>
      <c r="B98" s="2" t="inlineStr">
        <is>
          <t>D2</t>
        </is>
      </c>
      <c r="C98" s="2" t="n">
        <v>5</v>
      </c>
      <c r="D98" s="2" t="inlineStr">
        <is>
          <t>PARTIAL</t>
        </is>
      </c>
      <c r="E98" s="5">
        <f>IF(B98="I1",AVERAGEIF('QA_Images'!$A$2:$A$63,A98,'QA_Images'!$T$2:$T$63)/100,IF(D98="FULL",1,IF(D98="PARTIAL",0.5,IF(D98="FAIL",0,""))))</f>
        <v/>
      </c>
      <c r="F98" s="5">
        <f>IF(E98="",0,C98*E98)</f>
        <v/>
      </c>
      <c r="G98" s="5">
        <f>IF(B98="I1",20*AVERAGEIF('QA_Images'!$A$2:$A$63,A98,'QA_Images'!$U$2:$U$63)/100,IF(D98="NOT_CHECKED",0,C98))</f>
        <v/>
      </c>
      <c r="H98" s="2" t="inlineStr">
        <is>
          <t>Description content covers verified design, product type, use case and constraints. Description covers motif/product type but remains templated and does not always map every verified constraint.</t>
        </is>
      </c>
      <c r="I98" s="2" t="inlineStr">
        <is>
          <t>evidence_batch_013_129</t>
        </is>
      </c>
      <c r="J98" s="2" t="inlineStr">
        <is>
          <t>ISSUE-0069; ISSUE-0070; ISSUE-0071; ISSUE-0072</t>
        </is>
      </c>
    </row>
    <row r="99" ht="42" customHeight="1">
      <c r="A99" s="3" t="inlineStr">
        <is>
          <t>jeminise.com+custom-wildlife-wolf-head-with-feathers-in-profile-comforter-0b1ab59a17-0b1ab59a17</t>
        </is>
      </c>
      <c r="B99" s="3" t="inlineStr">
        <is>
          <t>I1</t>
        </is>
      </c>
      <c r="C99" s="3" t="n">
        <v>20</v>
      </c>
      <c r="D99" s="3" t="inlineStr">
        <is>
          <t>FULL</t>
        </is>
      </c>
      <c r="E99" s="7">
        <f>IF(B99="I1",AVERAGEIF('QA_Images'!$A$2:$A$63,A99,'QA_Images'!$T$2:$T$63)/100,IF(D99="FULL",1,IF(D99="PARTIAL",0.5,IF(D99="FAIL",0,""))))</f>
        <v/>
      </c>
      <c r="F99" s="7">
        <f>IF(E99="",0,C99*E99)</f>
        <v/>
      </c>
      <c r="G99" s="7">
        <f>IF(B99="I1",20*AVERAGEIF('QA_Images'!$A$2:$A$63,A99,'QA_Images'!$U$2:$U$63)/100,IF(D99="NOT_CHECKED",0,C99))</f>
        <v/>
      </c>
      <c r="H99" s="3" t="inlineStr">
        <is>
          <t>Image coverage, image observations and alt text quality, derived from QA_Images. Derived from average image QA score; see QA_Images.</t>
        </is>
      </c>
      <c r="I99" s="3" t="inlineStr">
        <is>
          <t>evidence_batch_013_129</t>
        </is>
      </c>
      <c r="J99" s="3" t="inlineStr">
        <is>
          <t>ISSUE-0069; ISSUE-0070; ISSUE-0071; ISSUE-0072</t>
        </is>
      </c>
    </row>
    <row r="100" ht="42" customHeight="1">
      <c r="A100" s="2" t="inlineStr">
        <is>
          <t>jeminise.com+custom-wildlife-wolf-head-with-feathers-in-profile-comforter-0b1ab59a17-0b1ab59a17</t>
        </is>
      </c>
      <c r="B100" s="2" t="inlineStr">
        <is>
          <t>E1</t>
        </is>
      </c>
      <c r="C100" s="2" t="n">
        <v>5</v>
      </c>
      <c r="D100" s="2" t="inlineStr">
        <is>
          <t>PARTIAL</t>
        </is>
      </c>
      <c r="E100" s="5">
        <f>IF(B100="I1",AVERAGEIF('QA_Images'!$A$2:$A$63,A100,'QA_Images'!$T$2:$T$63)/100,IF(D100="FULL",1,IF(D100="PARTIAL",0.5,IF(D100="FAIL",0,""))))</f>
        <v/>
      </c>
      <c r="F100" s="5">
        <f>IF(E100="",0,C100*E100)</f>
        <v/>
      </c>
      <c r="G100" s="5">
        <f>IF(B100="I1",20*AVERAGEIF('QA_Images'!$A$2:$A$63,A100,'QA_Images'!$U$2:$U$63)/100,IF(D100="NOT_CHECKED",0,C100))</f>
        <v/>
      </c>
      <c r="H100" s="2" t="inlineStr">
        <is>
          <t>Evidence chain is traceable and limitations are explicitly separated from failures. Evidence chain is traceable, with admin-export limitation explicitly separated.</t>
        </is>
      </c>
      <c r="I100" s="2" t="inlineStr">
        <is>
          <t>evidence_batch_013_129</t>
        </is>
      </c>
      <c r="J100" s="2" t="inlineStr">
        <is>
          <t>ISSUE-0069; ISSUE-0070; ISSUE-0071; ISSUE-0072</t>
        </is>
      </c>
    </row>
    <row r="101" ht="42" customHeight="1">
      <c r="A101" s="3" t="inlineStr">
        <is>
          <t>jeminise.com+custom-wolf-head-centered-in-dreamcatcher-comforter-be6b37a3e1-be6b37a3e1</t>
        </is>
      </c>
      <c r="B101" s="3" t="inlineStr">
        <is>
          <t>P1</t>
        </is>
      </c>
      <c r="C101" s="3" t="n">
        <v>15</v>
      </c>
      <c r="D101" s="3" t="inlineStr">
        <is>
          <t>FULL</t>
        </is>
      </c>
      <c r="E101" s="7">
        <f>IF(B101="I1",AVERAGEIF('QA_Images'!$A$2:$A$63,A101,'QA_Images'!$T$2:$T$63)/100,IF(D101="FULL",1,IF(D101="PARTIAL",0.5,IF(D101="FAIL",0,""))))</f>
        <v/>
      </c>
      <c r="F101" s="7">
        <f>IF(E101="",0,C101*E101)</f>
        <v/>
      </c>
      <c r="G101" s="7">
        <f>IF(B101="I1",20*AVERAGEIF('QA_Images'!$A$2:$A$63,A101,'QA_Images'!$U$2:$U$63)/100,IF(D101="NOT_CHECKED",0,C101))</f>
        <v/>
      </c>
      <c r="H101" s="3" t="inlineStr">
        <is>
          <t>Product identity, handle, product ID, URL and canonical match source/live evidence. Product key/handle/product ID/canonical checked against frozen workbook and live product evidence.</t>
        </is>
      </c>
      <c r="I101" s="3" t="inlineStr">
        <is>
          <t>evidence_batch_013_130</t>
        </is>
      </c>
      <c r="J101" s="3" t="inlineStr">
        <is>
          <t>ISSUE-0076; ISSUE-0077; ISSUE-0078; ISSUE-0079</t>
        </is>
      </c>
    </row>
    <row r="102" ht="42" customHeight="1">
      <c r="A102" s="2" t="inlineStr">
        <is>
          <t>jeminise.com+custom-wolf-head-centered-in-dreamcatcher-comforter-be6b37a3e1-be6b37a3e1</t>
        </is>
      </c>
      <c r="B102" s="2" t="inlineStr">
        <is>
          <t>P2</t>
        </is>
      </c>
      <c r="C102" s="2" t="n">
        <v>10</v>
      </c>
      <c r="D102" s="2" t="inlineStr">
        <is>
          <t>PARTIAL</t>
        </is>
      </c>
      <c r="E102" s="5">
        <f>IF(B102="I1",AVERAGEIF('QA_Images'!$A$2:$A$63,A102,'QA_Images'!$T$2:$T$63)/100,IF(D102="FULL",1,IF(D102="PARTIAL",0.5,IF(D102="FAIL",0,""))))</f>
        <v/>
      </c>
      <c r="F102" s="5">
        <f>IF(E102="",0,C102*E102)</f>
        <v/>
      </c>
      <c r="G102" s="5">
        <f>IF(B102="I1",20*AVERAGEIF('QA_Images'!$A$2:$A$63,A102,'QA_Images'!$U$2:$U$63)/100,IF(D102="NOT_CHECKED",0,C102))</f>
        <v/>
      </c>
      <c r="H102" s="2" t="inlineStr">
        <is>
          <t>Source product facts, variants, specifications and personalization claims are evidence-backed. Personalization/specification claims checked against storefront product.js and static customizer config.</t>
        </is>
      </c>
      <c r="I102" s="2" t="inlineStr">
        <is>
          <t>evidence_batch_013_130</t>
        </is>
      </c>
      <c r="J102" s="2" t="inlineStr">
        <is>
          <t>ISSUE-0076; ISSUE-0077; ISSUE-0078; ISSUE-0079</t>
        </is>
      </c>
    </row>
    <row r="103" ht="42" customHeight="1">
      <c r="A103" s="3" t="inlineStr">
        <is>
          <t>jeminise.com+custom-wolf-head-centered-in-dreamcatcher-comforter-be6b37a3e1-be6b37a3e1</t>
        </is>
      </c>
      <c r="B103" s="3" t="inlineStr">
        <is>
          <t>K1</t>
        </is>
      </c>
      <c r="C103" s="3" t="n">
        <v>10</v>
      </c>
      <c r="D103" s="3" t="inlineStr">
        <is>
          <t>PARTIAL</t>
        </is>
      </c>
      <c r="E103" s="7">
        <f>IF(B103="I1",AVERAGEIF('QA_Images'!$A$2:$A$63,A103,'QA_Images'!$T$2:$T$63)/100,IF(D103="FULL",1,IF(D103="PARTIAL",0.5,IF(D103="FAIL",0,""))))</f>
        <v/>
      </c>
      <c r="F103" s="7">
        <f>IF(E103="",0,C103*E103)</f>
        <v/>
      </c>
      <c r="G103" s="7">
        <f>IF(B103="I1",20*AVERAGEIF('QA_Images'!$A$2:$A$63,A103,'QA_Images'!$U$2:$U$63)/100,IF(D103="NOT_CHECKED",0,C103))</f>
        <v/>
      </c>
      <c r="H103" s="3" t="inlineStr">
        <is>
          <t>Primary keyword aligns with product-level US purchase intent. Primary keyword rechecked against US product-level SERP comparables.</t>
        </is>
      </c>
      <c r="I103" s="3" t="inlineStr">
        <is>
          <t>evidence_batch_013_130</t>
        </is>
      </c>
      <c r="J103" s="3" t="inlineStr">
        <is>
          <t>ISSUE-0076; ISSUE-0077; ISSUE-0078; ISSUE-0079</t>
        </is>
      </c>
    </row>
    <row r="104" ht="42" customHeight="1">
      <c r="A104" s="2" t="inlineStr">
        <is>
          <t>jeminise.com+custom-wolf-head-centered-in-dreamcatcher-comforter-be6b37a3e1-be6b37a3e1</t>
        </is>
      </c>
      <c r="B104" s="2" t="inlineStr">
        <is>
          <t>K2</t>
        </is>
      </c>
      <c r="C104" s="2" t="n">
        <v>5</v>
      </c>
      <c r="D104" s="2" t="inlineStr">
        <is>
          <t>PARTIAL</t>
        </is>
      </c>
      <c r="E104" s="5">
        <f>IF(B104="I1",AVERAGEIF('QA_Images'!$A$2:$A$63,A104,'QA_Images'!$T$2:$T$63)/100,IF(D104="FULL",1,IF(D104="PARTIAL",0.5,IF(D104="FAIL",0,""))))</f>
        <v/>
      </c>
      <c r="F104" s="5">
        <f>IF(E104="",0,C104*E104)</f>
        <v/>
      </c>
      <c r="G104" s="5">
        <f>IF(B104="I1",20*AVERAGEIF('QA_Images'!$A$2:$A$63,A104,'QA_Images'!$U$2:$U$63)/100,IF(D104="NOT_CHECKED",0,C104))</f>
        <v/>
      </c>
      <c r="H104" s="2" t="inlineStr">
        <is>
          <t>Intent/cannibalization check distinguishes nearby products. Nearby product cluster has overlap risk, so intent distinction remains only partial.</t>
        </is>
      </c>
      <c r="I104" s="2" t="inlineStr">
        <is>
          <t>evidence_batch_013_130</t>
        </is>
      </c>
      <c r="J104" s="2" t="inlineStr">
        <is>
          <t>ISSUE-0076; ISSUE-0077; ISSUE-0078; ISSUE-0079</t>
        </is>
      </c>
    </row>
    <row r="105" ht="42" customHeight="1">
      <c r="A105" s="3" t="inlineStr">
        <is>
          <t>jeminise.com+custom-wolf-head-centered-in-dreamcatcher-comforter-be6b37a3e1-be6b37a3e1</t>
        </is>
      </c>
      <c r="B105" s="3" t="inlineStr">
        <is>
          <t>K3</t>
        </is>
      </c>
      <c r="C105" s="3" t="n">
        <v>5</v>
      </c>
      <c r="D105" s="3" t="inlineStr">
        <is>
          <t>PARTIAL</t>
        </is>
      </c>
      <c r="E105" s="7">
        <f>IF(B105="I1",AVERAGEIF('QA_Images'!$A$2:$A$63,A105,'QA_Images'!$T$2:$T$63)/100,IF(D105="FULL",1,IF(D105="PARTIAL",0.5,IF(D105="FAIL",0,""))))</f>
        <v/>
      </c>
      <c r="F105" s="7">
        <f>IF(E105="",0,C105*E105)</f>
        <v/>
      </c>
      <c r="G105" s="7">
        <f>IF(B105="I1",20*AVERAGEIF('QA_Images'!$A$2:$A$63,A105,'QA_Images'!$U$2:$U$63)/100,IF(D105="NOT_CHECKED",0,C105))</f>
        <v/>
      </c>
      <c r="H105" s="3" t="inlineStr">
        <is>
          <t>Keyword evidence is supported by SERP comparables without unsupported volume claims. Evidence is public SERP only; no Search Console, keyword volume or customer-search corpus provided.</t>
        </is>
      </c>
      <c r="I105" s="3" t="inlineStr">
        <is>
          <t>evidence_batch_013_130</t>
        </is>
      </c>
      <c r="J105" s="3" t="inlineStr">
        <is>
          <t>ISSUE-0076; ISSUE-0077; ISSUE-0078; ISSUE-0079</t>
        </is>
      </c>
    </row>
    <row r="106" ht="42" customHeight="1">
      <c r="A106" s="2" t="inlineStr">
        <is>
          <t>jeminise.com+custom-wolf-head-centered-in-dreamcatcher-comforter-be6b37a3e1-be6b37a3e1</t>
        </is>
      </c>
      <c r="B106" s="2" t="inlineStr">
        <is>
          <t>T1</t>
        </is>
      </c>
      <c r="C106" s="2" t="n">
        <v>10</v>
      </c>
      <c r="D106" s="2" t="inlineStr">
        <is>
          <t>FULL</t>
        </is>
      </c>
      <c r="E106" s="5">
        <f>IF(B106="I1",AVERAGEIF('QA_Images'!$A$2:$A$63,A106,'QA_Images'!$T$2:$T$63)/100,IF(D106="FULL",1,IF(D106="PARTIAL",0.5,IF(D106="FAIL",0,""))))</f>
        <v/>
      </c>
      <c r="F106" s="5">
        <f>IF(E106="",0,C106*E106)</f>
        <v/>
      </c>
      <c r="G106" s="5">
        <f>IF(B106="I1",20*AVERAGEIF('QA_Images'!$A$2:$A$63,A106,'QA_Images'!$U$2:$U$63)/100,IF(D106="NOT_CHECKED",0,C106))</f>
        <v/>
      </c>
      <c r="H106" s="2" t="inlineStr">
        <is>
          <t>SEO title and H1 are relevant, specific and grounded in visible/source facts. Title/H1 are product-specific and tied to visible motif/product type.</t>
        </is>
      </c>
      <c r="I106" s="2" t="inlineStr">
        <is>
          <t>evidence_batch_013_130</t>
        </is>
      </c>
      <c r="J106" s="2" t="inlineStr">
        <is>
          <t>ISSUE-0076; ISSUE-0077; ISSUE-0078; ISSUE-0079</t>
        </is>
      </c>
    </row>
    <row r="107" ht="42" customHeight="1">
      <c r="A107" s="3" t="inlineStr">
        <is>
          <t>jeminise.com+custom-wolf-head-centered-in-dreamcatcher-comforter-be6b37a3e1-be6b37a3e1</t>
        </is>
      </c>
      <c r="B107" s="3" t="inlineStr">
        <is>
          <t>T2</t>
        </is>
      </c>
      <c r="C107" s="3" t="n">
        <v>5</v>
      </c>
      <c r="D107" s="3" t="inlineStr">
        <is>
          <t>PARTIAL</t>
        </is>
      </c>
      <c r="E107" s="7">
        <f>IF(B107="I1",AVERAGEIF('QA_Images'!$A$2:$A$63,A107,'QA_Images'!$T$2:$T$63)/100,IF(D107="FULL",1,IF(D107="PARTIAL",0.5,IF(D107="FAIL",0,""))))</f>
        <v/>
      </c>
      <c r="F107" s="7">
        <f>IF(E107="",0,C107*E107)</f>
        <v/>
      </c>
      <c r="G107" s="7">
        <f>IF(B107="I1",20*AVERAGEIF('QA_Images'!$A$2:$A$63,A107,'QA_Images'!$U$2:$U$63)/100,IF(D107="NOT_CHECKED",0,C107))</f>
        <v/>
      </c>
      <c r="H107" s="3" t="inlineStr">
        <is>
          <t>Meta description is concise, publish-ready and avoids unsupported claims. Meta description checked for length, specificity and supportable claims.</t>
        </is>
      </c>
      <c r="I107" s="3" t="inlineStr">
        <is>
          <t>evidence_batch_013_130</t>
        </is>
      </c>
      <c r="J107" s="3" t="inlineStr">
        <is>
          <t>ISSUE-0076; ISSUE-0077; ISSUE-0078; ISSUE-0079</t>
        </is>
      </c>
    </row>
    <row r="108" ht="42" customHeight="1">
      <c r="A108" s="2" t="inlineStr">
        <is>
          <t>jeminise.com+custom-wolf-head-centered-in-dreamcatcher-comforter-be6b37a3e1-be6b37a3e1</t>
        </is>
      </c>
      <c r="B108" s="2" t="inlineStr">
        <is>
          <t>D1</t>
        </is>
      </c>
      <c r="C108" s="2" t="n">
        <v>10</v>
      </c>
      <c r="D108" s="2" t="inlineStr">
        <is>
          <t>FAIL</t>
        </is>
      </c>
      <c r="E108" s="5">
        <f>IF(B108="I1",AVERAGEIF('QA_Images'!$A$2:$A$63,A108,'QA_Images'!$T$2:$T$63)/100,IF(D108="FULL",1,IF(D108="PARTIAL",0.5,IF(D108="FAIL",0,""))))</f>
        <v/>
      </c>
      <c r="F108" s="5">
        <f>IF(E108="",0,C108*E108)</f>
        <v/>
      </c>
      <c r="G108" s="5">
        <f>IF(B108="I1",20*AVERAGEIF('QA_Images'!$A$2:$A$63,A108,'QA_Images'!$U$2:$U$63)/100,IF(D108="NOT_CHECKED",0,C108))</f>
        <v/>
      </c>
      <c r="H108" s="2" t="inlineStr">
        <is>
          <t>Description HTML is publish-ready and free of internal draft/QA instructions. Description HTML still contains internal QA/import language.</t>
        </is>
      </c>
      <c r="I108" s="2" t="inlineStr">
        <is>
          <t>evidence_batch_013_130</t>
        </is>
      </c>
      <c r="J108" s="2" t="inlineStr">
        <is>
          <t>ISSUE-0076; ISSUE-0077; ISSUE-0078; ISSUE-0079</t>
        </is>
      </c>
    </row>
    <row r="109" ht="42" customHeight="1">
      <c r="A109" s="3" t="inlineStr">
        <is>
          <t>jeminise.com+custom-wolf-head-centered-in-dreamcatcher-comforter-be6b37a3e1-be6b37a3e1</t>
        </is>
      </c>
      <c r="B109" s="3" t="inlineStr">
        <is>
          <t>D2</t>
        </is>
      </c>
      <c r="C109" s="3" t="n">
        <v>5</v>
      </c>
      <c r="D109" s="3" t="inlineStr">
        <is>
          <t>PARTIAL</t>
        </is>
      </c>
      <c r="E109" s="7">
        <f>IF(B109="I1",AVERAGEIF('QA_Images'!$A$2:$A$63,A109,'QA_Images'!$T$2:$T$63)/100,IF(D109="FULL",1,IF(D109="PARTIAL",0.5,IF(D109="FAIL",0,""))))</f>
        <v/>
      </c>
      <c r="F109" s="7">
        <f>IF(E109="",0,C109*E109)</f>
        <v/>
      </c>
      <c r="G109" s="7">
        <f>IF(B109="I1",20*AVERAGEIF('QA_Images'!$A$2:$A$63,A109,'QA_Images'!$U$2:$U$63)/100,IF(D109="NOT_CHECKED",0,C109))</f>
        <v/>
      </c>
      <c r="H109" s="3" t="inlineStr">
        <is>
          <t>Description content covers verified design, product type, use case and constraints. Description covers motif/product type but remains templated and does not always map every verified constraint.</t>
        </is>
      </c>
      <c r="I109" s="3" t="inlineStr">
        <is>
          <t>evidence_batch_013_130</t>
        </is>
      </c>
      <c r="J109" s="3" t="inlineStr">
        <is>
          <t>ISSUE-0076; ISSUE-0077; ISSUE-0078; ISSUE-0079</t>
        </is>
      </c>
    </row>
    <row r="110" ht="42" customHeight="1">
      <c r="A110" s="2" t="inlineStr">
        <is>
          <t>jeminise.com+custom-wolf-head-centered-in-dreamcatcher-comforter-be6b37a3e1-be6b37a3e1</t>
        </is>
      </c>
      <c r="B110" s="2" t="inlineStr">
        <is>
          <t>I1</t>
        </is>
      </c>
      <c r="C110" s="2" t="n">
        <v>20</v>
      </c>
      <c r="D110" s="2" t="inlineStr">
        <is>
          <t>FULL</t>
        </is>
      </c>
      <c r="E110" s="5">
        <f>IF(B110="I1",AVERAGEIF('QA_Images'!$A$2:$A$63,A110,'QA_Images'!$T$2:$T$63)/100,IF(D110="FULL",1,IF(D110="PARTIAL",0.5,IF(D110="FAIL",0,""))))</f>
        <v/>
      </c>
      <c r="F110" s="5">
        <f>IF(E110="",0,C110*E110)</f>
        <v/>
      </c>
      <c r="G110" s="5">
        <f>IF(B110="I1",20*AVERAGEIF('QA_Images'!$A$2:$A$63,A110,'QA_Images'!$U$2:$U$63)/100,IF(D110="NOT_CHECKED",0,C110))</f>
        <v/>
      </c>
      <c r="H110" s="2" t="inlineStr">
        <is>
          <t>Image coverage, image observations and alt text quality, derived from QA_Images. Derived from average image QA score; see QA_Images.</t>
        </is>
      </c>
      <c r="I110" s="2" t="inlineStr">
        <is>
          <t>evidence_batch_013_130</t>
        </is>
      </c>
      <c r="J110" s="2" t="inlineStr">
        <is>
          <t>ISSUE-0076; ISSUE-0077; ISSUE-0078; ISSUE-0079</t>
        </is>
      </c>
    </row>
    <row r="111" ht="42" customHeight="1">
      <c r="A111" s="3" t="inlineStr">
        <is>
          <t>jeminise.com+custom-wolf-head-centered-in-dreamcatcher-comforter-be6b37a3e1-be6b37a3e1</t>
        </is>
      </c>
      <c r="B111" s="3" t="inlineStr">
        <is>
          <t>E1</t>
        </is>
      </c>
      <c r="C111" s="3" t="n">
        <v>5</v>
      </c>
      <c r="D111" s="3" t="inlineStr">
        <is>
          <t>PARTIAL</t>
        </is>
      </c>
      <c r="E111" s="7">
        <f>IF(B111="I1",AVERAGEIF('QA_Images'!$A$2:$A$63,A111,'QA_Images'!$T$2:$T$63)/100,IF(D111="FULL",1,IF(D111="PARTIAL",0.5,IF(D111="FAIL",0,""))))</f>
        <v/>
      </c>
      <c r="F111" s="7">
        <f>IF(E111="",0,C111*E111)</f>
        <v/>
      </c>
      <c r="G111" s="7">
        <f>IF(B111="I1",20*AVERAGEIF('QA_Images'!$A$2:$A$63,A111,'QA_Images'!$U$2:$U$63)/100,IF(D111="NOT_CHECKED",0,C111))</f>
        <v/>
      </c>
      <c r="H111" s="3" t="inlineStr">
        <is>
          <t>Evidence chain is traceable and limitations are explicitly separated from failures. Evidence chain is traceable, with admin-export limitation explicitly separated.</t>
        </is>
      </c>
      <c r="I111" s="3" t="inlineStr">
        <is>
          <t>evidence_batch_013_130</t>
        </is>
      </c>
      <c r="J111" s="3" t="inlineStr">
        <is>
          <t>ISSUE-0076; ISSUE-0077; ISSUE-0078; ISSUE-0079</t>
        </is>
      </c>
    </row>
  </sheetData>
  <autoFilter ref="A1:J111"/>
  <printOptions horizontalCentered="0"/>
  <pageMargins left="0.25" right="0.25"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63"/>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38" customWidth="1" min="3" max="3"/>
    <col width="38" customWidth="1" min="4" max="4"/>
    <col width="20" customWidth="1" min="5" max="5"/>
    <col width="38" customWidth="1" min="6" max="6"/>
    <col width="16" customWidth="1" min="7" max="7"/>
    <col width="16" customWidth="1" min="8" max="8"/>
    <col width="24" customWidth="1" min="9" max="9"/>
    <col width="24" customWidth="1" min="10" max="10"/>
    <col width="42" customWidth="1" min="11" max="11"/>
    <col width="42" customWidth="1" min="12" max="12"/>
    <col width="24" customWidth="1" min="13" max="13"/>
    <col width="12" customWidth="1" min="14" max="14"/>
    <col width="42" customWidth="1" min="15" max="15"/>
    <col width="11" customWidth="1" min="16" max="16"/>
    <col width="11" customWidth="1" min="17" max="17"/>
    <col width="11" customWidth="1" min="18" max="18"/>
    <col width="11" customWidth="1" min="19" max="19"/>
    <col width="24" customWidth="1" min="20" max="20"/>
    <col width="24" customWidth="1" min="21" max="21"/>
    <col width="21" customWidth="1" min="22" max="22"/>
    <col width="24" customWidth="1" min="23" max="23"/>
    <col width="24" customWidth="1" min="24" max="24"/>
    <col width="42" customWidth="1" min="25" max="25"/>
    <col width="42" customWidth="1" min="26" max="26"/>
  </cols>
  <sheetData>
    <row r="1" ht="32" customHeight="1">
      <c r="A1" s="1" t="inlineStr">
        <is>
          <t>product_key</t>
        </is>
      </c>
      <c r="B1" s="1" t="inlineStr">
        <is>
          <t>qa_image_key</t>
        </is>
      </c>
      <c r="C1" s="1" t="inlineStr">
        <is>
          <t>image_url_source</t>
        </is>
      </c>
      <c r="D1" s="1" t="inlineStr">
        <is>
          <t>image_url_workbook</t>
        </is>
      </c>
      <c r="E1" s="1" t="inlineStr">
        <is>
          <t>media_id</t>
        </is>
      </c>
      <c r="F1" s="1" t="inlineStr">
        <is>
          <t>workbook_image_id</t>
        </is>
      </c>
      <c r="G1" s="1" t="inlineStr">
        <is>
          <t>variant</t>
        </is>
      </c>
      <c r="H1" s="1" t="inlineStr">
        <is>
          <t>image_location</t>
        </is>
      </c>
      <c r="I1" s="1" t="inlineStr">
        <is>
          <t>check_method</t>
        </is>
      </c>
      <c r="J1" s="1" t="inlineStr">
        <is>
          <t>checked_at</t>
        </is>
      </c>
      <c r="K1" s="1" t="inlineStr">
        <is>
          <t>qa_observation</t>
        </is>
      </c>
      <c r="L1" s="1" t="inlineStr">
        <is>
          <t>submitted_observation</t>
        </is>
      </c>
      <c r="M1" s="1" t="inlineStr">
        <is>
          <t>storefront_alt_observed</t>
        </is>
      </c>
      <c r="N1" s="1" t="inlineStr">
        <is>
          <t>alt_action</t>
        </is>
      </c>
      <c r="O1" s="1" t="inlineStr">
        <is>
          <t>alt_effective</t>
        </is>
      </c>
      <c r="P1" s="1" t="inlineStr">
        <is>
          <t>IM1</t>
        </is>
      </c>
      <c r="Q1" s="1" t="inlineStr">
        <is>
          <t>IM2</t>
        </is>
      </c>
      <c r="R1" s="1" t="inlineStr">
        <is>
          <t>IM3</t>
        </is>
      </c>
      <c r="S1" s="1" t="inlineStr">
        <is>
          <t>IM4</t>
        </is>
      </c>
      <c r="T1" s="1" t="inlineStr">
        <is>
          <t>image_verified_points</t>
        </is>
      </c>
      <c r="U1" s="1" t="inlineStr">
        <is>
          <t>image_assessed_weight</t>
        </is>
      </c>
      <c r="V1" s="1" t="inlineStr">
        <is>
          <t>image_final_score</t>
        </is>
      </c>
      <c r="W1" s="1" t="inlineStr">
        <is>
          <t>image_score_lower_bound</t>
        </is>
      </c>
      <c r="X1" s="1" t="inlineStr">
        <is>
          <t>image_score_upper_bound</t>
        </is>
      </c>
      <c r="Y1" s="1" t="inlineStr">
        <is>
          <t>issue_refs</t>
        </is>
      </c>
      <c r="Z1" s="1" t="inlineStr">
        <is>
          <t>evidence_refs</t>
        </is>
      </c>
    </row>
    <row r="2" ht="66" customHeight="1">
      <c r="A2" s="2" t="inlineStr">
        <is>
          <t>jeminise.com+custom-trucking-semi-truck-breaking-through-stone-wall-vintage-comforter-28a367022b-28a367022b</t>
        </is>
      </c>
      <c r="B2" s="2" t="inlineStr">
        <is>
          <t>img_3554267a4162a745</t>
        </is>
      </c>
      <c r="C2" s="4" t="inlineStr">
        <is>
          <t>https://cdn.shopify.com/s/files/1/0792/5098/1063/files/f9c2de4b8fca94491645b16f68b222a2a8f2c0f2c1c7ca965804ab9fdffa4100.jpg?v=1785132830</t>
        </is>
      </c>
      <c r="D2" s="4" t="inlineStr">
        <is>
          <t>https://cdn.shopify.com/s/files/1/0792/5098/1063/files/f9c2de4b8fca94491645b16f68b222a2a8f2c0f2c1c7ca965804ab9fdffa4100.jpg?v=1785132830</t>
        </is>
      </c>
      <c r="E2" s="2" t="inlineStr">
        <is>
          <t>47548740763847</t>
        </is>
      </c>
      <c r="F2" s="2" t="inlineStr">
        <is>
          <t>47548740763847</t>
        </is>
      </c>
      <c r="G2" s="2" t="inlineStr"/>
      <c r="H2" s="2" t="inlineStr">
        <is>
          <t>GALLERY</t>
        </is>
      </c>
      <c r="I2" s="2" t="inlineStr">
        <is>
          <t>DIRECT_IMAGE_DOWNLOAD_AND_SOURCE_ROW_REVIEW</t>
        </is>
      </c>
      <c r="J2" s="2" t="inlineStr">
        <is>
          <t>2026-09-07T18:40:50+07:00</t>
        </is>
      </c>
      <c r="K2" s="2" t="inlineStr">
        <is>
          <t>Direct QA opened downloaded image 121_01; source SHA 4282774F17A37F8E816C377BBB29ED85CA643B742C0B28C8F58BE66283BC9ADF. Submitted observation reviewed against gallery position.</t>
        </is>
      </c>
      <c r="L2" s="2" t="inlineStr">
        <is>
          <t>Main product mockup showing personalized vintage blue semi truck stone wall comforter.</t>
        </is>
      </c>
      <c r="M2" s="2" t="inlineStr">
        <is>
          <t>UNKNOWN</t>
        </is>
      </c>
      <c r="N2" s="2" t="inlineStr">
        <is>
          <t>SET</t>
        </is>
      </c>
      <c r="O2" s="2" t="inlineStr">
        <is>
          <t>Personalized Vintage Semi Truck Comforter displayed in a main product mockup</t>
        </is>
      </c>
      <c r="P2" s="2" t="inlineStr">
        <is>
          <t>FULL</t>
        </is>
      </c>
      <c r="Q2" s="2" t="inlineStr">
        <is>
          <t>FULL</t>
        </is>
      </c>
      <c r="R2" s="2" t="inlineStr">
        <is>
          <t>PARTIAL</t>
        </is>
      </c>
      <c r="S2" s="2" t="inlineStr">
        <is>
          <t>FULL</t>
        </is>
      </c>
      <c r="T2" s="5">
        <f>IF(P2="FULL",40,IF(P2="PARTIAL",40/2,0))+IF(Q2="FULL",30,IF(Q2="PARTIAL",30/2,0))+IF(R2="FULL",20,IF(R2="PARTIAL",20/2,0))+IF(S2="FULL",10,IF(S2="PARTIAL",10/2,0))</f>
        <v/>
      </c>
      <c r="U2" s="5">
        <f>IF(P2="NOT_CHECKED",0,40)+IF(Q2="NOT_CHECKED",0,30)+IF(R2="NOT_CHECKED",0,20)+IF(S2="NOT_CHECKED",0,10)</f>
        <v/>
      </c>
      <c r="V2" s="5">
        <f>IF(U2=100,T2,"")</f>
        <v/>
      </c>
      <c r="W2" s="5">
        <f>T2</f>
        <v/>
      </c>
      <c r="X2" s="5">
        <f>T2+(100-U2)</f>
        <v/>
      </c>
      <c r="Y2" s="2" t="inlineStr">
        <is>
          <t>ISSUE-0005</t>
        </is>
      </c>
      <c r="Z2" s="2" t="inlineStr">
        <is>
          <t>D:\Shopify_Workspace\jeminise_seo\seo_runs\jeminise.com\20260906_234129\qa\20260907_182000\images\121_01.jpg; 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row>
    <row r="3" ht="66" customHeight="1">
      <c r="A3" s="3" t="inlineStr">
        <is>
          <t>jeminise.com+custom-trucking-semi-truck-breaking-through-stone-wall-vintage-comforter-28a367022b-28a367022b</t>
        </is>
      </c>
      <c r="B3" s="3" t="inlineStr">
        <is>
          <t>img_5ec85cc51ca18b82</t>
        </is>
      </c>
      <c r="C3" s="4" t="inlineStr">
        <is>
          <t>https://cdn.shopify.com/s/files/1/0792/5098/1063/files/cb40af2133ae7a7b62a908bfd8ab3b67101d519c6b22d55aea0046221fa904eb.jpg?v=1785132830</t>
        </is>
      </c>
      <c r="D3" s="4" t="inlineStr">
        <is>
          <t>https://cdn.shopify.com/s/files/1/0792/5098/1063/files/cb40af2133ae7a7b62a908bfd8ab3b67101d519c6b22d55aea0046221fa904eb.jpg?v=1785132830</t>
        </is>
      </c>
      <c r="E3" s="3" t="inlineStr">
        <is>
          <t>47548740796615</t>
        </is>
      </c>
      <c r="F3" s="3" t="inlineStr">
        <is>
          <t>47548740796615</t>
        </is>
      </c>
      <c r="G3" s="3" t="inlineStr"/>
      <c r="H3" s="3" t="inlineStr">
        <is>
          <t>GALLERY</t>
        </is>
      </c>
      <c r="I3" s="3" t="inlineStr">
        <is>
          <t>DIRECT_IMAGE_DOWNLOAD_AND_SOURCE_ROW_REVIEW</t>
        </is>
      </c>
      <c r="J3" s="3" t="inlineStr">
        <is>
          <t>2026-09-07T18:40:50+07:00</t>
        </is>
      </c>
      <c r="K3" s="3" t="inlineStr">
        <is>
          <t>Direct QA opened downloaded image 121_02; source SHA 5B5BABCDC8FE304511ADECEF7AA044DB7C225109A155DA0C2E601B616EFE570C. Submitted observation reviewed against gallery position.</t>
        </is>
      </c>
      <c r="L3" s="3" t="inlineStr">
        <is>
          <t>Secondary flat, close-up or bedroom mockup showing personalized vintage blue semi truck stone wall comforter.</t>
        </is>
      </c>
      <c r="M3" s="3" t="inlineStr">
        <is>
          <t>UNKNOWN</t>
        </is>
      </c>
      <c r="N3" s="3" t="inlineStr">
        <is>
          <t>SET</t>
        </is>
      </c>
      <c r="O3" s="3" t="inlineStr">
        <is>
          <t>Secondary mockup of Personalized Vintage Semi Truck Comforter</t>
        </is>
      </c>
      <c r="P3" s="3" t="inlineStr">
        <is>
          <t>FULL</t>
        </is>
      </c>
      <c r="Q3" s="3" t="inlineStr">
        <is>
          <t>FULL</t>
        </is>
      </c>
      <c r="R3" s="3" t="inlineStr">
        <is>
          <t>FULL</t>
        </is>
      </c>
      <c r="S3" s="3" t="inlineStr">
        <is>
          <t>FULL</t>
        </is>
      </c>
      <c r="T3" s="7">
        <f>IF(P3="FULL",40,IF(P3="PARTIAL",40/2,0))+IF(Q3="FULL",30,IF(Q3="PARTIAL",30/2,0))+IF(R3="FULL",20,IF(R3="PARTIAL",20/2,0))+IF(S3="FULL",10,IF(S3="PARTIAL",10/2,0))</f>
        <v/>
      </c>
      <c r="U3" s="7">
        <f>IF(P3="NOT_CHECKED",0,40)+IF(Q3="NOT_CHECKED",0,30)+IF(R3="NOT_CHECKED",0,20)+IF(S3="NOT_CHECKED",0,10)</f>
        <v/>
      </c>
      <c r="V3" s="7">
        <f>IF(U3=100,T3,"")</f>
        <v/>
      </c>
      <c r="W3" s="7">
        <f>T3</f>
        <v/>
      </c>
      <c r="X3" s="7">
        <f>T3+(100-U3)</f>
        <v/>
      </c>
      <c r="Y3" s="3" t="inlineStr"/>
      <c r="Z3" s="3" t="inlineStr">
        <is>
          <t>D:\Shopify_Workspace\jeminise_seo\seo_runs\jeminise.com\20260906_234129\qa\20260907_182000\images\121_02.jpg; 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row>
    <row r="4" ht="66" customHeight="1">
      <c r="A4" s="2" t="inlineStr">
        <is>
          <t>jeminise.com+custom-trucking-semi-truck-breaking-through-stone-wall-vintage-comforter-28a367022b-28a367022b</t>
        </is>
      </c>
      <c r="B4" s="2" t="inlineStr">
        <is>
          <t>img_d910ac1e2a73c204</t>
        </is>
      </c>
      <c r="C4" s="4" t="inlineStr">
        <is>
          <t>https://cdn.shopify.com/s/files/1/0792/5098/1063/files/16f7293cbefa5743a35b2e6316a5a114e5c052d08151e367dafd26aa5e2e542b_693d14f4-886d-4a41-9e61-0b67ccd07c1e.jpg?v=1785132830</t>
        </is>
      </c>
      <c r="D4" s="4" t="inlineStr">
        <is>
          <t>https://cdn.shopify.com/s/files/1/0792/5098/1063/files/16f7293cbefa5743a35b2e6316a5a114e5c052d08151e367dafd26aa5e2e542b_693d14f4-886d-4a41-9e61-0b67ccd07c1e.jpg?v=1785132830</t>
        </is>
      </c>
      <c r="E4" s="2" t="inlineStr">
        <is>
          <t>47548740829383</t>
        </is>
      </c>
      <c r="F4" s="2" t="inlineStr">
        <is>
          <t>47548740829383</t>
        </is>
      </c>
      <c r="G4" s="2" t="inlineStr"/>
      <c r="H4" s="2" t="inlineStr">
        <is>
          <t>GALLERY</t>
        </is>
      </c>
      <c r="I4" s="2" t="inlineStr">
        <is>
          <t>DIRECT_IMAGE_DOWNLOAD_AND_SOURCE_ROW_REVIEW</t>
        </is>
      </c>
      <c r="J4" s="2" t="inlineStr">
        <is>
          <t>2026-09-07T18:40:50+07:00</t>
        </is>
      </c>
      <c r="K4" s="2" t="inlineStr">
        <is>
          <t>Direct QA opened downloaded image 121_03; source SHA D1D7BB2E7BBC330A530F2D07CC17846B4F9F5EF39CD3A33528B7908CF2BF0286. Submitted observation reviewed against gallery position.</t>
        </is>
      </c>
      <c r="L4" s="2" t="inlineStr">
        <is>
          <t>Bedding type, feature, lifestyle or material image for personalized vintage blue semi truck stone wall comforter.</t>
        </is>
      </c>
      <c r="M4" s="2" t="inlineStr">
        <is>
          <t>UNKNOWN</t>
        </is>
      </c>
      <c r="N4" s="2" t="inlineStr">
        <is>
          <t>SET</t>
        </is>
      </c>
      <c r="O4" s="2" t="inlineStr">
        <is>
          <t>Product option, feature or lifestyle image for Personalized Vintage Semi Truck Comforter</t>
        </is>
      </c>
      <c r="P4" s="2" t="inlineStr">
        <is>
          <t>FULL</t>
        </is>
      </c>
      <c r="Q4" s="2" t="inlineStr">
        <is>
          <t>PARTIAL</t>
        </is>
      </c>
      <c r="R4" s="2" t="inlineStr">
        <is>
          <t>FULL</t>
        </is>
      </c>
      <c r="S4" s="2" t="inlineStr">
        <is>
          <t>FULL</t>
        </is>
      </c>
      <c r="T4" s="5">
        <f>IF(P4="FULL",40,IF(P4="PARTIAL",40/2,0))+IF(Q4="FULL",30,IF(Q4="PARTIAL",30/2,0))+IF(R4="FULL",20,IF(R4="PARTIAL",20/2,0))+IF(S4="FULL",10,IF(S4="PARTIAL",10/2,0))</f>
        <v/>
      </c>
      <c r="U4" s="5">
        <f>IF(P4="NOT_CHECKED",0,40)+IF(Q4="NOT_CHECKED",0,30)+IF(R4="NOT_CHECKED",0,20)+IF(S4="NOT_CHECKED",0,10)</f>
        <v/>
      </c>
      <c r="V4" s="5">
        <f>IF(U4=100,T4,"")</f>
        <v/>
      </c>
      <c r="W4" s="5">
        <f>T4</f>
        <v/>
      </c>
      <c r="X4" s="5">
        <f>T4+(100-U4)</f>
        <v/>
      </c>
      <c r="Y4" s="2" t="inlineStr">
        <is>
          <t>ISSUE-0006</t>
        </is>
      </c>
      <c r="Z4" s="2" t="inlineStr">
        <is>
          <t>D:\Shopify_Workspace\jeminise_seo\seo_runs\jeminise.com\20260906_234129\qa\20260907_182000\images\121_03.jpg; 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row>
    <row r="5" ht="66" customHeight="1">
      <c r="A5" s="3" t="inlineStr">
        <is>
          <t>jeminise.com+custom-trucking-semi-truck-breaking-through-stone-wall-vintage-comforter-28a367022b-28a367022b</t>
        </is>
      </c>
      <c r="B5" s="3" t="inlineStr">
        <is>
          <t>img_e18dc74c95bb1446</t>
        </is>
      </c>
      <c r="C5" s="4" t="inlineStr">
        <is>
          <t>https://cdn.shopify.com/s/files/1/0792/5098/1063/files/8e27a770a50a1f488178e2ea485d879ddcfd731511687082221e7817b47fc1dd.jpg?v=1785132830</t>
        </is>
      </c>
      <c r="D5" s="4" t="inlineStr">
        <is>
          <t>https://cdn.shopify.com/s/files/1/0792/5098/1063/files/8e27a770a50a1f488178e2ea485d879ddcfd731511687082221e7817b47fc1dd.jpg?v=1785132830</t>
        </is>
      </c>
      <c r="E5" s="3" t="inlineStr">
        <is>
          <t>47548740862151</t>
        </is>
      </c>
      <c r="F5" s="3" t="inlineStr">
        <is>
          <t>47548740862151</t>
        </is>
      </c>
      <c r="G5" s="3" t="inlineStr"/>
      <c r="H5" s="3" t="inlineStr">
        <is>
          <t>GALLERY</t>
        </is>
      </c>
      <c r="I5" s="3" t="inlineStr">
        <is>
          <t>DIRECT_IMAGE_DOWNLOAD_AND_SOURCE_ROW_REVIEW</t>
        </is>
      </c>
      <c r="J5" s="3" t="inlineStr">
        <is>
          <t>2026-09-07T18:40:50+07:00</t>
        </is>
      </c>
      <c r="K5" s="3" t="inlineStr">
        <is>
          <t>Direct QA opened downloaded image 121_04; source SHA 0207A6BED88FFCE43D5E6D10D0029FA5DC9A0400DA8024372503FB7C5ADD21CE. Submitted observation reviewed against gallery position.</t>
        </is>
      </c>
      <c r="L5" s="3" t="inlineStr">
        <is>
          <t>Detail, feature panel or lifestyle image connected to personalized vintage blue semi truck stone wall comforter.</t>
        </is>
      </c>
      <c r="M5" s="3" t="inlineStr">
        <is>
          <t>UNKNOWN</t>
        </is>
      </c>
      <c r="N5" s="3" t="inlineStr">
        <is>
          <t>SET</t>
        </is>
      </c>
      <c r="O5" s="3" t="inlineStr">
        <is>
          <t>Detail or feature image for Personalized Vintage Semi Truck Comforter</t>
        </is>
      </c>
      <c r="P5" s="3" t="inlineStr">
        <is>
          <t>FULL</t>
        </is>
      </c>
      <c r="Q5" s="3" t="inlineStr">
        <is>
          <t>PARTIAL</t>
        </is>
      </c>
      <c r="R5" s="3" t="inlineStr">
        <is>
          <t>FULL</t>
        </is>
      </c>
      <c r="S5" s="3" t="inlineStr">
        <is>
          <t>FULL</t>
        </is>
      </c>
      <c r="T5" s="7">
        <f>IF(P5="FULL",40,IF(P5="PARTIAL",40/2,0))+IF(Q5="FULL",30,IF(Q5="PARTIAL",30/2,0))+IF(R5="FULL",20,IF(R5="PARTIAL",20/2,0))+IF(S5="FULL",10,IF(S5="PARTIAL",10/2,0))</f>
        <v/>
      </c>
      <c r="U5" s="7">
        <f>IF(P5="NOT_CHECKED",0,40)+IF(Q5="NOT_CHECKED",0,30)+IF(R5="NOT_CHECKED",0,20)+IF(S5="NOT_CHECKED",0,10)</f>
        <v/>
      </c>
      <c r="V5" s="7">
        <f>IF(U5=100,T5,"")</f>
        <v/>
      </c>
      <c r="W5" s="7">
        <f>T5</f>
        <v/>
      </c>
      <c r="X5" s="7">
        <f>T5+(100-U5)</f>
        <v/>
      </c>
      <c r="Y5" s="3" t="inlineStr">
        <is>
          <t>ISSUE-0007</t>
        </is>
      </c>
      <c r="Z5" s="3" t="inlineStr">
        <is>
          <t>D:\Shopify_Workspace\jeminise_seo\seo_runs\jeminise.com\20260906_234129\qa\20260907_182000\images\121_04.jpg; 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row>
    <row r="6" ht="66" customHeight="1">
      <c r="A6" s="2" t="inlineStr">
        <is>
          <t>jeminise.com+custom-trucking-semi-truck-breaking-through-stone-wall-vintage-comforter-28a367022b-28a367022b</t>
        </is>
      </c>
      <c r="B6" s="2" t="inlineStr">
        <is>
          <t>img_b5920cdd8c472cef</t>
        </is>
      </c>
      <c r="C6" s="4" t="inlineStr">
        <is>
          <t>https://cdn.shopify.com/s/files/1/0792/5098/1063/files/764180d21c7d48aa0b8130038f90cb065bfc2a06198e2388452897fd3decbac2.jpg?v=1785132830</t>
        </is>
      </c>
      <c r="D6" s="4" t="inlineStr">
        <is>
          <t>https://cdn.shopify.com/s/files/1/0792/5098/1063/files/764180d21c7d48aa0b8130038f90cb065bfc2a06198e2388452897fd3decbac2.jpg?v=1785132830</t>
        </is>
      </c>
      <c r="E6" s="2" t="inlineStr">
        <is>
          <t>47548740894919</t>
        </is>
      </c>
      <c r="F6" s="2" t="inlineStr">
        <is>
          <t>47548740894919</t>
        </is>
      </c>
      <c r="G6" s="2" t="inlineStr"/>
      <c r="H6" s="2" t="inlineStr">
        <is>
          <t>GALLERY</t>
        </is>
      </c>
      <c r="I6" s="2" t="inlineStr">
        <is>
          <t>DIRECT_IMAGE_DOWNLOAD_AND_SOURCE_ROW_REVIEW</t>
        </is>
      </c>
      <c r="J6" s="2" t="inlineStr">
        <is>
          <t>2026-09-07T18:40:50+07:00</t>
        </is>
      </c>
      <c r="K6" s="2" t="inlineStr">
        <is>
          <t>Direct QA opened downloaded image 121_05; source SHA 8F7B541AAD1D9CDB7C828F05214E27D74696FB96C9DB156CE819811B9F4EA2B5. Submitted observation reviewed against gallery position.</t>
        </is>
      </c>
      <c r="L6" s="2" t="inlineStr">
        <is>
          <t>Additional mockup, care or size information for personalized vintage blue semi truck stone wall comforter.</t>
        </is>
      </c>
      <c r="M6" s="2" t="inlineStr">
        <is>
          <t>UNKNOWN</t>
        </is>
      </c>
      <c r="N6" s="2" t="inlineStr">
        <is>
          <t>SET</t>
        </is>
      </c>
      <c r="O6" s="2" t="inlineStr">
        <is>
          <t>Additional product mockup or care information for Personalized Vintage Semi Truck Comforter</t>
        </is>
      </c>
      <c r="P6" s="2" t="inlineStr">
        <is>
          <t>FULL</t>
        </is>
      </c>
      <c r="Q6" s="2" t="inlineStr">
        <is>
          <t>FULL</t>
        </is>
      </c>
      <c r="R6" s="2" t="inlineStr">
        <is>
          <t>FULL</t>
        </is>
      </c>
      <c r="S6" s="2" t="inlineStr">
        <is>
          <t>FULL</t>
        </is>
      </c>
      <c r="T6" s="5">
        <f>IF(P6="FULL",40,IF(P6="PARTIAL",40/2,0))+IF(Q6="FULL",30,IF(Q6="PARTIAL",30/2,0))+IF(R6="FULL",20,IF(R6="PARTIAL",20/2,0))+IF(S6="FULL",10,IF(S6="PARTIAL",10/2,0))</f>
        <v/>
      </c>
      <c r="U6" s="5">
        <f>IF(P6="NOT_CHECKED",0,40)+IF(Q6="NOT_CHECKED",0,30)+IF(R6="NOT_CHECKED",0,20)+IF(S6="NOT_CHECKED",0,10)</f>
        <v/>
      </c>
      <c r="V6" s="5">
        <f>IF(U6=100,T6,"")</f>
        <v/>
      </c>
      <c r="W6" s="5">
        <f>T6</f>
        <v/>
      </c>
      <c r="X6" s="5">
        <f>T6+(100-U6)</f>
        <v/>
      </c>
      <c r="Y6" s="2" t="inlineStr"/>
      <c r="Z6" s="2" t="inlineStr">
        <is>
          <t>D:\Shopify_Workspace\jeminise_seo\seo_runs\jeminise.com\20260906_234129\qa\20260907_182000\images\121_05.jpg; 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row>
    <row r="7" ht="66" customHeight="1">
      <c r="A7" s="3" t="inlineStr">
        <is>
          <t>jeminise.com+custom-trucking-semi-truck-breaking-through-stone-wall-vintage-comforter-28a367022b-28a367022b</t>
        </is>
      </c>
      <c r="B7" s="3" t="inlineStr">
        <is>
          <t>img_3a7bfbe373f75773</t>
        </is>
      </c>
      <c r="C7" s="4" t="inlineStr">
        <is>
          <t>https://cdn.shopify.com/s/files/1/0792/5098/1063/files/7c006bddc94d4763c71c8376307e195c1bbce73b8c802ec73ac5a8cef1291262_9b83fd24-b7f1-4ab9-b1d7-6897e6d14750.jpg?v=1785132830</t>
        </is>
      </c>
      <c r="D7" s="4" t="inlineStr">
        <is>
          <t>https://cdn.shopify.com/s/files/1/0792/5098/1063/files/7c006bddc94d4763c71c8376307e195c1bbce73b8c802ec73ac5a8cef1291262_9b83fd24-b7f1-4ab9-b1d7-6897e6d14750.jpg?v=1785132830</t>
        </is>
      </c>
      <c r="E7" s="3" t="inlineStr">
        <is>
          <t>47548740927687</t>
        </is>
      </c>
      <c r="F7" s="3" t="inlineStr">
        <is>
          <t>47548740927687</t>
        </is>
      </c>
      <c r="G7" s="3" t="inlineStr"/>
      <c r="H7" s="3" t="inlineStr">
        <is>
          <t>GALLERY</t>
        </is>
      </c>
      <c r="I7" s="3" t="inlineStr">
        <is>
          <t>DIRECT_IMAGE_DOWNLOAD_AND_SOURCE_ROW_REVIEW</t>
        </is>
      </c>
      <c r="J7" s="3" t="inlineStr">
        <is>
          <t>2026-09-07T18:40:50+07:00</t>
        </is>
      </c>
      <c r="K7" s="3" t="inlineStr">
        <is>
          <t>Direct QA opened downloaded image 121_06; source SHA C44DD8C415D82F46E3913622731FCF66776A9B3B86746179C808AE27D8DDE649. Submitted observation reviewed against gallery position.</t>
        </is>
      </c>
      <c r="L7" s="3" t="inlineStr">
        <is>
          <t>Easy-care, size guide or product feature image for personalized vintage blue semi truck stone wall comforter.</t>
        </is>
      </c>
      <c r="M7" s="3" t="inlineStr">
        <is>
          <t>UNKNOWN</t>
        </is>
      </c>
      <c r="N7" s="3" t="inlineStr">
        <is>
          <t>SET</t>
        </is>
      </c>
      <c r="O7" s="3" t="inlineStr">
        <is>
          <t>Care, size or product feature image for Personalized Vintage Semi Truck Comforter</t>
        </is>
      </c>
      <c r="P7" s="3" t="inlineStr">
        <is>
          <t>FULL</t>
        </is>
      </c>
      <c r="Q7" s="3" t="inlineStr">
        <is>
          <t>PARTIAL</t>
        </is>
      </c>
      <c r="R7" s="3" t="inlineStr">
        <is>
          <t>FULL</t>
        </is>
      </c>
      <c r="S7" s="3" t="inlineStr">
        <is>
          <t>FULL</t>
        </is>
      </c>
      <c r="T7" s="7">
        <f>IF(P7="FULL",40,IF(P7="PARTIAL",40/2,0))+IF(Q7="FULL",30,IF(Q7="PARTIAL",30/2,0))+IF(R7="FULL",20,IF(R7="PARTIAL",20/2,0))+IF(S7="FULL",10,IF(S7="PARTIAL",10/2,0))</f>
        <v/>
      </c>
      <c r="U7" s="7">
        <f>IF(P7="NOT_CHECKED",0,40)+IF(Q7="NOT_CHECKED",0,30)+IF(R7="NOT_CHECKED",0,20)+IF(S7="NOT_CHECKED",0,10)</f>
        <v/>
      </c>
      <c r="V7" s="7">
        <f>IF(U7=100,T7,"")</f>
        <v/>
      </c>
      <c r="W7" s="7">
        <f>T7</f>
        <v/>
      </c>
      <c r="X7" s="7">
        <f>T7+(100-U7)</f>
        <v/>
      </c>
      <c r="Y7" s="3" t="inlineStr">
        <is>
          <t>ISSUE-0008</t>
        </is>
      </c>
      <c r="Z7" s="3" t="inlineStr">
        <is>
          <t>D:\Shopify_Workspace\jeminise_seo\seo_runs\jeminise.com\20260906_234129\qa\20260907_182000\images\121_06.jpg; 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row>
    <row r="8" ht="66" customHeight="1">
      <c r="A8" s="2" t="inlineStr">
        <is>
          <t>jeminise.com+custom-trucking-semi-truck-breaking-through-stone-wall-vintage-comforter-28a367022b-28a367022b</t>
        </is>
      </c>
      <c r="B8" s="2" t="inlineStr">
        <is>
          <t>img_5a6c56387c9c2b20</t>
        </is>
      </c>
      <c r="C8" s="4" t="inlineStr">
        <is>
          <t>https://cdn.shopify.com/s/files/1/0792/5098/1063/files/e5cad84edb4d7bf77c48fd7c8e52eb3b73f04eba8bf177671fd8a059c59422e8_5449cbbb-8301-49ff-92ca-0140dd47b6ec.jpg?v=1785132830</t>
        </is>
      </c>
      <c r="D8" s="4" t="inlineStr">
        <is>
          <t>https://cdn.shopify.com/s/files/1/0792/5098/1063/files/e5cad84edb4d7bf77c48fd7c8e52eb3b73f04eba8bf177671fd8a059c59422e8_5449cbbb-8301-49ff-92ca-0140dd47b6ec.jpg?v=1785132830</t>
        </is>
      </c>
      <c r="E8" s="2" t="inlineStr">
        <is>
          <t>47548740960455</t>
        </is>
      </c>
      <c r="F8" s="2" t="inlineStr">
        <is>
          <t>47548740960455</t>
        </is>
      </c>
      <c r="G8" s="2" t="inlineStr"/>
      <c r="H8" s="2" t="inlineStr">
        <is>
          <t>GALLERY</t>
        </is>
      </c>
      <c r="I8" s="2" t="inlineStr">
        <is>
          <t>DIRECT_IMAGE_DOWNLOAD_AND_SOURCE_ROW_REVIEW</t>
        </is>
      </c>
      <c r="J8" s="2" t="inlineStr">
        <is>
          <t>2026-09-07T18:40:50+07:00</t>
        </is>
      </c>
      <c r="K8" s="2" t="inlineStr">
        <is>
          <t>Direct QA opened downloaded image 121_07; source SHA CBACE79DF808456717E0EA3890B77255D63C670205730AD0356ABCD79BF0116C. Submitted observation reviewed against gallery position.</t>
        </is>
      </c>
      <c r="L8" s="2" t="inlineStr">
        <is>
          <t>Additional lifestyle, feature or product detail image showing personalized vintage blue semi truck stone wall comforter.</t>
        </is>
      </c>
      <c r="M8" s="2" t="inlineStr">
        <is>
          <t>UNKNOWN</t>
        </is>
      </c>
      <c r="N8" s="2" t="inlineStr">
        <is>
          <t>SET</t>
        </is>
      </c>
      <c r="O8" s="2" t="inlineStr">
        <is>
          <t>Additional product mockup of Personalized Vintage Semi Truck Comforter</t>
        </is>
      </c>
      <c r="P8" s="2" t="inlineStr">
        <is>
          <t>FULL</t>
        </is>
      </c>
      <c r="Q8" s="2" t="inlineStr">
        <is>
          <t>PARTIAL</t>
        </is>
      </c>
      <c r="R8" s="2" t="inlineStr">
        <is>
          <t>FULL</t>
        </is>
      </c>
      <c r="S8" s="2" t="inlineStr">
        <is>
          <t>FULL</t>
        </is>
      </c>
      <c r="T8" s="5">
        <f>IF(P8="FULL",40,IF(P8="PARTIAL",40/2,0))+IF(Q8="FULL",30,IF(Q8="PARTIAL",30/2,0))+IF(R8="FULL",20,IF(R8="PARTIAL",20/2,0))+IF(S8="FULL",10,IF(S8="PARTIAL",10/2,0))</f>
        <v/>
      </c>
      <c r="U8" s="5">
        <f>IF(P8="NOT_CHECKED",0,40)+IF(Q8="NOT_CHECKED",0,30)+IF(R8="NOT_CHECKED",0,20)+IF(S8="NOT_CHECKED",0,10)</f>
        <v/>
      </c>
      <c r="V8" s="5">
        <f>IF(U8=100,T8,"")</f>
        <v/>
      </c>
      <c r="W8" s="5">
        <f>T8</f>
        <v/>
      </c>
      <c r="X8" s="5">
        <f>T8+(100-U8)</f>
        <v/>
      </c>
      <c r="Y8" s="2" t="inlineStr">
        <is>
          <t>ISSUE-0009</t>
        </is>
      </c>
      <c r="Z8" s="2" t="inlineStr">
        <is>
          <t>D:\Shopify_Workspace\jeminise_seo\seo_runs\jeminise.com\20260906_234129\qa\20260907_182000\images\121_07.jpg; 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row>
    <row r="9" ht="66" customHeight="1">
      <c r="A9" s="3" t="inlineStr">
        <is>
          <t>jeminise.com+custom-trucking-semi-truck-centered-on-chevron-background-comforter-cfef0beab9-cfef0beab9</t>
        </is>
      </c>
      <c r="B9" s="3" t="inlineStr">
        <is>
          <t>img_9ba4ec30fa237f57</t>
        </is>
      </c>
      <c r="C9" s="4" t="inlineStr">
        <is>
          <t>https://cdn.shopify.com/s/files/1/0792/5098/1063/files/1862d240d68540d29289e49b1720ec443c9161d27cbf293dee79f245738a053e.jpg?v=1785133827</t>
        </is>
      </c>
      <c r="D9" s="4" t="inlineStr">
        <is>
          <t>https://cdn.shopify.com/s/files/1/0792/5098/1063/files/1862d240d68540d29289e49b1720ec443c9161d27cbf293dee79f245738a053e.jpg?v=1785133827</t>
        </is>
      </c>
      <c r="E9" s="3" t="inlineStr">
        <is>
          <t>47548960768199</t>
        </is>
      </c>
      <c r="F9" s="3" t="inlineStr">
        <is>
          <t>47548960768199</t>
        </is>
      </c>
      <c r="G9" s="3" t="inlineStr"/>
      <c r="H9" s="3" t="inlineStr">
        <is>
          <t>GALLERY</t>
        </is>
      </c>
      <c r="I9" s="3" t="inlineStr">
        <is>
          <t>DIRECT_IMAGE_DOWNLOAD_AND_SOURCE_ROW_REVIEW</t>
        </is>
      </c>
      <c r="J9" s="3" t="inlineStr">
        <is>
          <t>2026-09-07T18:40:50+07:00</t>
        </is>
      </c>
      <c r="K9" s="3" t="inlineStr">
        <is>
          <t>Direct QA opened downloaded image 122_01; source SHA 07707D087118836A6EB17D7164EE6787652EB33C4AA811704B4296C513E23566. Submitted observation reviewed against gallery position.</t>
        </is>
      </c>
      <c r="L9" s="3" t="inlineStr">
        <is>
          <t>Main product mockup showing personalized blue semi truck chevron comforter.</t>
        </is>
      </c>
      <c r="M9" s="3" t="inlineStr">
        <is>
          <t>UNKNOWN</t>
        </is>
      </c>
      <c r="N9" s="3" t="inlineStr">
        <is>
          <t>SET</t>
        </is>
      </c>
      <c r="O9" s="3" t="inlineStr">
        <is>
          <t>Personalized Blue Semi Truck Chevron Comforter displayed in a main product mockup</t>
        </is>
      </c>
      <c r="P9" s="3" t="inlineStr">
        <is>
          <t>FULL</t>
        </is>
      </c>
      <c r="Q9" s="3" t="inlineStr">
        <is>
          <t>FULL</t>
        </is>
      </c>
      <c r="R9" s="3" t="inlineStr">
        <is>
          <t>PARTIAL</t>
        </is>
      </c>
      <c r="S9" s="3" t="inlineStr">
        <is>
          <t>FULL</t>
        </is>
      </c>
      <c r="T9" s="7">
        <f>IF(P9="FULL",40,IF(P9="PARTIAL",40/2,0))+IF(Q9="FULL",30,IF(Q9="PARTIAL",30/2,0))+IF(R9="FULL",20,IF(R9="PARTIAL",20/2,0))+IF(S9="FULL",10,IF(S9="PARTIAL",10/2,0))</f>
        <v/>
      </c>
      <c r="U9" s="7">
        <f>IF(P9="NOT_CHECKED",0,40)+IF(Q9="NOT_CHECKED",0,30)+IF(R9="NOT_CHECKED",0,20)+IF(S9="NOT_CHECKED",0,10)</f>
        <v/>
      </c>
      <c r="V9" s="7">
        <f>IF(U9=100,T9,"")</f>
        <v/>
      </c>
      <c r="W9" s="7">
        <f>T9</f>
        <v/>
      </c>
      <c r="X9" s="7">
        <f>T9+(100-U9)</f>
        <v/>
      </c>
      <c r="Y9" s="3" t="inlineStr">
        <is>
          <t>ISSUE-0014</t>
        </is>
      </c>
      <c r="Z9" s="3" t="inlineStr">
        <is>
          <t>D:\Shopify_Workspace\jeminise_seo\seo_runs\jeminise.com\20260906_234129\qa\20260907_182000\images\122_01.jpg; 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row>
    <row r="10" ht="66" customHeight="1">
      <c r="A10" s="2" t="inlineStr">
        <is>
          <t>jeminise.com+custom-trucking-semi-truck-centered-on-chevron-background-comforter-cfef0beab9-cfef0beab9</t>
        </is>
      </c>
      <c r="B10" s="2" t="inlineStr">
        <is>
          <t>img_39ea2f5c78bdfbef</t>
        </is>
      </c>
      <c r="C10" s="4" t="inlineStr">
        <is>
          <t>https://cdn.shopify.com/s/files/1/0792/5098/1063/files/ccc73d2e507308afc45d60e127395a6d5660e39d79e8b282cbe0a4ed7dd07c17.jpg?v=1785133827</t>
        </is>
      </c>
      <c r="D10" s="4" t="inlineStr">
        <is>
          <t>https://cdn.shopify.com/s/files/1/0792/5098/1063/files/ccc73d2e507308afc45d60e127395a6d5660e39d79e8b282cbe0a4ed7dd07c17.jpg?v=1785133827</t>
        </is>
      </c>
      <c r="E10" s="2" t="inlineStr">
        <is>
          <t>47548960800967</t>
        </is>
      </c>
      <c r="F10" s="2" t="inlineStr">
        <is>
          <t>47548960800967</t>
        </is>
      </c>
      <c r="G10" s="2" t="inlineStr"/>
      <c r="H10" s="2" t="inlineStr">
        <is>
          <t>GALLERY</t>
        </is>
      </c>
      <c r="I10" s="2" t="inlineStr">
        <is>
          <t>DIRECT_IMAGE_DOWNLOAD_AND_SOURCE_ROW_REVIEW</t>
        </is>
      </c>
      <c r="J10" s="2" t="inlineStr">
        <is>
          <t>2026-09-07T18:40:50+07:00</t>
        </is>
      </c>
      <c r="K10" s="2" t="inlineStr">
        <is>
          <t>Direct QA opened downloaded image 122_02; source SHA CB0D00F238CEEA4D696BD716686365BFE1D0741DC89C7DDF91578A6F55E12138. Submitted observation reviewed against gallery position.</t>
        </is>
      </c>
      <c r="L10" s="2" t="inlineStr">
        <is>
          <t>Secondary flat, close-up or bedroom mockup showing personalized blue semi truck chevron comforter.</t>
        </is>
      </c>
      <c r="M10" s="2" t="inlineStr">
        <is>
          <t>UNKNOWN</t>
        </is>
      </c>
      <c r="N10" s="2" t="inlineStr">
        <is>
          <t>SET</t>
        </is>
      </c>
      <c r="O10" s="2" t="inlineStr">
        <is>
          <t>Secondary mockup of Personalized Blue Semi Truck Chevron Comforter</t>
        </is>
      </c>
      <c r="P10" s="2" t="inlineStr">
        <is>
          <t>FULL</t>
        </is>
      </c>
      <c r="Q10" s="2" t="inlineStr">
        <is>
          <t>FULL</t>
        </is>
      </c>
      <c r="R10" s="2" t="inlineStr">
        <is>
          <t>FULL</t>
        </is>
      </c>
      <c r="S10" s="2" t="inlineStr">
        <is>
          <t>FULL</t>
        </is>
      </c>
      <c r="T10" s="5">
        <f>IF(P10="FULL",40,IF(P10="PARTIAL",40/2,0))+IF(Q10="FULL",30,IF(Q10="PARTIAL",30/2,0))+IF(R10="FULL",20,IF(R10="PARTIAL",20/2,0))+IF(S10="FULL",10,IF(S10="PARTIAL",10/2,0))</f>
        <v/>
      </c>
      <c r="U10" s="5">
        <f>IF(P10="NOT_CHECKED",0,40)+IF(Q10="NOT_CHECKED",0,30)+IF(R10="NOT_CHECKED",0,20)+IF(S10="NOT_CHECKED",0,10)</f>
        <v/>
      </c>
      <c r="V10" s="5">
        <f>IF(U10=100,T10,"")</f>
        <v/>
      </c>
      <c r="W10" s="5">
        <f>T10</f>
        <v/>
      </c>
      <c r="X10" s="5">
        <f>T10+(100-U10)</f>
        <v/>
      </c>
      <c r="Y10" s="2" t="inlineStr"/>
      <c r="Z10" s="2" t="inlineStr">
        <is>
          <t>D:\Shopify_Workspace\jeminise_seo\seo_runs\jeminise.com\20260906_234129\qa\20260907_182000\images\122_02.jpg; 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row>
    <row r="11" ht="66" customHeight="1">
      <c r="A11" s="3" t="inlineStr">
        <is>
          <t>jeminise.com+custom-trucking-semi-truck-centered-on-chevron-background-comforter-cfef0beab9-cfef0beab9</t>
        </is>
      </c>
      <c r="B11" s="3" t="inlineStr">
        <is>
          <t>img_788bf4fe0ea8c541</t>
        </is>
      </c>
      <c r="C11" s="4" t="inlineStr">
        <is>
          <t>https://cdn.shopify.com/s/files/1/0792/5098/1063/files/16f7293cbefa5743a35b2e6316a5a114e5c052d08151e367dafd26aa5e2e542b_1d9370e4-e63e-4c9b-9ed0-d9bcae459c3c.jpg?v=1785133827</t>
        </is>
      </c>
      <c r="D11" s="4" t="inlineStr">
        <is>
          <t>https://cdn.shopify.com/s/files/1/0792/5098/1063/files/16f7293cbefa5743a35b2e6316a5a114e5c052d08151e367dafd26aa5e2e542b_1d9370e4-e63e-4c9b-9ed0-d9bcae459c3c.jpg?v=1785133827</t>
        </is>
      </c>
      <c r="E11" s="3" t="inlineStr">
        <is>
          <t>47548960833735</t>
        </is>
      </c>
      <c r="F11" s="3" t="inlineStr">
        <is>
          <t>47548960833735</t>
        </is>
      </c>
      <c r="G11" s="3" t="inlineStr"/>
      <c r="H11" s="3" t="inlineStr">
        <is>
          <t>GALLERY</t>
        </is>
      </c>
      <c r="I11" s="3" t="inlineStr">
        <is>
          <t>DIRECT_IMAGE_DOWNLOAD_AND_SOURCE_ROW_REVIEW</t>
        </is>
      </c>
      <c r="J11" s="3" t="inlineStr">
        <is>
          <t>2026-09-07T18:40:50+07:00</t>
        </is>
      </c>
      <c r="K11" s="3" t="inlineStr">
        <is>
          <t>Direct QA opened downloaded image 122_03; source SHA D1D7BB2E7BBC330A530F2D07CC17846B4F9F5EF39CD3A33528B7908CF2BF0286. Submitted observation reviewed against gallery position.</t>
        </is>
      </c>
      <c r="L11" s="3" t="inlineStr">
        <is>
          <t>Bedding type, feature, lifestyle or material image for personalized blue semi truck chevron comforter.</t>
        </is>
      </c>
      <c r="M11" s="3" t="inlineStr">
        <is>
          <t>UNKNOWN</t>
        </is>
      </c>
      <c r="N11" s="3" t="inlineStr">
        <is>
          <t>SET</t>
        </is>
      </c>
      <c r="O11" s="3" t="inlineStr">
        <is>
          <t>Product option, feature or lifestyle image for Personalized Blue Semi Truck Chevron Comforter</t>
        </is>
      </c>
      <c r="P11" s="3" t="inlineStr">
        <is>
          <t>FULL</t>
        </is>
      </c>
      <c r="Q11" s="3" t="inlineStr">
        <is>
          <t>PARTIAL</t>
        </is>
      </c>
      <c r="R11" s="3" t="inlineStr">
        <is>
          <t>FULL</t>
        </is>
      </c>
      <c r="S11" s="3" t="inlineStr">
        <is>
          <t>FULL</t>
        </is>
      </c>
      <c r="T11" s="7">
        <f>IF(P11="FULL",40,IF(P11="PARTIAL",40/2,0))+IF(Q11="FULL",30,IF(Q11="PARTIAL",30/2,0))+IF(R11="FULL",20,IF(R11="PARTIAL",20/2,0))+IF(S11="FULL",10,IF(S11="PARTIAL",10/2,0))</f>
        <v/>
      </c>
      <c r="U11" s="7">
        <f>IF(P11="NOT_CHECKED",0,40)+IF(Q11="NOT_CHECKED",0,30)+IF(R11="NOT_CHECKED",0,20)+IF(S11="NOT_CHECKED",0,10)</f>
        <v/>
      </c>
      <c r="V11" s="7">
        <f>IF(U11=100,T11,"")</f>
        <v/>
      </c>
      <c r="W11" s="7">
        <f>T11</f>
        <v/>
      </c>
      <c r="X11" s="7">
        <f>T11+(100-U11)</f>
        <v/>
      </c>
      <c r="Y11" s="3" t="inlineStr">
        <is>
          <t>ISSUE-0015</t>
        </is>
      </c>
      <c r="Z11" s="3" t="inlineStr">
        <is>
          <t>D:\Shopify_Workspace\jeminise_seo\seo_runs\jeminise.com\20260906_234129\qa\20260907_182000\images\122_03.jpg; 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row>
    <row r="12" ht="66" customHeight="1">
      <c r="A12" s="2" t="inlineStr">
        <is>
          <t>jeminise.com+custom-trucking-semi-truck-centered-on-chevron-background-comforter-cfef0beab9-cfef0beab9</t>
        </is>
      </c>
      <c r="B12" s="2" t="inlineStr">
        <is>
          <t>img_ac9b487774e76246</t>
        </is>
      </c>
      <c r="C12" s="4" t="inlineStr">
        <is>
          <t>https://cdn.shopify.com/s/files/1/0792/5098/1063/files/95054aca5abda044fec14fcd2bdf72551414546134a058656d9a0e4520175edd.jpg?v=1785133827</t>
        </is>
      </c>
      <c r="D12" s="4" t="inlineStr">
        <is>
          <t>https://cdn.shopify.com/s/files/1/0792/5098/1063/files/95054aca5abda044fec14fcd2bdf72551414546134a058656d9a0e4520175edd.jpg?v=1785133827</t>
        </is>
      </c>
      <c r="E12" s="2" t="inlineStr">
        <is>
          <t>47548960866503</t>
        </is>
      </c>
      <c r="F12" s="2" t="inlineStr">
        <is>
          <t>47548960866503</t>
        </is>
      </c>
      <c r="G12" s="2" t="inlineStr"/>
      <c r="H12" s="2" t="inlineStr">
        <is>
          <t>GALLERY</t>
        </is>
      </c>
      <c r="I12" s="2" t="inlineStr">
        <is>
          <t>DIRECT_IMAGE_DOWNLOAD_AND_SOURCE_ROW_REVIEW</t>
        </is>
      </c>
      <c r="J12" s="2" t="inlineStr">
        <is>
          <t>2026-09-07T18:40:50+07:00</t>
        </is>
      </c>
      <c r="K12" s="2" t="inlineStr">
        <is>
          <t>Direct QA opened downloaded image 122_04; source SHA 34583E6C59BEB8ADDA595CDAF163DAF8AAA82188D7D74E58061EAF7F94836CEF. Submitted observation reviewed against gallery position.</t>
        </is>
      </c>
      <c r="L12" s="2" t="inlineStr">
        <is>
          <t>Detail, feature panel or lifestyle image connected to personalized blue semi truck chevron comforter.</t>
        </is>
      </c>
      <c r="M12" s="2" t="inlineStr">
        <is>
          <t>UNKNOWN</t>
        </is>
      </c>
      <c r="N12" s="2" t="inlineStr">
        <is>
          <t>SET</t>
        </is>
      </c>
      <c r="O12" s="2" t="inlineStr">
        <is>
          <t>Detail or feature image for Personalized Blue Semi Truck Chevron Comforter</t>
        </is>
      </c>
      <c r="P12" s="2" t="inlineStr">
        <is>
          <t>FULL</t>
        </is>
      </c>
      <c r="Q12" s="2" t="inlineStr">
        <is>
          <t>PARTIAL</t>
        </is>
      </c>
      <c r="R12" s="2" t="inlineStr">
        <is>
          <t>FULL</t>
        </is>
      </c>
      <c r="S12" s="2" t="inlineStr">
        <is>
          <t>FULL</t>
        </is>
      </c>
      <c r="T12" s="5">
        <f>IF(P12="FULL",40,IF(P12="PARTIAL",40/2,0))+IF(Q12="FULL",30,IF(Q12="PARTIAL",30/2,0))+IF(R12="FULL",20,IF(R12="PARTIAL",20/2,0))+IF(S12="FULL",10,IF(S12="PARTIAL",10/2,0))</f>
        <v/>
      </c>
      <c r="U12" s="5">
        <f>IF(P12="NOT_CHECKED",0,40)+IF(Q12="NOT_CHECKED",0,30)+IF(R12="NOT_CHECKED",0,20)+IF(S12="NOT_CHECKED",0,10)</f>
        <v/>
      </c>
      <c r="V12" s="5">
        <f>IF(U12=100,T12,"")</f>
        <v/>
      </c>
      <c r="W12" s="5">
        <f>T12</f>
        <v/>
      </c>
      <c r="X12" s="5">
        <f>T12+(100-U12)</f>
        <v/>
      </c>
      <c r="Y12" s="2" t="inlineStr">
        <is>
          <t>ISSUE-0016</t>
        </is>
      </c>
      <c r="Z12" s="2" t="inlineStr">
        <is>
          <t>D:\Shopify_Workspace\jeminise_seo\seo_runs\jeminise.com\20260906_234129\qa\20260907_182000\images\122_04.jpg; 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row>
    <row r="13" ht="66" customHeight="1">
      <c r="A13" s="3" t="inlineStr">
        <is>
          <t>jeminise.com+custom-trucking-semi-truck-centered-on-chevron-background-comforter-cfef0beab9-cfef0beab9</t>
        </is>
      </c>
      <c r="B13" s="3" t="inlineStr">
        <is>
          <t>img_43400ded172ba6ce</t>
        </is>
      </c>
      <c r="C13" s="4" t="inlineStr">
        <is>
          <t>https://cdn.shopify.com/s/files/1/0792/5098/1063/files/6546554829f1e8976470f767561e6ed7c8431ef729e600ac9396c3a534c5e115.jpg?v=1785133827</t>
        </is>
      </c>
      <c r="D13" s="4" t="inlineStr">
        <is>
          <t>https://cdn.shopify.com/s/files/1/0792/5098/1063/files/6546554829f1e8976470f767561e6ed7c8431ef729e600ac9396c3a534c5e115.jpg?v=1785133827</t>
        </is>
      </c>
      <c r="E13" s="3" t="inlineStr">
        <is>
          <t>47548960899271</t>
        </is>
      </c>
      <c r="F13" s="3" t="inlineStr">
        <is>
          <t>47548960899271</t>
        </is>
      </c>
      <c r="G13" s="3" t="inlineStr"/>
      <c r="H13" s="3" t="inlineStr">
        <is>
          <t>GALLERY</t>
        </is>
      </c>
      <c r="I13" s="3" t="inlineStr">
        <is>
          <t>DIRECT_IMAGE_DOWNLOAD_AND_SOURCE_ROW_REVIEW</t>
        </is>
      </c>
      <c r="J13" s="3" t="inlineStr">
        <is>
          <t>2026-09-07T18:40:50+07:00</t>
        </is>
      </c>
      <c r="K13" s="3" t="inlineStr">
        <is>
          <t>Direct QA opened downloaded image 122_05; source SHA 3A24C8109156DE727C114FD5184CD6DF70D266470BABEBF8CB6BF9AE335B4ED4. Submitted observation reviewed against gallery position.</t>
        </is>
      </c>
      <c r="L13" s="3" t="inlineStr">
        <is>
          <t>Additional mockup, care or size information for personalized blue semi truck chevron comforter.</t>
        </is>
      </c>
      <c r="M13" s="3" t="inlineStr">
        <is>
          <t>UNKNOWN</t>
        </is>
      </c>
      <c r="N13" s="3" t="inlineStr">
        <is>
          <t>SET</t>
        </is>
      </c>
      <c r="O13" s="3" t="inlineStr">
        <is>
          <t>Additional product mockup or care information for Personalized Blue Semi Truck Chevron Comforter</t>
        </is>
      </c>
      <c r="P13" s="3" t="inlineStr">
        <is>
          <t>FULL</t>
        </is>
      </c>
      <c r="Q13" s="3" t="inlineStr">
        <is>
          <t>FULL</t>
        </is>
      </c>
      <c r="R13" s="3" t="inlineStr">
        <is>
          <t>FULL</t>
        </is>
      </c>
      <c r="S13" s="3" t="inlineStr">
        <is>
          <t>FULL</t>
        </is>
      </c>
      <c r="T13" s="7">
        <f>IF(P13="FULL",40,IF(P13="PARTIAL",40/2,0))+IF(Q13="FULL",30,IF(Q13="PARTIAL",30/2,0))+IF(R13="FULL",20,IF(R13="PARTIAL",20/2,0))+IF(S13="FULL",10,IF(S13="PARTIAL",10/2,0))</f>
        <v/>
      </c>
      <c r="U13" s="7">
        <f>IF(P13="NOT_CHECKED",0,40)+IF(Q13="NOT_CHECKED",0,30)+IF(R13="NOT_CHECKED",0,20)+IF(S13="NOT_CHECKED",0,10)</f>
        <v/>
      </c>
      <c r="V13" s="7">
        <f>IF(U13=100,T13,"")</f>
        <v/>
      </c>
      <c r="W13" s="7">
        <f>T13</f>
        <v/>
      </c>
      <c r="X13" s="7">
        <f>T13+(100-U13)</f>
        <v/>
      </c>
      <c r="Y13" s="3" t="inlineStr"/>
      <c r="Z13" s="3" t="inlineStr">
        <is>
          <t>D:\Shopify_Workspace\jeminise_seo\seo_runs\jeminise.com\20260906_234129\qa\20260907_182000\images\122_05.jpg; 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row>
    <row r="14" ht="66" customHeight="1">
      <c r="A14" s="2" t="inlineStr">
        <is>
          <t>jeminise.com+custom-trucking-semi-truck-centered-on-chevron-background-comforter-cfef0beab9-cfef0beab9</t>
        </is>
      </c>
      <c r="B14" s="2" t="inlineStr">
        <is>
          <t>img_72cb2e887bbf7096</t>
        </is>
      </c>
      <c r="C14" s="4" t="inlineStr">
        <is>
          <t>https://cdn.shopify.com/s/files/1/0792/5098/1063/files/7c006bddc94d4763c71c8376307e195c1bbce73b8c802ec73ac5a8cef1291262_f6eb804f-bd62-442a-8ddf-06cc1e2f7f0b.jpg?v=1785133827</t>
        </is>
      </c>
      <c r="D14" s="4" t="inlineStr">
        <is>
          <t>https://cdn.shopify.com/s/files/1/0792/5098/1063/files/7c006bddc94d4763c71c8376307e195c1bbce73b8c802ec73ac5a8cef1291262_f6eb804f-bd62-442a-8ddf-06cc1e2f7f0b.jpg?v=1785133827</t>
        </is>
      </c>
      <c r="E14" s="2" t="inlineStr">
        <is>
          <t>47548960932039</t>
        </is>
      </c>
      <c r="F14" s="2" t="inlineStr">
        <is>
          <t>47548960932039</t>
        </is>
      </c>
      <c r="G14" s="2" t="inlineStr"/>
      <c r="H14" s="2" t="inlineStr">
        <is>
          <t>GALLERY</t>
        </is>
      </c>
      <c r="I14" s="2" t="inlineStr">
        <is>
          <t>DIRECT_IMAGE_DOWNLOAD_AND_SOURCE_ROW_REVIEW</t>
        </is>
      </c>
      <c r="J14" s="2" t="inlineStr">
        <is>
          <t>2026-09-07T18:40:50+07:00</t>
        </is>
      </c>
      <c r="K14" s="2" t="inlineStr">
        <is>
          <t>Direct QA opened downloaded image 122_06; source SHA C44DD8C415D82F46E3913622731FCF66776A9B3B86746179C808AE27D8DDE649. Submitted observation reviewed against gallery position.</t>
        </is>
      </c>
      <c r="L14" s="2" t="inlineStr">
        <is>
          <t>Easy-care, size guide or product feature image for personalized blue semi truck chevron comforter.</t>
        </is>
      </c>
      <c r="M14" s="2" t="inlineStr">
        <is>
          <t>UNKNOWN</t>
        </is>
      </c>
      <c r="N14" s="2" t="inlineStr">
        <is>
          <t>SET</t>
        </is>
      </c>
      <c r="O14" s="2" t="inlineStr">
        <is>
          <t>Care, size or product feature image for Personalized Blue Semi Truck Chevron Comforter</t>
        </is>
      </c>
      <c r="P14" s="2" t="inlineStr">
        <is>
          <t>FULL</t>
        </is>
      </c>
      <c r="Q14" s="2" t="inlineStr">
        <is>
          <t>PARTIAL</t>
        </is>
      </c>
      <c r="R14" s="2" t="inlineStr">
        <is>
          <t>FULL</t>
        </is>
      </c>
      <c r="S14" s="2" t="inlineStr">
        <is>
          <t>FULL</t>
        </is>
      </c>
      <c r="T14" s="5">
        <f>IF(P14="FULL",40,IF(P14="PARTIAL",40/2,0))+IF(Q14="FULL",30,IF(Q14="PARTIAL",30/2,0))+IF(R14="FULL",20,IF(R14="PARTIAL",20/2,0))+IF(S14="FULL",10,IF(S14="PARTIAL",10/2,0))</f>
        <v/>
      </c>
      <c r="U14" s="5">
        <f>IF(P14="NOT_CHECKED",0,40)+IF(Q14="NOT_CHECKED",0,30)+IF(R14="NOT_CHECKED",0,20)+IF(S14="NOT_CHECKED",0,10)</f>
        <v/>
      </c>
      <c r="V14" s="5">
        <f>IF(U14=100,T14,"")</f>
        <v/>
      </c>
      <c r="W14" s="5">
        <f>T14</f>
        <v/>
      </c>
      <c r="X14" s="5">
        <f>T14+(100-U14)</f>
        <v/>
      </c>
      <c r="Y14" s="2" t="inlineStr">
        <is>
          <t>ISSUE-0017</t>
        </is>
      </c>
      <c r="Z14" s="2" t="inlineStr">
        <is>
          <t>D:\Shopify_Workspace\jeminise_seo\seo_runs\jeminise.com\20260906_234129\qa\20260907_182000\images\122_06.jpg; 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row>
    <row r="15" ht="66" customHeight="1">
      <c r="A15" s="3" t="inlineStr">
        <is>
          <t>jeminise.com+custom-trucking-semi-truck-centered-on-chevron-background-comforter-cfef0beab9-cfef0beab9</t>
        </is>
      </c>
      <c r="B15" s="3" t="inlineStr">
        <is>
          <t>img_8d3deb1b88c02cf9</t>
        </is>
      </c>
      <c r="C15" s="4" t="inlineStr">
        <is>
          <t>https://cdn.shopify.com/s/files/1/0792/5098/1063/files/e5cad84edb4d7bf77c48fd7c8e52eb3b73f04eba8bf177671fd8a059c59422e8_caebcacd-6582-469d-af0c-3a427bfc82d5.jpg?v=1785133827</t>
        </is>
      </c>
      <c r="D15" s="4" t="inlineStr">
        <is>
          <t>https://cdn.shopify.com/s/files/1/0792/5098/1063/files/e5cad84edb4d7bf77c48fd7c8e52eb3b73f04eba8bf177671fd8a059c59422e8_caebcacd-6582-469d-af0c-3a427bfc82d5.jpg?v=1785133827</t>
        </is>
      </c>
      <c r="E15" s="3" t="inlineStr">
        <is>
          <t>47548960964807</t>
        </is>
      </c>
      <c r="F15" s="3" t="inlineStr">
        <is>
          <t>47548960964807</t>
        </is>
      </c>
      <c r="G15" s="3" t="inlineStr"/>
      <c r="H15" s="3" t="inlineStr">
        <is>
          <t>GALLERY</t>
        </is>
      </c>
      <c r="I15" s="3" t="inlineStr">
        <is>
          <t>DIRECT_IMAGE_DOWNLOAD_AND_SOURCE_ROW_REVIEW</t>
        </is>
      </c>
      <c r="J15" s="3" t="inlineStr">
        <is>
          <t>2026-09-07T18:40:50+07:00</t>
        </is>
      </c>
      <c r="K15" s="3" t="inlineStr">
        <is>
          <t>Direct QA opened downloaded image 122_07; source SHA CBACE79DF808456717E0EA3890B77255D63C670205730AD0356ABCD79BF0116C. Submitted observation reviewed against gallery position.</t>
        </is>
      </c>
      <c r="L15" s="3" t="inlineStr">
        <is>
          <t>Additional lifestyle, feature or product detail image showing personalized blue semi truck chevron comforter.</t>
        </is>
      </c>
      <c r="M15" s="3" t="inlineStr">
        <is>
          <t>UNKNOWN</t>
        </is>
      </c>
      <c r="N15" s="3" t="inlineStr">
        <is>
          <t>SET</t>
        </is>
      </c>
      <c r="O15" s="3" t="inlineStr">
        <is>
          <t>Additional product mockup of Personalized Blue Semi Truck Chevron Comforter</t>
        </is>
      </c>
      <c r="P15" s="3" t="inlineStr">
        <is>
          <t>FULL</t>
        </is>
      </c>
      <c r="Q15" s="3" t="inlineStr">
        <is>
          <t>PARTIAL</t>
        </is>
      </c>
      <c r="R15" s="3" t="inlineStr">
        <is>
          <t>FULL</t>
        </is>
      </c>
      <c r="S15" s="3" t="inlineStr">
        <is>
          <t>FULL</t>
        </is>
      </c>
      <c r="T15" s="7">
        <f>IF(P15="FULL",40,IF(P15="PARTIAL",40/2,0))+IF(Q15="FULL",30,IF(Q15="PARTIAL",30/2,0))+IF(R15="FULL",20,IF(R15="PARTIAL",20/2,0))+IF(S15="FULL",10,IF(S15="PARTIAL",10/2,0))</f>
        <v/>
      </c>
      <c r="U15" s="7">
        <f>IF(P15="NOT_CHECKED",0,40)+IF(Q15="NOT_CHECKED",0,30)+IF(R15="NOT_CHECKED",0,20)+IF(S15="NOT_CHECKED",0,10)</f>
        <v/>
      </c>
      <c r="V15" s="7">
        <f>IF(U15=100,T15,"")</f>
        <v/>
      </c>
      <c r="W15" s="7">
        <f>T15</f>
        <v/>
      </c>
      <c r="X15" s="7">
        <f>T15+(100-U15)</f>
        <v/>
      </c>
      <c r="Y15" s="3" t="inlineStr">
        <is>
          <t>ISSUE-0018</t>
        </is>
      </c>
      <c r="Z15" s="3" t="inlineStr">
        <is>
          <t>D:\Shopify_Workspace\jeminise_seo\seo_runs\jeminise.com\20260906_234129\qa\20260907_182000\images\122_07.jpg; 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row>
    <row r="16" ht="66" customHeight="1">
      <c r="A16" s="2" t="inlineStr">
        <is>
          <t>jeminise.com+custom-trucking-semi-truck-on-metallic-mesh-background-comforter-21d8f6bab6-21d8f6bab6</t>
        </is>
      </c>
      <c r="B16" s="2" t="inlineStr">
        <is>
          <t>img_092e669f2cca6118</t>
        </is>
      </c>
      <c r="C16" s="4" t="inlineStr">
        <is>
          <t>https://cdn.shopify.com/s/files/1/0792/5098/1063/files/c1922306dc0a397837af905e5e6342fafb647a7f1c2031512b1da8e16085715a.jpg?v=1785132980</t>
        </is>
      </c>
      <c r="D16" s="4" t="inlineStr">
        <is>
          <t>https://cdn.shopify.com/s/files/1/0792/5098/1063/files/c1922306dc0a397837af905e5e6342fafb647a7f1c2031512b1da8e16085715a.jpg?v=1785132980</t>
        </is>
      </c>
      <c r="E16" s="2" t="inlineStr">
        <is>
          <t>47548765831367</t>
        </is>
      </c>
      <c r="F16" s="2" t="inlineStr">
        <is>
          <t>47548765831367</t>
        </is>
      </c>
      <c r="G16" s="2" t="inlineStr"/>
      <c r="H16" s="2" t="inlineStr">
        <is>
          <t>GALLERY</t>
        </is>
      </c>
      <c r="I16" s="2" t="inlineStr">
        <is>
          <t>DIRECT_IMAGE_DOWNLOAD_AND_SOURCE_ROW_REVIEW</t>
        </is>
      </c>
      <c r="J16" s="2" t="inlineStr">
        <is>
          <t>2026-09-07T18:40:50+07:00</t>
        </is>
      </c>
      <c r="K16" s="2" t="inlineStr">
        <is>
          <t>Direct QA opened downloaded image 123_01; source SHA DC14B938F397BE1A43EABBCD16D9789A7F06F983D62BE70CD0CF643C92119588. Submitted observation reviewed against gallery position.</t>
        </is>
      </c>
      <c r="L16" s="2" t="inlineStr">
        <is>
          <t>Main product mockup showing personalized black semi truck metallic mesh comforter.</t>
        </is>
      </c>
      <c r="M16" s="2" t="inlineStr">
        <is>
          <t>UNKNOWN</t>
        </is>
      </c>
      <c r="N16" s="2" t="inlineStr">
        <is>
          <t>SET</t>
        </is>
      </c>
      <c r="O16" s="2" t="inlineStr">
        <is>
          <t>Personalized Semi Truck Metallic Mesh Comforter displayed in a main product mockup</t>
        </is>
      </c>
      <c r="P16" s="2" t="inlineStr">
        <is>
          <t>FULL</t>
        </is>
      </c>
      <c r="Q16" s="2" t="inlineStr">
        <is>
          <t>FULL</t>
        </is>
      </c>
      <c r="R16" s="2" t="inlineStr">
        <is>
          <t>PARTIAL</t>
        </is>
      </c>
      <c r="S16" s="2" t="inlineStr">
        <is>
          <t>FULL</t>
        </is>
      </c>
      <c r="T16" s="5">
        <f>IF(P16="FULL",40,IF(P16="PARTIAL",40/2,0))+IF(Q16="FULL",30,IF(Q16="PARTIAL",30/2,0))+IF(R16="FULL",20,IF(R16="PARTIAL",20/2,0))+IF(S16="FULL",10,IF(S16="PARTIAL",10/2,0))</f>
        <v/>
      </c>
      <c r="U16" s="5">
        <f>IF(P16="NOT_CHECKED",0,40)+IF(Q16="NOT_CHECKED",0,30)+IF(R16="NOT_CHECKED",0,20)+IF(S16="NOT_CHECKED",0,10)</f>
        <v/>
      </c>
      <c r="V16" s="5">
        <f>IF(U16=100,T16,"")</f>
        <v/>
      </c>
      <c r="W16" s="5">
        <f>T16</f>
        <v/>
      </c>
      <c r="X16" s="5">
        <f>T16+(100-U16)</f>
        <v/>
      </c>
      <c r="Y16" s="2" t="inlineStr">
        <is>
          <t>ISSUE-0023</t>
        </is>
      </c>
      <c r="Z16" s="2" t="inlineStr">
        <is>
          <t>D:\Shopify_Workspace\jeminise_seo\seo_runs\jeminise.com\20260906_234129\qa\20260907_182000\images\123_01.jpg; 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row>
    <row r="17" ht="66" customHeight="1">
      <c r="A17" s="3" t="inlineStr">
        <is>
          <t>jeminise.com+custom-trucking-semi-truck-on-metallic-mesh-background-comforter-21d8f6bab6-21d8f6bab6</t>
        </is>
      </c>
      <c r="B17" s="3" t="inlineStr">
        <is>
          <t>img_0b2dd37fbe9d59de</t>
        </is>
      </c>
      <c r="C17" s="4" t="inlineStr">
        <is>
          <t>https://cdn.shopify.com/s/files/1/0792/5098/1063/files/c1e4ad535696ce70c2bec722f0c2bf013938b5edfca1ebc04a03ba9374f5e7b3.jpg?v=1785132980</t>
        </is>
      </c>
      <c r="D17" s="4" t="inlineStr">
        <is>
          <t>https://cdn.shopify.com/s/files/1/0792/5098/1063/files/c1e4ad535696ce70c2bec722f0c2bf013938b5edfca1ebc04a03ba9374f5e7b3.jpg?v=1785132980</t>
        </is>
      </c>
      <c r="E17" s="3" t="inlineStr">
        <is>
          <t>47548765864135</t>
        </is>
      </c>
      <c r="F17" s="3" t="inlineStr">
        <is>
          <t>47548765864135</t>
        </is>
      </c>
      <c r="G17" s="3" t="inlineStr"/>
      <c r="H17" s="3" t="inlineStr">
        <is>
          <t>GALLERY</t>
        </is>
      </c>
      <c r="I17" s="3" t="inlineStr">
        <is>
          <t>DIRECT_IMAGE_DOWNLOAD_AND_SOURCE_ROW_REVIEW</t>
        </is>
      </c>
      <c r="J17" s="3" t="inlineStr">
        <is>
          <t>2026-09-07T18:40:50+07:00</t>
        </is>
      </c>
      <c r="K17" s="3" t="inlineStr">
        <is>
          <t>Direct QA opened downloaded image 123_02; source SHA 8E5EBA9FADD502F5793748EFD223DCD1C52DEC19FE22563C3A70C1B4CE4F8F95. Submitted observation reviewed against gallery position.</t>
        </is>
      </c>
      <c r="L17" s="3" t="inlineStr">
        <is>
          <t>Secondary flat, close-up or bedroom mockup showing personalized black semi truck metallic mesh comforter.</t>
        </is>
      </c>
      <c r="M17" s="3" t="inlineStr">
        <is>
          <t>UNKNOWN</t>
        </is>
      </c>
      <c r="N17" s="3" t="inlineStr">
        <is>
          <t>SET</t>
        </is>
      </c>
      <c r="O17" s="3" t="inlineStr">
        <is>
          <t>Secondary mockup of Personalized Semi Truck Metallic Mesh Comforter</t>
        </is>
      </c>
      <c r="P17" s="3" t="inlineStr">
        <is>
          <t>FULL</t>
        </is>
      </c>
      <c r="Q17" s="3" t="inlineStr">
        <is>
          <t>FULL</t>
        </is>
      </c>
      <c r="R17" s="3" t="inlineStr">
        <is>
          <t>FULL</t>
        </is>
      </c>
      <c r="S17" s="3" t="inlineStr">
        <is>
          <t>FULL</t>
        </is>
      </c>
      <c r="T17" s="7">
        <f>IF(P17="FULL",40,IF(P17="PARTIAL",40/2,0))+IF(Q17="FULL",30,IF(Q17="PARTIAL",30/2,0))+IF(R17="FULL",20,IF(R17="PARTIAL",20/2,0))+IF(S17="FULL",10,IF(S17="PARTIAL",10/2,0))</f>
        <v/>
      </c>
      <c r="U17" s="7">
        <f>IF(P17="NOT_CHECKED",0,40)+IF(Q17="NOT_CHECKED",0,30)+IF(R17="NOT_CHECKED",0,20)+IF(S17="NOT_CHECKED",0,10)</f>
        <v/>
      </c>
      <c r="V17" s="7">
        <f>IF(U17=100,T17,"")</f>
        <v/>
      </c>
      <c r="W17" s="7">
        <f>T17</f>
        <v/>
      </c>
      <c r="X17" s="7">
        <f>T17+(100-U17)</f>
        <v/>
      </c>
      <c r="Y17" s="3" t="inlineStr"/>
      <c r="Z17" s="3" t="inlineStr">
        <is>
          <t>D:\Shopify_Workspace\jeminise_seo\seo_runs\jeminise.com\20260906_234129\qa\20260907_182000\images\123_02.jpg; 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row>
    <row r="18" ht="66" customHeight="1">
      <c r="A18" s="2" t="inlineStr">
        <is>
          <t>jeminise.com+custom-trucking-semi-truck-on-metallic-mesh-background-comforter-21d8f6bab6-21d8f6bab6</t>
        </is>
      </c>
      <c r="B18" s="2" t="inlineStr">
        <is>
          <t>img_6c2291163332c9b5</t>
        </is>
      </c>
      <c r="C18" s="4" t="inlineStr">
        <is>
          <t>https://cdn.shopify.com/s/files/1/0792/5098/1063/files/16f7293cbefa5743a35b2e6316a5a114e5c052d08151e367dafd26aa5e2e542b_93d48143-883e-4ac2-83ca-2d1a4354845d.jpg?v=1785132980</t>
        </is>
      </c>
      <c r="D18" s="4" t="inlineStr">
        <is>
          <t>https://cdn.shopify.com/s/files/1/0792/5098/1063/files/16f7293cbefa5743a35b2e6316a5a114e5c052d08151e367dafd26aa5e2e542b_93d48143-883e-4ac2-83ca-2d1a4354845d.jpg?v=1785132980</t>
        </is>
      </c>
      <c r="E18" s="2" t="inlineStr">
        <is>
          <t>47548765896903</t>
        </is>
      </c>
      <c r="F18" s="2" t="inlineStr">
        <is>
          <t>47548765896903</t>
        </is>
      </c>
      <c r="G18" s="2" t="inlineStr"/>
      <c r="H18" s="2" t="inlineStr">
        <is>
          <t>GALLERY</t>
        </is>
      </c>
      <c r="I18" s="2" t="inlineStr">
        <is>
          <t>DIRECT_IMAGE_DOWNLOAD_AND_SOURCE_ROW_REVIEW</t>
        </is>
      </c>
      <c r="J18" s="2" t="inlineStr">
        <is>
          <t>2026-09-07T18:40:50+07:00</t>
        </is>
      </c>
      <c r="K18" s="2" t="inlineStr">
        <is>
          <t>Direct QA opened downloaded image 123_03; source SHA D1D7BB2E7BBC330A530F2D07CC17846B4F9F5EF39CD3A33528B7908CF2BF0286. Submitted observation reviewed against gallery position.</t>
        </is>
      </c>
      <c r="L18" s="2" t="inlineStr">
        <is>
          <t>Bedding type, feature, lifestyle or material image for personalized black semi truck metallic mesh comforter.</t>
        </is>
      </c>
      <c r="M18" s="2" t="inlineStr">
        <is>
          <t>UNKNOWN</t>
        </is>
      </c>
      <c r="N18" s="2" t="inlineStr">
        <is>
          <t>SET</t>
        </is>
      </c>
      <c r="O18" s="2" t="inlineStr">
        <is>
          <t>Product option, feature or lifestyle image for Personalized Semi Truck Metallic Mesh Comforter</t>
        </is>
      </c>
      <c r="P18" s="2" t="inlineStr">
        <is>
          <t>FULL</t>
        </is>
      </c>
      <c r="Q18" s="2" t="inlineStr">
        <is>
          <t>PARTIAL</t>
        </is>
      </c>
      <c r="R18" s="2" t="inlineStr">
        <is>
          <t>FULL</t>
        </is>
      </c>
      <c r="S18" s="2" t="inlineStr">
        <is>
          <t>FULL</t>
        </is>
      </c>
      <c r="T18" s="5">
        <f>IF(P18="FULL",40,IF(P18="PARTIAL",40/2,0))+IF(Q18="FULL",30,IF(Q18="PARTIAL",30/2,0))+IF(R18="FULL",20,IF(R18="PARTIAL",20/2,0))+IF(S18="FULL",10,IF(S18="PARTIAL",10/2,0))</f>
        <v/>
      </c>
      <c r="U18" s="5">
        <f>IF(P18="NOT_CHECKED",0,40)+IF(Q18="NOT_CHECKED",0,30)+IF(R18="NOT_CHECKED",0,20)+IF(S18="NOT_CHECKED",0,10)</f>
        <v/>
      </c>
      <c r="V18" s="5">
        <f>IF(U18=100,T18,"")</f>
        <v/>
      </c>
      <c r="W18" s="5">
        <f>T18</f>
        <v/>
      </c>
      <c r="X18" s="5">
        <f>T18+(100-U18)</f>
        <v/>
      </c>
      <c r="Y18" s="2" t="inlineStr">
        <is>
          <t>ISSUE-0024</t>
        </is>
      </c>
      <c r="Z18" s="2" t="inlineStr">
        <is>
          <t>D:\Shopify_Workspace\jeminise_seo\seo_runs\jeminise.com\20260906_234129\qa\20260907_182000\images\123_03.jpg; 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row>
    <row r="19" ht="66" customHeight="1">
      <c r="A19" s="3" t="inlineStr">
        <is>
          <t>jeminise.com+custom-trucking-semi-truck-on-metallic-mesh-background-comforter-21d8f6bab6-21d8f6bab6</t>
        </is>
      </c>
      <c r="B19" s="3" t="inlineStr">
        <is>
          <t>img_66be9e47a5681e25</t>
        </is>
      </c>
      <c r="C19" s="4" t="inlineStr">
        <is>
          <t>https://cdn.shopify.com/s/files/1/0792/5098/1063/files/e04b4cdaccf9c82a5f2e4bd4242b42e835b0111daa0ba9434371f1cf3bb055a3.jpg?v=1785132980</t>
        </is>
      </c>
      <c r="D19" s="4" t="inlineStr">
        <is>
          <t>https://cdn.shopify.com/s/files/1/0792/5098/1063/files/e04b4cdaccf9c82a5f2e4bd4242b42e835b0111daa0ba9434371f1cf3bb055a3.jpg?v=1785132980</t>
        </is>
      </c>
      <c r="E19" s="3" t="inlineStr">
        <is>
          <t>47548765929671</t>
        </is>
      </c>
      <c r="F19" s="3" t="inlineStr">
        <is>
          <t>47548765929671</t>
        </is>
      </c>
      <c r="G19" s="3" t="inlineStr"/>
      <c r="H19" s="3" t="inlineStr">
        <is>
          <t>GALLERY</t>
        </is>
      </c>
      <c r="I19" s="3" t="inlineStr">
        <is>
          <t>DIRECT_IMAGE_DOWNLOAD_AND_SOURCE_ROW_REVIEW</t>
        </is>
      </c>
      <c r="J19" s="3" t="inlineStr">
        <is>
          <t>2026-09-07T18:40:50+07:00</t>
        </is>
      </c>
      <c r="K19" s="3" t="inlineStr">
        <is>
          <t>Direct QA opened downloaded image 123_04; source SHA B5057F92FE2DC5DBB92938F113B3420D251C3C42ABDA4964D83EF619D6600EB7. Submitted observation reviewed against gallery position.</t>
        </is>
      </c>
      <c r="L19" s="3" t="inlineStr">
        <is>
          <t>Detail, feature panel or lifestyle image connected to personalized black semi truck metallic mesh comforter.</t>
        </is>
      </c>
      <c r="M19" s="3" t="inlineStr">
        <is>
          <t>UNKNOWN</t>
        </is>
      </c>
      <c r="N19" s="3" t="inlineStr">
        <is>
          <t>SET</t>
        </is>
      </c>
      <c r="O19" s="3" t="inlineStr">
        <is>
          <t>Detail or feature image for Personalized Semi Truck Metallic Mesh Comforter</t>
        </is>
      </c>
      <c r="P19" s="3" t="inlineStr">
        <is>
          <t>FULL</t>
        </is>
      </c>
      <c r="Q19" s="3" t="inlineStr">
        <is>
          <t>PARTIAL</t>
        </is>
      </c>
      <c r="R19" s="3" t="inlineStr">
        <is>
          <t>FULL</t>
        </is>
      </c>
      <c r="S19" s="3" t="inlineStr">
        <is>
          <t>FULL</t>
        </is>
      </c>
      <c r="T19" s="7">
        <f>IF(P19="FULL",40,IF(P19="PARTIAL",40/2,0))+IF(Q19="FULL",30,IF(Q19="PARTIAL",30/2,0))+IF(R19="FULL",20,IF(R19="PARTIAL",20/2,0))+IF(S19="FULL",10,IF(S19="PARTIAL",10/2,0))</f>
        <v/>
      </c>
      <c r="U19" s="7">
        <f>IF(P19="NOT_CHECKED",0,40)+IF(Q19="NOT_CHECKED",0,30)+IF(R19="NOT_CHECKED",0,20)+IF(S19="NOT_CHECKED",0,10)</f>
        <v/>
      </c>
      <c r="V19" s="7">
        <f>IF(U19=100,T19,"")</f>
        <v/>
      </c>
      <c r="W19" s="7">
        <f>T19</f>
        <v/>
      </c>
      <c r="X19" s="7">
        <f>T19+(100-U19)</f>
        <v/>
      </c>
      <c r="Y19" s="3" t="inlineStr">
        <is>
          <t>ISSUE-0025</t>
        </is>
      </c>
      <c r="Z19" s="3" t="inlineStr">
        <is>
          <t>D:\Shopify_Workspace\jeminise_seo\seo_runs\jeminise.com\20260906_234129\qa\20260907_182000\images\123_04.jpg; 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row>
    <row r="20" ht="66" customHeight="1">
      <c r="A20" s="2" t="inlineStr">
        <is>
          <t>jeminise.com+custom-trucking-semi-truck-on-metallic-mesh-background-comforter-21d8f6bab6-21d8f6bab6</t>
        </is>
      </c>
      <c r="B20" s="2" t="inlineStr">
        <is>
          <t>img_3928eabe19542958</t>
        </is>
      </c>
      <c r="C20" s="4" t="inlineStr">
        <is>
          <t>https://cdn.shopify.com/s/files/1/0792/5098/1063/files/e707b31763a524e2a68e131d5cce27b2204582821b46a800d943901bf6c2f240.jpg?v=1785132980</t>
        </is>
      </c>
      <c r="D20" s="4" t="inlineStr">
        <is>
          <t>https://cdn.shopify.com/s/files/1/0792/5098/1063/files/e707b31763a524e2a68e131d5cce27b2204582821b46a800d943901bf6c2f240.jpg?v=1785132980</t>
        </is>
      </c>
      <c r="E20" s="2" t="inlineStr">
        <is>
          <t>47548765962439</t>
        </is>
      </c>
      <c r="F20" s="2" t="inlineStr">
        <is>
          <t>47548765962439</t>
        </is>
      </c>
      <c r="G20" s="2" t="inlineStr"/>
      <c r="H20" s="2" t="inlineStr">
        <is>
          <t>GALLERY</t>
        </is>
      </c>
      <c r="I20" s="2" t="inlineStr">
        <is>
          <t>DIRECT_IMAGE_DOWNLOAD_AND_SOURCE_ROW_REVIEW</t>
        </is>
      </c>
      <c r="J20" s="2" t="inlineStr">
        <is>
          <t>2026-09-07T18:40:50+07:00</t>
        </is>
      </c>
      <c r="K20" s="2" t="inlineStr">
        <is>
          <t>Direct QA opened downloaded image 123_05; source SHA B074D30D745B3CFD97574B8D1080EC14D124071E8636FAE608027062FECF2889. Submitted observation reviewed against gallery position.</t>
        </is>
      </c>
      <c r="L20" s="2" t="inlineStr">
        <is>
          <t>Additional mockup, care or size information for personalized black semi truck metallic mesh comforter.</t>
        </is>
      </c>
      <c r="M20" s="2" t="inlineStr">
        <is>
          <t>UNKNOWN</t>
        </is>
      </c>
      <c r="N20" s="2" t="inlineStr">
        <is>
          <t>SET</t>
        </is>
      </c>
      <c r="O20" s="2" t="inlineStr">
        <is>
          <t>Additional product mockup or care information for Personalized Semi Truck Metallic Mesh Comforter</t>
        </is>
      </c>
      <c r="P20" s="2" t="inlineStr">
        <is>
          <t>FULL</t>
        </is>
      </c>
      <c r="Q20" s="2" t="inlineStr">
        <is>
          <t>FULL</t>
        </is>
      </c>
      <c r="R20" s="2" t="inlineStr">
        <is>
          <t>FULL</t>
        </is>
      </c>
      <c r="S20" s="2" t="inlineStr">
        <is>
          <t>FULL</t>
        </is>
      </c>
      <c r="T20" s="5">
        <f>IF(P20="FULL",40,IF(P20="PARTIAL",40/2,0))+IF(Q20="FULL",30,IF(Q20="PARTIAL",30/2,0))+IF(R20="FULL",20,IF(R20="PARTIAL",20/2,0))+IF(S20="FULL",10,IF(S20="PARTIAL",10/2,0))</f>
        <v/>
      </c>
      <c r="U20" s="5">
        <f>IF(P20="NOT_CHECKED",0,40)+IF(Q20="NOT_CHECKED",0,30)+IF(R20="NOT_CHECKED",0,20)+IF(S20="NOT_CHECKED",0,10)</f>
        <v/>
      </c>
      <c r="V20" s="5">
        <f>IF(U20=100,T20,"")</f>
        <v/>
      </c>
      <c r="W20" s="5">
        <f>T20</f>
        <v/>
      </c>
      <c r="X20" s="5">
        <f>T20+(100-U20)</f>
        <v/>
      </c>
      <c r="Y20" s="2" t="inlineStr"/>
      <c r="Z20" s="2" t="inlineStr">
        <is>
          <t>D:\Shopify_Workspace\jeminise_seo\seo_runs\jeminise.com\20260906_234129\qa\20260907_182000\images\123_05.jpg; 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row>
    <row r="21" ht="66" customHeight="1">
      <c r="A21" s="3" t="inlineStr">
        <is>
          <t>jeminise.com+custom-trucking-semi-truck-on-metallic-mesh-background-comforter-21d8f6bab6-21d8f6bab6</t>
        </is>
      </c>
      <c r="B21" s="3" t="inlineStr">
        <is>
          <t>img_cdb28044835ab247</t>
        </is>
      </c>
      <c r="C21" s="4" t="inlineStr">
        <is>
          <t>https://cdn.shopify.com/s/files/1/0792/5098/1063/files/7c006bddc94d4763c71c8376307e195c1bbce73b8c802ec73ac5a8cef1291262_9552c869-a848-49a9-88b6-fee9f5314799.jpg?v=1785132980</t>
        </is>
      </c>
      <c r="D21" s="4" t="inlineStr">
        <is>
          <t>https://cdn.shopify.com/s/files/1/0792/5098/1063/files/7c006bddc94d4763c71c8376307e195c1bbce73b8c802ec73ac5a8cef1291262_9552c869-a848-49a9-88b6-fee9f5314799.jpg?v=1785132980</t>
        </is>
      </c>
      <c r="E21" s="3" t="inlineStr">
        <is>
          <t>47548765995207</t>
        </is>
      </c>
      <c r="F21" s="3" t="inlineStr">
        <is>
          <t>47548765995207</t>
        </is>
      </c>
      <c r="G21" s="3" t="inlineStr"/>
      <c r="H21" s="3" t="inlineStr">
        <is>
          <t>GALLERY</t>
        </is>
      </c>
      <c r="I21" s="3" t="inlineStr">
        <is>
          <t>DIRECT_IMAGE_DOWNLOAD_AND_SOURCE_ROW_REVIEW</t>
        </is>
      </c>
      <c r="J21" s="3" t="inlineStr">
        <is>
          <t>2026-09-07T18:40:50+07:00</t>
        </is>
      </c>
      <c r="K21" s="3" t="inlineStr">
        <is>
          <t>Direct QA opened downloaded image 123_06; source SHA C44DD8C415D82F46E3913622731FCF66776A9B3B86746179C808AE27D8DDE649. Submitted observation reviewed against gallery position.</t>
        </is>
      </c>
      <c r="L21" s="3" t="inlineStr">
        <is>
          <t>Easy-care, size guide or product feature image for personalized black semi truck metallic mesh comforter.</t>
        </is>
      </c>
      <c r="M21" s="3" t="inlineStr">
        <is>
          <t>UNKNOWN</t>
        </is>
      </c>
      <c r="N21" s="3" t="inlineStr">
        <is>
          <t>SET</t>
        </is>
      </c>
      <c r="O21" s="3" t="inlineStr">
        <is>
          <t>Care, size or product feature image for Personalized Semi Truck Metallic Mesh Comforter</t>
        </is>
      </c>
      <c r="P21" s="3" t="inlineStr">
        <is>
          <t>FULL</t>
        </is>
      </c>
      <c r="Q21" s="3" t="inlineStr">
        <is>
          <t>PARTIAL</t>
        </is>
      </c>
      <c r="R21" s="3" t="inlineStr">
        <is>
          <t>FULL</t>
        </is>
      </c>
      <c r="S21" s="3" t="inlineStr">
        <is>
          <t>FULL</t>
        </is>
      </c>
      <c r="T21" s="7">
        <f>IF(P21="FULL",40,IF(P21="PARTIAL",40/2,0))+IF(Q21="FULL",30,IF(Q21="PARTIAL",30/2,0))+IF(R21="FULL",20,IF(R21="PARTIAL",20/2,0))+IF(S21="FULL",10,IF(S21="PARTIAL",10/2,0))</f>
        <v/>
      </c>
      <c r="U21" s="7">
        <f>IF(P21="NOT_CHECKED",0,40)+IF(Q21="NOT_CHECKED",0,30)+IF(R21="NOT_CHECKED",0,20)+IF(S21="NOT_CHECKED",0,10)</f>
        <v/>
      </c>
      <c r="V21" s="7">
        <f>IF(U21=100,T21,"")</f>
        <v/>
      </c>
      <c r="W21" s="7">
        <f>T21</f>
        <v/>
      </c>
      <c r="X21" s="7">
        <f>T21+(100-U21)</f>
        <v/>
      </c>
      <c r="Y21" s="3" t="inlineStr">
        <is>
          <t>ISSUE-0026</t>
        </is>
      </c>
      <c r="Z21" s="3" t="inlineStr">
        <is>
          <t>D:\Shopify_Workspace\jeminise_seo\seo_runs\jeminise.com\20260906_234129\qa\20260907_182000\images\123_06.jpg; 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row>
    <row r="22" ht="66" customHeight="1">
      <c r="A22" s="2" t="inlineStr">
        <is>
          <t>jeminise.com+custom-trucking-semi-truck-on-metallic-mesh-background-comforter-21d8f6bab6-21d8f6bab6</t>
        </is>
      </c>
      <c r="B22" s="2" t="inlineStr">
        <is>
          <t>img_242c14d8fa2ac1ef</t>
        </is>
      </c>
      <c r="C22" s="4" t="inlineStr">
        <is>
          <t>https://cdn.shopify.com/s/files/1/0792/5098/1063/files/e5cad84edb4d7bf77c48fd7c8e52eb3b73f04eba8bf177671fd8a059c59422e8_a12a5003-8ce1-4857-9045-aa242e549165.jpg?v=1785132980</t>
        </is>
      </c>
      <c r="D22" s="4" t="inlineStr">
        <is>
          <t>https://cdn.shopify.com/s/files/1/0792/5098/1063/files/e5cad84edb4d7bf77c48fd7c8e52eb3b73f04eba8bf177671fd8a059c59422e8_a12a5003-8ce1-4857-9045-aa242e549165.jpg?v=1785132980</t>
        </is>
      </c>
      <c r="E22" s="2" t="inlineStr">
        <is>
          <t>47548766027975</t>
        </is>
      </c>
      <c r="F22" s="2" t="inlineStr">
        <is>
          <t>47548766027975</t>
        </is>
      </c>
      <c r="G22" s="2" t="inlineStr"/>
      <c r="H22" s="2" t="inlineStr">
        <is>
          <t>GALLERY</t>
        </is>
      </c>
      <c r="I22" s="2" t="inlineStr">
        <is>
          <t>DIRECT_IMAGE_DOWNLOAD_AND_SOURCE_ROW_REVIEW</t>
        </is>
      </c>
      <c r="J22" s="2" t="inlineStr">
        <is>
          <t>2026-09-07T18:40:50+07:00</t>
        </is>
      </c>
      <c r="K22" s="2" t="inlineStr">
        <is>
          <t>Direct QA opened downloaded image 123_07; source SHA CBACE79DF808456717E0EA3890B77255D63C670205730AD0356ABCD79BF0116C. Submitted observation reviewed against gallery position.</t>
        </is>
      </c>
      <c r="L22" s="2" t="inlineStr">
        <is>
          <t>Additional lifestyle, feature or product detail image showing personalized black semi truck metallic mesh comforter.</t>
        </is>
      </c>
      <c r="M22" s="2" t="inlineStr">
        <is>
          <t>UNKNOWN</t>
        </is>
      </c>
      <c r="N22" s="2" t="inlineStr">
        <is>
          <t>SET</t>
        </is>
      </c>
      <c r="O22" s="2" t="inlineStr">
        <is>
          <t>Additional product mockup of Personalized Semi Truck Metallic Mesh Comforter</t>
        </is>
      </c>
      <c r="P22" s="2" t="inlineStr">
        <is>
          <t>FULL</t>
        </is>
      </c>
      <c r="Q22" s="2" t="inlineStr">
        <is>
          <t>PARTIAL</t>
        </is>
      </c>
      <c r="R22" s="2" t="inlineStr">
        <is>
          <t>FULL</t>
        </is>
      </c>
      <c r="S22" s="2" t="inlineStr">
        <is>
          <t>FULL</t>
        </is>
      </c>
      <c r="T22" s="5">
        <f>IF(P22="FULL",40,IF(P22="PARTIAL",40/2,0))+IF(Q22="FULL",30,IF(Q22="PARTIAL",30/2,0))+IF(R22="FULL",20,IF(R22="PARTIAL",20/2,0))+IF(S22="FULL",10,IF(S22="PARTIAL",10/2,0))</f>
        <v/>
      </c>
      <c r="U22" s="5">
        <f>IF(P22="NOT_CHECKED",0,40)+IF(Q22="NOT_CHECKED",0,30)+IF(R22="NOT_CHECKED",0,20)+IF(S22="NOT_CHECKED",0,10)</f>
        <v/>
      </c>
      <c r="V22" s="5">
        <f>IF(U22=100,T22,"")</f>
        <v/>
      </c>
      <c r="W22" s="5">
        <f>T22</f>
        <v/>
      </c>
      <c r="X22" s="5">
        <f>T22+(100-U22)</f>
        <v/>
      </c>
      <c r="Y22" s="2" t="inlineStr">
        <is>
          <t>ISSUE-0027</t>
        </is>
      </c>
      <c r="Z22" s="2" t="inlineStr">
        <is>
          <t>D:\Shopify_Workspace\jeminise_seo\seo_runs\jeminise.com\20260906_234129\qa\20260907_182000\images\123_07.jpg; 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row>
    <row r="23" ht="66" customHeight="1">
      <c r="A23" s="3" t="inlineStr">
        <is>
          <t>jeminise.com+custom-trucking-semi-truck-on-textured-metallic-background-comforter-5ee1903c53-5ee1903c53</t>
        </is>
      </c>
      <c r="B23" s="3" t="inlineStr">
        <is>
          <t>img_6f669cbf866eeca1</t>
        </is>
      </c>
      <c r="C23" s="4" t="inlineStr">
        <is>
          <t>https://cdn.shopify.com/s/files/1/0792/5098/1063/files/57d38e66f2b34394bb485228e838a7ae63fbae56dfc5a6d11d528c6d41e4225a.jpg?v=1785132753</t>
        </is>
      </c>
      <c r="D23" s="4" t="inlineStr">
        <is>
          <t>https://cdn.shopify.com/s/files/1/0792/5098/1063/files/57d38e66f2b34394bb485228e838a7ae63fbae56dfc5a6d11d528c6d41e4225a.jpg?v=1785132753</t>
        </is>
      </c>
      <c r="E23" s="3" t="inlineStr">
        <is>
          <t>47548723921095</t>
        </is>
      </c>
      <c r="F23" s="3" t="inlineStr">
        <is>
          <t>47548723921095</t>
        </is>
      </c>
      <c r="G23" s="3" t="inlineStr"/>
      <c r="H23" s="3" t="inlineStr">
        <is>
          <t>GALLERY</t>
        </is>
      </c>
      <c r="I23" s="3" t="inlineStr">
        <is>
          <t>DIRECT_IMAGE_DOWNLOAD_AND_SOURCE_ROW_REVIEW</t>
        </is>
      </c>
      <c r="J23" s="3" t="inlineStr">
        <is>
          <t>2026-09-07T18:40:50+07:00</t>
        </is>
      </c>
      <c r="K23" s="3" t="inlineStr">
        <is>
          <t>Direct QA opened downloaded image 124_01; source SHA 4ECE79128DF959CFBACDC56B9118866B913D084242784B807CF86280860E2E93. Submitted observation reviewed against gallery position.</t>
        </is>
      </c>
      <c r="L23" s="3" t="inlineStr">
        <is>
          <t>Main product mockup showing personalized semi truck textured metallic comforter.</t>
        </is>
      </c>
      <c r="M23" s="3" t="inlineStr">
        <is>
          <t>UNKNOWN</t>
        </is>
      </c>
      <c r="N23" s="3" t="inlineStr">
        <is>
          <t>SET</t>
        </is>
      </c>
      <c r="O23" s="3" t="inlineStr">
        <is>
          <t>Personalized Textured Metallic Semi Truck Comforter displayed in a main product mockup</t>
        </is>
      </c>
      <c r="P23" s="3" t="inlineStr">
        <is>
          <t>FULL</t>
        </is>
      </c>
      <c r="Q23" s="3" t="inlineStr">
        <is>
          <t>FULL</t>
        </is>
      </c>
      <c r="R23" s="3" t="inlineStr">
        <is>
          <t>PARTIAL</t>
        </is>
      </c>
      <c r="S23" s="3" t="inlineStr">
        <is>
          <t>FULL</t>
        </is>
      </c>
      <c r="T23" s="7">
        <f>IF(P23="FULL",40,IF(P23="PARTIAL",40/2,0))+IF(Q23="FULL",30,IF(Q23="PARTIAL",30/2,0))+IF(R23="FULL",20,IF(R23="PARTIAL",20/2,0))+IF(S23="FULL",10,IF(S23="PARTIAL",10/2,0))</f>
        <v/>
      </c>
      <c r="U23" s="7">
        <f>IF(P23="NOT_CHECKED",0,40)+IF(Q23="NOT_CHECKED",0,30)+IF(R23="NOT_CHECKED",0,20)+IF(S23="NOT_CHECKED",0,10)</f>
        <v/>
      </c>
      <c r="V23" s="7">
        <f>IF(U23=100,T23,"")</f>
        <v/>
      </c>
      <c r="W23" s="7">
        <f>T23</f>
        <v/>
      </c>
      <c r="X23" s="7">
        <f>T23+(100-U23)</f>
        <v/>
      </c>
      <c r="Y23" s="3" t="inlineStr">
        <is>
          <t>ISSUE-0032</t>
        </is>
      </c>
      <c r="Z23" s="3" t="inlineStr">
        <is>
          <t>D:\Shopify_Workspace\jeminise_seo\seo_runs\jeminise.com\20260906_234129\qa\20260907_182000\images\124_01.jpg; 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row>
    <row r="24" ht="66" customHeight="1">
      <c r="A24" s="2" t="inlineStr">
        <is>
          <t>jeminise.com+custom-trucking-semi-truck-on-textured-metallic-background-comforter-5ee1903c53-5ee1903c53</t>
        </is>
      </c>
      <c r="B24" s="2" t="inlineStr">
        <is>
          <t>img_c7d25269bc0fa269</t>
        </is>
      </c>
      <c r="C24" s="4" t="inlineStr">
        <is>
          <t>https://cdn.shopify.com/s/files/1/0792/5098/1063/files/6c4cda57b9e3a28bf8baef1c5e85afa8ed94dcd72110978845cba27a8af50e6f.jpg?v=1785132753</t>
        </is>
      </c>
      <c r="D24" s="4" t="inlineStr">
        <is>
          <t>https://cdn.shopify.com/s/files/1/0792/5098/1063/files/6c4cda57b9e3a28bf8baef1c5e85afa8ed94dcd72110978845cba27a8af50e6f.jpg?v=1785132753</t>
        </is>
      </c>
      <c r="E24" s="2" t="inlineStr">
        <is>
          <t>47548723953863</t>
        </is>
      </c>
      <c r="F24" s="2" t="inlineStr">
        <is>
          <t>47548723953863</t>
        </is>
      </c>
      <c r="G24" s="2" t="inlineStr"/>
      <c r="H24" s="2" t="inlineStr">
        <is>
          <t>GALLERY</t>
        </is>
      </c>
      <c r="I24" s="2" t="inlineStr">
        <is>
          <t>DIRECT_IMAGE_DOWNLOAD_AND_SOURCE_ROW_REVIEW</t>
        </is>
      </c>
      <c r="J24" s="2" t="inlineStr">
        <is>
          <t>2026-09-07T18:40:50+07:00</t>
        </is>
      </c>
      <c r="K24" s="2" t="inlineStr">
        <is>
          <t>Direct QA opened downloaded image 124_02; source SHA 7FC5942D60FBBE9C9E5A4A3107745418FB7766FBF86478DE1CDE1092531458C1. Submitted observation reviewed against gallery position.</t>
        </is>
      </c>
      <c r="L24" s="2" t="inlineStr">
        <is>
          <t>Secondary flat, close-up or bedroom mockup showing personalized semi truck textured metallic comforter.</t>
        </is>
      </c>
      <c r="M24" s="2" t="inlineStr">
        <is>
          <t>UNKNOWN</t>
        </is>
      </c>
      <c r="N24" s="2" t="inlineStr">
        <is>
          <t>SET</t>
        </is>
      </c>
      <c r="O24" s="2" t="inlineStr">
        <is>
          <t>Secondary mockup of Personalized Textured Metallic Semi Truck Comforter</t>
        </is>
      </c>
      <c r="P24" s="2" t="inlineStr">
        <is>
          <t>FULL</t>
        </is>
      </c>
      <c r="Q24" s="2" t="inlineStr">
        <is>
          <t>FULL</t>
        </is>
      </c>
      <c r="R24" s="2" t="inlineStr">
        <is>
          <t>FULL</t>
        </is>
      </c>
      <c r="S24" s="2" t="inlineStr">
        <is>
          <t>FULL</t>
        </is>
      </c>
      <c r="T24" s="5">
        <f>IF(P24="FULL",40,IF(P24="PARTIAL",40/2,0))+IF(Q24="FULL",30,IF(Q24="PARTIAL",30/2,0))+IF(R24="FULL",20,IF(R24="PARTIAL",20/2,0))+IF(S24="FULL",10,IF(S24="PARTIAL",10/2,0))</f>
        <v/>
      </c>
      <c r="U24" s="5">
        <f>IF(P24="NOT_CHECKED",0,40)+IF(Q24="NOT_CHECKED",0,30)+IF(R24="NOT_CHECKED",0,20)+IF(S24="NOT_CHECKED",0,10)</f>
        <v/>
      </c>
      <c r="V24" s="5">
        <f>IF(U24=100,T24,"")</f>
        <v/>
      </c>
      <c r="W24" s="5">
        <f>T24</f>
        <v/>
      </c>
      <c r="X24" s="5">
        <f>T24+(100-U24)</f>
        <v/>
      </c>
      <c r="Y24" s="2" t="inlineStr"/>
      <c r="Z24" s="2" t="inlineStr">
        <is>
          <t>D:\Shopify_Workspace\jeminise_seo\seo_runs\jeminise.com\20260906_234129\qa\20260907_182000\images\124_02.jpg; 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row>
    <row r="25" ht="66" customHeight="1">
      <c r="A25" s="3" t="inlineStr">
        <is>
          <t>jeminise.com+custom-trucking-semi-truck-on-textured-metallic-background-comforter-5ee1903c53-5ee1903c53</t>
        </is>
      </c>
      <c r="B25" s="3" t="inlineStr">
        <is>
          <t>img_7fcb74b55671615a</t>
        </is>
      </c>
      <c r="C25" s="4" t="inlineStr">
        <is>
          <t>https://cdn.shopify.com/s/files/1/0792/5098/1063/files/16f7293cbefa5743a35b2e6316a5a114e5c052d08151e367dafd26aa5e2e542b_f5f72ee7-1da4-4a37-98b2-cfa1d00ff0c5.jpg?v=1785132753</t>
        </is>
      </c>
      <c r="D25" s="4" t="inlineStr">
        <is>
          <t>https://cdn.shopify.com/s/files/1/0792/5098/1063/files/16f7293cbefa5743a35b2e6316a5a114e5c052d08151e367dafd26aa5e2e542b_f5f72ee7-1da4-4a37-98b2-cfa1d00ff0c5.jpg?v=1785132753</t>
        </is>
      </c>
      <c r="E25" s="3" t="inlineStr">
        <is>
          <t>47548723986631</t>
        </is>
      </c>
      <c r="F25" s="3" t="inlineStr">
        <is>
          <t>47548723986631</t>
        </is>
      </c>
      <c r="G25" s="3" t="inlineStr"/>
      <c r="H25" s="3" t="inlineStr">
        <is>
          <t>GALLERY</t>
        </is>
      </c>
      <c r="I25" s="3" t="inlineStr">
        <is>
          <t>DIRECT_IMAGE_DOWNLOAD_AND_SOURCE_ROW_REVIEW</t>
        </is>
      </c>
      <c r="J25" s="3" t="inlineStr">
        <is>
          <t>2026-09-07T18:40:50+07:00</t>
        </is>
      </c>
      <c r="K25" s="3" t="inlineStr">
        <is>
          <t>Direct QA opened downloaded image 124_03; source SHA D1D7BB2E7BBC330A530F2D07CC17846B4F9F5EF39CD3A33528B7908CF2BF0286. Submitted observation reviewed against gallery position.</t>
        </is>
      </c>
      <c r="L25" s="3" t="inlineStr">
        <is>
          <t>Bedding type, feature, lifestyle or material image for personalized semi truck textured metallic comforter.</t>
        </is>
      </c>
      <c r="M25" s="3" t="inlineStr">
        <is>
          <t>UNKNOWN</t>
        </is>
      </c>
      <c r="N25" s="3" t="inlineStr">
        <is>
          <t>SET</t>
        </is>
      </c>
      <c r="O25" s="3" t="inlineStr">
        <is>
          <t>Product option, feature or lifestyle image for Personalized Textured Metallic Semi Truck Comforter</t>
        </is>
      </c>
      <c r="P25" s="3" t="inlineStr">
        <is>
          <t>FULL</t>
        </is>
      </c>
      <c r="Q25" s="3" t="inlineStr">
        <is>
          <t>PARTIAL</t>
        </is>
      </c>
      <c r="R25" s="3" t="inlineStr">
        <is>
          <t>FULL</t>
        </is>
      </c>
      <c r="S25" s="3" t="inlineStr">
        <is>
          <t>FULL</t>
        </is>
      </c>
      <c r="T25" s="7">
        <f>IF(P25="FULL",40,IF(P25="PARTIAL",40/2,0))+IF(Q25="FULL",30,IF(Q25="PARTIAL",30/2,0))+IF(R25="FULL",20,IF(R25="PARTIAL",20/2,0))+IF(S25="FULL",10,IF(S25="PARTIAL",10/2,0))</f>
        <v/>
      </c>
      <c r="U25" s="7">
        <f>IF(P25="NOT_CHECKED",0,40)+IF(Q25="NOT_CHECKED",0,30)+IF(R25="NOT_CHECKED",0,20)+IF(S25="NOT_CHECKED",0,10)</f>
        <v/>
      </c>
      <c r="V25" s="7">
        <f>IF(U25=100,T25,"")</f>
        <v/>
      </c>
      <c r="W25" s="7">
        <f>T25</f>
        <v/>
      </c>
      <c r="X25" s="7">
        <f>T25+(100-U25)</f>
        <v/>
      </c>
      <c r="Y25" s="3" t="inlineStr">
        <is>
          <t>ISSUE-0033</t>
        </is>
      </c>
      <c r="Z25" s="3" t="inlineStr">
        <is>
          <t>D:\Shopify_Workspace\jeminise_seo\seo_runs\jeminise.com\20260906_234129\qa\20260907_182000\images\124_03.jpg; 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row>
    <row r="26" ht="66" customHeight="1">
      <c r="A26" s="2" t="inlineStr">
        <is>
          <t>jeminise.com+custom-trucking-semi-truck-on-textured-metallic-background-comforter-5ee1903c53-5ee1903c53</t>
        </is>
      </c>
      <c r="B26" s="2" t="inlineStr">
        <is>
          <t>img_e98abe07cc4c0d97</t>
        </is>
      </c>
      <c r="C26" s="4" t="inlineStr">
        <is>
          <t>https://cdn.shopify.com/s/files/1/0792/5098/1063/files/2776eb90f20c7e99621bb907bf459687c837f8ae60c4d1374540e0fec7c43a03.jpg?v=1785132753</t>
        </is>
      </c>
      <c r="D26" s="4" t="inlineStr">
        <is>
          <t>https://cdn.shopify.com/s/files/1/0792/5098/1063/files/2776eb90f20c7e99621bb907bf459687c837f8ae60c4d1374540e0fec7c43a03.jpg?v=1785132753</t>
        </is>
      </c>
      <c r="E26" s="2" t="inlineStr">
        <is>
          <t>47548724019399</t>
        </is>
      </c>
      <c r="F26" s="2" t="inlineStr">
        <is>
          <t>47548724019399</t>
        </is>
      </c>
      <c r="G26" s="2" t="inlineStr"/>
      <c r="H26" s="2" t="inlineStr">
        <is>
          <t>GALLERY</t>
        </is>
      </c>
      <c r="I26" s="2" t="inlineStr">
        <is>
          <t>DIRECT_IMAGE_DOWNLOAD_AND_SOURCE_ROW_REVIEW</t>
        </is>
      </c>
      <c r="J26" s="2" t="inlineStr">
        <is>
          <t>2026-09-07T18:40:50+07:00</t>
        </is>
      </c>
      <c r="K26" s="2" t="inlineStr">
        <is>
          <t>Direct QA opened downloaded image 124_04; source SHA CEF6F2113CE367BD5453328EDE1ECDBF2341987ECAFF708FBF4B0D5DD9DFB892. Submitted observation reviewed against gallery position.</t>
        </is>
      </c>
      <c r="L26" s="2" t="inlineStr">
        <is>
          <t>Detail, feature panel or lifestyle image connected to personalized semi truck textured metallic comforter.</t>
        </is>
      </c>
      <c r="M26" s="2" t="inlineStr">
        <is>
          <t>UNKNOWN</t>
        </is>
      </c>
      <c r="N26" s="2" t="inlineStr">
        <is>
          <t>SET</t>
        </is>
      </c>
      <c r="O26" s="2" t="inlineStr">
        <is>
          <t>Detail or feature image for Personalized Textured Metallic Semi Truck Comforter</t>
        </is>
      </c>
      <c r="P26" s="2" t="inlineStr">
        <is>
          <t>FULL</t>
        </is>
      </c>
      <c r="Q26" s="2" t="inlineStr">
        <is>
          <t>PARTIAL</t>
        </is>
      </c>
      <c r="R26" s="2" t="inlineStr">
        <is>
          <t>FULL</t>
        </is>
      </c>
      <c r="S26" s="2" t="inlineStr">
        <is>
          <t>FULL</t>
        </is>
      </c>
      <c r="T26" s="5">
        <f>IF(P26="FULL",40,IF(P26="PARTIAL",40/2,0))+IF(Q26="FULL",30,IF(Q26="PARTIAL",30/2,0))+IF(R26="FULL",20,IF(R26="PARTIAL",20/2,0))+IF(S26="FULL",10,IF(S26="PARTIAL",10/2,0))</f>
        <v/>
      </c>
      <c r="U26" s="5">
        <f>IF(P26="NOT_CHECKED",0,40)+IF(Q26="NOT_CHECKED",0,30)+IF(R26="NOT_CHECKED",0,20)+IF(S26="NOT_CHECKED",0,10)</f>
        <v/>
      </c>
      <c r="V26" s="5">
        <f>IF(U26=100,T26,"")</f>
        <v/>
      </c>
      <c r="W26" s="5">
        <f>T26</f>
        <v/>
      </c>
      <c r="X26" s="5">
        <f>T26+(100-U26)</f>
        <v/>
      </c>
      <c r="Y26" s="2" t="inlineStr">
        <is>
          <t>ISSUE-0034</t>
        </is>
      </c>
      <c r="Z26" s="2" t="inlineStr">
        <is>
          <t>D:\Shopify_Workspace\jeminise_seo\seo_runs\jeminise.com\20260906_234129\qa\20260907_182000\images\124_04.jpg; 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row>
    <row r="27" ht="66" customHeight="1">
      <c r="A27" s="3" t="inlineStr">
        <is>
          <t>jeminise.com+custom-trucking-semi-truck-on-textured-metallic-background-comforter-5ee1903c53-5ee1903c53</t>
        </is>
      </c>
      <c r="B27" s="3" t="inlineStr">
        <is>
          <t>img_503941b4c8ebcc31</t>
        </is>
      </c>
      <c r="C27" s="4" t="inlineStr">
        <is>
          <t>https://cdn.shopify.com/s/files/1/0792/5098/1063/files/e114d845ac9ebaa4b654f69449b9ea75627de398b074c743e279f4bf99202bc8.jpg?v=1785132753</t>
        </is>
      </c>
      <c r="D27" s="4" t="inlineStr">
        <is>
          <t>https://cdn.shopify.com/s/files/1/0792/5098/1063/files/e114d845ac9ebaa4b654f69449b9ea75627de398b074c743e279f4bf99202bc8.jpg?v=1785132753</t>
        </is>
      </c>
      <c r="E27" s="3" t="inlineStr">
        <is>
          <t>47548724052167</t>
        </is>
      </c>
      <c r="F27" s="3" t="inlineStr">
        <is>
          <t>47548724052167</t>
        </is>
      </c>
      <c r="G27" s="3" t="inlineStr"/>
      <c r="H27" s="3" t="inlineStr">
        <is>
          <t>GALLERY</t>
        </is>
      </c>
      <c r="I27" s="3" t="inlineStr">
        <is>
          <t>DIRECT_IMAGE_DOWNLOAD_AND_SOURCE_ROW_REVIEW</t>
        </is>
      </c>
      <c r="J27" s="3" t="inlineStr">
        <is>
          <t>2026-09-07T18:40:50+07:00</t>
        </is>
      </c>
      <c r="K27" s="3" t="inlineStr">
        <is>
          <t>Direct QA opened downloaded image 124_05; source SHA 746B6BE71A1F3B04A0B7F64433766036F8C9F56FA0D021DC8DA06CD19289FC82. Submitted observation reviewed against gallery position.</t>
        </is>
      </c>
      <c r="L27" s="3" t="inlineStr">
        <is>
          <t>Additional mockup, care or size information for personalized semi truck textured metallic comforter.</t>
        </is>
      </c>
      <c r="M27" s="3" t="inlineStr">
        <is>
          <t>UNKNOWN</t>
        </is>
      </c>
      <c r="N27" s="3" t="inlineStr">
        <is>
          <t>SET</t>
        </is>
      </c>
      <c r="O27" s="3" t="inlineStr">
        <is>
          <t>Additional product mockup or care information for Personalized Textured Metallic Semi Truck Comforter</t>
        </is>
      </c>
      <c r="P27" s="3" t="inlineStr">
        <is>
          <t>FULL</t>
        </is>
      </c>
      <c r="Q27" s="3" t="inlineStr">
        <is>
          <t>FULL</t>
        </is>
      </c>
      <c r="R27" s="3" t="inlineStr">
        <is>
          <t>FULL</t>
        </is>
      </c>
      <c r="S27" s="3" t="inlineStr">
        <is>
          <t>FULL</t>
        </is>
      </c>
      <c r="T27" s="7">
        <f>IF(P27="FULL",40,IF(P27="PARTIAL",40/2,0))+IF(Q27="FULL",30,IF(Q27="PARTIAL",30/2,0))+IF(R27="FULL",20,IF(R27="PARTIAL",20/2,0))+IF(S27="FULL",10,IF(S27="PARTIAL",10/2,0))</f>
        <v/>
      </c>
      <c r="U27" s="7">
        <f>IF(P27="NOT_CHECKED",0,40)+IF(Q27="NOT_CHECKED",0,30)+IF(R27="NOT_CHECKED",0,20)+IF(S27="NOT_CHECKED",0,10)</f>
        <v/>
      </c>
      <c r="V27" s="7">
        <f>IF(U27=100,T27,"")</f>
        <v/>
      </c>
      <c r="W27" s="7">
        <f>T27</f>
        <v/>
      </c>
      <c r="X27" s="7">
        <f>T27+(100-U27)</f>
        <v/>
      </c>
      <c r="Y27" s="3" t="inlineStr"/>
      <c r="Z27" s="3" t="inlineStr">
        <is>
          <t>D:\Shopify_Workspace\jeminise_seo\seo_runs\jeminise.com\20260906_234129\qa\20260907_182000\images\124_05.jpg; 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row>
    <row r="28" ht="66" customHeight="1">
      <c r="A28" s="2" t="inlineStr">
        <is>
          <t>jeminise.com+custom-trucking-semi-truck-on-textured-metallic-background-comforter-5ee1903c53-5ee1903c53</t>
        </is>
      </c>
      <c r="B28" s="2" t="inlineStr">
        <is>
          <t>img_e5c3b1261fad9693</t>
        </is>
      </c>
      <c r="C28" s="4" t="inlineStr">
        <is>
          <t>https://cdn.shopify.com/s/files/1/0792/5098/1063/files/7c006bddc94d4763c71c8376307e195c1bbce73b8c802ec73ac5a8cef1291262_11022c84-f04f-4db0-bb76-03d6219792bd.jpg?v=1785132753</t>
        </is>
      </c>
      <c r="D28" s="4" t="inlineStr">
        <is>
          <t>https://cdn.shopify.com/s/files/1/0792/5098/1063/files/7c006bddc94d4763c71c8376307e195c1bbce73b8c802ec73ac5a8cef1291262_11022c84-f04f-4db0-bb76-03d6219792bd.jpg?v=1785132753</t>
        </is>
      </c>
      <c r="E28" s="2" t="inlineStr">
        <is>
          <t>47548724084935</t>
        </is>
      </c>
      <c r="F28" s="2" t="inlineStr">
        <is>
          <t>47548724084935</t>
        </is>
      </c>
      <c r="G28" s="2" t="inlineStr"/>
      <c r="H28" s="2" t="inlineStr">
        <is>
          <t>GALLERY</t>
        </is>
      </c>
      <c r="I28" s="2" t="inlineStr">
        <is>
          <t>DIRECT_IMAGE_DOWNLOAD_AND_SOURCE_ROW_REVIEW</t>
        </is>
      </c>
      <c r="J28" s="2" t="inlineStr">
        <is>
          <t>2026-09-07T18:40:50+07:00</t>
        </is>
      </c>
      <c r="K28" s="2" t="inlineStr">
        <is>
          <t>Direct QA opened downloaded image 124_06; source SHA C44DD8C415D82F46E3913622731FCF66776A9B3B86746179C808AE27D8DDE649. Submitted observation reviewed against gallery position.</t>
        </is>
      </c>
      <c r="L28" s="2" t="inlineStr">
        <is>
          <t>Easy-care, size guide or product feature image for personalized semi truck textured metallic comforter.</t>
        </is>
      </c>
      <c r="M28" s="2" t="inlineStr">
        <is>
          <t>UNKNOWN</t>
        </is>
      </c>
      <c r="N28" s="2" t="inlineStr">
        <is>
          <t>SET</t>
        </is>
      </c>
      <c r="O28" s="2" t="inlineStr">
        <is>
          <t>Care, size or product feature image for Personalized Textured Metallic Semi Truck Comforter</t>
        </is>
      </c>
      <c r="P28" s="2" t="inlineStr">
        <is>
          <t>FULL</t>
        </is>
      </c>
      <c r="Q28" s="2" t="inlineStr">
        <is>
          <t>PARTIAL</t>
        </is>
      </c>
      <c r="R28" s="2" t="inlineStr">
        <is>
          <t>FULL</t>
        </is>
      </c>
      <c r="S28" s="2" t="inlineStr">
        <is>
          <t>FULL</t>
        </is>
      </c>
      <c r="T28" s="5">
        <f>IF(P28="FULL",40,IF(P28="PARTIAL",40/2,0))+IF(Q28="FULL",30,IF(Q28="PARTIAL",30/2,0))+IF(R28="FULL",20,IF(R28="PARTIAL",20/2,0))+IF(S28="FULL",10,IF(S28="PARTIAL",10/2,0))</f>
        <v/>
      </c>
      <c r="U28" s="5">
        <f>IF(P28="NOT_CHECKED",0,40)+IF(Q28="NOT_CHECKED",0,30)+IF(R28="NOT_CHECKED",0,20)+IF(S28="NOT_CHECKED",0,10)</f>
        <v/>
      </c>
      <c r="V28" s="5">
        <f>IF(U28=100,T28,"")</f>
        <v/>
      </c>
      <c r="W28" s="5">
        <f>T28</f>
        <v/>
      </c>
      <c r="X28" s="5">
        <f>T28+(100-U28)</f>
        <v/>
      </c>
      <c r="Y28" s="2" t="inlineStr">
        <is>
          <t>ISSUE-0035</t>
        </is>
      </c>
      <c r="Z28" s="2" t="inlineStr">
        <is>
          <t>D:\Shopify_Workspace\jeminise_seo\seo_runs\jeminise.com\20260906_234129\qa\20260907_182000\images\124_06.jpg; 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row>
    <row r="29" ht="66" customHeight="1">
      <c r="A29" s="3" t="inlineStr">
        <is>
          <t>jeminise.com+custom-trucking-semi-truck-on-textured-metallic-background-comforter-5ee1903c53-5ee1903c53</t>
        </is>
      </c>
      <c r="B29" s="3" t="inlineStr">
        <is>
          <t>img_f496772091548b07</t>
        </is>
      </c>
      <c r="C29" s="4" t="inlineStr">
        <is>
          <t>https://cdn.shopify.com/s/files/1/0792/5098/1063/files/e5cad84edb4d7bf77c48fd7c8e52eb3b73f04eba8bf177671fd8a059c59422e8_922b3cca-440c-441c-b487-e8057643c614.jpg?v=1785132753</t>
        </is>
      </c>
      <c r="D29" s="4" t="inlineStr">
        <is>
          <t>https://cdn.shopify.com/s/files/1/0792/5098/1063/files/e5cad84edb4d7bf77c48fd7c8e52eb3b73f04eba8bf177671fd8a059c59422e8_922b3cca-440c-441c-b487-e8057643c614.jpg?v=1785132753</t>
        </is>
      </c>
      <c r="E29" s="3" t="inlineStr">
        <is>
          <t>47548724117703</t>
        </is>
      </c>
      <c r="F29" s="3" t="inlineStr">
        <is>
          <t>47548724117703</t>
        </is>
      </c>
      <c r="G29" s="3" t="inlineStr"/>
      <c r="H29" s="3" t="inlineStr">
        <is>
          <t>GALLERY</t>
        </is>
      </c>
      <c r="I29" s="3" t="inlineStr">
        <is>
          <t>DIRECT_IMAGE_DOWNLOAD_AND_SOURCE_ROW_REVIEW</t>
        </is>
      </c>
      <c r="J29" s="3" t="inlineStr">
        <is>
          <t>2026-09-07T18:40:50+07:00</t>
        </is>
      </c>
      <c r="K29" s="3" t="inlineStr">
        <is>
          <t>Direct QA opened downloaded image 124_07; source SHA CBACE79DF808456717E0EA3890B77255D63C670205730AD0356ABCD79BF0116C. Submitted observation reviewed against gallery position.</t>
        </is>
      </c>
      <c r="L29" s="3" t="inlineStr">
        <is>
          <t>Additional lifestyle, feature or product detail image showing personalized semi truck textured metallic comforter.</t>
        </is>
      </c>
      <c r="M29" s="3" t="inlineStr">
        <is>
          <t>UNKNOWN</t>
        </is>
      </c>
      <c r="N29" s="3" t="inlineStr">
        <is>
          <t>SET</t>
        </is>
      </c>
      <c r="O29" s="3" t="inlineStr">
        <is>
          <t>Additional product mockup of Personalized Textured Metallic Semi Truck Comforter</t>
        </is>
      </c>
      <c r="P29" s="3" t="inlineStr">
        <is>
          <t>FULL</t>
        </is>
      </c>
      <c r="Q29" s="3" t="inlineStr">
        <is>
          <t>PARTIAL</t>
        </is>
      </c>
      <c r="R29" s="3" t="inlineStr">
        <is>
          <t>FULL</t>
        </is>
      </c>
      <c r="S29" s="3" t="inlineStr">
        <is>
          <t>FULL</t>
        </is>
      </c>
      <c r="T29" s="7">
        <f>IF(P29="FULL",40,IF(P29="PARTIAL",40/2,0))+IF(Q29="FULL",30,IF(Q29="PARTIAL",30/2,0))+IF(R29="FULL",20,IF(R29="PARTIAL",20/2,0))+IF(S29="FULL",10,IF(S29="PARTIAL",10/2,0))</f>
        <v/>
      </c>
      <c r="U29" s="7">
        <f>IF(P29="NOT_CHECKED",0,40)+IF(Q29="NOT_CHECKED",0,30)+IF(R29="NOT_CHECKED",0,20)+IF(S29="NOT_CHECKED",0,10)</f>
        <v/>
      </c>
      <c r="V29" s="7">
        <f>IF(U29=100,T29,"")</f>
        <v/>
      </c>
      <c r="W29" s="7">
        <f>T29</f>
        <v/>
      </c>
      <c r="X29" s="7">
        <f>T29+(100-U29)</f>
        <v/>
      </c>
      <c r="Y29" s="3" t="inlineStr">
        <is>
          <t>ISSUE-0036</t>
        </is>
      </c>
      <c r="Z29" s="3" t="inlineStr">
        <is>
          <t>D:\Shopify_Workspace\jeminise_seo\seo_runs\jeminise.com\20260906_234129\qa\20260907_182000\images\124_07.jpg; 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row>
    <row r="30" ht="66" customHeight="1">
      <c r="A30" s="2" t="inlineStr">
        <is>
          <t>jeminise.com+custom-trucking-semi-truck-under-starry-night-sky-comforter-6bbe1b0cd5-6bbe1b0cd5</t>
        </is>
      </c>
      <c r="B30" s="2" t="inlineStr">
        <is>
          <t>img_f837b5ea186c7c8c</t>
        </is>
      </c>
      <c r="C30" s="4" t="inlineStr">
        <is>
          <t>https://cdn.shopify.com/s/files/1/0792/5098/1063/files/66486682f9ef934c1eee08c4d8d1b66c4f2c0764b327966d8b42831f194ce09c.jpg?v=1785132251</t>
        </is>
      </c>
      <c r="D30" s="4" t="inlineStr">
        <is>
          <t>https://cdn.shopify.com/s/files/1/0792/5098/1063/files/66486682f9ef934c1eee08c4d8d1b66c4f2c0764b327966d8b42831f194ce09c.jpg?v=1785132251</t>
        </is>
      </c>
      <c r="E30" s="2" t="inlineStr">
        <is>
          <t>47548644098247</t>
        </is>
      </c>
      <c r="F30" s="2" t="inlineStr">
        <is>
          <t>47548644098247</t>
        </is>
      </c>
      <c r="G30" s="2" t="inlineStr"/>
      <c r="H30" s="2" t="inlineStr">
        <is>
          <t>GALLERY</t>
        </is>
      </c>
      <c r="I30" s="2" t="inlineStr">
        <is>
          <t>DIRECT_IMAGE_DOWNLOAD_AND_SOURCE_ROW_REVIEW</t>
        </is>
      </c>
      <c r="J30" s="2" t="inlineStr">
        <is>
          <t>2026-09-07T18:40:50+07:00</t>
        </is>
      </c>
      <c r="K30" s="2" t="inlineStr">
        <is>
          <t>Direct QA opened downloaded image 125_01; source SHA 19233B8B1189583EE9C79FC08D2EA8B342896DB15979FB49E1FBA6CDD88B5108. Submitted observation reviewed against gallery position.</t>
        </is>
      </c>
      <c r="L30" s="2" t="inlineStr">
        <is>
          <t>Main product mockup showing personalized starry night semi truck heart comforter.</t>
        </is>
      </c>
      <c r="M30" s="2" t="inlineStr">
        <is>
          <t>UNKNOWN</t>
        </is>
      </c>
      <c r="N30" s="2" t="inlineStr">
        <is>
          <t>SET</t>
        </is>
      </c>
      <c r="O30" s="2" t="inlineStr">
        <is>
          <t>Personalized Starry Night Semi Truck Comforter displayed in a main product mockup</t>
        </is>
      </c>
      <c r="P30" s="2" t="inlineStr">
        <is>
          <t>FULL</t>
        </is>
      </c>
      <c r="Q30" s="2" t="inlineStr">
        <is>
          <t>FULL</t>
        </is>
      </c>
      <c r="R30" s="2" t="inlineStr">
        <is>
          <t>PARTIAL</t>
        </is>
      </c>
      <c r="S30" s="2" t="inlineStr">
        <is>
          <t>FULL</t>
        </is>
      </c>
      <c r="T30" s="5">
        <f>IF(P30="FULL",40,IF(P30="PARTIAL",40/2,0))+IF(Q30="FULL",30,IF(Q30="PARTIAL",30/2,0))+IF(R30="FULL",20,IF(R30="PARTIAL",20/2,0))+IF(S30="FULL",10,IF(S30="PARTIAL",10/2,0))</f>
        <v/>
      </c>
      <c r="U30" s="5">
        <f>IF(P30="NOT_CHECKED",0,40)+IF(Q30="NOT_CHECKED",0,30)+IF(R30="NOT_CHECKED",0,20)+IF(S30="NOT_CHECKED",0,10)</f>
        <v/>
      </c>
      <c r="V30" s="5">
        <f>IF(U30=100,T30,"")</f>
        <v/>
      </c>
      <c r="W30" s="5">
        <f>T30</f>
        <v/>
      </c>
      <c r="X30" s="5">
        <f>T30+(100-U30)</f>
        <v/>
      </c>
      <c r="Y30" s="2" t="inlineStr">
        <is>
          <t>ISSUE-0041</t>
        </is>
      </c>
      <c r="Z30" s="2" t="inlineStr">
        <is>
          <t>D:\Shopify_Workspace\jeminise_seo\seo_runs\jeminise.com\20260906_234129\qa\20260907_182000\images\125_01.jpg; 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row>
    <row r="31" ht="66" customHeight="1">
      <c r="A31" s="3" t="inlineStr">
        <is>
          <t>jeminise.com+custom-trucking-semi-truck-under-starry-night-sky-comforter-6bbe1b0cd5-6bbe1b0cd5</t>
        </is>
      </c>
      <c r="B31" s="3" t="inlineStr">
        <is>
          <t>img_1b280064145c7613</t>
        </is>
      </c>
      <c r="C31" s="4" t="inlineStr">
        <is>
          <t>https://cdn.shopify.com/s/files/1/0792/5098/1063/files/c278ece189736351d50cbf66747592905b57e00b5c3663b3a9eb95a085b8aaeb.jpg?v=1785132251</t>
        </is>
      </c>
      <c r="D31" s="4" t="inlineStr">
        <is>
          <t>https://cdn.shopify.com/s/files/1/0792/5098/1063/files/c278ece189736351d50cbf66747592905b57e00b5c3663b3a9eb95a085b8aaeb.jpg?v=1785132251</t>
        </is>
      </c>
      <c r="E31" s="3" t="inlineStr">
        <is>
          <t>47548644131015</t>
        </is>
      </c>
      <c r="F31" s="3" t="inlineStr">
        <is>
          <t>47548644131015</t>
        </is>
      </c>
      <c r="G31" s="3" t="inlineStr"/>
      <c r="H31" s="3" t="inlineStr">
        <is>
          <t>GALLERY</t>
        </is>
      </c>
      <c r="I31" s="3" t="inlineStr">
        <is>
          <t>DIRECT_IMAGE_DOWNLOAD_AND_SOURCE_ROW_REVIEW</t>
        </is>
      </c>
      <c r="J31" s="3" t="inlineStr">
        <is>
          <t>2026-09-07T18:40:50+07:00</t>
        </is>
      </c>
      <c r="K31" s="3" t="inlineStr">
        <is>
          <t>Direct QA opened downloaded image 125_02; source SHA D8A028A3814BB176D1C2C859937FCB766F36FAA270B6391985C75D751AB3B00E. Submitted observation reviewed against gallery position.</t>
        </is>
      </c>
      <c r="L31" s="3" t="inlineStr">
        <is>
          <t>Secondary flat, close-up or bedroom mockup showing personalized starry night semi truck heart comforter.</t>
        </is>
      </c>
      <c r="M31" s="3" t="inlineStr">
        <is>
          <t>UNKNOWN</t>
        </is>
      </c>
      <c r="N31" s="3" t="inlineStr">
        <is>
          <t>SET</t>
        </is>
      </c>
      <c r="O31" s="3" t="inlineStr">
        <is>
          <t>Secondary mockup of Personalized Starry Night Semi Truck Comforter</t>
        </is>
      </c>
      <c r="P31" s="3" t="inlineStr">
        <is>
          <t>FULL</t>
        </is>
      </c>
      <c r="Q31" s="3" t="inlineStr">
        <is>
          <t>FULL</t>
        </is>
      </c>
      <c r="R31" s="3" t="inlineStr">
        <is>
          <t>FULL</t>
        </is>
      </c>
      <c r="S31" s="3" t="inlineStr">
        <is>
          <t>FULL</t>
        </is>
      </c>
      <c r="T31" s="7">
        <f>IF(P31="FULL",40,IF(P31="PARTIAL",40/2,0))+IF(Q31="FULL",30,IF(Q31="PARTIAL",30/2,0))+IF(R31="FULL",20,IF(R31="PARTIAL",20/2,0))+IF(S31="FULL",10,IF(S31="PARTIAL",10/2,0))</f>
        <v/>
      </c>
      <c r="U31" s="7">
        <f>IF(P31="NOT_CHECKED",0,40)+IF(Q31="NOT_CHECKED",0,30)+IF(R31="NOT_CHECKED",0,20)+IF(S31="NOT_CHECKED",0,10)</f>
        <v/>
      </c>
      <c r="V31" s="7">
        <f>IF(U31=100,T31,"")</f>
        <v/>
      </c>
      <c r="W31" s="7">
        <f>T31</f>
        <v/>
      </c>
      <c r="X31" s="7">
        <f>T31+(100-U31)</f>
        <v/>
      </c>
      <c r="Y31" s="3" t="inlineStr"/>
      <c r="Z31" s="3" t="inlineStr">
        <is>
          <t>D:\Shopify_Workspace\jeminise_seo\seo_runs\jeminise.com\20260906_234129\qa\20260907_182000\images\125_02.jpg; 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row>
    <row r="32" ht="66" customHeight="1">
      <c r="A32" s="2" t="inlineStr">
        <is>
          <t>jeminise.com+custom-trucking-semi-truck-under-starry-night-sky-comforter-6bbe1b0cd5-6bbe1b0cd5</t>
        </is>
      </c>
      <c r="B32" s="2" t="inlineStr">
        <is>
          <t>img_d538f1d0f0260df4</t>
        </is>
      </c>
      <c r="C32" s="4" t="inlineStr">
        <is>
          <t>https://cdn.shopify.com/s/files/1/0792/5098/1063/files/16f7293cbefa5743a35b2e6316a5a114e5c052d08151e367dafd26aa5e2e542b_711afbd8-1c78-4abc-b9dc-844544a630d3.jpg?v=1785132252</t>
        </is>
      </c>
      <c r="D32" s="4" t="inlineStr">
        <is>
          <t>https://cdn.shopify.com/s/files/1/0792/5098/1063/files/16f7293cbefa5743a35b2e6316a5a114e5c052d08151e367dafd26aa5e2e542b_711afbd8-1c78-4abc-b9dc-844544a630d3.jpg?v=1785132252</t>
        </is>
      </c>
      <c r="E32" s="2" t="inlineStr">
        <is>
          <t>47548644163783</t>
        </is>
      </c>
      <c r="F32" s="2" t="inlineStr">
        <is>
          <t>47548644163783</t>
        </is>
      </c>
      <c r="G32" s="2" t="inlineStr"/>
      <c r="H32" s="2" t="inlineStr">
        <is>
          <t>GALLERY</t>
        </is>
      </c>
      <c r="I32" s="2" t="inlineStr">
        <is>
          <t>DIRECT_IMAGE_DOWNLOAD_AND_SOURCE_ROW_REVIEW</t>
        </is>
      </c>
      <c r="J32" s="2" t="inlineStr">
        <is>
          <t>2026-09-07T18:40:50+07:00</t>
        </is>
      </c>
      <c r="K32" s="2" t="inlineStr">
        <is>
          <t>Direct QA opened downloaded image 125_03; source SHA D1D7BB2E7BBC330A530F2D07CC17846B4F9F5EF39CD3A33528B7908CF2BF0286. Submitted observation reviewed against gallery position.</t>
        </is>
      </c>
      <c r="L32" s="2" t="inlineStr">
        <is>
          <t>Bedding type, feature, lifestyle or material image for personalized starry night semi truck heart comforter.</t>
        </is>
      </c>
      <c r="M32" s="2" t="inlineStr">
        <is>
          <t>UNKNOWN</t>
        </is>
      </c>
      <c r="N32" s="2" t="inlineStr">
        <is>
          <t>SET</t>
        </is>
      </c>
      <c r="O32" s="2" t="inlineStr">
        <is>
          <t>Product option, feature or lifestyle image for Personalized Starry Night Semi Truck Comforter</t>
        </is>
      </c>
      <c r="P32" s="2" t="inlineStr">
        <is>
          <t>FULL</t>
        </is>
      </c>
      <c r="Q32" s="2" t="inlineStr">
        <is>
          <t>PARTIAL</t>
        </is>
      </c>
      <c r="R32" s="2" t="inlineStr">
        <is>
          <t>FULL</t>
        </is>
      </c>
      <c r="S32" s="2" t="inlineStr">
        <is>
          <t>FULL</t>
        </is>
      </c>
      <c r="T32" s="5">
        <f>IF(P32="FULL",40,IF(P32="PARTIAL",40/2,0))+IF(Q32="FULL",30,IF(Q32="PARTIAL",30/2,0))+IF(R32="FULL",20,IF(R32="PARTIAL",20/2,0))+IF(S32="FULL",10,IF(S32="PARTIAL",10/2,0))</f>
        <v/>
      </c>
      <c r="U32" s="5">
        <f>IF(P32="NOT_CHECKED",0,40)+IF(Q32="NOT_CHECKED",0,30)+IF(R32="NOT_CHECKED",0,20)+IF(S32="NOT_CHECKED",0,10)</f>
        <v/>
      </c>
      <c r="V32" s="5">
        <f>IF(U32=100,T32,"")</f>
        <v/>
      </c>
      <c r="W32" s="5">
        <f>T32</f>
        <v/>
      </c>
      <c r="X32" s="5">
        <f>T32+(100-U32)</f>
        <v/>
      </c>
      <c r="Y32" s="2" t="inlineStr">
        <is>
          <t>ISSUE-0042</t>
        </is>
      </c>
      <c r="Z32" s="2" t="inlineStr">
        <is>
          <t>D:\Shopify_Workspace\jeminise_seo\seo_runs\jeminise.com\20260906_234129\qa\20260907_182000\images\125_03.jpg; 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row>
    <row r="33" ht="66" customHeight="1">
      <c r="A33" s="3" t="inlineStr">
        <is>
          <t>jeminise.com+custom-trucking-semi-truck-under-starry-night-sky-comforter-6bbe1b0cd5-6bbe1b0cd5</t>
        </is>
      </c>
      <c r="B33" s="3" t="inlineStr">
        <is>
          <t>img_83c61b7fee28701e</t>
        </is>
      </c>
      <c r="C33" s="4" t="inlineStr">
        <is>
          <t>https://cdn.shopify.com/s/files/1/0792/5098/1063/files/35a06f8610a3c89e13a39e269c58d7a5c19e53ee3bc7e0d28447be78e2f81527.jpg?v=1785132251</t>
        </is>
      </c>
      <c r="D33" s="4" t="inlineStr">
        <is>
          <t>https://cdn.shopify.com/s/files/1/0792/5098/1063/files/35a06f8610a3c89e13a39e269c58d7a5c19e53ee3bc7e0d28447be78e2f81527.jpg?v=1785132251</t>
        </is>
      </c>
      <c r="E33" s="3" t="inlineStr">
        <is>
          <t>47548644196551</t>
        </is>
      </c>
      <c r="F33" s="3" t="inlineStr">
        <is>
          <t>47548644196551</t>
        </is>
      </c>
      <c r="G33" s="3" t="inlineStr"/>
      <c r="H33" s="3" t="inlineStr">
        <is>
          <t>GALLERY</t>
        </is>
      </c>
      <c r="I33" s="3" t="inlineStr">
        <is>
          <t>DIRECT_IMAGE_DOWNLOAD_AND_SOURCE_ROW_REVIEW</t>
        </is>
      </c>
      <c r="J33" s="3" t="inlineStr">
        <is>
          <t>2026-09-07T18:40:50+07:00</t>
        </is>
      </c>
      <c r="K33" s="3" t="inlineStr">
        <is>
          <t>Direct QA opened downloaded image 125_04; source SHA 167CAC2732FA43791C2E79346AEFA0BEE877AEB8192BC4F36F7007322F40B0BB. Submitted observation reviewed against gallery position.</t>
        </is>
      </c>
      <c r="L33" s="3" t="inlineStr">
        <is>
          <t>Detail, feature panel or lifestyle image connected to personalized starry night semi truck heart comforter.</t>
        </is>
      </c>
      <c r="M33" s="3" t="inlineStr">
        <is>
          <t>UNKNOWN</t>
        </is>
      </c>
      <c r="N33" s="3" t="inlineStr">
        <is>
          <t>SET</t>
        </is>
      </c>
      <c r="O33" s="3" t="inlineStr">
        <is>
          <t>Detail or feature image for Personalized Starry Night Semi Truck Comforter</t>
        </is>
      </c>
      <c r="P33" s="3" t="inlineStr">
        <is>
          <t>FULL</t>
        </is>
      </c>
      <c r="Q33" s="3" t="inlineStr">
        <is>
          <t>PARTIAL</t>
        </is>
      </c>
      <c r="R33" s="3" t="inlineStr">
        <is>
          <t>FULL</t>
        </is>
      </c>
      <c r="S33" s="3" t="inlineStr">
        <is>
          <t>FULL</t>
        </is>
      </c>
      <c r="T33" s="7">
        <f>IF(P33="FULL",40,IF(P33="PARTIAL",40/2,0))+IF(Q33="FULL",30,IF(Q33="PARTIAL",30/2,0))+IF(R33="FULL",20,IF(R33="PARTIAL",20/2,0))+IF(S33="FULL",10,IF(S33="PARTIAL",10/2,0))</f>
        <v/>
      </c>
      <c r="U33" s="7">
        <f>IF(P33="NOT_CHECKED",0,40)+IF(Q33="NOT_CHECKED",0,30)+IF(R33="NOT_CHECKED",0,20)+IF(S33="NOT_CHECKED",0,10)</f>
        <v/>
      </c>
      <c r="V33" s="7">
        <f>IF(U33=100,T33,"")</f>
        <v/>
      </c>
      <c r="W33" s="7">
        <f>T33</f>
        <v/>
      </c>
      <c r="X33" s="7">
        <f>T33+(100-U33)</f>
        <v/>
      </c>
      <c r="Y33" s="3" t="inlineStr">
        <is>
          <t>ISSUE-0043</t>
        </is>
      </c>
      <c r="Z33" s="3" t="inlineStr">
        <is>
          <t>D:\Shopify_Workspace\jeminise_seo\seo_runs\jeminise.com\20260906_234129\qa\20260907_182000\images\125_04.jpg; 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row>
    <row r="34" ht="66" customHeight="1">
      <c r="A34" s="2" t="inlineStr">
        <is>
          <t>jeminise.com+custom-trucking-semi-truck-under-starry-night-sky-comforter-6bbe1b0cd5-6bbe1b0cd5</t>
        </is>
      </c>
      <c r="B34" s="2" t="inlineStr">
        <is>
          <t>img_4afaf1aaed4de6e7</t>
        </is>
      </c>
      <c r="C34" s="4" t="inlineStr">
        <is>
          <t>https://cdn.shopify.com/s/files/1/0792/5098/1063/files/84d1a4dac8e15358c95d2049b2828465cd42893be60d78a0c6bf9b7d07c2d3af.jpg?v=1785132251</t>
        </is>
      </c>
      <c r="D34" s="4" t="inlineStr">
        <is>
          <t>https://cdn.shopify.com/s/files/1/0792/5098/1063/files/84d1a4dac8e15358c95d2049b2828465cd42893be60d78a0c6bf9b7d07c2d3af.jpg?v=1785132251</t>
        </is>
      </c>
      <c r="E34" s="2" t="inlineStr">
        <is>
          <t>47548644229319</t>
        </is>
      </c>
      <c r="F34" s="2" t="inlineStr">
        <is>
          <t>47548644229319</t>
        </is>
      </c>
      <c r="G34" s="2" t="inlineStr"/>
      <c r="H34" s="2" t="inlineStr">
        <is>
          <t>GALLERY</t>
        </is>
      </c>
      <c r="I34" s="2" t="inlineStr">
        <is>
          <t>DIRECT_IMAGE_DOWNLOAD_AND_SOURCE_ROW_REVIEW</t>
        </is>
      </c>
      <c r="J34" s="2" t="inlineStr">
        <is>
          <t>2026-09-07T18:40:50+07:00</t>
        </is>
      </c>
      <c r="K34" s="2" t="inlineStr">
        <is>
          <t>Direct QA opened downloaded image 125_05; source SHA DECA56632200BF5C9DEB7A636EE43A30FDAF3877DBF2E0EA2EEC7E5DD8CE0CA8. Submitted observation reviewed against gallery position.</t>
        </is>
      </c>
      <c r="L34" s="2" t="inlineStr">
        <is>
          <t>Additional mockup, care or size information for personalized starry night semi truck heart comforter.</t>
        </is>
      </c>
      <c r="M34" s="2" t="inlineStr">
        <is>
          <t>UNKNOWN</t>
        </is>
      </c>
      <c r="N34" s="2" t="inlineStr">
        <is>
          <t>SET</t>
        </is>
      </c>
      <c r="O34" s="2" t="inlineStr">
        <is>
          <t>Additional product mockup or care information for Personalized Starry Night Semi Truck Comforter</t>
        </is>
      </c>
      <c r="P34" s="2" t="inlineStr">
        <is>
          <t>FULL</t>
        </is>
      </c>
      <c r="Q34" s="2" t="inlineStr">
        <is>
          <t>FULL</t>
        </is>
      </c>
      <c r="R34" s="2" t="inlineStr">
        <is>
          <t>FULL</t>
        </is>
      </c>
      <c r="S34" s="2" t="inlineStr">
        <is>
          <t>FULL</t>
        </is>
      </c>
      <c r="T34" s="5">
        <f>IF(P34="FULL",40,IF(P34="PARTIAL",40/2,0))+IF(Q34="FULL",30,IF(Q34="PARTIAL",30/2,0))+IF(R34="FULL",20,IF(R34="PARTIAL",20/2,0))+IF(S34="FULL",10,IF(S34="PARTIAL",10/2,0))</f>
        <v/>
      </c>
      <c r="U34" s="5">
        <f>IF(P34="NOT_CHECKED",0,40)+IF(Q34="NOT_CHECKED",0,30)+IF(R34="NOT_CHECKED",0,20)+IF(S34="NOT_CHECKED",0,10)</f>
        <v/>
      </c>
      <c r="V34" s="5">
        <f>IF(U34=100,T34,"")</f>
        <v/>
      </c>
      <c r="W34" s="5">
        <f>T34</f>
        <v/>
      </c>
      <c r="X34" s="5">
        <f>T34+(100-U34)</f>
        <v/>
      </c>
      <c r="Y34" s="2" t="inlineStr"/>
      <c r="Z34" s="2" t="inlineStr">
        <is>
          <t>D:\Shopify_Workspace\jeminise_seo\seo_runs\jeminise.com\20260906_234129\qa\20260907_182000\images\125_05.jpg; 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row>
    <row r="35" ht="66" customHeight="1">
      <c r="A35" s="3" t="inlineStr">
        <is>
          <t>jeminise.com+custom-trucking-semi-truck-under-starry-night-sky-comforter-6bbe1b0cd5-6bbe1b0cd5</t>
        </is>
      </c>
      <c r="B35" s="3" t="inlineStr">
        <is>
          <t>img_6a178118aa27d317</t>
        </is>
      </c>
      <c r="C35" s="4" t="inlineStr">
        <is>
          <t>https://cdn.shopify.com/s/files/1/0792/5098/1063/files/7c006bddc94d4763c71c8376307e195c1bbce73b8c802ec73ac5a8cef1291262_081a2c1f-f875-461a-aaef-dd038b65649d.jpg?v=1785132251</t>
        </is>
      </c>
      <c r="D35" s="4" t="inlineStr">
        <is>
          <t>https://cdn.shopify.com/s/files/1/0792/5098/1063/files/7c006bddc94d4763c71c8376307e195c1bbce73b8c802ec73ac5a8cef1291262_081a2c1f-f875-461a-aaef-dd038b65649d.jpg?v=1785132251</t>
        </is>
      </c>
      <c r="E35" s="3" t="inlineStr">
        <is>
          <t>47548644262087</t>
        </is>
      </c>
      <c r="F35" s="3" t="inlineStr">
        <is>
          <t>47548644262087</t>
        </is>
      </c>
      <c r="G35" s="3" t="inlineStr"/>
      <c r="H35" s="3" t="inlineStr">
        <is>
          <t>GALLERY</t>
        </is>
      </c>
      <c r="I35" s="3" t="inlineStr">
        <is>
          <t>DIRECT_IMAGE_DOWNLOAD_AND_SOURCE_ROW_REVIEW</t>
        </is>
      </c>
      <c r="J35" s="3" t="inlineStr">
        <is>
          <t>2026-09-07T18:40:50+07:00</t>
        </is>
      </c>
      <c r="K35" s="3" t="inlineStr">
        <is>
          <t>Direct QA opened downloaded image 125_06; source SHA C44DD8C415D82F46E3913622731FCF66776A9B3B86746179C808AE27D8DDE649. Submitted observation reviewed against gallery position.</t>
        </is>
      </c>
      <c r="L35" s="3" t="inlineStr">
        <is>
          <t>Easy-care, size guide or product feature image for personalized starry night semi truck heart comforter.</t>
        </is>
      </c>
      <c r="M35" s="3" t="inlineStr">
        <is>
          <t>UNKNOWN</t>
        </is>
      </c>
      <c r="N35" s="3" t="inlineStr">
        <is>
          <t>SET</t>
        </is>
      </c>
      <c r="O35" s="3" t="inlineStr">
        <is>
          <t>Care, size or product feature image for Personalized Starry Night Semi Truck Comforter</t>
        </is>
      </c>
      <c r="P35" s="3" t="inlineStr">
        <is>
          <t>FULL</t>
        </is>
      </c>
      <c r="Q35" s="3" t="inlineStr">
        <is>
          <t>PARTIAL</t>
        </is>
      </c>
      <c r="R35" s="3" t="inlineStr">
        <is>
          <t>FULL</t>
        </is>
      </c>
      <c r="S35" s="3" t="inlineStr">
        <is>
          <t>FULL</t>
        </is>
      </c>
      <c r="T35" s="7">
        <f>IF(P35="FULL",40,IF(P35="PARTIAL",40/2,0))+IF(Q35="FULL",30,IF(Q35="PARTIAL",30/2,0))+IF(R35="FULL",20,IF(R35="PARTIAL",20/2,0))+IF(S35="FULL",10,IF(S35="PARTIAL",10/2,0))</f>
        <v/>
      </c>
      <c r="U35" s="7">
        <f>IF(P35="NOT_CHECKED",0,40)+IF(Q35="NOT_CHECKED",0,30)+IF(R35="NOT_CHECKED",0,20)+IF(S35="NOT_CHECKED",0,10)</f>
        <v/>
      </c>
      <c r="V35" s="7">
        <f>IF(U35=100,T35,"")</f>
        <v/>
      </c>
      <c r="W35" s="7">
        <f>T35</f>
        <v/>
      </c>
      <c r="X35" s="7">
        <f>T35+(100-U35)</f>
        <v/>
      </c>
      <c r="Y35" s="3" t="inlineStr">
        <is>
          <t>ISSUE-0044</t>
        </is>
      </c>
      <c r="Z35" s="3" t="inlineStr">
        <is>
          <t>D:\Shopify_Workspace\jeminise_seo\seo_runs\jeminise.com\20260906_234129\qa\20260907_182000\images\125_06.jpg; 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row>
    <row r="36" ht="66" customHeight="1">
      <c r="A36" s="2" t="inlineStr">
        <is>
          <t>jeminise.com+custom-trucking-semi-truck-under-starry-night-sky-comforter-6bbe1b0cd5-6bbe1b0cd5</t>
        </is>
      </c>
      <c r="B36" s="2" t="inlineStr">
        <is>
          <t>img_3483af1b170ec709</t>
        </is>
      </c>
      <c r="C36" s="4" t="inlineStr">
        <is>
          <t>https://cdn.shopify.com/s/files/1/0792/5098/1063/files/e5cad84edb4d7bf77c48fd7c8e52eb3b73f04eba8bf177671fd8a059c59422e8_eb794822-9d5b-4dc8-801a-bf0cf9740fc2.jpg?v=1785132251</t>
        </is>
      </c>
      <c r="D36" s="4" t="inlineStr">
        <is>
          <t>https://cdn.shopify.com/s/files/1/0792/5098/1063/files/e5cad84edb4d7bf77c48fd7c8e52eb3b73f04eba8bf177671fd8a059c59422e8_eb794822-9d5b-4dc8-801a-bf0cf9740fc2.jpg?v=1785132251</t>
        </is>
      </c>
      <c r="E36" s="2" t="inlineStr">
        <is>
          <t>47548644294855</t>
        </is>
      </c>
      <c r="F36" s="2" t="inlineStr">
        <is>
          <t>47548644294855</t>
        </is>
      </c>
      <c r="G36" s="2" t="inlineStr"/>
      <c r="H36" s="2" t="inlineStr">
        <is>
          <t>GALLERY</t>
        </is>
      </c>
      <c r="I36" s="2" t="inlineStr">
        <is>
          <t>DIRECT_IMAGE_DOWNLOAD_AND_SOURCE_ROW_REVIEW</t>
        </is>
      </c>
      <c r="J36" s="2" t="inlineStr">
        <is>
          <t>2026-09-07T18:40:50+07:00</t>
        </is>
      </c>
      <c r="K36" s="2" t="inlineStr">
        <is>
          <t>Direct QA opened downloaded image 125_07; source SHA CBACE79DF808456717E0EA3890B77255D63C670205730AD0356ABCD79BF0116C. Submitted observation reviewed against gallery position.</t>
        </is>
      </c>
      <c r="L36" s="2" t="inlineStr">
        <is>
          <t>Additional lifestyle, feature or product detail image showing personalized starry night semi truck heart comforter.</t>
        </is>
      </c>
      <c r="M36" s="2" t="inlineStr">
        <is>
          <t>UNKNOWN</t>
        </is>
      </c>
      <c r="N36" s="2" t="inlineStr">
        <is>
          <t>SET</t>
        </is>
      </c>
      <c r="O36" s="2" t="inlineStr">
        <is>
          <t>Additional product mockup of Personalized Starry Night Semi Truck Comforter</t>
        </is>
      </c>
      <c r="P36" s="2" t="inlineStr">
        <is>
          <t>FULL</t>
        </is>
      </c>
      <c r="Q36" s="2" t="inlineStr">
        <is>
          <t>PARTIAL</t>
        </is>
      </c>
      <c r="R36" s="2" t="inlineStr">
        <is>
          <t>FULL</t>
        </is>
      </c>
      <c r="S36" s="2" t="inlineStr">
        <is>
          <t>FULL</t>
        </is>
      </c>
      <c r="T36" s="5">
        <f>IF(P36="FULL",40,IF(P36="PARTIAL",40/2,0))+IF(Q36="FULL",30,IF(Q36="PARTIAL",30/2,0))+IF(R36="FULL",20,IF(R36="PARTIAL",20/2,0))+IF(S36="FULL",10,IF(S36="PARTIAL",10/2,0))</f>
        <v/>
      </c>
      <c r="U36" s="5">
        <f>IF(P36="NOT_CHECKED",0,40)+IF(Q36="NOT_CHECKED",0,30)+IF(R36="NOT_CHECKED",0,20)+IF(S36="NOT_CHECKED",0,10)</f>
        <v/>
      </c>
      <c r="V36" s="5">
        <f>IF(U36=100,T36,"")</f>
        <v/>
      </c>
      <c r="W36" s="5">
        <f>T36</f>
        <v/>
      </c>
      <c r="X36" s="5">
        <f>T36+(100-U36)</f>
        <v/>
      </c>
      <c r="Y36" s="2" t="inlineStr">
        <is>
          <t>ISSUE-0045</t>
        </is>
      </c>
      <c r="Z36" s="2" t="inlineStr">
        <is>
          <t>D:\Shopify_Workspace\jeminise_seo\seo_runs\jeminise.com\20260906_234129\qa\20260907_182000\images\125_07.jpg; 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row>
    <row r="37" ht="66" customHeight="1">
      <c r="A37" s="3" t="inlineStr">
        <is>
          <t>jeminise.com+cardinal-christmas-quilt-set-7237701d00-7237701d00</t>
        </is>
      </c>
      <c r="B37" s="3" t="inlineStr">
        <is>
          <t>img_3e05b3c347fe7638</t>
        </is>
      </c>
      <c r="C37" s="4" t="inlineStr">
        <is>
          <t>https://cdn.shopify.com/s/files/1/0792/5098/1063/files/118574be8aa324483555a5c07a7e0f89b235f456f217c4e560b5d20b9b8caca2.jpg?v=1785099027</t>
        </is>
      </c>
      <c r="D37" s="4" t="inlineStr">
        <is>
          <t>https://cdn.shopify.com/s/files/1/0792/5098/1063/files/118574be8aa324483555a5c07a7e0f89b235f456f217c4e560b5d20b9b8caca2.jpg?v=1785099027</t>
        </is>
      </c>
      <c r="E37" s="3" t="inlineStr">
        <is>
          <t>47539995869383</t>
        </is>
      </c>
      <c r="F37" s="3" t="inlineStr">
        <is>
          <t>47539995869383</t>
        </is>
      </c>
      <c r="G37" s="3" t="inlineStr"/>
      <c r="H37" s="3" t="inlineStr">
        <is>
          <t>GALLERY</t>
        </is>
      </c>
      <c r="I37" s="3" t="inlineStr">
        <is>
          <t>DIRECT_IMAGE_DOWNLOAD_AND_SOURCE_ROW_REVIEW</t>
        </is>
      </c>
      <c r="J37" s="3" t="inlineStr">
        <is>
          <t>2026-09-07T18:40:50+07:00</t>
        </is>
      </c>
      <c r="K37" s="3" t="inlineStr">
        <is>
          <t>Direct QA opened downloaded image 126_01; source SHA 7FFA1F26C16D8272C998F1A2A07CB7D8414CF8DB69DB510217C7A0BC3494D05C. Submitted observation reviewed against gallery position.</t>
        </is>
      </c>
      <c r="L37" s="3" t="inlineStr">
        <is>
          <t>Main product mockup showing two cardinals on holly branches Christmas quilt.</t>
        </is>
      </c>
      <c r="M37" s="3" t="inlineStr">
        <is>
          <t>UNKNOWN</t>
        </is>
      </c>
      <c r="N37" s="3" t="inlineStr">
        <is>
          <t>SET</t>
        </is>
      </c>
      <c r="O37" s="3" t="inlineStr">
        <is>
          <t>Two Cardinals on Holly Branches Quilt displayed in a main product mockup</t>
        </is>
      </c>
      <c r="P37" s="3" t="inlineStr">
        <is>
          <t>FULL</t>
        </is>
      </c>
      <c r="Q37" s="3" t="inlineStr">
        <is>
          <t>FULL</t>
        </is>
      </c>
      <c r="R37" s="3" t="inlineStr">
        <is>
          <t>PARTIAL</t>
        </is>
      </c>
      <c r="S37" s="3" t="inlineStr">
        <is>
          <t>FULL</t>
        </is>
      </c>
      <c r="T37" s="7">
        <f>IF(P37="FULL",40,IF(P37="PARTIAL",40/2,0))+IF(Q37="FULL",30,IF(Q37="PARTIAL",30/2,0))+IF(R37="FULL",20,IF(R37="PARTIAL",20/2,0))+IF(S37="FULL",10,IF(S37="PARTIAL",10/2,0))</f>
        <v/>
      </c>
      <c r="U37" s="7">
        <f>IF(P37="NOT_CHECKED",0,40)+IF(Q37="NOT_CHECKED",0,30)+IF(R37="NOT_CHECKED",0,20)+IF(S37="NOT_CHECKED",0,10)</f>
        <v/>
      </c>
      <c r="V37" s="7">
        <f>IF(U37=100,T37,"")</f>
        <v/>
      </c>
      <c r="W37" s="7">
        <f>T37</f>
        <v/>
      </c>
      <c r="X37" s="7">
        <f>T37+(100-U37)</f>
        <v/>
      </c>
      <c r="Y37" s="3" t="inlineStr">
        <is>
          <t>ISSUE-0049</t>
        </is>
      </c>
      <c r="Z37" s="3" t="inlineStr">
        <is>
          <t>D:\Shopify_Workspace\jeminise_seo\seo_runs\jeminise.com\20260906_234129\qa\20260907_182000\images\126_01.jpg; seo_runs\jeminise.com\20260906_234129\evidence\images\126_cardinal-christmas-quilt-set-7237701d00-7237701d00\image_01_47539995869383.jpg; seo_runs\jeminise.com\20260906_234129\evidence\contact_sheets\126_cardinal-christmas-quilt-set-7237701d00-7237701d00.jpg</t>
        </is>
      </c>
    </row>
    <row r="38" ht="66" customHeight="1">
      <c r="A38" s="2" t="inlineStr">
        <is>
          <t>jeminise.com+cardinal-christmas-quilt-set-7237701d00-7237701d00</t>
        </is>
      </c>
      <c r="B38" s="2" t="inlineStr">
        <is>
          <t>img_4e3796ae890ea301</t>
        </is>
      </c>
      <c r="C38" s="4" t="inlineStr">
        <is>
          <t>https://cdn.shopify.com/s/files/1/0792/5098/1063/files/558f636f9835c8da11707934b23be9fb29f46bd1b2dd4e245008c77d5dc5b615.jpg?v=1785099027</t>
        </is>
      </c>
      <c r="D38" s="4" t="inlineStr">
        <is>
          <t>https://cdn.shopify.com/s/files/1/0792/5098/1063/files/558f636f9835c8da11707934b23be9fb29f46bd1b2dd4e245008c77d5dc5b615.jpg?v=1785099027</t>
        </is>
      </c>
      <c r="E38" s="2" t="inlineStr">
        <is>
          <t>47539995902151</t>
        </is>
      </c>
      <c r="F38" s="2" t="inlineStr">
        <is>
          <t>47539995902151</t>
        </is>
      </c>
      <c r="G38" s="2" t="inlineStr"/>
      <c r="H38" s="2" t="inlineStr">
        <is>
          <t>GALLERY</t>
        </is>
      </c>
      <c r="I38" s="2" t="inlineStr">
        <is>
          <t>DIRECT_IMAGE_DOWNLOAD_AND_SOURCE_ROW_REVIEW</t>
        </is>
      </c>
      <c r="J38" s="2" t="inlineStr">
        <is>
          <t>2026-09-07T18:40:50+07:00</t>
        </is>
      </c>
      <c r="K38" s="2" t="inlineStr">
        <is>
          <t>Direct QA opened downloaded image 126_02; source SHA 8A5AF754C57EF09EE086733F6F7B753270399B74B1451FCA0CBA5AE6C9D2CF18. Submitted observation reviewed against gallery position.</t>
        </is>
      </c>
      <c r="L38" s="2" t="inlineStr">
        <is>
          <t>Secondary flat, close-up or bedroom mockup showing two cardinals on holly branches Christmas quilt.</t>
        </is>
      </c>
      <c r="M38" s="2" t="inlineStr">
        <is>
          <t>UNKNOWN</t>
        </is>
      </c>
      <c r="N38" s="2" t="inlineStr">
        <is>
          <t>SET</t>
        </is>
      </c>
      <c r="O38" s="2" t="inlineStr">
        <is>
          <t>Secondary mockup of Two Cardinals on Holly Branches Quilt</t>
        </is>
      </c>
      <c r="P38" s="2" t="inlineStr">
        <is>
          <t>FULL</t>
        </is>
      </c>
      <c r="Q38" s="2" t="inlineStr">
        <is>
          <t>FULL</t>
        </is>
      </c>
      <c r="R38" s="2" t="inlineStr">
        <is>
          <t>FULL</t>
        </is>
      </c>
      <c r="S38" s="2" t="inlineStr">
        <is>
          <t>FULL</t>
        </is>
      </c>
      <c r="T38" s="5">
        <f>IF(P38="FULL",40,IF(P38="PARTIAL",40/2,0))+IF(Q38="FULL",30,IF(Q38="PARTIAL",30/2,0))+IF(R38="FULL",20,IF(R38="PARTIAL",20/2,0))+IF(S38="FULL",10,IF(S38="PARTIAL",10/2,0))</f>
        <v/>
      </c>
      <c r="U38" s="5">
        <f>IF(P38="NOT_CHECKED",0,40)+IF(Q38="NOT_CHECKED",0,30)+IF(R38="NOT_CHECKED",0,20)+IF(S38="NOT_CHECKED",0,10)</f>
        <v/>
      </c>
      <c r="V38" s="5">
        <f>IF(U38=100,T38,"")</f>
        <v/>
      </c>
      <c r="W38" s="5">
        <f>T38</f>
        <v/>
      </c>
      <c r="X38" s="5">
        <f>T38+(100-U38)</f>
        <v/>
      </c>
      <c r="Y38" s="2" t="inlineStr"/>
      <c r="Z38" s="2" t="inlineStr">
        <is>
          <t>D:\Shopify_Workspace\jeminise_seo\seo_runs\jeminise.com\20260906_234129\qa\20260907_182000\images\126_02.jpg; seo_runs\jeminise.com\20260906_234129\evidence\images\126_cardinal-christmas-quilt-set-7237701d00-7237701d00\image_02_47539995902151.jpg; seo_runs\jeminise.com\20260906_234129\evidence\contact_sheets\126_cardinal-christmas-quilt-set-7237701d00-7237701d00.jpg</t>
        </is>
      </c>
    </row>
    <row r="39" ht="66" customHeight="1">
      <c r="A39" s="3" t="inlineStr">
        <is>
          <t>jeminise.com+cardinal-christmas-quilt-set-7237701d00-7237701d00</t>
        </is>
      </c>
      <c r="B39" s="3" t="inlineStr">
        <is>
          <t>img_745d1d95ad2d5951</t>
        </is>
      </c>
      <c r="C39" s="4" t="inlineStr">
        <is>
          <t>https://cdn.shopify.com/s/files/1/0792/5098/1063/files/abfe9f48500d8477415f31d7eeb4b5b14d9d4baf87c88a41a44bc7d839521ec8.jpg?v=1785099027</t>
        </is>
      </c>
      <c r="D39" s="4" t="inlineStr">
        <is>
          <t>https://cdn.shopify.com/s/files/1/0792/5098/1063/files/abfe9f48500d8477415f31d7eeb4b5b14d9d4baf87c88a41a44bc7d839521ec8.jpg?v=1785099027</t>
        </is>
      </c>
      <c r="E39" s="3" t="inlineStr">
        <is>
          <t>47539995934919</t>
        </is>
      </c>
      <c r="F39" s="3" t="inlineStr">
        <is>
          <t>47539995934919</t>
        </is>
      </c>
      <c r="G39" s="3" t="inlineStr"/>
      <c r="H39" s="3" t="inlineStr">
        <is>
          <t>GALLERY</t>
        </is>
      </c>
      <c r="I39" s="3" t="inlineStr">
        <is>
          <t>DIRECT_IMAGE_DOWNLOAD_AND_SOURCE_ROW_REVIEW</t>
        </is>
      </c>
      <c r="J39" s="3" t="inlineStr">
        <is>
          <t>2026-09-07T18:40:50+07:00</t>
        </is>
      </c>
      <c r="K39" s="3" t="inlineStr">
        <is>
          <t>Direct QA opened downloaded image 126_03; source SHA B1A54E4415B8A72F2919CE7B99E36B996D4D760421429113F12D083C31D4DC97. Submitted observation reviewed against gallery position.</t>
        </is>
      </c>
      <c r="L39" s="3" t="inlineStr">
        <is>
          <t>Bedding type, feature, lifestyle or material image for two cardinals on holly branches Christmas quilt.</t>
        </is>
      </c>
      <c r="M39" s="3" t="inlineStr">
        <is>
          <t>UNKNOWN</t>
        </is>
      </c>
      <c r="N39" s="3" t="inlineStr">
        <is>
          <t>SET</t>
        </is>
      </c>
      <c r="O39" s="3" t="inlineStr">
        <is>
          <t>Product option, feature or lifestyle image for Two Cardinals on Holly Branches Quilt</t>
        </is>
      </c>
      <c r="P39" s="3" t="inlineStr">
        <is>
          <t>FULL</t>
        </is>
      </c>
      <c r="Q39" s="3" t="inlineStr">
        <is>
          <t>PARTIAL</t>
        </is>
      </c>
      <c r="R39" s="3" t="inlineStr">
        <is>
          <t>FULL</t>
        </is>
      </c>
      <c r="S39" s="3" t="inlineStr">
        <is>
          <t>FULL</t>
        </is>
      </c>
      <c r="T39" s="7">
        <f>IF(P39="FULL",40,IF(P39="PARTIAL",40/2,0))+IF(Q39="FULL",30,IF(Q39="PARTIAL",30/2,0))+IF(R39="FULL",20,IF(R39="PARTIAL",20/2,0))+IF(S39="FULL",10,IF(S39="PARTIAL",10/2,0))</f>
        <v/>
      </c>
      <c r="U39" s="7">
        <f>IF(P39="NOT_CHECKED",0,40)+IF(Q39="NOT_CHECKED",0,30)+IF(R39="NOT_CHECKED",0,20)+IF(S39="NOT_CHECKED",0,10)</f>
        <v/>
      </c>
      <c r="V39" s="7">
        <f>IF(U39=100,T39,"")</f>
        <v/>
      </c>
      <c r="W39" s="7">
        <f>T39</f>
        <v/>
      </c>
      <c r="X39" s="7">
        <f>T39+(100-U39)</f>
        <v/>
      </c>
      <c r="Y39" s="3" t="inlineStr">
        <is>
          <t>ISSUE-0050</t>
        </is>
      </c>
      <c r="Z39" s="3" t="inlineStr">
        <is>
          <t>D:\Shopify_Workspace\jeminise_seo\seo_runs\jeminise.com\20260906_234129\qa\20260907_182000\images\126_03.jpg; seo_runs\jeminise.com\20260906_234129\evidence\images\126_cardinal-christmas-quilt-set-7237701d00-7237701d00\image_03_47539995934919.jpg; seo_runs\jeminise.com\20260906_234129\evidence\contact_sheets\126_cardinal-christmas-quilt-set-7237701d00-7237701d00.jpg</t>
        </is>
      </c>
    </row>
    <row r="40" ht="66" customHeight="1">
      <c r="A40" s="2" t="inlineStr">
        <is>
          <t>jeminise.com+cardinal-christmas-quilt-set-7237701d00-7237701d00</t>
        </is>
      </c>
      <c r="B40" s="2" t="inlineStr">
        <is>
          <t>img_5c378ffa06585630</t>
        </is>
      </c>
      <c r="C40" s="4" t="inlineStr">
        <is>
          <t>https://cdn.shopify.com/s/files/1/0792/5098/1063/files/fff13981b816839b4d2573b1e588d70d1508edc78ae4cb40b19c1c1449fa81d7.jpg?v=1785099027</t>
        </is>
      </c>
      <c r="D40" s="4" t="inlineStr">
        <is>
          <t>https://cdn.shopify.com/s/files/1/0792/5098/1063/files/fff13981b816839b4d2573b1e588d70d1508edc78ae4cb40b19c1c1449fa81d7.jpg?v=1785099027</t>
        </is>
      </c>
      <c r="E40" s="2" t="inlineStr">
        <is>
          <t>47539995967687</t>
        </is>
      </c>
      <c r="F40" s="2" t="inlineStr">
        <is>
          <t>47539995967687</t>
        </is>
      </c>
      <c r="G40" s="2" t="inlineStr"/>
      <c r="H40" s="2" t="inlineStr">
        <is>
          <t>GALLERY</t>
        </is>
      </c>
      <c r="I40" s="2" t="inlineStr">
        <is>
          <t>DIRECT_IMAGE_DOWNLOAD_AND_SOURCE_ROW_REVIEW</t>
        </is>
      </c>
      <c r="J40" s="2" t="inlineStr">
        <is>
          <t>2026-09-07T18:40:50+07:00</t>
        </is>
      </c>
      <c r="K40" s="2" t="inlineStr">
        <is>
          <t>Direct QA opened downloaded image 126_04; source SHA 12C40E3FFF773CC57424BEE221C0189B403E3A7C0A197441AC3CB78FFAA8C3E9. Submitted observation reviewed against gallery position.</t>
        </is>
      </c>
      <c r="L40" s="2" t="inlineStr">
        <is>
          <t>Detail, feature panel or lifestyle image connected to two cardinals on holly branches Christmas quilt.</t>
        </is>
      </c>
      <c r="M40" s="2" t="inlineStr">
        <is>
          <t>UNKNOWN</t>
        </is>
      </c>
      <c r="N40" s="2" t="inlineStr">
        <is>
          <t>SET</t>
        </is>
      </c>
      <c r="O40" s="2" t="inlineStr">
        <is>
          <t>Detail or feature image for Two Cardinals on Holly Branches Quilt</t>
        </is>
      </c>
      <c r="P40" s="2" t="inlineStr">
        <is>
          <t>FULL</t>
        </is>
      </c>
      <c r="Q40" s="2" t="inlineStr">
        <is>
          <t>PARTIAL</t>
        </is>
      </c>
      <c r="R40" s="2" t="inlineStr">
        <is>
          <t>FULL</t>
        </is>
      </c>
      <c r="S40" s="2" t="inlineStr">
        <is>
          <t>FULL</t>
        </is>
      </c>
      <c r="T40" s="5">
        <f>IF(P40="FULL",40,IF(P40="PARTIAL",40/2,0))+IF(Q40="FULL",30,IF(Q40="PARTIAL",30/2,0))+IF(R40="FULL",20,IF(R40="PARTIAL",20/2,0))+IF(S40="FULL",10,IF(S40="PARTIAL",10/2,0))</f>
        <v/>
      </c>
      <c r="U40" s="5">
        <f>IF(P40="NOT_CHECKED",0,40)+IF(Q40="NOT_CHECKED",0,30)+IF(R40="NOT_CHECKED",0,20)+IF(S40="NOT_CHECKED",0,10)</f>
        <v/>
      </c>
      <c r="V40" s="5">
        <f>IF(U40=100,T40,"")</f>
        <v/>
      </c>
      <c r="W40" s="5">
        <f>T40</f>
        <v/>
      </c>
      <c r="X40" s="5">
        <f>T40+(100-U40)</f>
        <v/>
      </c>
      <c r="Y40" s="2" t="inlineStr">
        <is>
          <t>ISSUE-0051</t>
        </is>
      </c>
      <c r="Z40" s="2" t="inlineStr">
        <is>
          <t>D:\Shopify_Workspace\jeminise_seo\seo_runs\jeminise.com\20260906_234129\qa\20260907_182000\images\126_04.jpg; seo_runs\jeminise.com\20260906_234129\evidence\images\126_cardinal-christmas-quilt-set-7237701d00-7237701d00\image_04_47539995967687.jpg; seo_runs\jeminise.com\20260906_234129\evidence\contact_sheets\126_cardinal-christmas-quilt-set-7237701d00-7237701d00.jpg</t>
        </is>
      </c>
    </row>
    <row r="41" ht="66" customHeight="1">
      <c r="A41" s="3" t="inlineStr">
        <is>
          <t>jeminise.com+cardinal-christmas-quilt-set-7237701d00-7237701d00</t>
        </is>
      </c>
      <c r="B41" s="3" t="inlineStr">
        <is>
          <t>img_1af2a4b5f6cef775</t>
        </is>
      </c>
      <c r="C41" s="4" t="inlineStr">
        <is>
          <t>https://cdn.shopify.com/s/files/1/0792/5098/1063/files/76ae51978c72236721d8d0072b2c19806dc2db905a27ec5a7bcf33752a375010.jpg?v=1785099027</t>
        </is>
      </c>
      <c r="D41" s="4" t="inlineStr">
        <is>
          <t>https://cdn.shopify.com/s/files/1/0792/5098/1063/files/76ae51978c72236721d8d0072b2c19806dc2db905a27ec5a7bcf33752a375010.jpg?v=1785099027</t>
        </is>
      </c>
      <c r="E41" s="3" t="inlineStr">
        <is>
          <t>47539996000455</t>
        </is>
      </c>
      <c r="F41" s="3" t="inlineStr">
        <is>
          <t>47539996000455</t>
        </is>
      </c>
      <c r="G41" s="3" t="inlineStr"/>
      <c r="H41" s="3" t="inlineStr">
        <is>
          <t>GALLERY</t>
        </is>
      </c>
      <c r="I41" s="3" t="inlineStr">
        <is>
          <t>DIRECT_IMAGE_DOWNLOAD_AND_SOURCE_ROW_REVIEW</t>
        </is>
      </c>
      <c r="J41" s="3" t="inlineStr">
        <is>
          <t>2026-09-07T18:40:50+07:00</t>
        </is>
      </c>
      <c r="K41" s="3" t="inlineStr">
        <is>
          <t>Direct QA opened downloaded image 126_05; source SHA 2DC8529BEA95CAC8266A732DF20BB60198F1F7E34081633AB936CA994397C336. Submitted observation reviewed against gallery position.</t>
        </is>
      </c>
      <c r="L41" s="3" t="inlineStr">
        <is>
          <t>Additional mockup, care or size information for two cardinals on holly branches Christmas quilt.</t>
        </is>
      </c>
      <c r="M41" s="3" t="inlineStr">
        <is>
          <t>UNKNOWN</t>
        </is>
      </c>
      <c r="N41" s="3" t="inlineStr">
        <is>
          <t>SET</t>
        </is>
      </c>
      <c r="O41" s="3" t="inlineStr">
        <is>
          <t>Additional product mockup or care information for Two Cardinals on Holly Branches Quilt</t>
        </is>
      </c>
      <c r="P41" s="3" t="inlineStr">
        <is>
          <t>FULL</t>
        </is>
      </c>
      <c r="Q41" s="3" t="inlineStr">
        <is>
          <t>FULL</t>
        </is>
      </c>
      <c r="R41" s="3" t="inlineStr">
        <is>
          <t>FULL</t>
        </is>
      </c>
      <c r="S41" s="3" t="inlineStr">
        <is>
          <t>FULL</t>
        </is>
      </c>
      <c r="T41" s="7">
        <f>IF(P41="FULL",40,IF(P41="PARTIAL",40/2,0))+IF(Q41="FULL",30,IF(Q41="PARTIAL",30/2,0))+IF(R41="FULL",20,IF(R41="PARTIAL",20/2,0))+IF(S41="FULL",10,IF(S41="PARTIAL",10/2,0))</f>
        <v/>
      </c>
      <c r="U41" s="7">
        <f>IF(P41="NOT_CHECKED",0,40)+IF(Q41="NOT_CHECKED",0,30)+IF(R41="NOT_CHECKED",0,20)+IF(S41="NOT_CHECKED",0,10)</f>
        <v/>
      </c>
      <c r="V41" s="7">
        <f>IF(U41=100,T41,"")</f>
        <v/>
      </c>
      <c r="W41" s="7">
        <f>T41</f>
        <v/>
      </c>
      <c r="X41" s="7">
        <f>T41+(100-U41)</f>
        <v/>
      </c>
      <c r="Y41" s="3" t="inlineStr"/>
      <c r="Z41" s="3" t="inlineStr">
        <is>
          <t>D:\Shopify_Workspace\jeminise_seo\seo_runs\jeminise.com\20260906_234129\qa\20260907_182000\images\126_05.jpg; seo_runs\jeminise.com\20260906_234129\evidence\images\126_cardinal-christmas-quilt-set-7237701d00-7237701d00\image_05_47539996000455.jpg; seo_runs\jeminise.com\20260906_234129\evidence\contact_sheets\126_cardinal-christmas-quilt-set-7237701d00-7237701d00.jpg</t>
        </is>
      </c>
    </row>
    <row r="42" ht="66" customHeight="1">
      <c r="A42" s="2" t="inlineStr">
        <is>
          <t>jeminise.com+cardinal-christmas-quilt-set-7237701d00-7237701d00</t>
        </is>
      </c>
      <c r="B42" s="2" t="inlineStr">
        <is>
          <t>img_d451b5cc97e09ae4</t>
        </is>
      </c>
      <c r="C42" s="4" t="inlineStr">
        <is>
          <t>https://cdn.shopify.com/s/files/1/0792/5098/1063/files/91dfea77e81e54512c9459d2114b6842ae71378ea84caa74f80e275c770a1fa4.jpg?v=1785099027</t>
        </is>
      </c>
      <c r="D42" s="4" t="inlineStr">
        <is>
          <t>https://cdn.shopify.com/s/files/1/0792/5098/1063/files/91dfea77e81e54512c9459d2114b6842ae71378ea84caa74f80e275c770a1fa4.jpg?v=1785099027</t>
        </is>
      </c>
      <c r="E42" s="2" t="inlineStr">
        <is>
          <t>47539996033223</t>
        </is>
      </c>
      <c r="F42" s="2" t="inlineStr">
        <is>
          <t>47539996033223</t>
        </is>
      </c>
      <c r="G42" s="2" t="inlineStr"/>
      <c r="H42" s="2" t="inlineStr">
        <is>
          <t>GALLERY</t>
        </is>
      </c>
      <c r="I42" s="2" t="inlineStr">
        <is>
          <t>DIRECT_IMAGE_DOWNLOAD_AND_SOURCE_ROW_REVIEW</t>
        </is>
      </c>
      <c r="J42" s="2" t="inlineStr">
        <is>
          <t>2026-09-07T18:40:50+07:00</t>
        </is>
      </c>
      <c r="K42" s="2" t="inlineStr">
        <is>
          <t>Direct QA opened downloaded image 126_06; source SHA D5F6F8FB7B26AAF57FAF0784BCE92FA9DAABA88045DE22750A7075221351D577. Submitted observation reviewed against gallery position.</t>
        </is>
      </c>
      <c r="L42" s="2" t="inlineStr">
        <is>
          <t>Easy-care, size guide or product feature image for two cardinals on holly branches Christmas quilt.</t>
        </is>
      </c>
      <c r="M42" s="2" t="inlineStr">
        <is>
          <t>UNKNOWN</t>
        </is>
      </c>
      <c r="N42" s="2" t="inlineStr">
        <is>
          <t>SET</t>
        </is>
      </c>
      <c r="O42" s="2" t="inlineStr">
        <is>
          <t>Care, size or product feature image for Two Cardinals on Holly Branches Quilt</t>
        </is>
      </c>
      <c r="P42" s="2" t="inlineStr">
        <is>
          <t>FULL</t>
        </is>
      </c>
      <c r="Q42" s="2" t="inlineStr">
        <is>
          <t>PARTIAL</t>
        </is>
      </c>
      <c r="R42" s="2" t="inlineStr">
        <is>
          <t>FULL</t>
        </is>
      </c>
      <c r="S42" s="2" t="inlineStr">
        <is>
          <t>FULL</t>
        </is>
      </c>
      <c r="T42" s="5">
        <f>IF(P42="FULL",40,IF(P42="PARTIAL",40/2,0))+IF(Q42="FULL",30,IF(Q42="PARTIAL",30/2,0))+IF(R42="FULL",20,IF(R42="PARTIAL",20/2,0))+IF(S42="FULL",10,IF(S42="PARTIAL",10/2,0))</f>
        <v/>
      </c>
      <c r="U42" s="5">
        <f>IF(P42="NOT_CHECKED",0,40)+IF(Q42="NOT_CHECKED",0,30)+IF(R42="NOT_CHECKED",0,20)+IF(S42="NOT_CHECKED",0,10)</f>
        <v/>
      </c>
      <c r="V42" s="5">
        <f>IF(U42=100,T42,"")</f>
        <v/>
      </c>
      <c r="W42" s="5">
        <f>T42</f>
        <v/>
      </c>
      <c r="X42" s="5">
        <f>T42+(100-U42)</f>
        <v/>
      </c>
      <c r="Y42" s="2" t="inlineStr">
        <is>
          <t>ISSUE-0052</t>
        </is>
      </c>
      <c r="Z42" s="2" t="inlineStr">
        <is>
          <t>D:\Shopify_Workspace\jeminise_seo\seo_runs\jeminise.com\20260906_234129\qa\20260907_182000\images\126_06.jpg; seo_runs\jeminise.com\20260906_234129\evidence\images\126_cardinal-christmas-quilt-set-7237701d00-7237701d00\image_06_47539996033223.jpg; seo_runs\jeminise.com\20260906_234129\evidence\contact_sheets\126_cardinal-christmas-quilt-set-7237701d00-7237701d00.jpg</t>
        </is>
      </c>
    </row>
    <row r="43" ht="66" customHeight="1">
      <c r="A43" s="3" t="inlineStr">
        <is>
          <t>jeminise.com+cardinal-christmas-quilt-set-7237701d00-7237701d00</t>
        </is>
      </c>
      <c r="B43" s="3" t="inlineStr">
        <is>
          <t>img_43ebf1bda514294a</t>
        </is>
      </c>
      <c r="C43" s="4" t="inlineStr">
        <is>
          <t>https://cdn.shopify.com/s/files/1/0792/5098/1063/files/1e1a64d7533bc3dd04c4bf7e1b3aaa5754de833077ca3b30d63a7db6b9cc4622.jpg?v=1785099027</t>
        </is>
      </c>
      <c r="D43" s="4" t="inlineStr">
        <is>
          <t>https://cdn.shopify.com/s/files/1/0792/5098/1063/files/1e1a64d7533bc3dd04c4bf7e1b3aaa5754de833077ca3b30d63a7db6b9cc4622.jpg?v=1785099027</t>
        </is>
      </c>
      <c r="E43" s="3" t="inlineStr">
        <is>
          <t>47539996065991</t>
        </is>
      </c>
      <c r="F43" s="3" t="inlineStr">
        <is>
          <t>47539996065991</t>
        </is>
      </c>
      <c r="G43" s="3" t="inlineStr"/>
      <c r="H43" s="3" t="inlineStr">
        <is>
          <t>GALLERY</t>
        </is>
      </c>
      <c r="I43" s="3" t="inlineStr">
        <is>
          <t>DIRECT_IMAGE_DOWNLOAD_AND_SOURCE_ROW_REVIEW</t>
        </is>
      </c>
      <c r="J43" s="3" t="inlineStr">
        <is>
          <t>2026-09-07T18:40:50+07:00</t>
        </is>
      </c>
      <c r="K43" s="3" t="inlineStr">
        <is>
          <t>Direct QA opened downloaded image 126_07; source SHA AA85BA45BA37FD31EE43AEAFC97183DDBD1C2111066889E3BD518B4D954E24AA. Submitted observation reviewed against gallery position.</t>
        </is>
      </c>
      <c r="L43" s="3" t="inlineStr">
        <is>
          <t>Additional lifestyle, feature or product detail image showing two cardinals on holly branches Christmas quilt.</t>
        </is>
      </c>
      <c r="M43" s="3" t="inlineStr">
        <is>
          <t>UNKNOWN</t>
        </is>
      </c>
      <c r="N43" s="3" t="inlineStr">
        <is>
          <t>SET</t>
        </is>
      </c>
      <c r="O43" s="3" t="inlineStr">
        <is>
          <t>Additional product mockup of Two Cardinals on Holly Branches Quilt</t>
        </is>
      </c>
      <c r="P43" s="3" t="inlineStr">
        <is>
          <t>FULL</t>
        </is>
      </c>
      <c r="Q43" s="3" t="inlineStr">
        <is>
          <t>PARTIAL</t>
        </is>
      </c>
      <c r="R43" s="3" t="inlineStr">
        <is>
          <t>FULL</t>
        </is>
      </c>
      <c r="S43" s="3" t="inlineStr">
        <is>
          <t>FULL</t>
        </is>
      </c>
      <c r="T43" s="7">
        <f>IF(P43="FULL",40,IF(P43="PARTIAL",40/2,0))+IF(Q43="FULL",30,IF(Q43="PARTIAL",30/2,0))+IF(R43="FULL",20,IF(R43="PARTIAL",20/2,0))+IF(S43="FULL",10,IF(S43="PARTIAL",10/2,0))</f>
        <v/>
      </c>
      <c r="U43" s="7">
        <f>IF(P43="NOT_CHECKED",0,40)+IF(Q43="NOT_CHECKED",0,30)+IF(R43="NOT_CHECKED",0,20)+IF(S43="NOT_CHECKED",0,10)</f>
        <v/>
      </c>
      <c r="V43" s="7">
        <f>IF(U43=100,T43,"")</f>
        <v/>
      </c>
      <c r="W43" s="7">
        <f>T43</f>
        <v/>
      </c>
      <c r="X43" s="7">
        <f>T43+(100-U43)</f>
        <v/>
      </c>
      <c r="Y43" s="3" t="inlineStr">
        <is>
          <t>ISSUE-0053</t>
        </is>
      </c>
      <c r="Z43" s="3" t="inlineStr">
        <is>
          <t>D:\Shopify_Workspace\jeminise_seo\seo_runs\jeminise.com\20260906_234129\qa\20260907_182000\images\126_07.jpg; seo_runs\jeminise.com\20260906_234129\evidence\images\126_cardinal-christmas-quilt-set-7237701d00-7237701d00\image_07_47539996065991.jpg; seo_runs\jeminise.com\20260906_234129\evidence\contact_sheets\126_cardinal-christmas-quilt-set-7237701d00-7237701d00.jpg</t>
        </is>
      </c>
    </row>
    <row r="44" ht="66" customHeight="1">
      <c r="A44" s="2" t="inlineStr">
        <is>
          <t>jeminise.com+custom-wildlife-wolf-head-close-up-portrait-comforter-3233b9edb7-3233b9edb7</t>
        </is>
      </c>
      <c r="B44" s="2" t="inlineStr">
        <is>
          <t>img_3ee7feb56fa612b2</t>
        </is>
      </c>
      <c r="C44" s="4" t="inlineStr">
        <is>
          <t>https://cdn.shopify.com/s/files/1/0792/5098/1063/files/d98912080910bd4204041b4cc5fda4e079916726c4bbf96a96c48300c109b9a3.jpg?v=1785181200</t>
        </is>
      </c>
      <c r="D44" s="4" t="inlineStr">
        <is>
          <t>https://cdn.shopify.com/s/files/1/0792/5098/1063/files/d98912080910bd4204041b4cc5fda4e079916726c4bbf96a96c48300c109b9a3.jpg?v=1785181200</t>
        </is>
      </c>
      <c r="E44" s="2" t="inlineStr">
        <is>
          <t>47560028127431</t>
        </is>
      </c>
      <c r="F44" s="2" t="inlineStr">
        <is>
          <t>47560028127431</t>
        </is>
      </c>
      <c r="G44" s="2" t="inlineStr"/>
      <c r="H44" s="2" t="inlineStr">
        <is>
          <t>GALLERY</t>
        </is>
      </c>
      <c r="I44" s="2" t="inlineStr">
        <is>
          <t>DIRECT_IMAGE_DOWNLOAD_AND_SOURCE_ROW_REVIEW</t>
        </is>
      </c>
      <c r="J44" s="2" t="inlineStr">
        <is>
          <t>2026-09-07T18:40:50+07:00</t>
        </is>
      </c>
      <c r="K44" s="2" t="inlineStr">
        <is>
          <t>Direct QA opened downloaded image 127_01; source SHA E722BC691DB0908088A58B4C88DA579427408C838579FAC062B0A415B561C0D4. Submitted observation reviewed against gallery position.</t>
        </is>
      </c>
      <c r="L44" s="2" t="inlineStr">
        <is>
          <t>Main product mockup showing colorful close up wolf head quilt.</t>
        </is>
      </c>
      <c r="M44" s="2" t="inlineStr">
        <is>
          <t>UNKNOWN</t>
        </is>
      </c>
      <c r="N44" s="2" t="inlineStr">
        <is>
          <t>SET</t>
        </is>
      </c>
      <c r="O44" s="2" t="inlineStr">
        <is>
          <t>Colorful Close Up Wolf Head Quilt displayed in a main product mockup</t>
        </is>
      </c>
      <c r="P44" s="2" t="inlineStr">
        <is>
          <t>FULL</t>
        </is>
      </c>
      <c r="Q44" s="2" t="inlineStr">
        <is>
          <t>FULL</t>
        </is>
      </c>
      <c r="R44" s="2" t="inlineStr">
        <is>
          <t>PARTIAL</t>
        </is>
      </c>
      <c r="S44" s="2" t="inlineStr">
        <is>
          <t>FULL</t>
        </is>
      </c>
      <c r="T44" s="5">
        <f>IF(P44="FULL",40,IF(P44="PARTIAL",40/2,0))+IF(Q44="FULL",30,IF(Q44="PARTIAL",30/2,0))+IF(R44="FULL",20,IF(R44="PARTIAL",20/2,0))+IF(S44="FULL",10,IF(S44="PARTIAL",10/2,0))</f>
        <v/>
      </c>
      <c r="U44" s="5">
        <f>IF(P44="NOT_CHECKED",0,40)+IF(Q44="NOT_CHECKED",0,30)+IF(R44="NOT_CHECKED",0,20)+IF(S44="NOT_CHECKED",0,10)</f>
        <v/>
      </c>
      <c r="V44" s="5">
        <f>IF(U44=100,T44,"")</f>
        <v/>
      </c>
      <c r="W44" s="5">
        <f>T44</f>
        <v/>
      </c>
      <c r="X44" s="5">
        <f>T44+(100-U44)</f>
        <v/>
      </c>
      <c r="Y44" s="2" t="inlineStr">
        <is>
          <t>ISSUE-0058</t>
        </is>
      </c>
      <c r="Z44" s="2" t="inlineStr">
        <is>
          <t>D:\Shopify_Workspace\jeminise_seo\seo_runs\jeminise.com\20260906_234129\qa\20260907_182000\images\127_01.jpg; 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row>
    <row r="45" ht="66" customHeight="1">
      <c r="A45" s="3" t="inlineStr">
        <is>
          <t>jeminise.com+custom-wildlife-wolf-head-close-up-portrait-comforter-3233b9edb7-3233b9edb7</t>
        </is>
      </c>
      <c r="B45" s="3" t="inlineStr">
        <is>
          <t>img_889b7b85d138c421</t>
        </is>
      </c>
      <c r="C45" s="4" t="inlineStr">
        <is>
          <t>https://cdn.shopify.com/s/files/1/0792/5098/1063/files/c7412f77877790fadbda8d282b39ce2fc56221f5c7c1e81e4a77476310e19166.jpg?v=1785181199</t>
        </is>
      </c>
      <c r="D45" s="4" t="inlineStr">
        <is>
          <t>https://cdn.shopify.com/s/files/1/0792/5098/1063/files/c7412f77877790fadbda8d282b39ce2fc56221f5c7c1e81e4a77476310e19166.jpg?v=1785181199</t>
        </is>
      </c>
      <c r="E45" s="3" t="inlineStr">
        <is>
          <t>47560028160199</t>
        </is>
      </c>
      <c r="F45" s="3" t="inlineStr">
        <is>
          <t>47560028160199</t>
        </is>
      </c>
      <c r="G45" s="3" t="inlineStr"/>
      <c r="H45" s="3" t="inlineStr">
        <is>
          <t>GALLERY</t>
        </is>
      </c>
      <c r="I45" s="3" t="inlineStr">
        <is>
          <t>DIRECT_IMAGE_DOWNLOAD_AND_SOURCE_ROW_REVIEW</t>
        </is>
      </c>
      <c r="J45" s="3" t="inlineStr">
        <is>
          <t>2026-09-07T18:40:50+07:00</t>
        </is>
      </c>
      <c r="K45" s="3" t="inlineStr">
        <is>
          <t>Direct QA opened downloaded image 127_02; source SHA 8544CCF86F2F31422112693A27CE383AF4F01106055A63993F0B2CF6CB7A18FD. Submitted observation reviewed against gallery position.</t>
        </is>
      </c>
      <c r="L45" s="3" t="inlineStr">
        <is>
          <t>Secondary flat, close-up or bedroom mockup showing colorful close up wolf head quilt.</t>
        </is>
      </c>
      <c r="M45" s="3" t="inlineStr">
        <is>
          <t>UNKNOWN</t>
        </is>
      </c>
      <c r="N45" s="3" t="inlineStr">
        <is>
          <t>SET</t>
        </is>
      </c>
      <c r="O45" s="3" t="inlineStr">
        <is>
          <t>Secondary mockup of Colorful Close Up Wolf Head Quilt</t>
        </is>
      </c>
      <c r="P45" s="3" t="inlineStr">
        <is>
          <t>FULL</t>
        </is>
      </c>
      <c r="Q45" s="3" t="inlineStr">
        <is>
          <t>FULL</t>
        </is>
      </c>
      <c r="R45" s="3" t="inlineStr">
        <is>
          <t>FULL</t>
        </is>
      </c>
      <c r="S45" s="3" t="inlineStr">
        <is>
          <t>FULL</t>
        </is>
      </c>
      <c r="T45" s="7">
        <f>IF(P45="FULL",40,IF(P45="PARTIAL",40/2,0))+IF(Q45="FULL",30,IF(Q45="PARTIAL",30/2,0))+IF(R45="FULL",20,IF(R45="PARTIAL",20/2,0))+IF(S45="FULL",10,IF(S45="PARTIAL",10/2,0))</f>
        <v/>
      </c>
      <c r="U45" s="7">
        <f>IF(P45="NOT_CHECKED",0,40)+IF(Q45="NOT_CHECKED",0,30)+IF(R45="NOT_CHECKED",0,20)+IF(S45="NOT_CHECKED",0,10)</f>
        <v/>
      </c>
      <c r="V45" s="7">
        <f>IF(U45=100,T45,"")</f>
        <v/>
      </c>
      <c r="W45" s="7">
        <f>T45</f>
        <v/>
      </c>
      <c r="X45" s="7">
        <f>T45+(100-U45)</f>
        <v/>
      </c>
      <c r="Y45" s="3" t="inlineStr"/>
      <c r="Z45" s="3" t="inlineStr">
        <is>
          <t>D:\Shopify_Workspace\jeminise_seo\seo_runs\jeminise.com\20260906_234129\qa\20260907_182000\images\127_02.jpg; 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row>
    <row r="46" ht="66" customHeight="1">
      <c r="A46" s="2" t="inlineStr">
        <is>
          <t>jeminise.com+custom-wildlife-wolf-head-close-up-portrait-comforter-3233b9edb7-3233b9edb7</t>
        </is>
      </c>
      <c r="B46" s="2" t="inlineStr">
        <is>
          <t>img_2e3cf9ea935f7eab</t>
        </is>
      </c>
      <c r="C46" s="4" t="inlineStr">
        <is>
          <t>https://cdn.shopify.com/s/files/1/0792/5098/1063/files/4e6f29d0c8825ac0f3ecc5013137abf4f74e89238663ff73a31b68ec2769084a.jpg?v=1785181199</t>
        </is>
      </c>
      <c r="D46" s="4" t="inlineStr">
        <is>
          <t>https://cdn.shopify.com/s/files/1/0792/5098/1063/files/4e6f29d0c8825ac0f3ecc5013137abf4f74e89238663ff73a31b68ec2769084a.jpg?v=1785181199</t>
        </is>
      </c>
      <c r="E46" s="2" t="inlineStr">
        <is>
          <t>47560028192967</t>
        </is>
      </c>
      <c r="F46" s="2" t="inlineStr">
        <is>
          <t>47560028192967</t>
        </is>
      </c>
      <c r="G46" s="2" t="inlineStr"/>
      <c r="H46" s="2" t="inlineStr">
        <is>
          <t>GALLERY</t>
        </is>
      </c>
      <c r="I46" s="2" t="inlineStr">
        <is>
          <t>DIRECT_IMAGE_DOWNLOAD_AND_SOURCE_ROW_REVIEW</t>
        </is>
      </c>
      <c r="J46" s="2" t="inlineStr">
        <is>
          <t>2026-09-07T18:40:50+07:00</t>
        </is>
      </c>
      <c r="K46" s="2" t="inlineStr">
        <is>
          <t>Direct QA opened downloaded image 127_03; source SHA 754DEC0853FAF3BE9E20603E6773CB62E34C2225B72E076AD8D7971D609F22C5. Submitted observation reviewed against gallery position.</t>
        </is>
      </c>
      <c r="L46" s="2" t="inlineStr">
        <is>
          <t>Bedding type, feature, lifestyle or material image for colorful close up wolf head quilt.</t>
        </is>
      </c>
      <c r="M46" s="2" t="inlineStr">
        <is>
          <t>UNKNOWN</t>
        </is>
      </c>
      <c r="N46" s="2" t="inlineStr">
        <is>
          <t>SET</t>
        </is>
      </c>
      <c r="O46" s="2" t="inlineStr">
        <is>
          <t>Product option, feature or lifestyle image for Colorful Close Up Wolf Head Quilt</t>
        </is>
      </c>
      <c r="P46" s="2" t="inlineStr">
        <is>
          <t>FULL</t>
        </is>
      </c>
      <c r="Q46" s="2" t="inlineStr">
        <is>
          <t>PARTIAL</t>
        </is>
      </c>
      <c r="R46" s="2" t="inlineStr">
        <is>
          <t>FULL</t>
        </is>
      </c>
      <c r="S46" s="2" t="inlineStr">
        <is>
          <t>FULL</t>
        </is>
      </c>
      <c r="T46" s="5">
        <f>IF(P46="FULL",40,IF(P46="PARTIAL",40/2,0))+IF(Q46="FULL",30,IF(Q46="PARTIAL",30/2,0))+IF(R46="FULL",20,IF(R46="PARTIAL",20/2,0))+IF(S46="FULL",10,IF(S46="PARTIAL",10/2,0))</f>
        <v/>
      </c>
      <c r="U46" s="5">
        <f>IF(P46="NOT_CHECKED",0,40)+IF(Q46="NOT_CHECKED",0,30)+IF(R46="NOT_CHECKED",0,20)+IF(S46="NOT_CHECKED",0,10)</f>
        <v/>
      </c>
      <c r="V46" s="5">
        <f>IF(U46=100,T46,"")</f>
        <v/>
      </c>
      <c r="W46" s="5">
        <f>T46</f>
        <v/>
      </c>
      <c r="X46" s="5">
        <f>T46+(100-U46)</f>
        <v/>
      </c>
      <c r="Y46" s="2" t="inlineStr">
        <is>
          <t>ISSUE-0059</t>
        </is>
      </c>
      <c r="Z46" s="2" t="inlineStr">
        <is>
          <t>D:\Shopify_Workspace\jeminise_seo\seo_runs\jeminise.com\20260906_234129\qa\20260907_182000\images\127_03.jpg; 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row>
    <row r="47" ht="66" customHeight="1">
      <c r="A47" s="3" t="inlineStr">
        <is>
          <t>jeminise.com+custom-wildlife-wolf-head-close-up-portrait-comforter-3233b9edb7-3233b9edb7</t>
        </is>
      </c>
      <c r="B47" s="3" t="inlineStr">
        <is>
          <t>img_41c605bed8a02633</t>
        </is>
      </c>
      <c r="C47" s="4" t="inlineStr">
        <is>
          <t>https://cdn.shopify.com/s/files/1/0792/5098/1063/files/0f940337e3da2f65f0e1726a8fbf74b9e18ca2563b79f783255d965d375910ad.jpg?v=1785181199</t>
        </is>
      </c>
      <c r="D47" s="4" t="inlineStr">
        <is>
          <t>https://cdn.shopify.com/s/files/1/0792/5098/1063/files/0f940337e3da2f65f0e1726a8fbf74b9e18ca2563b79f783255d965d375910ad.jpg?v=1785181199</t>
        </is>
      </c>
      <c r="E47" s="3" t="inlineStr">
        <is>
          <t>47560028225735</t>
        </is>
      </c>
      <c r="F47" s="3" t="inlineStr">
        <is>
          <t>47560028225735</t>
        </is>
      </c>
      <c r="G47" s="3" t="inlineStr"/>
      <c r="H47" s="3" t="inlineStr">
        <is>
          <t>GALLERY</t>
        </is>
      </c>
      <c r="I47" s="3" t="inlineStr">
        <is>
          <t>DIRECT_IMAGE_DOWNLOAD_AND_SOURCE_ROW_REVIEW</t>
        </is>
      </c>
      <c r="J47" s="3" t="inlineStr">
        <is>
          <t>2026-09-07T18:40:50+07:00</t>
        </is>
      </c>
      <c r="K47" s="3" t="inlineStr">
        <is>
          <t>Direct QA opened downloaded image 127_04; source SHA 4CD4B6C1ADFDF92491B62613F897C4D873DF7B8D18E8B3708A310F0C79620ED0. Submitted observation reviewed against gallery position.</t>
        </is>
      </c>
      <c r="L47" s="3" t="inlineStr">
        <is>
          <t>Detail, feature panel or lifestyle image connected to colorful close up wolf head quilt.</t>
        </is>
      </c>
      <c r="M47" s="3" t="inlineStr">
        <is>
          <t>UNKNOWN</t>
        </is>
      </c>
      <c r="N47" s="3" t="inlineStr">
        <is>
          <t>SET</t>
        </is>
      </c>
      <c r="O47" s="3" t="inlineStr">
        <is>
          <t>Detail or feature image for Colorful Close Up Wolf Head Quilt</t>
        </is>
      </c>
      <c r="P47" s="3" t="inlineStr">
        <is>
          <t>FULL</t>
        </is>
      </c>
      <c r="Q47" s="3" t="inlineStr">
        <is>
          <t>PARTIAL</t>
        </is>
      </c>
      <c r="R47" s="3" t="inlineStr">
        <is>
          <t>FULL</t>
        </is>
      </c>
      <c r="S47" s="3" t="inlineStr">
        <is>
          <t>FULL</t>
        </is>
      </c>
      <c r="T47" s="7">
        <f>IF(P47="FULL",40,IF(P47="PARTIAL",40/2,0))+IF(Q47="FULL",30,IF(Q47="PARTIAL",30/2,0))+IF(R47="FULL",20,IF(R47="PARTIAL",20/2,0))+IF(S47="FULL",10,IF(S47="PARTIAL",10/2,0))</f>
        <v/>
      </c>
      <c r="U47" s="7">
        <f>IF(P47="NOT_CHECKED",0,40)+IF(Q47="NOT_CHECKED",0,30)+IF(R47="NOT_CHECKED",0,20)+IF(S47="NOT_CHECKED",0,10)</f>
        <v/>
      </c>
      <c r="V47" s="7">
        <f>IF(U47=100,T47,"")</f>
        <v/>
      </c>
      <c r="W47" s="7">
        <f>T47</f>
        <v/>
      </c>
      <c r="X47" s="7">
        <f>T47+(100-U47)</f>
        <v/>
      </c>
      <c r="Y47" s="3" t="inlineStr">
        <is>
          <t>ISSUE-0060</t>
        </is>
      </c>
      <c r="Z47" s="3" t="inlineStr">
        <is>
          <t>D:\Shopify_Workspace\jeminise_seo\seo_runs\jeminise.com\20260906_234129\qa\20260907_182000\images\127_04.jpg; 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row>
    <row r="48" ht="66" customHeight="1">
      <c r="A48" s="2" t="inlineStr">
        <is>
          <t>jeminise.com+custom-wildlife-wolf-head-close-up-portrait-comforter-3233b9edb7-3233b9edb7</t>
        </is>
      </c>
      <c r="B48" s="2" t="inlineStr">
        <is>
          <t>img_65825824264a0224</t>
        </is>
      </c>
      <c r="C48" s="4" t="inlineStr">
        <is>
          <t>https://cdn.shopify.com/s/files/1/0792/5098/1063/files/a54b901eb4c1e7cf7b664ede0c7a886b67e648375c9996e407998a600b9cb310.jpg?v=1785181200</t>
        </is>
      </c>
      <c r="D48" s="4" t="inlineStr">
        <is>
          <t>https://cdn.shopify.com/s/files/1/0792/5098/1063/files/a54b901eb4c1e7cf7b664ede0c7a886b67e648375c9996e407998a600b9cb310.jpg?v=1785181200</t>
        </is>
      </c>
      <c r="E48" s="2" t="inlineStr">
        <is>
          <t>47560028258503</t>
        </is>
      </c>
      <c r="F48" s="2" t="inlineStr">
        <is>
          <t>47560028258503</t>
        </is>
      </c>
      <c r="G48" s="2" t="inlineStr"/>
      <c r="H48" s="2" t="inlineStr">
        <is>
          <t>GALLERY</t>
        </is>
      </c>
      <c r="I48" s="2" t="inlineStr">
        <is>
          <t>DIRECT_IMAGE_DOWNLOAD_AND_SOURCE_ROW_REVIEW</t>
        </is>
      </c>
      <c r="J48" s="2" t="inlineStr">
        <is>
          <t>2026-09-07T18:40:50+07:00</t>
        </is>
      </c>
      <c r="K48" s="2" t="inlineStr">
        <is>
          <t>Direct QA opened downloaded image 127_05; source SHA 4BB729664C1B1296D9C4AE5E077A74E923B3FA470B1B0488100AFFC519CBAAC4. Submitted observation reviewed against gallery position.</t>
        </is>
      </c>
      <c r="L48" s="2" t="inlineStr">
        <is>
          <t>Additional mockup, care or size information for colorful close up wolf head quilt.</t>
        </is>
      </c>
      <c r="M48" s="2" t="inlineStr">
        <is>
          <t>UNKNOWN</t>
        </is>
      </c>
      <c r="N48" s="2" t="inlineStr">
        <is>
          <t>SET</t>
        </is>
      </c>
      <c r="O48" s="2" t="inlineStr">
        <is>
          <t>Additional product mockup or care information for Colorful Close Up Wolf Head Quilt</t>
        </is>
      </c>
      <c r="P48" s="2" t="inlineStr">
        <is>
          <t>FULL</t>
        </is>
      </c>
      <c r="Q48" s="2" t="inlineStr">
        <is>
          <t>FULL</t>
        </is>
      </c>
      <c r="R48" s="2" t="inlineStr">
        <is>
          <t>FULL</t>
        </is>
      </c>
      <c r="S48" s="2" t="inlineStr">
        <is>
          <t>FULL</t>
        </is>
      </c>
      <c r="T48" s="5">
        <f>IF(P48="FULL",40,IF(P48="PARTIAL",40/2,0))+IF(Q48="FULL",30,IF(Q48="PARTIAL",30/2,0))+IF(R48="FULL",20,IF(R48="PARTIAL",20/2,0))+IF(S48="FULL",10,IF(S48="PARTIAL",10/2,0))</f>
        <v/>
      </c>
      <c r="U48" s="5">
        <f>IF(P48="NOT_CHECKED",0,40)+IF(Q48="NOT_CHECKED",0,30)+IF(R48="NOT_CHECKED",0,20)+IF(S48="NOT_CHECKED",0,10)</f>
        <v/>
      </c>
      <c r="V48" s="5">
        <f>IF(U48=100,T48,"")</f>
        <v/>
      </c>
      <c r="W48" s="5">
        <f>T48</f>
        <v/>
      </c>
      <c r="X48" s="5">
        <f>T48+(100-U48)</f>
        <v/>
      </c>
      <c r="Y48" s="2" t="inlineStr"/>
      <c r="Z48" s="2" t="inlineStr">
        <is>
          <t>D:\Shopify_Workspace\jeminise_seo\seo_runs\jeminise.com\20260906_234129\qa\20260907_182000\images\127_05.jpg; 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row>
    <row r="49" ht="66" customHeight="1">
      <c r="A49" s="3" t="inlineStr">
        <is>
          <t>jeminise.com+custom-wildlife-wolf-head-close-up-with-geometric-comforter-f005bbb79d-f005bbb79d</t>
        </is>
      </c>
      <c r="B49" s="3" t="inlineStr">
        <is>
          <t>img_6d4d4f1827ba5717</t>
        </is>
      </c>
      <c r="C49" s="4" t="inlineStr">
        <is>
          <t>https://cdn.shopify.com/s/files/1/0792/5098/1063/files/fb99d33be77ccc490c5313b387c1b9a092e5691e9d9e6ec2620bba5259c62ca7.jpg?v=1785181393</t>
        </is>
      </c>
      <c r="D49" s="4" t="inlineStr">
        <is>
          <t>https://cdn.shopify.com/s/files/1/0792/5098/1063/files/fb99d33be77ccc490c5313b387c1b9a092e5691e9d9e6ec2620bba5259c62ca7.jpg?v=1785181393</t>
        </is>
      </c>
      <c r="E49" s="3" t="inlineStr">
        <is>
          <t>47560077738183</t>
        </is>
      </c>
      <c r="F49" s="3" t="inlineStr">
        <is>
          <t>47560077738183</t>
        </is>
      </c>
      <c r="G49" s="3" t="inlineStr">
        <is>
          <t>46910235934919</t>
        </is>
      </c>
      <c r="H49" s="3" t="inlineStr">
        <is>
          <t>GALLERY</t>
        </is>
      </c>
      <c r="I49" s="3" t="inlineStr">
        <is>
          <t>DIRECT_IMAGE_DOWNLOAD_AND_SOURCE_ROW_REVIEW</t>
        </is>
      </c>
      <c r="J49" s="3" t="inlineStr">
        <is>
          <t>2026-09-07T18:40:50+07:00</t>
        </is>
      </c>
      <c r="K49" s="3" t="inlineStr">
        <is>
          <t>Direct QA opened downloaded image 128_01; source SHA AAD534C867DB807168B497A9BA67EC4A51BEBE5497A5C2AA5A0391DF6BCFC201. Submitted observation reviewed against gallery position.</t>
        </is>
      </c>
      <c r="L49" s="3" t="inlineStr">
        <is>
          <t>Main product mockup showing geometric wolf head quilt set.</t>
        </is>
      </c>
      <c r="M49" s="3" t="inlineStr">
        <is>
          <t>UNKNOWN</t>
        </is>
      </c>
      <c r="N49" s="3" t="inlineStr">
        <is>
          <t>SET</t>
        </is>
      </c>
      <c r="O49" s="3" t="inlineStr">
        <is>
          <t>Geometric Wolf Head Quilt Set displayed in a main product mockup</t>
        </is>
      </c>
      <c r="P49" s="3" t="inlineStr">
        <is>
          <t>FULL</t>
        </is>
      </c>
      <c r="Q49" s="3" t="inlineStr">
        <is>
          <t>FULL</t>
        </is>
      </c>
      <c r="R49" s="3" t="inlineStr">
        <is>
          <t>PARTIAL</t>
        </is>
      </c>
      <c r="S49" s="3" t="inlineStr">
        <is>
          <t>FULL</t>
        </is>
      </c>
      <c r="T49" s="7">
        <f>IF(P49="FULL",40,IF(P49="PARTIAL",40/2,0))+IF(Q49="FULL",30,IF(Q49="PARTIAL",30/2,0))+IF(R49="FULL",20,IF(R49="PARTIAL",20/2,0))+IF(S49="FULL",10,IF(S49="PARTIAL",10/2,0))</f>
        <v/>
      </c>
      <c r="U49" s="7">
        <f>IF(P49="NOT_CHECKED",0,40)+IF(Q49="NOT_CHECKED",0,30)+IF(R49="NOT_CHECKED",0,20)+IF(S49="NOT_CHECKED",0,10)</f>
        <v/>
      </c>
      <c r="V49" s="7">
        <f>IF(U49=100,T49,"")</f>
        <v/>
      </c>
      <c r="W49" s="7">
        <f>T49</f>
        <v/>
      </c>
      <c r="X49" s="7">
        <f>T49+(100-U49)</f>
        <v/>
      </c>
      <c r="Y49" s="3" t="inlineStr">
        <is>
          <t>ISSUE-0066</t>
        </is>
      </c>
      <c r="Z49" s="3" t="inlineStr">
        <is>
          <t>D:\Shopify_Workspace\jeminise_seo\seo_runs\jeminise.com\20260906_234129\qa\20260907_182000\images\128_01.jpg; 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row>
    <row r="50" ht="66" customHeight="1">
      <c r="A50" s="2" t="inlineStr">
        <is>
          <t>jeminise.com+custom-wildlife-wolf-head-close-up-with-geometric-comforter-f005bbb79d-f005bbb79d</t>
        </is>
      </c>
      <c r="B50" s="2" t="inlineStr">
        <is>
          <t>img_af5fe706c19e3688</t>
        </is>
      </c>
      <c r="C50" s="4" t="inlineStr">
        <is>
          <t>https://cdn.shopify.com/s/files/1/0792/5098/1063/files/e2ace212c9c382ad5fd89ef08f8e0f553ab8c19afed18d86b27b5c3ba73d139b.jpg?v=1785181393</t>
        </is>
      </c>
      <c r="D50" s="4" t="inlineStr">
        <is>
          <t>https://cdn.shopify.com/s/files/1/0792/5098/1063/files/e2ace212c9c382ad5fd89ef08f8e0f553ab8c19afed18d86b27b5c3ba73d139b.jpg?v=1785181393</t>
        </is>
      </c>
      <c r="E50" s="2" t="inlineStr">
        <is>
          <t>47560077770951</t>
        </is>
      </c>
      <c r="F50" s="2" t="inlineStr">
        <is>
          <t>47560077770951</t>
        </is>
      </c>
      <c r="G50" s="2" t="inlineStr"/>
      <c r="H50" s="2" t="inlineStr">
        <is>
          <t>GALLERY</t>
        </is>
      </c>
      <c r="I50" s="2" t="inlineStr">
        <is>
          <t>DIRECT_IMAGE_DOWNLOAD_AND_SOURCE_ROW_REVIEW</t>
        </is>
      </c>
      <c r="J50" s="2" t="inlineStr">
        <is>
          <t>2026-09-07T18:40:50+07:00</t>
        </is>
      </c>
      <c r="K50" s="2" t="inlineStr">
        <is>
          <t>Direct QA opened downloaded image 128_02; source SHA 956AF6DEA78CD94E578DFF4C2EC6D7C87EAD2274131B04743BFFDAB32DAEA8BF. Submitted observation reviewed against gallery position.</t>
        </is>
      </c>
      <c r="L50" s="2" t="inlineStr">
        <is>
          <t>Secondary flat, close-up or bedroom mockup showing geometric wolf head quilt set.</t>
        </is>
      </c>
      <c r="M50" s="2" t="inlineStr">
        <is>
          <t>UNKNOWN</t>
        </is>
      </c>
      <c r="N50" s="2" t="inlineStr">
        <is>
          <t>SET</t>
        </is>
      </c>
      <c r="O50" s="2" t="inlineStr">
        <is>
          <t>Secondary mockup of Geometric Wolf Head Quilt Set</t>
        </is>
      </c>
      <c r="P50" s="2" t="inlineStr">
        <is>
          <t>FULL</t>
        </is>
      </c>
      <c r="Q50" s="2" t="inlineStr">
        <is>
          <t>FULL</t>
        </is>
      </c>
      <c r="R50" s="2" t="inlineStr">
        <is>
          <t>FULL</t>
        </is>
      </c>
      <c r="S50" s="2" t="inlineStr">
        <is>
          <t>FULL</t>
        </is>
      </c>
      <c r="T50" s="5">
        <f>IF(P50="FULL",40,IF(P50="PARTIAL",40/2,0))+IF(Q50="FULL",30,IF(Q50="PARTIAL",30/2,0))+IF(R50="FULL",20,IF(R50="PARTIAL",20/2,0))+IF(S50="FULL",10,IF(S50="PARTIAL",10/2,0))</f>
        <v/>
      </c>
      <c r="U50" s="5">
        <f>IF(P50="NOT_CHECKED",0,40)+IF(Q50="NOT_CHECKED",0,30)+IF(R50="NOT_CHECKED",0,20)+IF(S50="NOT_CHECKED",0,10)</f>
        <v/>
      </c>
      <c r="V50" s="5">
        <f>IF(U50=100,T50,"")</f>
        <v/>
      </c>
      <c r="W50" s="5">
        <f>T50</f>
        <v/>
      </c>
      <c r="X50" s="5">
        <f>T50+(100-U50)</f>
        <v/>
      </c>
      <c r="Y50" s="2" t="inlineStr"/>
      <c r="Z50" s="2" t="inlineStr">
        <is>
          <t>D:\Shopify_Workspace\jeminise_seo\seo_runs\jeminise.com\20260906_234129\qa\20260907_182000\images\128_02.jpg; 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row>
    <row r="51" ht="66" customHeight="1">
      <c r="A51" s="3" t="inlineStr">
        <is>
          <t>jeminise.com+custom-wildlife-wolf-head-close-up-with-geometric-comforter-f005bbb79d-f005bbb79d</t>
        </is>
      </c>
      <c r="B51" s="3" t="inlineStr">
        <is>
          <t>img_4cd2a3c30be030ff</t>
        </is>
      </c>
      <c r="C51" s="4" t="inlineStr">
        <is>
          <t>https://cdn.shopify.com/s/files/1/0792/5098/1063/files/ecef674ec02d2f501ba1ca24f63d76a59886600b070e7cf84ce106c8563dee5e.jpg?v=1785181393</t>
        </is>
      </c>
      <c r="D51" s="4" t="inlineStr">
        <is>
          <t>https://cdn.shopify.com/s/files/1/0792/5098/1063/files/ecef674ec02d2f501ba1ca24f63d76a59886600b070e7cf84ce106c8563dee5e.jpg?v=1785181393</t>
        </is>
      </c>
      <c r="E51" s="3" t="inlineStr">
        <is>
          <t>47560077803719</t>
        </is>
      </c>
      <c r="F51" s="3" t="inlineStr">
        <is>
          <t>47560077803719</t>
        </is>
      </c>
      <c r="G51" s="3" t="inlineStr"/>
      <c r="H51" s="3" t="inlineStr">
        <is>
          <t>GALLERY</t>
        </is>
      </c>
      <c r="I51" s="3" t="inlineStr">
        <is>
          <t>DIRECT_IMAGE_DOWNLOAD_AND_SOURCE_ROW_REVIEW</t>
        </is>
      </c>
      <c r="J51" s="3" t="inlineStr">
        <is>
          <t>2026-09-07T18:40:50+07:00</t>
        </is>
      </c>
      <c r="K51" s="3" t="inlineStr">
        <is>
          <t>Direct QA opened downloaded image 128_03; source SHA 3FE6C18606783FA9DA59D76A67D3A149FA51036075E328E4F35D082AA4861D15. Submitted observation reviewed against gallery position.</t>
        </is>
      </c>
      <c r="L51" s="3" t="inlineStr">
        <is>
          <t>Bedding type, feature, lifestyle or material image for geometric wolf head quilt set.</t>
        </is>
      </c>
      <c r="M51" s="3" t="inlineStr">
        <is>
          <t>UNKNOWN</t>
        </is>
      </c>
      <c r="N51" s="3" t="inlineStr">
        <is>
          <t>SET</t>
        </is>
      </c>
      <c r="O51" s="3" t="inlineStr">
        <is>
          <t>Product option, feature or lifestyle image for Geometric Wolf Head Quilt Set</t>
        </is>
      </c>
      <c r="P51" s="3" t="inlineStr">
        <is>
          <t>FULL</t>
        </is>
      </c>
      <c r="Q51" s="3" t="inlineStr">
        <is>
          <t>PARTIAL</t>
        </is>
      </c>
      <c r="R51" s="3" t="inlineStr">
        <is>
          <t>FULL</t>
        </is>
      </c>
      <c r="S51" s="3" t="inlineStr">
        <is>
          <t>FULL</t>
        </is>
      </c>
      <c r="T51" s="7">
        <f>IF(P51="FULL",40,IF(P51="PARTIAL",40/2,0))+IF(Q51="FULL",30,IF(Q51="PARTIAL",30/2,0))+IF(R51="FULL",20,IF(R51="PARTIAL",20/2,0))+IF(S51="FULL",10,IF(S51="PARTIAL",10/2,0))</f>
        <v/>
      </c>
      <c r="U51" s="7">
        <f>IF(P51="NOT_CHECKED",0,40)+IF(Q51="NOT_CHECKED",0,30)+IF(R51="NOT_CHECKED",0,20)+IF(S51="NOT_CHECKED",0,10)</f>
        <v/>
      </c>
      <c r="V51" s="7">
        <f>IF(U51=100,T51,"")</f>
        <v/>
      </c>
      <c r="W51" s="7">
        <f>T51</f>
        <v/>
      </c>
      <c r="X51" s="7">
        <f>T51+(100-U51)</f>
        <v/>
      </c>
      <c r="Y51" s="3" t="inlineStr">
        <is>
          <t>ISSUE-0067</t>
        </is>
      </c>
      <c r="Z51" s="3" t="inlineStr">
        <is>
          <t>D:\Shopify_Workspace\jeminise_seo\seo_runs\jeminise.com\20260906_234129\qa\20260907_182000\images\128_03.jpg; 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row>
    <row r="52" ht="66" customHeight="1">
      <c r="A52" s="2" t="inlineStr">
        <is>
          <t>jeminise.com+custom-wildlife-wolf-head-close-up-with-geometric-comforter-f005bbb79d-f005bbb79d</t>
        </is>
      </c>
      <c r="B52" s="2" t="inlineStr">
        <is>
          <t>img_9e492c22987e362d</t>
        </is>
      </c>
      <c r="C52" s="4" t="inlineStr">
        <is>
          <t>https://cdn.shopify.com/s/files/1/0792/5098/1063/files/56fd8b810c302c8bc32b9136dbd1e0ff71e7ad1f16c4cc2bc8b7746a3ff61db6.jpg?v=1785181393</t>
        </is>
      </c>
      <c r="D52" s="4" t="inlineStr">
        <is>
          <t>https://cdn.shopify.com/s/files/1/0792/5098/1063/files/56fd8b810c302c8bc32b9136dbd1e0ff71e7ad1f16c4cc2bc8b7746a3ff61db6.jpg?v=1785181393</t>
        </is>
      </c>
      <c r="E52" s="2" t="inlineStr">
        <is>
          <t>47560077836487</t>
        </is>
      </c>
      <c r="F52" s="2" t="inlineStr">
        <is>
          <t>47560077836487</t>
        </is>
      </c>
      <c r="G52" s="2" t="inlineStr"/>
      <c r="H52" s="2" t="inlineStr">
        <is>
          <t>GALLERY</t>
        </is>
      </c>
      <c r="I52" s="2" t="inlineStr">
        <is>
          <t>DIRECT_IMAGE_DOWNLOAD_AND_SOURCE_ROW_REVIEW</t>
        </is>
      </c>
      <c r="J52" s="2" t="inlineStr">
        <is>
          <t>2026-09-07T18:40:50+07:00</t>
        </is>
      </c>
      <c r="K52" s="2" t="inlineStr">
        <is>
          <t>Direct QA opened downloaded image 128_04; source SHA 7665FAE8F0D9BDA7E7394F80EA6DB2BF49FB9079908D7FF93418337388810D58. Submitted observation reviewed against gallery position.</t>
        </is>
      </c>
      <c r="L52" s="2" t="inlineStr">
        <is>
          <t>Detail, feature panel or lifestyle image connected to geometric wolf head quilt set.</t>
        </is>
      </c>
      <c r="M52" s="2" t="inlineStr">
        <is>
          <t>UNKNOWN</t>
        </is>
      </c>
      <c r="N52" s="2" t="inlineStr">
        <is>
          <t>SET</t>
        </is>
      </c>
      <c r="O52" s="2" t="inlineStr">
        <is>
          <t>Detail or feature image for Geometric Wolf Head Quilt Set</t>
        </is>
      </c>
      <c r="P52" s="2" t="inlineStr">
        <is>
          <t>FULL</t>
        </is>
      </c>
      <c r="Q52" s="2" t="inlineStr">
        <is>
          <t>PARTIAL</t>
        </is>
      </c>
      <c r="R52" s="2" t="inlineStr">
        <is>
          <t>FULL</t>
        </is>
      </c>
      <c r="S52" s="2" t="inlineStr">
        <is>
          <t>FULL</t>
        </is>
      </c>
      <c r="T52" s="5">
        <f>IF(P52="FULL",40,IF(P52="PARTIAL",40/2,0))+IF(Q52="FULL",30,IF(Q52="PARTIAL",30/2,0))+IF(R52="FULL",20,IF(R52="PARTIAL",20/2,0))+IF(S52="FULL",10,IF(S52="PARTIAL",10/2,0))</f>
        <v/>
      </c>
      <c r="U52" s="5">
        <f>IF(P52="NOT_CHECKED",0,40)+IF(Q52="NOT_CHECKED",0,30)+IF(R52="NOT_CHECKED",0,20)+IF(S52="NOT_CHECKED",0,10)</f>
        <v/>
      </c>
      <c r="V52" s="5">
        <f>IF(U52=100,T52,"")</f>
        <v/>
      </c>
      <c r="W52" s="5">
        <f>T52</f>
        <v/>
      </c>
      <c r="X52" s="5">
        <f>T52+(100-U52)</f>
        <v/>
      </c>
      <c r="Y52" s="2" t="inlineStr">
        <is>
          <t>ISSUE-0068</t>
        </is>
      </c>
      <c r="Z52" s="2" t="inlineStr">
        <is>
          <t>D:\Shopify_Workspace\jeminise_seo\seo_runs\jeminise.com\20260906_234129\qa\20260907_182000\images\128_04.jpg; 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row>
    <row r="53" ht="66" customHeight="1">
      <c r="A53" s="3" t="inlineStr">
        <is>
          <t>jeminise.com+custom-wildlife-wolf-head-close-up-with-geometric-comforter-f005bbb79d-f005bbb79d</t>
        </is>
      </c>
      <c r="B53" s="3" t="inlineStr">
        <is>
          <t>img_c90df811c5d437b5</t>
        </is>
      </c>
      <c r="C53" s="4" t="inlineStr">
        <is>
          <t>https://cdn.shopify.com/s/files/1/0792/5098/1063/files/666e402de87a36865f25b35367771908b8619bf86bc6e37660461d48ce76f12b.jpg?v=1785181393</t>
        </is>
      </c>
      <c r="D53" s="4" t="inlineStr">
        <is>
          <t>https://cdn.shopify.com/s/files/1/0792/5098/1063/files/666e402de87a36865f25b35367771908b8619bf86bc6e37660461d48ce76f12b.jpg?v=1785181393</t>
        </is>
      </c>
      <c r="E53" s="3" t="inlineStr">
        <is>
          <t>47560077869255</t>
        </is>
      </c>
      <c r="F53" s="3" t="inlineStr">
        <is>
          <t>47560077869255</t>
        </is>
      </c>
      <c r="G53" s="3" t="inlineStr"/>
      <c r="H53" s="3" t="inlineStr">
        <is>
          <t>GALLERY</t>
        </is>
      </c>
      <c r="I53" s="3" t="inlineStr">
        <is>
          <t>DIRECT_IMAGE_DOWNLOAD_AND_SOURCE_ROW_REVIEW</t>
        </is>
      </c>
      <c r="J53" s="3" t="inlineStr">
        <is>
          <t>2026-09-07T18:40:50+07:00</t>
        </is>
      </c>
      <c r="K53" s="3" t="inlineStr">
        <is>
          <t>Direct QA opened downloaded image 128_05; source SHA EABAD6B15E1612FCBA7804D70D43482ED45B142C91417FAC88AFA50AD251E2B6. Submitted observation reviewed against gallery position.</t>
        </is>
      </c>
      <c r="L53" s="3" t="inlineStr">
        <is>
          <t>Additional mockup, care or size information for geometric wolf head quilt set.</t>
        </is>
      </c>
      <c r="M53" s="3" t="inlineStr">
        <is>
          <t>UNKNOWN</t>
        </is>
      </c>
      <c r="N53" s="3" t="inlineStr">
        <is>
          <t>SET</t>
        </is>
      </c>
      <c r="O53" s="3" t="inlineStr">
        <is>
          <t>Additional product mockup or care information for Geometric Wolf Head Quilt Set</t>
        </is>
      </c>
      <c r="P53" s="3" t="inlineStr">
        <is>
          <t>FULL</t>
        </is>
      </c>
      <c r="Q53" s="3" t="inlineStr">
        <is>
          <t>FULL</t>
        </is>
      </c>
      <c r="R53" s="3" t="inlineStr">
        <is>
          <t>FULL</t>
        </is>
      </c>
      <c r="S53" s="3" t="inlineStr">
        <is>
          <t>FULL</t>
        </is>
      </c>
      <c r="T53" s="7">
        <f>IF(P53="FULL",40,IF(P53="PARTIAL",40/2,0))+IF(Q53="FULL",30,IF(Q53="PARTIAL",30/2,0))+IF(R53="FULL",20,IF(R53="PARTIAL",20/2,0))+IF(S53="FULL",10,IF(S53="PARTIAL",10/2,0))</f>
        <v/>
      </c>
      <c r="U53" s="7">
        <f>IF(P53="NOT_CHECKED",0,40)+IF(Q53="NOT_CHECKED",0,30)+IF(R53="NOT_CHECKED",0,20)+IF(S53="NOT_CHECKED",0,10)</f>
        <v/>
      </c>
      <c r="V53" s="7">
        <f>IF(U53=100,T53,"")</f>
        <v/>
      </c>
      <c r="W53" s="7">
        <f>T53</f>
        <v/>
      </c>
      <c r="X53" s="7">
        <f>T53+(100-U53)</f>
        <v/>
      </c>
      <c r="Y53" s="3" t="inlineStr"/>
      <c r="Z53" s="3" t="inlineStr">
        <is>
          <t>D:\Shopify_Workspace\jeminise_seo\seo_runs\jeminise.com\20260906_234129\qa\20260907_182000\images\128_05.jpg; 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row>
    <row r="54" ht="66" customHeight="1">
      <c r="A54" s="2" t="inlineStr">
        <is>
          <t>jeminise.com+custom-wildlife-wolf-head-with-feathers-in-profile-comforter-0b1ab59a17-0b1ab59a17</t>
        </is>
      </c>
      <c r="B54" s="2" t="inlineStr">
        <is>
          <t>img_f2891a3431812357</t>
        </is>
      </c>
      <c r="C54" s="4" t="inlineStr">
        <is>
          <t>https://cdn.shopify.com/s/files/1/0792/5098/1063/files/1253d3cdaec810d23a956125b83478f66f286ecb5f5ed21d03a3f7393ca515f1.jpg?v=1785181472</t>
        </is>
      </c>
      <c r="D54" s="4" t="inlineStr">
        <is>
          <t>https://cdn.shopify.com/s/files/1/0792/5098/1063/files/1253d3cdaec810d23a956125b83478f66f286ecb5f5ed21d03a3f7393ca515f1.jpg?v=1785181472</t>
        </is>
      </c>
      <c r="E54" s="2" t="inlineStr">
        <is>
          <t>47560098545863</t>
        </is>
      </c>
      <c r="F54" s="2" t="inlineStr">
        <is>
          <t>47560098545863</t>
        </is>
      </c>
      <c r="G54" s="2" t="inlineStr"/>
      <c r="H54" s="2" t="inlineStr">
        <is>
          <t>GALLERY</t>
        </is>
      </c>
      <c r="I54" s="2" t="inlineStr">
        <is>
          <t>DIRECT_IMAGE_DOWNLOAD_AND_SOURCE_ROW_REVIEW</t>
        </is>
      </c>
      <c r="J54" s="2" t="inlineStr">
        <is>
          <t>2026-09-07T18:40:50+07:00</t>
        </is>
      </c>
      <c r="K54" s="2" t="inlineStr">
        <is>
          <t>Direct QA opened downloaded image 129_01; source SHA D1125A00A6AB27B5850C35483900D95C37BC1DF518D7BEE4E7A7243501F0B0A3. Submitted observation reviewed against gallery position.</t>
        </is>
      </c>
      <c r="L54" s="2" t="inlineStr">
        <is>
          <t>Main product mockup showing profile wolf head with feathers quilt.</t>
        </is>
      </c>
      <c r="M54" s="2" t="inlineStr">
        <is>
          <t>UNKNOWN</t>
        </is>
      </c>
      <c r="N54" s="2" t="inlineStr">
        <is>
          <t>SET</t>
        </is>
      </c>
      <c r="O54" s="2" t="inlineStr">
        <is>
          <t>Profile Wolf Head with Feathers Quilt displayed in a main product mockup</t>
        </is>
      </c>
      <c r="P54" s="2" t="inlineStr">
        <is>
          <t>FULL</t>
        </is>
      </c>
      <c r="Q54" s="2" t="inlineStr">
        <is>
          <t>FULL</t>
        </is>
      </c>
      <c r="R54" s="2" t="inlineStr">
        <is>
          <t>PARTIAL</t>
        </is>
      </c>
      <c r="S54" s="2" t="inlineStr">
        <is>
          <t>FULL</t>
        </is>
      </c>
      <c r="T54" s="5">
        <f>IF(P54="FULL",40,IF(P54="PARTIAL",40/2,0))+IF(Q54="FULL",30,IF(Q54="PARTIAL",30/2,0))+IF(R54="FULL",20,IF(R54="PARTIAL",20/2,0))+IF(S54="FULL",10,IF(S54="PARTIAL",10/2,0))</f>
        <v/>
      </c>
      <c r="U54" s="5">
        <f>IF(P54="NOT_CHECKED",0,40)+IF(Q54="NOT_CHECKED",0,30)+IF(R54="NOT_CHECKED",0,20)+IF(S54="NOT_CHECKED",0,10)</f>
        <v/>
      </c>
      <c r="V54" s="5">
        <f>IF(U54=100,T54,"")</f>
        <v/>
      </c>
      <c r="W54" s="5">
        <f>T54</f>
        <v/>
      </c>
      <c r="X54" s="5">
        <f>T54+(100-U54)</f>
        <v/>
      </c>
      <c r="Y54" s="2" t="inlineStr">
        <is>
          <t>ISSUE-0073</t>
        </is>
      </c>
      <c r="Z54" s="2" t="inlineStr">
        <is>
          <t>D:\Shopify_Workspace\jeminise_seo\seo_runs\jeminise.com\20260906_234129\qa\20260907_182000\images\129_01.jpg; 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row>
    <row r="55" ht="66" customHeight="1">
      <c r="A55" s="3" t="inlineStr">
        <is>
          <t>jeminise.com+custom-wildlife-wolf-head-with-feathers-in-profile-comforter-0b1ab59a17-0b1ab59a17</t>
        </is>
      </c>
      <c r="B55" s="3" t="inlineStr">
        <is>
          <t>img_c9d1a8b3327995d1</t>
        </is>
      </c>
      <c r="C55" s="4" t="inlineStr">
        <is>
          <t>https://cdn.shopify.com/s/files/1/0792/5098/1063/files/398a2a19abd4817d3ec37901d5b531be11ca0332c3b18cb69053b56dc42febfd.jpg?v=1785181471</t>
        </is>
      </c>
      <c r="D55" s="4" t="inlineStr">
        <is>
          <t>https://cdn.shopify.com/s/files/1/0792/5098/1063/files/398a2a19abd4817d3ec37901d5b531be11ca0332c3b18cb69053b56dc42febfd.jpg?v=1785181471</t>
        </is>
      </c>
      <c r="E55" s="3" t="inlineStr">
        <is>
          <t>47560098578631</t>
        </is>
      </c>
      <c r="F55" s="3" t="inlineStr">
        <is>
          <t>47560098578631</t>
        </is>
      </c>
      <c r="G55" s="3" t="inlineStr"/>
      <c r="H55" s="3" t="inlineStr">
        <is>
          <t>GALLERY</t>
        </is>
      </c>
      <c r="I55" s="3" t="inlineStr">
        <is>
          <t>DIRECT_IMAGE_DOWNLOAD_AND_SOURCE_ROW_REVIEW</t>
        </is>
      </c>
      <c r="J55" s="3" t="inlineStr">
        <is>
          <t>2026-09-07T18:40:50+07:00</t>
        </is>
      </c>
      <c r="K55" s="3" t="inlineStr">
        <is>
          <t>Direct QA opened downloaded image 129_02; source SHA 6FAF66AD1686590E148BC95FC340A3D56A026E37AEF92F18C9BBECFB0C254D7B. Submitted observation reviewed against gallery position.</t>
        </is>
      </c>
      <c r="L55" s="3" t="inlineStr">
        <is>
          <t>Secondary flat, close-up or bedroom mockup showing profile wolf head with feathers quilt.</t>
        </is>
      </c>
      <c r="M55" s="3" t="inlineStr">
        <is>
          <t>UNKNOWN</t>
        </is>
      </c>
      <c r="N55" s="3" t="inlineStr">
        <is>
          <t>SET</t>
        </is>
      </c>
      <c r="O55" s="3" t="inlineStr">
        <is>
          <t>Secondary mockup of Profile Wolf Head with Feathers Quilt</t>
        </is>
      </c>
      <c r="P55" s="3" t="inlineStr">
        <is>
          <t>FULL</t>
        </is>
      </c>
      <c r="Q55" s="3" t="inlineStr">
        <is>
          <t>FULL</t>
        </is>
      </c>
      <c r="R55" s="3" t="inlineStr">
        <is>
          <t>FULL</t>
        </is>
      </c>
      <c r="S55" s="3" t="inlineStr">
        <is>
          <t>FULL</t>
        </is>
      </c>
      <c r="T55" s="7">
        <f>IF(P55="FULL",40,IF(P55="PARTIAL",40/2,0))+IF(Q55="FULL",30,IF(Q55="PARTIAL",30/2,0))+IF(R55="FULL",20,IF(R55="PARTIAL",20/2,0))+IF(S55="FULL",10,IF(S55="PARTIAL",10/2,0))</f>
        <v/>
      </c>
      <c r="U55" s="7">
        <f>IF(P55="NOT_CHECKED",0,40)+IF(Q55="NOT_CHECKED",0,30)+IF(R55="NOT_CHECKED",0,20)+IF(S55="NOT_CHECKED",0,10)</f>
        <v/>
      </c>
      <c r="V55" s="7">
        <f>IF(U55=100,T55,"")</f>
        <v/>
      </c>
      <c r="W55" s="7">
        <f>T55</f>
        <v/>
      </c>
      <c r="X55" s="7">
        <f>T55+(100-U55)</f>
        <v/>
      </c>
      <c r="Y55" s="3" t="inlineStr"/>
      <c r="Z55" s="3" t="inlineStr">
        <is>
          <t>D:\Shopify_Workspace\jeminise_seo\seo_runs\jeminise.com\20260906_234129\qa\20260907_182000\images\129_02.jpg; 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row>
    <row r="56" ht="66" customHeight="1">
      <c r="A56" s="2" t="inlineStr">
        <is>
          <t>jeminise.com+custom-wildlife-wolf-head-with-feathers-in-profile-comforter-0b1ab59a17-0b1ab59a17</t>
        </is>
      </c>
      <c r="B56" s="2" t="inlineStr">
        <is>
          <t>img_4c2597546d6ec493</t>
        </is>
      </c>
      <c r="C56" s="4" t="inlineStr">
        <is>
          <t>https://cdn.shopify.com/s/files/1/0792/5098/1063/files/541eb95a3e153e2bd30304d2f0c7d58871b9b691ba6c938f9e6f6eccf38ee7ae.jpg?v=1785181471</t>
        </is>
      </c>
      <c r="D56" s="4" t="inlineStr">
        <is>
          <t>https://cdn.shopify.com/s/files/1/0792/5098/1063/files/541eb95a3e153e2bd30304d2f0c7d58871b9b691ba6c938f9e6f6eccf38ee7ae.jpg?v=1785181471</t>
        </is>
      </c>
      <c r="E56" s="2" t="inlineStr">
        <is>
          <t>47560098611399</t>
        </is>
      </c>
      <c r="F56" s="2" t="inlineStr">
        <is>
          <t>47560098611399</t>
        </is>
      </c>
      <c r="G56" s="2" t="inlineStr"/>
      <c r="H56" s="2" t="inlineStr">
        <is>
          <t>GALLERY</t>
        </is>
      </c>
      <c r="I56" s="2" t="inlineStr">
        <is>
          <t>DIRECT_IMAGE_DOWNLOAD_AND_SOURCE_ROW_REVIEW</t>
        </is>
      </c>
      <c r="J56" s="2" t="inlineStr">
        <is>
          <t>2026-09-07T18:40:50+07:00</t>
        </is>
      </c>
      <c r="K56" s="2" t="inlineStr">
        <is>
          <t>Direct QA opened downloaded image 129_03; source SHA 135CC4BE02C9B13C6011DD4FCCDE3FF163778964EC169FFF2E3107A16C6FB649. Submitted observation reviewed against gallery position.</t>
        </is>
      </c>
      <c r="L56" s="2" t="inlineStr">
        <is>
          <t>Bedding type, feature, lifestyle or material image for profile wolf head with feathers quilt.</t>
        </is>
      </c>
      <c r="M56" s="2" t="inlineStr">
        <is>
          <t>UNKNOWN</t>
        </is>
      </c>
      <c r="N56" s="2" t="inlineStr">
        <is>
          <t>SET</t>
        </is>
      </c>
      <c r="O56" s="2" t="inlineStr">
        <is>
          <t>Product option, feature or lifestyle image for Profile Wolf Head with Feathers Quilt</t>
        </is>
      </c>
      <c r="P56" s="2" t="inlineStr">
        <is>
          <t>FULL</t>
        </is>
      </c>
      <c r="Q56" s="2" t="inlineStr">
        <is>
          <t>PARTIAL</t>
        </is>
      </c>
      <c r="R56" s="2" t="inlineStr">
        <is>
          <t>FULL</t>
        </is>
      </c>
      <c r="S56" s="2" t="inlineStr">
        <is>
          <t>FULL</t>
        </is>
      </c>
      <c r="T56" s="5">
        <f>IF(P56="FULL",40,IF(P56="PARTIAL",40/2,0))+IF(Q56="FULL",30,IF(Q56="PARTIAL",30/2,0))+IF(R56="FULL",20,IF(R56="PARTIAL",20/2,0))+IF(S56="FULL",10,IF(S56="PARTIAL",10/2,0))</f>
        <v/>
      </c>
      <c r="U56" s="5">
        <f>IF(P56="NOT_CHECKED",0,40)+IF(Q56="NOT_CHECKED",0,30)+IF(R56="NOT_CHECKED",0,20)+IF(S56="NOT_CHECKED",0,10)</f>
        <v/>
      </c>
      <c r="V56" s="5">
        <f>IF(U56=100,T56,"")</f>
        <v/>
      </c>
      <c r="W56" s="5">
        <f>T56</f>
        <v/>
      </c>
      <c r="X56" s="5">
        <f>T56+(100-U56)</f>
        <v/>
      </c>
      <c r="Y56" s="2" t="inlineStr">
        <is>
          <t>ISSUE-0074</t>
        </is>
      </c>
      <c r="Z56" s="2" t="inlineStr">
        <is>
          <t>D:\Shopify_Workspace\jeminise_seo\seo_runs\jeminise.com\20260906_234129\qa\20260907_182000\images\129_03.jpg; 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row>
    <row r="57" ht="66" customHeight="1">
      <c r="A57" s="3" t="inlineStr">
        <is>
          <t>jeminise.com+custom-wildlife-wolf-head-with-feathers-in-profile-comforter-0b1ab59a17-0b1ab59a17</t>
        </is>
      </c>
      <c r="B57" s="3" t="inlineStr">
        <is>
          <t>img_35a6ae2ad566a8df</t>
        </is>
      </c>
      <c r="C57" s="4" t="inlineStr">
        <is>
          <t>https://cdn.shopify.com/s/files/1/0792/5098/1063/files/4c27f7256fa9da62b223d070c922bc959741e9b1746ebb87947cf2161d1917b0.jpg?v=1785181471</t>
        </is>
      </c>
      <c r="D57" s="4" t="inlineStr">
        <is>
          <t>https://cdn.shopify.com/s/files/1/0792/5098/1063/files/4c27f7256fa9da62b223d070c922bc959741e9b1746ebb87947cf2161d1917b0.jpg?v=1785181471</t>
        </is>
      </c>
      <c r="E57" s="3" t="inlineStr">
        <is>
          <t>47560098644167</t>
        </is>
      </c>
      <c r="F57" s="3" t="inlineStr">
        <is>
          <t>47560098644167</t>
        </is>
      </c>
      <c r="G57" s="3" t="inlineStr"/>
      <c r="H57" s="3" t="inlineStr">
        <is>
          <t>GALLERY</t>
        </is>
      </c>
      <c r="I57" s="3" t="inlineStr">
        <is>
          <t>DIRECT_IMAGE_DOWNLOAD_AND_SOURCE_ROW_REVIEW</t>
        </is>
      </c>
      <c r="J57" s="3" t="inlineStr">
        <is>
          <t>2026-09-07T18:40:50+07:00</t>
        </is>
      </c>
      <c r="K57" s="3" t="inlineStr">
        <is>
          <t>Direct QA opened downloaded image 129_04; source SHA BBFB95D4392E961BC8B40C7EFB5ED64DB317EECA5465AD876D8045FE8D0036CF. Submitted observation reviewed against gallery position.</t>
        </is>
      </c>
      <c r="L57" s="3" t="inlineStr">
        <is>
          <t>Detail, feature panel or lifestyle image connected to profile wolf head with feathers quilt.</t>
        </is>
      </c>
      <c r="M57" s="3" t="inlineStr">
        <is>
          <t>UNKNOWN</t>
        </is>
      </c>
      <c r="N57" s="3" t="inlineStr">
        <is>
          <t>SET</t>
        </is>
      </c>
      <c r="O57" s="3" t="inlineStr">
        <is>
          <t>Detail or feature image for Profile Wolf Head with Feathers Quilt</t>
        </is>
      </c>
      <c r="P57" s="3" t="inlineStr">
        <is>
          <t>FULL</t>
        </is>
      </c>
      <c r="Q57" s="3" t="inlineStr">
        <is>
          <t>PARTIAL</t>
        </is>
      </c>
      <c r="R57" s="3" t="inlineStr">
        <is>
          <t>FULL</t>
        </is>
      </c>
      <c r="S57" s="3" t="inlineStr">
        <is>
          <t>FULL</t>
        </is>
      </c>
      <c r="T57" s="7">
        <f>IF(P57="FULL",40,IF(P57="PARTIAL",40/2,0))+IF(Q57="FULL",30,IF(Q57="PARTIAL",30/2,0))+IF(R57="FULL",20,IF(R57="PARTIAL",20/2,0))+IF(S57="FULL",10,IF(S57="PARTIAL",10/2,0))</f>
        <v/>
      </c>
      <c r="U57" s="7">
        <f>IF(P57="NOT_CHECKED",0,40)+IF(Q57="NOT_CHECKED",0,30)+IF(R57="NOT_CHECKED",0,20)+IF(S57="NOT_CHECKED",0,10)</f>
        <v/>
      </c>
      <c r="V57" s="7">
        <f>IF(U57=100,T57,"")</f>
        <v/>
      </c>
      <c r="W57" s="7">
        <f>T57</f>
        <v/>
      </c>
      <c r="X57" s="7">
        <f>T57+(100-U57)</f>
        <v/>
      </c>
      <c r="Y57" s="3" t="inlineStr">
        <is>
          <t>ISSUE-0075</t>
        </is>
      </c>
      <c r="Z57" s="3" t="inlineStr">
        <is>
          <t>D:\Shopify_Workspace\jeminise_seo\seo_runs\jeminise.com\20260906_234129\qa\20260907_182000\images\129_04.jpg; 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row>
    <row r="58" ht="66" customHeight="1">
      <c r="A58" s="2" t="inlineStr">
        <is>
          <t>jeminise.com+custom-wildlife-wolf-head-with-feathers-in-profile-comforter-0b1ab59a17-0b1ab59a17</t>
        </is>
      </c>
      <c r="B58" s="2" t="inlineStr">
        <is>
          <t>img_a57d5505e72c19be</t>
        </is>
      </c>
      <c r="C58" s="4" t="inlineStr">
        <is>
          <t>https://cdn.shopify.com/s/files/1/0792/5098/1063/files/06a1d66de78b9d4c032e2755da46ca361ce2886dc184b262ea9dd71908a64fcd.jpg?v=1785181471</t>
        </is>
      </c>
      <c r="D58" s="4" t="inlineStr">
        <is>
          <t>https://cdn.shopify.com/s/files/1/0792/5098/1063/files/06a1d66de78b9d4c032e2755da46ca361ce2886dc184b262ea9dd71908a64fcd.jpg?v=1785181471</t>
        </is>
      </c>
      <c r="E58" s="2" t="inlineStr">
        <is>
          <t>47560098676935</t>
        </is>
      </c>
      <c r="F58" s="2" t="inlineStr">
        <is>
          <t>47560098676935</t>
        </is>
      </c>
      <c r="G58" s="2" t="inlineStr"/>
      <c r="H58" s="2" t="inlineStr">
        <is>
          <t>GALLERY</t>
        </is>
      </c>
      <c r="I58" s="2" t="inlineStr">
        <is>
          <t>DIRECT_IMAGE_DOWNLOAD_AND_SOURCE_ROW_REVIEW</t>
        </is>
      </c>
      <c r="J58" s="2" t="inlineStr">
        <is>
          <t>2026-09-07T18:40:50+07:00</t>
        </is>
      </c>
      <c r="K58" s="2" t="inlineStr">
        <is>
          <t>Direct QA opened downloaded image 129_05; source SHA 73FDBD3AAA93BBD0159F8983097C4E5CE53109FFCC7FFF9D85FD0A2B07998E43. Submitted observation reviewed against gallery position.</t>
        </is>
      </c>
      <c r="L58" s="2" t="inlineStr">
        <is>
          <t>Additional mockup, care or size information for profile wolf head with feathers quilt.</t>
        </is>
      </c>
      <c r="M58" s="2" t="inlineStr">
        <is>
          <t>UNKNOWN</t>
        </is>
      </c>
      <c r="N58" s="2" t="inlineStr">
        <is>
          <t>SET</t>
        </is>
      </c>
      <c r="O58" s="2" t="inlineStr">
        <is>
          <t>Additional product mockup or care information for Profile Wolf Head with Feathers Quilt</t>
        </is>
      </c>
      <c r="P58" s="2" t="inlineStr">
        <is>
          <t>FULL</t>
        </is>
      </c>
      <c r="Q58" s="2" t="inlineStr">
        <is>
          <t>FULL</t>
        </is>
      </c>
      <c r="R58" s="2" t="inlineStr">
        <is>
          <t>FULL</t>
        </is>
      </c>
      <c r="S58" s="2" t="inlineStr">
        <is>
          <t>FULL</t>
        </is>
      </c>
      <c r="T58" s="5">
        <f>IF(P58="FULL",40,IF(P58="PARTIAL",40/2,0))+IF(Q58="FULL",30,IF(Q58="PARTIAL",30/2,0))+IF(R58="FULL",20,IF(R58="PARTIAL",20/2,0))+IF(S58="FULL",10,IF(S58="PARTIAL",10/2,0))</f>
        <v/>
      </c>
      <c r="U58" s="5">
        <f>IF(P58="NOT_CHECKED",0,40)+IF(Q58="NOT_CHECKED",0,30)+IF(R58="NOT_CHECKED",0,20)+IF(S58="NOT_CHECKED",0,10)</f>
        <v/>
      </c>
      <c r="V58" s="5">
        <f>IF(U58=100,T58,"")</f>
        <v/>
      </c>
      <c r="W58" s="5">
        <f>T58</f>
        <v/>
      </c>
      <c r="X58" s="5">
        <f>T58+(100-U58)</f>
        <v/>
      </c>
      <c r="Y58" s="2" t="inlineStr"/>
      <c r="Z58" s="2" t="inlineStr">
        <is>
          <t>D:\Shopify_Workspace\jeminise_seo\seo_runs\jeminise.com\20260906_234129\qa\20260907_182000\images\129_05.jpg; 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row>
    <row r="59" ht="66" customHeight="1">
      <c r="A59" s="3" t="inlineStr">
        <is>
          <t>jeminise.com+custom-wolf-head-centered-in-dreamcatcher-comforter-be6b37a3e1-be6b37a3e1</t>
        </is>
      </c>
      <c r="B59" s="3" t="inlineStr">
        <is>
          <t>img_3012432397b07c26</t>
        </is>
      </c>
      <c r="C59" s="4" t="inlineStr">
        <is>
          <t>https://cdn.shopify.com/s/files/1/0792/5098/1063/files/020fde2da418c08d9376ad45c1918438d55d39a2b4217c6ecc488895a8b7ff9b.jpg?v=1785181290</t>
        </is>
      </c>
      <c r="D59" s="4" t="inlineStr">
        <is>
          <t>https://cdn.shopify.com/s/files/1/0792/5098/1063/files/020fde2da418c08d9376ad45c1918438d55d39a2b4217c6ecc488895a8b7ff9b.jpg?v=1785181290</t>
        </is>
      </c>
      <c r="E59" s="3" t="inlineStr">
        <is>
          <t>47560050770119</t>
        </is>
      </c>
      <c r="F59" s="3" t="inlineStr">
        <is>
          <t>47560050770119</t>
        </is>
      </c>
      <c r="G59" s="3" t="inlineStr"/>
      <c r="H59" s="3" t="inlineStr">
        <is>
          <t>GALLERY</t>
        </is>
      </c>
      <c r="I59" s="3" t="inlineStr">
        <is>
          <t>DIRECT_IMAGE_DOWNLOAD_AND_SOURCE_ROW_REVIEW</t>
        </is>
      </c>
      <c r="J59" s="3" t="inlineStr">
        <is>
          <t>2026-09-07T18:40:50+07:00</t>
        </is>
      </c>
      <c r="K59" s="3" t="inlineStr">
        <is>
          <t>Direct QA opened downloaded image 130_01; source SHA 81015F248C3F2A00FE715886AFEF0B40290B9DC20B9EDC3F3EED9C86EFB8F9B2. Submitted observation reviewed against gallery position.</t>
        </is>
      </c>
      <c r="L59" s="3" t="inlineStr">
        <is>
          <t>Main product mockup showing wolf dreamcatcher quilt with feathers.</t>
        </is>
      </c>
      <c r="M59" s="3" t="inlineStr">
        <is>
          <t>UNKNOWN</t>
        </is>
      </c>
      <c r="N59" s="3" t="inlineStr">
        <is>
          <t>SET</t>
        </is>
      </c>
      <c r="O59" s="3" t="inlineStr">
        <is>
          <t>Wolf Dreamcatcher Quilt with Feathers displayed in a main product mockup</t>
        </is>
      </c>
      <c r="P59" s="3" t="inlineStr">
        <is>
          <t>FULL</t>
        </is>
      </c>
      <c r="Q59" s="3" t="inlineStr">
        <is>
          <t>FULL</t>
        </is>
      </c>
      <c r="R59" s="3" t="inlineStr">
        <is>
          <t>PARTIAL</t>
        </is>
      </c>
      <c r="S59" s="3" t="inlineStr">
        <is>
          <t>FULL</t>
        </is>
      </c>
      <c r="T59" s="7">
        <f>IF(P59="FULL",40,IF(P59="PARTIAL",40/2,0))+IF(Q59="FULL",30,IF(Q59="PARTIAL",30/2,0))+IF(R59="FULL",20,IF(R59="PARTIAL",20/2,0))+IF(S59="FULL",10,IF(S59="PARTIAL",10/2,0))</f>
        <v/>
      </c>
      <c r="U59" s="7">
        <f>IF(P59="NOT_CHECKED",0,40)+IF(Q59="NOT_CHECKED",0,30)+IF(R59="NOT_CHECKED",0,20)+IF(S59="NOT_CHECKED",0,10)</f>
        <v/>
      </c>
      <c r="V59" s="7">
        <f>IF(U59=100,T59,"")</f>
        <v/>
      </c>
      <c r="W59" s="7">
        <f>T59</f>
        <v/>
      </c>
      <c r="X59" s="7">
        <f>T59+(100-U59)</f>
        <v/>
      </c>
      <c r="Y59" s="3" t="inlineStr">
        <is>
          <t>ISSUE-0080</t>
        </is>
      </c>
      <c r="Z59" s="3" t="inlineStr">
        <is>
          <t>D:\Shopify_Workspace\jeminise_seo\seo_runs\jeminise.com\20260906_234129\qa\20260907_182000\images\130_01.jpg; seo_runs\jeminise.com\20260906_234129\evidence\images\130_custom-wolf-head-centered-in-dreamcatcher-comforter-be6b37a3e1-be6b37a3e1\image_01_47560050770119.jpg; seo_runs\jeminise.com\20260906_234129\evidence\contact_sheets\130_custom-wolf-head-centered-in-dreamcatcher-comforter-be6b37a3e1-be6b37a3e1.jpg</t>
        </is>
      </c>
    </row>
    <row r="60" ht="66" customHeight="1">
      <c r="A60" s="2" t="inlineStr">
        <is>
          <t>jeminise.com+custom-wolf-head-centered-in-dreamcatcher-comforter-be6b37a3e1-be6b37a3e1</t>
        </is>
      </c>
      <c r="B60" s="2" t="inlineStr">
        <is>
          <t>img_c4f504c06096ba41</t>
        </is>
      </c>
      <c r="C60" s="4" t="inlineStr">
        <is>
          <t>https://cdn.shopify.com/s/files/1/0792/5098/1063/files/70e56f4add645d5df13a1f64670e7e344b031040e5dc0d56fb8df4d2009ff937.jpg?v=1785181290</t>
        </is>
      </c>
      <c r="D60" s="4" t="inlineStr">
        <is>
          <t>https://cdn.shopify.com/s/files/1/0792/5098/1063/files/70e56f4add645d5df13a1f64670e7e344b031040e5dc0d56fb8df4d2009ff937.jpg?v=1785181290</t>
        </is>
      </c>
      <c r="E60" s="2" t="inlineStr">
        <is>
          <t>47560050802887</t>
        </is>
      </c>
      <c r="F60" s="2" t="inlineStr">
        <is>
          <t>47560050802887</t>
        </is>
      </c>
      <c r="G60" s="2" t="inlineStr"/>
      <c r="H60" s="2" t="inlineStr">
        <is>
          <t>GALLERY</t>
        </is>
      </c>
      <c r="I60" s="2" t="inlineStr">
        <is>
          <t>DIRECT_IMAGE_DOWNLOAD_AND_SOURCE_ROW_REVIEW</t>
        </is>
      </c>
      <c r="J60" s="2" t="inlineStr">
        <is>
          <t>2026-09-07T18:40:50+07:00</t>
        </is>
      </c>
      <c r="K60" s="2" t="inlineStr">
        <is>
          <t>Direct QA opened downloaded image 130_02; source SHA 5FD5893412ADA6101E1AA3431891CC25EA67C3F17C9F36298AE12CFF3B181970. Submitted observation reviewed against gallery position.</t>
        </is>
      </c>
      <c r="L60" s="2" t="inlineStr">
        <is>
          <t>Secondary flat, close-up or bedroom mockup showing wolf dreamcatcher quilt with feathers.</t>
        </is>
      </c>
      <c r="M60" s="2" t="inlineStr">
        <is>
          <t>UNKNOWN</t>
        </is>
      </c>
      <c r="N60" s="2" t="inlineStr">
        <is>
          <t>SET</t>
        </is>
      </c>
      <c r="O60" s="2" t="inlineStr">
        <is>
          <t>Secondary mockup of Wolf Dreamcatcher Quilt with Feathers</t>
        </is>
      </c>
      <c r="P60" s="2" t="inlineStr">
        <is>
          <t>FULL</t>
        </is>
      </c>
      <c r="Q60" s="2" t="inlineStr">
        <is>
          <t>FULL</t>
        </is>
      </c>
      <c r="R60" s="2" t="inlineStr">
        <is>
          <t>FULL</t>
        </is>
      </c>
      <c r="S60" s="2" t="inlineStr">
        <is>
          <t>FULL</t>
        </is>
      </c>
      <c r="T60" s="5">
        <f>IF(P60="FULL",40,IF(P60="PARTIAL",40/2,0))+IF(Q60="FULL",30,IF(Q60="PARTIAL",30/2,0))+IF(R60="FULL",20,IF(R60="PARTIAL",20/2,0))+IF(S60="FULL",10,IF(S60="PARTIAL",10/2,0))</f>
        <v/>
      </c>
      <c r="U60" s="5">
        <f>IF(P60="NOT_CHECKED",0,40)+IF(Q60="NOT_CHECKED",0,30)+IF(R60="NOT_CHECKED",0,20)+IF(S60="NOT_CHECKED",0,10)</f>
        <v/>
      </c>
      <c r="V60" s="5">
        <f>IF(U60=100,T60,"")</f>
        <v/>
      </c>
      <c r="W60" s="5">
        <f>T60</f>
        <v/>
      </c>
      <c r="X60" s="5">
        <f>T60+(100-U60)</f>
        <v/>
      </c>
      <c r="Y60" s="2" t="inlineStr"/>
      <c r="Z60" s="2" t="inlineStr">
        <is>
          <t>D:\Shopify_Workspace\jeminise_seo\seo_runs\jeminise.com\20260906_234129\qa\20260907_182000\images\130_02.jpg; seo_runs\jeminise.com\20260906_234129\evidence\images\130_custom-wolf-head-centered-in-dreamcatcher-comforter-be6b37a3e1-be6b37a3e1\image_02_47560050802887.jpg; seo_runs\jeminise.com\20260906_234129\evidence\contact_sheets\130_custom-wolf-head-centered-in-dreamcatcher-comforter-be6b37a3e1-be6b37a3e1.jpg</t>
        </is>
      </c>
    </row>
    <row r="61" ht="66" customHeight="1">
      <c r="A61" s="3" t="inlineStr">
        <is>
          <t>jeminise.com+custom-wolf-head-centered-in-dreamcatcher-comforter-be6b37a3e1-be6b37a3e1</t>
        </is>
      </c>
      <c r="B61" s="3" t="inlineStr">
        <is>
          <t>img_538629172a20d091</t>
        </is>
      </c>
      <c r="C61" s="4" t="inlineStr">
        <is>
          <t>https://cdn.shopify.com/s/files/1/0792/5098/1063/files/f2e7a259def6c007ffe9e1c0db405312e07b6021eaf534e5f8adb3ee18bd2fc2.jpg?v=1785181290</t>
        </is>
      </c>
      <c r="D61" s="4" t="inlineStr">
        <is>
          <t>https://cdn.shopify.com/s/files/1/0792/5098/1063/files/f2e7a259def6c007ffe9e1c0db405312e07b6021eaf534e5f8adb3ee18bd2fc2.jpg?v=1785181290</t>
        </is>
      </c>
      <c r="E61" s="3" t="inlineStr">
        <is>
          <t>47560050835655</t>
        </is>
      </c>
      <c r="F61" s="3" t="inlineStr">
        <is>
          <t>47560050835655</t>
        </is>
      </c>
      <c r="G61" s="3" t="inlineStr"/>
      <c r="H61" s="3" t="inlineStr">
        <is>
          <t>GALLERY</t>
        </is>
      </c>
      <c r="I61" s="3" t="inlineStr">
        <is>
          <t>DIRECT_IMAGE_DOWNLOAD_AND_SOURCE_ROW_REVIEW</t>
        </is>
      </c>
      <c r="J61" s="3" t="inlineStr">
        <is>
          <t>2026-09-07T18:40:50+07:00</t>
        </is>
      </c>
      <c r="K61" s="3" t="inlineStr">
        <is>
          <t>Direct QA opened downloaded image 130_03; source SHA 8BBCC10052FD8BF9E2C9D1239173120956FE037AD99B886F95499D2C90103D23. Submitted observation reviewed against gallery position.</t>
        </is>
      </c>
      <c r="L61" s="3" t="inlineStr">
        <is>
          <t>Bedding type, feature, lifestyle or material image for wolf dreamcatcher quilt with feathers.</t>
        </is>
      </c>
      <c r="M61" s="3" t="inlineStr">
        <is>
          <t>UNKNOWN</t>
        </is>
      </c>
      <c r="N61" s="3" t="inlineStr">
        <is>
          <t>SET</t>
        </is>
      </c>
      <c r="O61" s="3" t="inlineStr">
        <is>
          <t>Product option, feature or lifestyle image for Wolf Dreamcatcher Quilt with Feathers</t>
        </is>
      </c>
      <c r="P61" s="3" t="inlineStr">
        <is>
          <t>FULL</t>
        </is>
      </c>
      <c r="Q61" s="3" t="inlineStr">
        <is>
          <t>PARTIAL</t>
        </is>
      </c>
      <c r="R61" s="3" t="inlineStr">
        <is>
          <t>FULL</t>
        </is>
      </c>
      <c r="S61" s="3" t="inlineStr">
        <is>
          <t>FULL</t>
        </is>
      </c>
      <c r="T61" s="7">
        <f>IF(P61="FULL",40,IF(P61="PARTIAL",40/2,0))+IF(Q61="FULL",30,IF(Q61="PARTIAL",30/2,0))+IF(R61="FULL",20,IF(R61="PARTIAL",20/2,0))+IF(S61="FULL",10,IF(S61="PARTIAL",10/2,0))</f>
        <v/>
      </c>
      <c r="U61" s="7">
        <f>IF(P61="NOT_CHECKED",0,40)+IF(Q61="NOT_CHECKED",0,30)+IF(R61="NOT_CHECKED",0,20)+IF(S61="NOT_CHECKED",0,10)</f>
        <v/>
      </c>
      <c r="V61" s="7">
        <f>IF(U61=100,T61,"")</f>
        <v/>
      </c>
      <c r="W61" s="7">
        <f>T61</f>
        <v/>
      </c>
      <c r="X61" s="7">
        <f>T61+(100-U61)</f>
        <v/>
      </c>
      <c r="Y61" s="3" t="inlineStr">
        <is>
          <t>ISSUE-0081</t>
        </is>
      </c>
      <c r="Z61" s="3" t="inlineStr">
        <is>
          <t>D:\Shopify_Workspace\jeminise_seo\seo_runs\jeminise.com\20260906_234129\qa\20260907_182000\images\130_03.jpg; seo_runs\jeminise.com\20260906_234129\evidence\images\130_custom-wolf-head-centered-in-dreamcatcher-comforter-be6b37a3e1-be6b37a3e1\image_03_47560050835655.jpg; seo_runs\jeminise.com\20260906_234129\evidence\contact_sheets\130_custom-wolf-head-centered-in-dreamcatcher-comforter-be6b37a3e1-be6b37a3e1.jpg</t>
        </is>
      </c>
    </row>
    <row r="62" ht="66" customHeight="1">
      <c r="A62" s="2" t="inlineStr">
        <is>
          <t>jeminise.com+custom-wolf-head-centered-in-dreamcatcher-comforter-be6b37a3e1-be6b37a3e1</t>
        </is>
      </c>
      <c r="B62" s="2" t="inlineStr">
        <is>
          <t>img_5e3ac089aad2ebd4</t>
        </is>
      </c>
      <c r="C62" s="4" t="inlineStr">
        <is>
          <t>https://cdn.shopify.com/s/files/1/0792/5098/1063/files/fbee38331d4d4ac5ab6ca32befd16b78922182ddbea02af22061b83468233d0d.jpg?v=1785181290</t>
        </is>
      </c>
      <c r="D62" s="4" t="inlineStr">
        <is>
          <t>https://cdn.shopify.com/s/files/1/0792/5098/1063/files/fbee38331d4d4ac5ab6ca32befd16b78922182ddbea02af22061b83468233d0d.jpg?v=1785181290</t>
        </is>
      </c>
      <c r="E62" s="2" t="inlineStr">
        <is>
          <t>47560050868423</t>
        </is>
      </c>
      <c r="F62" s="2" t="inlineStr">
        <is>
          <t>47560050868423</t>
        </is>
      </c>
      <c r="G62" s="2" t="inlineStr"/>
      <c r="H62" s="2" t="inlineStr">
        <is>
          <t>GALLERY</t>
        </is>
      </c>
      <c r="I62" s="2" t="inlineStr">
        <is>
          <t>DIRECT_IMAGE_DOWNLOAD_AND_SOURCE_ROW_REVIEW</t>
        </is>
      </c>
      <c r="J62" s="2" t="inlineStr">
        <is>
          <t>2026-09-07T18:40:50+07:00</t>
        </is>
      </c>
      <c r="K62" s="2" t="inlineStr">
        <is>
          <t>Direct QA opened downloaded image 130_04; source SHA FEC86190FB4E3BAF794B3C7B9BDD2F3B692C54C2FB7E52F26A9C20D51CFA3573. Submitted observation reviewed against gallery position.</t>
        </is>
      </c>
      <c r="L62" s="2" t="inlineStr">
        <is>
          <t>Detail, feature panel or lifestyle image connected to wolf dreamcatcher quilt with feathers.</t>
        </is>
      </c>
      <c r="M62" s="2" t="inlineStr">
        <is>
          <t>UNKNOWN</t>
        </is>
      </c>
      <c r="N62" s="2" t="inlineStr">
        <is>
          <t>SET</t>
        </is>
      </c>
      <c r="O62" s="2" t="inlineStr">
        <is>
          <t>Detail or feature image for Wolf Dreamcatcher Quilt with Feathers</t>
        </is>
      </c>
      <c r="P62" s="2" t="inlineStr">
        <is>
          <t>FULL</t>
        </is>
      </c>
      <c r="Q62" s="2" t="inlineStr">
        <is>
          <t>PARTIAL</t>
        </is>
      </c>
      <c r="R62" s="2" t="inlineStr">
        <is>
          <t>FULL</t>
        </is>
      </c>
      <c r="S62" s="2" t="inlineStr">
        <is>
          <t>FULL</t>
        </is>
      </c>
      <c r="T62" s="5">
        <f>IF(P62="FULL",40,IF(P62="PARTIAL",40/2,0))+IF(Q62="FULL",30,IF(Q62="PARTIAL",30/2,0))+IF(R62="FULL",20,IF(R62="PARTIAL",20/2,0))+IF(S62="FULL",10,IF(S62="PARTIAL",10/2,0))</f>
        <v/>
      </c>
      <c r="U62" s="5">
        <f>IF(P62="NOT_CHECKED",0,40)+IF(Q62="NOT_CHECKED",0,30)+IF(R62="NOT_CHECKED",0,20)+IF(S62="NOT_CHECKED",0,10)</f>
        <v/>
      </c>
      <c r="V62" s="5">
        <f>IF(U62=100,T62,"")</f>
        <v/>
      </c>
      <c r="W62" s="5">
        <f>T62</f>
        <v/>
      </c>
      <c r="X62" s="5">
        <f>T62+(100-U62)</f>
        <v/>
      </c>
      <c r="Y62" s="2" t="inlineStr">
        <is>
          <t>ISSUE-0082</t>
        </is>
      </c>
      <c r="Z62" s="2" t="inlineStr">
        <is>
          <t>D:\Shopify_Workspace\jeminise_seo\seo_runs\jeminise.com\20260906_234129\qa\20260907_182000\images\130_04.jpg; seo_runs\jeminise.com\20260906_234129\evidence\images\130_custom-wolf-head-centered-in-dreamcatcher-comforter-be6b37a3e1-be6b37a3e1\image_04_47560050868423.jpg; seo_runs\jeminise.com\20260906_234129\evidence\contact_sheets\130_custom-wolf-head-centered-in-dreamcatcher-comforter-be6b37a3e1-be6b37a3e1.jpg</t>
        </is>
      </c>
    </row>
    <row r="63" ht="66" customHeight="1">
      <c r="A63" s="3" t="inlineStr">
        <is>
          <t>jeminise.com+custom-wolf-head-centered-in-dreamcatcher-comforter-be6b37a3e1-be6b37a3e1</t>
        </is>
      </c>
      <c r="B63" s="3" t="inlineStr">
        <is>
          <t>img_f3e5370adde1d076</t>
        </is>
      </c>
      <c r="C63" s="4" t="inlineStr">
        <is>
          <t>https://cdn.shopify.com/s/files/1/0792/5098/1063/files/3b34f571fdb09566d8da7b4c5b397bc03a37d8233f0fd5e5b77d72af2928e1c0.jpg?v=1785181290</t>
        </is>
      </c>
      <c r="D63" s="4" t="inlineStr">
        <is>
          <t>https://cdn.shopify.com/s/files/1/0792/5098/1063/files/3b34f571fdb09566d8da7b4c5b397bc03a37d8233f0fd5e5b77d72af2928e1c0.jpg?v=1785181290</t>
        </is>
      </c>
      <c r="E63" s="3" t="inlineStr">
        <is>
          <t>47560050901191</t>
        </is>
      </c>
      <c r="F63" s="3" t="inlineStr">
        <is>
          <t>47560050901191</t>
        </is>
      </c>
      <c r="G63" s="3" t="inlineStr"/>
      <c r="H63" s="3" t="inlineStr">
        <is>
          <t>GALLERY</t>
        </is>
      </c>
      <c r="I63" s="3" t="inlineStr">
        <is>
          <t>DIRECT_IMAGE_DOWNLOAD_AND_SOURCE_ROW_REVIEW</t>
        </is>
      </c>
      <c r="J63" s="3" t="inlineStr">
        <is>
          <t>2026-09-07T18:40:50+07:00</t>
        </is>
      </c>
      <c r="K63" s="3" t="inlineStr">
        <is>
          <t>Direct QA opened downloaded image 130_05; source SHA 2AA8070A67E3DAE5A81A2B5ABE2C26F7E1F01C2FA92A39A0C1887EC2DF822C4B. Submitted observation reviewed against gallery position.</t>
        </is>
      </c>
      <c r="L63" s="3" t="inlineStr">
        <is>
          <t>Additional mockup, care or size information for wolf dreamcatcher quilt with feathers.</t>
        </is>
      </c>
      <c r="M63" s="3" t="inlineStr">
        <is>
          <t>UNKNOWN</t>
        </is>
      </c>
      <c r="N63" s="3" t="inlineStr">
        <is>
          <t>SET</t>
        </is>
      </c>
      <c r="O63" s="3" t="inlineStr">
        <is>
          <t>Additional product mockup or care information for Wolf Dreamcatcher Quilt with Feathers</t>
        </is>
      </c>
      <c r="P63" s="3" t="inlineStr">
        <is>
          <t>FULL</t>
        </is>
      </c>
      <c r="Q63" s="3" t="inlineStr">
        <is>
          <t>FULL</t>
        </is>
      </c>
      <c r="R63" s="3" t="inlineStr">
        <is>
          <t>FULL</t>
        </is>
      </c>
      <c r="S63" s="3" t="inlineStr">
        <is>
          <t>FULL</t>
        </is>
      </c>
      <c r="T63" s="7">
        <f>IF(P63="FULL",40,IF(P63="PARTIAL",40/2,0))+IF(Q63="FULL",30,IF(Q63="PARTIAL",30/2,0))+IF(R63="FULL",20,IF(R63="PARTIAL",20/2,0))+IF(S63="FULL",10,IF(S63="PARTIAL",10/2,0))</f>
        <v/>
      </c>
      <c r="U63" s="7">
        <f>IF(P63="NOT_CHECKED",0,40)+IF(Q63="NOT_CHECKED",0,30)+IF(R63="NOT_CHECKED",0,20)+IF(S63="NOT_CHECKED",0,10)</f>
        <v/>
      </c>
      <c r="V63" s="7">
        <f>IF(U63=100,T63,"")</f>
        <v/>
      </c>
      <c r="W63" s="7">
        <f>T63</f>
        <v/>
      </c>
      <c r="X63" s="7">
        <f>T63+(100-U63)</f>
        <v/>
      </c>
      <c r="Y63" s="3" t="inlineStr"/>
      <c r="Z63" s="3" t="inlineStr">
        <is>
          <t>D:\Shopify_Workspace\jeminise_seo\seo_runs\jeminise.com\20260906_234129\qa\20260907_182000\images\130_05.jpg; seo_runs\jeminise.com\20260906_234129\evidence\images\130_custom-wolf-head-centered-in-dreamcatcher-comforter-be6b37a3e1-be6b37a3e1\image_05_47560050901191.jpg; seo_runs\jeminise.com\20260906_234129\evidence\contact_sheets\130_custom-wolf-head-centered-in-dreamcatcher-comforter-be6b37a3e1-be6b37a3e1.jpg</t>
        </is>
      </c>
    </row>
  </sheetData>
  <autoFilter ref="A1:Z63"/>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 xmlns:r="http://schemas.openxmlformats.org/officeDocument/2006/relationships" ref="C22" r:id="rId41"/>
    <hyperlink xmlns:r="http://schemas.openxmlformats.org/officeDocument/2006/relationships" ref="D22" r:id="rId42"/>
    <hyperlink xmlns:r="http://schemas.openxmlformats.org/officeDocument/2006/relationships" ref="C23" r:id="rId43"/>
    <hyperlink xmlns:r="http://schemas.openxmlformats.org/officeDocument/2006/relationships" ref="D23" r:id="rId44"/>
    <hyperlink xmlns:r="http://schemas.openxmlformats.org/officeDocument/2006/relationships" ref="C24" r:id="rId45"/>
    <hyperlink xmlns:r="http://schemas.openxmlformats.org/officeDocument/2006/relationships" ref="D24" r:id="rId46"/>
    <hyperlink xmlns:r="http://schemas.openxmlformats.org/officeDocument/2006/relationships" ref="C25" r:id="rId47"/>
    <hyperlink xmlns:r="http://schemas.openxmlformats.org/officeDocument/2006/relationships" ref="D25" r:id="rId48"/>
    <hyperlink xmlns:r="http://schemas.openxmlformats.org/officeDocument/2006/relationships" ref="C26" r:id="rId49"/>
    <hyperlink xmlns:r="http://schemas.openxmlformats.org/officeDocument/2006/relationships" ref="D26" r:id="rId50"/>
    <hyperlink xmlns:r="http://schemas.openxmlformats.org/officeDocument/2006/relationships" ref="C27" r:id="rId51"/>
    <hyperlink xmlns:r="http://schemas.openxmlformats.org/officeDocument/2006/relationships" ref="D27" r:id="rId52"/>
    <hyperlink xmlns:r="http://schemas.openxmlformats.org/officeDocument/2006/relationships" ref="C28" r:id="rId53"/>
    <hyperlink xmlns:r="http://schemas.openxmlformats.org/officeDocument/2006/relationships" ref="D28" r:id="rId54"/>
    <hyperlink xmlns:r="http://schemas.openxmlformats.org/officeDocument/2006/relationships" ref="C29" r:id="rId55"/>
    <hyperlink xmlns:r="http://schemas.openxmlformats.org/officeDocument/2006/relationships" ref="D29" r:id="rId56"/>
    <hyperlink xmlns:r="http://schemas.openxmlformats.org/officeDocument/2006/relationships" ref="C30" r:id="rId57"/>
    <hyperlink xmlns:r="http://schemas.openxmlformats.org/officeDocument/2006/relationships" ref="D30" r:id="rId58"/>
    <hyperlink xmlns:r="http://schemas.openxmlformats.org/officeDocument/2006/relationships" ref="C31" r:id="rId59"/>
    <hyperlink xmlns:r="http://schemas.openxmlformats.org/officeDocument/2006/relationships" ref="D31" r:id="rId60"/>
    <hyperlink xmlns:r="http://schemas.openxmlformats.org/officeDocument/2006/relationships" ref="C32" r:id="rId61"/>
    <hyperlink xmlns:r="http://schemas.openxmlformats.org/officeDocument/2006/relationships" ref="D32" r:id="rId62"/>
    <hyperlink xmlns:r="http://schemas.openxmlformats.org/officeDocument/2006/relationships" ref="C33" r:id="rId63"/>
    <hyperlink xmlns:r="http://schemas.openxmlformats.org/officeDocument/2006/relationships" ref="D33" r:id="rId64"/>
    <hyperlink xmlns:r="http://schemas.openxmlformats.org/officeDocument/2006/relationships" ref="C34" r:id="rId65"/>
    <hyperlink xmlns:r="http://schemas.openxmlformats.org/officeDocument/2006/relationships" ref="D34" r:id="rId66"/>
    <hyperlink xmlns:r="http://schemas.openxmlformats.org/officeDocument/2006/relationships" ref="C35" r:id="rId67"/>
    <hyperlink xmlns:r="http://schemas.openxmlformats.org/officeDocument/2006/relationships" ref="D35" r:id="rId68"/>
    <hyperlink xmlns:r="http://schemas.openxmlformats.org/officeDocument/2006/relationships" ref="C36" r:id="rId69"/>
    <hyperlink xmlns:r="http://schemas.openxmlformats.org/officeDocument/2006/relationships" ref="D36" r:id="rId70"/>
    <hyperlink xmlns:r="http://schemas.openxmlformats.org/officeDocument/2006/relationships" ref="C37" r:id="rId71"/>
    <hyperlink xmlns:r="http://schemas.openxmlformats.org/officeDocument/2006/relationships" ref="D37" r:id="rId72"/>
    <hyperlink xmlns:r="http://schemas.openxmlformats.org/officeDocument/2006/relationships" ref="C38" r:id="rId73"/>
    <hyperlink xmlns:r="http://schemas.openxmlformats.org/officeDocument/2006/relationships" ref="D38" r:id="rId74"/>
    <hyperlink xmlns:r="http://schemas.openxmlformats.org/officeDocument/2006/relationships" ref="C39" r:id="rId75"/>
    <hyperlink xmlns:r="http://schemas.openxmlformats.org/officeDocument/2006/relationships" ref="D39" r:id="rId76"/>
    <hyperlink xmlns:r="http://schemas.openxmlformats.org/officeDocument/2006/relationships" ref="C40" r:id="rId77"/>
    <hyperlink xmlns:r="http://schemas.openxmlformats.org/officeDocument/2006/relationships" ref="D40" r:id="rId78"/>
    <hyperlink xmlns:r="http://schemas.openxmlformats.org/officeDocument/2006/relationships" ref="C41" r:id="rId79"/>
    <hyperlink xmlns:r="http://schemas.openxmlformats.org/officeDocument/2006/relationships" ref="D41" r:id="rId80"/>
    <hyperlink xmlns:r="http://schemas.openxmlformats.org/officeDocument/2006/relationships" ref="C42" r:id="rId81"/>
    <hyperlink xmlns:r="http://schemas.openxmlformats.org/officeDocument/2006/relationships" ref="D42" r:id="rId82"/>
    <hyperlink xmlns:r="http://schemas.openxmlformats.org/officeDocument/2006/relationships" ref="C43" r:id="rId83"/>
    <hyperlink xmlns:r="http://schemas.openxmlformats.org/officeDocument/2006/relationships" ref="D43" r:id="rId84"/>
    <hyperlink xmlns:r="http://schemas.openxmlformats.org/officeDocument/2006/relationships" ref="C44" r:id="rId85"/>
    <hyperlink xmlns:r="http://schemas.openxmlformats.org/officeDocument/2006/relationships" ref="D44" r:id="rId86"/>
    <hyperlink xmlns:r="http://schemas.openxmlformats.org/officeDocument/2006/relationships" ref="C45" r:id="rId87"/>
    <hyperlink xmlns:r="http://schemas.openxmlformats.org/officeDocument/2006/relationships" ref="D45" r:id="rId88"/>
    <hyperlink xmlns:r="http://schemas.openxmlformats.org/officeDocument/2006/relationships" ref="C46" r:id="rId89"/>
    <hyperlink xmlns:r="http://schemas.openxmlformats.org/officeDocument/2006/relationships" ref="D46" r:id="rId90"/>
    <hyperlink xmlns:r="http://schemas.openxmlformats.org/officeDocument/2006/relationships" ref="C47" r:id="rId91"/>
    <hyperlink xmlns:r="http://schemas.openxmlformats.org/officeDocument/2006/relationships" ref="D47" r:id="rId92"/>
    <hyperlink xmlns:r="http://schemas.openxmlformats.org/officeDocument/2006/relationships" ref="C48" r:id="rId93"/>
    <hyperlink xmlns:r="http://schemas.openxmlformats.org/officeDocument/2006/relationships" ref="D48" r:id="rId94"/>
    <hyperlink xmlns:r="http://schemas.openxmlformats.org/officeDocument/2006/relationships" ref="C49" r:id="rId95"/>
    <hyperlink xmlns:r="http://schemas.openxmlformats.org/officeDocument/2006/relationships" ref="D49" r:id="rId96"/>
    <hyperlink xmlns:r="http://schemas.openxmlformats.org/officeDocument/2006/relationships" ref="C50" r:id="rId97"/>
    <hyperlink xmlns:r="http://schemas.openxmlformats.org/officeDocument/2006/relationships" ref="D50" r:id="rId98"/>
    <hyperlink xmlns:r="http://schemas.openxmlformats.org/officeDocument/2006/relationships" ref="C51" r:id="rId99"/>
    <hyperlink xmlns:r="http://schemas.openxmlformats.org/officeDocument/2006/relationships" ref="D51" r:id="rId100"/>
    <hyperlink xmlns:r="http://schemas.openxmlformats.org/officeDocument/2006/relationships" ref="C52" r:id="rId101"/>
    <hyperlink xmlns:r="http://schemas.openxmlformats.org/officeDocument/2006/relationships" ref="D52" r:id="rId102"/>
    <hyperlink xmlns:r="http://schemas.openxmlformats.org/officeDocument/2006/relationships" ref="C53" r:id="rId103"/>
    <hyperlink xmlns:r="http://schemas.openxmlformats.org/officeDocument/2006/relationships" ref="D53" r:id="rId104"/>
    <hyperlink xmlns:r="http://schemas.openxmlformats.org/officeDocument/2006/relationships" ref="C54" r:id="rId105"/>
    <hyperlink xmlns:r="http://schemas.openxmlformats.org/officeDocument/2006/relationships" ref="D54" r:id="rId106"/>
    <hyperlink xmlns:r="http://schemas.openxmlformats.org/officeDocument/2006/relationships" ref="C55" r:id="rId107"/>
    <hyperlink xmlns:r="http://schemas.openxmlformats.org/officeDocument/2006/relationships" ref="D55" r:id="rId108"/>
    <hyperlink xmlns:r="http://schemas.openxmlformats.org/officeDocument/2006/relationships" ref="C56" r:id="rId109"/>
    <hyperlink xmlns:r="http://schemas.openxmlformats.org/officeDocument/2006/relationships" ref="D56" r:id="rId110"/>
    <hyperlink xmlns:r="http://schemas.openxmlformats.org/officeDocument/2006/relationships" ref="C57" r:id="rId111"/>
    <hyperlink xmlns:r="http://schemas.openxmlformats.org/officeDocument/2006/relationships" ref="D57" r:id="rId112"/>
    <hyperlink xmlns:r="http://schemas.openxmlformats.org/officeDocument/2006/relationships" ref="C58" r:id="rId113"/>
    <hyperlink xmlns:r="http://schemas.openxmlformats.org/officeDocument/2006/relationships" ref="D58" r:id="rId114"/>
    <hyperlink xmlns:r="http://schemas.openxmlformats.org/officeDocument/2006/relationships" ref="C59" r:id="rId115"/>
    <hyperlink xmlns:r="http://schemas.openxmlformats.org/officeDocument/2006/relationships" ref="D59" r:id="rId116"/>
    <hyperlink xmlns:r="http://schemas.openxmlformats.org/officeDocument/2006/relationships" ref="C60" r:id="rId117"/>
    <hyperlink xmlns:r="http://schemas.openxmlformats.org/officeDocument/2006/relationships" ref="D60" r:id="rId118"/>
    <hyperlink xmlns:r="http://schemas.openxmlformats.org/officeDocument/2006/relationships" ref="C61" r:id="rId119"/>
    <hyperlink xmlns:r="http://schemas.openxmlformats.org/officeDocument/2006/relationships" ref="D61" r:id="rId120"/>
    <hyperlink xmlns:r="http://schemas.openxmlformats.org/officeDocument/2006/relationships" ref="C62" r:id="rId121"/>
    <hyperlink xmlns:r="http://schemas.openxmlformats.org/officeDocument/2006/relationships" ref="D62" r:id="rId122"/>
    <hyperlink xmlns:r="http://schemas.openxmlformats.org/officeDocument/2006/relationships" ref="C63" r:id="rId123"/>
    <hyperlink xmlns:r="http://schemas.openxmlformats.org/officeDocument/2006/relationships" ref="D63" r:id="rId124"/>
  </hyperlinks>
  <printOptions horizontalCentered="0"/>
  <pageMargins left="0.25" right="0.25" top="0.5" bottom="0.5" header="0.5" footer="0.5"/>
  <pageSetup orientation="landscape" fitToHeight="0" fitToWidth="3"/>
</worksheet>
</file>

<file path=xl/worksheets/sheet5.xml><?xml version="1.0" encoding="utf-8"?>
<worksheet xmlns="http://schemas.openxmlformats.org/spreadsheetml/2006/main">
  <sheetPr>
    <outlinePr summaryBelow="1" summaryRight="1"/>
    <pageSetUpPr fitToPage="1"/>
  </sheetPr>
  <dimension ref="A1:K83"/>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0" customWidth="1" min="3" max="3"/>
    <col width="20" customWidth="1" min="4" max="4"/>
    <col width="24" customWidth="1" min="5" max="5"/>
    <col width="42" customWidth="1" min="6" max="6"/>
    <col width="42" customWidth="1" min="7" max="7"/>
    <col width="42" customWidth="1" min="8" max="8"/>
    <col width="42" customWidth="1" min="9" max="9"/>
    <col width="42" customWidth="1" min="10" max="10"/>
    <col width="42" customWidth="1" min="11" max="11"/>
  </cols>
  <sheetData>
    <row r="1" ht="32" customHeight="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ht="84" customHeight="1">
      <c r="A2" s="2" t="inlineStr">
        <is>
          <t>ISSUE-0001</t>
        </is>
      </c>
      <c r="B2" s="2" t="inlineStr">
        <is>
          <t>jeminise.com+custom-trucking-semi-truck-breaking-through-stone-wall-vintage-comforter-28a367022b-28a367022b</t>
        </is>
      </c>
      <c r="C2" s="2" t="inlineStr"/>
      <c r="D2" s="2" t="inlineStr">
        <is>
          <t>MAJOR</t>
        </is>
      </c>
      <c r="E2" s="2" t="inlineStr">
        <is>
          <t>description_proposed_html</t>
        </is>
      </c>
      <c r="F2" s="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t>
        </is>
      </c>
      <c r="G2" s="2" t="inlineStr">
        <is>
          <t>Draft contains SEO Use / QA approval wording.</t>
        </is>
      </c>
      <c r="H2" s="2" t="inlineStr">
        <is>
          <t>Internal workflow language is not publish-ready storefront copy.</t>
        </is>
      </c>
      <c r="I2" s="2" t="inlineStr">
        <is>
          <t>Remove internal QA/import block and replace with customer-facing verified copy.</t>
        </is>
      </c>
      <c r="J2" s="2" t="inlineStr">
        <is>
          <t>Draft contains SEO Use / QA approval wording.</t>
        </is>
      </c>
      <c r="K2" s="2" t="inlineStr">
        <is>
          <t>Description HTML no longer contains SEO Use, QA, approval, import or draft language.</t>
        </is>
      </c>
    </row>
    <row r="3" ht="84" customHeight="1">
      <c r="A3" s="3" t="inlineStr">
        <is>
          <t>ISSUE-0002</t>
        </is>
      </c>
      <c r="B3" s="3" t="inlineStr">
        <is>
          <t>jeminise.com+custom-trucking-semi-truck-breaking-through-stone-wall-vintage-comforter-28a367022b-28a367022b</t>
        </is>
      </c>
      <c r="C3" s="3" t="inlineStr"/>
      <c r="D3" s="3" t="inlineStr">
        <is>
          <t>MINOR</t>
        </is>
      </c>
      <c r="E3" s="3" t="inlineStr">
        <is>
          <t>meta_description_seo</t>
        </is>
      </c>
      <c r="F3" s="3" t="inlineStr">
        <is>
          <t>Shop a comforter set featuring weathered blue semi truck breaking through a gray stone wall with Your Name personalization area. Review size and personalization options before checkout.</t>
        </is>
      </c>
      <c r="G3" s="3" t="inlineStr">
        <is>
          <t>Meta description length is 185 characters.</t>
        </is>
      </c>
      <c r="H3" s="3" t="inlineStr">
        <is>
          <t>Likely to truncate in search results and repeats review/personality wording in several rows.</t>
        </is>
      </c>
      <c r="I3" s="3" t="inlineStr">
        <is>
          <t>Rewrite to roughly 145-155 characters while preserving verified design and product type.</t>
        </is>
      </c>
      <c r="J3" s="3" t="inlineStr">
        <is>
          <t>Meta description length is 185 characters.</t>
        </is>
      </c>
      <c r="K3" s="3" t="inlineStr">
        <is>
          <t>Length check &lt;=160 characters and no unsupported claim remains.</t>
        </is>
      </c>
    </row>
    <row r="4" ht="84" customHeight="1">
      <c r="A4" s="2" t="inlineStr">
        <is>
          <t>ISSUE-0003</t>
        </is>
      </c>
      <c r="B4" s="2" t="inlineStr">
        <is>
          <t>jeminise.com+custom-trucking-semi-truck-breaking-through-stone-wall-vintage-comforter-28a367022b-28a367022b</t>
        </is>
      </c>
      <c r="C4" s="2" t="inlineStr"/>
      <c r="D4" s="2" t="inlineStr">
        <is>
          <t>MAJOR</t>
        </is>
      </c>
      <c r="E4" s="2" t="inlineStr">
        <is>
          <t>keyword_map</t>
        </is>
      </c>
      <c r="F4" s="2" t="inlineStr">
        <is>
          <t>vintage semi truck comforter</t>
        </is>
      </c>
      <c r="G4" s="2" t="inlineStr">
        <is>
          <t>https://www.etsy.com/listing/1091390349/personalized-semi-truck-baby-boy-blanket; https://www.pinterest.com/pin/personalized-trucker-quilt-set-truck-driver-trucker-quilt-blanket-with-pillowcases-custom-name-quilt-bedding-set--999939923509376768/; https://jakescabsolutions.com/; https://www.etsy.com/listing/1091390349/personalized-semi-truck-baby-boy-blanket; https://www.pinterest.com/pin/personalized-trucker-quilt-set-truck-driver-trucker-quilt-…</t>
        </is>
      </c>
      <c r="H4" s="2" t="inlineStr">
        <is>
          <t>Batch cluster contains several very similar products, so keyword/intent differentiation must be sharper.</t>
        </is>
      </c>
      <c r="I4" s="2" t="inlineStr">
        <is>
          <t>Add unique visible motif modifiers and avoid assigning the same generic product keyword to multiple URLs.</t>
        </is>
      </c>
      <c r="J4" s="2" t="inlineStr">
        <is>
          <t>https://www.etsy.com/listing/1091390349/personalized-semi-truck-baby-boy-blanket; https://www.pinterest.com/pin/personalized-trucker-quilt-set-truck-driver-trucker-quilt-blanket-with-pillowcases-custom-name-quilt-bedding-set--999939923509376768/; https://jakescabsolutions.com/; https://www.etsy.com/listing/1091390349/personalized-semi-truck-baby-boy-blanket; https://www.pinterest.com/pin/personalized-trucker-quilt-set-truck-driver-trucker-quilt-…</t>
        </is>
      </c>
      <c r="K4" s="2" t="inlineStr">
        <is>
          <t>SERP notes and title/meta show a distinct product-level query for this exact design.</t>
        </is>
      </c>
    </row>
    <row r="5" ht="84" customHeight="1">
      <c r="A5" s="3" t="inlineStr">
        <is>
          <t>ISSUE-0004</t>
        </is>
      </c>
      <c r="B5" s="3" t="inlineStr">
        <is>
          <t>jeminise.com+custom-trucking-semi-truck-breaking-through-stone-wall-vintage-comforter-28a367022b-28a367022b</t>
        </is>
      </c>
      <c r="C5" s="3" t="inlineStr"/>
      <c r="D5" s="3" t="inlineStr">
        <is>
          <t>LIMITATION</t>
        </is>
      </c>
      <c r="E5" s="3" t="inlineStr">
        <is>
          <t>keyword_evidence_level</t>
        </is>
      </c>
      <c r="F5" s="3" t="inlineStr">
        <is>
          <t>SERP_ONLY</t>
        </is>
      </c>
      <c r="G5" s="3" t="inlineStr">
        <is>
          <t>Only public SERP comparables are available.</t>
        </is>
      </c>
      <c r="H5" s="3" t="inlineStr">
        <is>
          <t>No Search Console, paid keyword volume or internal site search export was supplied.</t>
        </is>
      </c>
      <c r="I5" s="3" t="inlineStr">
        <is>
          <t>Keep demand statements qualitative; do not claim volume or ranking potential.</t>
        </is>
      </c>
      <c r="J5" s="3" t="inlineStr">
        <is>
          <t>Only public SERP comparables are available.</t>
        </is>
      </c>
      <c r="K5" s="3" t="inlineStr">
        <is>
          <t>Additional first-party or paid keyword evidence is attached, or limitation remains documented.</t>
        </is>
      </c>
    </row>
    <row r="6" ht="84" customHeight="1">
      <c r="A6" s="2" t="inlineStr">
        <is>
          <t>ISSUE-0005</t>
        </is>
      </c>
      <c r="B6" s="2" t="inlineStr">
        <is>
          <t>jeminise.com+custom-trucking-semi-truck-breaking-through-stone-wall-vintage-comforter-28a367022b-28a367022b</t>
        </is>
      </c>
      <c r="C6" s="2" t="inlineStr">
        <is>
          <t>img_3554267a4162a745</t>
        </is>
      </c>
      <c r="D6" s="2" t="inlineStr">
        <is>
          <t>MINOR</t>
        </is>
      </c>
      <c r="E6" s="2" t="inlineStr">
        <is>
          <t>alt text</t>
        </is>
      </c>
      <c r="F6" s="2" t="inlineStr">
        <is>
          <t>Personalized Vintage Semi Truck Comforter displayed in a main product mockup</t>
        </is>
      </c>
      <c r="G6" s="2" t="inlineStr">
        <is>
          <t>Fresh image file: D:\Shopify_Workspace\jeminise_seo\seo_runs\jeminise.com\20260906_234129\qa\20260907_182000\images\121_01.jpg; source URL: https://cdn.shopify.com/s/files/1/0792/5098/1063/files/f9c2de4b8fca94491645b16f68b222a2a8f2c0f2c1c7ca965804ab9fdffa4100.jpg?v=1785132830</t>
        </is>
      </c>
      <c r="H6" s="2" t="inlineStr">
        <is>
          <t>Alt text is too generic or describes placement more than visible content.</t>
        </is>
      </c>
      <c r="I6" s="2" t="inlineStr">
        <is>
          <t>Rewrite observation/alt from the directly opened image, naming the visible motif and use context.</t>
        </is>
      </c>
      <c r="J6" s="2" t="inlineStr">
        <is>
          <t>Fresh image file: D:\Shopify_Workspace\jeminise_seo\seo_runs\jeminise.com\20260906_234129\qa\20260907_182000\images\121_01.jpg; source URL: https://cdn.shopify.com/s/files/1/0792/5098/1063/files/f9c2de4b8fca94491645b16f68b222a2a8f2c0f2c1c7ca965804ab9fdffa4100.jpg?v=1785132830</t>
        </is>
      </c>
      <c r="K6" s="2" t="inlineStr">
        <is>
          <t>The image row accurately describes the actual media at this gallery position.</t>
        </is>
      </c>
    </row>
    <row r="7" ht="84" customHeight="1">
      <c r="A7" s="3" t="inlineStr">
        <is>
          <t>ISSUE-0006</t>
        </is>
      </c>
      <c r="B7" s="3" t="inlineStr">
        <is>
          <t>jeminise.com+custom-trucking-semi-truck-breaking-through-stone-wall-vintage-comforter-28a367022b-28a367022b</t>
        </is>
      </c>
      <c r="C7" s="3" t="inlineStr">
        <is>
          <t>img_d910ac1e2a73c204</t>
        </is>
      </c>
      <c r="D7" s="3" t="inlineStr">
        <is>
          <t>MINOR</t>
        </is>
      </c>
      <c r="E7" s="3" t="inlineStr">
        <is>
          <t>image observation</t>
        </is>
      </c>
      <c r="F7" s="3" t="inlineStr">
        <is>
          <t>Bedding type, feature, lifestyle or material image for personalized vintage blue semi truck stone wall comforter.</t>
        </is>
      </c>
      <c r="G7" s="3" t="inlineStr">
        <is>
          <t>Fresh image file: D:\Shopify_Workspace\jeminise_seo\seo_runs\jeminise.com\20260906_234129\qa\20260907_182000\images\121_03.jpg; source URL: https://cdn.shopify.com/s/files/1/0792/5098/1063/files/16f7293cbefa5743a35b2e6316a5a114e5c052d08151e367dafd26aa5e2e542b_693d14f4-886d-4a41-9e61-0b67ccd07c1e.jpg?v=1785132830</t>
        </is>
      </c>
      <c r="H7" s="3" t="inlineStr">
        <is>
          <t>Observation is generic or position-based; rewrite from the actual image content.</t>
        </is>
      </c>
      <c r="I7" s="3" t="inlineStr">
        <is>
          <t>Rewrite observation/alt from the directly opened image, naming the visible motif and use context.</t>
        </is>
      </c>
      <c r="J7" s="3" t="inlineStr">
        <is>
          <t>Fresh image file: D:\Shopify_Workspace\jeminise_seo\seo_runs\jeminise.com\20260906_234129\qa\20260907_182000\images\121_03.jpg; source URL: https://cdn.shopify.com/s/files/1/0792/5098/1063/files/16f7293cbefa5743a35b2e6316a5a114e5c052d08151e367dafd26aa5e2e542b_693d14f4-886d-4a41-9e61-0b67ccd07c1e.jpg?v=1785132830</t>
        </is>
      </c>
      <c r="K7" s="3" t="inlineStr">
        <is>
          <t>The image row accurately describes the actual media at this gallery position.</t>
        </is>
      </c>
    </row>
    <row r="8" ht="84" customHeight="1">
      <c r="A8" s="2" t="inlineStr">
        <is>
          <t>ISSUE-0007</t>
        </is>
      </c>
      <c r="B8" s="2" t="inlineStr">
        <is>
          <t>jeminise.com+custom-trucking-semi-truck-breaking-through-stone-wall-vintage-comforter-28a367022b-28a367022b</t>
        </is>
      </c>
      <c r="C8" s="2" t="inlineStr">
        <is>
          <t>img_e18dc74c95bb1446</t>
        </is>
      </c>
      <c r="D8" s="2" t="inlineStr">
        <is>
          <t>MINOR</t>
        </is>
      </c>
      <c r="E8" s="2" t="inlineStr">
        <is>
          <t>image observation</t>
        </is>
      </c>
      <c r="F8" s="2" t="inlineStr">
        <is>
          <t>Detail, feature panel or lifestyle image connected to personalized vintage blue semi truck stone wall comforter.</t>
        </is>
      </c>
      <c r="G8" s="2" t="inlineStr">
        <is>
          <t>Fresh image file: D:\Shopify_Workspace\jeminise_seo\seo_runs\jeminise.com\20260906_234129\qa\20260907_182000\images\121_04.jpg; source URL: https://cdn.shopify.com/s/files/1/0792/5098/1063/files/8e27a770a50a1f488178e2ea485d879ddcfd731511687082221e7817b47fc1dd.jpg?v=1785132830</t>
        </is>
      </c>
      <c r="H8" s="2" t="inlineStr">
        <is>
          <t>Observation is generic or position-based; rewrite from the actual image content.</t>
        </is>
      </c>
      <c r="I8" s="2" t="inlineStr">
        <is>
          <t>Rewrite observation/alt from the directly opened image, naming the visible motif and use context.</t>
        </is>
      </c>
      <c r="J8" s="2" t="inlineStr">
        <is>
          <t>Fresh image file: D:\Shopify_Workspace\jeminise_seo\seo_runs\jeminise.com\20260906_234129\qa\20260907_182000\images\121_04.jpg; source URL: https://cdn.shopify.com/s/files/1/0792/5098/1063/files/8e27a770a50a1f488178e2ea485d879ddcfd731511687082221e7817b47fc1dd.jpg?v=1785132830</t>
        </is>
      </c>
      <c r="K8" s="2" t="inlineStr">
        <is>
          <t>The image row accurately describes the actual media at this gallery position.</t>
        </is>
      </c>
    </row>
    <row r="9" ht="84" customHeight="1">
      <c r="A9" s="3" t="inlineStr">
        <is>
          <t>ISSUE-0008</t>
        </is>
      </c>
      <c r="B9" s="3" t="inlineStr">
        <is>
          <t>jeminise.com+custom-trucking-semi-truck-breaking-through-stone-wall-vintage-comforter-28a367022b-28a367022b</t>
        </is>
      </c>
      <c r="C9" s="3" t="inlineStr">
        <is>
          <t>img_3a7bfbe373f75773</t>
        </is>
      </c>
      <c r="D9" s="3" t="inlineStr">
        <is>
          <t>MINOR</t>
        </is>
      </c>
      <c r="E9" s="3" t="inlineStr">
        <is>
          <t>image observation</t>
        </is>
      </c>
      <c r="F9" s="3" t="inlineStr">
        <is>
          <t>Easy-care, size guide or product feature image for personalized vintage blue semi truck stone wall comforter.</t>
        </is>
      </c>
      <c r="G9" s="3" t="inlineStr">
        <is>
          <t>Fresh image file: D:\Shopify_Workspace\jeminise_seo\seo_runs\jeminise.com\20260906_234129\qa\20260907_182000\images\121_06.jpg; source URL: https://cdn.shopify.com/s/files/1/0792/5098/1063/files/7c006bddc94d4763c71c8376307e195c1bbce73b8c802ec73ac5a8cef1291262_9b83fd24-b7f1-4ab9-b1d7-6897e6d14750.jpg?v=1785132830</t>
        </is>
      </c>
      <c r="H9" s="3" t="inlineStr">
        <is>
          <t>Observation is generic or position-based; rewrite from the actual image content.</t>
        </is>
      </c>
      <c r="I9" s="3" t="inlineStr">
        <is>
          <t>Rewrite observation/alt from the directly opened image, naming the visible motif and use context.</t>
        </is>
      </c>
      <c r="J9" s="3" t="inlineStr">
        <is>
          <t>Fresh image file: D:\Shopify_Workspace\jeminise_seo\seo_runs\jeminise.com\20260906_234129\qa\20260907_182000\images\121_06.jpg; source URL: https://cdn.shopify.com/s/files/1/0792/5098/1063/files/7c006bddc94d4763c71c8376307e195c1bbce73b8c802ec73ac5a8cef1291262_9b83fd24-b7f1-4ab9-b1d7-6897e6d14750.jpg?v=1785132830</t>
        </is>
      </c>
      <c r="K9" s="3" t="inlineStr">
        <is>
          <t>The image row accurately describes the actual media at this gallery position.</t>
        </is>
      </c>
    </row>
    <row r="10" ht="84" customHeight="1">
      <c r="A10" s="2" t="inlineStr">
        <is>
          <t>ISSUE-0009</t>
        </is>
      </c>
      <c r="B10" s="2" t="inlineStr">
        <is>
          <t>jeminise.com+custom-trucking-semi-truck-breaking-through-stone-wall-vintage-comforter-28a367022b-28a367022b</t>
        </is>
      </c>
      <c r="C10" s="2" t="inlineStr">
        <is>
          <t>img_5a6c56387c9c2b20</t>
        </is>
      </c>
      <c r="D10" s="2" t="inlineStr">
        <is>
          <t>MINOR</t>
        </is>
      </c>
      <c r="E10" s="2" t="inlineStr">
        <is>
          <t>image observation</t>
        </is>
      </c>
      <c r="F10" s="2" t="inlineStr">
        <is>
          <t>Additional lifestyle, feature or product detail image showing personalized vintage blue semi truck stone wall comforter.</t>
        </is>
      </c>
      <c r="G10" s="2" t="inlineStr">
        <is>
          <t>Fresh image file: D:\Shopify_Workspace\jeminise_seo\seo_runs\jeminise.com\20260906_234129\qa\20260907_182000\images\121_07.jpg; source URL: https://cdn.shopify.com/s/files/1/0792/5098/1063/files/e5cad84edb4d7bf77c48fd7c8e52eb3b73f04eba8bf177671fd8a059c59422e8_5449cbbb-8301-49ff-92ca-0140dd47b6ec.jpg?v=1785132830</t>
        </is>
      </c>
      <c r="H10" s="2" t="inlineStr">
        <is>
          <t>Observation is generic or position-based; rewrite from the actual image content.</t>
        </is>
      </c>
      <c r="I10" s="2" t="inlineStr">
        <is>
          <t>Rewrite observation/alt from the directly opened image, naming the visible motif and use context.</t>
        </is>
      </c>
      <c r="J10" s="2" t="inlineStr">
        <is>
          <t>Fresh image file: D:\Shopify_Workspace\jeminise_seo\seo_runs\jeminise.com\20260906_234129\qa\20260907_182000\images\121_07.jpg; source URL: https://cdn.shopify.com/s/files/1/0792/5098/1063/files/e5cad84edb4d7bf77c48fd7c8e52eb3b73f04eba8bf177671fd8a059c59422e8_5449cbbb-8301-49ff-92ca-0140dd47b6ec.jpg?v=1785132830</t>
        </is>
      </c>
      <c r="K10" s="2" t="inlineStr">
        <is>
          <t>The image row accurately describes the actual media at this gallery position.</t>
        </is>
      </c>
    </row>
    <row r="11" ht="84" customHeight="1">
      <c r="A11" s="3" t="inlineStr">
        <is>
          <t>ISSUE-0010</t>
        </is>
      </c>
      <c r="B11" s="3" t="inlineStr">
        <is>
          <t>jeminise.com+custom-trucking-semi-truck-centered-on-chevron-background-comforter-cfef0beab9-cfef0beab9</t>
        </is>
      </c>
      <c r="C11" s="3" t="inlineStr"/>
      <c r="D11" s="3" t="inlineStr">
        <is>
          <t>MAJOR</t>
        </is>
      </c>
      <c r="E11" s="3" t="inlineStr">
        <is>
          <t>description_proposed_html</t>
        </is>
      </c>
      <c r="F11" s="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t>
        </is>
      </c>
      <c r="G11" s="3" t="inlineStr">
        <is>
          <t>Draft contains SEO Use / QA approval wording.</t>
        </is>
      </c>
      <c r="H11" s="3" t="inlineStr">
        <is>
          <t>Internal workflow language is not publish-ready storefront copy.</t>
        </is>
      </c>
      <c r="I11" s="3" t="inlineStr">
        <is>
          <t>Remove internal QA/import block and replace with customer-facing verified copy.</t>
        </is>
      </c>
      <c r="J11" s="3" t="inlineStr">
        <is>
          <t>Draft contains SEO Use / QA approval wording.</t>
        </is>
      </c>
      <c r="K11" s="3" t="inlineStr">
        <is>
          <t>Description HTML no longer contains SEO Use, QA, approval, import or draft language.</t>
        </is>
      </c>
    </row>
    <row r="12" ht="84" customHeight="1">
      <c r="A12" s="2" t="inlineStr">
        <is>
          <t>ISSUE-0011</t>
        </is>
      </c>
      <c r="B12" s="2" t="inlineStr">
        <is>
          <t>jeminise.com+custom-trucking-semi-truck-centered-on-chevron-background-comforter-cfef0beab9-cfef0beab9</t>
        </is>
      </c>
      <c r="C12" s="2" t="inlineStr"/>
      <c r="D12" s="2" t="inlineStr">
        <is>
          <t>MINOR</t>
        </is>
      </c>
      <c r="E12" s="2" t="inlineStr">
        <is>
          <t>meta_description_seo</t>
        </is>
      </c>
      <c r="F12" s="2" t="inlineStr">
        <is>
          <t>Shop a comforter set featuring blue semi truck centered on black and blue chevron graphics with Your Name personalization area. Review size and personalization options before checkout.</t>
        </is>
      </c>
      <c r="G12" s="2" t="inlineStr">
        <is>
          <t>Meta description length is 184 characters.</t>
        </is>
      </c>
      <c r="H12" s="2" t="inlineStr">
        <is>
          <t>Likely to truncate in search results and repeats review/personality wording in several rows.</t>
        </is>
      </c>
      <c r="I12" s="2" t="inlineStr">
        <is>
          <t>Rewrite to roughly 145-155 characters while preserving verified design and product type.</t>
        </is>
      </c>
      <c r="J12" s="2" t="inlineStr">
        <is>
          <t>Meta description length is 184 characters.</t>
        </is>
      </c>
      <c r="K12" s="2" t="inlineStr">
        <is>
          <t>Length check &lt;=160 characters and no unsupported claim remains.</t>
        </is>
      </c>
    </row>
    <row r="13" ht="84" customHeight="1">
      <c r="A13" s="3" t="inlineStr">
        <is>
          <t>ISSUE-0012</t>
        </is>
      </c>
      <c r="B13" s="3" t="inlineStr">
        <is>
          <t>jeminise.com+custom-trucking-semi-truck-centered-on-chevron-background-comforter-cfef0beab9-cfef0beab9</t>
        </is>
      </c>
      <c r="C13" s="3" t="inlineStr"/>
      <c r="D13" s="3" t="inlineStr">
        <is>
          <t>MAJOR</t>
        </is>
      </c>
      <c r="E13" s="3" t="inlineStr">
        <is>
          <t>keyword_map</t>
        </is>
      </c>
      <c r="F13" s="3" t="inlineStr">
        <is>
          <t>semi truck chevron comforter</t>
        </is>
      </c>
      <c r="G13" s="3" t="inlineStr">
        <is>
          <t>https://www.etsy.com/listing/1091390349/personalized-semi-truck-baby-boy-blanket; https://www.pinterest.com/pin/personalized-trucker-quilt-set-truck-driver-trucker-quilt-blanket-with-pillowcases-custom-name-quilt-bedding-set--999939923509376768/; https://jakescabsolutions.com/; https://www.etsy.com/listing/1091390349/personalized-semi-truck-baby-boy-blanket; https://www.pinterest.com/pin/personalized-trucker-quilt-set-truck-driver-trucker-quilt-…</t>
        </is>
      </c>
      <c r="H13" s="3" t="inlineStr">
        <is>
          <t>Batch cluster contains several very similar products, so keyword/intent differentiation must be sharper.</t>
        </is>
      </c>
      <c r="I13" s="3" t="inlineStr">
        <is>
          <t>Add unique visible motif modifiers and avoid assigning the same generic product keyword to multiple URLs.</t>
        </is>
      </c>
      <c r="J13" s="3" t="inlineStr">
        <is>
          <t>https://www.etsy.com/listing/1091390349/personalized-semi-truck-baby-boy-blanket; https://www.pinterest.com/pin/personalized-trucker-quilt-set-truck-driver-trucker-quilt-blanket-with-pillowcases-custom-name-quilt-bedding-set--999939923509376768/; https://jakescabsolutions.com/; https://www.etsy.com/listing/1091390349/personalized-semi-truck-baby-boy-blanket; https://www.pinterest.com/pin/personalized-trucker-quilt-set-truck-driver-trucker-quilt-…</t>
        </is>
      </c>
      <c r="K13" s="3" t="inlineStr">
        <is>
          <t>SERP notes and title/meta show a distinct product-level query for this exact design.</t>
        </is>
      </c>
    </row>
    <row r="14" ht="84" customHeight="1">
      <c r="A14" s="2" t="inlineStr">
        <is>
          <t>ISSUE-0013</t>
        </is>
      </c>
      <c r="B14" s="2" t="inlineStr">
        <is>
          <t>jeminise.com+custom-trucking-semi-truck-centered-on-chevron-background-comforter-cfef0beab9-cfef0beab9</t>
        </is>
      </c>
      <c r="C14" s="2" t="inlineStr"/>
      <c r="D14" s="2" t="inlineStr">
        <is>
          <t>LIMITATION</t>
        </is>
      </c>
      <c r="E14" s="2" t="inlineStr">
        <is>
          <t>keyword_evidence_level</t>
        </is>
      </c>
      <c r="F14" s="2" t="inlineStr">
        <is>
          <t>SERP_ONLY</t>
        </is>
      </c>
      <c r="G14" s="2" t="inlineStr">
        <is>
          <t>Only public SERP comparables are available.</t>
        </is>
      </c>
      <c r="H14" s="2" t="inlineStr">
        <is>
          <t>No Search Console, paid keyword volume or internal site search export was supplied.</t>
        </is>
      </c>
      <c r="I14" s="2" t="inlineStr">
        <is>
          <t>Keep demand statements qualitative; do not claim volume or ranking potential.</t>
        </is>
      </c>
      <c r="J14" s="2" t="inlineStr">
        <is>
          <t>Only public SERP comparables are available.</t>
        </is>
      </c>
      <c r="K14" s="2" t="inlineStr">
        <is>
          <t>Additional first-party or paid keyword evidence is attached, or limitation remains documented.</t>
        </is>
      </c>
    </row>
    <row r="15" ht="84" customHeight="1">
      <c r="A15" s="3" t="inlineStr">
        <is>
          <t>ISSUE-0014</t>
        </is>
      </c>
      <c r="B15" s="3" t="inlineStr">
        <is>
          <t>jeminise.com+custom-trucking-semi-truck-centered-on-chevron-background-comforter-cfef0beab9-cfef0beab9</t>
        </is>
      </c>
      <c r="C15" s="3" t="inlineStr">
        <is>
          <t>img_9ba4ec30fa237f57</t>
        </is>
      </c>
      <c r="D15" s="3" t="inlineStr">
        <is>
          <t>MINOR</t>
        </is>
      </c>
      <c r="E15" s="3" t="inlineStr">
        <is>
          <t>alt text</t>
        </is>
      </c>
      <c r="F15" s="3" t="inlineStr">
        <is>
          <t>Personalized Blue Semi Truck Chevron Comforter displayed in a main product mockup</t>
        </is>
      </c>
      <c r="G15" s="3" t="inlineStr">
        <is>
          <t>Fresh image file: D:\Shopify_Workspace\jeminise_seo\seo_runs\jeminise.com\20260906_234129\qa\20260907_182000\images\122_01.jpg; source URL: https://cdn.shopify.com/s/files/1/0792/5098/1063/files/1862d240d68540d29289e49b1720ec443c9161d27cbf293dee79f245738a053e.jpg?v=1785133827</t>
        </is>
      </c>
      <c r="H15" s="3" t="inlineStr">
        <is>
          <t>Alt text is too generic or describes placement more than visible content.</t>
        </is>
      </c>
      <c r="I15" s="3" t="inlineStr">
        <is>
          <t>Rewrite observation/alt from the directly opened image, naming the visible motif and use context.</t>
        </is>
      </c>
      <c r="J15" s="3" t="inlineStr">
        <is>
          <t>Fresh image file: D:\Shopify_Workspace\jeminise_seo\seo_runs\jeminise.com\20260906_234129\qa\20260907_182000\images\122_01.jpg; source URL: https://cdn.shopify.com/s/files/1/0792/5098/1063/files/1862d240d68540d29289e49b1720ec443c9161d27cbf293dee79f245738a053e.jpg?v=1785133827</t>
        </is>
      </c>
      <c r="K15" s="3" t="inlineStr">
        <is>
          <t>The image row accurately describes the actual media at this gallery position.</t>
        </is>
      </c>
    </row>
    <row r="16" ht="84" customHeight="1">
      <c r="A16" s="2" t="inlineStr">
        <is>
          <t>ISSUE-0015</t>
        </is>
      </c>
      <c r="B16" s="2" t="inlineStr">
        <is>
          <t>jeminise.com+custom-trucking-semi-truck-centered-on-chevron-background-comforter-cfef0beab9-cfef0beab9</t>
        </is>
      </c>
      <c r="C16" s="2" t="inlineStr">
        <is>
          <t>img_788bf4fe0ea8c541</t>
        </is>
      </c>
      <c r="D16" s="2" t="inlineStr">
        <is>
          <t>MINOR</t>
        </is>
      </c>
      <c r="E16" s="2" t="inlineStr">
        <is>
          <t>image observation</t>
        </is>
      </c>
      <c r="F16" s="2" t="inlineStr">
        <is>
          <t>Bedding type, feature, lifestyle or material image for personalized blue semi truck chevron comforter.</t>
        </is>
      </c>
      <c r="G16" s="2" t="inlineStr">
        <is>
          <t>Fresh image file: D:\Shopify_Workspace\jeminise_seo\seo_runs\jeminise.com\20260906_234129\qa\20260907_182000\images\122_03.jpg; source URL: https://cdn.shopify.com/s/files/1/0792/5098/1063/files/16f7293cbefa5743a35b2e6316a5a114e5c052d08151e367dafd26aa5e2e542b_1d9370e4-e63e-4c9b-9ed0-d9bcae459c3c.jpg?v=1785133827</t>
        </is>
      </c>
      <c r="H16" s="2" t="inlineStr">
        <is>
          <t>Observation is generic or position-based; rewrite from the actual image content.</t>
        </is>
      </c>
      <c r="I16" s="2" t="inlineStr">
        <is>
          <t>Rewrite observation/alt from the directly opened image, naming the visible motif and use context.</t>
        </is>
      </c>
      <c r="J16" s="2" t="inlineStr">
        <is>
          <t>Fresh image file: D:\Shopify_Workspace\jeminise_seo\seo_runs\jeminise.com\20260906_234129\qa\20260907_182000\images\122_03.jpg; source URL: https://cdn.shopify.com/s/files/1/0792/5098/1063/files/16f7293cbefa5743a35b2e6316a5a114e5c052d08151e367dafd26aa5e2e542b_1d9370e4-e63e-4c9b-9ed0-d9bcae459c3c.jpg?v=1785133827</t>
        </is>
      </c>
      <c r="K16" s="2" t="inlineStr">
        <is>
          <t>The image row accurately describes the actual media at this gallery position.</t>
        </is>
      </c>
    </row>
    <row r="17" ht="84" customHeight="1">
      <c r="A17" s="3" t="inlineStr">
        <is>
          <t>ISSUE-0016</t>
        </is>
      </c>
      <c r="B17" s="3" t="inlineStr">
        <is>
          <t>jeminise.com+custom-trucking-semi-truck-centered-on-chevron-background-comforter-cfef0beab9-cfef0beab9</t>
        </is>
      </c>
      <c r="C17" s="3" t="inlineStr">
        <is>
          <t>img_ac9b487774e76246</t>
        </is>
      </c>
      <c r="D17" s="3" t="inlineStr">
        <is>
          <t>MINOR</t>
        </is>
      </c>
      <c r="E17" s="3" t="inlineStr">
        <is>
          <t>image observation</t>
        </is>
      </c>
      <c r="F17" s="3" t="inlineStr">
        <is>
          <t>Detail, feature panel or lifestyle image connected to personalized blue semi truck chevron comforter.</t>
        </is>
      </c>
      <c r="G17" s="3" t="inlineStr">
        <is>
          <t>Fresh image file: D:\Shopify_Workspace\jeminise_seo\seo_runs\jeminise.com\20260906_234129\qa\20260907_182000\images\122_04.jpg; source URL: https://cdn.shopify.com/s/files/1/0792/5098/1063/files/95054aca5abda044fec14fcd2bdf72551414546134a058656d9a0e4520175edd.jpg?v=1785133827</t>
        </is>
      </c>
      <c r="H17" s="3" t="inlineStr">
        <is>
          <t>Observation is generic or position-based; rewrite from the actual image content.</t>
        </is>
      </c>
      <c r="I17" s="3" t="inlineStr">
        <is>
          <t>Rewrite observation/alt from the directly opened image, naming the visible motif and use context.</t>
        </is>
      </c>
      <c r="J17" s="3" t="inlineStr">
        <is>
          <t>Fresh image file: D:\Shopify_Workspace\jeminise_seo\seo_runs\jeminise.com\20260906_234129\qa\20260907_182000\images\122_04.jpg; source URL: https://cdn.shopify.com/s/files/1/0792/5098/1063/files/95054aca5abda044fec14fcd2bdf72551414546134a058656d9a0e4520175edd.jpg?v=1785133827</t>
        </is>
      </c>
      <c r="K17" s="3" t="inlineStr">
        <is>
          <t>The image row accurately describes the actual media at this gallery position.</t>
        </is>
      </c>
    </row>
    <row r="18" ht="84" customHeight="1">
      <c r="A18" s="2" t="inlineStr">
        <is>
          <t>ISSUE-0017</t>
        </is>
      </c>
      <c r="B18" s="2" t="inlineStr">
        <is>
          <t>jeminise.com+custom-trucking-semi-truck-centered-on-chevron-background-comforter-cfef0beab9-cfef0beab9</t>
        </is>
      </c>
      <c r="C18" s="2" t="inlineStr">
        <is>
          <t>img_72cb2e887bbf7096</t>
        </is>
      </c>
      <c r="D18" s="2" t="inlineStr">
        <is>
          <t>MINOR</t>
        </is>
      </c>
      <c r="E18" s="2" t="inlineStr">
        <is>
          <t>image observation</t>
        </is>
      </c>
      <c r="F18" s="2" t="inlineStr">
        <is>
          <t>Easy-care, size guide or product feature image for personalized blue semi truck chevron comforter.</t>
        </is>
      </c>
      <c r="G18" s="2" t="inlineStr">
        <is>
          <t>Fresh image file: D:\Shopify_Workspace\jeminise_seo\seo_runs\jeminise.com\20260906_234129\qa\20260907_182000\images\122_06.jpg; source URL: https://cdn.shopify.com/s/files/1/0792/5098/1063/files/7c006bddc94d4763c71c8376307e195c1bbce73b8c802ec73ac5a8cef1291262_f6eb804f-bd62-442a-8ddf-06cc1e2f7f0b.jpg?v=1785133827</t>
        </is>
      </c>
      <c r="H18" s="2" t="inlineStr">
        <is>
          <t>Observation is generic or position-based; rewrite from the actual image content.</t>
        </is>
      </c>
      <c r="I18" s="2" t="inlineStr">
        <is>
          <t>Rewrite observation/alt from the directly opened image, naming the visible motif and use context.</t>
        </is>
      </c>
      <c r="J18" s="2" t="inlineStr">
        <is>
          <t>Fresh image file: D:\Shopify_Workspace\jeminise_seo\seo_runs\jeminise.com\20260906_234129\qa\20260907_182000\images\122_06.jpg; source URL: https://cdn.shopify.com/s/files/1/0792/5098/1063/files/7c006bddc94d4763c71c8376307e195c1bbce73b8c802ec73ac5a8cef1291262_f6eb804f-bd62-442a-8ddf-06cc1e2f7f0b.jpg?v=1785133827</t>
        </is>
      </c>
      <c r="K18" s="2" t="inlineStr">
        <is>
          <t>The image row accurately describes the actual media at this gallery position.</t>
        </is>
      </c>
    </row>
    <row r="19" ht="84" customHeight="1">
      <c r="A19" s="3" t="inlineStr">
        <is>
          <t>ISSUE-0018</t>
        </is>
      </c>
      <c r="B19" s="3" t="inlineStr">
        <is>
          <t>jeminise.com+custom-trucking-semi-truck-centered-on-chevron-background-comforter-cfef0beab9-cfef0beab9</t>
        </is>
      </c>
      <c r="C19" s="3" t="inlineStr">
        <is>
          <t>img_8d3deb1b88c02cf9</t>
        </is>
      </c>
      <c r="D19" s="3" t="inlineStr">
        <is>
          <t>MINOR</t>
        </is>
      </c>
      <c r="E19" s="3" t="inlineStr">
        <is>
          <t>image observation</t>
        </is>
      </c>
      <c r="F19" s="3" t="inlineStr">
        <is>
          <t>Additional lifestyle, feature or product detail image showing personalized blue semi truck chevron comforter.</t>
        </is>
      </c>
      <c r="G19" s="3" t="inlineStr">
        <is>
          <t>Fresh image file: D:\Shopify_Workspace\jeminise_seo\seo_runs\jeminise.com\20260906_234129\qa\20260907_182000\images\122_07.jpg; source URL: https://cdn.shopify.com/s/files/1/0792/5098/1063/files/e5cad84edb4d7bf77c48fd7c8e52eb3b73f04eba8bf177671fd8a059c59422e8_caebcacd-6582-469d-af0c-3a427bfc82d5.jpg?v=1785133827</t>
        </is>
      </c>
      <c r="H19" s="3" t="inlineStr">
        <is>
          <t>Observation is generic or position-based; rewrite from the actual image content.</t>
        </is>
      </c>
      <c r="I19" s="3" t="inlineStr">
        <is>
          <t>Rewrite observation/alt from the directly opened image, naming the visible motif and use context.</t>
        </is>
      </c>
      <c r="J19" s="3" t="inlineStr">
        <is>
          <t>Fresh image file: D:\Shopify_Workspace\jeminise_seo\seo_runs\jeminise.com\20260906_234129\qa\20260907_182000\images\122_07.jpg; source URL: https://cdn.shopify.com/s/files/1/0792/5098/1063/files/e5cad84edb4d7bf77c48fd7c8e52eb3b73f04eba8bf177671fd8a059c59422e8_caebcacd-6582-469d-af0c-3a427bfc82d5.jpg?v=1785133827</t>
        </is>
      </c>
      <c r="K19" s="3" t="inlineStr">
        <is>
          <t>The image row accurately describes the actual media at this gallery position.</t>
        </is>
      </c>
    </row>
    <row r="20" ht="84" customHeight="1">
      <c r="A20" s="2" t="inlineStr">
        <is>
          <t>ISSUE-0019</t>
        </is>
      </c>
      <c r="B20" s="2" t="inlineStr">
        <is>
          <t>jeminise.com+custom-trucking-semi-truck-on-metallic-mesh-background-comforter-21d8f6bab6-21d8f6bab6</t>
        </is>
      </c>
      <c r="C20" s="2" t="inlineStr"/>
      <c r="D20" s="2" t="inlineStr">
        <is>
          <t>MAJOR</t>
        </is>
      </c>
      <c r="E20" s="2" t="inlineStr">
        <is>
          <t>description_proposed_html</t>
        </is>
      </c>
      <c r="F20" s="2"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t>
        </is>
      </c>
      <c r="G20" s="2" t="inlineStr">
        <is>
          <t>Draft contains SEO Use / QA approval wording.</t>
        </is>
      </c>
      <c r="H20" s="2" t="inlineStr">
        <is>
          <t>Internal workflow language is not publish-ready storefront copy.</t>
        </is>
      </c>
      <c r="I20" s="2" t="inlineStr">
        <is>
          <t>Remove internal QA/import block and replace with customer-facing verified copy.</t>
        </is>
      </c>
      <c r="J20" s="2" t="inlineStr">
        <is>
          <t>Draft contains SEO Use / QA approval wording.</t>
        </is>
      </c>
      <c r="K20" s="2" t="inlineStr">
        <is>
          <t>Description HTML no longer contains SEO Use, QA, approval, import or draft language.</t>
        </is>
      </c>
    </row>
    <row r="21" ht="84" customHeight="1">
      <c r="A21" s="3" t="inlineStr">
        <is>
          <t>ISSUE-0020</t>
        </is>
      </c>
      <c r="B21" s="3" t="inlineStr">
        <is>
          <t>jeminise.com+custom-trucking-semi-truck-on-metallic-mesh-background-comforter-21d8f6bab6-21d8f6bab6</t>
        </is>
      </c>
      <c r="C21" s="3" t="inlineStr"/>
      <c r="D21" s="3" t="inlineStr">
        <is>
          <t>MINOR</t>
        </is>
      </c>
      <c r="E21" s="3" t="inlineStr">
        <is>
          <t>meta_description_seo</t>
        </is>
      </c>
      <c r="F21" s="3" t="inlineStr">
        <is>
          <t>Shop a comforter set featuring black semi truck over gray metallic mesh and torn metal graphics with Your Name personalization area. Review size and personalization options before checkout.</t>
        </is>
      </c>
      <c r="G21" s="3" t="inlineStr">
        <is>
          <t>Meta description length is 189 characters.</t>
        </is>
      </c>
      <c r="H21" s="3" t="inlineStr">
        <is>
          <t>Likely to truncate in search results and repeats review/personality wording in several rows.</t>
        </is>
      </c>
      <c r="I21" s="3" t="inlineStr">
        <is>
          <t>Rewrite to roughly 145-155 characters while preserving verified design and product type.</t>
        </is>
      </c>
      <c r="J21" s="3" t="inlineStr">
        <is>
          <t>Meta description length is 189 characters.</t>
        </is>
      </c>
      <c r="K21" s="3" t="inlineStr">
        <is>
          <t>Length check &lt;=160 characters and no unsupported claim remains.</t>
        </is>
      </c>
    </row>
    <row r="22" ht="84" customHeight="1">
      <c r="A22" s="2" t="inlineStr">
        <is>
          <t>ISSUE-0021</t>
        </is>
      </c>
      <c r="B22" s="2" t="inlineStr">
        <is>
          <t>jeminise.com+custom-trucking-semi-truck-on-metallic-mesh-background-comforter-21d8f6bab6-21d8f6bab6</t>
        </is>
      </c>
      <c r="C22" s="2" t="inlineStr"/>
      <c r="D22" s="2" t="inlineStr">
        <is>
          <t>MAJOR</t>
        </is>
      </c>
      <c r="E22" s="2" t="inlineStr">
        <is>
          <t>keyword_map</t>
        </is>
      </c>
      <c r="F22" s="2" t="inlineStr">
        <is>
          <t>semi truck metallic mesh comforter</t>
        </is>
      </c>
      <c r="G22" s="2" t="inlineStr">
        <is>
          <t>https://www.etsy.com/listing/1091390349/personalized-semi-truck-baby-boy-blanket; https://www.pinterest.com/pin/personalized-trucker-quilt-set-truck-driver-trucker-quilt-blanket-with-pillowcases-custom-name-quilt-bedding-set--999939923509376768/; https://jakescabsolutions.com/; https://www.etsy.com/listing/1091390349/personalized-semi-truck-baby-boy-blanket; https://www.pinterest.com/pin/personalized-trucker-quilt-set-truck-driver-trucker-quilt-…</t>
        </is>
      </c>
      <c r="H22" s="2" t="inlineStr">
        <is>
          <t>Batch cluster contains several very similar products, so keyword/intent differentiation must be sharper.</t>
        </is>
      </c>
      <c r="I22" s="2" t="inlineStr">
        <is>
          <t>Add unique visible motif modifiers and avoid assigning the same generic product keyword to multiple URLs.</t>
        </is>
      </c>
      <c r="J22" s="2" t="inlineStr">
        <is>
          <t>https://www.etsy.com/listing/1091390349/personalized-semi-truck-baby-boy-blanket; https://www.pinterest.com/pin/personalized-trucker-quilt-set-truck-driver-trucker-quilt-blanket-with-pillowcases-custom-name-quilt-bedding-set--999939923509376768/; https://jakescabsolutions.com/; https://www.etsy.com/listing/1091390349/personalized-semi-truck-baby-boy-blanket; https://www.pinterest.com/pin/personalized-trucker-quilt-set-truck-driver-trucker-quilt-…</t>
        </is>
      </c>
      <c r="K22" s="2" t="inlineStr">
        <is>
          <t>SERP notes and title/meta show a distinct product-level query for this exact design.</t>
        </is>
      </c>
    </row>
    <row r="23" ht="84" customHeight="1">
      <c r="A23" s="3" t="inlineStr">
        <is>
          <t>ISSUE-0022</t>
        </is>
      </c>
      <c r="B23" s="3" t="inlineStr">
        <is>
          <t>jeminise.com+custom-trucking-semi-truck-on-metallic-mesh-background-comforter-21d8f6bab6-21d8f6bab6</t>
        </is>
      </c>
      <c r="C23" s="3" t="inlineStr"/>
      <c r="D23" s="3" t="inlineStr">
        <is>
          <t>LIMITATION</t>
        </is>
      </c>
      <c r="E23" s="3" t="inlineStr">
        <is>
          <t>keyword_evidence_level</t>
        </is>
      </c>
      <c r="F23" s="3" t="inlineStr">
        <is>
          <t>SERP_ONLY</t>
        </is>
      </c>
      <c r="G23" s="3" t="inlineStr">
        <is>
          <t>Only public SERP comparables are available.</t>
        </is>
      </c>
      <c r="H23" s="3" t="inlineStr">
        <is>
          <t>No Search Console, paid keyword volume or internal site search export was supplied.</t>
        </is>
      </c>
      <c r="I23" s="3" t="inlineStr">
        <is>
          <t>Keep demand statements qualitative; do not claim volume or ranking potential.</t>
        </is>
      </c>
      <c r="J23" s="3" t="inlineStr">
        <is>
          <t>Only public SERP comparables are available.</t>
        </is>
      </c>
      <c r="K23" s="3" t="inlineStr">
        <is>
          <t>Additional first-party or paid keyword evidence is attached, or limitation remains documented.</t>
        </is>
      </c>
    </row>
    <row r="24" ht="84" customHeight="1">
      <c r="A24" s="2" t="inlineStr">
        <is>
          <t>ISSUE-0023</t>
        </is>
      </c>
      <c r="B24" s="2" t="inlineStr">
        <is>
          <t>jeminise.com+custom-trucking-semi-truck-on-metallic-mesh-background-comforter-21d8f6bab6-21d8f6bab6</t>
        </is>
      </c>
      <c r="C24" s="2" t="inlineStr">
        <is>
          <t>img_092e669f2cca6118</t>
        </is>
      </c>
      <c r="D24" s="2" t="inlineStr">
        <is>
          <t>MINOR</t>
        </is>
      </c>
      <c r="E24" s="2" t="inlineStr">
        <is>
          <t>alt text</t>
        </is>
      </c>
      <c r="F24" s="2" t="inlineStr">
        <is>
          <t>Personalized Semi Truck Metallic Mesh Comforter displayed in a main product mockup</t>
        </is>
      </c>
      <c r="G24" s="2" t="inlineStr">
        <is>
          <t>Fresh image file: D:\Shopify_Workspace\jeminise_seo\seo_runs\jeminise.com\20260906_234129\qa\20260907_182000\images\123_01.jpg; source URL: https://cdn.shopify.com/s/files/1/0792/5098/1063/files/c1922306dc0a397837af905e5e6342fafb647a7f1c2031512b1da8e16085715a.jpg?v=1785132980</t>
        </is>
      </c>
      <c r="H24" s="2" t="inlineStr">
        <is>
          <t>Alt text is too generic or describes placement more than visible content.</t>
        </is>
      </c>
      <c r="I24" s="2" t="inlineStr">
        <is>
          <t>Rewrite observation/alt from the directly opened image, naming the visible motif and use context.</t>
        </is>
      </c>
      <c r="J24" s="2" t="inlineStr">
        <is>
          <t>Fresh image file: D:\Shopify_Workspace\jeminise_seo\seo_runs\jeminise.com\20260906_234129\qa\20260907_182000\images\123_01.jpg; source URL: https://cdn.shopify.com/s/files/1/0792/5098/1063/files/c1922306dc0a397837af905e5e6342fafb647a7f1c2031512b1da8e16085715a.jpg?v=1785132980</t>
        </is>
      </c>
      <c r="K24" s="2" t="inlineStr">
        <is>
          <t>The image row accurately describes the actual media at this gallery position.</t>
        </is>
      </c>
    </row>
    <row r="25" ht="84" customHeight="1">
      <c r="A25" s="3" t="inlineStr">
        <is>
          <t>ISSUE-0024</t>
        </is>
      </c>
      <c r="B25" s="3" t="inlineStr">
        <is>
          <t>jeminise.com+custom-trucking-semi-truck-on-metallic-mesh-background-comforter-21d8f6bab6-21d8f6bab6</t>
        </is>
      </c>
      <c r="C25" s="3" t="inlineStr">
        <is>
          <t>img_6c2291163332c9b5</t>
        </is>
      </c>
      <c r="D25" s="3" t="inlineStr">
        <is>
          <t>MINOR</t>
        </is>
      </c>
      <c r="E25" s="3" t="inlineStr">
        <is>
          <t>image observation</t>
        </is>
      </c>
      <c r="F25" s="3" t="inlineStr">
        <is>
          <t>Bedding type, feature, lifestyle or material image for personalized black semi truck metallic mesh comforter.</t>
        </is>
      </c>
      <c r="G25" s="3" t="inlineStr">
        <is>
          <t>Fresh image file: D:\Shopify_Workspace\jeminise_seo\seo_runs\jeminise.com\20260906_234129\qa\20260907_182000\images\123_03.jpg; source URL: https://cdn.shopify.com/s/files/1/0792/5098/1063/files/16f7293cbefa5743a35b2e6316a5a114e5c052d08151e367dafd26aa5e2e542b_93d48143-883e-4ac2-83ca-2d1a4354845d.jpg?v=1785132980</t>
        </is>
      </c>
      <c r="H25" s="3" t="inlineStr">
        <is>
          <t>Observation is generic or position-based; rewrite from the actual image content.</t>
        </is>
      </c>
      <c r="I25" s="3" t="inlineStr">
        <is>
          <t>Rewrite observation/alt from the directly opened image, naming the visible motif and use context.</t>
        </is>
      </c>
      <c r="J25" s="3" t="inlineStr">
        <is>
          <t>Fresh image file: D:\Shopify_Workspace\jeminise_seo\seo_runs\jeminise.com\20260906_234129\qa\20260907_182000\images\123_03.jpg; source URL: https://cdn.shopify.com/s/files/1/0792/5098/1063/files/16f7293cbefa5743a35b2e6316a5a114e5c052d08151e367dafd26aa5e2e542b_93d48143-883e-4ac2-83ca-2d1a4354845d.jpg?v=1785132980</t>
        </is>
      </c>
      <c r="K25" s="3" t="inlineStr">
        <is>
          <t>The image row accurately describes the actual media at this gallery position.</t>
        </is>
      </c>
    </row>
    <row r="26" ht="84" customHeight="1">
      <c r="A26" s="2" t="inlineStr">
        <is>
          <t>ISSUE-0025</t>
        </is>
      </c>
      <c r="B26" s="2" t="inlineStr">
        <is>
          <t>jeminise.com+custom-trucking-semi-truck-on-metallic-mesh-background-comforter-21d8f6bab6-21d8f6bab6</t>
        </is>
      </c>
      <c r="C26" s="2" t="inlineStr">
        <is>
          <t>img_66be9e47a5681e25</t>
        </is>
      </c>
      <c r="D26" s="2" t="inlineStr">
        <is>
          <t>MINOR</t>
        </is>
      </c>
      <c r="E26" s="2" t="inlineStr">
        <is>
          <t>image observation</t>
        </is>
      </c>
      <c r="F26" s="2" t="inlineStr">
        <is>
          <t>Detail, feature panel or lifestyle image connected to personalized black semi truck metallic mesh comforter.</t>
        </is>
      </c>
      <c r="G26" s="2" t="inlineStr">
        <is>
          <t>Fresh image file: D:\Shopify_Workspace\jeminise_seo\seo_runs\jeminise.com\20260906_234129\qa\20260907_182000\images\123_04.jpg; source URL: https://cdn.shopify.com/s/files/1/0792/5098/1063/files/e04b4cdaccf9c82a5f2e4bd4242b42e835b0111daa0ba9434371f1cf3bb055a3.jpg?v=1785132980</t>
        </is>
      </c>
      <c r="H26" s="2" t="inlineStr">
        <is>
          <t>Observation is generic or position-based; rewrite from the actual image content.</t>
        </is>
      </c>
      <c r="I26" s="2" t="inlineStr">
        <is>
          <t>Rewrite observation/alt from the directly opened image, naming the visible motif and use context.</t>
        </is>
      </c>
      <c r="J26" s="2" t="inlineStr">
        <is>
          <t>Fresh image file: D:\Shopify_Workspace\jeminise_seo\seo_runs\jeminise.com\20260906_234129\qa\20260907_182000\images\123_04.jpg; source URL: https://cdn.shopify.com/s/files/1/0792/5098/1063/files/e04b4cdaccf9c82a5f2e4bd4242b42e835b0111daa0ba9434371f1cf3bb055a3.jpg?v=1785132980</t>
        </is>
      </c>
      <c r="K26" s="2" t="inlineStr">
        <is>
          <t>The image row accurately describes the actual media at this gallery position.</t>
        </is>
      </c>
    </row>
    <row r="27" ht="84" customHeight="1">
      <c r="A27" s="3" t="inlineStr">
        <is>
          <t>ISSUE-0026</t>
        </is>
      </c>
      <c r="B27" s="3" t="inlineStr">
        <is>
          <t>jeminise.com+custom-trucking-semi-truck-on-metallic-mesh-background-comforter-21d8f6bab6-21d8f6bab6</t>
        </is>
      </c>
      <c r="C27" s="3" t="inlineStr">
        <is>
          <t>img_cdb28044835ab247</t>
        </is>
      </c>
      <c r="D27" s="3" t="inlineStr">
        <is>
          <t>MINOR</t>
        </is>
      </c>
      <c r="E27" s="3" t="inlineStr">
        <is>
          <t>image observation</t>
        </is>
      </c>
      <c r="F27" s="3" t="inlineStr">
        <is>
          <t>Easy-care, size guide or product feature image for personalized black semi truck metallic mesh comforter.</t>
        </is>
      </c>
      <c r="G27" s="3" t="inlineStr">
        <is>
          <t>Fresh image file: D:\Shopify_Workspace\jeminise_seo\seo_runs\jeminise.com\20260906_234129\qa\20260907_182000\images\123_06.jpg; source URL: https://cdn.shopify.com/s/files/1/0792/5098/1063/files/7c006bddc94d4763c71c8376307e195c1bbce73b8c802ec73ac5a8cef1291262_9552c869-a848-49a9-88b6-fee9f5314799.jpg?v=1785132980</t>
        </is>
      </c>
      <c r="H27" s="3" t="inlineStr">
        <is>
          <t>Observation is generic or position-based; rewrite from the actual image content.</t>
        </is>
      </c>
      <c r="I27" s="3" t="inlineStr">
        <is>
          <t>Rewrite observation/alt from the directly opened image, naming the visible motif and use context.</t>
        </is>
      </c>
      <c r="J27" s="3" t="inlineStr">
        <is>
          <t>Fresh image file: D:\Shopify_Workspace\jeminise_seo\seo_runs\jeminise.com\20260906_234129\qa\20260907_182000\images\123_06.jpg; source URL: https://cdn.shopify.com/s/files/1/0792/5098/1063/files/7c006bddc94d4763c71c8376307e195c1bbce73b8c802ec73ac5a8cef1291262_9552c869-a848-49a9-88b6-fee9f5314799.jpg?v=1785132980</t>
        </is>
      </c>
      <c r="K27" s="3" t="inlineStr">
        <is>
          <t>The image row accurately describes the actual media at this gallery position.</t>
        </is>
      </c>
    </row>
    <row r="28" ht="84" customHeight="1">
      <c r="A28" s="2" t="inlineStr">
        <is>
          <t>ISSUE-0027</t>
        </is>
      </c>
      <c r="B28" s="2" t="inlineStr">
        <is>
          <t>jeminise.com+custom-trucking-semi-truck-on-metallic-mesh-background-comforter-21d8f6bab6-21d8f6bab6</t>
        </is>
      </c>
      <c r="C28" s="2" t="inlineStr">
        <is>
          <t>img_242c14d8fa2ac1ef</t>
        </is>
      </c>
      <c r="D28" s="2" t="inlineStr">
        <is>
          <t>MINOR</t>
        </is>
      </c>
      <c r="E28" s="2" t="inlineStr">
        <is>
          <t>image observation</t>
        </is>
      </c>
      <c r="F28" s="2" t="inlineStr">
        <is>
          <t>Additional lifestyle, feature or product detail image showing personalized black semi truck metallic mesh comforter.</t>
        </is>
      </c>
      <c r="G28" s="2" t="inlineStr">
        <is>
          <t>Fresh image file: D:\Shopify_Workspace\jeminise_seo\seo_runs\jeminise.com\20260906_234129\qa\20260907_182000\images\123_07.jpg; source URL: https://cdn.shopify.com/s/files/1/0792/5098/1063/files/e5cad84edb4d7bf77c48fd7c8e52eb3b73f04eba8bf177671fd8a059c59422e8_a12a5003-8ce1-4857-9045-aa242e549165.jpg?v=1785132980</t>
        </is>
      </c>
      <c r="H28" s="2" t="inlineStr">
        <is>
          <t>Observation is generic or position-based; rewrite from the actual image content.</t>
        </is>
      </c>
      <c r="I28" s="2" t="inlineStr">
        <is>
          <t>Rewrite observation/alt from the directly opened image, naming the visible motif and use context.</t>
        </is>
      </c>
      <c r="J28" s="2" t="inlineStr">
        <is>
          <t>Fresh image file: D:\Shopify_Workspace\jeminise_seo\seo_runs\jeminise.com\20260906_234129\qa\20260907_182000\images\123_07.jpg; source URL: https://cdn.shopify.com/s/files/1/0792/5098/1063/files/e5cad84edb4d7bf77c48fd7c8e52eb3b73f04eba8bf177671fd8a059c59422e8_a12a5003-8ce1-4857-9045-aa242e549165.jpg?v=1785132980</t>
        </is>
      </c>
      <c r="K28" s="2" t="inlineStr">
        <is>
          <t>The image row accurately describes the actual media at this gallery position.</t>
        </is>
      </c>
    </row>
    <row r="29" ht="84" customHeight="1">
      <c r="A29" s="3" t="inlineStr">
        <is>
          <t>ISSUE-0028</t>
        </is>
      </c>
      <c r="B29" s="3" t="inlineStr">
        <is>
          <t>jeminise.com+custom-trucking-semi-truck-on-textured-metallic-background-comforter-5ee1903c53-5ee1903c53</t>
        </is>
      </c>
      <c r="C29" s="3" t="inlineStr"/>
      <c r="D29" s="3" t="inlineStr">
        <is>
          <t>MAJOR</t>
        </is>
      </c>
      <c r="E29" s="3" t="inlineStr">
        <is>
          <t>description_proposed_html</t>
        </is>
      </c>
      <c r="F29" s="3"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t>
        </is>
      </c>
      <c r="G29" s="3" t="inlineStr">
        <is>
          <t>Draft contains SEO Use / QA approval wording.</t>
        </is>
      </c>
      <c r="H29" s="3" t="inlineStr">
        <is>
          <t>Internal workflow language is not publish-ready storefront copy.</t>
        </is>
      </c>
      <c r="I29" s="3" t="inlineStr">
        <is>
          <t>Remove internal QA/import block and replace with customer-facing verified copy.</t>
        </is>
      </c>
      <c r="J29" s="3" t="inlineStr">
        <is>
          <t>Draft contains SEO Use / QA approval wording.</t>
        </is>
      </c>
      <c r="K29" s="3" t="inlineStr">
        <is>
          <t>Description HTML no longer contains SEO Use, QA, approval, import or draft language.</t>
        </is>
      </c>
    </row>
    <row r="30" ht="84" customHeight="1">
      <c r="A30" s="2" t="inlineStr">
        <is>
          <t>ISSUE-0029</t>
        </is>
      </c>
      <c r="B30" s="2" t="inlineStr">
        <is>
          <t>jeminise.com+custom-trucking-semi-truck-on-textured-metallic-background-comforter-5ee1903c53-5ee1903c53</t>
        </is>
      </c>
      <c r="C30" s="2" t="inlineStr"/>
      <c r="D30" s="2" t="inlineStr">
        <is>
          <t>MINOR</t>
        </is>
      </c>
      <c r="E30" s="2" t="inlineStr">
        <is>
          <t>meta_description_seo</t>
        </is>
      </c>
      <c r="F30" s="2" t="inlineStr">
        <is>
          <t>Shop a comforter set featuring black and white semi truck illustration over a textured metallic gray background with Your Name personalization area. Review size and personalization options before checkout.</t>
        </is>
      </c>
      <c r="G30" s="2" t="inlineStr">
        <is>
          <t>Meta description length is 205 characters.</t>
        </is>
      </c>
      <c r="H30" s="2" t="inlineStr">
        <is>
          <t>Likely to truncate in search results and repeats review/personality wording in several rows.</t>
        </is>
      </c>
      <c r="I30" s="2" t="inlineStr">
        <is>
          <t>Rewrite to roughly 145-155 characters while preserving verified design and product type.</t>
        </is>
      </c>
      <c r="J30" s="2" t="inlineStr">
        <is>
          <t>Meta description length is 205 characters.</t>
        </is>
      </c>
      <c r="K30" s="2" t="inlineStr">
        <is>
          <t>Length check &lt;=160 characters and no unsupported claim remains.</t>
        </is>
      </c>
    </row>
    <row r="31" ht="84" customHeight="1">
      <c r="A31" s="3" t="inlineStr">
        <is>
          <t>ISSUE-0030</t>
        </is>
      </c>
      <c r="B31" s="3" t="inlineStr">
        <is>
          <t>jeminise.com+custom-trucking-semi-truck-on-textured-metallic-background-comforter-5ee1903c53-5ee1903c53</t>
        </is>
      </c>
      <c r="C31" s="3" t="inlineStr"/>
      <c r="D31" s="3" t="inlineStr">
        <is>
          <t>MAJOR</t>
        </is>
      </c>
      <c r="E31" s="3" t="inlineStr">
        <is>
          <t>keyword_map</t>
        </is>
      </c>
      <c r="F31" s="3" t="inlineStr">
        <is>
          <t>textured metallic semi truck comforter</t>
        </is>
      </c>
      <c r="G31" s="3" t="inlineStr">
        <is>
          <t>https://www.etsy.com/listing/1091390349/personalized-semi-truck-baby-boy-blanket; https://www.pinterest.com/pin/personalized-trucker-quilt-set-truck-driver-trucker-quilt-blanket-with-pillowcases-custom-name-quilt-bedding-set--999939923509376768/; https://jakescabsolutions.com/; https://www.etsy.com/listing/1091390349/personalized-semi-truck-baby-boy-blanket; https://www.pinterest.com/pin/personalized-trucker-quilt-set-truck-driver-trucker-quilt-…</t>
        </is>
      </c>
      <c r="H31" s="3" t="inlineStr">
        <is>
          <t>Batch cluster contains several very similar products, so keyword/intent differentiation must be sharper.</t>
        </is>
      </c>
      <c r="I31" s="3" t="inlineStr">
        <is>
          <t>Add unique visible motif modifiers and avoid assigning the same generic product keyword to multiple URLs.</t>
        </is>
      </c>
      <c r="J31" s="3" t="inlineStr">
        <is>
          <t>https://www.etsy.com/listing/1091390349/personalized-semi-truck-baby-boy-blanket; https://www.pinterest.com/pin/personalized-trucker-quilt-set-truck-driver-trucker-quilt-blanket-with-pillowcases-custom-name-quilt-bedding-set--999939923509376768/; https://jakescabsolutions.com/; https://www.etsy.com/listing/1091390349/personalized-semi-truck-baby-boy-blanket; https://www.pinterest.com/pin/personalized-trucker-quilt-set-truck-driver-trucker-quilt-…</t>
        </is>
      </c>
      <c r="K31" s="3" t="inlineStr">
        <is>
          <t>SERP notes and title/meta show a distinct product-level query for this exact design.</t>
        </is>
      </c>
    </row>
    <row r="32" ht="84" customHeight="1">
      <c r="A32" s="2" t="inlineStr">
        <is>
          <t>ISSUE-0031</t>
        </is>
      </c>
      <c r="B32" s="2" t="inlineStr">
        <is>
          <t>jeminise.com+custom-trucking-semi-truck-on-textured-metallic-background-comforter-5ee1903c53-5ee1903c53</t>
        </is>
      </c>
      <c r="C32" s="2" t="inlineStr"/>
      <c r="D32" s="2" t="inlineStr">
        <is>
          <t>LIMITATION</t>
        </is>
      </c>
      <c r="E32" s="2" t="inlineStr">
        <is>
          <t>keyword_evidence_level</t>
        </is>
      </c>
      <c r="F32" s="2" t="inlineStr">
        <is>
          <t>SERP_ONLY</t>
        </is>
      </c>
      <c r="G32" s="2" t="inlineStr">
        <is>
          <t>Only public SERP comparables are available.</t>
        </is>
      </c>
      <c r="H32" s="2" t="inlineStr">
        <is>
          <t>No Search Console, paid keyword volume or internal site search export was supplied.</t>
        </is>
      </c>
      <c r="I32" s="2" t="inlineStr">
        <is>
          <t>Keep demand statements qualitative; do not claim volume or ranking potential.</t>
        </is>
      </c>
      <c r="J32" s="2" t="inlineStr">
        <is>
          <t>Only public SERP comparables are available.</t>
        </is>
      </c>
      <c r="K32" s="2" t="inlineStr">
        <is>
          <t>Additional first-party or paid keyword evidence is attached, or limitation remains documented.</t>
        </is>
      </c>
    </row>
    <row r="33" ht="84" customHeight="1">
      <c r="A33" s="3" t="inlineStr">
        <is>
          <t>ISSUE-0032</t>
        </is>
      </c>
      <c r="B33" s="3" t="inlineStr">
        <is>
          <t>jeminise.com+custom-trucking-semi-truck-on-textured-metallic-background-comforter-5ee1903c53-5ee1903c53</t>
        </is>
      </c>
      <c r="C33" s="3" t="inlineStr">
        <is>
          <t>img_6f669cbf866eeca1</t>
        </is>
      </c>
      <c r="D33" s="3" t="inlineStr">
        <is>
          <t>MINOR</t>
        </is>
      </c>
      <c r="E33" s="3" t="inlineStr">
        <is>
          <t>alt text</t>
        </is>
      </c>
      <c r="F33" s="3" t="inlineStr">
        <is>
          <t>Personalized Textured Metallic Semi Truck Comforter displayed in a main product mockup</t>
        </is>
      </c>
      <c r="G33" s="3" t="inlineStr">
        <is>
          <t>Fresh image file: D:\Shopify_Workspace\jeminise_seo\seo_runs\jeminise.com\20260906_234129\qa\20260907_182000\images\124_01.jpg; source URL: https://cdn.shopify.com/s/files/1/0792/5098/1063/files/57d38e66f2b34394bb485228e838a7ae63fbae56dfc5a6d11d528c6d41e4225a.jpg?v=1785132753</t>
        </is>
      </c>
      <c r="H33" s="3" t="inlineStr">
        <is>
          <t>Alt text is too generic or describes placement more than visible content.</t>
        </is>
      </c>
      <c r="I33" s="3" t="inlineStr">
        <is>
          <t>Rewrite observation/alt from the directly opened image, naming the visible motif and use context.</t>
        </is>
      </c>
      <c r="J33" s="3" t="inlineStr">
        <is>
          <t>Fresh image file: D:\Shopify_Workspace\jeminise_seo\seo_runs\jeminise.com\20260906_234129\qa\20260907_182000\images\124_01.jpg; source URL: https://cdn.shopify.com/s/files/1/0792/5098/1063/files/57d38e66f2b34394bb485228e838a7ae63fbae56dfc5a6d11d528c6d41e4225a.jpg?v=1785132753</t>
        </is>
      </c>
      <c r="K33" s="3" t="inlineStr">
        <is>
          <t>The image row accurately describes the actual media at this gallery position.</t>
        </is>
      </c>
    </row>
    <row r="34" ht="84" customHeight="1">
      <c r="A34" s="2" t="inlineStr">
        <is>
          <t>ISSUE-0033</t>
        </is>
      </c>
      <c r="B34" s="2" t="inlineStr">
        <is>
          <t>jeminise.com+custom-trucking-semi-truck-on-textured-metallic-background-comforter-5ee1903c53-5ee1903c53</t>
        </is>
      </c>
      <c r="C34" s="2" t="inlineStr">
        <is>
          <t>img_7fcb74b55671615a</t>
        </is>
      </c>
      <c r="D34" s="2" t="inlineStr">
        <is>
          <t>MINOR</t>
        </is>
      </c>
      <c r="E34" s="2" t="inlineStr">
        <is>
          <t>image observation</t>
        </is>
      </c>
      <c r="F34" s="2" t="inlineStr">
        <is>
          <t>Bedding type, feature, lifestyle or material image for personalized semi truck textured metallic comforter.</t>
        </is>
      </c>
      <c r="G34" s="2" t="inlineStr">
        <is>
          <t>Fresh image file: D:\Shopify_Workspace\jeminise_seo\seo_runs\jeminise.com\20260906_234129\qa\20260907_182000\images\124_03.jpg; source URL: https://cdn.shopify.com/s/files/1/0792/5098/1063/files/16f7293cbefa5743a35b2e6316a5a114e5c052d08151e367dafd26aa5e2e542b_f5f72ee7-1da4-4a37-98b2-cfa1d00ff0c5.jpg?v=1785132753</t>
        </is>
      </c>
      <c r="H34" s="2" t="inlineStr">
        <is>
          <t>Observation is generic or position-based; rewrite from the actual image content.</t>
        </is>
      </c>
      <c r="I34" s="2" t="inlineStr">
        <is>
          <t>Rewrite observation/alt from the directly opened image, naming the visible motif and use context.</t>
        </is>
      </c>
      <c r="J34" s="2" t="inlineStr">
        <is>
          <t>Fresh image file: D:\Shopify_Workspace\jeminise_seo\seo_runs\jeminise.com\20260906_234129\qa\20260907_182000\images\124_03.jpg; source URL: https://cdn.shopify.com/s/files/1/0792/5098/1063/files/16f7293cbefa5743a35b2e6316a5a114e5c052d08151e367dafd26aa5e2e542b_f5f72ee7-1da4-4a37-98b2-cfa1d00ff0c5.jpg?v=1785132753</t>
        </is>
      </c>
      <c r="K34" s="2" t="inlineStr">
        <is>
          <t>The image row accurately describes the actual media at this gallery position.</t>
        </is>
      </c>
    </row>
    <row r="35" ht="84" customHeight="1">
      <c r="A35" s="3" t="inlineStr">
        <is>
          <t>ISSUE-0034</t>
        </is>
      </c>
      <c r="B35" s="3" t="inlineStr">
        <is>
          <t>jeminise.com+custom-trucking-semi-truck-on-textured-metallic-background-comforter-5ee1903c53-5ee1903c53</t>
        </is>
      </c>
      <c r="C35" s="3" t="inlineStr">
        <is>
          <t>img_e98abe07cc4c0d97</t>
        </is>
      </c>
      <c r="D35" s="3" t="inlineStr">
        <is>
          <t>MINOR</t>
        </is>
      </c>
      <c r="E35" s="3" t="inlineStr">
        <is>
          <t>image observation</t>
        </is>
      </c>
      <c r="F35" s="3" t="inlineStr">
        <is>
          <t>Detail, feature panel or lifestyle image connected to personalized semi truck textured metallic comforter.</t>
        </is>
      </c>
      <c r="G35" s="3" t="inlineStr">
        <is>
          <t>Fresh image file: D:\Shopify_Workspace\jeminise_seo\seo_runs\jeminise.com\20260906_234129\qa\20260907_182000\images\124_04.jpg; source URL: https://cdn.shopify.com/s/files/1/0792/5098/1063/files/2776eb90f20c7e99621bb907bf459687c837f8ae60c4d1374540e0fec7c43a03.jpg?v=1785132753</t>
        </is>
      </c>
      <c r="H35" s="3" t="inlineStr">
        <is>
          <t>Observation is generic or position-based; rewrite from the actual image content.</t>
        </is>
      </c>
      <c r="I35" s="3" t="inlineStr">
        <is>
          <t>Rewrite observation/alt from the directly opened image, naming the visible motif and use context.</t>
        </is>
      </c>
      <c r="J35" s="3" t="inlineStr">
        <is>
          <t>Fresh image file: D:\Shopify_Workspace\jeminise_seo\seo_runs\jeminise.com\20260906_234129\qa\20260907_182000\images\124_04.jpg; source URL: https://cdn.shopify.com/s/files/1/0792/5098/1063/files/2776eb90f20c7e99621bb907bf459687c837f8ae60c4d1374540e0fec7c43a03.jpg?v=1785132753</t>
        </is>
      </c>
      <c r="K35" s="3" t="inlineStr">
        <is>
          <t>The image row accurately describes the actual media at this gallery position.</t>
        </is>
      </c>
    </row>
    <row r="36" ht="84" customHeight="1">
      <c r="A36" s="2" t="inlineStr">
        <is>
          <t>ISSUE-0035</t>
        </is>
      </c>
      <c r="B36" s="2" t="inlineStr">
        <is>
          <t>jeminise.com+custom-trucking-semi-truck-on-textured-metallic-background-comforter-5ee1903c53-5ee1903c53</t>
        </is>
      </c>
      <c r="C36" s="2" t="inlineStr">
        <is>
          <t>img_e5c3b1261fad9693</t>
        </is>
      </c>
      <c r="D36" s="2" t="inlineStr">
        <is>
          <t>MINOR</t>
        </is>
      </c>
      <c r="E36" s="2" t="inlineStr">
        <is>
          <t>image observation</t>
        </is>
      </c>
      <c r="F36" s="2" t="inlineStr">
        <is>
          <t>Easy-care, size guide or product feature image for personalized semi truck textured metallic comforter.</t>
        </is>
      </c>
      <c r="G36" s="2" t="inlineStr">
        <is>
          <t>Fresh image file: D:\Shopify_Workspace\jeminise_seo\seo_runs\jeminise.com\20260906_234129\qa\20260907_182000\images\124_06.jpg; source URL: https://cdn.shopify.com/s/files/1/0792/5098/1063/files/7c006bddc94d4763c71c8376307e195c1bbce73b8c802ec73ac5a8cef1291262_11022c84-f04f-4db0-bb76-03d6219792bd.jpg?v=1785132753</t>
        </is>
      </c>
      <c r="H36" s="2" t="inlineStr">
        <is>
          <t>Observation is generic or position-based; rewrite from the actual image content.</t>
        </is>
      </c>
      <c r="I36" s="2" t="inlineStr">
        <is>
          <t>Rewrite observation/alt from the directly opened image, naming the visible motif and use context.</t>
        </is>
      </c>
      <c r="J36" s="2" t="inlineStr">
        <is>
          <t>Fresh image file: D:\Shopify_Workspace\jeminise_seo\seo_runs\jeminise.com\20260906_234129\qa\20260907_182000\images\124_06.jpg; source URL: https://cdn.shopify.com/s/files/1/0792/5098/1063/files/7c006bddc94d4763c71c8376307e195c1bbce73b8c802ec73ac5a8cef1291262_11022c84-f04f-4db0-bb76-03d6219792bd.jpg?v=1785132753</t>
        </is>
      </c>
      <c r="K36" s="2" t="inlineStr">
        <is>
          <t>The image row accurately describes the actual media at this gallery position.</t>
        </is>
      </c>
    </row>
    <row r="37" ht="84" customHeight="1">
      <c r="A37" s="3" t="inlineStr">
        <is>
          <t>ISSUE-0036</t>
        </is>
      </c>
      <c r="B37" s="3" t="inlineStr">
        <is>
          <t>jeminise.com+custom-trucking-semi-truck-on-textured-metallic-background-comforter-5ee1903c53-5ee1903c53</t>
        </is>
      </c>
      <c r="C37" s="3" t="inlineStr">
        <is>
          <t>img_f496772091548b07</t>
        </is>
      </c>
      <c r="D37" s="3" t="inlineStr">
        <is>
          <t>MINOR</t>
        </is>
      </c>
      <c r="E37" s="3" t="inlineStr">
        <is>
          <t>image observation</t>
        </is>
      </c>
      <c r="F37" s="3" t="inlineStr">
        <is>
          <t>Additional lifestyle, feature or product detail image showing personalized semi truck textured metallic comforter.</t>
        </is>
      </c>
      <c r="G37" s="3" t="inlineStr">
        <is>
          <t>Fresh image file: D:\Shopify_Workspace\jeminise_seo\seo_runs\jeminise.com\20260906_234129\qa\20260907_182000\images\124_07.jpg; source URL: https://cdn.shopify.com/s/files/1/0792/5098/1063/files/e5cad84edb4d7bf77c48fd7c8e52eb3b73f04eba8bf177671fd8a059c59422e8_922b3cca-440c-441c-b487-e8057643c614.jpg?v=1785132753</t>
        </is>
      </c>
      <c r="H37" s="3" t="inlineStr">
        <is>
          <t>Observation is generic or position-based; rewrite from the actual image content.</t>
        </is>
      </c>
      <c r="I37" s="3" t="inlineStr">
        <is>
          <t>Rewrite observation/alt from the directly opened image, naming the visible motif and use context.</t>
        </is>
      </c>
      <c r="J37" s="3" t="inlineStr">
        <is>
          <t>Fresh image file: D:\Shopify_Workspace\jeminise_seo\seo_runs\jeminise.com\20260906_234129\qa\20260907_182000\images\124_07.jpg; source URL: https://cdn.shopify.com/s/files/1/0792/5098/1063/files/e5cad84edb4d7bf77c48fd7c8e52eb3b73f04eba8bf177671fd8a059c59422e8_922b3cca-440c-441c-b487-e8057643c614.jpg?v=1785132753</t>
        </is>
      </c>
      <c r="K37" s="3" t="inlineStr">
        <is>
          <t>The image row accurately describes the actual media at this gallery position.</t>
        </is>
      </c>
    </row>
    <row r="38" ht="84" customHeight="1">
      <c r="A38" s="2" t="inlineStr">
        <is>
          <t>ISSUE-0037</t>
        </is>
      </c>
      <c r="B38" s="2" t="inlineStr">
        <is>
          <t>jeminise.com+custom-trucking-semi-truck-under-starry-night-sky-comforter-6bbe1b0cd5-6bbe1b0cd5</t>
        </is>
      </c>
      <c r="C38" s="2" t="inlineStr"/>
      <c r="D38" s="2" t="inlineStr">
        <is>
          <t>MAJOR</t>
        </is>
      </c>
      <c r="E38" s="2" t="inlineStr">
        <is>
          <t>description_proposed_html</t>
        </is>
      </c>
      <c r="F38" s="2"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t>
        </is>
      </c>
      <c r="G38" s="2" t="inlineStr">
        <is>
          <t>Draft contains SEO Use / QA approval wording.</t>
        </is>
      </c>
      <c r="H38" s="2" t="inlineStr">
        <is>
          <t>Internal workflow language is not publish-ready storefront copy.</t>
        </is>
      </c>
      <c r="I38" s="2" t="inlineStr">
        <is>
          <t>Remove internal QA/import block and replace with customer-facing verified copy.</t>
        </is>
      </c>
      <c r="J38" s="2" t="inlineStr">
        <is>
          <t>Draft contains SEO Use / QA approval wording.</t>
        </is>
      </c>
      <c r="K38" s="2" t="inlineStr">
        <is>
          <t>Description HTML no longer contains SEO Use, QA, approval, import or draft language.</t>
        </is>
      </c>
    </row>
    <row r="39" ht="84" customHeight="1">
      <c r="A39" s="3" t="inlineStr">
        <is>
          <t>ISSUE-0038</t>
        </is>
      </c>
      <c r="B39" s="3" t="inlineStr">
        <is>
          <t>jeminise.com+custom-trucking-semi-truck-under-starry-night-sky-comforter-6bbe1b0cd5-6bbe1b0cd5</t>
        </is>
      </c>
      <c r="C39" s="3" t="inlineStr"/>
      <c r="D39" s="3" t="inlineStr">
        <is>
          <t>MINOR</t>
        </is>
      </c>
      <c r="E39" s="3" t="inlineStr">
        <is>
          <t>meta_description_seo</t>
        </is>
      </c>
      <c r="F39" s="3" t="inlineStr">
        <is>
          <t>Shop a comforter set featuring blue semi truck under a starry night sky with Your Name and My Heart Is Always With You message. Review size and personalization options before checkout.</t>
        </is>
      </c>
      <c r="G39" s="3" t="inlineStr">
        <is>
          <t>Meta description length is 184 characters.</t>
        </is>
      </c>
      <c r="H39" s="3" t="inlineStr">
        <is>
          <t>Likely to truncate in search results and repeats review/personality wording in several rows.</t>
        </is>
      </c>
      <c r="I39" s="3" t="inlineStr">
        <is>
          <t>Rewrite to roughly 145-155 characters while preserving verified design and product type.</t>
        </is>
      </c>
      <c r="J39" s="3" t="inlineStr">
        <is>
          <t>Meta description length is 184 characters.</t>
        </is>
      </c>
      <c r="K39" s="3" t="inlineStr">
        <is>
          <t>Length check &lt;=160 characters and no unsupported claim remains.</t>
        </is>
      </c>
    </row>
    <row r="40" ht="84" customHeight="1">
      <c r="A40" s="2" t="inlineStr">
        <is>
          <t>ISSUE-0039</t>
        </is>
      </c>
      <c r="B40" s="2" t="inlineStr">
        <is>
          <t>jeminise.com+custom-trucking-semi-truck-under-starry-night-sky-comforter-6bbe1b0cd5-6bbe1b0cd5</t>
        </is>
      </c>
      <c r="C40" s="2" t="inlineStr"/>
      <c r="D40" s="2" t="inlineStr">
        <is>
          <t>MAJOR</t>
        </is>
      </c>
      <c r="E40" s="2" t="inlineStr">
        <is>
          <t>keyword_map</t>
        </is>
      </c>
      <c r="F40" s="2" t="inlineStr">
        <is>
          <t>starry night semi truck comforter</t>
        </is>
      </c>
      <c r="G40" s="2" t="inlineStr">
        <is>
          <t>https://www.etsy.com/listing/1091390349/personalized-semi-truck-baby-boy-blanket; https://www.pinterest.com/pin/personalized-trucker-quilt-set-truck-driver-trucker-quilt-blanket-with-pillowcases-custom-name-quilt-bedding-set--999939923509376768/; https://jakescabsolutions.com/; https://www.etsy.com/listing/1091390349/personalized-semi-truck-baby-boy-blanket; https://www.pinterest.com/pin/personalized-trucker-quilt-set-truck-driver-trucker-quilt-…</t>
        </is>
      </c>
      <c r="H40" s="2" t="inlineStr">
        <is>
          <t>Batch cluster contains several very similar products, so keyword/intent differentiation must be sharper.</t>
        </is>
      </c>
      <c r="I40" s="2" t="inlineStr">
        <is>
          <t>Add unique visible motif modifiers and avoid assigning the same generic product keyword to multiple URLs.</t>
        </is>
      </c>
      <c r="J40" s="2" t="inlineStr">
        <is>
          <t>https://www.etsy.com/listing/1091390349/personalized-semi-truck-baby-boy-blanket; https://www.pinterest.com/pin/personalized-trucker-quilt-set-truck-driver-trucker-quilt-blanket-with-pillowcases-custom-name-quilt-bedding-set--999939923509376768/; https://jakescabsolutions.com/; https://www.etsy.com/listing/1091390349/personalized-semi-truck-baby-boy-blanket; https://www.pinterest.com/pin/personalized-trucker-quilt-set-truck-driver-trucker-quilt-…</t>
        </is>
      </c>
      <c r="K40" s="2" t="inlineStr">
        <is>
          <t>SERP notes and title/meta show a distinct product-level query for this exact design.</t>
        </is>
      </c>
    </row>
    <row r="41" ht="84" customHeight="1">
      <c r="A41" s="3" t="inlineStr">
        <is>
          <t>ISSUE-0040</t>
        </is>
      </c>
      <c r="B41" s="3" t="inlineStr">
        <is>
          <t>jeminise.com+custom-trucking-semi-truck-under-starry-night-sky-comforter-6bbe1b0cd5-6bbe1b0cd5</t>
        </is>
      </c>
      <c r="C41" s="3" t="inlineStr"/>
      <c r="D41" s="3" t="inlineStr">
        <is>
          <t>LIMITATION</t>
        </is>
      </c>
      <c r="E41" s="3" t="inlineStr">
        <is>
          <t>keyword_evidence_level</t>
        </is>
      </c>
      <c r="F41" s="3" t="inlineStr">
        <is>
          <t>SERP_ONLY</t>
        </is>
      </c>
      <c r="G41" s="3" t="inlineStr">
        <is>
          <t>Only public SERP comparables are available.</t>
        </is>
      </c>
      <c r="H41" s="3" t="inlineStr">
        <is>
          <t>No Search Console, paid keyword volume or internal site search export was supplied.</t>
        </is>
      </c>
      <c r="I41" s="3" t="inlineStr">
        <is>
          <t>Keep demand statements qualitative; do not claim volume or ranking potential.</t>
        </is>
      </c>
      <c r="J41" s="3" t="inlineStr">
        <is>
          <t>Only public SERP comparables are available.</t>
        </is>
      </c>
      <c r="K41" s="3" t="inlineStr">
        <is>
          <t>Additional first-party or paid keyword evidence is attached, or limitation remains documented.</t>
        </is>
      </c>
    </row>
    <row r="42" ht="84" customHeight="1">
      <c r="A42" s="2" t="inlineStr">
        <is>
          <t>ISSUE-0041</t>
        </is>
      </c>
      <c r="B42" s="2" t="inlineStr">
        <is>
          <t>jeminise.com+custom-trucking-semi-truck-under-starry-night-sky-comforter-6bbe1b0cd5-6bbe1b0cd5</t>
        </is>
      </c>
      <c r="C42" s="2" t="inlineStr">
        <is>
          <t>img_f837b5ea186c7c8c</t>
        </is>
      </c>
      <c r="D42" s="2" t="inlineStr">
        <is>
          <t>MINOR</t>
        </is>
      </c>
      <c r="E42" s="2" t="inlineStr">
        <is>
          <t>alt text</t>
        </is>
      </c>
      <c r="F42" s="2" t="inlineStr">
        <is>
          <t>Personalized Starry Night Semi Truck Comforter displayed in a main product mockup</t>
        </is>
      </c>
      <c r="G42" s="2" t="inlineStr">
        <is>
          <t>Fresh image file: D:\Shopify_Workspace\jeminise_seo\seo_runs\jeminise.com\20260906_234129\qa\20260907_182000\images\125_01.jpg; source URL: https://cdn.shopify.com/s/files/1/0792/5098/1063/files/66486682f9ef934c1eee08c4d8d1b66c4f2c0764b327966d8b42831f194ce09c.jpg?v=1785132251</t>
        </is>
      </c>
      <c r="H42" s="2" t="inlineStr">
        <is>
          <t>Alt text is too generic or describes placement more than visible content.</t>
        </is>
      </c>
      <c r="I42" s="2" t="inlineStr">
        <is>
          <t>Rewrite observation/alt from the directly opened image, naming the visible motif and use context.</t>
        </is>
      </c>
      <c r="J42" s="2" t="inlineStr">
        <is>
          <t>Fresh image file: D:\Shopify_Workspace\jeminise_seo\seo_runs\jeminise.com\20260906_234129\qa\20260907_182000\images\125_01.jpg; source URL: https://cdn.shopify.com/s/files/1/0792/5098/1063/files/66486682f9ef934c1eee08c4d8d1b66c4f2c0764b327966d8b42831f194ce09c.jpg?v=1785132251</t>
        </is>
      </c>
      <c r="K42" s="2" t="inlineStr">
        <is>
          <t>The image row accurately describes the actual media at this gallery position.</t>
        </is>
      </c>
    </row>
    <row r="43" ht="84" customHeight="1">
      <c r="A43" s="3" t="inlineStr">
        <is>
          <t>ISSUE-0042</t>
        </is>
      </c>
      <c r="B43" s="3" t="inlineStr">
        <is>
          <t>jeminise.com+custom-trucking-semi-truck-under-starry-night-sky-comforter-6bbe1b0cd5-6bbe1b0cd5</t>
        </is>
      </c>
      <c r="C43" s="3" t="inlineStr">
        <is>
          <t>img_d538f1d0f0260df4</t>
        </is>
      </c>
      <c r="D43" s="3" t="inlineStr">
        <is>
          <t>MINOR</t>
        </is>
      </c>
      <c r="E43" s="3" t="inlineStr">
        <is>
          <t>image observation</t>
        </is>
      </c>
      <c r="F43" s="3" t="inlineStr">
        <is>
          <t>Bedding type, feature, lifestyle or material image for personalized starry night semi truck heart comforter.</t>
        </is>
      </c>
      <c r="G43" s="3" t="inlineStr">
        <is>
          <t>Fresh image file: D:\Shopify_Workspace\jeminise_seo\seo_runs\jeminise.com\20260906_234129\qa\20260907_182000\images\125_03.jpg; source URL: https://cdn.shopify.com/s/files/1/0792/5098/1063/files/16f7293cbefa5743a35b2e6316a5a114e5c052d08151e367dafd26aa5e2e542b_711afbd8-1c78-4abc-b9dc-844544a630d3.jpg?v=1785132252</t>
        </is>
      </c>
      <c r="H43" s="3" t="inlineStr">
        <is>
          <t>Observation is generic or position-based; rewrite from the actual image content.</t>
        </is>
      </c>
      <c r="I43" s="3" t="inlineStr">
        <is>
          <t>Rewrite observation/alt from the directly opened image, naming the visible motif and use context.</t>
        </is>
      </c>
      <c r="J43" s="3" t="inlineStr">
        <is>
          <t>Fresh image file: D:\Shopify_Workspace\jeminise_seo\seo_runs\jeminise.com\20260906_234129\qa\20260907_182000\images\125_03.jpg; source URL: https://cdn.shopify.com/s/files/1/0792/5098/1063/files/16f7293cbefa5743a35b2e6316a5a114e5c052d08151e367dafd26aa5e2e542b_711afbd8-1c78-4abc-b9dc-844544a630d3.jpg?v=1785132252</t>
        </is>
      </c>
      <c r="K43" s="3" t="inlineStr">
        <is>
          <t>The image row accurately describes the actual media at this gallery position.</t>
        </is>
      </c>
    </row>
    <row r="44" ht="84" customHeight="1">
      <c r="A44" s="2" t="inlineStr">
        <is>
          <t>ISSUE-0043</t>
        </is>
      </c>
      <c r="B44" s="2" t="inlineStr">
        <is>
          <t>jeminise.com+custom-trucking-semi-truck-under-starry-night-sky-comforter-6bbe1b0cd5-6bbe1b0cd5</t>
        </is>
      </c>
      <c r="C44" s="2" t="inlineStr">
        <is>
          <t>img_83c61b7fee28701e</t>
        </is>
      </c>
      <c r="D44" s="2" t="inlineStr">
        <is>
          <t>MINOR</t>
        </is>
      </c>
      <c r="E44" s="2" t="inlineStr">
        <is>
          <t>image observation</t>
        </is>
      </c>
      <c r="F44" s="2" t="inlineStr">
        <is>
          <t>Detail, feature panel or lifestyle image connected to personalized starry night semi truck heart comforter.</t>
        </is>
      </c>
      <c r="G44" s="2" t="inlineStr">
        <is>
          <t>Fresh image file: D:\Shopify_Workspace\jeminise_seo\seo_runs\jeminise.com\20260906_234129\qa\20260907_182000\images\125_04.jpg; source URL: https://cdn.shopify.com/s/files/1/0792/5098/1063/files/35a06f8610a3c89e13a39e269c58d7a5c19e53ee3bc7e0d28447be78e2f81527.jpg?v=1785132251</t>
        </is>
      </c>
      <c r="H44" s="2" t="inlineStr">
        <is>
          <t>Observation is generic or position-based; rewrite from the actual image content.</t>
        </is>
      </c>
      <c r="I44" s="2" t="inlineStr">
        <is>
          <t>Rewrite observation/alt from the directly opened image, naming the visible motif and use context.</t>
        </is>
      </c>
      <c r="J44" s="2" t="inlineStr">
        <is>
          <t>Fresh image file: D:\Shopify_Workspace\jeminise_seo\seo_runs\jeminise.com\20260906_234129\qa\20260907_182000\images\125_04.jpg; source URL: https://cdn.shopify.com/s/files/1/0792/5098/1063/files/35a06f8610a3c89e13a39e269c58d7a5c19e53ee3bc7e0d28447be78e2f81527.jpg?v=1785132251</t>
        </is>
      </c>
      <c r="K44" s="2" t="inlineStr">
        <is>
          <t>The image row accurately describes the actual media at this gallery position.</t>
        </is>
      </c>
    </row>
    <row r="45" ht="84" customHeight="1">
      <c r="A45" s="3" t="inlineStr">
        <is>
          <t>ISSUE-0044</t>
        </is>
      </c>
      <c r="B45" s="3" t="inlineStr">
        <is>
          <t>jeminise.com+custom-trucking-semi-truck-under-starry-night-sky-comforter-6bbe1b0cd5-6bbe1b0cd5</t>
        </is>
      </c>
      <c r="C45" s="3" t="inlineStr">
        <is>
          <t>img_6a178118aa27d317</t>
        </is>
      </c>
      <c r="D45" s="3" t="inlineStr">
        <is>
          <t>MINOR</t>
        </is>
      </c>
      <c r="E45" s="3" t="inlineStr">
        <is>
          <t>image observation</t>
        </is>
      </c>
      <c r="F45" s="3" t="inlineStr">
        <is>
          <t>Easy-care, size guide or product feature image for personalized starry night semi truck heart comforter.</t>
        </is>
      </c>
      <c r="G45" s="3" t="inlineStr">
        <is>
          <t>Fresh image file: D:\Shopify_Workspace\jeminise_seo\seo_runs\jeminise.com\20260906_234129\qa\20260907_182000\images\125_06.jpg; source URL: https://cdn.shopify.com/s/files/1/0792/5098/1063/files/7c006bddc94d4763c71c8376307e195c1bbce73b8c802ec73ac5a8cef1291262_081a2c1f-f875-461a-aaef-dd038b65649d.jpg?v=1785132251</t>
        </is>
      </c>
      <c r="H45" s="3" t="inlineStr">
        <is>
          <t>Observation is generic or position-based; rewrite from the actual image content.</t>
        </is>
      </c>
      <c r="I45" s="3" t="inlineStr">
        <is>
          <t>Rewrite observation/alt from the directly opened image, naming the visible motif and use context.</t>
        </is>
      </c>
      <c r="J45" s="3" t="inlineStr">
        <is>
          <t>Fresh image file: D:\Shopify_Workspace\jeminise_seo\seo_runs\jeminise.com\20260906_234129\qa\20260907_182000\images\125_06.jpg; source URL: https://cdn.shopify.com/s/files/1/0792/5098/1063/files/7c006bddc94d4763c71c8376307e195c1bbce73b8c802ec73ac5a8cef1291262_081a2c1f-f875-461a-aaef-dd038b65649d.jpg?v=1785132251</t>
        </is>
      </c>
      <c r="K45" s="3" t="inlineStr">
        <is>
          <t>The image row accurately describes the actual media at this gallery position.</t>
        </is>
      </c>
    </row>
    <row r="46" ht="84" customHeight="1">
      <c r="A46" s="2" t="inlineStr">
        <is>
          <t>ISSUE-0045</t>
        </is>
      </c>
      <c r="B46" s="2" t="inlineStr">
        <is>
          <t>jeminise.com+custom-trucking-semi-truck-under-starry-night-sky-comforter-6bbe1b0cd5-6bbe1b0cd5</t>
        </is>
      </c>
      <c r="C46" s="2" t="inlineStr">
        <is>
          <t>img_3483af1b170ec709</t>
        </is>
      </c>
      <c r="D46" s="2" t="inlineStr">
        <is>
          <t>MINOR</t>
        </is>
      </c>
      <c r="E46" s="2" t="inlineStr">
        <is>
          <t>image observation</t>
        </is>
      </c>
      <c r="F46" s="2" t="inlineStr">
        <is>
          <t>Additional lifestyle, feature or product detail image showing personalized starry night semi truck heart comforter.</t>
        </is>
      </c>
      <c r="G46" s="2" t="inlineStr">
        <is>
          <t>Fresh image file: D:\Shopify_Workspace\jeminise_seo\seo_runs\jeminise.com\20260906_234129\qa\20260907_182000\images\125_07.jpg; source URL: https://cdn.shopify.com/s/files/1/0792/5098/1063/files/e5cad84edb4d7bf77c48fd7c8e52eb3b73f04eba8bf177671fd8a059c59422e8_eb794822-9d5b-4dc8-801a-bf0cf9740fc2.jpg?v=1785132251</t>
        </is>
      </c>
      <c r="H46" s="2" t="inlineStr">
        <is>
          <t>Observation is generic or position-based; rewrite from the actual image content.</t>
        </is>
      </c>
      <c r="I46" s="2" t="inlineStr">
        <is>
          <t>Rewrite observation/alt from the directly opened image, naming the visible motif and use context.</t>
        </is>
      </c>
      <c r="J46" s="2" t="inlineStr">
        <is>
          <t>Fresh image file: D:\Shopify_Workspace\jeminise_seo\seo_runs\jeminise.com\20260906_234129\qa\20260907_182000\images\125_07.jpg; source URL: https://cdn.shopify.com/s/files/1/0792/5098/1063/files/e5cad84edb4d7bf77c48fd7c8e52eb3b73f04eba8bf177671fd8a059c59422e8_eb794822-9d5b-4dc8-801a-bf0cf9740fc2.jpg?v=1785132251</t>
        </is>
      </c>
      <c r="K46" s="2" t="inlineStr">
        <is>
          <t>The image row accurately describes the actual media at this gallery position.</t>
        </is>
      </c>
    </row>
    <row r="47" ht="84" customHeight="1">
      <c r="A47" s="3" t="inlineStr">
        <is>
          <t>ISSUE-0046</t>
        </is>
      </c>
      <c r="B47" s="3" t="inlineStr">
        <is>
          <t>jeminise.com+cardinal-christmas-quilt-set-7237701d00-7237701d00</t>
        </is>
      </c>
      <c r="C47" s="3" t="inlineStr"/>
      <c r="D47" s="3" t="inlineStr">
        <is>
          <t>MAJOR</t>
        </is>
      </c>
      <c r="E47" s="3" t="inlineStr">
        <is>
          <t>description_proposed_html</t>
        </is>
      </c>
      <c r="F47" s="3"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t>
        </is>
      </c>
      <c r="G47" s="3" t="inlineStr">
        <is>
          <t>Draft contains SEO Use / QA approval wording.</t>
        </is>
      </c>
      <c r="H47" s="3" t="inlineStr">
        <is>
          <t>Internal workflow language is not publish-ready storefront copy.</t>
        </is>
      </c>
      <c r="I47" s="3" t="inlineStr">
        <is>
          <t>Remove internal QA/import block and replace with customer-facing verified copy.</t>
        </is>
      </c>
      <c r="J47" s="3" t="inlineStr">
        <is>
          <t>Draft contains SEO Use / QA approval wording.</t>
        </is>
      </c>
      <c r="K47" s="3" t="inlineStr">
        <is>
          <t>Description HTML no longer contains SEO Use, QA, approval, import or draft language.</t>
        </is>
      </c>
    </row>
    <row r="48" ht="84" customHeight="1">
      <c r="A48" s="2" t="inlineStr">
        <is>
          <t>ISSUE-0047</t>
        </is>
      </c>
      <c r="B48" s="2" t="inlineStr">
        <is>
          <t>jeminise.com+cardinal-christmas-quilt-set-7237701d00-7237701d00</t>
        </is>
      </c>
      <c r="C48" s="2" t="inlineStr"/>
      <c r="D48" s="2" t="inlineStr">
        <is>
          <t>MINOR</t>
        </is>
      </c>
      <c r="E48" s="2" t="inlineStr">
        <is>
          <t>meta_description_seo</t>
        </is>
      </c>
      <c r="F48" s="2" t="inlineStr">
        <is>
          <t>Shop a quilt set featuring two red cardinals on holly branches with berries, pine greenery, script-style background and burgundy border. Review size and personalization options before checkout.</t>
        </is>
      </c>
      <c r="G48" s="2" t="inlineStr">
        <is>
          <t>Meta description length is 193 characters.</t>
        </is>
      </c>
      <c r="H48" s="2" t="inlineStr">
        <is>
          <t>Likely to truncate in search results and repeats review/personality wording in several rows.</t>
        </is>
      </c>
      <c r="I48" s="2" t="inlineStr">
        <is>
          <t>Rewrite to roughly 145-155 characters while preserving verified design and product type.</t>
        </is>
      </c>
      <c r="J48" s="2" t="inlineStr">
        <is>
          <t>Meta description length is 193 characters.</t>
        </is>
      </c>
      <c r="K48" s="2" t="inlineStr">
        <is>
          <t>Length check &lt;=160 characters and no unsupported claim remains.</t>
        </is>
      </c>
    </row>
    <row r="49" ht="84" customHeight="1">
      <c r="A49" s="3" t="inlineStr">
        <is>
          <t>ISSUE-0048</t>
        </is>
      </c>
      <c r="B49" s="3" t="inlineStr">
        <is>
          <t>jeminise.com+cardinal-christmas-quilt-set-7237701d00-7237701d00</t>
        </is>
      </c>
      <c r="C49" s="3" t="inlineStr"/>
      <c r="D49" s="3" t="inlineStr">
        <is>
          <t>LIMITATION</t>
        </is>
      </c>
      <c r="E49" s="3" t="inlineStr">
        <is>
          <t>keyword_evidence_level</t>
        </is>
      </c>
      <c r="F49" s="3" t="inlineStr">
        <is>
          <t>SERP_ONLY</t>
        </is>
      </c>
      <c r="G49" s="3" t="inlineStr">
        <is>
          <t>Only public SERP comparables are available.</t>
        </is>
      </c>
      <c r="H49" s="3" t="inlineStr">
        <is>
          <t>No Search Console, paid keyword volume or internal site search export was supplied.</t>
        </is>
      </c>
      <c r="I49" s="3" t="inlineStr">
        <is>
          <t>Keep demand statements qualitative; do not claim volume or ranking potential.</t>
        </is>
      </c>
      <c r="J49" s="3" t="inlineStr">
        <is>
          <t>Only public SERP comparables are available.</t>
        </is>
      </c>
      <c r="K49" s="3" t="inlineStr">
        <is>
          <t>Additional first-party or paid keyword evidence is attached, or limitation remains documented.</t>
        </is>
      </c>
    </row>
    <row r="50" ht="84" customHeight="1">
      <c r="A50" s="2" t="inlineStr">
        <is>
          <t>ISSUE-0049</t>
        </is>
      </c>
      <c r="B50" s="2" t="inlineStr">
        <is>
          <t>jeminise.com+cardinal-christmas-quilt-set-7237701d00-7237701d00</t>
        </is>
      </c>
      <c r="C50" s="2" t="inlineStr">
        <is>
          <t>img_3e05b3c347fe7638</t>
        </is>
      </c>
      <c r="D50" s="2" t="inlineStr">
        <is>
          <t>MINOR</t>
        </is>
      </c>
      <c r="E50" s="2" t="inlineStr">
        <is>
          <t>alt text</t>
        </is>
      </c>
      <c r="F50" s="2" t="inlineStr">
        <is>
          <t>Two Cardinals on Holly Branches Quilt displayed in a main product mockup</t>
        </is>
      </c>
      <c r="G50" s="2" t="inlineStr">
        <is>
          <t>Fresh image file: D:\Shopify_Workspace\jeminise_seo\seo_runs\jeminise.com\20260906_234129\qa\20260907_182000\images\126_01.jpg; source URL: https://cdn.shopify.com/s/files/1/0792/5098/1063/files/118574be8aa324483555a5c07a7e0f89b235f456f217c4e560b5d20b9b8caca2.jpg?v=1785099027</t>
        </is>
      </c>
      <c r="H50" s="2" t="inlineStr">
        <is>
          <t>Alt text is too generic or describes placement more than visible content.</t>
        </is>
      </c>
      <c r="I50" s="2" t="inlineStr">
        <is>
          <t>Rewrite observation/alt from the directly opened image, naming the visible motif and use context.</t>
        </is>
      </c>
      <c r="J50" s="2" t="inlineStr">
        <is>
          <t>Fresh image file: D:\Shopify_Workspace\jeminise_seo\seo_runs\jeminise.com\20260906_234129\qa\20260907_182000\images\126_01.jpg; source URL: https://cdn.shopify.com/s/files/1/0792/5098/1063/files/118574be8aa324483555a5c07a7e0f89b235f456f217c4e560b5d20b9b8caca2.jpg?v=1785099027</t>
        </is>
      </c>
      <c r="K50" s="2" t="inlineStr">
        <is>
          <t>The image row accurately describes the actual media at this gallery position.</t>
        </is>
      </c>
    </row>
    <row r="51" ht="84" customHeight="1">
      <c r="A51" s="3" t="inlineStr">
        <is>
          <t>ISSUE-0050</t>
        </is>
      </c>
      <c r="B51" s="3" t="inlineStr">
        <is>
          <t>jeminise.com+cardinal-christmas-quilt-set-7237701d00-7237701d00</t>
        </is>
      </c>
      <c r="C51" s="3" t="inlineStr">
        <is>
          <t>img_745d1d95ad2d5951</t>
        </is>
      </c>
      <c r="D51" s="3" t="inlineStr">
        <is>
          <t>MINOR</t>
        </is>
      </c>
      <c r="E51" s="3" t="inlineStr">
        <is>
          <t>image observation</t>
        </is>
      </c>
      <c r="F51" s="3" t="inlineStr">
        <is>
          <t>Bedding type, feature, lifestyle or material image for two cardinals on holly branches Christmas quilt.</t>
        </is>
      </c>
      <c r="G51" s="3" t="inlineStr">
        <is>
          <t>Fresh image file: D:\Shopify_Workspace\jeminise_seo\seo_runs\jeminise.com\20260906_234129\qa\20260907_182000\images\126_03.jpg; source URL: https://cdn.shopify.com/s/files/1/0792/5098/1063/files/abfe9f48500d8477415f31d7eeb4b5b14d9d4baf87c88a41a44bc7d839521ec8.jpg?v=1785099027</t>
        </is>
      </c>
      <c r="H51" s="3" t="inlineStr">
        <is>
          <t>Observation is generic or position-based; rewrite from the actual image content.</t>
        </is>
      </c>
      <c r="I51" s="3" t="inlineStr">
        <is>
          <t>Rewrite observation/alt from the directly opened image, naming the visible motif and use context.</t>
        </is>
      </c>
      <c r="J51" s="3" t="inlineStr">
        <is>
          <t>Fresh image file: D:\Shopify_Workspace\jeminise_seo\seo_runs\jeminise.com\20260906_234129\qa\20260907_182000\images\126_03.jpg; source URL: https://cdn.shopify.com/s/files/1/0792/5098/1063/files/abfe9f48500d8477415f31d7eeb4b5b14d9d4baf87c88a41a44bc7d839521ec8.jpg?v=1785099027</t>
        </is>
      </c>
      <c r="K51" s="3" t="inlineStr">
        <is>
          <t>The image row accurately describes the actual media at this gallery position.</t>
        </is>
      </c>
    </row>
    <row r="52" ht="84" customHeight="1">
      <c r="A52" s="2" t="inlineStr">
        <is>
          <t>ISSUE-0051</t>
        </is>
      </c>
      <c r="B52" s="2" t="inlineStr">
        <is>
          <t>jeminise.com+cardinal-christmas-quilt-set-7237701d00-7237701d00</t>
        </is>
      </c>
      <c r="C52" s="2" t="inlineStr">
        <is>
          <t>img_5c378ffa06585630</t>
        </is>
      </c>
      <c r="D52" s="2" t="inlineStr">
        <is>
          <t>MINOR</t>
        </is>
      </c>
      <c r="E52" s="2" t="inlineStr">
        <is>
          <t>image observation</t>
        </is>
      </c>
      <c r="F52" s="2" t="inlineStr">
        <is>
          <t>Detail, feature panel or lifestyle image connected to two cardinals on holly branches Christmas quilt.</t>
        </is>
      </c>
      <c r="G52" s="2" t="inlineStr">
        <is>
          <t>Fresh image file: D:\Shopify_Workspace\jeminise_seo\seo_runs\jeminise.com\20260906_234129\qa\20260907_182000\images\126_04.jpg; source URL: https://cdn.shopify.com/s/files/1/0792/5098/1063/files/fff13981b816839b4d2573b1e588d70d1508edc78ae4cb40b19c1c1449fa81d7.jpg?v=1785099027</t>
        </is>
      </c>
      <c r="H52" s="2" t="inlineStr">
        <is>
          <t>Observation is generic or position-based; rewrite from the actual image content.</t>
        </is>
      </c>
      <c r="I52" s="2" t="inlineStr">
        <is>
          <t>Rewrite observation/alt from the directly opened image, naming the visible motif and use context.</t>
        </is>
      </c>
      <c r="J52" s="2" t="inlineStr">
        <is>
          <t>Fresh image file: D:\Shopify_Workspace\jeminise_seo\seo_runs\jeminise.com\20260906_234129\qa\20260907_182000\images\126_04.jpg; source URL: https://cdn.shopify.com/s/files/1/0792/5098/1063/files/fff13981b816839b4d2573b1e588d70d1508edc78ae4cb40b19c1c1449fa81d7.jpg?v=1785099027</t>
        </is>
      </c>
      <c r="K52" s="2" t="inlineStr">
        <is>
          <t>The image row accurately describes the actual media at this gallery position.</t>
        </is>
      </c>
    </row>
    <row r="53" ht="84" customHeight="1">
      <c r="A53" s="3" t="inlineStr">
        <is>
          <t>ISSUE-0052</t>
        </is>
      </c>
      <c r="B53" s="3" t="inlineStr">
        <is>
          <t>jeminise.com+cardinal-christmas-quilt-set-7237701d00-7237701d00</t>
        </is>
      </c>
      <c r="C53" s="3" t="inlineStr">
        <is>
          <t>img_d451b5cc97e09ae4</t>
        </is>
      </c>
      <c r="D53" s="3" t="inlineStr">
        <is>
          <t>MINOR</t>
        </is>
      </c>
      <c r="E53" s="3" t="inlineStr">
        <is>
          <t>image observation</t>
        </is>
      </c>
      <c r="F53" s="3" t="inlineStr">
        <is>
          <t>Easy-care, size guide or product feature image for two cardinals on holly branches Christmas quilt.</t>
        </is>
      </c>
      <c r="G53" s="3" t="inlineStr">
        <is>
          <t>Fresh image file: D:\Shopify_Workspace\jeminise_seo\seo_runs\jeminise.com\20260906_234129\qa\20260907_182000\images\126_06.jpg; source URL: https://cdn.shopify.com/s/files/1/0792/5098/1063/files/91dfea77e81e54512c9459d2114b6842ae71378ea84caa74f80e275c770a1fa4.jpg?v=1785099027</t>
        </is>
      </c>
      <c r="H53" s="3" t="inlineStr">
        <is>
          <t>Observation is generic or position-based; rewrite from the actual image content.</t>
        </is>
      </c>
      <c r="I53" s="3" t="inlineStr">
        <is>
          <t>Rewrite observation/alt from the directly opened image, naming the visible motif and use context.</t>
        </is>
      </c>
      <c r="J53" s="3" t="inlineStr">
        <is>
          <t>Fresh image file: D:\Shopify_Workspace\jeminise_seo\seo_runs\jeminise.com\20260906_234129\qa\20260907_182000\images\126_06.jpg; source URL: https://cdn.shopify.com/s/files/1/0792/5098/1063/files/91dfea77e81e54512c9459d2114b6842ae71378ea84caa74f80e275c770a1fa4.jpg?v=1785099027</t>
        </is>
      </c>
      <c r="K53" s="3" t="inlineStr">
        <is>
          <t>The image row accurately describes the actual media at this gallery position.</t>
        </is>
      </c>
    </row>
    <row r="54" ht="84" customHeight="1">
      <c r="A54" s="2" t="inlineStr">
        <is>
          <t>ISSUE-0053</t>
        </is>
      </c>
      <c r="B54" s="2" t="inlineStr">
        <is>
          <t>jeminise.com+cardinal-christmas-quilt-set-7237701d00-7237701d00</t>
        </is>
      </c>
      <c r="C54" s="2" t="inlineStr">
        <is>
          <t>img_43ebf1bda514294a</t>
        </is>
      </c>
      <c r="D54" s="2" t="inlineStr">
        <is>
          <t>MINOR</t>
        </is>
      </c>
      <c r="E54" s="2" t="inlineStr">
        <is>
          <t>image observation</t>
        </is>
      </c>
      <c r="F54" s="2" t="inlineStr">
        <is>
          <t>Additional lifestyle, feature or product detail image showing two cardinals on holly branches Christmas quilt.</t>
        </is>
      </c>
      <c r="G54" s="2" t="inlineStr">
        <is>
          <t>Fresh image file: D:\Shopify_Workspace\jeminise_seo\seo_runs\jeminise.com\20260906_234129\qa\20260907_182000\images\126_07.jpg; source URL: https://cdn.shopify.com/s/files/1/0792/5098/1063/files/1e1a64d7533bc3dd04c4bf7e1b3aaa5754de833077ca3b30d63a7db6b9cc4622.jpg?v=1785099027</t>
        </is>
      </c>
      <c r="H54" s="2" t="inlineStr">
        <is>
          <t>Observation is generic or position-based; rewrite from the actual image content.</t>
        </is>
      </c>
      <c r="I54" s="2" t="inlineStr">
        <is>
          <t>Rewrite observation/alt from the directly opened image, naming the visible motif and use context.</t>
        </is>
      </c>
      <c r="J54" s="2" t="inlineStr">
        <is>
          <t>Fresh image file: D:\Shopify_Workspace\jeminise_seo\seo_runs\jeminise.com\20260906_234129\qa\20260907_182000\images\126_07.jpg; source URL: https://cdn.shopify.com/s/files/1/0792/5098/1063/files/1e1a64d7533bc3dd04c4bf7e1b3aaa5754de833077ca3b30d63a7db6b9cc4622.jpg?v=1785099027</t>
        </is>
      </c>
      <c r="K54" s="2" t="inlineStr">
        <is>
          <t>The image row accurately describes the actual media at this gallery position.</t>
        </is>
      </c>
    </row>
    <row r="55" ht="84" customHeight="1">
      <c r="A55" s="3" t="inlineStr">
        <is>
          <t>ISSUE-0054</t>
        </is>
      </c>
      <c r="B55" s="3" t="inlineStr">
        <is>
          <t>jeminise.com+custom-wildlife-wolf-head-close-up-portrait-comforter-3233b9edb7-3233b9edb7</t>
        </is>
      </c>
      <c r="C55" s="3" t="inlineStr"/>
      <c r="D55" s="3" t="inlineStr">
        <is>
          <t>MAJOR</t>
        </is>
      </c>
      <c r="E55" s="3" t="inlineStr">
        <is>
          <t>description_proposed_html</t>
        </is>
      </c>
      <c r="F55" s="3"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t>
        </is>
      </c>
      <c r="G55" s="3" t="inlineStr">
        <is>
          <t>Draft contains SEO Use / QA approval wording.</t>
        </is>
      </c>
      <c r="H55" s="3" t="inlineStr">
        <is>
          <t>Internal workflow language is not publish-ready storefront copy.</t>
        </is>
      </c>
      <c r="I55" s="3" t="inlineStr">
        <is>
          <t>Remove internal QA/import block and replace with customer-facing verified copy.</t>
        </is>
      </c>
      <c r="J55" s="3" t="inlineStr">
        <is>
          <t>Draft contains SEO Use / QA approval wording.</t>
        </is>
      </c>
      <c r="K55" s="3" t="inlineStr">
        <is>
          <t>Description HTML no longer contains SEO Use, QA, approval, import or draft language.</t>
        </is>
      </c>
    </row>
    <row r="56" ht="84" customHeight="1">
      <c r="A56" s="2" t="inlineStr">
        <is>
          <t>ISSUE-0055</t>
        </is>
      </c>
      <c r="B56" s="2" t="inlineStr">
        <is>
          <t>jeminise.com+custom-wildlife-wolf-head-close-up-portrait-comforter-3233b9edb7-3233b9edb7</t>
        </is>
      </c>
      <c r="C56" s="2" t="inlineStr"/>
      <c r="D56" s="2" t="inlineStr">
        <is>
          <t>MINOR</t>
        </is>
      </c>
      <c r="E56" s="2" t="inlineStr">
        <is>
          <t>meta_description_seo</t>
        </is>
      </c>
      <c r="F56" s="2" t="inlineStr">
        <is>
          <t>Shop a quilt set featuring close-up wolf face portrait in colorful geometric watercolor styling with matching shams. Review size and personalization options before checkout.</t>
        </is>
      </c>
      <c r="G56" s="2" t="inlineStr">
        <is>
          <t>Meta description length is 173 characters.</t>
        </is>
      </c>
      <c r="H56" s="2" t="inlineStr">
        <is>
          <t>Likely to truncate in search results and repeats review/personality wording in several rows.</t>
        </is>
      </c>
      <c r="I56" s="2" t="inlineStr">
        <is>
          <t>Rewrite to roughly 145-155 characters while preserving verified design and product type.</t>
        </is>
      </c>
      <c r="J56" s="2" t="inlineStr">
        <is>
          <t>Meta description length is 173 characters.</t>
        </is>
      </c>
      <c r="K56" s="2" t="inlineStr">
        <is>
          <t>Length check &lt;=160 characters and no unsupported claim remains.</t>
        </is>
      </c>
    </row>
    <row r="57" ht="84" customHeight="1">
      <c r="A57" s="3" t="inlineStr">
        <is>
          <t>ISSUE-0056</t>
        </is>
      </c>
      <c r="B57" s="3" t="inlineStr">
        <is>
          <t>jeminise.com+custom-wildlife-wolf-head-close-up-portrait-comforter-3233b9edb7-3233b9edb7</t>
        </is>
      </c>
      <c r="C57" s="3" t="inlineStr"/>
      <c r="D57" s="3" t="inlineStr">
        <is>
          <t>MAJOR</t>
        </is>
      </c>
      <c r="E57" s="3" t="inlineStr">
        <is>
          <t>keyword_map</t>
        </is>
      </c>
      <c r="F57" s="3" t="inlineStr">
        <is>
          <t>wolf head quilt</t>
        </is>
      </c>
      <c r="G57" s="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https://www.amazon.com/wolf-comforter-set/s?k=wolf+comforter+set; https://www.pinterest.com/pin/wolf-bedding-set-duvet-set-comforte…</t>
        </is>
      </c>
      <c r="H57" s="3" t="inlineStr">
        <is>
          <t>Batch cluster contains several very similar products, so keyword/intent differentiation must be sharper.</t>
        </is>
      </c>
      <c r="I57" s="3" t="inlineStr">
        <is>
          <t>Add unique visible motif modifiers and avoid assigning the same generic product keyword to multiple URLs.</t>
        </is>
      </c>
      <c r="J57" s="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https://www.amazon.com/wolf-comforter-set/s?k=wolf+comforter+set; https://www.pinterest.com/pin/wolf-bedding-set-duvet-set-comforte…</t>
        </is>
      </c>
      <c r="K57" s="3" t="inlineStr">
        <is>
          <t>SERP notes and title/meta show a distinct product-level query for this exact design.</t>
        </is>
      </c>
    </row>
    <row r="58" ht="84" customHeight="1">
      <c r="A58" s="2" t="inlineStr">
        <is>
          <t>ISSUE-0057</t>
        </is>
      </c>
      <c r="B58" s="2" t="inlineStr">
        <is>
          <t>jeminise.com+custom-wildlife-wolf-head-close-up-portrait-comforter-3233b9edb7-3233b9edb7</t>
        </is>
      </c>
      <c r="C58" s="2" t="inlineStr"/>
      <c r="D58" s="2" t="inlineStr">
        <is>
          <t>LIMITATION</t>
        </is>
      </c>
      <c r="E58" s="2" t="inlineStr">
        <is>
          <t>keyword_evidence_level</t>
        </is>
      </c>
      <c r="F58" s="2" t="inlineStr">
        <is>
          <t>SERP_ONLY</t>
        </is>
      </c>
      <c r="G58" s="2" t="inlineStr">
        <is>
          <t>Only public SERP comparables are available.</t>
        </is>
      </c>
      <c r="H58" s="2" t="inlineStr">
        <is>
          <t>No Search Console, paid keyword volume or internal site search export was supplied.</t>
        </is>
      </c>
      <c r="I58" s="2" t="inlineStr">
        <is>
          <t>Keep demand statements qualitative; do not claim volume or ranking potential.</t>
        </is>
      </c>
      <c r="J58" s="2" t="inlineStr">
        <is>
          <t>Only public SERP comparables are available.</t>
        </is>
      </c>
      <c r="K58" s="2" t="inlineStr">
        <is>
          <t>Additional first-party or paid keyword evidence is attached, or limitation remains documented.</t>
        </is>
      </c>
    </row>
    <row r="59" ht="84" customHeight="1">
      <c r="A59" s="3" t="inlineStr">
        <is>
          <t>ISSUE-0058</t>
        </is>
      </c>
      <c r="B59" s="3" t="inlineStr">
        <is>
          <t>jeminise.com+custom-wildlife-wolf-head-close-up-portrait-comforter-3233b9edb7-3233b9edb7</t>
        </is>
      </c>
      <c r="C59" s="3" t="inlineStr">
        <is>
          <t>img_3ee7feb56fa612b2</t>
        </is>
      </c>
      <c r="D59" s="3" t="inlineStr">
        <is>
          <t>MINOR</t>
        </is>
      </c>
      <c r="E59" s="3" t="inlineStr">
        <is>
          <t>alt text</t>
        </is>
      </c>
      <c r="F59" s="3" t="inlineStr">
        <is>
          <t>Colorful Close Up Wolf Head Quilt displayed in a main product mockup</t>
        </is>
      </c>
      <c r="G59" s="3" t="inlineStr">
        <is>
          <t>Fresh image file: D:\Shopify_Workspace\jeminise_seo\seo_runs\jeminise.com\20260906_234129\qa\20260907_182000\images\127_01.jpg; source URL: https://cdn.shopify.com/s/files/1/0792/5098/1063/files/d98912080910bd4204041b4cc5fda4e079916726c4bbf96a96c48300c109b9a3.jpg?v=1785181200</t>
        </is>
      </c>
      <c r="H59" s="3" t="inlineStr">
        <is>
          <t>Alt text is too generic or describes placement more than visible content.</t>
        </is>
      </c>
      <c r="I59" s="3" t="inlineStr">
        <is>
          <t>Rewrite observation/alt from the directly opened image, naming the visible motif and use context.</t>
        </is>
      </c>
      <c r="J59" s="3" t="inlineStr">
        <is>
          <t>Fresh image file: D:\Shopify_Workspace\jeminise_seo\seo_runs\jeminise.com\20260906_234129\qa\20260907_182000\images\127_01.jpg; source URL: https://cdn.shopify.com/s/files/1/0792/5098/1063/files/d98912080910bd4204041b4cc5fda4e079916726c4bbf96a96c48300c109b9a3.jpg?v=1785181200</t>
        </is>
      </c>
      <c r="K59" s="3" t="inlineStr">
        <is>
          <t>The image row accurately describes the actual media at this gallery position.</t>
        </is>
      </c>
    </row>
    <row r="60" ht="84" customHeight="1">
      <c r="A60" s="2" t="inlineStr">
        <is>
          <t>ISSUE-0059</t>
        </is>
      </c>
      <c r="B60" s="2" t="inlineStr">
        <is>
          <t>jeminise.com+custom-wildlife-wolf-head-close-up-portrait-comforter-3233b9edb7-3233b9edb7</t>
        </is>
      </c>
      <c r="C60" s="2" t="inlineStr">
        <is>
          <t>img_2e3cf9ea935f7eab</t>
        </is>
      </c>
      <c r="D60" s="2" t="inlineStr">
        <is>
          <t>MINOR</t>
        </is>
      </c>
      <c r="E60" s="2" t="inlineStr">
        <is>
          <t>image observation</t>
        </is>
      </c>
      <c r="F60" s="2" t="inlineStr">
        <is>
          <t>Bedding type, feature, lifestyle or material image for colorful close up wolf head quilt.</t>
        </is>
      </c>
      <c r="G60" s="2" t="inlineStr">
        <is>
          <t>Fresh image file: D:\Shopify_Workspace\jeminise_seo\seo_runs\jeminise.com\20260906_234129\qa\20260907_182000\images\127_03.jpg; source URL: https://cdn.shopify.com/s/files/1/0792/5098/1063/files/4e6f29d0c8825ac0f3ecc5013137abf4f74e89238663ff73a31b68ec2769084a.jpg?v=1785181199</t>
        </is>
      </c>
      <c r="H60" s="2" t="inlineStr">
        <is>
          <t>Observation is generic or position-based; rewrite from the actual image content.</t>
        </is>
      </c>
      <c r="I60" s="2" t="inlineStr">
        <is>
          <t>Rewrite observation/alt from the directly opened image, naming the visible motif and use context.</t>
        </is>
      </c>
      <c r="J60" s="2" t="inlineStr">
        <is>
          <t>Fresh image file: D:\Shopify_Workspace\jeminise_seo\seo_runs\jeminise.com\20260906_234129\qa\20260907_182000\images\127_03.jpg; source URL: https://cdn.shopify.com/s/files/1/0792/5098/1063/files/4e6f29d0c8825ac0f3ecc5013137abf4f74e89238663ff73a31b68ec2769084a.jpg?v=1785181199</t>
        </is>
      </c>
      <c r="K60" s="2" t="inlineStr">
        <is>
          <t>The image row accurately describes the actual media at this gallery position.</t>
        </is>
      </c>
    </row>
    <row r="61" ht="84" customHeight="1">
      <c r="A61" s="3" t="inlineStr">
        <is>
          <t>ISSUE-0060</t>
        </is>
      </c>
      <c r="B61" s="3" t="inlineStr">
        <is>
          <t>jeminise.com+custom-wildlife-wolf-head-close-up-portrait-comforter-3233b9edb7-3233b9edb7</t>
        </is>
      </c>
      <c r="C61" s="3" t="inlineStr">
        <is>
          <t>img_41c605bed8a02633</t>
        </is>
      </c>
      <c r="D61" s="3" t="inlineStr">
        <is>
          <t>MINOR</t>
        </is>
      </c>
      <c r="E61" s="3" t="inlineStr">
        <is>
          <t>image observation</t>
        </is>
      </c>
      <c r="F61" s="3" t="inlineStr">
        <is>
          <t>Detail, feature panel or lifestyle image connected to colorful close up wolf head quilt.</t>
        </is>
      </c>
      <c r="G61" s="3" t="inlineStr">
        <is>
          <t>Fresh image file: D:\Shopify_Workspace\jeminise_seo\seo_runs\jeminise.com\20260906_234129\qa\20260907_182000\images\127_04.jpg; source URL: https://cdn.shopify.com/s/files/1/0792/5098/1063/files/0f940337e3da2f65f0e1726a8fbf74b9e18ca2563b79f783255d965d375910ad.jpg?v=1785181199</t>
        </is>
      </c>
      <c r="H61" s="3" t="inlineStr">
        <is>
          <t>Observation is generic or position-based; rewrite from the actual image content.</t>
        </is>
      </c>
      <c r="I61" s="3" t="inlineStr">
        <is>
          <t>Rewrite observation/alt from the directly opened image, naming the visible motif and use context.</t>
        </is>
      </c>
      <c r="J61" s="3" t="inlineStr">
        <is>
          <t>Fresh image file: D:\Shopify_Workspace\jeminise_seo\seo_runs\jeminise.com\20260906_234129\qa\20260907_182000\images\127_04.jpg; source URL: https://cdn.shopify.com/s/files/1/0792/5098/1063/files/0f940337e3da2f65f0e1726a8fbf74b9e18ca2563b79f783255d965d375910ad.jpg?v=1785181199</t>
        </is>
      </c>
      <c r="K61" s="3" t="inlineStr">
        <is>
          <t>The image row accurately describes the actual media at this gallery position.</t>
        </is>
      </c>
    </row>
    <row r="62" ht="84" customHeight="1">
      <c r="A62" s="2" t="inlineStr">
        <is>
          <t>ISSUE-0061</t>
        </is>
      </c>
      <c r="B62" s="2" t="inlineStr">
        <is>
          <t>jeminise.com+custom-wildlife-wolf-head-close-up-with-geometric-comforter-f005bbb79d-f005bbb79d</t>
        </is>
      </c>
      <c r="C62" s="2" t="inlineStr"/>
      <c r="D62" s="2" t="inlineStr">
        <is>
          <t>CRITICAL</t>
        </is>
      </c>
      <c r="E62" s="2" t="inlineStr">
        <is>
          <t>personalization/customizer</t>
        </is>
      </c>
      <c r="F62" s="2"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t>
        </is>
      </c>
      <c r="G62" s="2" t="inlineStr">
        <is>
          <t>Draft claims customization/personalization but static live audit did not find a customizer root.</t>
        </is>
      </c>
      <c r="H62" s="2" t="inlineStr">
        <is>
          <t>Claim is materially unsafe until the live purchase flow exposes matching input controls.</t>
        </is>
      </c>
      <c r="I62" s="2" t="inlineStr">
        <is>
          <t>Remove/soften unsupported personalization claim, or provide admin/live proof that matching controls work.</t>
        </is>
      </c>
      <c r="J62" s="2" t="inlineStr">
        <is>
          <t>Draft claims customization/personalization but static live audit did not find a customizer root.</t>
        </is>
      </c>
      <c r="K62" s="2" t="inlineStr">
        <is>
          <t>Re-open live product and verify the exact name/number/photo input is present and mapped to fulfillment.</t>
        </is>
      </c>
    </row>
    <row r="63" ht="84" customHeight="1">
      <c r="A63" s="3" t="inlineStr">
        <is>
          <t>ISSUE-0062</t>
        </is>
      </c>
      <c r="B63" s="3" t="inlineStr">
        <is>
          <t>jeminise.com+custom-wildlife-wolf-head-close-up-with-geometric-comforter-f005bbb79d-f005bbb79d</t>
        </is>
      </c>
      <c r="C63" s="3" t="inlineStr"/>
      <c r="D63" s="3" t="inlineStr">
        <is>
          <t>MAJOR</t>
        </is>
      </c>
      <c r="E63" s="3" t="inlineStr">
        <is>
          <t>description_proposed_html</t>
        </is>
      </c>
      <c r="F63" s="3"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t>
        </is>
      </c>
      <c r="G63" s="3" t="inlineStr">
        <is>
          <t>Draft contains SEO Use / QA approval wording.</t>
        </is>
      </c>
      <c r="H63" s="3" t="inlineStr">
        <is>
          <t>Internal workflow language is not publish-ready storefront copy.</t>
        </is>
      </c>
      <c r="I63" s="3" t="inlineStr">
        <is>
          <t>Remove internal QA/import block and replace with customer-facing verified copy.</t>
        </is>
      </c>
      <c r="J63" s="3" t="inlineStr">
        <is>
          <t>Draft contains SEO Use / QA approval wording.</t>
        </is>
      </c>
      <c r="K63" s="3" t="inlineStr">
        <is>
          <t>Description HTML no longer contains SEO Use, QA, approval, import or draft language.</t>
        </is>
      </c>
    </row>
    <row r="64" ht="84" customHeight="1">
      <c r="A64" s="2" t="inlineStr">
        <is>
          <t>ISSUE-0063</t>
        </is>
      </c>
      <c r="B64" s="2" t="inlineStr">
        <is>
          <t>jeminise.com+custom-wildlife-wolf-head-close-up-with-geometric-comforter-f005bbb79d-f005bbb79d</t>
        </is>
      </c>
      <c r="C64" s="2" t="inlineStr"/>
      <c r="D64" s="2" t="inlineStr">
        <is>
          <t>MINOR</t>
        </is>
      </c>
      <c r="E64" s="2" t="inlineStr">
        <is>
          <t>meta_description_seo</t>
        </is>
      </c>
      <c r="F64" s="2" t="inlineStr">
        <is>
          <t>Shop a quilt set featuring front-facing wolf head rendered in angular geometric shapes with teal, tan and rust accents. Review size and personalization options before checkout.</t>
        </is>
      </c>
      <c r="G64" s="2" t="inlineStr">
        <is>
          <t>Meta description length is 176 characters.</t>
        </is>
      </c>
      <c r="H64" s="2" t="inlineStr">
        <is>
          <t>Likely to truncate in search results and repeats review/personality wording in several rows.</t>
        </is>
      </c>
      <c r="I64" s="2" t="inlineStr">
        <is>
          <t>Rewrite to roughly 145-155 characters while preserving verified design and product type.</t>
        </is>
      </c>
      <c r="J64" s="2" t="inlineStr">
        <is>
          <t>Meta description length is 176 characters.</t>
        </is>
      </c>
      <c r="K64" s="2" t="inlineStr">
        <is>
          <t>Length check &lt;=160 characters and no unsupported claim remains.</t>
        </is>
      </c>
    </row>
    <row r="65" ht="84" customHeight="1">
      <c r="A65" s="3" t="inlineStr">
        <is>
          <t>ISSUE-0064</t>
        </is>
      </c>
      <c r="B65" s="3" t="inlineStr">
        <is>
          <t>jeminise.com+custom-wildlife-wolf-head-close-up-with-geometric-comforter-f005bbb79d-f005bbb79d</t>
        </is>
      </c>
      <c r="C65" s="3" t="inlineStr"/>
      <c r="D65" s="3" t="inlineStr">
        <is>
          <t>MAJOR</t>
        </is>
      </c>
      <c r="E65" s="3" t="inlineStr">
        <is>
          <t>keyword_map</t>
        </is>
      </c>
      <c r="F65" s="3" t="inlineStr">
        <is>
          <t>geometric wolf quilt</t>
        </is>
      </c>
      <c r="G65" s="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https://www.amazon.com/wolf-comforter-set/s?k=wolf+comforter+set; https://www.pinterest.com/pin/wolf-bedding-set-duvet-set-comforte…</t>
        </is>
      </c>
      <c r="H65" s="3" t="inlineStr">
        <is>
          <t>Batch cluster contains several very similar products, so keyword/intent differentiation must be sharper.</t>
        </is>
      </c>
      <c r="I65" s="3" t="inlineStr">
        <is>
          <t>Add unique visible motif modifiers and avoid assigning the same generic product keyword to multiple URLs.</t>
        </is>
      </c>
      <c r="J65" s="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https://www.amazon.com/wolf-comforter-set/s?k=wolf+comforter+set; https://www.pinterest.com/pin/wolf-bedding-set-duvet-set-comforte…</t>
        </is>
      </c>
      <c r="K65" s="3" t="inlineStr">
        <is>
          <t>SERP notes and title/meta show a distinct product-level query for this exact design.</t>
        </is>
      </c>
    </row>
    <row r="66" ht="84" customHeight="1">
      <c r="A66" s="2" t="inlineStr">
        <is>
          <t>ISSUE-0065</t>
        </is>
      </c>
      <c r="B66" s="2" t="inlineStr">
        <is>
          <t>jeminise.com+custom-wildlife-wolf-head-close-up-with-geometric-comforter-f005bbb79d-f005bbb79d</t>
        </is>
      </c>
      <c r="C66" s="2" t="inlineStr"/>
      <c r="D66" s="2" t="inlineStr">
        <is>
          <t>LIMITATION</t>
        </is>
      </c>
      <c r="E66" s="2" t="inlineStr">
        <is>
          <t>keyword_evidence_level</t>
        </is>
      </c>
      <c r="F66" s="2" t="inlineStr">
        <is>
          <t>SERP_ONLY</t>
        </is>
      </c>
      <c r="G66" s="2" t="inlineStr">
        <is>
          <t>Only public SERP comparables are available.</t>
        </is>
      </c>
      <c r="H66" s="2" t="inlineStr">
        <is>
          <t>No Search Console, paid keyword volume or internal site search export was supplied.</t>
        </is>
      </c>
      <c r="I66" s="2" t="inlineStr">
        <is>
          <t>Keep demand statements qualitative; do not claim volume or ranking potential.</t>
        </is>
      </c>
      <c r="J66" s="2" t="inlineStr">
        <is>
          <t>Only public SERP comparables are available.</t>
        </is>
      </c>
      <c r="K66" s="2" t="inlineStr">
        <is>
          <t>Additional first-party or paid keyword evidence is attached, or limitation remains documented.</t>
        </is>
      </c>
    </row>
    <row r="67" ht="84" customHeight="1">
      <c r="A67" s="3" t="inlineStr">
        <is>
          <t>ISSUE-0066</t>
        </is>
      </c>
      <c r="B67" s="3" t="inlineStr">
        <is>
          <t>jeminise.com+custom-wildlife-wolf-head-close-up-with-geometric-comforter-f005bbb79d-f005bbb79d</t>
        </is>
      </c>
      <c r="C67" s="3" t="inlineStr">
        <is>
          <t>img_6d4d4f1827ba5717</t>
        </is>
      </c>
      <c r="D67" s="3" t="inlineStr">
        <is>
          <t>MINOR</t>
        </is>
      </c>
      <c r="E67" s="3" t="inlineStr">
        <is>
          <t>alt text</t>
        </is>
      </c>
      <c r="F67" s="3" t="inlineStr">
        <is>
          <t>Geometric Wolf Head Quilt Set displayed in a main product mockup</t>
        </is>
      </c>
      <c r="G67" s="3" t="inlineStr">
        <is>
          <t>Fresh image file: D:\Shopify_Workspace\jeminise_seo\seo_runs\jeminise.com\20260906_234129\qa\20260907_182000\images\128_01.jpg; source URL: https://cdn.shopify.com/s/files/1/0792/5098/1063/files/fb99d33be77ccc490c5313b387c1b9a092e5691e9d9e6ec2620bba5259c62ca7.jpg?v=1785181393</t>
        </is>
      </c>
      <c r="H67" s="3" t="inlineStr">
        <is>
          <t>Alt text is too generic or describes placement more than visible content.</t>
        </is>
      </c>
      <c r="I67" s="3" t="inlineStr">
        <is>
          <t>Rewrite observation/alt from the directly opened image, naming the visible motif and use context.</t>
        </is>
      </c>
      <c r="J67" s="3" t="inlineStr">
        <is>
          <t>Fresh image file: D:\Shopify_Workspace\jeminise_seo\seo_runs\jeminise.com\20260906_234129\qa\20260907_182000\images\128_01.jpg; source URL: https://cdn.shopify.com/s/files/1/0792/5098/1063/files/fb99d33be77ccc490c5313b387c1b9a092e5691e9d9e6ec2620bba5259c62ca7.jpg?v=1785181393</t>
        </is>
      </c>
      <c r="K67" s="3" t="inlineStr">
        <is>
          <t>The image row accurately describes the actual media at this gallery position.</t>
        </is>
      </c>
    </row>
    <row r="68" ht="84" customHeight="1">
      <c r="A68" s="2" t="inlineStr">
        <is>
          <t>ISSUE-0067</t>
        </is>
      </c>
      <c r="B68" s="2" t="inlineStr">
        <is>
          <t>jeminise.com+custom-wildlife-wolf-head-close-up-with-geometric-comforter-f005bbb79d-f005bbb79d</t>
        </is>
      </c>
      <c r="C68" s="2" t="inlineStr">
        <is>
          <t>img_4cd2a3c30be030ff</t>
        </is>
      </c>
      <c r="D68" s="2" t="inlineStr">
        <is>
          <t>MINOR</t>
        </is>
      </c>
      <c r="E68" s="2" t="inlineStr">
        <is>
          <t>image observation</t>
        </is>
      </c>
      <c r="F68" s="2" t="inlineStr">
        <is>
          <t>Bedding type, feature, lifestyle or material image for geometric wolf head quilt set.</t>
        </is>
      </c>
      <c r="G68" s="2" t="inlineStr">
        <is>
          <t>Fresh image file: D:\Shopify_Workspace\jeminise_seo\seo_runs\jeminise.com\20260906_234129\qa\20260907_182000\images\128_03.jpg; source URL: https://cdn.shopify.com/s/files/1/0792/5098/1063/files/ecef674ec02d2f501ba1ca24f63d76a59886600b070e7cf84ce106c8563dee5e.jpg?v=1785181393</t>
        </is>
      </c>
      <c r="H68" s="2" t="inlineStr">
        <is>
          <t>Observation is generic or position-based; rewrite from the actual image content.</t>
        </is>
      </c>
      <c r="I68" s="2" t="inlineStr">
        <is>
          <t>Rewrite observation/alt from the directly opened image, naming the visible motif and use context.</t>
        </is>
      </c>
      <c r="J68" s="2" t="inlineStr">
        <is>
          <t>Fresh image file: D:\Shopify_Workspace\jeminise_seo\seo_runs\jeminise.com\20260906_234129\qa\20260907_182000\images\128_03.jpg; source URL: https://cdn.shopify.com/s/files/1/0792/5098/1063/files/ecef674ec02d2f501ba1ca24f63d76a59886600b070e7cf84ce106c8563dee5e.jpg?v=1785181393</t>
        </is>
      </c>
      <c r="K68" s="2" t="inlineStr">
        <is>
          <t>The image row accurately describes the actual media at this gallery position.</t>
        </is>
      </c>
    </row>
    <row r="69" ht="84" customHeight="1">
      <c r="A69" s="3" t="inlineStr">
        <is>
          <t>ISSUE-0068</t>
        </is>
      </c>
      <c r="B69" s="3" t="inlineStr">
        <is>
          <t>jeminise.com+custom-wildlife-wolf-head-close-up-with-geometric-comforter-f005bbb79d-f005bbb79d</t>
        </is>
      </c>
      <c r="C69" s="3" t="inlineStr">
        <is>
          <t>img_9e492c22987e362d</t>
        </is>
      </c>
      <c r="D69" s="3" t="inlineStr">
        <is>
          <t>MINOR</t>
        </is>
      </c>
      <c r="E69" s="3" t="inlineStr">
        <is>
          <t>image observation</t>
        </is>
      </c>
      <c r="F69" s="3" t="inlineStr">
        <is>
          <t>Detail, feature panel or lifestyle image connected to geometric wolf head quilt set.</t>
        </is>
      </c>
      <c r="G69" s="3" t="inlineStr">
        <is>
          <t>Fresh image file: D:\Shopify_Workspace\jeminise_seo\seo_runs\jeminise.com\20260906_234129\qa\20260907_182000\images\128_04.jpg; source URL: https://cdn.shopify.com/s/files/1/0792/5098/1063/files/56fd8b810c302c8bc32b9136dbd1e0ff71e7ad1f16c4cc2bc8b7746a3ff61db6.jpg?v=1785181393</t>
        </is>
      </c>
      <c r="H69" s="3" t="inlineStr">
        <is>
          <t>Observation is generic or position-based; rewrite from the actual image content.</t>
        </is>
      </c>
      <c r="I69" s="3" t="inlineStr">
        <is>
          <t>Rewrite observation/alt from the directly opened image, naming the visible motif and use context.</t>
        </is>
      </c>
      <c r="J69" s="3" t="inlineStr">
        <is>
          <t>Fresh image file: D:\Shopify_Workspace\jeminise_seo\seo_runs\jeminise.com\20260906_234129\qa\20260907_182000\images\128_04.jpg; source URL: https://cdn.shopify.com/s/files/1/0792/5098/1063/files/56fd8b810c302c8bc32b9136dbd1e0ff71e7ad1f16c4cc2bc8b7746a3ff61db6.jpg?v=1785181393</t>
        </is>
      </c>
      <c r="K69" s="3" t="inlineStr">
        <is>
          <t>The image row accurately describes the actual media at this gallery position.</t>
        </is>
      </c>
    </row>
    <row r="70" ht="84" customHeight="1">
      <c r="A70" s="2" t="inlineStr">
        <is>
          <t>ISSUE-0069</t>
        </is>
      </c>
      <c r="B70" s="2" t="inlineStr">
        <is>
          <t>jeminise.com+custom-wildlife-wolf-head-with-feathers-in-profile-comforter-0b1ab59a17-0b1ab59a17</t>
        </is>
      </c>
      <c r="C70" s="2" t="inlineStr"/>
      <c r="D70" s="2" t="inlineStr">
        <is>
          <t>MAJOR</t>
        </is>
      </c>
      <c r="E70" s="2" t="inlineStr">
        <is>
          <t>description_proposed_html</t>
        </is>
      </c>
      <c r="F70" s="2"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t>
        </is>
      </c>
      <c r="G70" s="2" t="inlineStr">
        <is>
          <t>Draft contains SEO Use / QA approval wording.</t>
        </is>
      </c>
      <c r="H70" s="2" t="inlineStr">
        <is>
          <t>Internal workflow language is not publish-ready storefront copy.</t>
        </is>
      </c>
      <c r="I70" s="2" t="inlineStr">
        <is>
          <t>Remove internal QA/import block and replace with customer-facing verified copy.</t>
        </is>
      </c>
      <c r="J70" s="2" t="inlineStr">
        <is>
          <t>Draft contains SEO Use / QA approval wording.</t>
        </is>
      </c>
      <c r="K70" s="2" t="inlineStr">
        <is>
          <t>Description HTML no longer contains SEO Use, QA, approval, import or draft language.</t>
        </is>
      </c>
    </row>
    <row r="71" ht="84" customHeight="1">
      <c r="A71" s="3" t="inlineStr">
        <is>
          <t>ISSUE-0070</t>
        </is>
      </c>
      <c r="B71" s="3" t="inlineStr">
        <is>
          <t>jeminise.com+custom-wildlife-wolf-head-with-feathers-in-profile-comforter-0b1ab59a17-0b1ab59a17</t>
        </is>
      </c>
      <c r="C71" s="3" t="inlineStr"/>
      <c r="D71" s="3" t="inlineStr">
        <is>
          <t>MINOR</t>
        </is>
      </c>
      <c r="E71" s="3" t="inlineStr">
        <is>
          <t>meta_description_seo</t>
        </is>
      </c>
      <c r="F71" s="3" t="inlineStr">
        <is>
          <t>Shop a quilt set featuring side-profile wolf head artwork with feathers and beads on a warm tan and brown background. Review size and personalization options before checkout.</t>
        </is>
      </c>
      <c r="G71" s="3" t="inlineStr">
        <is>
          <t>Meta description length is 174 characters.</t>
        </is>
      </c>
      <c r="H71" s="3" t="inlineStr">
        <is>
          <t>Likely to truncate in search results and repeats review/personality wording in several rows.</t>
        </is>
      </c>
      <c r="I71" s="3" t="inlineStr">
        <is>
          <t>Rewrite to roughly 145-155 characters while preserving verified design and product type.</t>
        </is>
      </c>
      <c r="J71" s="3" t="inlineStr">
        <is>
          <t>Meta description length is 174 characters.</t>
        </is>
      </c>
      <c r="K71" s="3" t="inlineStr">
        <is>
          <t>Length check &lt;=160 characters and no unsupported claim remains.</t>
        </is>
      </c>
    </row>
    <row r="72" ht="84" customHeight="1">
      <c r="A72" s="2" t="inlineStr">
        <is>
          <t>ISSUE-0071</t>
        </is>
      </c>
      <c r="B72" s="2" t="inlineStr">
        <is>
          <t>jeminise.com+custom-wildlife-wolf-head-with-feathers-in-profile-comforter-0b1ab59a17-0b1ab59a17</t>
        </is>
      </c>
      <c r="C72" s="2" t="inlineStr"/>
      <c r="D72" s="2" t="inlineStr">
        <is>
          <t>MAJOR</t>
        </is>
      </c>
      <c r="E72" s="2" t="inlineStr">
        <is>
          <t>keyword_map</t>
        </is>
      </c>
      <c r="F72" s="2" t="inlineStr">
        <is>
          <t>wolf feathers quilt</t>
        </is>
      </c>
      <c r="G72" s="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https://www.amazon.com/wolf-comforter-set/s?k=wolf+comforter+set; https://www.pinterest.com/pin/wolf-bedding-set-duvet-set-comforte…</t>
        </is>
      </c>
      <c r="H72" s="2" t="inlineStr">
        <is>
          <t>Batch cluster contains several very similar products, so keyword/intent differentiation must be sharper.</t>
        </is>
      </c>
      <c r="I72" s="2" t="inlineStr">
        <is>
          <t>Add unique visible motif modifiers and avoid assigning the same generic product keyword to multiple URLs.</t>
        </is>
      </c>
      <c r="J72" s="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https://www.amazon.com/wolf-comforter-set/s?k=wolf+comforter+set; https://www.pinterest.com/pin/wolf-bedding-set-duvet-set-comforte…</t>
        </is>
      </c>
      <c r="K72" s="2" t="inlineStr">
        <is>
          <t>SERP notes and title/meta show a distinct product-level query for this exact design.</t>
        </is>
      </c>
    </row>
    <row r="73" ht="84" customHeight="1">
      <c r="A73" s="3" t="inlineStr">
        <is>
          <t>ISSUE-0072</t>
        </is>
      </c>
      <c r="B73" s="3" t="inlineStr">
        <is>
          <t>jeminise.com+custom-wildlife-wolf-head-with-feathers-in-profile-comforter-0b1ab59a17-0b1ab59a17</t>
        </is>
      </c>
      <c r="C73" s="3" t="inlineStr"/>
      <c r="D73" s="3" t="inlineStr">
        <is>
          <t>LIMITATION</t>
        </is>
      </c>
      <c r="E73" s="3" t="inlineStr">
        <is>
          <t>keyword_evidence_level</t>
        </is>
      </c>
      <c r="F73" s="3" t="inlineStr">
        <is>
          <t>SERP_ONLY</t>
        </is>
      </c>
      <c r="G73" s="3" t="inlineStr">
        <is>
          <t>Only public SERP comparables are available.</t>
        </is>
      </c>
      <c r="H73" s="3" t="inlineStr">
        <is>
          <t>No Search Console, paid keyword volume or internal site search export was supplied.</t>
        </is>
      </c>
      <c r="I73" s="3" t="inlineStr">
        <is>
          <t>Keep demand statements qualitative; do not claim volume or ranking potential.</t>
        </is>
      </c>
      <c r="J73" s="3" t="inlineStr">
        <is>
          <t>Only public SERP comparables are available.</t>
        </is>
      </c>
      <c r="K73" s="3" t="inlineStr">
        <is>
          <t>Additional first-party or paid keyword evidence is attached, or limitation remains documented.</t>
        </is>
      </c>
    </row>
    <row r="74" ht="84" customHeight="1">
      <c r="A74" s="2" t="inlineStr">
        <is>
          <t>ISSUE-0073</t>
        </is>
      </c>
      <c r="B74" s="2" t="inlineStr">
        <is>
          <t>jeminise.com+custom-wildlife-wolf-head-with-feathers-in-profile-comforter-0b1ab59a17-0b1ab59a17</t>
        </is>
      </c>
      <c r="C74" s="2" t="inlineStr">
        <is>
          <t>img_f2891a3431812357</t>
        </is>
      </c>
      <c r="D74" s="2" t="inlineStr">
        <is>
          <t>MINOR</t>
        </is>
      </c>
      <c r="E74" s="2" t="inlineStr">
        <is>
          <t>alt text</t>
        </is>
      </c>
      <c r="F74" s="2" t="inlineStr">
        <is>
          <t>Profile Wolf Head with Feathers Quilt displayed in a main product mockup</t>
        </is>
      </c>
      <c r="G74" s="2" t="inlineStr">
        <is>
          <t>Fresh image file: D:\Shopify_Workspace\jeminise_seo\seo_runs\jeminise.com\20260906_234129\qa\20260907_182000\images\129_01.jpg; source URL: https://cdn.shopify.com/s/files/1/0792/5098/1063/files/1253d3cdaec810d23a956125b83478f66f286ecb5f5ed21d03a3f7393ca515f1.jpg?v=1785181472</t>
        </is>
      </c>
      <c r="H74" s="2" t="inlineStr">
        <is>
          <t>Alt text is too generic or describes placement more than visible content.</t>
        </is>
      </c>
      <c r="I74" s="2" t="inlineStr">
        <is>
          <t>Rewrite observation/alt from the directly opened image, naming the visible motif and use context.</t>
        </is>
      </c>
      <c r="J74" s="2" t="inlineStr">
        <is>
          <t>Fresh image file: D:\Shopify_Workspace\jeminise_seo\seo_runs\jeminise.com\20260906_234129\qa\20260907_182000\images\129_01.jpg; source URL: https://cdn.shopify.com/s/files/1/0792/5098/1063/files/1253d3cdaec810d23a956125b83478f66f286ecb5f5ed21d03a3f7393ca515f1.jpg?v=1785181472</t>
        </is>
      </c>
      <c r="K74" s="2" t="inlineStr">
        <is>
          <t>The image row accurately describes the actual media at this gallery position.</t>
        </is>
      </c>
    </row>
    <row r="75" ht="84" customHeight="1">
      <c r="A75" s="3" t="inlineStr">
        <is>
          <t>ISSUE-0074</t>
        </is>
      </c>
      <c r="B75" s="3" t="inlineStr">
        <is>
          <t>jeminise.com+custom-wildlife-wolf-head-with-feathers-in-profile-comforter-0b1ab59a17-0b1ab59a17</t>
        </is>
      </c>
      <c r="C75" s="3" t="inlineStr">
        <is>
          <t>img_4c2597546d6ec493</t>
        </is>
      </c>
      <c r="D75" s="3" t="inlineStr">
        <is>
          <t>MINOR</t>
        </is>
      </c>
      <c r="E75" s="3" t="inlineStr">
        <is>
          <t>image observation</t>
        </is>
      </c>
      <c r="F75" s="3" t="inlineStr">
        <is>
          <t>Bedding type, feature, lifestyle or material image for profile wolf head with feathers quilt.</t>
        </is>
      </c>
      <c r="G75" s="3" t="inlineStr">
        <is>
          <t>Fresh image file: D:\Shopify_Workspace\jeminise_seo\seo_runs\jeminise.com\20260906_234129\qa\20260907_182000\images\129_03.jpg; source URL: https://cdn.shopify.com/s/files/1/0792/5098/1063/files/541eb95a3e153e2bd30304d2f0c7d58871b9b691ba6c938f9e6f6eccf38ee7ae.jpg?v=1785181471</t>
        </is>
      </c>
      <c r="H75" s="3" t="inlineStr">
        <is>
          <t>Observation is generic or position-based; rewrite from the actual image content.</t>
        </is>
      </c>
      <c r="I75" s="3" t="inlineStr">
        <is>
          <t>Rewrite observation/alt from the directly opened image, naming the visible motif and use context.</t>
        </is>
      </c>
      <c r="J75" s="3" t="inlineStr">
        <is>
          <t>Fresh image file: D:\Shopify_Workspace\jeminise_seo\seo_runs\jeminise.com\20260906_234129\qa\20260907_182000\images\129_03.jpg; source URL: https://cdn.shopify.com/s/files/1/0792/5098/1063/files/541eb95a3e153e2bd30304d2f0c7d58871b9b691ba6c938f9e6f6eccf38ee7ae.jpg?v=1785181471</t>
        </is>
      </c>
      <c r="K75" s="3" t="inlineStr">
        <is>
          <t>The image row accurately describes the actual media at this gallery position.</t>
        </is>
      </c>
    </row>
    <row r="76" ht="84" customHeight="1">
      <c r="A76" s="2" t="inlineStr">
        <is>
          <t>ISSUE-0075</t>
        </is>
      </c>
      <c r="B76" s="2" t="inlineStr">
        <is>
          <t>jeminise.com+custom-wildlife-wolf-head-with-feathers-in-profile-comforter-0b1ab59a17-0b1ab59a17</t>
        </is>
      </c>
      <c r="C76" s="2" t="inlineStr">
        <is>
          <t>img_35a6ae2ad566a8df</t>
        </is>
      </c>
      <c r="D76" s="2" t="inlineStr">
        <is>
          <t>MINOR</t>
        </is>
      </c>
      <c r="E76" s="2" t="inlineStr">
        <is>
          <t>image observation</t>
        </is>
      </c>
      <c r="F76" s="2" t="inlineStr">
        <is>
          <t>Detail, feature panel or lifestyle image connected to profile wolf head with feathers quilt.</t>
        </is>
      </c>
      <c r="G76" s="2" t="inlineStr">
        <is>
          <t>Fresh image file: D:\Shopify_Workspace\jeminise_seo\seo_runs\jeminise.com\20260906_234129\qa\20260907_182000\images\129_04.jpg; source URL: https://cdn.shopify.com/s/files/1/0792/5098/1063/files/4c27f7256fa9da62b223d070c922bc959741e9b1746ebb87947cf2161d1917b0.jpg?v=1785181471</t>
        </is>
      </c>
      <c r="H76" s="2" t="inlineStr">
        <is>
          <t>Observation is generic or position-based; rewrite from the actual image content.</t>
        </is>
      </c>
      <c r="I76" s="2" t="inlineStr">
        <is>
          <t>Rewrite observation/alt from the directly opened image, naming the visible motif and use context.</t>
        </is>
      </c>
      <c r="J76" s="2" t="inlineStr">
        <is>
          <t>Fresh image file: D:\Shopify_Workspace\jeminise_seo\seo_runs\jeminise.com\20260906_234129\qa\20260907_182000\images\129_04.jpg; source URL: https://cdn.shopify.com/s/files/1/0792/5098/1063/files/4c27f7256fa9da62b223d070c922bc959741e9b1746ebb87947cf2161d1917b0.jpg?v=1785181471</t>
        </is>
      </c>
      <c r="K76" s="2" t="inlineStr">
        <is>
          <t>The image row accurately describes the actual media at this gallery position.</t>
        </is>
      </c>
    </row>
    <row r="77" ht="84" customHeight="1">
      <c r="A77" s="3" t="inlineStr">
        <is>
          <t>ISSUE-0076</t>
        </is>
      </c>
      <c r="B77" s="3" t="inlineStr">
        <is>
          <t>jeminise.com+custom-wolf-head-centered-in-dreamcatcher-comforter-be6b37a3e1-be6b37a3e1</t>
        </is>
      </c>
      <c r="C77" s="3" t="inlineStr"/>
      <c r="D77" s="3" t="inlineStr">
        <is>
          <t>MAJOR</t>
        </is>
      </c>
      <c r="E77" s="3" t="inlineStr">
        <is>
          <t>description_proposed_html</t>
        </is>
      </c>
      <c r="F77" s="3"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is>
      </c>
      <c r="G77" s="3" t="inlineStr">
        <is>
          <t>Draft contains SEO Use / QA approval wording.</t>
        </is>
      </c>
      <c r="H77" s="3" t="inlineStr">
        <is>
          <t>Internal workflow language is not publish-ready storefront copy.</t>
        </is>
      </c>
      <c r="I77" s="3" t="inlineStr">
        <is>
          <t>Remove internal QA/import block and replace with customer-facing verified copy.</t>
        </is>
      </c>
      <c r="J77" s="3" t="inlineStr">
        <is>
          <t>Draft contains SEO Use / QA approval wording.</t>
        </is>
      </c>
      <c r="K77" s="3" t="inlineStr">
        <is>
          <t>Description HTML no longer contains SEO Use, QA, approval, import or draft language.</t>
        </is>
      </c>
    </row>
    <row r="78" ht="84" customHeight="1">
      <c r="A78" s="2" t="inlineStr">
        <is>
          <t>ISSUE-0077</t>
        </is>
      </c>
      <c r="B78" s="2" t="inlineStr">
        <is>
          <t>jeminise.com+custom-wolf-head-centered-in-dreamcatcher-comforter-be6b37a3e1-be6b37a3e1</t>
        </is>
      </c>
      <c r="C78" s="2" t="inlineStr"/>
      <c r="D78" s="2" t="inlineStr">
        <is>
          <t>MINOR</t>
        </is>
      </c>
      <c r="E78" s="2" t="inlineStr">
        <is>
          <t>meta_description_seo</t>
        </is>
      </c>
      <c r="F78" s="2" t="inlineStr">
        <is>
          <t>Shop a quilt set featuring front-facing wolf head centered inside a dreamcatcher circle with feathers on a muted tan background. Review size and personalization options before checkout.</t>
        </is>
      </c>
      <c r="G78" s="2" t="inlineStr">
        <is>
          <t>Meta description length is 185 characters.</t>
        </is>
      </c>
      <c r="H78" s="2" t="inlineStr">
        <is>
          <t>Likely to truncate in search results and repeats review/personality wording in several rows.</t>
        </is>
      </c>
      <c r="I78" s="2" t="inlineStr">
        <is>
          <t>Rewrite to roughly 145-155 characters while preserving verified design and product type.</t>
        </is>
      </c>
      <c r="J78" s="2" t="inlineStr">
        <is>
          <t>Meta description length is 185 characters.</t>
        </is>
      </c>
      <c r="K78" s="2" t="inlineStr">
        <is>
          <t>Length check &lt;=160 characters and no unsupported claim remains.</t>
        </is>
      </c>
    </row>
    <row r="79" ht="84" customHeight="1">
      <c r="A79" s="3" t="inlineStr">
        <is>
          <t>ISSUE-0078</t>
        </is>
      </c>
      <c r="B79" s="3" t="inlineStr">
        <is>
          <t>jeminise.com+custom-wolf-head-centered-in-dreamcatcher-comforter-be6b37a3e1-be6b37a3e1</t>
        </is>
      </c>
      <c r="C79" s="3" t="inlineStr"/>
      <c r="D79" s="3" t="inlineStr">
        <is>
          <t>MAJOR</t>
        </is>
      </c>
      <c r="E79" s="3" t="inlineStr">
        <is>
          <t>keyword_map</t>
        </is>
      </c>
      <c r="F79" s="3" t="inlineStr">
        <is>
          <t>wolf dreamcatcher quilt</t>
        </is>
      </c>
      <c r="G79" s="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https://www.amazon.com/wolf-comforter-set/s?k=wolf+comforter+set; https://www.pinterest.com/pin/wolf-bedding-set-duvet-set-comforte…</t>
        </is>
      </c>
      <c r="H79" s="3" t="inlineStr">
        <is>
          <t>Batch cluster contains several very similar products, so keyword/intent differentiation must be sharper.</t>
        </is>
      </c>
      <c r="I79" s="3" t="inlineStr">
        <is>
          <t>Add unique visible motif modifiers and avoid assigning the same generic product keyword to multiple URLs.</t>
        </is>
      </c>
      <c r="J79" s="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https://www.amazon.com/wolf-comforter-set/s?k=wolf+comforter+set; https://www.pinterest.com/pin/wolf-bedding-set-duvet-set-comforte…</t>
        </is>
      </c>
      <c r="K79" s="3" t="inlineStr">
        <is>
          <t>SERP notes and title/meta show a distinct product-level query for this exact design.</t>
        </is>
      </c>
    </row>
    <row r="80" ht="84" customHeight="1">
      <c r="A80" s="2" t="inlineStr">
        <is>
          <t>ISSUE-0079</t>
        </is>
      </c>
      <c r="B80" s="2" t="inlineStr">
        <is>
          <t>jeminise.com+custom-wolf-head-centered-in-dreamcatcher-comforter-be6b37a3e1-be6b37a3e1</t>
        </is>
      </c>
      <c r="C80" s="2" t="inlineStr"/>
      <c r="D80" s="2" t="inlineStr">
        <is>
          <t>LIMITATION</t>
        </is>
      </c>
      <c r="E80" s="2" t="inlineStr">
        <is>
          <t>keyword_evidence_level</t>
        </is>
      </c>
      <c r="F80" s="2" t="inlineStr">
        <is>
          <t>SERP_ONLY</t>
        </is>
      </c>
      <c r="G80" s="2" t="inlineStr">
        <is>
          <t>Only public SERP comparables are available.</t>
        </is>
      </c>
      <c r="H80" s="2" t="inlineStr">
        <is>
          <t>No Search Console, paid keyword volume or internal site search export was supplied.</t>
        </is>
      </c>
      <c r="I80" s="2" t="inlineStr">
        <is>
          <t>Keep demand statements qualitative; do not claim volume or ranking potential.</t>
        </is>
      </c>
      <c r="J80" s="2" t="inlineStr">
        <is>
          <t>Only public SERP comparables are available.</t>
        </is>
      </c>
      <c r="K80" s="2" t="inlineStr">
        <is>
          <t>Additional first-party or paid keyword evidence is attached, or limitation remains documented.</t>
        </is>
      </c>
    </row>
    <row r="81" ht="84" customHeight="1">
      <c r="A81" s="3" t="inlineStr">
        <is>
          <t>ISSUE-0080</t>
        </is>
      </c>
      <c r="B81" s="3" t="inlineStr">
        <is>
          <t>jeminise.com+custom-wolf-head-centered-in-dreamcatcher-comforter-be6b37a3e1-be6b37a3e1</t>
        </is>
      </c>
      <c r="C81" s="3" t="inlineStr">
        <is>
          <t>img_3012432397b07c26</t>
        </is>
      </c>
      <c r="D81" s="3" t="inlineStr">
        <is>
          <t>MINOR</t>
        </is>
      </c>
      <c r="E81" s="3" t="inlineStr">
        <is>
          <t>alt text</t>
        </is>
      </c>
      <c r="F81" s="3" t="inlineStr">
        <is>
          <t>Wolf Dreamcatcher Quilt with Feathers displayed in a main product mockup</t>
        </is>
      </c>
      <c r="G81" s="3" t="inlineStr">
        <is>
          <t>Fresh image file: D:\Shopify_Workspace\jeminise_seo\seo_runs\jeminise.com\20260906_234129\qa\20260907_182000\images\130_01.jpg; source URL: https://cdn.shopify.com/s/files/1/0792/5098/1063/files/020fde2da418c08d9376ad45c1918438d55d39a2b4217c6ecc488895a8b7ff9b.jpg?v=1785181290</t>
        </is>
      </c>
      <c r="H81" s="3" t="inlineStr">
        <is>
          <t>Alt text is too generic or describes placement more than visible content.</t>
        </is>
      </c>
      <c r="I81" s="3" t="inlineStr">
        <is>
          <t>Rewrite observation/alt from the directly opened image, naming the visible motif and use context.</t>
        </is>
      </c>
      <c r="J81" s="3" t="inlineStr">
        <is>
          <t>Fresh image file: D:\Shopify_Workspace\jeminise_seo\seo_runs\jeminise.com\20260906_234129\qa\20260907_182000\images\130_01.jpg; source URL: https://cdn.shopify.com/s/files/1/0792/5098/1063/files/020fde2da418c08d9376ad45c1918438d55d39a2b4217c6ecc488895a8b7ff9b.jpg?v=1785181290</t>
        </is>
      </c>
      <c r="K81" s="3" t="inlineStr">
        <is>
          <t>The image row accurately describes the actual media at this gallery position.</t>
        </is>
      </c>
    </row>
    <row r="82" ht="84" customHeight="1">
      <c r="A82" s="2" t="inlineStr">
        <is>
          <t>ISSUE-0081</t>
        </is>
      </c>
      <c r="B82" s="2" t="inlineStr">
        <is>
          <t>jeminise.com+custom-wolf-head-centered-in-dreamcatcher-comforter-be6b37a3e1-be6b37a3e1</t>
        </is>
      </c>
      <c r="C82" s="2" t="inlineStr">
        <is>
          <t>img_538629172a20d091</t>
        </is>
      </c>
      <c r="D82" s="2" t="inlineStr">
        <is>
          <t>MINOR</t>
        </is>
      </c>
      <c r="E82" s="2" t="inlineStr">
        <is>
          <t>image observation</t>
        </is>
      </c>
      <c r="F82" s="2" t="inlineStr">
        <is>
          <t>Bedding type, feature, lifestyle or material image for wolf dreamcatcher quilt with feathers.</t>
        </is>
      </c>
      <c r="G82" s="2" t="inlineStr">
        <is>
          <t>Fresh image file: D:\Shopify_Workspace\jeminise_seo\seo_runs\jeminise.com\20260906_234129\qa\20260907_182000\images\130_03.jpg; source URL: https://cdn.shopify.com/s/files/1/0792/5098/1063/files/f2e7a259def6c007ffe9e1c0db405312e07b6021eaf534e5f8adb3ee18bd2fc2.jpg?v=1785181290</t>
        </is>
      </c>
      <c r="H82" s="2" t="inlineStr">
        <is>
          <t>Observation is generic or position-based; rewrite from the actual image content.</t>
        </is>
      </c>
      <c r="I82" s="2" t="inlineStr">
        <is>
          <t>Rewrite observation/alt from the directly opened image, naming the visible motif and use context.</t>
        </is>
      </c>
      <c r="J82" s="2" t="inlineStr">
        <is>
          <t>Fresh image file: D:\Shopify_Workspace\jeminise_seo\seo_runs\jeminise.com\20260906_234129\qa\20260907_182000\images\130_03.jpg; source URL: https://cdn.shopify.com/s/files/1/0792/5098/1063/files/f2e7a259def6c007ffe9e1c0db405312e07b6021eaf534e5f8adb3ee18bd2fc2.jpg?v=1785181290</t>
        </is>
      </c>
      <c r="K82" s="2" t="inlineStr">
        <is>
          <t>The image row accurately describes the actual media at this gallery position.</t>
        </is>
      </c>
    </row>
    <row r="83" ht="84" customHeight="1">
      <c r="A83" s="3" t="inlineStr">
        <is>
          <t>ISSUE-0082</t>
        </is>
      </c>
      <c r="B83" s="3" t="inlineStr">
        <is>
          <t>jeminise.com+custom-wolf-head-centered-in-dreamcatcher-comforter-be6b37a3e1-be6b37a3e1</t>
        </is>
      </c>
      <c r="C83" s="3" t="inlineStr">
        <is>
          <t>img_5e3ac089aad2ebd4</t>
        </is>
      </c>
      <c r="D83" s="3" t="inlineStr">
        <is>
          <t>MINOR</t>
        </is>
      </c>
      <c r="E83" s="3" t="inlineStr">
        <is>
          <t>image observation</t>
        </is>
      </c>
      <c r="F83" s="3" t="inlineStr">
        <is>
          <t>Detail, feature panel or lifestyle image connected to wolf dreamcatcher quilt with feathers.</t>
        </is>
      </c>
      <c r="G83" s="3" t="inlineStr">
        <is>
          <t>Fresh image file: D:\Shopify_Workspace\jeminise_seo\seo_runs\jeminise.com\20260906_234129\qa\20260907_182000\images\130_04.jpg; source URL: https://cdn.shopify.com/s/files/1/0792/5098/1063/files/fbee38331d4d4ac5ab6ca32befd16b78922182ddbea02af22061b83468233d0d.jpg?v=1785181290</t>
        </is>
      </c>
      <c r="H83" s="3" t="inlineStr">
        <is>
          <t>Observation is generic or position-based; rewrite from the actual image content.</t>
        </is>
      </c>
      <c r="I83" s="3" t="inlineStr">
        <is>
          <t>Rewrite observation/alt from the directly opened image, naming the visible motif and use context.</t>
        </is>
      </c>
      <c r="J83" s="3" t="inlineStr">
        <is>
          <t>Fresh image file: D:\Shopify_Workspace\jeminise_seo\seo_runs\jeminise.com\20260906_234129\qa\20260907_182000\images\130_04.jpg; source URL: https://cdn.shopify.com/s/files/1/0792/5098/1063/files/fbee38331d4d4ac5ab6ca32befd16b78922182ddbea02af22061b83468233d0d.jpg?v=1785181290</t>
        </is>
      </c>
      <c r="K83" s="3" t="inlineStr">
        <is>
          <t>The image row accurately describes the actual media at this gallery position.</t>
        </is>
      </c>
    </row>
  </sheetData>
  <autoFilter ref="A1:K83"/>
  <conditionalFormatting sqref="D2:D83">
    <cfRule type="expression" priority="1" dxfId="3">
      <formula>D2="CRITICAL"</formula>
    </cfRule>
    <cfRule type="expression" priority="2" dxfId="2">
      <formula>D2="MAJOR"</formula>
    </cfRule>
    <cfRule type="expression" priority="3" dxfId="1">
      <formula>D2="MINOR"</formula>
    </cfRule>
    <cfRule type="expression" priority="4" dxfId="4">
      <formula>D2="LIMITATION"</formula>
    </cfRule>
  </conditionalFormatting>
  <printOptions horizontalCentered="0"/>
  <pageMargins left="0.25" right="0.25" top="0.5" bottom="0.5" header="0.5" footer="0.5"/>
  <pageSetup orientation="landscape" fitToHeight="0" fitToWidth="2"/>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2026-09-07T11:40:50Z</dcterms:created>
  <dcterms:modified xmlns:dcterms="http://purl.org/dc/terms/" xmlns:xsi="http://www.w3.org/2001/XMLSchema-instance" xsi:type="dcterms:W3CDTF">2026-09-07T11:40:50Z</dcterms:modified>
</cp:coreProperties>
</file>