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QA_Summary" sheetId="1" state="visible" r:id="rId1"/>
    <sheet xmlns:r="http://schemas.openxmlformats.org/officeDocument/2006/relationships" name="QA_Products" sheetId="2" state="visible" r:id="rId2"/>
    <sheet xmlns:r="http://schemas.openxmlformats.org/officeDocument/2006/relationships" name="QA_Criteria" sheetId="3" state="visible" r:id="rId3"/>
    <sheet xmlns:r="http://schemas.openxmlformats.org/officeDocument/2006/relationships" name="QA_Images" sheetId="4" state="visible" r:id="rId4"/>
    <sheet xmlns:r="http://schemas.openxmlformats.org/officeDocument/2006/relationships" name="QA_Issues" sheetId="5" state="visible" r:id="rId5"/>
  </sheets>
  <definedNames>
    <definedName name="_xlnm._FilterDatabase" localSheetId="0" hidden="1">'QA_Summary'!$A$1:$C$15</definedName>
    <definedName name="_xlnm.Print_Titles" localSheetId="0">'QA_Summary'!$1:$1</definedName>
    <definedName name="_xlnm._FilterDatabase" localSheetId="1" hidden="1">'QA_Products'!$A$1:$W$11</definedName>
    <definedName name="_xlnm.Print_Titles" localSheetId="1">'QA_Products'!$1:$1</definedName>
    <definedName name="_xlnm._FilterDatabase" localSheetId="2" hidden="1">'QA_Criteria'!$A$1:$J$111</definedName>
    <definedName name="_xlnm.Print_Titles" localSheetId="2">'QA_Criteria'!$1:$1</definedName>
    <definedName name="_xlnm._FilterDatabase" localSheetId="3" hidden="1">'QA_Images'!$A$1:$Z$41</definedName>
    <definedName name="_xlnm.Print_Titles" localSheetId="3">'QA_Images'!$1:$1</definedName>
    <definedName name="_xlnm._FilterDatabase" localSheetId="4" hidden="1">'QA_Issues'!$A$1:$K$71</definedName>
    <definedName name="_xlnm.Print_Titles" localSheetId="4">'QA_Issues'!$1:$1</definedName>
  </definedNames>
  <calcPr calcId="124519" calcMode="auto" fullCalcOnLoad="1" forceFullCalc="1"/>
</workbook>
</file>

<file path=xl/styles.xml><?xml version="1.0" encoding="utf-8"?>
<styleSheet xmlns="http://schemas.openxmlformats.org/spreadsheetml/2006/main">
  <numFmts count="2">
    <numFmt numFmtId="164" formatCode="0.0"/>
    <numFmt numFmtId="165" formatCode="0.0%"/>
  </numFmts>
  <fonts count="4">
    <font>
      <name val="Calibri"/>
      <family val="2"/>
      <color theme="1"/>
      <sz val="11"/>
      <scheme val="minor"/>
    </font>
    <font>
      <name val="Aptos Display"/>
      <b val="1"/>
      <color rgb="00FFFFFF"/>
      <sz val="11"/>
    </font>
    <font>
      <name val="Aptos"/>
      <color rgb="001F2937"/>
      <sz val="10"/>
    </font>
    <font>
      <name val="Calibri"/>
      <family val="2"/>
      <color theme="10"/>
      <sz val="12"/>
      <scheme val="minor"/>
    </font>
  </fonts>
  <fills count="4">
    <fill>
      <patternFill/>
    </fill>
    <fill>
      <patternFill patternType="gray125"/>
    </fill>
    <fill>
      <patternFill patternType="solid">
        <fgColor rgb="0017365D"/>
      </patternFill>
    </fill>
    <fill>
      <patternFill patternType="solid">
        <fgColor rgb="00F8FAFC"/>
      </patternFill>
    </fill>
  </fills>
  <borders count="3">
    <border>
      <left/>
      <right/>
      <top/>
      <bottom/>
      <diagonal/>
    </border>
    <border>
      <bottom style="medium">
        <color rgb="002F75B5"/>
      </bottom>
    </border>
    <border>
      <bottom style="thin">
        <color rgb="00CBD5E1"/>
      </bottom>
    </border>
  </borders>
  <cellStyleXfs count="2">
    <xf numFmtId="0" fontId="0" fillId="0" borderId="0"/>
    <xf numFmtId="0" fontId="3" fillId="0" borderId="0"/>
  </cellStyleXfs>
  <cellXfs count="9">
    <xf numFmtId="0" fontId="0" fillId="0" borderId="0" pivotButton="0" quotePrefix="0" xfId="0"/>
    <xf numFmtId="0" fontId="1" fillId="2" borderId="1" applyAlignment="1" pivotButton="0" quotePrefix="0" xfId="0">
      <alignment horizontal="center" vertical="center" wrapText="1"/>
    </xf>
    <xf numFmtId="0" fontId="2" fillId="3" borderId="2" applyAlignment="1" pivotButton="0" quotePrefix="0" xfId="0">
      <alignment vertical="top" wrapText="1"/>
    </xf>
    <xf numFmtId="0" fontId="2" fillId="0" borderId="2" applyAlignment="1" pivotButton="0" quotePrefix="0" xfId="0">
      <alignment vertical="top" wrapText="1"/>
    </xf>
    <xf numFmtId="0" fontId="3" fillId="0" borderId="0" applyAlignment="1" pivotButton="0" quotePrefix="0" xfId="1">
      <alignment vertical="top" wrapText="1"/>
    </xf>
    <xf numFmtId="164" fontId="2" fillId="3" borderId="2" applyAlignment="1" pivotButton="0" quotePrefix="0" xfId="0">
      <alignment vertical="top" wrapText="1"/>
    </xf>
    <xf numFmtId="165" fontId="2" fillId="3" borderId="2" applyAlignment="1" pivotButton="0" quotePrefix="0" xfId="0">
      <alignment vertical="top" wrapText="1"/>
    </xf>
    <xf numFmtId="164" fontId="2" fillId="0" borderId="2" applyAlignment="1" pivotButton="0" quotePrefix="0" xfId="0">
      <alignment vertical="top" wrapText="1"/>
    </xf>
    <xf numFmtId="165" fontId="2" fillId="0" borderId="2" applyAlignment="1" pivotButton="0" quotePrefix="0" xfId="0">
      <alignment vertical="top" wrapText="1"/>
    </xf>
  </cellXfs>
  <cellStyles count="2">
    <cellStyle name="Normal" xfId="0" builtinId="0" hidden="0"/>
    <cellStyle name="Hyperlink" xfId="1" builtinId="8" hidden="0"/>
  </cellStyles>
  <dxfs count="5">
    <dxf>
      <fill>
        <patternFill patternType="solid">
          <fgColor rgb="00E2F0D9"/>
        </patternFill>
      </fill>
    </dxf>
    <dxf>
      <fill>
        <patternFill patternType="solid">
          <fgColor rgb="00FFF2CC"/>
        </patternFill>
      </fill>
    </dxf>
    <dxf>
      <fill>
        <patternFill patternType="solid">
          <fgColor rgb="00FCE4D6"/>
        </patternFill>
      </fill>
    </dxf>
    <dxf>
      <fill>
        <patternFill patternType="solid">
          <fgColor rgb="00F4CCCC"/>
        </patternFill>
      </fill>
    </dxf>
    <dxf>
      <fill>
        <patternFill patternType="solid">
          <fgColor rgb="00E4DFEC"/>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jeminise.com/products/personalized-baseball-bedding-full-size-flag-custom-name-d-design-06" TargetMode="External" Id="rId1"/><Relationship Type="http://schemas.openxmlformats.org/officeDocument/2006/relationships/hyperlink" Target="https://jeminise.com/products/personalized-baseball-bedding-full-size-flag-custom-name-d-design-07" TargetMode="External" Id="rId2"/><Relationship Type="http://schemas.openxmlformats.org/officeDocument/2006/relationships/hyperlink" Target="https://jeminise.com/products/personalized-baseball-bedding-full-size-flag-custom-name-d-design-08" TargetMode="External" Id="rId3"/><Relationship Type="http://schemas.openxmlformats.org/officeDocument/2006/relationships/hyperlink" Target="https://jeminise.com/products/personalized-baseball-bedding-full-size-flag-custom-name-d-design-09" TargetMode="External" Id="rId4"/><Relationship Type="http://schemas.openxmlformats.org/officeDocument/2006/relationships/hyperlink" Target="https://jeminise.com/products/personalized-baseball-bedding-full-size-flag-custom-name-d-design-10" TargetMode="External" Id="rId5"/><Relationship Type="http://schemas.openxmlformats.org/officeDocument/2006/relationships/hyperlink" Target="https://jeminise.com/products/personalized-baseball-bedding-full-size-flag-custom-name-d-design-11" TargetMode="External" Id="rId6"/><Relationship Type="http://schemas.openxmlformats.org/officeDocument/2006/relationships/hyperlink" Target="https://jeminise.com/products/personalized-baseball-bedding-full-size-flag-custom-name-d-design-12" TargetMode="External" Id="rId7"/><Relationship Type="http://schemas.openxmlformats.org/officeDocument/2006/relationships/hyperlink" Target="https://jeminise.com/products/personalized-baseball-bedding-full-size-flag-custom-name-d-design-13" TargetMode="External" Id="rId8"/><Relationship Type="http://schemas.openxmlformats.org/officeDocument/2006/relationships/hyperlink" Target="https://jeminise.com/products/personalized-baseball-bedding-full-size-flag-custom-name-d-design-14" TargetMode="External" Id="rId9"/><Relationship Type="http://schemas.openxmlformats.org/officeDocument/2006/relationships/hyperlink" Target="https://jeminise.com/products/personalized-baseball-bedding-full-size-flag-custom-name-d-design-15" TargetMode="External" Id="rId10"/></Relationships>
</file>

<file path=xl/worksheets/_rels/sheet4.xml.rels><Relationships xmlns="http://schemas.openxmlformats.org/package/2006/relationships"><Relationship Type="http://schemas.openxmlformats.org/officeDocument/2006/relationships/hyperlink" Target="https://cdn.shopify.com/s/files/1/0792/5098/1063/files/995cf5f61efd18d2d5931363d9afe9885235b19ee1f1194d644a48b4c113798a.jpg?v=1787242243" TargetMode="External" Id="rId1"/><Relationship Type="http://schemas.openxmlformats.org/officeDocument/2006/relationships/hyperlink" Target="https://cdn.shopify.com/s/files/1/0792/5098/1063/files/995cf5f61efd18d2d5931363d9afe9885235b19ee1f1194d644a48b4c113798a.jpg?v=1787242243" TargetMode="External" Id="rId2"/><Relationship Type="http://schemas.openxmlformats.org/officeDocument/2006/relationships/hyperlink" Target="https://cdn.shopify.com/s/files/1/0792/5098/1063/files/ef81c56fe7d5f4f60045bfbd0778e14ad11ce2a6824c23132d2b864ef763fe85_d6cb245f-20c8-4cf5-8e6c-492305b20a8f.jpg?v=1787242243" TargetMode="External" Id="rId3"/><Relationship Type="http://schemas.openxmlformats.org/officeDocument/2006/relationships/hyperlink" Target="https://cdn.shopify.com/s/files/1/0792/5098/1063/files/ef81c56fe7d5f4f60045bfbd0778e14ad11ce2a6824c23132d2b864ef763fe85_d6cb245f-20c8-4cf5-8e6c-492305b20a8f.jpg?v=1787242243" TargetMode="External" Id="rId4"/><Relationship Type="http://schemas.openxmlformats.org/officeDocument/2006/relationships/hyperlink" Target="https://cdn.shopify.com/s/files/1/0792/5098/1063/files/b495d9b37eafdceff5caf3643256f7b3a83de826d49a14bdc531b13424296018_ad1ab0c9-2779-4f36-9049-4dee6667abea.jpg?v=1787242243" TargetMode="External" Id="rId5"/><Relationship Type="http://schemas.openxmlformats.org/officeDocument/2006/relationships/hyperlink" Target="https://cdn.shopify.com/s/files/1/0792/5098/1063/files/b495d9b37eafdceff5caf3643256f7b3a83de826d49a14bdc531b13424296018_ad1ab0c9-2779-4f36-9049-4dee6667abea.jpg?v=1787242243" TargetMode="External" Id="rId6"/><Relationship Type="http://schemas.openxmlformats.org/officeDocument/2006/relationships/hyperlink" Target="https://cdn.shopify.com/s/files/1/0792/5098/1063/files/d51e3360a3e4b984af63b01c4b53d517484ca3d6cb1beeea158bcf59acab9ed4_79836266-04d5-4535-8b8d-cc36660e7fb5.jpg?v=1787242243" TargetMode="External" Id="rId7"/><Relationship Type="http://schemas.openxmlformats.org/officeDocument/2006/relationships/hyperlink" Target="https://cdn.shopify.com/s/files/1/0792/5098/1063/files/d51e3360a3e4b984af63b01c4b53d517484ca3d6cb1beeea158bcf59acab9ed4_79836266-04d5-4535-8b8d-cc36660e7fb5.jpg?v=1787242243" TargetMode="External" Id="rId8"/><Relationship Type="http://schemas.openxmlformats.org/officeDocument/2006/relationships/hyperlink" Target="https://cdn.shopify.com/s/files/1/0792/5098/1063/files/378a8e96305e6779a03c8ecabd45a597b3f4915044ba0256db08f5291ae0aebe.jpg?v=1787242250" TargetMode="External" Id="rId9"/><Relationship Type="http://schemas.openxmlformats.org/officeDocument/2006/relationships/hyperlink" Target="https://cdn.shopify.com/s/files/1/0792/5098/1063/files/378a8e96305e6779a03c8ecabd45a597b3f4915044ba0256db08f5291ae0aebe.jpg?v=1787242250" TargetMode="External" Id="rId10"/><Relationship Type="http://schemas.openxmlformats.org/officeDocument/2006/relationships/hyperlink" Target="https://cdn.shopify.com/s/files/1/0792/5098/1063/files/ef81c56fe7d5f4f60045bfbd0778e14ad11ce2a6824c23132d2b864ef763fe85_42217646-9998-4fbd-9ca4-b3ed21cdf5dd.jpg?v=1787242250" TargetMode="External" Id="rId11"/><Relationship Type="http://schemas.openxmlformats.org/officeDocument/2006/relationships/hyperlink" Target="https://cdn.shopify.com/s/files/1/0792/5098/1063/files/ef81c56fe7d5f4f60045bfbd0778e14ad11ce2a6824c23132d2b864ef763fe85_42217646-9998-4fbd-9ca4-b3ed21cdf5dd.jpg?v=1787242250" TargetMode="External" Id="rId12"/><Relationship Type="http://schemas.openxmlformats.org/officeDocument/2006/relationships/hyperlink" Target="https://cdn.shopify.com/s/files/1/0792/5098/1063/files/b495d9b37eafdceff5caf3643256f7b3a83de826d49a14bdc531b13424296018_fbe6001d-6588-4bce-aecf-e0e3701d32ce.jpg?v=1787242250" TargetMode="External" Id="rId13"/><Relationship Type="http://schemas.openxmlformats.org/officeDocument/2006/relationships/hyperlink" Target="https://cdn.shopify.com/s/files/1/0792/5098/1063/files/b495d9b37eafdceff5caf3643256f7b3a83de826d49a14bdc531b13424296018_fbe6001d-6588-4bce-aecf-e0e3701d32ce.jpg?v=1787242250" TargetMode="External" Id="rId14"/><Relationship Type="http://schemas.openxmlformats.org/officeDocument/2006/relationships/hyperlink" Target="https://cdn.shopify.com/s/files/1/0792/5098/1063/files/d51e3360a3e4b984af63b01c4b53d517484ca3d6cb1beeea158bcf59acab9ed4_54a4893c-2527-4db4-962c-f6837c2c1fdf.jpg?v=1787242250" TargetMode="External" Id="rId15"/><Relationship Type="http://schemas.openxmlformats.org/officeDocument/2006/relationships/hyperlink" Target="https://cdn.shopify.com/s/files/1/0792/5098/1063/files/d51e3360a3e4b984af63b01c4b53d517484ca3d6cb1beeea158bcf59acab9ed4_54a4893c-2527-4db4-962c-f6837c2c1fdf.jpg?v=1787242250" TargetMode="External" Id="rId16"/><Relationship Type="http://schemas.openxmlformats.org/officeDocument/2006/relationships/hyperlink" Target="https://cdn.shopify.com/s/files/1/0792/5098/1063/files/d7ef02b64a3368ae8a6946c495c9fe3973509085263bc4e81d2b85c88e1e713b.jpg?v=1787242268" TargetMode="External" Id="rId17"/><Relationship Type="http://schemas.openxmlformats.org/officeDocument/2006/relationships/hyperlink" Target="https://cdn.shopify.com/s/files/1/0792/5098/1063/files/d7ef02b64a3368ae8a6946c495c9fe3973509085263bc4e81d2b85c88e1e713b.jpg?v=1787242268" TargetMode="External" Id="rId18"/><Relationship Type="http://schemas.openxmlformats.org/officeDocument/2006/relationships/hyperlink" Target="https://cdn.shopify.com/s/files/1/0792/5098/1063/files/ef81c56fe7d5f4f60045bfbd0778e14ad11ce2a6824c23132d2b864ef763fe85_908e933d-3668-4227-ab63-ea1cb072130c.jpg?v=1787242268" TargetMode="External" Id="rId19"/><Relationship Type="http://schemas.openxmlformats.org/officeDocument/2006/relationships/hyperlink" Target="https://cdn.shopify.com/s/files/1/0792/5098/1063/files/ef81c56fe7d5f4f60045bfbd0778e14ad11ce2a6824c23132d2b864ef763fe85_908e933d-3668-4227-ab63-ea1cb072130c.jpg?v=1787242268" TargetMode="External" Id="rId20"/><Relationship Type="http://schemas.openxmlformats.org/officeDocument/2006/relationships/hyperlink" Target="https://cdn.shopify.com/s/files/1/0792/5098/1063/files/b495d9b37eafdceff5caf3643256f7b3a83de826d49a14bdc531b13424296018_3877c96d-b8a8-48d7-b692-7581e5a24201.jpg?v=1787242268" TargetMode="External" Id="rId21"/><Relationship Type="http://schemas.openxmlformats.org/officeDocument/2006/relationships/hyperlink" Target="https://cdn.shopify.com/s/files/1/0792/5098/1063/files/b495d9b37eafdceff5caf3643256f7b3a83de826d49a14bdc531b13424296018_3877c96d-b8a8-48d7-b692-7581e5a24201.jpg?v=1787242268" TargetMode="External" Id="rId22"/><Relationship Type="http://schemas.openxmlformats.org/officeDocument/2006/relationships/hyperlink" Target="https://cdn.shopify.com/s/files/1/0792/5098/1063/files/d51e3360a3e4b984af63b01c4b53d517484ca3d6cb1beeea158bcf59acab9ed4_c65b84ca-8f37-4622-8981-67541f312bd9.jpg?v=1787242268" TargetMode="External" Id="rId23"/><Relationship Type="http://schemas.openxmlformats.org/officeDocument/2006/relationships/hyperlink" Target="https://cdn.shopify.com/s/files/1/0792/5098/1063/files/d51e3360a3e4b984af63b01c4b53d517484ca3d6cb1beeea158bcf59acab9ed4_c65b84ca-8f37-4622-8981-67541f312bd9.jpg?v=1787242268" TargetMode="External" Id="rId24"/><Relationship Type="http://schemas.openxmlformats.org/officeDocument/2006/relationships/hyperlink" Target="https://cdn.shopify.com/s/files/1/0792/5098/1063/files/ad1a0a46240535a46c26f855ffd00e82b017da0d977031a8d571f984de139fa4.jpg?v=1787242271" TargetMode="External" Id="rId25"/><Relationship Type="http://schemas.openxmlformats.org/officeDocument/2006/relationships/hyperlink" Target="https://cdn.shopify.com/s/files/1/0792/5098/1063/files/ad1a0a46240535a46c26f855ffd00e82b017da0d977031a8d571f984de139fa4.jpg?v=1787242271" TargetMode="External" Id="rId26"/><Relationship Type="http://schemas.openxmlformats.org/officeDocument/2006/relationships/hyperlink" Target="https://cdn.shopify.com/s/files/1/0792/5098/1063/files/ef81c56fe7d5f4f60045bfbd0778e14ad11ce2a6824c23132d2b864ef763fe85_5257e9b3-6ae0-44c2-92a4-9ae5e258c276.jpg?v=1787242271" TargetMode="External" Id="rId27"/><Relationship Type="http://schemas.openxmlformats.org/officeDocument/2006/relationships/hyperlink" Target="https://cdn.shopify.com/s/files/1/0792/5098/1063/files/ef81c56fe7d5f4f60045bfbd0778e14ad11ce2a6824c23132d2b864ef763fe85_5257e9b3-6ae0-44c2-92a4-9ae5e258c276.jpg?v=1787242271" TargetMode="External" Id="rId28"/><Relationship Type="http://schemas.openxmlformats.org/officeDocument/2006/relationships/hyperlink" Target="https://cdn.shopify.com/s/files/1/0792/5098/1063/files/b495d9b37eafdceff5caf3643256f7b3a83de826d49a14bdc531b13424296018_a9af7380-bde6-4035-ac19-c62306508770.jpg?v=1787242271" TargetMode="External" Id="rId29"/><Relationship Type="http://schemas.openxmlformats.org/officeDocument/2006/relationships/hyperlink" Target="https://cdn.shopify.com/s/files/1/0792/5098/1063/files/b495d9b37eafdceff5caf3643256f7b3a83de826d49a14bdc531b13424296018_a9af7380-bde6-4035-ac19-c62306508770.jpg?v=1787242271" TargetMode="External" Id="rId30"/><Relationship Type="http://schemas.openxmlformats.org/officeDocument/2006/relationships/hyperlink" Target="https://cdn.shopify.com/s/files/1/0792/5098/1063/files/d51e3360a3e4b984af63b01c4b53d517484ca3d6cb1beeea158bcf59acab9ed4_523261ef-06a8-4366-b19d-491b7d9fff42.jpg?v=1787242271" TargetMode="External" Id="rId31"/><Relationship Type="http://schemas.openxmlformats.org/officeDocument/2006/relationships/hyperlink" Target="https://cdn.shopify.com/s/files/1/0792/5098/1063/files/d51e3360a3e4b984af63b01c4b53d517484ca3d6cb1beeea158bcf59acab9ed4_523261ef-06a8-4366-b19d-491b7d9fff42.jpg?v=1787242271" TargetMode="External" Id="rId32"/><Relationship Type="http://schemas.openxmlformats.org/officeDocument/2006/relationships/hyperlink" Target="https://cdn.shopify.com/s/files/1/0792/5098/1063/files/a27913d40501b499872e0b61d72972490feb3fd1abfed5542443b010f312b255.jpg?v=1787242278" TargetMode="External" Id="rId33"/><Relationship Type="http://schemas.openxmlformats.org/officeDocument/2006/relationships/hyperlink" Target="https://cdn.shopify.com/s/files/1/0792/5098/1063/files/a27913d40501b499872e0b61d72972490feb3fd1abfed5542443b010f312b255.jpg?v=1787242278" TargetMode="External" Id="rId34"/><Relationship Type="http://schemas.openxmlformats.org/officeDocument/2006/relationships/hyperlink" Target="https://cdn.shopify.com/s/files/1/0792/5098/1063/files/ef81c56fe7d5f4f60045bfbd0778e14ad11ce2a6824c23132d2b864ef763fe85_a6b7e163-25bc-4bdd-93ae-419ec5ff318f.jpg?v=1787242278" TargetMode="External" Id="rId35"/><Relationship Type="http://schemas.openxmlformats.org/officeDocument/2006/relationships/hyperlink" Target="https://cdn.shopify.com/s/files/1/0792/5098/1063/files/ef81c56fe7d5f4f60045bfbd0778e14ad11ce2a6824c23132d2b864ef763fe85_a6b7e163-25bc-4bdd-93ae-419ec5ff318f.jpg?v=1787242278" TargetMode="External" Id="rId36"/><Relationship Type="http://schemas.openxmlformats.org/officeDocument/2006/relationships/hyperlink" Target="https://cdn.shopify.com/s/files/1/0792/5098/1063/files/b495d9b37eafdceff5caf3643256f7b3a83de826d49a14bdc531b13424296018_fc64c3a9-5a16-49e8-87b6-c62c8bc5e8c1.jpg?v=1787242278" TargetMode="External" Id="rId37"/><Relationship Type="http://schemas.openxmlformats.org/officeDocument/2006/relationships/hyperlink" Target="https://cdn.shopify.com/s/files/1/0792/5098/1063/files/b495d9b37eafdceff5caf3643256f7b3a83de826d49a14bdc531b13424296018_fc64c3a9-5a16-49e8-87b6-c62c8bc5e8c1.jpg?v=1787242278" TargetMode="External" Id="rId38"/><Relationship Type="http://schemas.openxmlformats.org/officeDocument/2006/relationships/hyperlink" Target="https://cdn.shopify.com/s/files/1/0792/5098/1063/files/d51e3360a3e4b984af63b01c4b53d517484ca3d6cb1beeea158bcf59acab9ed4_9ce1ba98-3a33-4391-8d41-14c8fc28382d.jpg?v=1787242278" TargetMode="External" Id="rId39"/><Relationship Type="http://schemas.openxmlformats.org/officeDocument/2006/relationships/hyperlink" Target="https://cdn.shopify.com/s/files/1/0792/5098/1063/files/d51e3360a3e4b984af63b01c4b53d517484ca3d6cb1beeea158bcf59acab9ed4_9ce1ba98-3a33-4391-8d41-14c8fc28382d.jpg?v=1787242278" TargetMode="External" Id="rId40"/><Relationship Type="http://schemas.openxmlformats.org/officeDocument/2006/relationships/hyperlink" Target="https://cdn.shopify.com/s/files/1/0792/5098/1063/files/22091bb4460b1736aafe487d9cb3bf7932306548fd638c8bce4e656da29f9e32.jpg?v=1787242281" TargetMode="External" Id="rId41"/><Relationship Type="http://schemas.openxmlformats.org/officeDocument/2006/relationships/hyperlink" Target="https://cdn.shopify.com/s/files/1/0792/5098/1063/files/22091bb4460b1736aafe487d9cb3bf7932306548fd638c8bce4e656da29f9e32.jpg?v=1787242281" TargetMode="External" Id="rId42"/><Relationship Type="http://schemas.openxmlformats.org/officeDocument/2006/relationships/hyperlink" Target="https://cdn.shopify.com/s/files/1/0792/5098/1063/files/b495d9b37eafdceff5caf3643256f7b3a83de826d49a14bdc531b13424296018_b40438a5-fa90-4e4b-89b5-a9f07974c78d.jpg?v=1787242281" TargetMode="External" Id="rId43"/><Relationship Type="http://schemas.openxmlformats.org/officeDocument/2006/relationships/hyperlink" Target="https://cdn.shopify.com/s/files/1/0792/5098/1063/files/b495d9b37eafdceff5caf3643256f7b3a83de826d49a14bdc531b13424296018_b40438a5-fa90-4e4b-89b5-a9f07974c78d.jpg?v=1787242281" TargetMode="External" Id="rId44"/><Relationship Type="http://schemas.openxmlformats.org/officeDocument/2006/relationships/hyperlink" Target="https://cdn.shopify.com/s/files/1/0792/5098/1063/files/d51e3360a3e4b984af63b01c4b53d517484ca3d6cb1beeea158bcf59acab9ed4_cf393115-0105-4a38-adfb-49228eb39c22.jpg?v=1787242281" TargetMode="External" Id="rId45"/><Relationship Type="http://schemas.openxmlformats.org/officeDocument/2006/relationships/hyperlink" Target="https://cdn.shopify.com/s/files/1/0792/5098/1063/files/d51e3360a3e4b984af63b01c4b53d517484ca3d6cb1beeea158bcf59acab9ed4_cf393115-0105-4a38-adfb-49228eb39c22.jpg?v=1787242281" TargetMode="External" Id="rId46"/><Relationship Type="http://schemas.openxmlformats.org/officeDocument/2006/relationships/hyperlink" Target="https://cdn.shopify.com/s/files/1/0792/5098/1063/files/ef81c56fe7d5f4f60045bfbd0778e14ad11ce2a6824c23132d2b864ef763fe85_3e5ce2b0-74e9-4528-a9b3-58484c711e32.jpg?v=1787242281" TargetMode="External" Id="rId47"/><Relationship Type="http://schemas.openxmlformats.org/officeDocument/2006/relationships/hyperlink" Target="https://cdn.shopify.com/s/files/1/0792/5098/1063/files/ef81c56fe7d5f4f60045bfbd0778e14ad11ce2a6824c23132d2b864ef763fe85_3e5ce2b0-74e9-4528-a9b3-58484c711e32.jpg?v=1787242281" TargetMode="External" Id="rId48"/><Relationship Type="http://schemas.openxmlformats.org/officeDocument/2006/relationships/hyperlink" Target="https://cdn.shopify.com/s/files/1/0792/5098/1063/files/a3a7588224cb02e1a3e3cdfb3d985059123d82c8235978721aed604186892c96.jpg?v=1787242289" TargetMode="External" Id="rId49"/><Relationship Type="http://schemas.openxmlformats.org/officeDocument/2006/relationships/hyperlink" Target="https://cdn.shopify.com/s/files/1/0792/5098/1063/files/a3a7588224cb02e1a3e3cdfb3d985059123d82c8235978721aed604186892c96.jpg?v=1787242289" TargetMode="External" Id="rId50"/><Relationship Type="http://schemas.openxmlformats.org/officeDocument/2006/relationships/hyperlink" Target="https://cdn.shopify.com/s/files/1/0792/5098/1063/files/ef81c56fe7d5f4f60045bfbd0778e14ad11ce2a6824c23132d2b864ef763fe85_335356bf-1642-4331-a801-0745727799cd.jpg?v=1787242289" TargetMode="External" Id="rId51"/><Relationship Type="http://schemas.openxmlformats.org/officeDocument/2006/relationships/hyperlink" Target="https://cdn.shopify.com/s/files/1/0792/5098/1063/files/ef81c56fe7d5f4f60045bfbd0778e14ad11ce2a6824c23132d2b864ef763fe85_335356bf-1642-4331-a801-0745727799cd.jpg?v=1787242289" TargetMode="External" Id="rId52"/><Relationship Type="http://schemas.openxmlformats.org/officeDocument/2006/relationships/hyperlink" Target="https://cdn.shopify.com/s/files/1/0792/5098/1063/files/b495d9b37eafdceff5caf3643256f7b3a83de826d49a14bdc531b13424296018_c5730b89-f700-4d4d-91a6-81c7a9b068df.jpg?v=1787242289" TargetMode="External" Id="rId53"/><Relationship Type="http://schemas.openxmlformats.org/officeDocument/2006/relationships/hyperlink" Target="https://cdn.shopify.com/s/files/1/0792/5098/1063/files/b495d9b37eafdceff5caf3643256f7b3a83de826d49a14bdc531b13424296018_c5730b89-f700-4d4d-91a6-81c7a9b068df.jpg?v=1787242289" TargetMode="External" Id="rId54"/><Relationship Type="http://schemas.openxmlformats.org/officeDocument/2006/relationships/hyperlink" Target="https://cdn.shopify.com/s/files/1/0792/5098/1063/files/d51e3360a3e4b984af63b01c4b53d517484ca3d6cb1beeea158bcf59acab9ed4_ee048bf7-2c61-43af-b6a9-476fa326ea53.jpg?v=1787242289" TargetMode="External" Id="rId55"/><Relationship Type="http://schemas.openxmlformats.org/officeDocument/2006/relationships/hyperlink" Target="https://cdn.shopify.com/s/files/1/0792/5098/1063/files/d51e3360a3e4b984af63b01c4b53d517484ca3d6cb1beeea158bcf59acab9ed4_ee048bf7-2c61-43af-b6a9-476fa326ea53.jpg?v=1787242289" TargetMode="External" Id="rId56"/><Relationship Type="http://schemas.openxmlformats.org/officeDocument/2006/relationships/hyperlink" Target="https://cdn.shopify.com/s/files/1/0792/5098/1063/files/b1a55687ac710fef17a03349d7df05659c4a75b04c898c8a647cf0f9b2bdfac4.jpg?v=1787242287" TargetMode="External" Id="rId57"/><Relationship Type="http://schemas.openxmlformats.org/officeDocument/2006/relationships/hyperlink" Target="https://cdn.shopify.com/s/files/1/0792/5098/1063/files/b1a55687ac710fef17a03349d7df05659c4a75b04c898c8a647cf0f9b2bdfac4.jpg?v=1787242287" TargetMode="External" Id="rId58"/><Relationship Type="http://schemas.openxmlformats.org/officeDocument/2006/relationships/hyperlink" Target="https://cdn.shopify.com/s/files/1/0792/5098/1063/files/d51e3360a3e4b984af63b01c4b53d517484ca3d6cb1beeea158bcf59acab9ed4_4ea5343c-eff5-4c23-a04a-942fc711a784.jpg?v=1787242287" TargetMode="External" Id="rId59"/><Relationship Type="http://schemas.openxmlformats.org/officeDocument/2006/relationships/hyperlink" Target="https://cdn.shopify.com/s/files/1/0792/5098/1063/files/d51e3360a3e4b984af63b01c4b53d517484ca3d6cb1beeea158bcf59acab9ed4_4ea5343c-eff5-4c23-a04a-942fc711a784.jpg?v=1787242287" TargetMode="External" Id="rId60"/><Relationship Type="http://schemas.openxmlformats.org/officeDocument/2006/relationships/hyperlink" Target="https://cdn.shopify.com/s/files/1/0792/5098/1063/files/ef81c56fe7d5f4f60045bfbd0778e14ad11ce2a6824c23132d2b864ef763fe85_ba8cd586-2f34-470e-b46c-8742f4cb3596.jpg?v=1787242287" TargetMode="External" Id="rId61"/><Relationship Type="http://schemas.openxmlformats.org/officeDocument/2006/relationships/hyperlink" Target="https://cdn.shopify.com/s/files/1/0792/5098/1063/files/ef81c56fe7d5f4f60045bfbd0778e14ad11ce2a6824c23132d2b864ef763fe85_ba8cd586-2f34-470e-b46c-8742f4cb3596.jpg?v=1787242287" TargetMode="External" Id="rId62"/><Relationship Type="http://schemas.openxmlformats.org/officeDocument/2006/relationships/hyperlink" Target="https://cdn.shopify.com/s/files/1/0792/5098/1063/files/b495d9b37eafdceff5caf3643256f7b3a83de826d49a14bdc531b13424296018_4a8dc283-a4f0-4723-82e1-5909c9adbcec.jpg?v=1787242287" TargetMode="External" Id="rId63"/><Relationship Type="http://schemas.openxmlformats.org/officeDocument/2006/relationships/hyperlink" Target="https://cdn.shopify.com/s/files/1/0792/5098/1063/files/b495d9b37eafdceff5caf3643256f7b3a83de826d49a14bdc531b13424296018_4a8dc283-a4f0-4723-82e1-5909c9adbcec.jpg?v=1787242287" TargetMode="External" Id="rId64"/><Relationship Type="http://schemas.openxmlformats.org/officeDocument/2006/relationships/hyperlink" Target="https://cdn.shopify.com/s/files/1/0792/5098/1063/files/ee03510fe9336bb706be4887685f8efc23f52558e7f8c421b81f75897fd38d63.jpg?v=1787242298" TargetMode="External" Id="rId65"/><Relationship Type="http://schemas.openxmlformats.org/officeDocument/2006/relationships/hyperlink" Target="https://cdn.shopify.com/s/files/1/0792/5098/1063/files/ee03510fe9336bb706be4887685f8efc23f52558e7f8c421b81f75897fd38d63.jpg?v=1787242298" TargetMode="External" Id="rId66"/><Relationship Type="http://schemas.openxmlformats.org/officeDocument/2006/relationships/hyperlink" Target="https://cdn.shopify.com/s/files/1/0792/5098/1063/files/b495d9b37eafdceff5caf3643256f7b3a83de826d49a14bdc531b13424296018_578eb1ab-2971-4795-8ffe-02e170b2d3fd.jpg?v=1787242298" TargetMode="External" Id="rId67"/><Relationship Type="http://schemas.openxmlformats.org/officeDocument/2006/relationships/hyperlink" Target="https://cdn.shopify.com/s/files/1/0792/5098/1063/files/b495d9b37eafdceff5caf3643256f7b3a83de826d49a14bdc531b13424296018_578eb1ab-2971-4795-8ffe-02e170b2d3fd.jpg?v=1787242298" TargetMode="External" Id="rId68"/><Relationship Type="http://schemas.openxmlformats.org/officeDocument/2006/relationships/hyperlink" Target="https://cdn.shopify.com/s/files/1/0792/5098/1063/files/d51e3360a3e4b984af63b01c4b53d517484ca3d6cb1beeea158bcf59acab9ed4_7ada0386-ab38-4643-9b5f-2f7b2137dfb7.jpg?v=1787242298" TargetMode="External" Id="rId69"/><Relationship Type="http://schemas.openxmlformats.org/officeDocument/2006/relationships/hyperlink" Target="https://cdn.shopify.com/s/files/1/0792/5098/1063/files/d51e3360a3e4b984af63b01c4b53d517484ca3d6cb1beeea158bcf59acab9ed4_7ada0386-ab38-4643-9b5f-2f7b2137dfb7.jpg?v=1787242298" TargetMode="External" Id="rId70"/><Relationship Type="http://schemas.openxmlformats.org/officeDocument/2006/relationships/hyperlink" Target="https://cdn.shopify.com/s/files/1/0792/5098/1063/files/ef81c56fe7d5f4f60045bfbd0778e14ad11ce2a6824c23132d2b864ef763fe85_de7307cd-6f52-4591-a335-3b64c709339f.jpg?v=1787242298" TargetMode="External" Id="rId71"/><Relationship Type="http://schemas.openxmlformats.org/officeDocument/2006/relationships/hyperlink" Target="https://cdn.shopify.com/s/files/1/0792/5098/1063/files/ef81c56fe7d5f4f60045bfbd0778e14ad11ce2a6824c23132d2b864ef763fe85_de7307cd-6f52-4591-a335-3b64c709339f.jpg?v=1787242298" TargetMode="External" Id="rId72"/><Relationship Type="http://schemas.openxmlformats.org/officeDocument/2006/relationships/hyperlink" Target="https://cdn.shopify.com/s/files/1/0792/5098/1063/files/c348d936be646a1acfb4ca9b0e001f0668ce4f86c27fb4d7641115a01f9bb8ef.jpg?v=1787242300" TargetMode="External" Id="rId73"/><Relationship Type="http://schemas.openxmlformats.org/officeDocument/2006/relationships/hyperlink" Target="https://cdn.shopify.com/s/files/1/0792/5098/1063/files/c348d936be646a1acfb4ca9b0e001f0668ce4f86c27fb4d7641115a01f9bb8ef.jpg?v=1787242300" TargetMode="External" Id="rId74"/><Relationship Type="http://schemas.openxmlformats.org/officeDocument/2006/relationships/hyperlink" Target="https://cdn.shopify.com/s/files/1/0792/5098/1063/files/ef81c56fe7d5f4f60045bfbd0778e14ad11ce2a6824c23132d2b864ef763fe85_6d0a4f67-282f-4c98-8661-cc3bc21003a9.jpg?v=1787242300" TargetMode="External" Id="rId75"/><Relationship Type="http://schemas.openxmlformats.org/officeDocument/2006/relationships/hyperlink" Target="https://cdn.shopify.com/s/files/1/0792/5098/1063/files/ef81c56fe7d5f4f60045bfbd0778e14ad11ce2a6824c23132d2b864ef763fe85_6d0a4f67-282f-4c98-8661-cc3bc21003a9.jpg?v=1787242300" TargetMode="External" Id="rId76"/><Relationship Type="http://schemas.openxmlformats.org/officeDocument/2006/relationships/hyperlink" Target="https://cdn.shopify.com/s/files/1/0792/5098/1063/files/b495d9b37eafdceff5caf3643256f7b3a83de826d49a14bdc531b13424296018_9a9a0e38-5509-44d6-9f5a-daa2a82ea3cf.jpg?v=1787242300" TargetMode="External" Id="rId77"/><Relationship Type="http://schemas.openxmlformats.org/officeDocument/2006/relationships/hyperlink" Target="https://cdn.shopify.com/s/files/1/0792/5098/1063/files/b495d9b37eafdceff5caf3643256f7b3a83de826d49a14bdc531b13424296018_9a9a0e38-5509-44d6-9f5a-daa2a82ea3cf.jpg?v=1787242300" TargetMode="External" Id="rId78"/><Relationship Type="http://schemas.openxmlformats.org/officeDocument/2006/relationships/hyperlink" Target="https://cdn.shopify.com/s/files/1/0792/5098/1063/files/d51e3360a3e4b984af63b01c4b53d517484ca3d6cb1beeea158bcf59acab9ed4_abb774eb-d928-458c-83b5-1fb2af3ce77e.jpg?v=1787242300" TargetMode="External" Id="rId79"/><Relationship Type="http://schemas.openxmlformats.org/officeDocument/2006/relationships/hyperlink" Target="https://cdn.shopify.com/s/files/1/0792/5098/1063/files/d51e3360a3e4b984af63b01c4b53d517484ca3d6cb1beeea158bcf59acab9ed4_abb774eb-d928-458c-83b5-1fb2af3ce77e.jpg?v=1787242300" TargetMode="External" Id="rId80"/></Relationships>
</file>

<file path=xl/worksheets/sheet1.xml><?xml version="1.0" encoding="utf-8"?>
<worksheet xmlns="http://schemas.openxmlformats.org/spreadsheetml/2006/main">
  <sheetPr>
    <outlinePr summaryBelow="1" summaryRight="1"/>
    <pageSetUpPr fitToPage="1"/>
  </sheetPr>
  <dimension ref="A1:C15"/>
  <sheetViews>
    <sheetView showGridLines="0" workbookViewId="0">
      <pane ySplit="1" topLeftCell="A2" activePane="bottomLeft" state="frozen"/>
      <selection pane="bottomLeft" activeCell="A1" sqref="A1"/>
    </sheetView>
  </sheetViews>
  <sheetFormatPr baseColWidth="8" defaultRowHeight="15"/>
  <cols>
    <col width="23" customWidth="1" min="1" max="1"/>
    <col width="42" customWidth="1" min="2" max="2"/>
    <col width="42" customWidth="1" min="3" max="3"/>
  </cols>
  <sheetData>
    <row r="1" ht="32" customHeight="1">
      <c r="A1" s="1" t="inlineStr">
        <is>
          <t>metric</t>
        </is>
      </c>
      <c r="B1" s="1" t="inlineStr">
        <is>
          <t>value</t>
        </is>
      </c>
      <c r="C1" s="1" t="inlineStr">
        <is>
          <t>definition</t>
        </is>
      </c>
    </row>
    <row r="2" ht="42" customHeight="1">
      <c r="A2" s="2" t="inlineStr">
        <is>
          <t>shop_domain</t>
        </is>
      </c>
      <c r="B2" s="2" t="inlineStr">
        <is>
          <t>jeminise.com</t>
        </is>
      </c>
      <c r="C2" s="2" t="inlineStr">
        <is>
          <t>Shop being QAed.</t>
        </is>
      </c>
    </row>
    <row r="3" ht="42" customHeight="1">
      <c r="A3" s="3" t="inlineStr">
        <is>
          <t>source_run_id</t>
        </is>
      </c>
      <c r="B3" s="3" t="inlineStr">
        <is>
          <t>20260906_234129</t>
        </is>
      </c>
      <c r="C3" s="3" t="inlineStr">
        <is>
          <t>Original SEO drafting run.</t>
        </is>
      </c>
    </row>
    <row r="4" ht="42" customHeight="1">
      <c r="A4" s="2" t="inlineStr">
        <is>
          <t>qa_run_id</t>
        </is>
      </c>
      <c r="B4" s="2" t="inlineStr">
        <is>
          <t>20260907_213200</t>
        </is>
      </c>
      <c r="C4" s="2" t="inlineStr">
        <is>
          <t>QA run folder for this corrected rerun.</t>
        </is>
      </c>
    </row>
    <row r="5" ht="42" customHeight="1">
      <c r="A5" s="3" t="inlineStr">
        <is>
          <t>qa_batch_id</t>
        </is>
      </c>
      <c r="B5" s="3" t="inlineStr">
        <is>
          <t>qa_batch_019</t>
        </is>
      </c>
      <c r="C5" s="3" t="inlineStr">
        <is>
          <t>Batch being independently checked.</t>
        </is>
      </c>
    </row>
    <row r="6" ht="42" customHeight="1">
      <c r="A6" s="2" t="inlineStr">
        <is>
          <t>revision</t>
        </is>
      </c>
      <c r="B6" s="2" t="inlineStr">
        <is>
          <t>r1</t>
        </is>
      </c>
      <c r="C6" s="2" t="inlineStr">
        <is>
          <t>Initial independent QA revision for qa_batch_019.</t>
        </is>
      </c>
    </row>
    <row r="7" ht="42" customHeight="1">
      <c r="A7" s="3" t="inlineStr">
        <is>
          <t>source_workbook</t>
        </is>
      </c>
      <c r="B7" s="3" t="inlineStr">
        <is>
          <t>D:\Shopify_Workspace\jeminise_seo\resutls\jeminise.com\20260906_234129\batches\SEO_Product_Optimization_through_batch_019.xlsx</t>
        </is>
      </c>
      <c r="C7" s="3" t="inlineStr">
        <is>
          <t>Frozen workbook source path.</t>
        </is>
      </c>
    </row>
    <row r="8" ht="42" customHeight="1">
      <c r="A8" s="2" t="inlineStr">
        <is>
          <t>source_sha256</t>
        </is>
      </c>
      <c r="B8" s="2" t="inlineStr">
        <is>
          <t>DFC6E245CAD3637D002D2DE0D2A60EFD9D81574462722DAB0043D63444EF8CA1</t>
        </is>
      </c>
      <c r="C8" s="2" t="inlineStr">
        <is>
          <t>SHA-256 at freeze/final handoff time.</t>
        </is>
      </c>
    </row>
    <row r="9" ht="42" customHeight="1">
      <c r="A9" s="3" t="inlineStr">
        <is>
          <t>snapshot_sha256</t>
        </is>
      </c>
      <c r="B9" s="3" t="inlineStr">
        <is>
          <t>DFC6E245CAD3637D002D2DE0D2A60EFD9D81574462722DAB0043D63444EF8CA1</t>
        </is>
      </c>
      <c r="C9" s="3" t="inlineStr">
        <is>
          <t>SHA-256 of workbook copy in source_snapshot.</t>
        </is>
      </c>
    </row>
    <row r="10" ht="42" customHeight="1">
      <c r="A10" s="2" t="inlineStr">
        <is>
          <t>scope</t>
        </is>
      </c>
      <c r="B10" s="2" t="inlineStr">
        <is>
          <t>10 products, 40/40 images</t>
        </is>
      </c>
      <c r="C10" s="2" t="inlineStr">
        <is>
          <t>Batch scope and image coverage.</t>
        </is>
      </c>
    </row>
    <row r="11" ht="42" customHeight="1">
      <c r="A11" s="3" t="inlineStr">
        <is>
          <t>batch_final_score</t>
        </is>
      </c>
      <c r="B11" s="3">
        <f>AVERAGE('QA_Products'!$K$2:$K$11)</f>
        <v/>
      </c>
      <c r="C11" s="3" t="inlineStr">
        <is>
          <t>Formula-driven average final score in workbook.</t>
        </is>
      </c>
    </row>
    <row r="12" ht="42" customHeight="1">
      <c r="A12" s="2" t="inlineStr">
        <is>
          <t>batch_result</t>
        </is>
      </c>
      <c r="B12" s="2">
        <f>IF(COUNTIF('QA_Products'!$L$2:$L$11,"QA_PASS")=ROWS('QA_Products'!$L$2:$L$11),"PASSED","NOT_PASSED")</f>
        <v/>
      </c>
      <c r="C12" s="2" t="inlineStr">
        <is>
          <t>PASSED only if all products are QA_PASS.</t>
        </is>
      </c>
    </row>
    <row r="13" ht="42" customHeight="1">
      <c r="A13" s="3" t="inlineStr">
        <is>
          <t>status_counts</t>
        </is>
      </c>
      <c r="B13" s="3">
        <f>"PASS="&amp;COUNTIF('QA_Products'!$L$2:$L$11,"QA_PASS")&amp;"; REVISE="&amp;COUNTIF('QA_Products'!$L$2:$L$11,"QA_REVISE")&amp;"; FAIL="&amp;COUNTIF('QA_Products'!$L$2:$L$11,"QA_FAIL")&amp;"; INCOMPLETE="&amp;COUNTIF('QA_Products'!$L$2:$L$11,"QA_INCOMPLETE")</f>
        <v/>
      </c>
      <c r="C13" s="3" t="inlineStr">
        <is>
          <t>Product QA status counts.</t>
        </is>
      </c>
    </row>
    <row r="14" ht="42" customHeight="1">
      <c r="A14" s="2" t="inlineStr">
        <is>
          <t>issue_counts</t>
        </is>
      </c>
      <c r="B14" s="2" t="inlineStr">
        <is>
          <t>CRITICAL=0; MAJOR=20; MINOR=40; LIMITATION=10</t>
        </is>
      </c>
      <c r="C14" s="2" t="inlineStr">
        <is>
          <t>Issue severity counts.</t>
        </is>
      </c>
    </row>
    <row r="15" ht="42" customHeight="1">
      <c r="A15" s="3" t="inlineStr">
        <is>
          <t>awaiting_confirmation</t>
        </is>
      </c>
      <c r="B15" s="3" t="b">
        <v>1</v>
      </c>
      <c r="C15" s="3" t="inlineStr">
        <is>
          <t>Do not QA next batch until user confirms.</t>
        </is>
      </c>
    </row>
  </sheetData>
  <autoFilter ref="A1:C15"/>
  <printOptions horizontalCentered="0"/>
  <pageMargins left="0.25" right="0.25" top="0.5" bottom="0.5" header="0.5" footer="0.5"/>
  <pageSetup orientation="landscape" fitToHeight="0" fitToWidth="1"/>
</worksheet>
</file>

<file path=xl/worksheets/sheet2.xml><?xml version="1.0" encoding="utf-8"?>
<worksheet xmlns="http://schemas.openxmlformats.org/spreadsheetml/2006/main">
  <sheetPr>
    <outlinePr summaryBelow="1" summaryRight="1"/>
    <pageSetUpPr fitToPage="1"/>
  </sheetPr>
  <dimension ref="A1:W11"/>
  <sheetViews>
    <sheetView showGridLines="0" workbookViewId="0">
      <pane ySplit="1" topLeftCell="A2" activePane="bottomLeft" state="frozen"/>
      <selection pane="bottomLeft" activeCell="A1" sqref="A1"/>
    </sheetView>
  </sheetViews>
  <sheetFormatPr baseColWidth="8" defaultRowHeight="15"/>
  <cols>
    <col width="20" customWidth="1" min="1" max="1"/>
    <col width="42" customWidth="1" min="2" max="2"/>
    <col width="38" customWidth="1" min="3" max="3"/>
    <col width="24" customWidth="1" min="4" max="4"/>
    <col width="15" customWidth="1" min="5" max="5"/>
    <col width="11" customWidth="1" min="6" max="6"/>
    <col width="24" customWidth="1" min="7" max="7"/>
    <col width="24" customWidth="1" min="8" max="8"/>
    <col width="19" customWidth="1" min="9" max="9"/>
    <col width="19" customWidth="1" min="10" max="10"/>
    <col width="24" customWidth="1" min="11" max="11"/>
    <col width="20" customWidth="1" min="12" max="12"/>
    <col width="38" customWidth="1" min="13" max="13"/>
    <col width="17" customWidth="1" min="14" max="14"/>
    <col width="16" customWidth="1" min="15" max="15"/>
    <col width="24" customWidth="1" min="16" max="16"/>
    <col width="16" customWidth="1" min="17" max="17"/>
    <col width="24" customWidth="1" min="18" max="18"/>
    <col width="24" customWidth="1" min="19" max="19"/>
    <col width="24" customWidth="1" min="20" max="20"/>
    <col width="24" customWidth="1" min="21" max="21"/>
    <col width="42" customWidth="1" min="22" max="22"/>
    <col width="42" customWidth="1" min="23" max="23"/>
  </cols>
  <sheetData>
    <row r="1" ht="32" customHeight="1">
      <c r="A1" s="1" t="inlineStr">
        <is>
          <t>inventory_position</t>
        </is>
      </c>
      <c r="B1" s="1" t="inlineStr">
        <is>
          <t>product_key</t>
        </is>
      </c>
      <c r="C1" s="1" t="inlineStr">
        <is>
          <t>url</t>
        </is>
      </c>
      <c r="D1" s="1" t="inlineStr">
        <is>
          <t>handle</t>
        </is>
      </c>
      <c r="E1" s="1" t="inlineStr">
        <is>
          <t>product_id</t>
        </is>
      </c>
      <c r="F1" s="1" t="inlineStr">
        <is>
          <t>revision</t>
        </is>
      </c>
      <c r="G1" s="1" t="inlineStr">
        <is>
          <t>verified_points</t>
        </is>
      </c>
      <c r="H1" s="1" t="inlineStr">
        <is>
          <t>assessed_weight</t>
        </is>
      </c>
      <c r="I1" s="1" t="inlineStr">
        <is>
          <t>score_lower_bound</t>
        </is>
      </c>
      <c r="J1" s="1" t="inlineStr">
        <is>
          <t>score_upper_bound</t>
        </is>
      </c>
      <c r="K1" s="1" t="inlineStr">
        <is>
          <t>final_score</t>
        </is>
      </c>
      <c r="L1" s="1" t="inlineStr">
        <is>
          <t>qa_status</t>
        </is>
      </c>
      <c r="M1" s="1" t="inlineStr">
        <is>
          <t>keyword_evidence_level</t>
        </is>
      </c>
      <c r="N1" s="1" t="inlineStr">
        <is>
          <t>images_expected</t>
        </is>
      </c>
      <c r="O1" s="1" t="inlineStr">
        <is>
          <t>images_checked</t>
        </is>
      </c>
      <c r="P1" s="1" t="inlineStr">
        <is>
          <t>image_inventory_complete</t>
        </is>
      </c>
      <c r="Q1" s="1" t="inlineStr">
        <is>
          <t>image_coverage</t>
        </is>
      </c>
      <c r="R1" s="1" t="inlineStr">
        <is>
          <t>critical_count</t>
        </is>
      </c>
      <c r="S1" s="1" t="inlineStr">
        <is>
          <t>major_count</t>
        </is>
      </c>
      <c r="T1" s="1" t="inlineStr">
        <is>
          <t>minor_count</t>
        </is>
      </c>
      <c r="U1" s="1" t="inlineStr">
        <is>
          <t>limitation_count</t>
        </is>
      </c>
      <c r="V1" s="1" t="inlineStr">
        <is>
          <t>issue_refs</t>
        </is>
      </c>
      <c r="W1" s="1" t="inlineStr">
        <is>
          <t>evidence_refs</t>
        </is>
      </c>
    </row>
    <row r="2" ht="42" customHeight="1">
      <c r="A2" s="2" t="n">
        <v>181</v>
      </c>
      <c r="B2" s="2" t="inlineStr">
        <is>
          <t>jeminise.com+personalized-baseball-bedding-full-size-flag-custom-name-d-design-06</t>
        </is>
      </c>
      <c r="C2" s="4" t="inlineStr">
        <is>
          <t>https://jeminise.com/products/personalized-baseball-bedding-full-size-flag-custom-name-d-design-06</t>
        </is>
      </c>
      <c r="D2" s="2" t="inlineStr">
        <is>
          <t>personalized-baseball-bedding-full-size-flag-custom-name-d-design-06</t>
        </is>
      </c>
      <c r="E2" s="2" t="inlineStr">
        <is>
          <t>8867179331783</t>
        </is>
      </c>
      <c r="F2" s="2" t="inlineStr">
        <is>
          <t>r1</t>
        </is>
      </c>
      <c r="G2" s="5">
        <f>SUMIF('QA_Criteria'!$A$2:$A$111,B2,'QA_Criteria'!$F$2:$F$111)</f>
        <v/>
      </c>
      <c r="H2" s="5">
        <f>SUMIF('QA_Criteria'!$A$2:$A$111,B2,'QA_Criteria'!$G$2:$G$111)</f>
        <v/>
      </c>
      <c r="I2" s="5">
        <f>G2</f>
        <v/>
      </c>
      <c r="J2" s="5">
        <f>G2+(100-H2)</f>
        <v/>
      </c>
      <c r="K2" s="5">
        <f>IF(AND(H2=100,Q2=1,P2=TRUE),G2,"")</f>
        <v/>
      </c>
      <c r="L2" s="2">
        <f>IF(R2&gt;0,"QA_FAIL",IF(K2="","QA_INCOMPLETE",IF(K2&lt;70,"QA_FAIL",IF(OR(K2&lt;85,S2&gt;0),"QA_REVISE","QA_PASS"))))</f>
        <v/>
      </c>
      <c r="M2" s="2" t="inlineStr">
        <is>
          <t>SERP_ONLY</t>
        </is>
      </c>
      <c r="N2" s="2" t="n">
        <v>4</v>
      </c>
      <c r="O2" s="2" t="n">
        <v>4</v>
      </c>
      <c r="P2" s="2" t="b">
        <v>1</v>
      </c>
      <c r="Q2" s="6" t="n">
        <v>1</v>
      </c>
      <c r="R2" s="2">
        <f>COUNTIFS('QA_Issues'!$B$2:$B$71,B2,'QA_Issues'!$D$2:$D$71,"CRITICAL")</f>
        <v/>
      </c>
      <c r="S2" s="2">
        <f>COUNTIFS('QA_Issues'!$B$2:$B$71,B2,'QA_Issues'!$D$2:$D$71,"MAJOR")</f>
        <v/>
      </c>
      <c r="T2" s="2">
        <f>COUNTIFS('QA_Issues'!$B$2:$B$71,B2,'QA_Issues'!$D$2:$D$71,"MINOR")</f>
        <v/>
      </c>
      <c r="U2" s="2">
        <f>COUNTIFS('QA_Issues'!$B$2:$B$71,B2,'QA_Issues'!$D$2:$D$71,"LIMITATION")</f>
        <v/>
      </c>
      <c r="V2" s="2" t="inlineStr">
        <is>
          <t>ISSUE-0001; ISSUE-0002; ISSUE-0003; ISSUE-0004; ISSUE-0005; ISSUE-0006; ISSUE-0007</t>
        </is>
      </c>
      <c r="W2" s="2" t="inlineStr">
        <is>
          <t>evidence_batch_019_181; live_source_comparison; customizer_audit; serp_evidence</t>
        </is>
      </c>
    </row>
    <row r="3" ht="42" customHeight="1">
      <c r="A3" s="3" t="n">
        <v>182</v>
      </c>
      <c r="B3" s="3" t="inlineStr">
        <is>
          <t>jeminise.com+personalized-baseball-bedding-full-size-flag-custom-name-d-design-07</t>
        </is>
      </c>
      <c r="C3" s="4" t="inlineStr">
        <is>
          <t>https://jeminise.com/products/personalized-baseball-bedding-full-size-flag-custom-name-d-design-07</t>
        </is>
      </c>
      <c r="D3" s="3" t="inlineStr">
        <is>
          <t>personalized-baseball-bedding-full-size-flag-custom-name-d-design-07</t>
        </is>
      </c>
      <c r="E3" s="3" t="inlineStr">
        <is>
          <t>8867179495623</t>
        </is>
      </c>
      <c r="F3" s="3" t="inlineStr">
        <is>
          <t>r1</t>
        </is>
      </c>
      <c r="G3" s="7">
        <f>SUMIF('QA_Criteria'!$A$2:$A$111,B3,'QA_Criteria'!$F$2:$F$111)</f>
        <v/>
      </c>
      <c r="H3" s="7">
        <f>SUMIF('QA_Criteria'!$A$2:$A$111,B3,'QA_Criteria'!$G$2:$G$111)</f>
        <v/>
      </c>
      <c r="I3" s="7">
        <f>G3</f>
        <v/>
      </c>
      <c r="J3" s="7">
        <f>G3+(100-H3)</f>
        <v/>
      </c>
      <c r="K3" s="7">
        <f>IF(AND(H3=100,Q3=1,P3=TRUE),G3,"")</f>
        <v/>
      </c>
      <c r="L3" s="3">
        <f>IF(R3&gt;0,"QA_FAIL",IF(K3="","QA_INCOMPLETE",IF(K3&lt;70,"QA_FAIL",IF(OR(K3&lt;85,S3&gt;0),"QA_REVISE","QA_PASS"))))</f>
        <v/>
      </c>
      <c r="M3" s="3" t="inlineStr">
        <is>
          <t>SERP_ONLY</t>
        </is>
      </c>
      <c r="N3" s="3" t="n">
        <v>4</v>
      </c>
      <c r="O3" s="3" t="n">
        <v>4</v>
      </c>
      <c r="P3" s="3" t="b">
        <v>1</v>
      </c>
      <c r="Q3" s="8" t="n">
        <v>1</v>
      </c>
      <c r="R3" s="3">
        <f>COUNTIFS('QA_Issues'!$B$2:$B$71,B3,'QA_Issues'!$D$2:$D$71,"CRITICAL")</f>
        <v/>
      </c>
      <c r="S3" s="3">
        <f>COUNTIFS('QA_Issues'!$B$2:$B$71,B3,'QA_Issues'!$D$2:$D$71,"MAJOR")</f>
        <v/>
      </c>
      <c r="T3" s="3">
        <f>COUNTIFS('QA_Issues'!$B$2:$B$71,B3,'QA_Issues'!$D$2:$D$71,"MINOR")</f>
        <v/>
      </c>
      <c r="U3" s="3">
        <f>COUNTIFS('QA_Issues'!$B$2:$B$71,B3,'QA_Issues'!$D$2:$D$71,"LIMITATION")</f>
        <v/>
      </c>
      <c r="V3" s="3" t="inlineStr">
        <is>
          <t>ISSUE-0008; ISSUE-0009; ISSUE-0010; ISSUE-0011; ISSUE-0012; ISSUE-0013; ISSUE-0014</t>
        </is>
      </c>
      <c r="W3" s="3" t="inlineStr">
        <is>
          <t>evidence_batch_019_182; live_source_comparison; customizer_audit; serp_evidence</t>
        </is>
      </c>
    </row>
    <row r="4" ht="42" customHeight="1">
      <c r="A4" s="2" t="n">
        <v>183</v>
      </c>
      <c r="B4" s="2" t="inlineStr">
        <is>
          <t>jeminise.com+personalized-baseball-bedding-full-size-flag-custom-name-d-design-08</t>
        </is>
      </c>
      <c r="C4" s="4" t="inlineStr">
        <is>
          <t>https://jeminise.com/products/personalized-baseball-bedding-full-size-flag-custom-name-d-design-08</t>
        </is>
      </c>
      <c r="D4" s="2" t="inlineStr">
        <is>
          <t>personalized-baseball-bedding-full-size-flag-custom-name-d-design-08</t>
        </is>
      </c>
      <c r="E4" s="2" t="inlineStr">
        <is>
          <t>8867179561159</t>
        </is>
      </c>
      <c r="F4" s="2" t="inlineStr">
        <is>
          <t>r1</t>
        </is>
      </c>
      <c r="G4" s="5">
        <f>SUMIF('QA_Criteria'!$A$2:$A$111,B4,'QA_Criteria'!$F$2:$F$111)</f>
        <v/>
      </c>
      <c r="H4" s="5">
        <f>SUMIF('QA_Criteria'!$A$2:$A$111,B4,'QA_Criteria'!$G$2:$G$111)</f>
        <v/>
      </c>
      <c r="I4" s="5">
        <f>G4</f>
        <v/>
      </c>
      <c r="J4" s="5">
        <f>G4+(100-H4)</f>
        <v/>
      </c>
      <c r="K4" s="5">
        <f>IF(AND(H4=100,Q4=1,P4=TRUE),G4,"")</f>
        <v/>
      </c>
      <c r="L4" s="2">
        <f>IF(R4&gt;0,"QA_FAIL",IF(K4="","QA_INCOMPLETE",IF(K4&lt;70,"QA_FAIL",IF(OR(K4&lt;85,S4&gt;0),"QA_REVISE","QA_PASS"))))</f>
        <v/>
      </c>
      <c r="M4" s="2" t="inlineStr">
        <is>
          <t>SERP_ONLY</t>
        </is>
      </c>
      <c r="N4" s="2" t="n">
        <v>4</v>
      </c>
      <c r="O4" s="2" t="n">
        <v>4</v>
      </c>
      <c r="P4" s="2" t="b">
        <v>1</v>
      </c>
      <c r="Q4" s="6" t="n">
        <v>1</v>
      </c>
      <c r="R4" s="2">
        <f>COUNTIFS('QA_Issues'!$B$2:$B$71,B4,'QA_Issues'!$D$2:$D$71,"CRITICAL")</f>
        <v/>
      </c>
      <c r="S4" s="2">
        <f>COUNTIFS('QA_Issues'!$B$2:$B$71,B4,'QA_Issues'!$D$2:$D$71,"MAJOR")</f>
        <v/>
      </c>
      <c r="T4" s="2">
        <f>COUNTIFS('QA_Issues'!$B$2:$B$71,B4,'QA_Issues'!$D$2:$D$71,"MINOR")</f>
        <v/>
      </c>
      <c r="U4" s="2">
        <f>COUNTIFS('QA_Issues'!$B$2:$B$71,B4,'QA_Issues'!$D$2:$D$71,"LIMITATION")</f>
        <v/>
      </c>
      <c r="V4" s="2" t="inlineStr">
        <is>
          <t>ISSUE-0015; ISSUE-0016; ISSUE-0017; ISSUE-0018; ISSUE-0019; ISSUE-0020; ISSUE-0021</t>
        </is>
      </c>
      <c r="W4" s="2" t="inlineStr">
        <is>
          <t>evidence_batch_019_183; live_source_comparison; customizer_audit; serp_evidence</t>
        </is>
      </c>
    </row>
    <row r="5" ht="42" customHeight="1">
      <c r="A5" s="3" t="n">
        <v>184</v>
      </c>
      <c r="B5" s="3" t="inlineStr">
        <is>
          <t>jeminise.com+personalized-baseball-bedding-full-size-flag-custom-name-d-design-09</t>
        </is>
      </c>
      <c r="C5" s="4" t="inlineStr">
        <is>
          <t>https://jeminise.com/products/personalized-baseball-bedding-full-size-flag-custom-name-d-design-09</t>
        </is>
      </c>
      <c r="D5" s="3" t="inlineStr">
        <is>
          <t>personalized-baseball-bedding-full-size-flag-custom-name-d-design-09</t>
        </is>
      </c>
      <c r="E5" s="3" t="inlineStr">
        <is>
          <t>8867179593927</t>
        </is>
      </c>
      <c r="F5" s="3" t="inlineStr">
        <is>
          <t>r1</t>
        </is>
      </c>
      <c r="G5" s="7">
        <f>SUMIF('QA_Criteria'!$A$2:$A$111,B5,'QA_Criteria'!$F$2:$F$111)</f>
        <v/>
      </c>
      <c r="H5" s="7">
        <f>SUMIF('QA_Criteria'!$A$2:$A$111,B5,'QA_Criteria'!$G$2:$G$111)</f>
        <v/>
      </c>
      <c r="I5" s="7">
        <f>G5</f>
        <v/>
      </c>
      <c r="J5" s="7">
        <f>G5+(100-H5)</f>
        <v/>
      </c>
      <c r="K5" s="7">
        <f>IF(AND(H5=100,Q5=1,P5=TRUE),G5,"")</f>
        <v/>
      </c>
      <c r="L5" s="3">
        <f>IF(R5&gt;0,"QA_FAIL",IF(K5="","QA_INCOMPLETE",IF(K5&lt;70,"QA_FAIL",IF(OR(K5&lt;85,S5&gt;0),"QA_REVISE","QA_PASS"))))</f>
        <v/>
      </c>
      <c r="M5" s="3" t="inlineStr">
        <is>
          <t>SERP_ONLY</t>
        </is>
      </c>
      <c r="N5" s="3" t="n">
        <v>4</v>
      </c>
      <c r="O5" s="3" t="n">
        <v>4</v>
      </c>
      <c r="P5" s="3" t="b">
        <v>1</v>
      </c>
      <c r="Q5" s="8" t="n">
        <v>1</v>
      </c>
      <c r="R5" s="3">
        <f>COUNTIFS('QA_Issues'!$B$2:$B$71,B5,'QA_Issues'!$D$2:$D$71,"CRITICAL")</f>
        <v/>
      </c>
      <c r="S5" s="3">
        <f>COUNTIFS('QA_Issues'!$B$2:$B$71,B5,'QA_Issues'!$D$2:$D$71,"MAJOR")</f>
        <v/>
      </c>
      <c r="T5" s="3">
        <f>COUNTIFS('QA_Issues'!$B$2:$B$71,B5,'QA_Issues'!$D$2:$D$71,"MINOR")</f>
        <v/>
      </c>
      <c r="U5" s="3">
        <f>COUNTIFS('QA_Issues'!$B$2:$B$71,B5,'QA_Issues'!$D$2:$D$71,"LIMITATION")</f>
        <v/>
      </c>
      <c r="V5" s="3" t="inlineStr">
        <is>
          <t>ISSUE-0022; ISSUE-0023; ISSUE-0024; ISSUE-0025; ISSUE-0026; ISSUE-0027; ISSUE-0028</t>
        </is>
      </c>
      <c r="W5" s="3" t="inlineStr">
        <is>
          <t>evidence_batch_019_184; live_source_comparison; customizer_audit; serp_evidence</t>
        </is>
      </c>
    </row>
    <row r="6" ht="42" customHeight="1">
      <c r="A6" s="2" t="n">
        <v>185</v>
      </c>
      <c r="B6" s="2" t="inlineStr">
        <is>
          <t>jeminise.com+personalized-baseball-bedding-full-size-flag-custom-name-d-design-10</t>
        </is>
      </c>
      <c r="C6" s="4" t="inlineStr">
        <is>
          <t>https://jeminise.com/products/personalized-baseball-bedding-full-size-flag-custom-name-d-design-10</t>
        </is>
      </c>
      <c r="D6" s="2" t="inlineStr">
        <is>
          <t>personalized-baseball-bedding-full-size-flag-custom-name-d-design-10</t>
        </is>
      </c>
      <c r="E6" s="2" t="inlineStr">
        <is>
          <t>8867179626695</t>
        </is>
      </c>
      <c r="F6" s="2" t="inlineStr">
        <is>
          <t>r1</t>
        </is>
      </c>
      <c r="G6" s="5">
        <f>SUMIF('QA_Criteria'!$A$2:$A$111,B6,'QA_Criteria'!$F$2:$F$111)</f>
        <v/>
      </c>
      <c r="H6" s="5">
        <f>SUMIF('QA_Criteria'!$A$2:$A$111,B6,'QA_Criteria'!$G$2:$G$111)</f>
        <v/>
      </c>
      <c r="I6" s="5">
        <f>G6</f>
        <v/>
      </c>
      <c r="J6" s="5">
        <f>G6+(100-H6)</f>
        <v/>
      </c>
      <c r="K6" s="5">
        <f>IF(AND(H6=100,Q6=1,P6=TRUE),G6,"")</f>
        <v/>
      </c>
      <c r="L6" s="2">
        <f>IF(R6&gt;0,"QA_FAIL",IF(K6="","QA_INCOMPLETE",IF(K6&lt;70,"QA_FAIL",IF(OR(K6&lt;85,S6&gt;0),"QA_REVISE","QA_PASS"))))</f>
        <v/>
      </c>
      <c r="M6" s="2" t="inlineStr">
        <is>
          <t>SERP_ONLY</t>
        </is>
      </c>
      <c r="N6" s="2" t="n">
        <v>4</v>
      </c>
      <c r="O6" s="2" t="n">
        <v>4</v>
      </c>
      <c r="P6" s="2" t="b">
        <v>1</v>
      </c>
      <c r="Q6" s="6" t="n">
        <v>1</v>
      </c>
      <c r="R6" s="2">
        <f>COUNTIFS('QA_Issues'!$B$2:$B$71,B6,'QA_Issues'!$D$2:$D$71,"CRITICAL")</f>
        <v/>
      </c>
      <c r="S6" s="2">
        <f>COUNTIFS('QA_Issues'!$B$2:$B$71,B6,'QA_Issues'!$D$2:$D$71,"MAJOR")</f>
        <v/>
      </c>
      <c r="T6" s="2">
        <f>COUNTIFS('QA_Issues'!$B$2:$B$71,B6,'QA_Issues'!$D$2:$D$71,"MINOR")</f>
        <v/>
      </c>
      <c r="U6" s="2">
        <f>COUNTIFS('QA_Issues'!$B$2:$B$71,B6,'QA_Issues'!$D$2:$D$71,"LIMITATION")</f>
        <v/>
      </c>
      <c r="V6" s="2" t="inlineStr">
        <is>
          <t>ISSUE-0029; ISSUE-0030; ISSUE-0031; ISSUE-0032; ISSUE-0033; ISSUE-0034; ISSUE-0035</t>
        </is>
      </c>
      <c r="W6" s="2" t="inlineStr">
        <is>
          <t>evidence_batch_019_185; live_source_comparison; customizer_audit; serp_evidence</t>
        </is>
      </c>
    </row>
    <row r="7" ht="42" customHeight="1">
      <c r="A7" s="3" t="n">
        <v>186</v>
      </c>
      <c r="B7" s="3" t="inlineStr">
        <is>
          <t>jeminise.com+personalized-baseball-bedding-full-size-flag-custom-name-d-design-11</t>
        </is>
      </c>
      <c r="C7" s="4" t="inlineStr">
        <is>
          <t>https://jeminise.com/products/personalized-baseball-bedding-full-size-flag-custom-name-d-design-11</t>
        </is>
      </c>
      <c r="D7" s="3" t="inlineStr">
        <is>
          <t>personalized-baseball-bedding-full-size-flag-custom-name-d-design-11</t>
        </is>
      </c>
      <c r="E7" s="3" t="inlineStr">
        <is>
          <t>8867179692231</t>
        </is>
      </c>
      <c r="F7" s="3" t="inlineStr">
        <is>
          <t>r1</t>
        </is>
      </c>
      <c r="G7" s="7">
        <f>SUMIF('QA_Criteria'!$A$2:$A$111,B7,'QA_Criteria'!$F$2:$F$111)</f>
        <v/>
      </c>
      <c r="H7" s="7">
        <f>SUMIF('QA_Criteria'!$A$2:$A$111,B7,'QA_Criteria'!$G$2:$G$111)</f>
        <v/>
      </c>
      <c r="I7" s="7">
        <f>G7</f>
        <v/>
      </c>
      <c r="J7" s="7">
        <f>G7+(100-H7)</f>
        <v/>
      </c>
      <c r="K7" s="7">
        <f>IF(AND(H7=100,Q7=1,P7=TRUE),G7,"")</f>
        <v/>
      </c>
      <c r="L7" s="3">
        <f>IF(R7&gt;0,"QA_FAIL",IF(K7="","QA_INCOMPLETE",IF(K7&lt;70,"QA_FAIL",IF(OR(K7&lt;85,S7&gt;0),"QA_REVISE","QA_PASS"))))</f>
        <v/>
      </c>
      <c r="M7" s="3" t="inlineStr">
        <is>
          <t>SERP_ONLY</t>
        </is>
      </c>
      <c r="N7" s="3" t="n">
        <v>4</v>
      </c>
      <c r="O7" s="3" t="n">
        <v>4</v>
      </c>
      <c r="P7" s="3" t="b">
        <v>1</v>
      </c>
      <c r="Q7" s="8" t="n">
        <v>1</v>
      </c>
      <c r="R7" s="3">
        <f>COUNTIFS('QA_Issues'!$B$2:$B$71,B7,'QA_Issues'!$D$2:$D$71,"CRITICAL")</f>
        <v/>
      </c>
      <c r="S7" s="3">
        <f>COUNTIFS('QA_Issues'!$B$2:$B$71,B7,'QA_Issues'!$D$2:$D$71,"MAJOR")</f>
        <v/>
      </c>
      <c r="T7" s="3">
        <f>COUNTIFS('QA_Issues'!$B$2:$B$71,B7,'QA_Issues'!$D$2:$D$71,"MINOR")</f>
        <v/>
      </c>
      <c r="U7" s="3">
        <f>COUNTIFS('QA_Issues'!$B$2:$B$71,B7,'QA_Issues'!$D$2:$D$71,"LIMITATION")</f>
        <v/>
      </c>
      <c r="V7" s="3" t="inlineStr">
        <is>
          <t>ISSUE-0036; ISSUE-0037; ISSUE-0038; ISSUE-0039; ISSUE-0040; ISSUE-0041; ISSUE-0042</t>
        </is>
      </c>
      <c r="W7" s="3" t="inlineStr">
        <is>
          <t>evidence_batch_019_186; live_source_comparison; customizer_audit; serp_evidence</t>
        </is>
      </c>
    </row>
    <row r="8" ht="42" customHeight="1">
      <c r="A8" s="2" t="n">
        <v>187</v>
      </c>
      <c r="B8" s="2" t="inlineStr">
        <is>
          <t>jeminise.com+personalized-baseball-bedding-full-size-flag-custom-name-d-design-12</t>
        </is>
      </c>
      <c r="C8" s="4" t="inlineStr">
        <is>
          <t>https://jeminise.com/products/personalized-baseball-bedding-full-size-flag-custom-name-d-design-12</t>
        </is>
      </c>
      <c r="D8" s="2" t="inlineStr">
        <is>
          <t>personalized-baseball-bedding-full-size-flag-custom-name-d-design-12</t>
        </is>
      </c>
      <c r="E8" s="2" t="inlineStr">
        <is>
          <t>8867179757767</t>
        </is>
      </c>
      <c r="F8" s="2" t="inlineStr">
        <is>
          <t>r1</t>
        </is>
      </c>
      <c r="G8" s="5">
        <f>SUMIF('QA_Criteria'!$A$2:$A$111,B8,'QA_Criteria'!$F$2:$F$111)</f>
        <v/>
      </c>
      <c r="H8" s="5">
        <f>SUMIF('QA_Criteria'!$A$2:$A$111,B8,'QA_Criteria'!$G$2:$G$111)</f>
        <v/>
      </c>
      <c r="I8" s="5">
        <f>G8</f>
        <v/>
      </c>
      <c r="J8" s="5">
        <f>G8+(100-H8)</f>
        <v/>
      </c>
      <c r="K8" s="5">
        <f>IF(AND(H8=100,Q8=1,P8=TRUE),G8,"")</f>
        <v/>
      </c>
      <c r="L8" s="2">
        <f>IF(R8&gt;0,"QA_FAIL",IF(K8="","QA_INCOMPLETE",IF(K8&lt;70,"QA_FAIL",IF(OR(K8&lt;85,S8&gt;0),"QA_REVISE","QA_PASS"))))</f>
        <v/>
      </c>
      <c r="M8" s="2" t="inlineStr">
        <is>
          <t>SERP_ONLY</t>
        </is>
      </c>
      <c r="N8" s="2" t="n">
        <v>4</v>
      </c>
      <c r="O8" s="2" t="n">
        <v>4</v>
      </c>
      <c r="P8" s="2" t="b">
        <v>1</v>
      </c>
      <c r="Q8" s="6" t="n">
        <v>1</v>
      </c>
      <c r="R8" s="2">
        <f>COUNTIFS('QA_Issues'!$B$2:$B$71,B8,'QA_Issues'!$D$2:$D$71,"CRITICAL")</f>
        <v/>
      </c>
      <c r="S8" s="2">
        <f>COUNTIFS('QA_Issues'!$B$2:$B$71,B8,'QA_Issues'!$D$2:$D$71,"MAJOR")</f>
        <v/>
      </c>
      <c r="T8" s="2">
        <f>COUNTIFS('QA_Issues'!$B$2:$B$71,B8,'QA_Issues'!$D$2:$D$71,"MINOR")</f>
        <v/>
      </c>
      <c r="U8" s="2">
        <f>COUNTIFS('QA_Issues'!$B$2:$B$71,B8,'QA_Issues'!$D$2:$D$71,"LIMITATION")</f>
        <v/>
      </c>
      <c r="V8" s="2" t="inlineStr">
        <is>
          <t>ISSUE-0043; ISSUE-0044; ISSUE-0045; ISSUE-0046; ISSUE-0047; ISSUE-0048; ISSUE-0049</t>
        </is>
      </c>
      <c r="W8" s="2" t="inlineStr">
        <is>
          <t>evidence_batch_019_187; live_source_comparison; customizer_audit; serp_evidence</t>
        </is>
      </c>
    </row>
    <row r="9" ht="42" customHeight="1">
      <c r="A9" s="3" t="n">
        <v>188</v>
      </c>
      <c r="B9" s="3" t="inlineStr">
        <is>
          <t>jeminise.com+personalized-baseball-bedding-full-size-flag-custom-name-d-design-13</t>
        </is>
      </c>
      <c r="C9" s="4" t="inlineStr">
        <is>
          <t>https://jeminise.com/products/personalized-baseball-bedding-full-size-flag-custom-name-d-design-13</t>
        </is>
      </c>
      <c r="D9" s="3" t="inlineStr">
        <is>
          <t>personalized-baseball-bedding-full-size-flag-custom-name-d-design-13</t>
        </is>
      </c>
      <c r="E9" s="3" t="inlineStr">
        <is>
          <t>8867179724999</t>
        </is>
      </c>
      <c r="F9" s="3" t="inlineStr">
        <is>
          <t>r1</t>
        </is>
      </c>
      <c r="G9" s="7">
        <f>SUMIF('QA_Criteria'!$A$2:$A$111,B9,'QA_Criteria'!$F$2:$F$111)</f>
        <v/>
      </c>
      <c r="H9" s="7">
        <f>SUMIF('QA_Criteria'!$A$2:$A$111,B9,'QA_Criteria'!$G$2:$G$111)</f>
        <v/>
      </c>
      <c r="I9" s="7">
        <f>G9</f>
        <v/>
      </c>
      <c r="J9" s="7">
        <f>G9+(100-H9)</f>
        <v/>
      </c>
      <c r="K9" s="7">
        <f>IF(AND(H9=100,Q9=1,P9=TRUE),G9,"")</f>
        <v/>
      </c>
      <c r="L9" s="3">
        <f>IF(R9&gt;0,"QA_FAIL",IF(K9="","QA_INCOMPLETE",IF(K9&lt;70,"QA_FAIL",IF(OR(K9&lt;85,S9&gt;0),"QA_REVISE","QA_PASS"))))</f>
        <v/>
      </c>
      <c r="M9" s="3" t="inlineStr">
        <is>
          <t>SERP_ONLY</t>
        </is>
      </c>
      <c r="N9" s="3" t="n">
        <v>4</v>
      </c>
      <c r="O9" s="3" t="n">
        <v>4</v>
      </c>
      <c r="P9" s="3" t="b">
        <v>1</v>
      </c>
      <c r="Q9" s="8" t="n">
        <v>1</v>
      </c>
      <c r="R9" s="3">
        <f>COUNTIFS('QA_Issues'!$B$2:$B$71,B9,'QA_Issues'!$D$2:$D$71,"CRITICAL")</f>
        <v/>
      </c>
      <c r="S9" s="3">
        <f>COUNTIFS('QA_Issues'!$B$2:$B$71,B9,'QA_Issues'!$D$2:$D$71,"MAJOR")</f>
        <v/>
      </c>
      <c r="T9" s="3">
        <f>COUNTIFS('QA_Issues'!$B$2:$B$71,B9,'QA_Issues'!$D$2:$D$71,"MINOR")</f>
        <v/>
      </c>
      <c r="U9" s="3">
        <f>COUNTIFS('QA_Issues'!$B$2:$B$71,B9,'QA_Issues'!$D$2:$D$71,"LIMITATION")</f>
        <v/>
      </c>
      <c r="V9" s="3" t="inlineStr">
        <is>
          <t>ISSUE-0050; ISSUE-0051; ISSUE-0052; ISSUE-0053; ISSUE-0054; ISSUE-0055; ISSUE-0056</t>
        </is>
      </c>
      <c r="W9" s="3" t="inlineStr">
        <is>
          <t>evidence_batch_019_188; live_source_comparison; customizer_audit; serp_evidence</t>
        </is>
      </c>
    </row>
    <row r="10" ht="42" customHeight="1">
      <c r="A10" s="2" t="n">
        <v>189</v>
      </c>
      <c r="B10" s="2" t="inlineStr">
        <is>
          <t>jeminise.com+personalized-baseball-bedding-full-size-flag-custom-name-d-design-14</t>
        </is>
      </c>
      <c r="C10" s="4" t="inlineStr">
        <is>
          <t>https://jeminise.com/products/personalized-baseball-bedding-full-size-flag-custom-name-d-design-14</t>
        </is>
      </c>
      <c r="D10" s="2" t="inlineStr">
        <is>
          <t>personalized-baseball-bedding-full-size-flag-custom-name-d-design-14</t>
        </is>
      </c>
      <c r="E10" s="2" t="inlineStr">
        <is>
          <t>8867179888839</t>
        </is>
      </c>
      <c r="F10" s="2" t="inlineStr">
        <is>
          <t>r1</t>
        </is>
      </c>
      <c r="G10" s="5">
        <f>SUMIF('QA_Criteria'!$A$2:$A$111,B10,'QA_Criteria'!$F$2:$F$111)</f>
        <v/>
      </c>
      <c r="H10" s="5">
        <f>SUMIF('QA_Criteria'!$A$2:$A$111,B10,'QA_Criteria'!$G$2:$G$111)</f>
        <v/>
      </c>
      <c r="I10" s="5">
        <f>G10</f>
        <v/>
      </c>
      <c r="J10" s="5">
        <f>G10+(100-H10)</f>
        <v/>
      </c>
      <c r="K10" s="5">
        <f>IF(AND(H10=100,Q10=1,P10=TRUE),G10,"")</f>
        <v/>
      </c>
      <c r="L10" s="2">
        <f>IF(R10&gt;0,"QA_FAIL",IF(K10="","QA_INCOMPLETE",IF(K10&lt;70,"QA_FAIL",IF(OR(K10&lt;85,S10&gt;0),"QA_REVISE","QA_PASS"))))</f>
        <v/>
      </c>
      <c r="M10" s="2" t="inlineStr">
        <is>
          <t>SERP_ONLY</t>
        </is>
      </c>
      <c r="N10" s="2" t="n">
        <v>4</v>
      </c>
      <c r="O10" s="2" t="n">
        <v>4</v>
      </c>
      <c r="P10" s="2" t="b">
        <v>1</v>
      </c>
      <c r="Q10" s="6" t="n">
        <v>1</v>
      </c>
      <c r="R10" s="2">
        <f>COUNTIFS('QA_Issues'!$B$2:$B$71,B10,'QA_Issues'!$D$2:$D$71,"CRITICAL")</f>
        <v/>
      </c>
      <c r="S10" s="2">
        <f>COUNTIFS('QA_Issues'!$B$2:$B$71,B10,'QA_Issues'!$D$2:$D$71,"MAJOR")</f>
        <v/>
      </c>
      <c r="T10" s="2">
        <f>COUNTIFS('QA_Issues'!$B$2:$B$71,B10,'QA_Issues'!$D$2:$D$71,"MINOR")</f>
        <v/>
      </c>
      <c r="U10" s="2">
        <f>COUNTIFS('QA_Issues'!$B$2:$B$71,B10,'QA_Issues'!$D$2:$D$71,"LIMITATION")</f>
        <v/>
      </c>
      <c r="V10" s="2" t="inlineStr">
        <is>
          <t>ISSUE-0057; ISSUE-0058; ISSUE-0059; ISSUE-0060; ISSUE-0061; ISSUE-0062; ISSUE-0063</t>
        </is>
      </c>
      <c r="W10" s="2" t="inlineStr">
        <is>
          <t>evidence_batch_019_189; live_source_comparison; customizer_audit; serp_evidence</t>
        </is>
      </c>
    </row>
    <row r="11" ht="42" customHeight="1">
      <c r="A11" s="3" t="n">
        <v>190</v>
      </c>
      <c r="B11" s="3" t="inlineStr">
        <is>
          <t>jeminise.com+personalized-baseball-bedding-full-size-flag-custom-name-d-design-15</t>
        </is>
      </c>
      <c r="C11" s="4" t="inlineStr">
        <is>
          <t>https://jeminise.com/products/personalized-baseball-bedding-full-size-flag-custom-name-d-design-15</t>
        </is>
      </c>
      <c r="D11" s="3" t="inlineStr">
        <is>
          <t>personalized-baseball-bedding-full-size-flag-custom-name-d-design-15</t>
        </is>
      </c>
      <c r="E11" s="3" t="inlineStr">
        <is>
          <t>8867179921607</t>
        </is>
      </c>
      <c r="F11" s="3" t="inlineStr">
        <is>
          <t>r1</t>
        </is>
      </c>
      <c r="G11" s="7">
        <f>SUMIF('QA_Criteria'!$A$2:$A$111,B11,'QA_Criteria'!$F$2:$F$111)</f>
        <v/>
      </c>
      <c r="H11" s="7">
        <f>SUMIF('QA_Criteria'!$A$2:$A$111,B11,'QA_Criteria'!$G$2:$G$111)</f>
        <v/>
      </c>
      <c r="I11" s="7">
        <f>G11</f>
        <v/>
      </c>
      <c r="J11" s="7">
        <f>G11+(100-H11)</f>
        <v/>
      </c>
      <c r="K11" s="7">
        <f>IF(AND(H11=100,Q11=1,P11=TRUE),G11,"")</f>
        <v/>
      </c>
      <c r="L11" s="3">
        <f>IF(R11&gt;0,"QA_FAIL",IF(K11="","QA_INCOMPLETE",IF(K11&lt;70,"QA_FAIL",IF(OR(K11&lt;85,S11&gt;0),"QA_REVISE","QA_PASS"))))</f>
        <v/>
      </c>
      <c r="M11" s="3" t="inlineStr">
        <is>
          <t>SERP_ONLY</t>
        </is>
      </c>
      <c r="N11" s="3" t="n">
        <v>4</v>
      </c>
      <c r="O11" s="3" t="n">
        <v>4</v>
      </c>
      <c r="P11" s="3" t="b">
        <v>1</v>
      </c>
      <c r="Q11" s="8" t="n">
        <v>1</v>
      </c>
      <c r="R11" s="3">
        <f>COUNTIFS('QA_Issues'!$B$2:$B$71,B11,'QA_Issues'!$D$2:$D$71,"CRITICAL")</f>
        <v/>
      </c>
      <c r="S11" s="3">
        <f>COUNTIFS('QA_Issues'!$B$2:$B$71,B11,'QA_Issues'!$D$2:$D$71,"MAJOR")</f>
        <v/>
      </c>
      <c r="T11" s="3">
        <f>COUNTIFS('QA_Issues'!$B$2:$B$71,B11,'QA_Issues'!$D$2:$D$71,"MINOR")</f>
        <v/>
      </c>
      <c r="U11" s="3">
        <f>COUNTIFS('QA_Issues'!$B$2:$B$71,B11,'QA_Issues'!$D$2:$D$71,"LIMITATION")</f>
        <v/>
      </c>
      <c r="V11" s="3" t="inlineStr">
        <is>
          <t>ISSUE-0064; ISSUE-0065; ISSUE-0066; ISSUE-0067; ISSUE-0068; ISSUE-0069; ISSUE-0070</t>
        </is>
      </c>
      <c r="W11" s="3" t="inlineStr">
        <is>
          <t>evidence_batch_019_190; live_source_comparison; customizer_audit; serp_evidence</t>
        </is>
      </c>
    </row>
  </sheetData>
  <autoFilter ref="A1:W11"/>
  <conditionalFormatting sqref="L2:L11">
    <cfRule type="expression" priority="1" dxfId="0">
      <formula>L2="QA_PASS"</formula>
    </cfRule>
    <cfRule type="expression" priority="2" dxfId="1">
      <formula>L2="QA_REVISE"</formula>
    </cfRule>
    <cfRule type="expression" priority="3" dxfId="2">
      <formula>L2="QA_FAIL"</formula>
    </cfRule>
  </conditionalFormatting>
  <hyperlinks>
    <hyperlink xmlns:r="http://schemas.openxmlformats.org/officeDocument/2006/relationships" ref="C2" r:id="rId1"/>
    <hyperlink xmlns:r="http://schemas.openxmlformats.org/officeDocument/2006/relationships" ref="C3" r:id="rId2"/>
    <hyperlink xmlns:r="http://schemas.openxmlformats.org/officeDocument/2006/relationships" ref="C4" r:id="rId3"/>
    <hyperlink xmlns:r="http://schemas.openxmlformats.org/officeDocument/2006/relationships" ref="C5" r:id="rId4"/>
    <hyperlink xmlns:r="http://schemas.openxmlformats.org/officeDocument/2006/relationships" ref="C6" r:id="rId5"/>
    <hyperlink xmlns:r="http://schemas.openxmlformats.org/officeDocument/2006/relationships" ref="C7" r:id="rId6"/>
    <hyperlink xmlns:r="http://schemas.openxmlformats.org/officeDocument/2006/relationships" ref="C8" r:id="rId7"/>
    <hyperlink xmlns:r="http://schemas.openxmlformats.org/officeDocument/2006/relationships" ref="C9" r:id="rId8"/>
    <hyperlink xmlns:r="http://schemas.openxmlformats.org/officeDocument/2006/relationships" ref="C10" r:id="rId9"/>
    <hyperlink xmlns:r="http://schemas.openxmlformats.org/officeDocument/2006/relationships" ref="C11" r:id="rId10"/>
  </hyperlinks>
  <printOptions horizontalCentered="0"/>
  <pageMargins left="0.25" right="0.25" top="0.5" bottom="0.5" header="0.5" footer="0.5"/>
  <pageSetup orientation="landscape" fitToHeight="0" fitToWidth="2"/>
</worksheet>
</file>

<file path=xl/worksheets/sheet3.xml><?xml version="1.0" encoding="utf-8"?>
<worksheet xmlns="http://schemas.openxmlformats.org/spreadsheetml/2006/main">
  <sheetPr>
    <outlinePr summaryBelow="1" summaryRight="1"/>
    <pageSetUpPr fitToPage="1"/>
  </sheetPr>
  <dimension ref="A1:J111"/>
  <sheetViews>
    <sheetView showGridLines="0" workbookViewId="0">
      <pane ySplit="1" topLeftCell="A2" activePane="bottomLeft" state="frozen"/>
      <selection pane="bottomLeft" activeCell="A1" sqref="A1"/>
    </sheetView>
  </sheetViews>
  <sheetFormatPr baseColWidth="8" defaultRowHeight="15"/>
  <cols>
    <col width="42" customWidth="1" min="1" max="1"/>
    <col width="20" customWidth="1" min="2" max="2"/>
    <col width="11" customWidth="1" min="3" max="3"/>
    <col width="12" customWidth="1" min="4" max="4"/>
    <col width="24" customWidth="1" min="5" max="5"/>
    <col width="23" customWidth="1" min="6" max="6"/>
    <col width="24" customWidth="1" min="7" max="7"/>
    <col width="42" customWidth="1" min="8" max="8"/>
    <col width="42" customWidth="1" min="9" max="9"/>
    <col width="42" customWidth="1" min="10" max="10"/>
  </cols>
  <sheetData>
    <row r="1" ht="32" customHeight="1">
      <c r="A1" s="1" t="inlineStr">
        <is>
          <t>product_key</t>
        </is>
      </c>
      <c r="B1" s="1" t="inlineStr">
        <is>
          <t>criterion_id</t>
        </is>
      </c>
      <c r="C1" s="1" t="inlineStr">
        <is>
          <t>weight</t>
        </is>
      </c>
      <c r="D1" s="1" t="inlineStr">
        <is>
          <t>assessment</t>
        </is>
      </c>
      <c r="E1" s="1" t="inlineStr">
        <is>
          <t>rating</t>
        </is>
      </c>
      <c r="F1" s="1" t="inlineStr">
        <is>
          <t>earned_points</t>
        </is>
      </c>
      <c r="G1" s="1" t="inlineStr">
        <is>
          <t>assessed_weight</t>
        </is>
      </c>
      <c r="H1" s="1" t="inlineStr">
        <is>
          <t>reason</t>
        </is>
      </c>
      <c r="I1" s="1" t="inlineStr">
        <is>
          <t>evidence_refs</t>
        </is>
      </c>
      <c r="J1" s="1" t="inlineStr">
        <is>
          <t>issue_refs</t>
        </is>
      </c>
    </row>
    <row r="2" ht="42" customHeight="1">
      <c r="A2" s="2" t="inlineStr">
        <is>
          <t>jeminise.com+personalized-baseball-bedding-full-size-flag-custom-name-d-design-06</t>
        </is>
      </c>
      <c r="B2" s="2" t="inlineStr">
        <is>
          <t>P1</t>
        </is>
      </c>
      <c r="C2" s="2" t="n">
        <v>15</v>
      </c>
      <c r="D2" s="2" t="inlineStr">
        <is>
          <t>FULL</t>
        </is>
      </c>
      <c r="E2" s="5">
        <f>IF(B2="I1",AVERAGEIF('QA_Images'!$A$2:$A$41,A2,'QA_Images'!$T$2:$T$41)/100,IF(D2="FULL",1,IF(D2="PARTIAL",0.5,IF(D2="FAIL",0,""))))</f>
        <v/>
      </c>
      <c r="F2" s="5">
        <f>IF(E2="",0,C2*E2)</f>
        <v/>
      </c>
      <c r="G2" s="5">
        <f>IF(B2="I1",20*AVERAGEIF('QA_Images'!$A$2:$A$41,A2,'QA_Images'!$U$2:$U$41)/100,IF(D2="NOT_CHECKED",0,C2))</f>
        <v/>
      </c>
      <c r="H2" s="2" t="inlineStr">
        <is>
          <t>Product identity, handle, product ID, URL and canonical match source/live evidence. Product key/handle/product ID/canonical checked against frozen workbook and live product evidence.</t>
        </is>
      </c>
      <c r="I2" s="2" t="inlineStr">
        <is>
          <t>evidence_batch_019_181</t>
        </is>
      </c>
      <c r="J2" s="2" t="inlineStr">
        <is>
          <t>ISSUE-0001; ISSUE-0002; ISSUE-0003; ISSUE-0004</t>
        </is>
      </c>
    </row>
    <row r="3" ht="42" customHeight="1">
      <c r="A3" s="3" t="inlineStr">
        <is>
          <t>jeminise.com+personalized-baseball-bedding-full-size-flag-custom-name-d-design-06</t>
        </is>
      </c>
      <c r="B3" s="3" t="inlineStr">
        <is>
          <t>P2</t>
        </is>
      </c>
      <c r="C3" s="3" t="n">
        <v>10</v>
      </c>
      <c r="D3" s="3" t="inlineStr">
        <is>
          <t>PARTIAL</t>
        </is>
      </c>
      <c r="E3" s="7">
        <f>IF(B3="I1",AVERAGEIF('QA_Images'!$A$2:$A$41,A3,'QA_Images'!$T$2:$T$41)/100,IF(D3="FULL",1,IF(D3="PARTIAL",0.5,IF(D3="FAIL",0,""))))</f>
        <v/>
      </c>
      <c r="F3" s="7">
        <f>IF(E3="",0,C3*E3)</f>
        <v/>
      </c>
      <c r="G3" s="7">
        <f>IF(B3="I1",20*AVERAGEIF('QA_Images'!$A$2:$A$41,A3,'QA_Images'!$U$2:$U$41)/100,IF(D3="NOT_CHECKED",0,C3))</f>
        <v/>
      </c>
      <c r="H3" s="3" t="inlineStr">
        <is>
          <t>Source product facts, variants, specifications and personalization claims are evidence-backed. Personalization/specification claims checked against storefront product.js and static customizer config.</t>
        </is>
      </c>
      <c r="I3" s="3" t="inlineStr">
        <is>
          <t>evidence_batch_019_181</t>
        </is>
      </c>
      <c r="J3" s="3" t="inlineStr">
        <is>
          <t>ISSUE-0001; ISSUE-0002; ISSUE-0003; ISSUE-0004</t>
        </is>
      </c>
    </row>
    <row r="4" ht="42" customHeight="1">
      <c r="A4" s="2" t="inlineStr">
        <is>
          <t>jeminise.com+personalized-baseball-bedding-full-size-flag-custom-name-d-design-06</t>
        </is>
      </c>
      <c r="B4" s="2" t="inlineStr">
        <is>
          <t>K1</t>
        </is>
      </c>
      <c r="C4" s="2" t="n">
        <v>10</v>
      </c>
      <c r="D4" s="2" t="inlineStr">
        <is>
          <t>PARTIAL</t>
        </is>
      </c>
      <c r="E4" s="5">
        <f>IF(B4="I1",AVERAGEIF('QA_Images'!$A$2:$A$41,A4,'QA_Images'!$T$2:$T$41)/100,IF(D4="FULL",1,IF(D4="PARTIAL",0.5,IF(D4="FAIL",0,""))))</f>
        <v/>
      </c>
      <c r="F4" s="5">
        <f>IF(E4="",0,C4*E4)</f>
        <v/>
      </c>
      <c r="G4" s="5">
        <f>IF(B4="I1",20*AVERAGEIF('QA_Images'!$A$2:$A$41,A4,'QA_Images'!$U$2:$U$41)/100,IF(D4="NOT_CHECKED",0,C4))</f>
        <v/>
      </c>
      <c r="H4" s="2" t="inlineStr">
        <is>
          <t>Primary keyword aligns with product-level US purchase intent. Primary keyword rechecked against US product-level SERP comparables.</t>
        </is>
      </c>
      <c r="I4" s="2" t="inlineStr">
        <is>
          <t>evidence_batch_019_181</t>
        </is>
      </c>
      <c r="J4" s="2" t="inlineStr">
        <is>
          <t>ISSUE-0001; ISSUE-0002; ISSUE-0003; ISSUE-0004</t>
        </is>
      </c>
    </row>
    <row r="5" ht="42" customHeight="1">
      <c r="A5" s="3" t="inlineStr">
        <is>
          <t>jeminise.com+personalized-baseball-bedding-full-size-flag-custom-name-d-design-06</t>
        </is>
      </c>
      <c r="B5" s="3" t="inlineStr">
        <is>
          <t>K2</t>
        </is>
      </c>
      <c r="C5" s="3" t="n">
        <v>5</v>
      </c>
      <c r="D5" s="3" t="inlineStr">
        <is>
          <t>PARTIAL</t>
        </is>
      </c>
      <c r="E5" s="7">
        <f>IF(B5="I1",AVERAGEIF('QA_Images'!$A$2:$A$41,A5,'QA_Images'!$T$2:$T$41)/100,IF(D5="FULL",1,IF(D5="PARTIAL",0.5,IF(D5="FAIL",0,""))))</f>
        <v/>
      </c>
      <c r="F5" s="7">
        <f>IF(E5="",0,C5*E5)</f>
        <v/>
      </c>
      <c r="G5" s="7">
        <f>IF(B5="I1",20*AVERAGEIF('QA_Images'!$A$2:$A$41,A5,'QA_Images'!$U$2:$U$41)/100,IF(D5="NOT_CHECKED",0,C5))</f>
        <v/>
      </c>
      <c r="H5" s="3" t="inlineStr">
        <is>
          <t>Intent/cannibalization check distinguishes nearby products. Nearby product cluster has overlap risk, so intent distinction remains only partial.</t>
        </is>
      </c>
      <c r="I5" s="3" t="inlineStr">
        <is>
          <t>evidence_batch_019_181</t>
        </is>
      </c>
      <c r="J5" s="3" t="inlineStr">
        <is>
          <t>ISSUE-0001; ISSUE-0002; ISSUE-0003; ISSUE-0004</t>
        </is>
      </c>
    </row>
    <row r="6" ht="42" customHeight="1">
      <c r="A6" s="2" t="inlineStr">
        <is>
          <t>jeminise.com+personalized-baseball-bedding-full-size-flag-custom-name-d-design-06</t>
        </is>
      </c>
      <c r="B6" s="2" t="inlineStr">
        <is>
          <t>K3</t>
        </is>
      </c>
      <c r="C6" s="2" t="n">
        <v>5</v>
      </c>
      <c r="D6" s="2" t="inlineStr">
        <is>
          <t>PARTIAL</t>
        </is>
      </c>
      <c r="E6" s="5">
        <f>IF(B6="I1",AVERAGEIF('QA_Images'!$A$2:$A$41,A6,'QA_Images'!$T$2:$T$41)/100,IF(D6="FULL",1,IF(D6="PARTIAL",0.5,IF(D6="FAIL",0,""))))</f>
        <v/>
      </c>
      <c r="F6" s="5">
        <f>IF(E6="",0,C6*E6)</f>
        <v/>
      </c>
      <c r="G6" s="5">
        <f>IF(B6="I1",20*AVERAGEIF('QA_Images'!$A$2:$A$41,A6,'QA_Images'!$U$2:$U$41)/100,IF(D6="NOT_CHECKED",0,C6))</f>
        <v/>
      </c>
      <c r="H6" s="2" t="inlineStr">
        <is>
          <t>Keyword evidence is supported by SERP comparables without unsupported volume claims. Evidence is public SERP only; no Search Console, keyword volume or customer-search corpus provided.</t>
        </is>
      </c>
      <c r="I6" s="2" t="inlineStr">
        <is>
          <t>evidence_batch_019_181</t>
        </is>
      </c>
      <c r="J6" s="2" t="inlineStr">
        <is>
          <t>ISSUE-0001; ISSUE-0002; ISSUE-0003; ISSUE-0004</t>
        </is>
      </c>
    </row>
    <row r="7" ht="42" customHeight="1">
      <c r="A7" s="3" t="inlineStr">
        <is>
          <t>jeminise.com+personalized-baseball-bedding-full-size-flag-custom-name-d-design-06</t>
        </is>
      </c>
      <c r="B7" s="3" t="inlineStr">
        <is>
          <t>T1</t>
        </is>
      </c>
      <c r="C7" s="3" t="n">
        <v>10</v>
      </c>
      <c r="D7" s="3" t="inlineStr">
        <is>
          <t>PARTIAL</t>
        </is>
      </c>
      <c r="E7" s="7">
        <f>IF(B7="I1",AVERAGEIF('QA_Images'!$A$2:$A$41,A7,'QA_Images'!$T$2:$T$41)/100,IF(D7="FULL",1,IF(D7="PARTIAL",0.5,IF(D7="FAIL",0,""))))</f>
        <v/>
      </c>
      <c r="F7" s="7">
        <f>IF(E7="",0,C7*E7)</f>
        <v/>
      </c>
      <c r="G7" s="7">
        <f>IF(B7="I1",20*AVERAGEIF('QA_Images'!$A$2:$A$41,A7,'QA_Images'!$U$2:$U$41)/100,IF(D7="NOT_CHECKED",0,C7))</f>
        <v/>
      </c>
      <c r="H7" s="3" t="inlineStr">
        <is>
          <t>SEO title and H1 are relevant, specific and grounded in visible/source facts. Proposed H1 is blank, so the title/H1 pair cannot be fully verified.</t>
        </is>
      </c>
      <c r="I7" s="3" t="inlineStr">
        <is>
          <t>evidence_batch_019_181</t>
        </is>
      </c>
      <c r="J7" s="3" t="inlineStr">
        <is>
          <t>ISSUE-0001; ISSUE-0002; ISSUE-0003; ISSUE-0004</t>
        </is>
      </c>
    </row>
    <row r="8" ht="42" customHeight="1">
      <c r="A8" s="2" t="inlineStr">
        <is>
          <t>jeminise.com+personalized-baseball-bedding-full-size-flag-custom-name-d-design-06</t>
        </is>
      </c>
      <c r="B8" s="2" t="inlineStr">
        <is>
          <t>T2</t>
        </is>
      </c>
      <c r="C8" s="2" t="n">
        <v>5</v>
      </c>
      <c r="D8" s="2" t="inlineStr">
        <is>
          <t>PARTIAL</t>
        </is>
      </c>
      <c r="E8" s="5">
        <f>IF(B8="I1",AVERAGEIF('QA_Images'!$A$2:$A$41,A8,'QA_Images'!$T$2:$T$41)/100,IF(D8="FULL",1,IF(D8="PARTIAL",0.5,IF(D8="FAIL",0,""))))</f>
        <v/>
      </c>
      <c r="F8" s="5">
        <f>IF(E8="",0,C8*E8)</f>
        <v/>
      </c>
      <c r="G8" s="5">
        <f>IF(B8="I1",20*AVERAGEIF('QA_Images'!$A$2:$A$41,A8,'QA_Images'!$U$2:$U$41)/100,IF(D8="NOT_CHECKED",0,C8))</f>
        <v/>
      </c>
      <c r="H8" s="2" t="inlineStr">
        <is>
          <t>Meta description is concise, publish-ready and avoids unsupported claims. Meta description checked for length, specificity and supportable claims.</t>
        </is>
      </c>
      <c r="I8" s="2" t="inlineStr">
        <is>
          <t>evidence_batch_019_181</t>
        </is>
      </c>
      <c r="J8" s="2" t="inlineStr">
        <is>
          <t>ISSUE-0001; ISSUE-0002; ISSUE-0003; ISSUE-0004</t>
        </is>
      </c>
    </row>
    <row r="9" ht="42" customHeight="1">
      <c r="A9" s="3" t="inlineStr">
        <is>
          <t>jeminise.com+personalized-baseball-bedding-full-size-flag-custom-name-d-design-06</t>
        </is>
      </c>
      <c r="B9" s="3" t="inlineStr">
        <is>
          <t>D1</t>
        </is>
      </c>
      <c r="C9" s="3" t="n">
        <v>10</v>
      </c>
      <c r="D9" s="3" t="inlineStr">
        <is>
          <t>FAIL</t>
        </is>
      </c>
      <c r="E9" s="7">
        <f>IF(B9="I1",AVERAGEIF('QA_Images'!$A$2:$A$41,A9,'QA_Images'!$T$2:$T$41)/100,IF(D9="FULL",1,IF(D9="PARTIAL",0.5,IF(D9="FAIL",0,""))))</f>
        <v/>
      </c>
      <c r="F9" s="7">
        <f>IF(E9="",0,C9*E9)</f>
        <v/>
      </c>
      <c r="G9" s="7">
        <f>IF(B9="I1",20*AVERAGEIF('QA_Images'!$A$2:$A$41,A9,'QA_Images'!$U$2:$U$41)/100,IF(D9="NOT_CHECKED",0,C9))</f>
        <v/>
      </c>
      <c r="H9" s="3" t="inlineStr">
        <is>
          <t>Description HTML is publish-ready and free of internal draft/QA instructions. Description HTML still contains internal QA/import language.</t>
        </is>
      </c>
      <c r="I9" s="3" t="inlineStr">
        <is>
          <t>evidence_batch_019_181</t>
        </is>
      </c>
      <c r="J9" s="3" t="inlineStr">
        <is>
          <t>ISSUE-0001; ISSUE-0002; ISSUE-0003; ISSUE-0004</t>
        </is>
      </c>
    </row>
    <row r="10" ht="42" customHeight="1">
      <c r="A10" s="2" t="inlineStr">
        <is>
          <t>jeminise.com+personalized-baseball-bedding-full-size-flag-custom-name-d-design-06</t>
        </is>
      </c>
      <c r="B10" s="2" t="inlineStr">
        <is>
          <t>D2</t>
        </is>
      </c>
      <c r="C10" s="2" t="n">
        <v>5</v>
      </c>
      <c r="D10" s="2" t="inlineStr">
        <is>
          <t>PARTIAL</t>
        </is>
      </c>
      <c r="E10" s="5">
        <f>IF(B10="I1",AVERAGEIF('QA_Images'!$A$2:$A$41,A10,'QA_Images'!$T$2:$T$41)/100,IF(D10="FULL",1,IF(D10="PARTIAL",0.5,IF(D10="FAIL",0,""))))</f>
        <v/>
      </c>
      <c r="F10" s="5">
        <f>IF(E10="",0,C10*E10)</f>
        <v/>
      </c>
      <c r="G10" s="5">
        <f>IF(B10="I1",20*AVERAGEIF('QA_Images'!$A$2:$A$41,A10,'QA_Images'!$U$2:$U$41)/100,IF(D10="NOT_CHECKED",0,C10))</f>
        <v/>
      </c>
      <c r="H10" s="2" t="inlineStr">
        <is>
          <t>Description content covers verified design, product type, use case and constraints. Description covers motif/product type but remains templated and does not always map every verified constraint.</t>
        </is>
      </c>
      <c r="I10" s="2" t="inlineStr">
        <is>
          <t>evidence_batch_019_181</t>
        </is>
      </c>
      <c r="J10" s="2" t="inlineStr">
        <is>
          <t>ISSUE-0001; ISSUE-0002; ISSUE-0003; ISSUE-0004</t>
        </is>
      </c>
    </row>
    <row r="11" ht="42" customHeight="1">
      <c r="A11" s="3" t="inlineStr">
        <is>
          <t>jeminise.com+personalized-baseball-bedding-full-size-flag-custom-name-d-design-06</t>
        </is>
      </c>
      <c r="B11" s="3" t="inlineStr">
        <is>
          <t>I1</t>
        </is>
      </c>
      <c r="C11" s="3" t="n">
        <v>20</v>
      </c>
      <c r="D11" s="3" t="inlineStr">
        <is>
          <t>FULL</t>
        </is>
      </c>
      <c r="E11" s="7">
        <f>IF(B11="I1",AVERAGEIF('QA_Images'!$A$2:$A$41,A11,'QA_Images'!$T$2:$T$41)/100,IF(D11="FULL",1,IF(D11="PARTIAL",0.5,IF(D11="FAIL",0,""))))</f>
        <v/>
      </c>
      <c r="F11" s="7">
        <f>IF(E11="",0,C11*E11)</f>
        <v/>
      </c>
      <c r="G11" s="7">
        <f>IF(B11="I1",20*AVERAGEIF('QA_Images'!$A$2:$A$41,A11,'QA_Images'!$U$2:$U$41)/100,IF(D11="NOT_CHECKED",0,C11))</f>
        <v/>
      </c>
      <c r="H11" s="3" t="inlineStr">
        <is>
          <t>Image coverage, image observations and alt text quality, derived from QA_Images. Derived from average image QA score; see QA_Images.</t>
        </is>
      </c>
      <c r="I11" s="3" t="inlineStr">
        <is>
          <t>evidence_batch_019_181</t>
        </is>
      </c>
      <c r="J11" s="3" t="inlineStr">
        <is>
          <t>ISSUE-0001; ISSUE-0002; ISSUE-0003; ISSUE-0004</t>
        </is>
      </c>
    </row>
    <row r="12" ht="42" customHeight="1">
      <c r="A12" s="2" t="inlineStr">
        <is>
          <t>jeminise.com+personalized-baseball-bedding-full-size-flag-custom-name-d-design-06</t>
        </is>
      </c>
      <c r="B12" s="2" t="inlineStr">
        <is>
          <t>E1</t>
        </is>
      </c>
      <c r="C12" s="2" t="n">
        <v>5</v>
      </c>
      <c r="D12" s="2" t="inlineStr">
        <is>
          <t>PARTIAL</t>
        </is>
      </c>
      <c r="E12" s="5">
        <f>IF(B12="I1",AVERAGEIF('QA_Images'!$A$2:$A$41,A12,'QA_Images'!$T$2:$T$41)/100,IF(D12="FULL",1,IF(D12="PARTIAL",0.5,IF(D12="FAIL",0,""))))</f>
        <v/>
      </c>
      <c r="F12" s="5">
        <f>IF(E12="",0,C12*E12)</f>
        <v/>
      </c>
      <c r="G12" s="5">
        <f>IF(B12="I1",20*AVERAGEIF('QA_Images'!$A$2:$A$41,A12,'QA_Images'!$U$2:$U$41)/100,IF(D12="NOT_CHECKED",0,C12))</f>
        <v/>
      </c>
      <c r="H12" s="2" t="inlineStr">
        <is>
          <t>Evidence chain is traceable and limitations are explicitly separated from failures. Evidence chain is traceable, with admin-export limitation explicitly separated.</t>
        </is>
      </c>
      <c r="I12" s="2" t="inlineStr">
        <is>
          <t>evidence_batch_019_181</t>
        </is>
      </c>
      <c r="J12" s="2" t="inlineStr">
        <is>
          <t>ISSUE-0001; ISSUE-0002; ISSUE-0003; ISSUE-0004</t>
        </is>
      </c>
    </row>
    <row r="13" ht="42" customHeight="1">
      <c r="A13" s="3" t="inlineStr">
        <is>
          <t>jeminise.com+personalized-baseball-bedding-full-size-flag-custom-name-d-design-07</t>
        </is>
      </c>
      <c r="B13" s="3" t="inlineStr">
        <is>
          <t>P1</t>
        </is>
      </c>
      <c r="C13" s="3" t="n">
        <v>15</v>
      </c>
      <c r="D13" s="3" t="inlineStr">
        <is>
          <t>FULL</t>
        </is>
      </c>
      <c r="E13" s="7">
        <f>IF(B13="I1",AVERAGEIF('QA_Images'!$A$2:$A$41,A13,'QA_Images'!$T$2:$T$41)/100,IF(D13="FULL",1,IF(D13="PARTIAL",0.5,IF(D13="FAIL",0,""))))</f>
        <v/>
      </c>
      <c r="F13" s="7">
        <f>IF(E13="",0,C13*E13)</f>
        <v/>
      </c>
      <c r="G13" s="7">
        <f>IF(B13="I1",20*AVERAGEIF('QA_Images'!$A$2:$A$41,A13,'QA_Images'!$U$2:$U$41)/100,IF(D13="NOT_CHECKED",0,C13))</f>
        <v/>
      </c>
      <c r="H13" s="3" t="inlineStr">
        <is>
          <t>Product identity, handle, product ID, URL and canonical match source/live evidence. Product key/handle/product ID/canonical checked against frozen workbook and live product evidence.</t>
        </is>
      </c>
      <c r="I13" s="3" t="inlineStr">
        <is>
          <t>evidence_batch_019_182</t>
        </is>
      </c>
      <c r="J13" s="3" t="inlineStr">
        <is>
          <t>ISSUE-0008; ISSUE-0009; ISSUE-0010; ISSUE-0011</t>
        </is>
      </c>
    </row>
    <row r="14" ht="42" customHeight="1">
      <c r="A14" s="2" t="inlineStr">
        <is>
          <t>jeminise.com+personalized-baseball-bedding-full-size-flag-custom-name-d-design-07</t>
        </is>
      </c>
      <c r="B14" s="2" t="inlineStr">
        <is>
          <t>P2</t>
        </is>
      </c>
      <c r="C14" s="2" t="n">
        <v>10</v>
      </c>
      <c r="D14" s="2" t="inlineStr">
        <is>
          <t>PARTIAL</t>
        </is>
      </c>
      <c r="E14" s="5">
        <f>IF(B14="I1",AVERAGEIF('QA_Images'!$A$2:$A$41,A14,'QA_Images'!$T$2:$T$41)/100,IF(D14="FULL",1,IF(D14="PARTIAL",0.5,IF(D14="FAIL",0,""))))</f>
        <v/>
      </c>
      <c r="F14" s="5">
        <f>IF(E14="",0,C14*E14)</f>
        <v/>
      </c>
      <c r="G14" s="5">
        <f>IF(B14="I1",20*AVERAGEIF('QA_Images'!$A$2:$A$41,A14,'QA_Images'!$U$2:$U$41)/100,IF(D14="NOT_CHECKED",0,C14))</f>
        <v/>
      </c>
      <c r="H14" s="2" t="inlineStr">
        <is>
          <t>Source product facts, variants, specifications and personalization claims are evidence-backed. Personalization/specification claims checked against storefront product.js and static customizer config.</t>
        </is>
      </c>
      <c r="I14" s="2" t="inlineStr">
        <is>
          <t>evidence_batch_019_182</t>
        </is>
      </c>
      <c r="J14" s="2" t="inlineStr">
        <is>
          <t>ISSUE-0008; ISSUE-0009; ISSUE-0010; ISSUE-0011</t>
        </is>
      </c>
    </row>
    <row r="15" ht="42" customHeight="1">
      <c r="A15" s="3" t="inlineStr">
        <is>
          <t>jeminise.com+personalized-baseball-bedding-full-size-flag-custom-name-d-design-07</t>
        </is>
      </c>
      <c r="B15" s="3" t="inlineStr">
        <is>
          <t>K1</t>
        </is>
      </c>
      <c r="C15" s="3" t="n">
        <v>10</v>
      </c>
      <c r="D15" s="3" t="inlineStr">
        <is>
          <t>PARTIAL</t>
        </is>
      </c>
      <c r="E15" s="7">
        <f>IF(B15="I1",AVERAGEIF('QA_Images'!$A$2:$A$41,A15,'QA_Images'!$T$2:$T$41)/100,IF(D15="FULL",1,IF(D15="PARTIAL",0.5,IF(D15="FAIL",0,""))))</f>
        <v/>
      </c>
      <c r="F15" s="7">
        <f>IF(E15="",0,C15*E15)</f>
        <v/>
      </c>
      <c r="G15" s="7">
        <f>IF(B15="I1",20*AVERAGEIF('QA_Images'!$A$2:$A$41,A15,'QA_Images'!$U$2:$U$41)/100,IF(D15="NOT_CHECKED",0,C15))</f>
        <v/>
      </c>
      <c r="H15" s="3" t="inlineStr">
        <is>
          <t>Primary keyword aligns with product-level US purchase intent. Primary keyword rechecked against US product-level SERP comparables.</t>
        </is>
      </c>
      <c r="I15" s="3" t="inlineStr">
        <is>
          <t>evidence_batch_019_182</t>
        </is>
      </c>
      <c r="J15" s="3" t="inlineStr">
        <is>
          <t>ISSUE-0008; ISSUE-0009; ISSUE-0010; ISSUE-0011</t>
        </is>
      </c>
    </row>
    <row r="16" ht="42" customHeight="1">
      <c r="A16" s="2" t="inlineStr">
        <is>
          <t>jeminise.com+personalized-baseball-bedding-full-size-flag-custom-name-d-design-07</t>
        </is>
      </c>
      <c r="B16" s="2" t="inlineStr">
        <is>
          <t>K2</t>
        </is>
      </c>
      <c r="C16" s="2" t="n">
        <v>5</v>
      </c>
      <c r="D16" s="2" t="inlineStr">
        <is>
          <t>PARTIAL</t>
        </is>
      </c>
      <c r="E16" s="5">
        <f>IF(B16="I1",AVERAGEIF('QA_Images'!$A$2:$A$41,A16,'QA_Images'!$T$2:$T$41)/100,IF(D16="FULL",1,IF(D16="PARTIAL",0.5,IF(D16="FAIL",0,""))))</f>
        <v/>
      </c>
      <c r="F16" s="5">
        <f>IF(E16="",0,C16*E16)</f>
        <v/>
      </c>
      <c r="G16" s="5">
        <f>IF(B16="I1",20*AVERAGEIF('QA_Images'!$A$2:$A$41,A16,'QA_Images'!$U$2:$U$41)/100,IF(D16="NOT_CHECKED",0,C16))</f>
        <v/>
      </c>
      <c r="H16" s="2" t="inlineStr">
        <is>
          <t>Intent/cannibalization check distinguishes nearby products. Nearby product cluster has overlap risk, so intent distinction remains only partial.</t>
        </is>
      </c>
      <c r="I16" s="2" t="inlineStr">
        <is>
          <t>evidence_batch_019_182</t>
        </is>
      </c>
      <c r="J16" s="2" t="inlineStr">
        <is>
          <t>ISSUE-0008; ISSUE-0009; ISSUE-0010; ISSUE-0011</t>
        </is>
      </c>
    </row>
    <row r="17" ht="42" customHeight="1">
      <c r="A17" s="3" t="inlineStr">
        <is>
          <t>jeminise.com+personalized-baseball-bedding-full-size-flag-custom-name-d-design-07</t>
        </is>
      </c>
      <c r="B17" s="3" t="inlineStr">
        <is>
          <t>K3</t>
        </is>
      </c>
      <c r="C17" s="3" t="n">
        <v>5</v>
      </c>
      <c r="D17" s="3" t="inlineStr">
        <is>
          <t>PARTIAL</t>
        </is>
      </c>
      <c r="E17" s="7">
        <f>IF(B17="I1",AVERAGEIF('QA_Images'!$A$2:$A$41,A17,'QA_Images'!$T$2:$T$41)/100,IF(D17="FULL",1,IF(D17="PARTIAL",0.5,IF(D17="FAIL",0,""))))</f>
        <v/>
      </c>
      <c r="F17" s="7">
        <f>IF(E17="",0,C17*E17)</f>
        <v/>
      </c>
      <c r="G17" s="7">
        <f>IF(B17="I1",20*AVERAGEIF('QA_Images'!$A$2:$A$41,A17,'QA_Images'!$U$2:$U$41)/100,IF(D17="NOT_CHECKED",0,C17))</f>
        <v/>
      </c>
      <c r="H17" s="3" t="inlineStr">
        <is>
          <t>Keyword evidence is supported by SERP comparables without unsupported volume claims. Evidence is public SERP only; no Search Console, keyword volume or customer-search corpus provided.</t>
        </is>
      </c>
      <c r="I17" s="3" t="inlineStr">
        <is>
          <t>evidence_batch_019_182</t>
        </is>
      </c>
      <c r="J17" s="3" t="inlineStr">
        <is>
          <t>ISSUE-0008; ISSUE-0009; ISSUE-0010; ISSUE-0011</t>
        </is>
      </c>
    </row>
    <row r="18" ht="42" customHeight="1">
      <c r="A18" s="2" t="inlineStr">
        <is>
          <t>jeminise.com+personalized-baseball-bedding-full-size-flag-custom-name-d-design-07</t>
        </is>
      </c>
      <c r="B18" s="2" t="inlineStr">
        <is>
          <t>T1</t>
        </is>
      </c>
      <c r="C18" s="2" t="n">
        <v>10</v>
      </c>
      <c r="D18" s="2" t="inlineStr">
        <is>
          <t>PARTIAL</t>
        </is>
      </c>
      <c r="E18" s="5">
        <f>IF(B18="I1",AVERAGEIF('QA_Images'!$A$2:$A$41,A18,'QA_Images'!$T$2:$T$41)/100,IF(D18="FULL",1,IF(D18="PARTIAL",0.5,IF(D18="FAIL",0,""))))</f>
        <v/>
      </c>
      <c r="F18" s="5">
        <f>IF(E18="",0,C18*E18)</f>
        <v/>
      </c>
      <c r="G18" s="5">
        <f>IF(B18="I1",20*AVERAGEIF('QA_Images'!$A$2:$A$41,A18,'QA_Images'!$U$2:$U$41)/100,IF(D18="NOT_CHECKED",0,C18))</f>
        <v/>
      </c>
      <c r="H18" s="2" t="inlineStr">
        <is>
          <t>SEO title and H1 are relevant, specific and grounded in visible/source facts. Proposed H1 is blank, so the title/H1 pair cannot be fully verified.</t>
        </is>
      </c>
      <c r="I18" s="2" t="inlineStr">
        <is>
          <t>evidence_batch_019_182</t>
        </is>
      </c>
      <c r="J18" s="2" t="inlineStr">
        <is>
          <t>ISSUE-0008; ISSUE-0009; ISSUE-0010; ISSUE-0011</t>
        </is>
      </c>
    </row>
    <row r="19" ht="42" customHeight="1">
      <c r="A19" s="3" t="inlineStr">
        <is>
          <t>jeminise.com+personalized-baseball-bedding-full-size-flag-custom-name-d-design-07</t>
        </is>
      </c>
      <c r="B19" s="3" t="inlineStr">
        <is>
          <t>T2</t>
        </is>
      </c>
      <c r="C19" s="3" t="n">
        <v>5</v>
      </c>
      <c r="D19" s="3" t="inlineStr">
        <is>
          <t>PARTIAL</t>
        </is>
      </c>
      <c r="E19" s="7">
        <f>IF(B19="I1",AVERAGEIF('QA_Images'!$A$2:$A$41,A19,'QA_Images'!$T$2:$T$41)/100,IF(D19="FULL",1,IF(D19="PARTIAL",0.5,IF(D19="FAIL",0,""))))</f>
        <v/>
      </c>
      <c r="F19" s="7">
        <f>IF(E19="",0,C19*E19)</f>
        <v/>
      </c>
      <c r="G19" s="7">
        <f>IF(B19="I1",20*AVERAGEIF('QA_Images'!$A$2:$A$41,A19,'QA_Images'!$U$2:$U$41)/100,IF(D19="NOT_CHECKED",0,C19))</f>
        <v/>
      </c>
      <c r="H19" s="3" t="inlineStr">
        <is>
          <t>Meta description is concise, publish-ready and avoids unsupported claims. Meta description checked for length, specificity and supportable claims.</t>
        </is>
      </c>
      <c r="I19" s="3" t="inlineStr">
        <is>
          <t>evidence_batch_019_182</t>
        </is>
      </c>
      <c r="J19" s="3" t="inlineStr">
        <is>
          <t>ISSUE-0008; ISSUE-0009; ISSUE-0010; ISSUE-0011</t>
        </is>
      </c>
    </row>
    <row r="20" ht="42" customHeight="1">
      <c r="A20" s="2" t="inlineStr">
        <is>
          <t>jeminise.com+personalized-baseball-bedding-full-size-flag-custom-name-d-design-07</t>
        </is>
      </c>
      <c r="B20" s="2" t="inlineStr">
        <is>
          <t>D1</t>
        </is>
      </c>
      <c r="C20" s="2" t="n">
        <v>10</v>
      </c>
      <c r="D20" s="2" t="inlineStr">
        <is>
          <t>FAIL</t>
        </is>
      </c>
      <c r="E20" s="5">
        <f>IF(B20="I1",AVERAGEIF('QA_Images'!$A$2:$A$41,A20,'QA_Images'!$T$2:$T$41)/100,IF(D20="FULL",1,IF(D20="PARTIAL",0.5,IF(D20="FAIL",0,""))))</f>
        <v/>
      </c>
      <c r="F20" s="5">
        <f>IF(E20="",0,C20*E20)</f>
        <v/>
      </c>
      <c r="G20" s="5">
        <f>IF(B20="I1",20*AVERAGEIF('QA_Images'!$A$2:$A$41,A20,'QA_Images'!$U$2:$U$41)/100,IF(D20="NOT_CHECKED",0,C20))</f>
        <v/>
      </c>
      <c r="H20" s="2" t="inlineStr">
        <is>
          <t>Description HTML is publish-ready and free of internal draft/QA instructions. Description HTML still contains internal QA/import language.</t>
        </is>
      </c>
      <c r="I20" s="2" t="inlineStr">
        <is>
          <t>evidence_batch_019_182</t>
        </is>
      </c>
      <c r="J20" s="2" t="inlineStr">
        <is>
          <t>ISSUE-0008; ISSUE-0009; ISSUE-0010; ISSUE-0011</t>
        </is>
      </c>
    </row>
    <row r="21" ht="42" customHeight="1">
      <c r="A21" s="3" t="inlineStr">
        <is>
          <t>jeminise.com+personalized-baseball-bedding-full-size-flag-custom-name-d-design-07</t>
        </is>
      </c>
      <c r="B21" s="3" t="inlineStr">
        <is>
          <t>D2</t>
        </is>
      </c>
      <c r="C21" s="3" t="n">
        <v>5</v>
      </c>
      <c r="D21" s="3" t="inlineStr">
        <is>
          <t>PARTIAL</t>
        </is>
      </c>
      <c r="E21" s="7">
        <f>IF(B21="I1",AVERAGEIF('QA_Images'!$A$2:$A$41,A21,'QA_Images'!$T$2:$T$41)/100,IF(D21="FULL",1,IF(D21="PARTIAL",0.5,IF(D21="FAIL",0,""))))</f>
        <v/>
      </c>
      <c r="F21" s="7">
        <f>IF(E21="",0,C21*E21)</f>
        <v/>
      </c>
      <c r="G21" s="7">
        <f>IF(B21="I1",20*AVERAGEIF('QA_Images'!$A$2:$A$41,A21,'QA_Images'!$U$2:$U$41)/100,IF(D21="NOT_CHECKED",0,C21))</f>
        <v/>
      </c>
      <c r="H21" s="3" t="inlineStr">
        <is>
          <t>Description content covers verified design, product type, use case and constraints. Description covers motif/product type but remains templated and does not always map every verified constraint.</t>
        </is>
      </c>
      <c r="I21" s="3" t="inlineStr">
        <is>
          <t>evidence_batch_019_182</t>
        </is>
      </c>
      <c r="J21" s="3" t="inlineStr">
        <is>
          <t>ISSUE-0008; ISSUE-0009; ISSUE-0010; ISSUE-0011</t>
        </is>
      </c>
    </row>
    <row r="22" ht="42" customHeight="1">
      <c r="A22" s="2" t="inlineStr">
        <is>
          <t>jeminise.com+personalized-baseball-bedding-full-size-flag-custom-name-d-design-07</t>
        </is>
      </c>
      <c r="B22" s="2" t="inlineStr">
        <is>
          <t>I1</t>
        </is>
      </c>
      <c r="C22" s="2" t="n">
        <v>20</v>
      </c>
      <c r="D22" s="2" t="inlineStr">
        <is>
          <t>FULL</t>
        </is>
      </c>
      <c r="E22" s="5">
        <f>IF(B22="I1",AVERAGEIF('QA_Images'!$A$2:$A$41,A22,'QA_Images'!$T$2:$T$41)/100,IF(D22="FULL",1,IF(D22="PARTIAL",0.5,IF(D22="FAIL",0,""))))</f>
        <v/>
      </c>
      <c r="F22" s="5">
        <f>IF(E22="",0,C22*E22)</f>
        <v/>
      </c>
      <c r="G22" s="5">
        <f>IF(B22="I1",20*AVERAGEIF('QA_Images'!$A$2:$A$41,A22,'QA_Images'!$U$2:$U$41)/100,IF(D22="NOT_CHECKED",0,C22))</f>
        <v/>
      </c>
      <c r="H22" s="2" t="inlineStr">
        <is>
          <t>Image coverage, image observations and alt text quality, derived from QA_Images. Derived from average image QA score; see QA_Images.</t>
        </is>
      </c>
      <c r="I22" s="2" t="inlineStr">
        <is>
          <t>evidence_batch_019_182</t>
        </is>
      </c>
      <c r="J22" s="2" t="inlineStr">
        <is>
          <t>ISSUE-0008; ISSUE-0009; ISSUE-0010; ISSUE-0011</t>
        </is>
      </c>
    </row>
    <row r="23" ht="42" customHeight="1">
      <c r="A23" s="3" t="inlineStr">
        <is>
          <t>jeminise.com+personalized-baseball-bedding-full-size-flag-custom-name-d-design-07</t>
        </is>
      </c>
      <c r="B23" s="3" t="inlineStr">
        <is>
          <t>E1</t>
        </is>
      </c>
      <c r="C23" s="3" t="n">
        <v>5</v>
      </c>
      <c r="D23" s="3" t="inlineStr">
        <is>
          <t>PARTIAL</t>
        </is>
      </c>
      <c r="E23" s="7">
        <f>IF(B23="I1",AVERAGEIF('QA_Images'!$A$2:$A$41,A23,'QA_Images'!$T$2:$T$41)/100,IF(D23="FULL",1,IF(D23="PARTIAL",0.5,IF(D23="FAIL",0,""))))</f>
        <v/>
      </c>
      <c r="F23" s="7">
        <f>IF(E23="",0,C23*E23)</f>
        <v/>
      </c>
      <c r="G23" s="7">
        <f>IF(B23="I1",20*AVERAGEIF('QA_Images'!$A$2:$A$41,A23,'QA_Images'!$U$2:$U$41)/100,IF(D23="NOT_CHECKED",0,C23))</f>
        <v/>
      </c>
      <c r="H23" s="3" t="inlineStr">
        <is>
          <t>Evidence chain is traceable and limitations are explicitly separated from failures. Evidence chain is traceable, with admin-export limitation explicitly separated.</t>
        </is>
      </c>
      <c r="I23" s="3" t="inlineStr">
        <is>
          <t>evidence_batch_019_182</t>
        </is>
      </c>
      <c r="J23" s="3" t="inlineStr">
        <is>
          <t>ISSUE-0008; ISSUE-0009; ISSUE-0010; ISSUE-0011</t>
        </is>
      </c>
    </row>
    <row r="24" ht="42" customHeight="1">
      <c r="A24" s="2" t="inlineStr">
        <is>
          <t>jeminise.com+personalized-baseball-bedding-full-size-flag-custom-name-d-design-08</t>
        </is>
      </c>
      <c r="B24" s="2" t="inlineStr">
        <is>
          <t>P1</t>
        </is>
      </c>
      <c r="C24" s="2" t="n">
        <v>15</v>
      </c>
      <c r="D24" s="2" t="inlineStr">
        <is>
          <t>FULL</t>
        </is>
      </c>
      <c r="E24" s="5">
        <f>IF(B24="I1",AVERAGEIF('QA_Images'!$A$2:$A$41,A24,'QA_Images'!$T$2:$T$41)/100,IF(D24="FULL",1,IF(D24="PARTIAL",0.5,IF(D24="FAIL",0,""))))</f>
        <v/>
      </c>
      <c r="F24" s="5">
        <f>IF(E24="",0,C24*E24)</f>
        <v/>
      </c>
      <c r="G24" s="5">
        <f>IF(B24="I1",20*AVERAGEIF('QA_Images'!$A$2:$A$41,A24,'QA_Images'!$U$2:$U$41)/100,IF(D24="NOT_CHECKED",0,C24))</f>
        <v/>
      </c>
      <c r="H24" s="2" t="inlineStr">
        <is>
          <t>Product identity, handle, product ID, URL and canonical match source/live evidence. Product key/handle/product ID/canonical checked against frozen workbook and live product evidence.</t>
        </is>
      </c>
      <c r="I24" s="2" t="inlineStr">
        <is>
          <t>evidence_batch_019_183</t>
        </is>
      </c>
      <c r="J24" s="2" t="inlineStr">
        <is>
          <t>ISSUE-0015; ISSUE-0016; ISSUE-0017; ISSUE-0018</t>
        </is>
      </c>
    </row>
    <row r="25" ht="42" customHeight="1">
      <c r="A25" s="3" t="inlineStr">
        <is>
          <t>jeminise.com+personalized-baseball-bedding-full-size-flag-custom-name-d-design-08</t>
        </is>
      </c>
      <c r="B25" s="3" t="inlineStr">
        <is>
          <t>P2</t>
        </is>
      </c>
      <c r="C25" s="3" t="n">
        <v>10</v>
      </c>
      <c r="D25" s="3" t="inlineStr">
        <is>
          <t>PARTIAL</t>
        </is>
      </c>
      <c r="E25" s="7">
        <f>IF(B25="I1",AVERAGEIF('QA_Images'!$A$2:$A$41,A25,'QA_Images'!$T$2:$T$41)/100,IF(D25="FULL",1,IF(D25="PARTIAL",0.5,IF(D25="FAIL",0,""))))</f>
        <v/>
      </c>
      <c r="F25" s="7">
        <f>IF(E25="",0,C25*E25)</f>
        <v/>
      </c>
      <c r="G25" s="7">
        <f>IF(B25="I1",20*AVERAGEIF('QA_Images'!$A$2:$A$41,A25,'QA_Images'!$U$2:$U$41)/100,IF(D25="NOT_CHECKED",0,C25))</f>
        <v/>
      </c>
      <c r="H25" s="3" t="inlineStr">
        <is>
          <t>Source product facts, variants, specifications and personalization claims are evidence-backed. Personalization/specification claims checked against storefront product.js and static customizer config.</t>
        </is>
      </c>
      <c r="I25" s="3" t="inlineStr">
        <is>
          <t>evidence_batch_019_183</t>
        </is>
      </c>
      <c r="J25" s="3" t="inlineStr">
        <is>
          <t>ISSUE-0015; ISSUE-0016; ISSUE-0017; ISSUE-0018</t>
        </is>
      </c>
    </row>
    <row r="26" ht="42" customHeight="1">
      <c r="A26" s="2" t="inlineStr">
        <is>
          <t>jeminise.com+personalized-baseball-bedding-full-size-flag-custom-name-d-design-08</t>
        </is>
      </c>
      <c r="B26" s="2" t="inlineStr">
        <is>
          <t>K1</t>
        </is>
      </c>
      <c r="C26" s="2" t="n">
        <v>10</v>
      </c>
      <c r="D26" s="2" t="inlineStr">
        <is>
          <t>PARTIAL</t>
        </is>
      </c>
      <c r="E26" s="5">
        <f>IF(B26="I1",AVERAGEIF('QA_Images'!$A$2:$A$41,A26,'QA_Images'!$T$2:$T$41)/100,IF(D26="FULL",1,IF(D26="PARTIAL",0.5,IF(D26="FAIL",0,""))))</f>
        <v/>
      </c>
      <c r="F26" s="5">
        <f>IF(E26="",0,C26*E26)</f>
        <v/>
      </c>
      <c r="G26" s="5">
        <f>IF(B26="I1",20*AVERAGEIF('QA_Images'!$A$2:$A$41,A26,'QA_Images'!$U$2:$U$41)/100,IF(D26="NOT_CHECKED",0,C26))</f>
        <v/>
      </c>
      <c r="H26" s="2" t="inlineStr">
        <is>
          <t>Primary keyword aligns with product-level US purchase intent. Primary keyword rechecked against US product-level SERP comparables.</t>
        </is>
      </c>
      <c r="I26" s="2" t="inlineStr">
        <is>
          <t>evidence_batch_019_183</t>
        </is>
      </c>
      <c r="J26" s="2" t="inlineStr">
        <is>
          <t>ISSUE-0015; ISSUE-0016; ISSUE-0017; ISSUE-0018</t>
        </is>
      </c>
    </row>
    <row r="27" ht="42" customHeight="1">
      <c r="A27" s="3" t="inlineStr">
        <is>
          <t>jeminise.com+personalized-baseball-bedding-full-size-flag-custom-name-d-design-08</t>
        </is>
      </c>
      <c r="B27" s="3" t="inlineStr">
        <is>
          <t>K2</t>
        </is>
      </c>
      <c r="C27" s="3" t="n">
        <v>5</v>
      </c>
      <c r="D27" s="3" t="inlineStr">
        <is>
          <t>PARTIAL</t>
        </is>
      </c>
      <c r="E27" s="7">
        <f>IF(B27="I1",AVERAGEIF('QA_Images'!$A$2:$A$41,A27,'QA_Images'!$T$2:$T$41)/100,IF(D27="FULL",1,IF(D27="PARTIAL",0.5,IF(D27="FAIL",0,""))))</f>
        <v/>
      </c>
      <c r="F27" s="7">
        <f>IF(E27="",0,C27*E27)</f>
        <v/>
      </c>
      <c r="G27" s="7">
        <f>IF(B27="I1",20*AVERAGEIF('QA_Images'!$A$2:$A$41,A27,'QA_Images'!$U$2:$U$41)/100,IF(D27="NOT_CHECKED",0,C27))</f>
        <v/>
      </c>
      <c r="H27" s="3" t="inlineStr">
        <is>
          <t>Intent/cannibalization check distinguishes nearby products. Nearby product cluster has overlap risk, so intent distinction remains only partial.</t>
        </is>
      </c>
      <c r="I27" s="3" t="inlineStr">
        <is>
          <t>evidence_batch_019_183</t>
        </is>
      </c>
      <c r="J27" s="3" t="inlineStr">
        <is>
          <t>ISSUE-0015; ISSUE-0016; ISSUE-0017; ISSUE-0018</t>
        </is>
      </c>
    </row>
    <row r="28" ht="42" customHeight="1">
      <c r="A28" s="2" t="inlineStr">
        <is>
          <t>jeminise.com+personalized-baseball-bedding-full-size-flag-custom-name-d-design-08</t>
        </is>
      </c>
      <c r="B28" s="2" t="inlineStr">
        <is>
          <t>K3</t>
        </is>
      </c>
      <c r="C28" s="2" t="n">
        <v>5</v>
      </c>
      <c r="D28" s="2" t="inlineStr">
        <is>
          <t>PARTIAL</t>
        </is>
      </c>
      <c r="E28" s="5">
        <f>IF(B28="I1",AVERAGEIF('QA_Images'!$A$2:$A$41,A28,'QA_Images'!$T$2:$T$41)/100,IF(D28="FULL",1,IF(D28="PARTIAL",0.5,IF(D28="FAIL",0,""))))</f>
        <v/>
      </c>
      <c r="F28" s="5">
        <f>IF(E28="",0,C28*E28)</f>
        <v/>
      </c>
      <c r="G28" s="5">
        <f>IF(B28="I1",20*AVERAGEIF('QA_Images'!$A$2:$A$41,A28,'QA_Images'!$U$2:$U$41)/100,IF(D28="NOT_CHECKED",0,C28))</f>
        <v/>
      </c>
      <c r="H28" s="2" t="inlineStr">
        <is>
          <t>Keyword evidence is supported by SERP comparables without unsupported volume claims. Evidence is public SERP only; no Search Console, keyword volume or customer-search corpus provided.</t>
        </is>
      </c>
      <c r="I28" s="2" t="inlineStr">
        <is>
          <t>evidence_batch_019_183</t>
        </is>
      </c>
      <c r="J28" s="2" t="inlineStr">
        <is>
          <t>ISSUE-0015; ISSUE-0016; ISSUE-0017; ISSUE-0018</t>
        </is>
      </c>
    </row>
    <row r="29" ht="42" customHeight="1">
      <c r="A29" s="3" t="inlineStr">
        <is>
          <t>jeminise.com+personalized-baseball-bedding-full-size-flag-custom-name-d-design-08</t>
        </is>
      </c>
      <c r="B29" s="3" t="inlineStr">
        <is>
          <t>T1</t>
        </is>
      </c>
      <c r="C29" s="3" t="n">
        <v>10</v>
      </c>
      <c r="D29" s="3" t="inlineStr">
        <is>
          <t>PARTIAL</t>
        </is>
      </c>
      <c r="E29" s="7">
        <f>IF(B29="I1",AVERAGEIF('QA_Images'!$A$2:$A$41,A29,'QA_Images'!$T$2:$T$41)/100,IF(D29="FULL",1,IF(D29="PARTIAL",0.5,IF(D29="FAIL",0,""))))</f>
        <v/>
      </c>
      <c r="F29" s="7">
        <f>IF(E29="",0,C29*E29)</f>
        <v/>
      </c>
      <c r="G29" s="7">
        <f>IF(B29="I1",20*AVERAGEIF('QA_Images'!$A$2:$A$41,A29,'QA_Images'!$U$2:$U$41)/100,IF(D29="NOT_CHECKED",0,C29))</f>
        <v/>
      </c>
      <c r="H29" s="3" t="inlineStr">
        <is>
          <t>SEO title and H1 are relevant, specific and grounded in visible/source facts. Proposed H1 is blank, so the title/H1 pair cannot be fully verified.</t>
        </is>
      </c>
      <c r="I29" s="3" t="inlineStr">
        <is>
          <t>evidence_batch_019_183</t>
        </is>
      </c>
      <c r="J29" s="3" t="inlineStr">
        <is>
          <t>ISSUE-0015; ISSUE-0016; ISSUE-0017; ISSUE-0018</t>
        </is>
      </c>
    </row>
    <row r="30" ht="42" customHeight="1">
      <c r="A30" s="2" t="inlineStr">
        <is>
          <t>jeminise.com+personalized-baseball-bedding-full-size-flag-custom-name-d-design-08</t>
        </is>
      </c>
      <c r="B30" s="2" t="inlineStr">
        <is>
          <t>T2</t>
        </is>
      </c>
      <c r="C30" s="2" t="n">
        <v>5</v>
      </c>
      <c r="D30" s="2" t="inlineStr">
        <is>
          <t>PARTIAL</t>
        </is>
      </c>
      <c r="E30" s="5">
        <f>IF(B30="I1",AVERAGEIF('QA_Images'!$A$2:$A$41,A30,'QA_Images'!$T$2:$T$41)/100,IF(D30="FULL",1,IF(D30="PARTIAL",0.5,IF(D30="FAIL",0,""))))</f>
        <v/>
      </c>
      <c r="F30" s="5">
        <f>IF(E30="",0,C30*E30)</f>
        <v/>
      </c>
      <c r="G30" s="5">
        <f>IF(B30="I1",20*AVERAGEIF('QA_Images'!$A$2:$A$41,A30,'QA_Images'!$U$2:$U$41)/100,IF(D30="NOT_CHECKED",0,C30))</f>
        <v/>
      </c>
      <c r="H30" s="2" t="inlineStr">
        <is>
          <t>Meta description is concise, publish-ready and avoids unsupported claims. Meta description checked for length, specificity and supportable claims.</t>
        </is>
      </c>
      <c r="I30" s="2" t="inlineStr">
        <is>
          <t>evidence_batch_019_183</t>
        </is>
      </c>
      <c r="J30" s="2" t="inlineStr">
        <is>
          <t>ISSUE-0015; ISSUE-0016; ISSUE-0017; ISSUE-0018</t>
        </is>
      </c>
    </row>
    <row r="31" ht="42" customHeight="1">
      <c r="A31" s="3" t="inlineStr">
        <is>
          <t>jeminise.com+personalized-baseball-bedding-full-size-flag-custom-name-d-design-08</t>
        </is>
      </c>
      <c r="B31" s="3" t="inlineStr">
        <is>
          <t>D1</t>
        </is>
      </c>
      <c r="C31" s="3" t="n">
        <v>10</v>
      </c>
      <c r="D31" s="3" t="inlineStr">
        <is>
          <t>FAIL</t>
        </is>
      </c>
      <c r="E31" s="7">
        <f>IF(B31="I1",AVERAGEIF('QA_Images'!$A$2:$A$41,A31,'QA_Images'!$T$2:$T$41)/100,IF(D31="FULL",1,IF(D31="PARTIAL",0.5,IF(D31="FAIL",0,""))))</f>
        <v/>
      </c>
      <c r="F31" s="7">
        <f>IF(E31="",0,C31*E31)</f>
        <v/>
      </c>
      <c r="G31" s="7">
        <f>IF(B31="I1",20*AVERAGEIF('QA_Images'!$A$2:$A$41,A31,'QA_Images'!$U$2:$U$41)/100,IF(D31="NOT_CHECKED",0,C31))</f>
        <v/>
      </c>
      <c r="H31" s="3" t="inlineStr">
        <is>
          <t>Description HTML is publish-ready and free of internal draft/QA instructions. Description HTML still contains internal QA/import language.</t>
        </is>
      </c>
      <c r="I31" s="3" t="inlineStr">
        <is>
          <t>evidence_batch_019_183</t>
        </is>
      </c>
      <c r="J31" s="3" t="inlineStr">
        <is>
          <t>ISSUE-0015; ISSUE-0016; ISSUE-0017; ISSUE-0018</t>
        </is>
      </c>
    </row>
    <row r="32" ht="42" customHeight="1">
      <c r="A32" s="2" t="inlineStr">
        <is>
          <t>jeminise.com+personalized-baseball-bedding-full-size-flag-custom-name-d-design-08</t>
        </is>
      </c>
      <c r="B32" s="2" t="inlineStr">
        <is>
          <t>D2</t>
        </is>
      </c>
      <c r="C32" s="2" t="n">
        <v>5</v>
      </c>
      <c r="D32" s="2" t="inlineStr">
        <is>
          <t>PARTIAL</t>
        </is>
      </c>
      <c r="E32" s="5">
        <f>IF(B32="I1",AVERAGEIF('QA_Images'!$A$2:$A$41,A32,'QA_Images'!$T$2:$T$41)/100,IF(D32="FULL",1,IF(D32="PARTIAL",0.5,IF(D32="FAIL",0,""))))</f>
        <v/>
      </c>
      <c r="F32" s="5">
        <f>IF(E32="",0,C32*E32)</f>
        <v/>
      </c>
      <c r="G32" s="5">
        <f>IF(B32="I1",20*AVERAGEIF('QA_Images'!$A$2:$A$41,A32,'QA_Images'!$U$2:$U$41)/100,IF(D32="NOT_CHECKED",0,C32))</f>
        <v/>
      </c>
      <c r="H32" s="2" t="inlineStr">
        <is>
          <t>Description content covers verified design, product type, use case and constraints. Description covers motif/product type but remains templated and does not always map every verified constraint.</t>
        </is>
      </c>
      <c r="I32" s="2" t="inlineStr">
        <is>
          <t>evidence_batch_019_183</t>
        </is>
      </c>
      <c r="J32" s="2" t="inlineStr">
        <is>
          <t>ISSUE-0015; ISSUE-0016; ISSUE-0017; ISSUE-0018</t>
        </is>
      </c>
    </row>
    <row r="33" ht="42" customHeight="1">
      <c r="A33" s="3" t="inlineStr">
        <is>
          <t>jeminise.com+personalized-baseball-bedding-full-size-flag-custom-name-d-design-08</t>
        </is>
      </c>
      <c r="B33" s="3" t="inlineStr">
        <is>
          <t>I1</t>
        </is>
      </c>
      <c r="C33" s="3" t="n">
        <v>20</v>
      </c>
      <c r="D33" s="3" t="inlineStr">
        <is>
          <t>FULL</t>
        </is>
      </c>
      <c r="E33" s="7">
        <f>IF(B33="I1",AVERAGEIF('QA_Images'!$A$2:$A$41,A33,'QA_Images'!$T$2:$T$41)/100,IF(D33="FULL",1,IF(D33="PARTIAL",0.5,IF(D33="FAIL",0,""))))</f>
        <v/>
      </c>
      <c r="F33" s="7">
        <f>IF(E33="",0,C33*E33)</f>
        <v/>
      </c>
      <c r="G33" s="7">
        <f>IF(B33="I1",20*AVERAGEIF('QA_Images'!$A$2:$A$41,A33,'QA_Images'!$U$2:$U$41)/100,IF(D33="NOT_CHECKED",0,C33))</f>
        <v/>
      </c>
      <c r="H33" s="3" t="inlineStr">
        <is>
          <t>Image coverage, image observations and alt text quality, derived from QA_Images. Derived from average image QA score; see QA_Images.</t>
        </is>
      </c>
      <c r="I33" s="3" t="inlineStr">
        <is>
          <t>evidence_batch_019_183</t>
        </is>
      </c>
      <c r="J33" s="3" t="inlineStr">
        <is>
          <t>ISSUE-0015; ISSUE-0016; ISSUE-0017; ISSUE-0018</t>
        </is>
      </c>
    </row>
    <row r="34" ht="42" customHeight="1">
      <c r="A34" s="2" t="inlineStr">
        <is>
          <t>jeminise.com+personalized-baseball-bedding-full-size-flag-custom-name-d-design-08</t>
        </is>
      </c>
      <c r="B34" s="2" t="inlineStr">
        <is>
          <t>E1</t>
        </is>
      </c>
      <c r="C34" s="2" t="n">
        <v>5</v>
      </c>
      <c r="D34" s="2" t="inlineStr">
        <is>
          <t>PARTIAL</t>
        </is>
      </c>
      <c r="E34" s="5">
        <f>IF(B34="I1",AVERAGEIF('QA_Images'!$A$2:$A$41,A34,'QA_Images'!$T$2:$T$41)/100,IF(D34="FULL",1,IF(D34="PARTIAL",0.5,IF(D34="FAIL",0,""))))</f>
        <v/>
      </c>
      <c r="F34" s="5">
        <f>IF(E34="",0,C34*E34)</f>
        <v/>
      </c>
      <c r="G34" s="5">
        <f>IF(B34="I1",20*AVERAGEIF('QA_Images'!$A$2:$A$41,A34,'QA_Images'!$U$2:$U$41)/100,IF(D34="NOT_CHECKED",0,C34))</f>
        <v/>
      </c>
      <c r="H34" s="2" t="inlineStr">
        <is>
          <t>Evidence chain is traceable and limitations are explicitly separated from failures. Evidence chain is traceable, with admin-export limitation explicitly separated.</t>
        </is>
      </c>
      <c r="I34" s="2" t="inlineStr">
        <is>
          <t>evidence_batch_019_183</t>
        </is>
      </c>
      <c r="J34" s="2" t="inlineStr">
        <is>
          <t>ISSUE-0015; ISSUE-0016; ISSUE-0017; ISSUE-0018</t>
        </is>
      </c>
    </row>
    <row r="35" ht="42" customHeight="1">
      <c r="A35" s="3" t="inlineStr">
        <is>
          <t>jeminise.com+personalized-baseball-bedding-full-size-flag-custom-name-d-design-09</t>
        </is>
      </c>
      <c r="B35" s="3" t="inlineStr">
        <is>
          <t>P1</t>
        </is>
      </c>
      <c r="C35" s="3" t="n">
        <v>15</v>
      </c>
      <c r="D35" s="3" t="inlineStr">
        <is>
          <t>FULL</t>
        </is>
      </c>
      <c r="E35" s="7">
        <f>IF(B35="I1",AVERAGEIF('QA_Images'!$A$2:$A$41,A35,'QA_Images'!$T$2:$T$41)/100,IF(D35="FULL",1,IF(D35="PARTIAL",0.5,IF(D35="FAIL",0,""))))</f>
        <v/>
      </c>
      <c r="F35" s="7">
        <f>IF(E35="",0,C35*E35)</f>
        <v/>
      </c>
      <c r="G35" s="7">
        <f>IF(B35="I1",20*AVERAGEIF('QA_Images'!$A$2:$A$41,A35,'QA_Images'!$U$2:$U$41)/100,IF(D35="NOT_CHECKED",0,C35))</f>
        <v/>
      </c>
      <c r="H35" s="3" t="inlineStr">
        <is>
          <t>Product identity, handle, product ID, URL and canonical match source/live evidence. Product key/handle/product ID/canonical checked against frozen workbook and live product evidence.</t>
        </is>
      </c>
      <c r="I35" s="3" t="inlineStr">
        <is>
          <t>evidence_batch_019_184</t>
        </is>
      </c>
      <c r="J35" s="3" t="inlineStr">
        <is>
          <t>ISSUE-0022; ISSUE-0023; ISSUE-0024; ISSUE-0025</t>
        </is>
      </c>
    </row>
    <row r="36" ht="42" customHeight="1">
      <c r="A36" s="2" t="inlineStr">
        <is>
          <t>jeminise.com+personalized-baseball-bedding-full-size-flag-custom-name-d-design-09</t>
        </is>
      </c>
      <c r="B36" s="2" t="inlineStr">
        <is>
          <t>P2</t>
        </is>
      </c>
      <c r="C36" s="2" t="n">
        <v>10</v>
      </c>
      <c r="D36" s="2" t="inlineStr">
        <is>
          <t>PARTIAL</t>
        </is>
      </c>
      <c r="E36" s="5">
        <f>IF(B36="I1",AVERAGEIF('QA_Images'!$A$2:$A$41,A36,'QA_Images'!$T$2:$T$41)/100,IF(D36="FULL",1,IF(D36="PARTIAL",0.5,IF(D36="FAIL",0,""))))</f>
        <v/>
      </c>
      <c r="F36" s="5">
        <f>IF(E36="",0,C36*E36)</f>
        <v/>
      </c>
      <c r="G36" s="5">
        <f>IF(B36="I1",20*AVERAGEIF('QA_Images'!$A$2:$A$41,A36,'QA_Images'!$U$2:$U$41)/100,IF(D36="NOT_CHECKED",0,C36))</f>
        <v/>
      </c>
      <c r="H36" s="2" t="inlineStr">
        <is>
          <t>Source product facts, variants, specifications and personalization claims are evidence-backed. Personalization/specification claims checked against storefront product.js and static customizer config.</t>
        </is>
      </c>
      <c r="I36" s="2" t="inlineStr">
        <is>
          <t>evidence_batch_019_184</t>
        </is>
      </c>
      <c r="J36" s="2" t="inlineStr">
        <is>
          <t>ISSUE-0022; ISSUE-0023; ISSUE-0024; ISSUE-0025</t>
        </is>
      </c>
    </row>
    <row r="37" ht="42" customHeight="1">
      <c r="A37" s="3" t="inlineStr">
        <is>
          <t>jeminise.com+personalized-baseball-bedding-full-size-flag-custom-name-d-design-09</t>
        </is>
      </c>
      <c r="B37" s="3" t="inlineStr">
        <is>
          <t>K1</t>
        </is>
      </c>
      <c r="C37" s="3" t="n">
        <v>10</v>
      </c>
      <c r="D37" s="3" t="inlineStr">
        <is>
          <t>PARTIAL</t>
        </is>
      </c>
      <c r="E37" s="7">
        <f>IF(B37="I1",AVERAGEIF('QA_Images'!$A$2:$A$41,A37,'QA_Images'!$T$2:$T$41)/100,IF(D37="FULL",1,IF(D37="PARTIAL",0.5,IF(D37="FAIL",0,""))))</f>
        <v/>
      </c>
      <c r="F37" s="7">
        <f>IF(E37="",0,C37*E37)</f>
        <v/>
      </c>
      <c r="G37" s="7">
        <f>IF(B37="I1",20*AVERAGEIF('QA_Images'!$A$2:$A$41,A37,'QA_Images'!$U$2:$U$41)/100,IF(D37="NOT_CHECKED",0,C37))</f>
        <v/>
      </c>
      <c r="H37" s="3" t="inlineStr">
        <is>
          <t>Primary keyword aligns with product-level US purchase intent. Primary keyword rechecked against US product-level SERP comparables.</t>
        </is>
      </c>
      <c r="I37" s="3" t="inlineStr">
        <is>
          <t>evidence_batch_019_184</t>
        </is>
      </c>
      <c r="J37" s="3" t="inlineStr">
        <is>
          <t>ISSUE-0022; ISSUE-0023; ISSUE-0024; ISSUE-0025</t>
        </is>
      </c>
    </row>
    <row r="38" ht="42" customHeight="1">
      <c r="A38" s="2" t="inlineStr">
        <is>
          <t>jeminise.com+personalized-baseball-bedding-full-size-flag-custom-name-d-design-09</t>
        </is>
      </c>
      <c r="B38" s="2" t="inlineStr">
        <is>
          <t>K2</t>
        </is>
      </c>
      <c r="C38" s="2" t="n">
        <v>5</v>
      </c>
      <c r="D38" s="2" t="inlineStr">
        <is>
          <t>PARTIAL</t>
        </is>
      </c>
      <c r="E38" s="5">
        <f>IF(B38="I1",AVERAGEIF('QA_Images'!$A$2:$A$41,A38,'QA_Images'!$T$2:$T$41)/100,IF(D38="FULL",1,IF(D38="PARTIAL",0.5,IF(D38="FAIL",0,""))))</f>
        <v/>
      </c>
      <c r="F38" s="5">
        <f>IF(E38="",0,C38*E38)</f>
        <v/>
      </c>
      <c r="G38" s="5">
        <f>IF(B38="I1",20*AVERAGEIF('QA_Images'!$A$2:$A$41,A38,'QA_Images'!$U$2:$U$41)/100,IF(D38="NOT_CHECKED",0,C38))</f>
        <v/>
      </c>
      <c r="H38" s="2" t="inlineStr">
        <is>
          <t>Intent/cannibalization check distinguishes nearby products. Nearby product cluster has overlap risk, so intent distinction remains only partial.</t>
        </is>
      </c>
      <c r="I38" s="2" t="inlineStr">
        <is>
          <t>evidence_batch_019_184</t>
        </is>
      </c>
      <c r="J38" s="2" t="inlineStr">
        <is>
          <t>ISSUE-0022; ISSUE-0023; ISSUE-0024; ISSUE-0025</t>
        </is>
      </c>
    </row>
    <row r="39" ht="42" customHeight="1">
      <c r="A39" s="3" t="inlineStr">
        <is>
          <t>jeminise.com+personalized-baseball-bedding-full-size-flag-custom-name-d-design-09</t>
        </is>
      </c>
      <c r="B39" s="3" t="inlineStr">
        <is>
          <t>K3</t>
        </is>
      </c>
      <c r="C39" s="3" t="n">
        <v>5</v>
      </c>
      <c r="D39" s="3" t="inlineStr">
        <is>
          <t>PARTIAL</t>
        </is>
      </c>
      <c r="E39" s="7">
        <f>IF(B39="I1",AVERAGEIF('QA_Images'!$A$2:$A$41,A39,'QA_Images'!$T$2:$T$41)/100,IF(D39="FULL",1,IF(D39="PARTIAL",0.5,IF(D39="FAIL",0,""))))</f>
        <v/>
      </c>
      <c r="F39" s="7">
        <f>IF(E39="",0,C39*E39)</f>
        <v/>
      </c>
      <c r="G39" s="7">
        <f>IF(B39="I1",20*AVERAGEIF('QA_Images'!$A$2:$A$41,A39,'QA_Images'!$U$2:$U$41)/100,IF(D39="NOT_CHECKED",0,C39))</f>
        <v/>
      </c>
      <c r="H39" s="3" t="inlineStr">
        <is>
          <t>Keyword evidence is supported by SERP comparables without unsupported volume claims. Evidence is public SERP only; no Search Console, keyword volume or customer-search corpus provided.</t>
        </is>
      </c>
      <c r="I39" s="3" t="inlineStr">
        <is>
          <t>evidence_batch_019_184</t>
        </is>
      </c>
      <c r="J39" s="3" t="inlineStr">
        <is>
          <t>ISSUE-0022; ISSUE-0023; ISSUE-0024; ISSUE-0025</t>
        </is>
      </c>
    </row>
    <row r="40" ht="42" customHeight="1">
      <c r="A40" s="2" t="inlineStr">
        <is>
          <t>jeminise.com+personalized-baseball-bedding-full-size-flag-custom-name-d-design-09</t>
        </is>
      </c>
      <c r="B40" s="2" t="inlineStr">
        <is>
          <t>T1</t>
        </is>
      </c>
      <c r="C40" s="2" t="n">
        <v>10</v>
      </c>
      <c r="D40" s="2" t="inlineStr">
        <is>
          <t>PARTIAL</t>
        </is>
      </c>
      <c r="E40" s="5">
        <f>IF(B40="I1",AVERAGEIF('QA_Images'!$A$2:$A$41,A40,'QA_Images'!$T$2:$T$41)/100,IF(D40="FULL",1,IF(D40="PARTIAL",0.5,IF(D40="FAIL",0,""))))</f>
        <v/>
      </c>
      <c r="F40" s="5">
        <f>IF(E40="",0,C40*E40)</f>
        <v/>
      </c>
      <c r="G40" s="5">
        <f>IF(B40="I1",20*AVERAGEIF('QA_Images'!$A$2:$A$41,A40,'QA_Images'!$U$2:$U$41)/100,IF(D40="NOT_CHECKED",0,C40))</f>
        <v/>
      </c>
      <c r="H40" s="2" t="inlineStr">
        <is>
          <t>SEO title and H1 are relevant, specific and grounded in visible/source facts. Proposed H1 is blank, so the title/H1 pair cannot be fully verified.</t>
        </is>
      </c>
      <c r="I40" s="2" t="inlineStr">
        <is>
          <t>evidence_batch_019_184</t>
        </is>
      </c>
      <c r="J40" s="2" t="inlineStr">
        <is>
          <t>ISSUE-0022; ISSUE-0023; ISSUE-0024; ISSUE-0025</t>
        </is>
      </c>
    </row>
    <row r="41" ht="42" customHeight="1">
      <c r="A41" s="3" t="inlineStr">
        <is>
          <t>jeminise.com+personalized-baseball-bedding-full-size-flag-custom-name-d-design-09</t>
        </is>
      </c>
      <c r="B41" s="3" t="inlineStr">
        <is>
          <t>T2</t>
        </is>
      </c>
      <c r="C41" s="3" t="n">
        <v>5</v>
      </c>
      <c r="D41" s="3" t="inlineStr">
        <is>
          <t>PARTIAL</t>
        </is>
      </c>
      <c r="E41" s="7">
        <f>IF(B41="I1",AVERAGEIF('QA_Images'!$A$2:$A$41,A41,'QA_Images'!$T$2:$T$41)/100,IF(D41="FULL",1,IF(D41="PARTIAL",0.5,IF(D41="FAIL",0,""))))</f>
        <v/>
      </c>
      <c r="F41" s="7">
        <f>IF(E41="",0,C41*E41)</f>
        <v/>
      </c>
      <c r="G41" s="7">
        <f>IF(B41="I1",20*AVERAGEIF('QA_Images'!$A$2:$A$41,A41,'QA_Images'!$U$2:$U$41)/100,IF(D41="NOT_CHECKED",0,C41))</f>
        <v/>
      </c>
      <c r="H41" s="3" t="inlineStr">
        <is>
          <t>Meta description is concise, publish-ready and avoids unsupported claims. Meta description checked for length, specificity and supportable claims.</t>
        </is>
      </c>
      <c r="I41" s="3" t="inlineStr">
        <is>
          <t>evidence_batch_019_184</t>
        </is>
      </c>
      <c r="J41" s="3" t="inlineStr">
        <is>
          <t>ISSUE-0022; ISSUE-0023; ISSUE-0024; ISSUE-0025</t>
        </is>
      </c>
    </row>
    <row r="42" ht="42" customHeight="1">
      <c r="A42" s="2" t="inlineStr">
        <is>
          <t>jeminise.com+personalized-baseball-bedding-full-size-flag-custom-name-d-design-09</t>
        </is>
      </c>
      <c r="B42" s="2" t="inlineStr">
        <is>
          <t>D1</t>
        </is>
      </c>
      <c r="C42" s="2" t="n">
        <v>10</v>
      </c>
      <c r="D42" s="2" t="inlineStr">
        <is>
          <t>FAIL</t>
        </is>
      </c>
      <c r="E42" s="5">
        <f>IF(B42="I1",AVERAGEIF('QA_Images'!$A$2:$A$41,A42,'QA_Images'!$T$2:$T$41)/100,IF(D42="FULL",1,IF(D42="PARTIAL",0.5,IF(D42="FAIL",0,""))))</f>
        <v/>
      </c>
      <c r="F42" s="5">
        <f>IF(E42="",0,C42*E42)</f>
        <v/>
      </c>
      <c r="G42" s="5">
        <f>IF(B42="I1",20*AVERAGEIF('QA_Images'!$A$2:$A$41,A42,'QA_Images'!$U$2:$U$41)/100,IF(D42="NOT_CHECKED",0,C42))</f>
        <v/>
      </c>
      <c r="H42" s="2" t="inlineStr">
        <is>
          <t>Description HTML is publish-ready and free of internal draft/QA instructions. Description HTML still contains internal QA/import language.</t>
        </is>
      </c>
      <c r="I42" s="2" t="inlineStr">
        <is>
          <t>evidence_batch_019_184</t>
        </is>
      </c>
      <c r="J42" s="2" t="inlineStr">
        <is>
          <t>ISSUE-0022; ISSUE-0023; ISSUE-0024; ISSUE-0025</t>
        </is>
      </c>
    </row>
    <row r="43" ht="42" customHeight="1">
      <c r="A43" s="3" t="inlineStr">
        <is>
          <t>jeminise.com+personalized-baseball-bedding-full-size-flag-custom-name-d-design-09</t>
        </is>
      </c>
      <c r="B43" s="3" t="inlineStr">
        <is>
          <t>D2</t>
        </is>
      </c>
      <c r="C43" s="3" t="n">
        <v>5</v>
      </c>
      <c r="D43" s="3" t="inlineStr">
        <is>
          <t>PARTIAL</t>
        </is>
      </c>
      <c r="E43" s="7">
        <f>IF(B43="I1",AVERAGEIF('QA_Images'!$A$2:$A$41,A43,'QA_Images'!$T$2:$T$41)/100,IF(D43="FULL",1,IF(D43="PARTIAL",0.5,IF(D43="FAIL",0,""))))</f>
        <v/>
      </c>
      <c r="F43" s="7">
        <f>IF(E43="",0,C43*E43)</f>
        <v/>
      </c>
      <c r="G43" s="7">
        <f>IF(B43="I1",20*AVERAGEIF('QA_Images'!$A$2:$A$41,A43,'QA_Images'!$U$2:$U$41)/100,IF(D43="NOT_CHECKED",0,C43))</f>
        <v/>
      </c>
      <c r="H43" s="3" t="inlineStr">
        <is>
          <t>Description content covers verified design, product type, use case and constraints. Description covers motif/product type but remains templated and does not always map every verified constraint.</t>
        </is>
      </c>
      <c r="I43" s="3" t="inlineStr">
        <is>
          <t>evidence_batch_019_184</t>
        </is>
      </c>
      <c r="J43" s="3" t="inlineStr">
        <is>
          <t>ISSUE-0022; ISSUE-0023; ISSUE-0024; ISSUE-0025</t>
        </is>
      </c>
    </row>
    <row r="44" ht="42" customHeight="1">
      <c r="A44" s="2" t="inlineStr">
        <is>
          <t>jeminise.com+personalized-baseball-bedding-full-size-flag-custom-name-d-design-09</t>
        </is>
      </c>
      <c r="B44" s="2" t="inlineStr">
        <is>
          <t>I1</t>
        </is>
      </c>
      <c r="C44" s="2" t="n">
        <v>20</v>
      </c>
      <c r="D44" s="2" t="inlineStr">
        <is>
          <t>FULL</t>
        </is>
      </c>
      <c r="E44" s="5">
        <f>IF(B44="I1",AVERAGEIF('QA_Images'!$A$2:$A$41,A44,'QA_Images'!$T$2:$T$41)/100,IF(D44="FULL",1,IF(D44="PARTIAL",0.5,IF(D44="FAIL",0,""))))</f>
        <v/>
      </c>
      <c r="F44" s="5">
        <f>IF(E44="",0,C44*E44)</f>
        <v/>
      </c>
      <c r="G44" s="5">
        <f>IF(B44="I1",20*AVERAGEIF('QA_Images'!$A$2:$A$41,A44,'QA_Images'!$U$2:$U$41)/100,IF(D44="NOT_CHECKED",0,C44))</f>
        <v/>
      </c>
      <c r="H44" s="2" t="inlineStr">
        <is>
          <t>Image coverage, image observations and alt text quality, derived from QA_Images. Derived from average image QA score; see QA_Images.</t>
        </is>
      </c>
      <c r="I44" s="2" t="inlineStr">
        <is>
          <t>evidence_batch_019_184</t>
        </is>
      </c>
      <c r="J44" s="2" t="inlineStr">
        <is>
          <t>ISSUE-0022; ISSUE-0023; ISSUE-0024; ISSUE-0025</t>
        </is>
      </c>
    </row>
    <row r="45" ht="42" customHeight="1">
      <c r="A45" s="3" t="inlineStr">
        <is>
          <t>jeminise.com+personalized-baseball-bedding-full-size-flag-custom-name-d-design-09</t>
        </is>
      </c>
      <c r="B45" s="3" t="inlineStr">
        <is>
          <t>E1</t>
        </is>
      </c>
      <c r="C45" s="3" t="n">
        <v>5</v>
      </c>
      <c r="D45" s="3" t="inlineStr">
        <is>
          <t>PARTIAL</t>
        </is>
      </c>
      <c r="E45" s="7">
        <f>IF(B45="I1",AVERAGEIF('QA_Images'!$A$2:$A$41,A45,'QA_Images'!$T$2:$T$41)/100,IF(D45="FULL",1,IF(D45="PARTIAL",0.5,IF(D45="FAIL",0,""))))</f>
        <v/>
      </c>
      <c r="F45" s="7">
        <f>IF(E45="",0,C45*E45)</f>
        <v/>
      </c>
      <c r="G45" s="7">
        <f>IF(B45="I1",20*AVERAGEIF('QA_Images'!$A$2:$A$41,A45,'QA_Images'!$U$2:$U$41)/100,IF(D45="NOT_CHECKED",0,C45))</f>
        <v/>
      </c>
      <c r="H45" s="3" t="inlineStr">
        <is>
          <t>Evidence chain is traceable and limitations are explicitly separated from failures. Evidence chain is traceable, with admin-export limitation explicitly separated.</t>
        </is>
      </c>
      <c r="I45" s="3" t="inlineStr">
        <is>
          <t>evidence_batch_019_184</t>
        </is>
      </c>
      <c r="J45" s="3" t="inlineStr">
        <is>
          <t>ISSUE-0022; ISSUE-0023; ISSUE-0024; ISSUE-0025</t>
        </is>
      </c>
    </row>
    <row r="46" ht="42" customHeight="1">
      <c r="A46" s="2" t="inlineStr">
        <is>
          <t>jeminise.com+personalized-baseball-bedding-full-size-flag-custom-name-d-design-10</t>
        </is>
      </c>
      <c r="B46" s="2" t="inlineStr">
        <is>
          <t>P1</t>
        </is>
      </c>
      <c r="C46" s="2" t="n">
        <v>15</v>
      </c>
      <c r="D46" s="2" t="inlineStr">
        <is>
          <t>FULL</t>
        </is>
      </c>
      <c r="E46" s="5">
        <f>IF(B46="I1",AVERAGEIF('QA_Images'!$A$2:$A$41,A46,'QA_Images'!$T$2:$T$41)/100,IF(D46="FULL",1,IF(D46="PARTIAL",0.5,IF(D46="FAIL",0,""))))</f>
        <v/>
      </c>
      <c r="F46" s="5">
        <f>IF(E46="",0,C46*E46)</f>
        <v/>
      </c>
      <c r="G46" s="5">
        <f>IF(B46="I1",20*AVERAGEIF('QA_Images'!$A$2:$A$41,A46,'QA_Images'!$U$2:$U$41)/100,IF(D46="NOT_CHECKED",0,C46))</f>
        <v/>
      </c>
      <c r="H46" s="2" t="inlineStr">
        <is>
          <t>Product identity, handle, product ID, URL and canonical match source/live evidence. Product key/handle/product ID/canonical checked against frozen workbook and live product evidence.</t>
        </is>
      </c>
      <c r="I46" s="2" t="inlineStr">
        <is>
          <t>evidence_batch_019_185</t>
        </is>
      </c>
      <c r="J46" s="2" t="inlineStr">
        <is>
          <t>ISSUE-0029; ISSUE-0030; ISSUE-0031; ISSUE-0032</t>
        </is>
      </c>
    </row>
    <row r="47" ht="42" customHeight="1">
      <c r="A47" s="3" t="inlineStr">
        <is>
          <t>jeminise.com+personalized-baseball-bedding-full-size-flag-custom-name-d-design-10</t>
        </is>
      </c>
      <c r="B47" s="3" t="inlineStr">
        <is>
          <t>P2</t>
        </is>
      </c>
      <c r="C47" s="3" t="n">
        <v>10</v>
      </c>
      <c r="D47" s="3" t="inlineStr">
        <is>
          <t>PARTIAL</t>
        </is>
      </c>
      <c r="E47" s="7">
        <f>IF(B47="I1",AVERAGEIF('QA_Images'!$A$2:$A$41,A47,'QA_Images'!$T$2:$T$41)/100,IF(D47="FULL",1,IF(D47="PARTIAL",0.5,IF(D47="FAIL",0,""))))</f>
        <v/>
      </c>
      <c r="F47" s="7">
        <f>IF(E47="",0,C47*E47)</f>
        <v/>
      </c>
      <c r="G47" s="7">
        <f>IF(B47="I1",20*AVERAGEIF('QA_Images'!$A$2:$A$41,A47,'QA_Images'!$U$2:$U$41)/100,IF(D47="NOT_CHECKED",0,C47))</f>
        <v/>
      </c>
      <c r="H47" s="3" t="inlineStr">
        <is>
          <t>Source product facts, variants, specifications and personalization claims are evidence-backed. Personalization/specification claims checked against storefront product.js and static customizer config.</t>
        </is>
      </c>
      <c r="I47" s="3" t="inlineStr">
        <is>
          <t>evidence_batch_019_185</t>
        </is>
      </c>
      <c r="J47" s="3" t="inlineStr">
        <is>
          <t>ISSUE-0029; ISSUE-0030; ISSUE-0031; ISSUE-0032</t>
        </is>
      </c>
    </row>
    <row r="48" ht="42" customHeight="1">
      <c r="A48" s="2" t="inlineStr">
        <is>
          <t>jeminise.com+personalized-baseball-bedding-full-size-flag-custom-name-d-design-10</t>
        </is>
      </c>
      <c r="B48" s="2" t="inlineStr">
        <is>
          <t>K1</t>
        </is>
      </c>
      <c r="C48" s="2" t="n">
        <v>10</v>
      </c>
      <c r="D48" s="2" t="inlineStr">
        <is>
          <t>PARTIAL</t>
        </is>
      </c>
      <c r="E48" s="5">
        <f>IF(B48="I1",AVERAGEIF('QA_Images'!$A$2:$A$41,A48,'QA_Images'!$T$2:$T$41)/100,IF(D48="FULL",1,IF(D48="PARTIAL",0.5,IF(D48="FAIL",0,""))))</f>
        <v/>
      </c>
      <c r="F48" s="5">
        <f>IF(E48="",0,C48*E48)</f>
        <v/>
      </c>
      <c r="G48" s="5">
        <f>IF(B48="I1",20*AVERAGEIF('QA_Images'!$A$2:$A$41,A48,'QA_Images'!$U$2:$U$41)/100,IF(D48="NOT_CHECKED",0,C48))</f>
        <v/>
      </c>
      <c r="H48" s="2" t="inlineStr">
        <is>
          <t>Primary keyword aligns with product-level US purchase intent. Primary keyword rechecked against US product-level SERP comparables.</t>
        </is>
      </c>
      <c r="I48" s="2" t="inlineStr">
        <is>
          <t>evidence_batch_019_185</t>
        </is>
      </c>
      <c r="J48" s="2" t="inlineStr">
        <is>
          <t>ISSUE-0029; ISSUE-0030; ISSUE-0031; ISSUE-0032</t>
        </is>
      </c>
    </row>
    <row r="49" ht="42" customHeight="1">
      <c r="A49" s="3" t="inlineStr">
        <is>
          <t>jeminise.com+personalized-baseball-bedding-full-size-flag-custom-name-d-design-10</t>
        </is>
      </c>
      <c r="B49" s="3" t="inlineStr">
        <is>
          <t>K2</t>
        </is>
      </c>
      <c r="C49" s="3" t="n">
        <v>5</v>
      </c>
      <c r="D49" s="3" t="inlineStr">
        <is>
          <t>PARTIAL</t>
        </is>
      </c>
      <c r="E49" s="7">
        <f>IF(B49="I1",AVERAGEIF('QA_Images'!$A$2:$A$41,A49,'QA_Images'!$T$2:$T$41)/100,IF(D49="FULL",1,IF(D49="PARTIAL",0.5,IF(D49="FAIL",0,""))))</f>
        <v/>
      </c>
      <c r="F49" s="7">
        <f>IF(E49="",0,C49*E49)</f>
        <v/>
      </c>
      <c r="G49" s="7">
        <f>IF(B49="I1",20*AVERAGEIF('QA_Images'!$A$2:$A$41,A49,'QA_Images'!$U$2:$U$41)/100,IF(D49="NOT_CHECKED",0,C49))</f>
        <v/>
      </c>
      <c r="H49" s="3" t="inlineStr">
        <is>
          <t>Intent/cannibalization check distinguishes nearby products. Nearby product cluster has overlap risk, so intent distinction remains only partial.</t>
        </is>
      </c>
      <c r="I49" s="3" t="inlineStr">
        <is>
          <t>evidence_batch_019_185</t>
        </is>
      </c>
      <c r="J49" s="3" t="inlineStr">
        <is>
          <t>ISSUE-0029; ISSUE-0030; ISSUE-0031; ISSUE-0032</t>
        </is>
      </c>
    </row>
    <row r="50" ht="42" customHeight="1">
      <c r="A50" s="2" t="inlineStr">
        <is>
          <t>jeminise.com+personalized-baseball-bedding-full-size-flag-custom-name-d-design-10</t>
        </is>
      </c>
      <c r="B50" s="2" t="inlineStr">
        <is>
          <t>K3</t>
        </is>
      </c>
      <c r="C50" s="2" t="n">
        <v>5</v>
      </c>
      <c r="D50" s="2" t="inlineStr">
        <is>
          <t>PARTIAL</t>
        </is>
      </c>
      <c r="E50" s="5">
        <f>IF(B50="I1",AVERAGEIF('QA_Images'!$A$2:$A$41,A50,'QA_Images'!$T$2:$T$41)/100,IF(D50="FULL",1,IF(D50="PARTIAL",0.5,IF(D50="FAIL",0,""))))</f>
        <v/>
      </c>
      <c r="F50" s="5">
        <f>IF(E50="",0,C50*E50)</f>
        <v/>
      </c>
      <c r="G50" s="5">
        <f>IF(B50="I1",20*AVERAGEIF('QA_Images'!$A$2:$A$41,A50,'QA_Images'!$U$2:$U$41)/100,IF(D50="NOT_CHECKED",0,C50))</f>
        <v/>
      </c>
      <c r="H50" s="2" t="inlineStr">
        <is>
          <t>Keyword evidence is supported by SERP comparables without unsupported volume claims. Evidence is public SERP only; no Search Console, keyword volume or customer-search corpus provided.</t>
        </is>
      </c>
      <c r="I50" s="2" t="inlineStr">
        <is>
          <t>evidence_batch_019_185</t>
        </is>
      </c>
      <c r="J50" s="2" t="inlineStr">
        <is>
          <t>ISSUE-0029; ISSUE-0030; ISSUE-0031; ISSUE-0032</t>
        </is>
      </c>
    </row>
    <row r="51" ht="42" customHeight="1">
      <c r="A51" s="3" t="inlineStr">
        <is>
          <t>jeminise.com+personalized-baseball-bedding-full-size-flag-custom-name-d-design-10</t>
        </is>
      </c>
      <c r="B51" s="3" t="inlineStr">
        <is>
          <t>T1</t>
        </is>
      </c>
      <c r="C51" s="3" t="n">
        <v>10</v>
      </c>
      <c r="D51" s="3" t="inlineStr">
        <is>
          <t>PARTIAL</t>
        </is>
      </c>
      <c r="E51" s="7">
        <f>IF(B51="I1",AVERAGEIF('QA_Images'!$A$2:$A$41,A51,'QA_Images'!$T$2:$T$41)/100,IF(D51="FULL",1,IF(D51="PARTIAL",0.5,IF(D51="FAIL",0,""))))</f>
        <v/>
      </c>
      <c r="F51" s="7">
        <f>IF(E51="",0,C51*E51)</f>
        <v/>
      </c>
      <c r="G51" s="7">
        <f>IF(B51="I1",20*AVERAGEIF('QA_Images'!$A$2:$A$41,A51,'QA_Images'!$U$2:$U$41)/100,IF(D51="NOT_CHECKED",0,C51))</f>
        <v/>
      </c>
      <c r="H51" s="3" t="inlineStr">
        <is>
          <t>SEO title and H1 are relevant, specific and grounded in visible/source facts. Proposed H1 is blank, so the title/H1 pair cannot be fully verified.</t>
        </is>
      </c>
      <c r="I51" s="3" t="inlineStr">
        <is>
          <t>evidence_batch_019_185</t>
        </is>
      </c>
      <c r="J51" s="3" t="inlineStr">
        <is>
          <t>ISSUE-0029; ISSUE-0030; ISSUE-0031; ISSUE-0032</t>
        </is>
      </c>
    </row>
    <row r="52" ht="42" customHeight="1">
      <c r="A52" s="2" t="inlineStr">
        <is>
          <t>jeminise.com+personalized-baseball-bedding-full-size-flag-custom-name-d-design-10</t>
        </is>
      </c>
      <c r="B52" s="2" t="inlineStr">
        <is>
          <t>T2</t>
        </is>
      </c>
      <c r="C52" s="2" t="n">
        <v>5</v>
      </c>
      <c r="D52" s="2" t="inlineStr">
        <is>
          <t>PARTIAL</t>
        </is>
      </c>
      <c r="E52" s="5">
        <f>IF(B52="I1",AVERAGEIF('QA_Images'!$A$2:$A$41,A52,'QA_Images'!$T$2:$T$41)/100,IF(D52="FULL",1,IF(D52="PARTIAL",0.5,IF(D52="FAIL",0,""))))</f>
        <v/>
      </c>
      <c r="F52" s="5">
        <f>IF(E52="",0,C52*E52)</f>
        <v/>
      </c>
      <c r="G52" s="5">
        <f>IF(B52="I1",20*AVERAGEIF('QA_Images'!$A$2:$A$41,A52,'QA_Images'!$U$2:$U$41)/100,IF(D52="NOT_CHECKED",0,C52))</f>
        <v/>
      </c>
      <c r="H52" s="2" t="inlineStr">
        <is>
          <t>Meta description is concise, publish-ready and avoids unsupported claims. Meta description checked for length, specificity and supportable claims.</t>
        </is>
      </c>
      <c r="I52" s="2" t="inlineStr">
        <is>
          <t>evidence_batch_019_185</t>
        </is>
      </c>
      <c r="J52" s="2" t="inlineStr">
        <is>
          <t>ISSUE-0029; ISSUE-0030; ISSUE-0031; ISSUE-0032</t>
        </is>
      </c>
    </row>
    <row r="53" ht="42" customHeight="1">
      <c r="A53" s="3" t="inlineStr">
        <is>
          <t>jeminise.com+personalized-baseball-bedding-full-size-flag-custom-name-d-design-10</t>
        </is>
      </c>
      <c r="B53" s="3" t="inlineStr">
        <is>
          <t>D1</t>
        </is>
      </c>
      <c r="C53" s="3" t="n">
        <v>10</v>
      </c>
      <c r="D53" s="3" t="inlineStr">
        <is>
          <t>FAIL</t>
        </is>
      </c>
      <c r="E53" s="7">
        <f>IF(B53="I1",AVERAGEIF('QA_Images'!$A$2:$A$41,A53,'QA_Images'!$T$2:$T$41)/100,IF(D53="FULL",1,IF(D53="PARTIAL",0.5,IF(D53="FAIL",0,""))))</f>
        <v/>
      </c>
      <c r="F53" s="7">
        <f>IF(E53="",0,C53*E53)</f>
        <v/>
      </c>
      <c r="G53" s="7">
        <f>IF(B53="I1",20*AVERAGEIF('QA_Images'!$A$2:$A$41,A53,'QA_Images'!$U$2:$U$41)/100,IF(D53="NOT_CHECKED",0,C53))</f>
        <v/>
      </c>
      <c r="H53" s="3" t="inlineStr">
        <is>
          <t>Description HTML is publish-ready and free of internal draft/QA instructions. Description HTML still contains internal QA/import language.</t>
        </is>
      </c>
      <c r="I53" s="3" t="inlineStr">
        <is>
          <t>evidence_batch_019_185</t>
        </is>
      </c>
      <c r="J53" s="3" t="inlineStr">
        <is>
          <t>ISSUE-0029; ISSUE-0030; ISSUE-0031; ISSUE-0032</t>
        </is>
      </c>
    </row>
    <row r="54" ht="42" customHeight="1">
      <c r="A54" s="2" t="inlineStr">
        <is>
          <t>jeminise.com+personalized-baseball-bedding-full-size-flag-custom-name-d-design-10</t>
        </is>
      </c>
      <c r="B54" s="2" t="inlineStr">
        <is>
          <t>D2</t>
        </is>
      </c>
      <c r="C54" s="2" t="n">
        <v>5</v>
      </c>
      <c r="D54" s="2" t="inlineStr">
        <is>
          <t>PARTIAL</t>
        </is>
      </c>
      <c r="E54" s="5">
        <f>IF(B54="I1",AVERAGEIF('QA_Images'!$A$2:$A$41,A54,'QA_Images'!$T$2:$T$41)/100,IF(D54="FULL",1,IF(D54="PARTIAL",0.5,IF(D54="FAIL",0,""))))</f>
        <v/>
      </c>
      <c r="F54" s="5">
        <f>IF(E54="",0,C54*E54)</f>
        <v/>
      </c>
      <c r="G54" s="5">
        <f>IF(B54="I1",20*AVERAGEIF('QA_Images'!$A$2:$A$41,A54,'QA_Images'!$U$2:$U$41)/100,IF(D54="NOT_CHECKED",0,C54))</f>
        <v/>
      </c>
      <c r="H54" s="2" t="inlineStr">
        <is>
          <t>Description content covers verified design, product type, use case and constraints. Description covers motif/product type but remains templated and does not always map every verified constraint.</t>
        </is>
      </c>
      <c r="I54" s="2" t="inlineStr">
        <is>
          <t>evidence_batch_019_185</t>
        </is>
      </c>
      <c r="J54" s="2" t="inlineStr">
        <is>
          <t>ISSUE-0029; ISSUE-0030; ISSUE-0031; ISSUE-0032</t>
        </is>
      </c>
    </row>
    <row r="55" ht="42" customHeight="1">
      <c r="A55" s="3" t="inlineStr">
        <is>
          <t>jeminise.com+personalized-baseball-bedding-full-size-flag-custom-name-d-design-10</t>
        </is>
      </c>
      <c r="B55" s="3" t="inlineStr">
        <is>
          <t>I1</t>
        </is>
      </c>
      <c r="C55" s="3" t="n">
        <v>20</v>
      </c>
      <c r="D55" s="3" t="inlineStr">
        <is>
          <t>FULL</t>
        </is>
      </c>
      <c r="E55" s="7">
        <f>IF(B55="I1",AVERAGEIF('QA_Images'!$A$2:$A$41,A55,'QA_Images'!$T$2:$T$41)/100,IF(D55="FULL",1,IF(D55="PARTIAL",0.5,IF(D55="FAIL",0,""))))</f>
        <v/>
      </c>
      <c r="F55" s="7">
        <f>IF(E55="",0,C55*E55)</f>
        <v/>
      </c>
      <c r="G55" s="7">
        <f>IF(B55="I1",20*AVERAGEIF('QA_Images'!$A$2:$A$41,A55,'QA_Images'!$U$2:$U$41)/100,IF(D55="NOT_CHECKED",0,C55))</f>
        <v/>
      </c>
      <c r="H55" s="3" t="inlineStr">
        <is>
          <t>Image coverage, image observations and alt text quality, derived from QA_Images. Derived from average image QA score; see QA_Images.</t>
        </is>
      </c>
      <c r="I55" s="3" t="inlineStr">
        <is>
          <t>evidence_batch_019_185</t>
        </is>
      </c>
      <c r="J55" s="3" t="inlineStr">
        <is>
          <t>ISSUE-0029; ISSUE-0030; ISSUE-0031; ISSUE-0032</t>
        </is>
      </c>
    </row>
    <row r="56" ht="42" customHeight="1">
      <c r="A56" s="2" t="inlineStr">
        <is>
          <t>jeminise.com+personalized-baseball-bedding-full-size-flag-custom-name-d-design-10</t>
        </is>
      </c>
      <c r="B56" s="2" t="inlineStr">
        <is>
          <t>E1</t>
        </is>
      </c>
      <c r="C56" s="2" t="n">
        <v>5</v>
      </c>
      <c r="D56" s="2" t="inlineStr">
        <is>
          <t>PARTIAL</t>
        </is>
      </c>
      <c r="E56" s="5">
        <f>IF(B56="I1",AVERAGEIF('QA_Images'!$A$2:$A$41,A56,'QA_Images'!$T$2:$T$41)/100,IF(D56="FULL",1,IF(D56="PARTIAL",0.5,IF(D56="FAIL",0,""))))</f>
        <v/>
      </c>
      <c r="F56" s="5">
        <f>IF(E56="",0,C56*E56)</f>
        <v/>
      </c>
      <c r="G56" s="5">
        <f>IF(B56="I1",20*AVERAGEIF('QA_Images'!$A$2:$A$41,A56,'QA_Images'!$U$2:$U$41)/100,IF(D56="NOT_CHECKED",0,C56))</f>
        <v/>
      </c>
      <c r="H56" s="2" t="inlineStr">
        <is>
          <t>Evidence chain is traceable and limitations are explicitly separated from failures. Evidence chain is traceable, with admin-export limitation explicitly separated.</t>
        </is>
      </c>
      <c r="I56" s="2" t="inlineStr">
        <is>
          <t>evidence_batch_019_185</t>
        </is>
      </c>
      <c r="J56" s="2" t="inlineStr">
        <is>
          <t>ISSUE-0029; ISSUE-0030; ISSUE-0031; ISSUE-0032</t>
        </is>
      </c>
    </row>
    <row r="57" ht="42" customHeight="1">
      <c r="A57" s="3" t="inlineStr">
        <is>
          <t>jeminise.com+personalized-baseball-bedding-full-size-flag-custom-name-d-design-11</t>
        </is>
      </c>
      <c r="B57" s="3" t="inlineStr">
        <is>
          <t>P1</t>
        </is>
      </c>
      <c r="C57" s="3" t="n">
        <v>15</v>
      </c>
      <c r="D57" s="3" t="inlineStr">
        <is>
          <t>FULL</t>
        </is>
      </c>
      <c r="E57" s="7">
        <f>IF(B57="I1",AVERAGEIF('QA_Images'!$A$2:$A$41,A57,'QA_Images'!$T$2:$T$41)/100,IF(D57="FULL",1,IF(D57="PARTIAL",0.5,IF(D57="FAIL",0,""))))</f>
        <v/>
      </c>
      <c r="F57" s="7">
        <f>IF(E57="",0,C57*E57)</f>
        <v/>
      </c>
      <c r="G57" s="7">
        <f>IF(B57="I1",20*AVERAGEIF('QA_Images'!$A$2:$A$41,A57,'QA_Images'!$U$2:$U$41)/100,IF(D57="NOT_CHECKED",0,C57))</f>
        <v/>
      </c>
      <c r="H57" s="3" t="inlineStr">
        <is>
          <t>Product identity, handle, product ID, URL and canonical match source/live evidence. Product key/handle/product ID/canonical checked against frozen workbook and live product evidence.</t>
        </is>
      </c>
      <c r="I57" s="3" t="inlineStr">
        <is>
          <t>evidence_batch_019_186</t>
        </is>
      </c>
      <c r="J57" s="3" t="inlineStr">
        <is>
          <t>ISSUE-0036; ISSUE-0037; ISSUE-0038; ISSUE-0039</t>
        </is>
      </c>
    </row>
    <row r="58" ht="42" customHeight="1">
      <c r="A58" s="2" t="inlineStr">
        <is>
          <t>jeminise.com+personalized-baseball-bedding-full-size-flag-custom-name-d-design-11</t>
        </is>
      </c>
      <c r="B58" s="2" t="inlineStr">
        <is>
          <t>P2</t>
        </is>
      </c>
      <c r="C58" s="2" t="n">
        <v>10</v>
      </c>
      <c r="D58" s="2" t="inlineStr">
        <is>
          <t>PARTIAL</t>
        </is>
      </c>
      <c r="E58" s="5">
        <f>IF(B58="I1",AVERAGEIF('QA_Images'!$A$2:$A$41,A58,'QA_Images'!$T$2:$T$41)/100,IF(D58="FULL",1,IF(D58="PARTIAL",0.5,IF(D58="FAIL",0,""))))</f>
        <v/>
      </c>
      <c r="F58" s="5">
        <f>IF(E58="",0,C58*E58)</f>
        <v/>
      </c>
      <c r="G58" s="5">
        <f>IF(B58="I1",20*AVERAGEIF('QA_Images'!$A$2:$A$41,A58,'QA_Images'!$U$2:$U$41)/100,IF(D58="NOT_CHECKED",0,C58))</f>
        <v/>
      </c>
      <c r="H58" s="2" t="inlineStr">
        <is>
          <t>Source product facts, variants, specifications and personalization claims are evidence-backed. Personalization/specification claims checked against storefront product.js and static customizer config.</t>
        </is>
      </c>
      <c r="I58" s="2" t="inlineStr">
        <is>
          <t>evidence_batch_019_186</t>
        </is>
      </c>
      <c r="J58" s="2" t="inlineStr">
        <is>
          <t>ISSUE-0036; ISSUE-0037; ISSUE-0038; ISSUE-0039</t>
        </is>
      </c>
    </row>
    <row r="59" ht="42" customHeight="1">
      <c r="A59" s="3" t="inlineStr">
        <is>
          <t>jeminise.com+personalized-baseball-bedding-full-size-flag-custom-name-d-design-11</t>
        </is>
      </c>
      <c r="B59" s="3" t="inlineStr">
        <is>
          <t>K1</t>
        </is>
      </c>
      <c r="C59" s="3" t="n">
        <v>10</v>
      </c>
      <c r="D59" s="3" t="inlineStr">
        <is>
          <t>PARTIAL</t>
        </is>
      </c>
      <c r="E59" s="7">
        <f>IF(B59="I1",AVERAGEIF('QA_Images'!$A$2:$A$41,A59,'QA_Images'!$T$2:$T$41)/100,IF(D59="FULL",1,IF(D59="PARTIAL",0.5,IF(D59="FAIL",0,""))))</f>
        <v/>
      </c>
      <c r="F59" s="7">
        <f>IF(E59="",0,C59*E59)</f>
        <v/>
      </c>
      <c r="G59" s="7">
        <f>IF(B59="I1",20*AVERAGEIF('QA_Images'!$A$2:$A$41,A59,'QA_Images'!$U$2:$U$41)/100,IF(D59="NOT_CHECKED",0,C59))</f>
        <v/>
      </c>
      <c r="H59" s="3" t="inlineStr">
        <is>
          <t>Primary keyword aligns with product-level US purchase intent. Primary keyword rechecked against US product-level SERP comparables.</t>
        </is>
      </c>
      <c r="I59" s="3" t="inlineStr">
        <is>
          <t>evidence_batch_019_186</t>
        </is>
      </c>
      <c r="J59" s="3" t="inlineStr">
        <is>
          <t>ISSUE-0036; ISSUE-0037; ISSUE-0038; ISSUE-0039</t>
        </is>
      </c>
    </row>
    <row r="60" ht="42" customHeight="1">
      <c r="A60" s="2" t="inlineStr">
        <is>
          <t>jeminise.com+personalized-baseball-bedding-full-size-flag-custom-name-d-design-11</t>
        </is>
      </c>
      <c r="B60" s="2" t="inlineStr">
        <is>
          <t>K2</t>
        </is>
      </c>
      <c r="C60" s="2" t="n">
        <v>5</v>
      </c>
      <c r="D60" s="2" t="inlineStr">
        <is>
          <t>PARTIAL</t>
        </is>
      </c>
      <c r="E60" s="5">
        <f>IF(B60="I1",AVERAGEIF('QA_Images'!$A$2:$A$41,A60,'QA_Images'!$T$2:$T$41)/100,IF(D60="FULL",1,IF(D60="PARTIAL",0.5,IF(D60="FAIL",0,""))))</f>
        <v/>
      </c>
      <c r="F60" s="5">
        <f>IF(E60="",0,C60*E60)</f>
        <v/>
      </c>
      <c r="G60" s="5">
        <f>IF(B60="I1",20*AVERAGEIF('QA_Images'!$A$2:$A$41,A60,'QA_Images'!$U$2:$U$41)/100,IF(D60="NOT_CHECKED",0,C60))</f>
        <v/>
      </c>
      <c r="H60" s="2" t="inlineStr">
        <is>
          <t>Intent/cannibalization check distinguishes nearby products. Nearby product cluster has overlap risk, so intent distinction remains only partial.</t>
        </is>
      </c>
      <c r="I60" s="2" t="inlineStr">
        <is>
          <t>evidence_batch_019_186</t>
        </is>
      </c>
      <c r="J60" s="2" t="inlineStr">
        <is>
          <t>ISSUE-0036; ISSUE-0037; ISSUE-0038; ISSUE-0039</t>
        </is>
      </c>
    </row>
    <row r="61" ht="42" customHeight="1">
      <c r="A61" s="3" t="inlineStr">
        <is>
          <t>jeminise.com+personalized-baseball-bedding-full-size-flag-custom-name-d-design-11</t>
        </is>
      </c>
      <c r="B61" s="3" t="inlineStr">
        <is>
          <t>K3</t>
        </is>
      </c>
      <c r="C61" s="3" t="n">
        <v>5</v>
      </c>
      <c r="D61" s="3" t="inlineStr">
        <is>
          <t>PARTIAL</t>
        </is>
      </c>
      <c r="E61" s="7">
        <f>IF(B61="I1",AVERAGEIF('QA_Images'!$A$2:$A$41,A61,'QA_Images'!$T$2:$T$41)/100,IF(D61="FULL",1,IF(D61="PARTIAL",0.5,IF(D61="FAIL",0,""))))</f>
        <v/>
      </c>
      <c r="F61" s="7">
        <f>IF(E61="",0,C61*E61)</f>
        <v/>
      </c>
      <c r="G61" s="7">
        <f>IF(B61="I1",20*AVERAGEIF('QA_Images'!$A$2:$A$41,A61,'QA_Images'!$U$2:$U$41)/100,IF(D61="NOT_CHECKED",0,C61))</f>
        <v/>
      </c>
      <c r="H61" s="3" t="inlineStr">
        <is>
          <t>Keyword evidence is supported by SERP comparables without unsupported volume claims. Evidence is public SERP only; no Search Console, keyword volume or customer-search corpus provided.</t>
        </is>
      </c>
      <c r="I61" s="3" t="inlineStr">
        <is>
          <t>evidence_batch_019_186</t>
        </is>
      </c>
      <c r="J61" s="3" t="inlineStr">
        <is>
          <t>ISSUE-0036; ISSUE-0037; ISSUE-0038; ISSUE-0039</t>
        </is>
      </c>
    </row>
    <row r="62" ht="42" customHeight="1">
      <c r="A62" s="2" t="inlineStr">
        <is>
          <t>jeminise.com+personalized-baseball-bedding-full-size-flag-custom-name-d-design-11</t>
        </is>
      </c>
      <c r="B62" s="2" t="inlineStr">
        <is>
          <t>T1</t>
        </is>
      </c>
      <c r="C62" s="2" t="n">
        <v>10</v>
      </c>
      <c r="D62" s="2" t="inlineStr">
        <is>
          <t>PARTIAL</t>
        </is>
      </c>
      <c r="E62" s="5">
        <f>IF(B62="I1",AVERAGEIF('QA_Images'!$A$2:$A$41,A62,'QA_Images'!$T$2:$T$41)/100,IF(D62="FULL",1,IF(D62="PARTIAL",0.5,IF(D62="FAIL",0,""))))</f>
        <v/>
      </c>
      <c r="F62" s="5">
        <f>IF(E62="",0,C62*E62)</f>
        <v/>
      </c>
      <c r="G62" s="5">
        <f>IF(B62="I1",20*AVERAGEIF('QA_Images'!$A$2:$A$41,A62,'QA_Images'!$U$2:$U$41)/100,IF(D62="NOT_CHECKED",0,C62))</f>
        <v/>
      </c>
      <c r="H62" s="2" t="inlineStr">
        <is>
          <t>SEO title and H1 are relevant, specific and grounded in visible/source facts. Proposed H1 is blank, so the title/H1 pair cannot be fully verified.</t>
        </is>
      </c>
      <c r="I62" s="2" t="inlineStr">
        <is>
          <t>evidence_batch_019_186</t>
        </is>
      </c>
      <c r="J62" s="2" t="inlineStr">
        <is>
          <t>ISSUE-0036; ISSUE-0037; ISSUE-0038; ISSUE-0039</t>
        </is>
      </c>
    </row>
    <row r="63" ht="42" customHeight="1">
      <c r="A63" s="3" t="inlineStr">
        <is>
          <t>jeminise.com+personalized-baseball-bedding-full-size-flag-custom-name-d-design-11</t>
        </is>
      </c>
      <c r="B63" s="3" t="inlineStr">
        <is>
          <t>T2</t>
        </is>
      </c>
      <c r="C63" s="3" t="n">
        <v>5</v>
      </c>
      <c r="D63" s="3" t="inlineStr">
        <is>
          <t>PARTIAL</t>
        </is>
      </c>
      <c r="E63" s="7">
        <f>IF(B63="I1",AVERAGEIF('QA_Images'!$A$2:$A$41,A63,'QA_Images'!$T$2:$T$41)/100,IF(D63="FULL",1,IF(D63="PARTIAL",0.5,IF(D63="FAIL",0,""))))</f>
        <v/>
      </c>
      <c r="F63" s="7">
        <f>IF(E63="",0,C63*E63)</f>
        <v/>
      </c>
      <c r="G63" s="7">
        <f>IF(B63="I1",20*AVERAGEIF('QA_Images'!$A$2:$A$41,A63,'QA_Images'!$U$2:$U$41)/100,IF(D63="NOT_CHECKED",0,C63))</f>
        <v/>
      </c>
      <c r="H63" s="3" t="inlineStr">
        <is>
          <t>Meta description is concise, publish-ready and avoids unsupported claims. Meta description checked for length, specificity and supportable claims.</t>
        </is>
      </c>
      <c r="I63" s="3" t="inlineStr">
        <is>
          <t>evidence_batch_019_186</t>
        </is>
      </c>
      <c r="J63" s="3" t="inlineStr">
        <is>
          <t>ISSUE-0036; ISSUE-0037; ISSUE-0038; ISSUE-0039</t>
        </is>
      </c>
    </row>
    <row r="64" ht="42" customHeight="1">
      <c r="A64" s="2" t="inlineStr">
        <is>
          <t>jeminise.com+personalized-baseball-bedding-full-size-flag-custom-name-d-design-11</t>
        </is>
      </c>
      <c r="B64" s="2" t="inlineStr">
        <is>
          <t>D1</t>
        </is>
      </c>
      <c r="C64" s="2" t="n">
        <v>10</v>
      </c>
      <c r="D64" s="2" t="inlineStr">
        <is>
          <t>FAIL</t>
        </is>
      </c>
      <c r="E64" s="5">
        <f>IF(B64="I1",AVERAGEIF('QA_Images'!$A$2:$A$41,A64,'QA_Images'!$T$2:$T$41)/100,IF(D64="FULL",1,IF(D64="PARTIAL",0.5,IF(D64="FAIL",0,""))))</f>
        <v/>
      </c>
      <c r="F64" s="5">
        <f>IF(E64="",0,C64*E64)</f>
        <v/>
      </c>
      <c r="G64" s="5">
        <f>IF(B64="I1",20*AVERAGEIF('QA_Images'!$A$2:$A$41,A64,'QA_Images'!$U$2:$U$41)/100,IF(D64="NOT_CHECKED",0,C64))</f>
        <v/>
      </c>
      <c r="H64" s="2" t="inlineStr">
        <is>
          <t>Description HTML is publish-ready and free of internal draft/QA instructions. Description HTML still contains internal QA/import language.</t>
        </is>
      </c>
      <c r="I64" s="2" t="inlineStr">
        <is>
          <t>evidence_batch_019_186</t>
        </is>
      </c>
      <c r="J64" s="2" t="inlineStr">
        <is>
          <t>ISSUE-0036; ISSUE-0037; ISSUE-0038; ISSUE-0039</t>
        </is>
      </c>
    </row>
    <row r="65" ht="42" customHeight="1">
      <c r="A65" s="3" t="inlineStr">
        <is>
          <t>jeminise.com+personalized-baseball-bedding-full-size-flag-custom-name-d-design-11</t>
        </is>
      </c>
      <c r="B65" s="3" t="inlineStr">
        <is>
          <t>D2</t>
        </is>
      </c>
      <c r="C65" s="3" t="n">
        <v>5</v>
      </c>
      <c r="D65" s="3" t="inlineStr">
        <is>
          <t>PARTIAL</t>
        </is>
      </c>
      <c r="E65" s="7">
        <f>IF(B65="I1",AVERAGEIF('QA_Images'!$A$2:$A$41,A65,'QA_Images'!$T$2:$T$41)/100,IF(D65="FULL",1,IF(D65="PARTIAL",0.5,IF(D65="FAIL",0,""))))</f>
        <v/>
      </c>
      <c r="F65" s="7">
        <f>IF(E65="",0,C65*E65)</f>
        <v/>
      </c>
      <c r="G65" s="7">
        <f>IF(B65="I1",20*AVERAGEIF('QA_Images'!$A$2:$A$41,A65,'QA_Images'!$U$2:$U$41)/100,IF(D65="NOT_CHECKED",0,C65))</f>
        <v/>
      </c>
      <c r="H65" s="3" t="inlineStr">
        <is>
          <t>Description content covers verified design, product type, use case and constraints. Description covers motif/product type but remains templated and does not always map every verified constraint.</t>
        </is>
      </c>
      <c r="I65" s="3" t="inlineStr">
        <is>
          <t>evidence_batch_019_186</t>
        </is>
      </c>
      <c r="J65" s="3" t="inlineStr">
        <is>
          <t>ISSUE-0036; ISSUE-0037; ISSUE-0038; ISSUE-0039</t>
        </is>
      </c>
    </row>
    <row r="66" ht="42" customHeight="1">
      <c r="A66" s="2" t="inlineStr">
        <is>
          <t>jeminise.com+personalized-baseball-bedding-full-size-flag-custom-name-d-design-11</t>
        </is>
      </c>
      <c r="B66" s="2" t="inlineStr">
        <is>
          <t>I1</t>
        </is>
      </c>
      <c r="C66" s="2" t="n">
        <v>20</v>
      </c>
      <c r="D66" s="2" t="inlineStr">
        <is>
          <t>FULL</t>
        </is>
      </c>
      <c r="E66" s="5">
        <f>IF(B66="I1",AVERAGEIF('QA_Images'!$A$2:$A$41,A66,'QA_Images'!$T$2:$T$41)/100,IF(D66="FULL",1,IF(D66="PARTIAL",0.5,IF(D66="FAIL",0,""))))</f>
        <v/>
      </c>
      <c r="F66" s="5">
        <f>IF(E66="",0,C66*E66)</f>
        <v/>
      </c>
      <c r="G66" s="5">
        <f>IF(B66="I1",20*AVERAGEIF('QA_Images'!$A$2:$A$41,A66,'QA_Images'!$U$2:$U$41)/100,IF(D66="NOT_CHECKED",0,C66))</f>
        <v/>
      </c>
      <c r="H66" s="2" t="inlineStr">
        <is>
          <t>Image coverage, image observations and alt text quality, derived from QA_Images. Derived from average image QA score; see QA_Images.</t>
        </is>
      </c>
      <c r="I66" s="2" t="inlineStr">
        <is>
          <t>evidence_batch_019_186</t>
        </is>
      </c>
      <c r="J66" s="2" t="inlineStr">
        <is>
          <t>ISSUE-0036; ISSUE-0037; ISSUE-0038; ISSUE-0039</t>
        </is>
      </c>
    </row>
    <row r="67" ht="42" customHeight="1">
      <c r="A67" s="3" t="inlineStr">
        <is>
          <t>jeminise.com+personalized-baseball-bedding-full-size-flag-custom-name-d-design-11</t>
        </is>
      </c>
      <c r="B67" s="3" t="inlineStr">
        <is>
          <t>E1</t>
        </is>
      </c>
      <c r="C67" s="3" t="n">
        <v>5</v>
      </c>
      <c r="D67" s="3" t="inlineStr">
        <is>
          <t>PARTIAL</t>
        </is>
      </c>
      <c r="E67" s="7">
        <f>IF(B67="I1",AVERAGEIF('QA_Images'!$A$2:$A$41,A67,'QA_Images'!$T$2:$T$41)/100,IF(D67="FULL",1,IF(D67="PARTIAL",0.5,IF(D67="FAIL",0,""))))</f>
        <v/>
      </c>
      <c r="F67" s="7">
        <f>IF(E67="",0,C67*E67)</f>
        <v/>
      </c>
      <c r="G67" s="7">
        <f>IF(B67="I1",20*AVERAGEIF('QA_Images'!$A$2:$A$41,A67,'QA_Images'!$U$2:$U$41)/100,IF(D67="NOT_CHECKED",0,C67))</f>
        <v/>
      </c>
      <c r="H67" s="3" t="inlineStr">
        <is>
          <t>Evidence chain is traceable and limitations are explicitly separated from failures. Evidence chain is traceable, with admin-export limitation explicitly separated.</t>
        </is>
      </c>
      <c r="I67" s="3" t="inlineStr">
        <is>
          <t>evidence_batch_019_186</t>
        </is>
      </c>
      <c r="J67" s="3" t="inlineStr">
        <is>
          <t>ISSUE-0036; ISSUE-0037; ISSUE-0038; ISSUE-0039</t>
        </is>
      </c>
    </row>
    <row r="68" ht="42" customHeight="1">
      <c r="A68" s="2" t="inlineStr">
        <is>
          <t>jeminise.com+personalized-baseball-bedding-full-size-flag-custom-name-d-design-12</t>
        </is>
      </c>
      <c r="B68" s="2" t="inlineStr">
        <is>
          <t>P1</t>
        </is>
      </c>
      <c r="C68" s="2" t="n">
        <v>15</v>
      </c>
      <c r="D68" s="2" t="inlineStr">
        <is>
          <t>FULL</t>
        </is>
      </c>
      <c r="E68" s="5">
        <f>IF(B68="I1",AVERAGEIF('QA_Images'!$A$2:$A$41,A68,'QA_Images'!$T$2:$T$41)/100,IF(D68="FULL",1,IF(D68="PARTIAL",0.5,IF(D68="FAIL",0,""))))</f>
        <v/>
      </c>
      <c r="F68" s="5">
        <f>IF(E68="",0,C68*E68)</f>
        <v/>
      </c>
      <c r="G68" s="5">
        <f>IF(B68="I1",20*AVERAGEIF('QA_Images'!$A$2:$A$41,A68,'QA_Images'!$U$2:$U$41)/100,IF(D68="NOT_CHECKED",0,C68))</f>
        <v/>
      </c>
      <c r="H68" s="2" t="inlineStr">
        <is>
          <t>Product identity, handle, product ID, URL and canonical match source/live evidence. Product key/handle/product ID/canonical checked against frozen workbook and live product evidence.</t>
        </is>
      </c>
      <c r="I68" s="2" t="inlineStr">
        <is>
          <t>evidence_batch_019_187</t>
        </is>
      </c>
      <c r="J68" s="2" t="inlineStr">
        <is>
          <t>ISSUE-0043; ISSUE-0044; ISSUE-0045; ISSUE-0046</t>
        </is>
      </c>
    </row>
    <row r="69" ht="42" customHeight="1">
      <c r="A69" s="3" t="inlineStr">
        <is>
          <t>jeminise.com+personalized-baseball-bedding-full-size-flag-custom-name-d-design-12</t>
        </is>
      </c>
      <c r="B69" s="3" t="inlineStr">
        <is>
          <t>P2</t>
        </is>
      </c>
      <c r="C69" s="3" t="n">
        <v>10</v>
      </c>
      <c r="D69" s="3" t="inlineStr">
        <is>
          <t>PARTIAL</t>
        </is>
      </c>
      <c r="E69" s="7">
        <f>IF(B69="I1",AVERAGEIF('QA_Images'!$A$2:$A$41,A69,'QA_Images'!$T$2:$T$41)/100,IF(D69="FULL",1,IF(D69="PARTIAL",0.5,IF(D69="FAIL",0,""))))</f>
        <v/>
      </c>
      <c r="F69" s="7">
        <f>IF(E69="",0,C69*E69)</f>
        <v/>
      </c>
      <c r="G69" s="7">
        <f>IF(B69="I1",20*AVERAGEIF('QA_Images'!$A$2:$A$41,A69,'QA_Images'!$U$2:$U$41)/100,IF(D69="NOT_CHECKED",0,C69))</f>
        <v/>
      </c>
      <c r="H69" s="3" t="inlineStr">
        <is>
          <t>Source product facts, variants, specifications and personalization claims are evidence-backed. Personalization/specification claims checked against storefront product.js and static customizer config.</t>
        </is>
      </c>
      <c r="I69" s="3" t="inlineStr">
        <is>
          <t>evidence_batch_019_187</t>
        </is>
      </c>
      <c r="J69" s="3" t="inlineStr">
        <is>
          <t>ISSUE-0043; ISSUE-0044; ISSUE-0045; ISSUE-0046</t>
        </is>
      </c>
    </row>
    <row r="70" ht="42" customHeight="1">
      <c r="A70" s="2" t="inlineStr">
        <is>
          <t>jeminise.com+personalized-baseball-bedding-full-size-flag-custom-name-d-design-12</t>
        </is>
      </c>
      <c r="B70" s="2" t="inlineStr">
        <is>
          <t>K1</t>
        </is>
      </c>
      <c r="C70" s="2" t="n">
        <v>10</v>
      </c>
      <c r="D70" s="2" t="inlineStr">
        <is>
          <t>PARTIAL</t>
        </is>
      </c>
      <c r="E70" s="5">
        <f>IF(B70="I1",AVERAGEIF('QA_Images'!$A$2:$A$41,A70,'QA_Images'!$T$2:$T$41)/100,IF(D70="FULL",1,IF(D70="PARTIAL",0.5,IF(D70="FAIL",0,""))))</f>
        <v/>
      </c>
      <c r="F70" s="5">
        <f>IF(E70="",0,C70*E70)</f>
        <v/>
      </c>
      <c r="G70" s="5">
        <f>IF(B70="I1",20*AVERAGEIF('QA_Images'!$A$2:$A$41,A70,'QA_Images'!$U$2:$U$41)/100,IF(D70="NOT_CHECKED",0,C70))</f>
        <v/>
      </c>
      <c r="H70" s="2" t="inlineStr">
        <is>
          <t>Primary keyword aligns with product-level US purchase intent. Primary keyword rechecked against US product-level SERP comparables.</t>
        </is>
      </c>
      <c r="I70" s="2" t="inlineStr">
        <is>
          <t>evidence_batch_019_187</t>
        </is>
      </c>
      <c r="J70" s="2" t="inlineStr">
        <is>
          <t>ISSUE-0043; ISSUE-0044; ISSUE-0045; ISSUE-0046</t>
        </is>
      </c>
    </row>
    <row r="71" ht="42" customHeight="1">
      <c r="A71" s="3" t="inlineStr">
        <is>
          <t>jeminise.com+personalized-baseball-bedding-full-size-flag-custom-name-d-design-12</t>
        </is>
      </c>
      <c r="B71" s="3" t="inlineStr">
        <is>
          <t>K2</t>
        </is>
      </c>
      <c r="C71" s="3" t="n">
        <v>5</v>
      </c>
      <c r="D71" s="3" t="inlineStr">
        <is>
          <t>PARTIAL</t>
        </is>
      </c>
      <c r="E71" s="7">
        <f>IF(B71="I1",AVERAGEIF('QA_Images'!$A$2:$A$41,A71,'QA_Images'!$T$2:$T$41)/100,IF(D71="FULL",1,IF(D71="PARTIAL",0.5,IF(D71="FAIL",0,""))))</f>
        <v/>
      </c>
      <c r="F71" s="7">
        <f>IF(E71="",0,C71*E71)</f>
        <v/>
      </c>
      <c r="G71" s="7">
        <f>IF(B71="I1",20*AVERAGEIF('QA_Images'!$A$2:$A$41,A71,'QA_Images'!$U$2:$U$41)/100,IF(D71="NOT_CHECKED",0,C71))</f>
        <v/>
      </c>
      <c r="H71" s="3" t="inlineStr">
        <is>
          <t>Intent/cannibalization check distinguishes nearby products. Nearby product cluster has overlap risk, so intent distinction remains only partial.</t>
        </is>
      </c>
      <c r="I71" s="3" t="inlineStr">
        <is>
          <t>evidence_batch_019_187</t>
        </is>
      </c>
      <c r="J71" s="3" t="inlineStr">
        <is>
          <t>ISSUE-0043; ISSUE-0044; ISSUE-0045; ISSUE-0046</t>
        </is>
      </c>
    </row>
    <row r="72" ht="42" customHeight="1">
      <c r="A72" s="2" t="inlineStr">
        <is>
          <t>jeminise.com+personalized-baseball-bedding-full-size-flag-custom-name-d-design-12</t>
        </is>
      </c>
      <c r="B72" s="2" t="inlineStr">
        <is>
          <t>K3</t>
        </is>
      </c>
      <c r="C72" s="2" t="n">
        <v>5</v>
      </c>
      <c r="D72" s="2" t="inlineStr">
        <is>
          <t>PARTIAL</t>
        </is>
      </c>
      <c r="E72" s="5">
        <f>IF(B72="I1",AVERAGEIF('QA_Images'!$A$2:$A$41,A72,'QA_Images'!$T$2:$T$41)/100,IF(D72="FULL",1,IF(D72="PARTIAL",0.5,IF(D72="FAIL",0,""))))</f>
        <v/>
      </c>
      <c r="F72" s="5">
        <f>IF(E72="",0,C72*E72)</f>
        <v/>
      </c>
      <c r="G72" s="5">
        <f>IF(B72="I1",20*AVERAGEIF('QA_Images'!$A$2:$A$41,A72,'QA_Images'!$U$2:$U$41)/100,IF(D72="NOT_CHECKED",0,C72))</f>
        <v/>
      </c>
      <c r="H72" s="2" t="inlineStr">
        <is>
          <t>Keyword evidence is supported by SERP comparables without unsupported volume claims. Evidence is public SERP only; no Search Console, keyword volume or customer-search corpus provided.</t>
        </is>
      </c>
      <c r="I72" s="2" t="inlineStr">
        <is>
          <t>evidence_batch_019_187</t>
        </is>
      </c>
      <c r="J72" s="2" t="inlineStr">
        <is>
          <t>ISSUE-0043; ISSUE-0044; ISSUE-0045; ISSUE-0046</t>
        </is>
      </c>
    </row>
    <row r="73" ht="42" customHeight="1">
      <c r="A73" s="3" t="inlineStr">
        <is>
          <t>jeminise.com+personalized-baseball-bedding-full-size-flag-custom-name-d-design-12</t>
        </is>
      </c>
      <c r="B73" s="3" t="inlineStr">
        <is>
          <t>T1</t>
        </is>
      </c>
      <c r="C73" s="3" t="n">
        <v>10</v>
      </c>
      <c r="D73" s="3" t="inlineStr">
        <is>
          <t>PARTIAL</t>
        </is>
      </c>
      <c r="E73" s="7">
        <f>IF(B73="I1",AVERAGEIF('QA_Images'!$A$2:$A$41,A73,'QA_Images'!$T$2:$T$41)/100,IF(D73="FULL",1,IF(D73="PARTIAL",0.5,IF(D73="FAIL",0,""))))</f>
        <v/>
      </c>
      <c r="F73" s="7">
        <f>IF(E73="",0,C73*E73)</f>
        <v/>
      </c>
      <c r="G73" s="7">
        <f>IF(B73="I1",20*AVERAGEIF('QA_Images'!$A$2:$A$41,A73,'QA_Images'!$U$2:$U$41)/100,IF(D73="NOT_CHECKED",0,C73))</f>
        <v/>
      </c>
      <c r="H73" s="3" t="inlineStr">
        <is>
          <t>SEO title and H1 are relevant, specific and grounded in visible/source facts. Proposed H1 is blank, so the title/H1 pair cannot be fully verified.</t>
        </is>
      </c>
      <c r="I73" s="3" t="inlineStr">
        <is>
          <t>evidence_batch_019_187</t>
        </is>
      </c>
      <c r="J73" s="3" t="inlineStr">
        <is>
          <t>ISSUE-0043; ISSUE-0044; ISSUE-0045; ISSUE-0046</t>
        </is>
      </c>
    </row>
    <row r="74" ht="42" customHeight="1">
      <c r="A74" s="2" t="inlineStr">
        <is>
          <t>jeminise.com+personalized-baseball-bedding-full-size-flag-custom-name-d-design-12</t>
        </is>
      </c>
      <c r="B74" s="2" t="inlineStr">
        <is>
          <t>T2</t>
        </is>
      </c>
      <c r="C74" s="2" t="n">
        <v>5</v>
      </c>
      <c r="D74" s="2" t="inlineStr">
        <is>
          <t>PARTIAL</t>
        </is>
      </c>
      <c r="E74" s="5">
        <f>IF(B74="I1",AVERAGEIF('QA_Images'!$A$2:$A$41,A74,'QA_Images'!$T$2:$T$41)/100,IF(D74="FULL",1,IF(D74="PARTIAL",0.5,IF(D74="FAIL",0,""))))</f>
        <v/>
      </c>
      <c r="F74" s="5">
        <f>IF(E74="",0,C74*E74)</f>
        <v/>
      </c>
      <c r="G74" s="5">
        <f>IF(B74="I1",20*AVERAGEIF('QA_Images'!$A$2:$A$41,A74,'QA_Images'!$U$2:$U$41)/100,IF(D74="NOT_CHECKED",0,C74))</f>
        <v/>
      </c>
      <c r="H74" s="2" t="inlineStr">
        <is>
          <t>Meta description is concise, publish-ready and avoids unsupported claims. Meta description checked for length, specificity and supportable claims.</t>
        </is>
      </c>
      <c r="I74" s="2" t="inlineStr">
        <is>
          <t>evidence_batch_019_187</t>
        </is>
      </c>
      <c r="J74" s="2" t="inlineStr">
        <is>
          <t>ISSUE-0043; ISSUE-0044; ISSUE-0045; ISSUE-0046</t>
        </is>
      </c>
    </row>
    <row r="75" ht="42" customHeight="1">
      <c r="A75" s="3" t="inlineStr">
        <is>
          <t>jeminise.com+personalized-baseball-bedding-full-size-flag-custom-name-d-design-12</t>
        </is>
      </c>
      <c r="B75" s="3" t="inlineStr">
        <is>
          <t>D1</t>
        </is>
      </c>
      <c r="C75" s="3" t="n">
        <v>10</v>
      </c>
      <c r="D75" s="3" t="inlineStr">
        <is>
          <t>FAIL</t>
        </is>
      </c>
      <c r="E75" s="7">
        <f>IF(B75="I1",AVERAGEIF('QA_Images'!$A$2:$A$41,A75,'QA_Images'!$T$2:$T$41)/100,IF(D75="FULL",1,IF(D75="PARTIAL",0.5,IF(D75="FAIL",0,""))))</f>
        <v/>
      </c>
      <c r="F75" s="7">
        <f>IF(E75="",0,C75*E75)</f>
        <v/>
      </c>
      <c r="G75" s="7">
        <f>IF(B75="I1",20*AVERAGEIF('QA_Images'!$A$2:$A$41,A75,'QA_Images'!$U$2:$U$41)/100,IF(D75="NOT_CHECKED",0,C75))</f>
        <v/>
      </c>
      <c r="H75" s="3" t="inlineStr">
        <is>
          <t>Description HTML is publish-ready and free of internal draft/QA instructions. Description HTML still contains internal QA/import language.</t>
        </is>
      </c>
      <c r="I75" s="3" t="inlineStr">
        <is>
          <t>evidence_batch_019_187</t>
        </is>
      </c>
      <c r="J75" s="3" t="inlineStr">
        <is>
          <t>ISSUE-0043; ISSUE-0044; ISSUE-0045; ISSUE-0046</t>
        </is>
      </c>
    </row>
    <row r="76" ht="42" customHeight="1">
      <c r="A76" s="2" t="inlineStr">
        <is>
          <t>jeminise.com+personalized-baseball-bedding-full-size-flag-custom-name-d-design-12</t>
        </is>
      </c>
      <c r="B76" s="2" t="inlineStr">
        <is>
          <t>D2</t>
        </is>
      </c>
      <c r="C76" s="2" t="n">
        <v>5</v>
      </c>
      <c r="D76" s="2" t="inlineStr">
        <is>
          <t>PARTIAL</t>
        </is>
      </c>
      <c r="E76" s="5">
        <f>IF(B76="I1",AVERAGEIF('QA_Images'!$A$2:$A$41,A76,'QA_Images'!$T$2:$T$41)/100,IF(D76="FULL",1,IF(D76="PARTIAL",0.5,IF(D76="FAIL",0,""))))</f>
        <v/>
      </c>
      <c r="F76" s="5">
        <f>IF(E76="",0,C76*E76)</f>
        <v/>
      </c>
      <c r="G76" s="5">
        <f>IF(B76="I1",20*AVERAGEIF('QA_Images'!$A$2:$A$41,A76,'QA_Images'!$U$2:$U$41)/100,IF(D76="NOT_CHECKED",0,C76))</f>
        <v/>
      </c>
      <c r="H76" s="2" t="inlineStr">
        <is>
          <t>Description content covers verified design, product type, use case and constraints. Description covers motif/product type but remains templated and does not always map every verified constraint.</t>
        </is>
      </c>
      <c r="I76" s="2" t="inlineStr">
        <is>
          <t>evidence_batch_019_187</t>
        </is>
      </c>
      <c r="J76" s="2" t="inlineStr">
        <is>
          <t>ISSUE-0043; ISSUE-0044; ISSUE-0045; ISSUE-0046</t>
        </is>
      </c>
    </row>
    <row r="77" ht="42" customHeight="1">
      <c r="A77" s="3" t="inlineStr">
        <is>
          <t>jeminise.com+personalized-baseball-bedding-full-size-flag-custom-name-d-design-12</t>
        </is>
      </c>
      <c r="B77" s="3" t="inlineStr">
        <is>
          <t>I1</t>
        </is>
      </c>
      <c r="C77" s="3" t="n">
        <v>20</v>
      </c>
      <c r="D77" s="3" t="inlineStr">
        <is>
          <t>FULL</t>
        </is>
      </c>
      <c r="E77" s="7">
        <f>IF(B77="I1",AVERAGEIF('QA_Images'!$A$2:$A$41,A77,'QA_Images'!$T$2:$T$41)/100,IF(D77="FULL",1,IF(D77="PARTIAL",0.5,IF(D77="FAIL",0,""))))</f>
        <v/>
      </c>
      <c r="F77" s="7">
        <f>IF(E77="",0,C77*E77)</f>
        <v/>
      </c>
      <c r="G77" s="7">
        <f>IF(B77="I1",20*AVERAGEIF('QA_Images'!$A$2:$A$41,A77,'QA_Images'!$U$2:$U$41)/100,IF(D77="NOT_CHECKED",0,C77))</f>
        <v/>
      </c>
      <c r="H77" s="3" t="inlineStr">
        <is>
          <t>Image coverage, image observations and alt text quality, derived from QA_Images. Derived from average image QA score; see QA_Images.</t>
        </is>
      </c>
      <c r="I77" s="3" t="inlineStr">
        <is>
          <t>evidence_batch_019_187</t>
        </is>
      </c>
      <c r="J77" s="3" t="inlineStr">
        <is>
          <t>ISSUE-0043; ISSUE-0044; ISSUE-0045; ISSUE-0046</t>
        </is>
      </c>
    </row>
    <row r="78" ht="42" customHeight="1">
      <c r="A78" s="2" t="inlineStr">
        <is>
          <t>jeminise.com+personalized-baseball-bedding-full-size-flag-custom-name-d-design-12</t>
        </is>
      </c>
      <c r="B78" s="2" t="inlineStr">
        <is>
          <t>E1</t>
        </is>
      </c>
      <c r="C78" s="2" t="n">
        <v>5</v>
      </c>
      <c r="D78" s="2" t="inlineStr">
        <is>
          <t>PARTIAL</t>
        </is>
      </c>
      <c r="E78" s="5">
        <f>IF(B78="I1",AVERAGEIF('QA_Images'!$A$2:$A$41,A78,'QA_Images'!$T$2:$T$41)/100,IF(D78="FULL",1,IF(D78="PARTIAL",0.5,IF(D78="FAIL",0,""))))</f>
        <v/>
      </c>
      <c r="F78" s="5">
        <f>IF(E78="",0,C78*E78)</f>
        <v/>
      </c>
      <c r="G78" s="5">
        <f>IF(B78="I1",20*AVERAGEIF('QA_Images'!$A$2:$A$41,A78,'QA_Images'!$U$2:$U$41)/100,IF(D78="NOT_CHECKED",0,C78))</f>
        <v/>
      </c>
      <c r="H78" s="2" t="inlineStr">
        <is>
          <t>Evidence chain is traceable and limitations are explicitly separated from failures. Evidence chain is traceable, with admin-export limitation explicitly separated.</t>
        </is>
      </c>
      <c r="I78" s="2" t="inlineStr">
        <is>
          <t>evidence_batch_019_187</t>
        </is>
      </c>
      <c r="J78" s="2" t="inlineStr">
        <is>
          <t>ISSUE-0043; ISSUE-0044; ISSUE-0045; ISSUE-0046</t>
        </is>
      </c>
    </row>
    <row r="79" ht="42" customHeight="1">
      <c r="A79" s="3" t="inlineStr">
        <is>
          <t>jeminise.com+personalized-baseball-bedding-full-size-flag-custom-name-d-design-13</t>
        </is>
      </c>
      <c r="B79" s="3" t="inlineStr">
        <is>
          <t>P1</t>
        </is>
      </c>
      <c r="C79" s="3" t="n">
        <v>15</v>
      </c>
      <c r="D79" s="3" t="inlineStr">
        <is>
          <t>FULL</t>
        </is>
      </c>
      <c r="E79" s="7">
        <f>IF(B79="I1",AVERAGEIF('QA_Images'!$A$2:$A$41,A79,'QA_Images'!$T$2:$T$41)/100,IF(D79="FULL",1,IF(D79="PARTIAL",0.5,IF(D79="FAIL",0,""))))</f>
        <v/>
      </c>
      <c r="F79" s="7">
        <f>IF(E79="",0,C79*E79)</f>
        <v/>
      </c>
      <c r="G79" s="7">
        <f>IF(B79="I1",20*AVERAGEIF('QA_Images'!$A$2:$A$41,A79,'QA_Images'!$U$2:$U$41)/100,IF(D79="NOT_CHECKED",0,C79))</f>
        <v/>
      </c>
      <c r="H79" s="3" t="inlineStr">
        <is>
          <t>Product identity, handle, product ID, URL and canonical match source/live evidence. Product key/handle/product ID/canonical checked against frozen workbook and live product evidence.</t>
        </is>
      </c>
      <c r="I79" s="3" t="inlineStr">
        <is>
          <t>evidence_batch_019_188</t>
        </is>
      </c>
      <c r="J79" s="3" t="inlineStr">
        <is>
          <t>ISSUE-0050; ISSUE-0051; ISSUE-0052; ISSUE-0053</t>
        </is>
      </c>
    </row>
    <row r="80" ht="42" customHeight="1">
      <c r="A80" s="2" t="inlineStr">
        <is>
          <t>jeminise.com+personalized-baseball-bedding-full-size-flag-custom-name-d-design-13</t>
        </is>
      </c>
      <c r="B80" s="2" t="inlineStr">
        <is>
          <t>P2</t>
        </is>
      </c>
      <c r="C80" s="2" t="n">
        <v>10</v>
      </c>
      <c r="D80" s="2" t="inlineStr">
        <is>
          <t>PARTIAL</t>
        </is>
      </c>
      <c r="E80" s="5">
        <f>IF(B80="I1",AVERAGEIF('QA_Images'!$A$2:$A$41,A80,'QA_Images'!$T$2:$T$41)/100,IF(D80="FULL",1,IF(D80="PARTIAL",0.5,IF(D80="FAIL",0,""))))</f>
        <v/>
      </c>
      <c r="F80" s="5">
        <f>IF(E80="",0,C80*E80)</f>
        <v/>
      </c>
      <c r="G80" s="5">
        <f>IF(B80="I1",20*AVERAGEIF('QA_Images'!$A$2:$A$41,A80,'QA_Images'!$U$2:$U$41)/100,IF(D80="NOT_CHECKED",0,C80))</f>
        <v/>
      </c>
      <c r="H80" s="2" t="inlineStr">
        <is>
          <t>Source product facts, variants, specifications and personalization claims are evidence-backed. Personalization/specification claims checked against storefront product.js and static customizer config.</t>
        </is>
      </c>
      <c r="I80" s="2" t="inlineStr">
        <is>
          <t>evidence_batch_019_188</t>
        </is>
      </c>
      <c r="J80" s="2" t="inlineStr">
        <is>
          <t>ISSUE-0050; ISSUE-0051; ISSUE-0052; ISSUE-0053</t>
        </is>
      </c>
    </row>
    <row r="81" ht="42" customHeight="1">
      <c r="A81" s="3" t="inlineStr">
        <is>
          <t>jeminise.com+personalized-baseball-bedding-full-size-flag-custom-name-d-design-13</t>
        </is>
      </c>
      <c r="B81" s="3" t="inlineStr">
        <is>
          <t>K1</t>
        </is>
      </c>
      <c r="C81" s="3" t="n">
        <v>10</v>
      </c>
      <c r="D81" s="3" t="inlineStr">
        <is>
          <t>PARTIAL</t>
        </is>
      </c>
      <c r="E81" s="7">
        <f>IF(B81="I1",AVERAGEIF('QA_Images'!$A$2:$A$41,A81,'QA_Images'!$T$2:$T$41)/100,IF(D81="FULL",1,IF(D81="PARTIAL",0.5,IF(D81="FAIL",0,""))))</f>
        <v/>
      </c>
      <c r="F81" s="7">
        <f>IF(E81="",0,C81*E81)</f>
        <v/>
      </c>
      <c r="G81" s="7">
        <f>IF(B81="I1",20*AVERAGEIF('QA_Images'!$A$2:$A$41,A81,'QA_Images'!$U$2:$U$41)/100,IF(D81="NOT_CHECKED",0,C81))</f>
        <v/>
      </c>
      <c r="H81" s="3" t="inlineStr">
        <is>
          <t>Primary keyword aligns with product-level US purchase intent. Primary keyword rechecked against US product-level SERP comparables.</t>
        </is>
      </c>
      <c r="I81" s="3" t="inlineStr">
        <is>
          <t>evidence_batch_019_188</t>
        </is>
      </c>
      <c r="J81" s="3" t="inlineStr">
        <is>
          <t>ISSUE-0050; ISSUE-0051; ISSUE-0052; ISSUE-0053</t>
        </is>
      </c>
    </row>
    <row r="82" ht="42" customHeight="1">
      <c r="A82" s="2" t="inlineStr">
        <is>
          <t>jeminise.com+personalized-baseball-bedding-full-size-flag-custom-name-d-design-13</t>
        </is>
      </c>
      <c r="B82" s="2" t="inlineStr">
        <is>
          <t>K2</t>
        </is>
      </c>
      <c r="C82" s="2" t="n">
        <v>5</v>
      </c>
      <c r="D82" s="2" t="inlineStr">
        <is>
          <t>PARTIAL</t>
        </is>
      </c>
      <c r="E82" s="5">
        <f>IF(B82="I1",AVERAGEIF('QA_Images'!$A$2:$A$41,A82,'QA_Images'!$T$2:$T$41)/100,IF(D82="FULL",1,IF(D82="PARTIAL",0.5,IF(D82="FAIL",0,""))))</f>
        <v/>
      </c>
      <c r="F82" s="5">
        <f>IF(E82="",0,C82*E82)</f>
        <v/>
      </c>
      <c r="G82" s="5">
        <f>IF(B82="I1",20*AVERAGEIF('QA_Images'!$A$2:$A$41,A82,'QA_Images'!$U$2:$U$41)/100,IF(D82="NOT_CHECKED",0,C82))</f>
        <v/>
      </c>
      <c r="H82" s="2" t="inlineStr">
        <is>
          <t>Intent/cannibalization check distinguishes nearby products. Nearby product cluster has overlap risk, so intent distinction remains only partial.</t>
        </is>
      </c>
      <c r="I82" s="2" t="inlineStr">
        <is>
          <t>evidence_batch_019_188</t>
        </is>
      </c>
      <c r="J82" s="2" t="inlineStr">
        <is>
          <t>ISSUE-0050; ISSUE-0051; ISSUE-0052; ISSUE-0053</t>
        </is>
      </c>
    </row>
    <row r="83" ht="42" customHeight="1">
      <c r="A83" s="3" t="inlineStr">
        <is>
          <t>jeminise.com+personalized-baseball-bedding-full-size-flag-custom-name-d-design-13</t>
        </is>
      </c>
      <c r="B83" s="3" t="inlineStr">
        <is>
          <t>K3</t>
        </is>
      </c>
      <c r="C83" s="3" t="n">
        <v>5</v>
      </c>
      <c r="D83" s="3" t="inlineStr">
        <is>
          <t>PARTIAL</t>
        </is>
      </c>
      <c r="E83" s="7">
        <f>IF(B83="I1",AVERAGEIF('QA_Images'!$A$2:$A$41,A83,'QA_Images'!$T$2:$T$41)/100,IF(D83="FULL",1,IF(D83="PARTIAL",0.5,IF(D83="FAIL",0,""))))</f>
        <v/>
      </c>
      <c r="F83" s="7">
        <f>IF(E83="",0,C83*E83)</f>
        <v/>
      </c>
      <c r="G83" s="7">
        <f>IF(B83="I1",20*AVERAGEIF('QA_Images'!$A$2:$A$41,A83,'QA_Images'!$U$2:$U$41)/100,IF(D83="NOT_CHECKED",0,C83))</f>
        <v/>
      </c>
      <c r="H83" s="3" t="inlineStr">
        <is>
          <t>Keyword evidence is supported by SERP comparables without unsupported volume claims. Evidence is public SERP only; no Search Console, keyword volume or customer-search corpus provided.</t>
        </is>
      </c>
      <c r="I83" s="3" t="inlineStr">
        <is>
          <t>evidence_batch_019_188</t>
        </is>
      </c>
      <c r="J83" s="3" t="inlineStr">
        <is>
          <t>ISSUE-0050; ISSUE-0051; ISSUE-0052; ISSUE-0053</t>
        </is>
      </c>
    </row>
    <row r="84" ht="42" customHeight="1">
      <c r="A84" s="2" t="inlineStr">
        <is>
          <t>jeminise.com+personalized-baseball-bedding-full-size-flag-custom-name-d-design-13</t>
        </is>
      </c>
      <c r="B84" s="2" t="inlineStr">
        <is>
          <t>T1</t>
        </is>
      </c>
      <c r="C84" s="2" t="n">
        <v>10</v>
      </c>
      <c r="D84" s="2" t="inlineStr">
        <is>
          <t>PARTIAL</t>
        </is>
      </c>
      <c r="E84" s="5">
        <f>IF(B84="I1",AVERAGEIF('QA_Images'!$A$2:$A$41,A84,'QA_Images'!$T$2:$T$41)/100,IF(D84="FULL",1,IF(D84="PARTIAL",0.5,IF(D84="FAIL",0,""))))</f>
        <v/>
      </c>
      <c r="F84" s="5">
        <f>IF(E84="",0,C84*E84)</f>
        <v/>
      </c>
      <c r="G84" s="5">
        <f>IF(B84="I1",20*AVERAGEIF('QA_Images'!$A$2:$A$41,A84,'QA_Images'!$U$2:$U$41)/100,IF(D84="NOT_CHECKED",0,C84))</f>
        <v/>
      </c>
      <c r="H84" s="2" t="inlineStr">
        <is>
          <t>SEO title and H1 are relevant, specific and grounded in visible/source facts. Proposed H1 is blank, so the title/H1 pair cannot be fully verified.</t>
        </is>
      </c>
      <c r="I84" s="2" t="inlineStr">
        <is>
          <t>evidence_batch_019_188</t>
        </is>
      </c>
      <c r="J84" s="2" t="inlineStr">
        <is>
          <t>ISSUE-0050; ISSUE-0051; ISSUE-0052; ISSUE-0053</t>
        </is>
      </c>
    </row>
    <row r="85" ht="42" customHeight="1">
      <c r="A85" s="3" t="inlineStr">
        <is>
          <t>jeminise.com+personalized-baseball-bedding-full-size-flag-custom-name-d-design-13</t>
        </is>
      </c>
      <c r="B85" s="3" t="inlineStr">
        <is>
          <t>T2</t>
        </is>
      </c>
      <c r="C85" s="3" t="n">
        <v>5</v>
      </c>
      <c r="D85" s="3" t="inlineStr">
        <is>
          <t>PARTIAL</t>
        </is>
      </c>
      <c r="E85" s="7">
        <f>IF(B85="I1",AVERAGEIF('QA_Images'!$A$2:$A$41,A85,'QA_Images'!$T$2:$T$41)/100,IF(D85="FULL",1,IF(D85="PARTIAL",0.5,IF(D85="FAIL",0,""))))</f>
        <v/>
      </c>
      <c r="F85" s="7">
        <f>IF(E85="",0,C85*E85)</f>
        <v/>
      </c>
      <c r="G85" s="7">
        <f>IF(B85="I1",20*AVERAGEIF('QA_Images'!$A$2:$A$41,A85,'QA_Images'!$U$2:$U$41)/100,IF(D85="NOT_CHECKED",0,C85))</f>
        <v/>
      </c>
      <c r="H85" s="3" t="inlineStr">
        <is>
          <t>Meta description is concise, publish-ready and avoids unsupported claims. Meta description checked for length, specificity and supportable claims.</t>
        </is>
      </c>
      <c r="I85" s="3" t="inlineStr">
        <is>
          <t>evidence_batch_019_188</t>
        </is>
      </c>
      <c r="J85" s="3" t="inlineStr">
        <is>
          <t>ISSUE-0050; ISSUE-0051; ISSUE-0052; ISSUE-0053</t>
        </is>
      </c>
    </row>
    <row r="86" ht="42" customHeight="1">
      <c r="A86" s="2" t="inlineStr">
        <is>
          <t>jeminise.com+personalized-baseball-bedding-full-size-flag-custom-name-d-design-13</t>
        </is>
      </c>
      <c r="B86" s="2" t="inlineStr">
        <is>
          <t>D1</t>
        </is>
      </c>
      <c r="C86" s="2" t="n">
        <v>10</v>
      </c>
      <c r="D86" s="2" t="inlineStr">
        <is>
          <t>FAIL</t>
        </is>
      </c>
      <c r="E86" s="5">
        <f>IF(B86="I1",AVERAGEIF('QA_Images'!$A$2:$A$41,A86,'QA_Images'!$T$2:$T$41)/100,IF(D86="FULL",1,IF(D86="PARTIAL",0.5,IF(D86="FAIL",0,""))))</f>
        <v/>
      </c>
      <c r="F86" s="5">
        <f>IF(E86="",0,C86*E86)</f>
        <v/>
      </c>
      <c r="G86" s="5">
        <f>IF(B86="I1",20*AVERAGEIF('QA_Images'!$A$2:$A$41,A86,'QA_Images'!$U$2:$U$41)/100,IF(D86="NOT_CHECKED",0,C86))</f>
        <v/>
      </c>
      <c r="H86" s="2" t="inlineStr">
        <is>
          <t>Description HTML is publish-ready and free of internal draft/QA instructions. Description HTML still contains internal QA/import language.</t>
        </is>
      </c>
      <c r="I86" s="2" t="inlineStr">
        <is>
          <t>evidence_batch_019_188</t>
        </is>
      </c>
      <c r="J86" s="2" t="inlineStr">
        <is>
          <t>ISSUE-0050; ISSUE-0051; ISSUE-0052; ISSUE-0053</t>
        </is>
      </c>
    </row>
    <row r="87" ht="42" customHeight="1">
      <c r="A87" s="3" t="inlineStr">
        <is>
          <t>jeminise.com+personalized-baseball-bedding-full-size-flag-custom-name-d-design-13</t>
        </is>
      </c>
      <c r="B87" s="3" t="inlineStr">
        <is>
          <t>D2</t>
        </is>
      </c>
      <c r="C87" s="3" t="n">
        <v>5</v>
      </c>
      <c r="D87" s="3" t="inlineStr">
        <is>
          <t>PARTIAL</t>
        </is>
      </c>
      <c r="E87" s="7">
        <f>IF(B87="I1",AVERAGEIF('QA_Images'!$A$2:$A$41,A87,'QA_Images'!$T$2:$T$41)/100,IF(D87="FULL",1,IF(D87="PARTIAL",0.5,IF(D87="FAIL",0,""))))</f>
        <v/>
      </c>
      <c r="F87" s="7">
        <f>IF(E87="",0,C87*E87)</f>
        <v/>
      </c>
      <c r="G87" s="7">
        <f>IF(B87="I1",20*AVERAGEIF('QA_Images'!$A$2:$A$41,A87,'QA_Images'!$U$2:$U$41)/100,IF(D87="NOT_CHECKED",0,C87))</f>
        <v/>
      </c>
      <c r="H87" s="3" t="inlineStr">
        <is>
          <t>Description content covers verified design, product type, use case and constraints. Description covers motif/product type but remains templated and does not always map every verified constraint.</t>
        </is>
      </c>
      <c r="I87" s="3" t="inlineStr">
        <is>
          <t>evidence_batch_019_188</t>
        </is>
      </c>
      <c r="J87" s="3" t="inlineStr">
        <is>
          <t>ISSUE-0050; ISSUE-0051; ISSUE-0052; ISSUE-0053</t>
        </is>
      </c>
    </row>
    <row r="88" ht="42" customHeight="1">
      <c r="A88" s="2" t="inlineStr">
        <is>
          <t>jeminise.com+personalized-baseball-bedding-full-size-flag-custom-name-d-design-13</t>
        </is>
      </c>
      <c r="B88" s="2" t="inlineStr">
        <is>
          <t>I1</t>
        </is>
      </c>
      <c r="C88" s="2" t="n">
        <v>20</v>
      </c>
      <c r="D88" s="2" t="inlineStr">
        <is>
          <t>FULL</t>
        </is>
      </c>
      <c r="E88" s="5">
        <f>IF(B88="I1",AVERAGEIF('QA_Images'!$A$2:$A$41,A88,'QA_Images'!$T$2:$T$41)/100,IF(D88="FULL",1,IF(D88="PARTIAL",0.5,IF(D88="FAIL",0,""))))</f>
        <v/>
      </c>
      <c r="F88" s="5">
        <f>IF(E88="",0,C88*E88)</f>
        <v/>
      </c>
      <c r="G88" s="5">
        <f>IF(B88="I1",20*AVERAGEIF('QA_Images'!$A$2:$A$41,A88,'QA_Images'!$U$2:$U$41)/100,IF(D88="NOT_CHECKED",0,C88))</f>
        <v/>
      </c>
      <c r="H88" s="2" t="inlineStr">
        <is>
          <t>Image coverage, image observations and alt text quality, derived from QA_Images. Derived from average image QA score; see QA_Images.</t>
        </is>
      </c>
      <c r="I88" s="2" t="inlineStr">
        <is>
          <t>evidence_batch_019_188</t>
        </is>
      </c>
      <c r="J88" s="2" t="inlineStr">
        <is>
          <t>ISSUE-0050; ISSUE-0051; ISSUE-0052; ISSUE-0053</t>
        </is>
      </c>
    </row>
    <row r="89" ht="42" customHeight="1">
      <c r="A89" s="3" t="inlineStr">
        <is>
          <t>jeminise.com+personalized-baseball-bedding-full-size-flag-custom-name-d-design-13</t>
        </is>
      </c>
      <c r="B89" s="3" t="inlineStr">
        <is>
          <t>E1</t>
        </is>
      </c>
      <c r="C89" s="3" t="n">
        <v>5</v>
      </c>
      <c r="D89" s="3" t="inlineStr">
        <is>
          <t>PARTIAL</t>
        </is>
      </c>
      <c r="E89" s="7">
        <f>IF(B89="I1",AVERAGEIF('QA_Images'!$A$2:$A$41,A89,'QA_Images'!$T$2:$T$41)/100,IF(D89="FULL",1,IF(D89="PARTIAL",0.5,IF(D89="FAIL",0,""))))</f>
        <v/>
      </c>
      <c r="F89" s="7">
        <f>IF(E89="",0,C89*E89)</f>
        <v/>
      </c>
      <c r="G89" s="7">
        <f>IF(B89="I1",20*AVERAGEIF('QA_Images'!$A$2:$A$41,A89,'QA_Images'!$U$2:$U$41)/100,IF(D89="NOT_CHECKED",0,C89))</f>
        <v/>
      </c>
      <c r="H89" s="3" t="inlineStr">
        <is>
          <t>Evidence chain is traceable and limitations are explicitly separated from failures. Evidence chain is traceable, with admin-export limitation explicitly separated.</t>
        </is>
      </c>
      <c r="I89" s="3" t="inlineStr">
        <is>
          <t>evidence_batch_019_188</t>
        </is>
      </c>
      <c r="J89" s="3" t="inlineStr">
        <is>
          <t>ISSUE-0050; ISSUE-0051; ISSUE-0052; ISSUE-0053</t>
        </is>
      </c>
    </row>
    <row r="90" ht="42" customHeight="1">
      <c r="A90" s="2" t="inlineStr">
        <is>
          <t>jeminise.com+personalized-baseball-bedding-full-size-flag-custom-name-d-design-14</t>
        </is>
      </c>
      <c r="B90" s="2" t="inlineStr">
        <is>
          <t>P1</t>
        </is>
      </c>
      <c r="C90" s="2" t="n">
        <v>15</v>
      </c>
      <c r="D90" s="2" t="inlineStr">
        <is>
          <t>FULL</t>
        </is>
      </c>
      <c r="E90" s="5">
        <f>IF(B90="I1",AVERAGEIF('QA_Images'!$A$2:$A$41,A90,'QA_Images'!$T$2:$T$41)/100,IF(D90="FULL",1,IF(D90="PARTIAL",0.5,IF(D90="FAIL",0,""))))</f>
        <v/>
      </c>
      <c r="F90" s="5">
        <f>IF(E90="",0,C90*E90)</f>
        <v/>
      </c>
      <c r="G90" s="5">
        <f>IF(B90="I1",20*AVERAGEIF('QA_Images'!$A$2:$A$41,A90,'QA_Images'!$U$2:$U$41)/100,IF(D90="NOT_CHECKED",0,C90))</f>
        <v/>
      </c>
      <c r="H90" s="2" t="inlineStr">
        <is>
          <t>Product identity, handle, product ID, URL and canonical match source/live evidence. Product key/handle/product ID/canonical checked against frozen workbook and live product evidence.</t>
        </is>
      </c>
      <c r="I90" s="2" t="inlineStr">
        <is>
          <t>evidence_batch_019_189</t>
        </is>
      </c>
      <c r="J90" s="2" t="inlineStr">
        <is>
          <t>ISSUE-0057; ISSUE-0058; ISSUE-0059; ISSUE-0060</t>
        </is>
      </c>
    </row>
    <row r="91" ht="42" customHeight="1">
      <c r="A91" s="3" t="inlineStr">
        <is>
          <t>jeminise.com+personalized-baseball-bedding-full-size-flag-custom-name-d-design-14</t>
        </is>
      </c>
      <c r="B91" s="3" t="inlineStr">
        <is>
          <t>P2</t>
        </is>
      </c>
      <c r="C91" s="3" t="n">
        <v>10</v>
      </c>
      <c r="D91" s="3" t="inlineStr">
        <is>
          <t>PARTIAL</t>
        </is>
      </c>
      <c r="E91" s="7">
        <f>IF(B91="I1",AVERAGEIF('QA_Images'!$A$2:$A$41,A91,'QA_Images'!$T$2:$T$41)/100,IF(D91="FULL",1,IF(D91="PARTIAL",0.5,IF(D91="FAIL",0,""))))</f>
        <v/>
      </c>
      <c r="F91" s="7">
        <f>IF(E91="",0,C91*E91)</f>
        <v/>
      </c>
      <c r="G91" s="7">
        <f>IF(B91="I1",20*AVERAGEIF('QA_Images'!$A$2:$A$41,A91,'QA_Images'!$U$2:$U$41)/100,IF(D91="NOT_CHECKED",0,C91))</f>
        <v/>
      </c>
      <c r="H91" s="3" t="inlineStr">
        <is>
          <t>Source product facts, variants, specifications and personalization claims are evidence-backed. Personalization/specification claims checked against storefront product.js and static customizer config.</t>
        </is>
      </c>
      <c r="I91" s="3" t="inlineStr">
        <is>
          <t>evidence_batch_019_189</t>
        </is>
      </c>
      <c r="J91" s="3" t="inlineStr">
        <is>
          <t>ISSUE-0057; ISSUE-0058; ISSUE-0059; ISSUE-0060</t>
        </is>
      </c>
    </row>
    <row r="92" ht="42" customHeight="1">
      <c r="A92" s="2" t="inlineStr">
        <is>
          <t>jeminise.com+personalized-baseball-bedding-full-size-flag-custom-name-d-design-14</t>
        </is>
      </c>
      <c r="B92" s="2" t="inlineStr">
        <is>
          <t>K1</t>
        </is>
      </c>
      <c r="C92" s="2" t="n">
        <v>10</v>
      </c>
      <c r="D92" s="2" t="inlineStr">
        <is>
          <t>PARTIAL</t>
        </is>
      </c>
      <c r="E92" s="5">
        <f>IF(B92="I1",AVERAGEIF('QA_Images'!$A$2:$A$41,A92,'QA_Images'!$T$2:$T$41)/100,IF(D92="FULL",1,IF(D92="PARTIAL",0.5,IF(D92="FAIL",0,""))))</f>
        <v/>
      </c>
      <c r="F92" s="5">
        <f>IF(E92="",0,C92*E92)</f>
        <v/>
      </c>
      <c r="G92" s="5">
        <f>IF(B92="I1",20*AVERAGEIF('QA_Images'!$A$2:$A$41,A92,'QA_Images'!$U$2:$U$41)/100,IF(D92="NOT_CHECKED",0,C92))</f>
        <v/>
      </c>
      <c r="H92" s="2" t="inlineStr">
        <is>
          <t>Primary keyword aligns with product-level US purchase intent. Primary keyword rechecked against US product-level SERP comparables.</t>
        </is>
      </c>
      <c r="I92" s="2" t="inlineStr">
        <is>
          <t>evidence_batch_019_189</t>
        </is>
      </c>
      <c r="J92" s="2" t="inlineStr">
        <is>
          <t>ISSUE-0057; ISSUE-0058; ISSUE-0059; ISSUE-0060</t>
        </is>
      </c>
    </row>
    <row r="93" ht="42" customHeight="1">
      <c r="A93" s="3" t="inlineStr">
        <is>
          <t>jeminise.com+personalized-baseball-bedding-full-size-flag-custom-name-d-design-14</t>
        </is>
      </c>
      <c r="B93" s="3" t="inlineStr">
        <is>
          <t>K2</t>
        </is>
      </c>
      <c r="C93" s="3" t="n">
        <v>5</v>
      </c>
      <c r="D93" s="3" t="inlineStr">
        <is>
          <t>PARTIAL</t>
        </is>
      </c>
      <c r="E93" s="7">
        <f>IF(B93="I1",AVERAGEIF('QA_Images'!$A$2:$A$41,A93,'QA_Images'!$T$2:$T$41)/100,IF(D93="FULL",1,IF(D93="PARTIAL",0.5,IF(D93="FAIL",0,""))))</f>
        <v/>
      </c>
      <c r="F93" s="7">
        <f>IF(E93="",0,C93*E93)</f>
        <v/>
      </c>
      <c r="G93" s="7">
        <f>IF(B93="I1",20*AVERAGEIF('QA_Images'!$A$2:$A$41,A93,'QA_Images'!$U$2:$U$41)/100,IF(D93="NOT_CHECKED",0,C93))</f>
        <v/>
      </c>
      <c r="H93" s="3" t="inlineStr">
        <is>
          <t>Intent/cannibalization check distinguishes nearby products. Nearby product cluster has overlap risk, so intent distinction remains only partial.</t>
        </is>
      </c>
      <c r="I93" s="3" t="inlineStr">
        <is>
          <t>evidence_batch_019_189</t>
        </is>
      </c>
      <c r="J93" s="3" t="inlineStr">
        <is>
          <t>ISSUE-0057; ISSUE-0058; ISSUE-0059; ISSUE-0060</t>
        </is>
      </c>
    </row>
    <row r="94" ht="42" customHeight="1">
      <c r="A94" s="2" t="inlineStr">
        <is>
          <t>jeminise.com+personalized-baseball-bedding-full-size-flag-custom-name-d-design-14</t>
        </is>
      </c>
      <c r="B94" s="2" t="inlineStr">
        <is>
          <t>K3</t>
        </is>
      </c>
      <c r="C94" s="2" t="n">
        <v>5</v>
      </c>
      <c r="D94" s="2" t="inlineStr">
        <is>
          <t>PARTIAL</t>
        </is>
      </c>
      <c r="E94" s="5">
        <f>IF(B94="I1",AVERAGEIF('QA_Images'!$A$2:$A$41,A94,'QA_Images'!$T$2:$T$41)/100,IF(D94="FULL",1,IF(D94="PARTIAL",0.5,IF(D94="FAIL",0,""))))</f>
        <v/>
      </c>
      <c r="F94" s="5">
        <f>IF(E94="",0,C94*E94)</f>
        <v/>
      </c>
      <c r="G94" s="5">
        <f>IF(B94="I1",20*AVERAGEIF('QA_Images'!$A$2:$A$41,A94,'QA_Images'!$U$2:$U$41)/100,IF(D94="NOT_CHECKED",0,C94))</f>
        <v/>
      </c>
      <c r="H94" s="2" t="inlineStr">
        <is>
          <t>Keyword evidence is supported by SERP comparables without unsupported volume claims. Evidence is public SERP only; no Search Console, keyword volume or customer-search corpus provided.</t>
        </is>
      </c>
      <c r="I94" s="2" t="inlineStr">
        <is>
          <t>evidence_batch_019_189</t>
        </is>
      </c>
      <c r="J94" s="2" t="inlineStr">
        <is>
          <t>ISSUE-0057; ISSUE-0058; ISSUE-0059; ISSUE-0060</t>
        </is>
      </c>
    </row>
    <row r="95" ht="42" customHeight="1">
      <c r="A95" s="3" t="inlineStr">
        <is>
          <t>jeminise.com+personalized-baseball-bedding-full-size-flag-custom-name-d-design-14</t>
        </is>
      </c>
      <c r="B95" s="3" t="inlineStr">
        <is>
          <t>T1</t>
        </is>
      </c>
      <c r="C95" s="3" t="n">
        <v>10</v>
      </c>
      <c r="D95" s="3" t="inlineStr">
        <is>
          <t>PARTIAL</t>
        </is>
      </c>
      <c r="E95" s="7">
        <f>IF(B95="I1",AVERAGEIF('QA_Images'!$A$2:$A$41,A95,'QA_Images'!$T$2:$T$41)/100,IF(D95="FULL",1,IF(D95="PARTIAL",0.5,IF(D95="FAIL",0,""))))</f>
        <v/>
      </c>
      <c r="F95" s="7">
        <f>IF(E95="",0,C95*E95)</f>
        <v/>
      </c>
      <c r="G95" s="7">
        <f>IF(B95="I1",20*AVERAGEIF('QA_Images'!$A$2:$A$41,A95,'QA_Images'!$U$2:$U$41)/100,IF(D95="NOT_CHECKED",0,C95))</f>
        <v/>
      </c>
      <c r="H95" s="3" t="inlineStr">
        <is>
          <t>SEO title and H1 are relevant, specific and grounded in visible/source facts. Proposed H1 is blank, so the title/H1 pair cannot be fully verified.</t>
        </is>
      </c>
      <c r="I95" s="3" t="inlineStr">
        <is>
          <t>evidence_batch_019_189</t>
        </is>
      </c>
      <c r="J95" s="3" t="inlineStr">
        <is>
          <t>ISSUE-0057; ISSUE-0058; ISSUE-0059; ISSUE-0060</t>
        </is>
      </c>
    </row>
    <row r="96" ht="42" customHeight="1">
      <c r="A96" s="2" t="inlineStr">
        <is>
          <t>jeminise.com+personalized-baseball-bedding-full-size-flag-custom-name-d-design-14</t>
        </is>
      </c>
      <c r="B96" s="2" t="inlineStr">
        <is>
          <t>T2</t>
        </is>
      </c>
      <c r="C96" s="2" t="n">
        <v>5</v>
      </c>
      <c r="D96" s="2" t="inlineStr">
        <is>
          <t>PARTIAL</t>
        </is>
      </c>
      <c r="E96" s="5">
        <f>IF(B96="I1",AVERAGEIF('QA_Images'!$A$2:$A$41,A96,'QA_Images'!$T$2:$T$41)/100,IF(D96="FULL",1,IF(D96="PARTIAL",0.5,IF(D96="FAIL",0,""))))</f>
        <v/>
      </c>
      <c r="F96" s="5">
        <f>IF(E96="",0,C96*E96)</f>
        <v/>
      </c>
      <c r="G96" s="5">
        <f>IF(B96="I1",20*AVERAGEIF('QA_Images'!$A$2:$A$41,A96,'QA_Images'!$U$2:$U$41)/100,IF(D96="NOT_CHECKED",0,C96))</f>
        <v/>
      </c>
      <c r="H96" s="2" t="inlineStr">
        <is>
          <t>Meta description is concise, publish-ready and avoids unsupported claims. Meta description checked for length, specificity and supportable claims.</t>
        </is>
      </c>
      <c r="I96" s="2" t="inlineStr">
        <is>
          <t>evidence_batch_019_189</t>
        </is>
      </c>
      <c r="J96" s="2" t="inlineStr">
        <is>
          <t>ISSUE-0057; ISSUE-0058; ISSUE-0059; ISSUE-0060</t>
        </is>
      </c>
    </row>
    <row r="97" ht="42" customHeight="1">
      <c r="A97" s="3" t="inlineStr">
        <is>
          <t>jeminise.com+personalized-baseball-bedding-full-size-flag-custom-name-d-design-14</t>
        </is>
      </c>
      <c r="B97" s="3" t="inlineStr">
        <is>
          <t>D1</t>
        </is>
      </c>
      <c r="C97" s="3" t="n">
        <v>10</v>
      </c>
      <c r="D97" s="3" t="inlineStr">
        <is>
          <t>FAIL</t>
        </is>
      </c>
      <c r="E97" s="7">
        <f>IF(B97="I1",AVERAGEIF('QA_Images'!$A$2:$A$41,A97,'QA_Images'!$T$2:$T$41)/100,IF(D97="FULL",1,IF(D97="PARTIAL",0.5,IF(D97="FAIL",0,""))))</f>
        <v/>
      </c>
      <c r="F97" s="7">
        <f>IF(E97="",0,C97*E97)</f>
        <v/>
      </c>
      <c r="G97" s="7">
        <f>IF(B97="I1",20*AVERAGEIF('QA_Images'!$A$2:$A$41,A97,'QA_Images'!$U$2:$U$41)/100,IF(D97="NOT_CHECKED",0,C97))</f>
        <v/>
      </c>
      <c r="H97" s="3" t="inlineStr">
        <is>
          <t>Description HTML is publish-ready and free of internal draft/QA instructions. Description HTML still contains internal QA/import language.</t>
        </is>
      </c>
      <c r="I97" s="3" t="inlineStr">
        <is>
          <t>evidence_batch_019_189</t>
        </is>
      </c>
      <c r="J97" s="3" t="inlineStr">
        <is>
          <t>ISSUE-0057; ISSUE-0058; ISSUE-0059; ISSUE-0060</t>
        </is>
      </c>
    </row>
    <row r="98" ht="42" customHeight="1">
      <c r="A98" s="2" t="inlineStr">
        <is>
          <t>jeminise.com+personalized-baseball-bedding-full-size-flag-custom-name-d-design-14</t>
        </is>
      </c>
      <c r="B98" s="2" t="inlineStr">
        <is>
          <t>D2</t>
        </is>
      </c>
      <c r="C98" s="2" t="n">
        <v>5</v>
      </c>
      <c r="D98" s="2" t="inlineStr">
        <is>
          <t>PARTIAL</t>
        </is>
      </c>
      <c r="E98" s="5">
        <f>IF(B98="I1",AVERAGEIF('QA_Images'!$A$2:$A$41,A98,'QA_Images'!$T$2:$T$41)/100,IF(D98="FULL",1,IF(D98="PARTIAL",0.5,IF(D98="FAIL",0,""))))</f>
        <v/>
      </c>
      <c r="F98" s="5">
        <f>IF(E98="",0,C98*E98)</f>
        <v/>
      </c>
      <c r="G98" s="5">
        <f>IF(B98="I1",20*AVERAGEIF('QA_Images'!$A$2:$A$41,A98,'QA_Images'!$U$2:$U$41)/100,IF(D98="NOT_CHECKED",0,C98))</f>
        <v/>
      </c>
      <c r="H98" s="2" t="inlineStr">
        <is>
          <t>Description content covers verified design, product type, use case and constraints. Description covers motif/product type but remains templated and does not always map every verified constraint.</t>
        </is>
      </c>
      <c r="I98" s="2" t="inlineStr">
        <is>
          <t>evidence_batch_019_189</t>
        </is>
      </c>
      <c r="J98" s="2" t="inlineStr">
        <is>
          <t>ISSUE-0057; ISSUE-0058; ISSUE-0059; ISSUE-0060</t>
        </is>
      </c>
    </row>
    <row r="99" ht="42" customHeight="1">
      <c r="A99" s="3" t="inlineStr">
        <is>
          <t>jeminise.com+personalized-baseball-bedding-full-size-flag-custom-name-d-design-14</t>
        </is>
      </c>
      <c r="B99" s="3" t="inlineStr">
        <is>
          <t>I1</t>
        </is>
      </c>
      <c r="C99" s="3" t="n">
        <v>20</v>
      </c>
      <c r="D99" s="3" t="inlineStr">
        <is>
          <t>FULL</t>
        </is>
      </c>
      <c r="E99" s="7">
        <f>IF(B99="I1",AVERAGEIF('QA_Images'!$A$2:$A$41,A99,'QA_Images'!$T$2:$T$41)/100,IF(D99="FULL",1,IF(D99="PARTIAL",0.5,IF(D99="FAIL",0,""))))</f>
        <v/>
      </c>
      <c r="F99" s="7">
        <f>IF(E99="",0,C99*E99)</f>
        <v/>
      </c>
      <c r="G99" s="7">
        <f>IF(B99="I1",20*AVERAGEIF('QA_Images'!$A$2:$A$41,A99,'QA_Images'!$U$2:$U$41)/100,IF(D99="NOT_CHECKED",0,C99))</f>
        <v/>
      </c>
      <c r="H99" s="3" t="inlineStr">
        <is>
          <t>Image coverage, image observations and alt text quality, derived from QA_Images. Derived from average image QA score; see QA_Images.</t>
        </is>
      </c>
      <c r="I99" s="3" t="inlineStr">
        <is>
          <t>evidence_batch_019_189</t>
        </is>
      </c>
      <c r="J99" s="3" t="inlineStr">
        <is>
          <t>ISSUE-0057; ISSUE-0058; ISSUE-0059; ISSUE-0060</t>
        </is>
      </c>
    </row>
    <row r="100" ht="42" customHeight="1">
      <c r="A100" s="2" t="inlineStr">
        <is>
          <t>jeminise.com+personalized-baseball-bedding-full-size-flag-custom-name-d-design-14</t>
        </is>
      </c>
      <c r="B100" s="2" t="inlineStr">
        <is>
          <t>E1</t>
        </is>
      </c>
      <c r="C100" s="2" t="n">
        <v>5</v>
      </c>
      <c r="D100" s="2" t="inlineStr">
        <is>
          <t>PARTIAL</t>
        </is>
      </c>
      <c r="E100" s="5">
        <f>IF(B100="I1",AVERAGEIF('QA_Images'!$A$2:$A$41,A100,'QA_Images'!$T$2:$T$41)/100,IF(D100="FULL",1,IF(D100="PARTIAL",0.5,IF(D100="FAIL",0,""))))</f>
        <v/>
      </c>
      <c r="F100" s="5">
        <f>IF(E100="",0,C100*E100)</f>
        <v/>
      </c>
      <c r="G100" s="5">
        <f>IF(B100="I1",20*AVERAGEIF('QA_Images'!$A$2:$A$41,A100,'QA_Images'!$U$2:$U$41)/100,IF(D100="NOT_CHECKED",0,C100))</f>
        <v/>
      </c>
      <c r="H100" s="2" t="inlineStr">
        <is>
          <t>Evidence chain is traceable and limitations are explicitly separated from failures. Evidence chain is traceable, with admin-export limitation explicitly separated.</t>
        </is>
      </c>
      <c r="I100" s="2" t="inlineStr">
        <is>
          <t>evidence_batch_019_189</t>
        </is>
      </c>
      <c r="J100" s="2" t="inlineStr">
        <is>
          <t>ISSUE-0057; ISSUE-0058; ISSUE-0059; ISSUE-0060</t>
        </is>
      </c>
    </row>
    <row r="101" ht="42" customHeight="1">
      <c r="A101" s="3" t="inlineStr">
        <is>
          <t>jeminise.com+personalized-baseball-bedding-full-size-flag-custom-name-d-design-15</t>
        </is>
      </c>
      <c r="B101" s="3" t="inlineStr">
        <is>
          <t>P1</t>
        </is>
      </c>
      <c r="C101" s="3" t="n">
        <v>15</v>
      </c>
      <c r="D101" s="3" t="inlineStr">
        <is>
          <t>FULL</t>
        </is>
      </c>
      <c r="E101" s="7">
        <f>IF(B101="I1",AVERAGEIF('QA_Images'!$A$2:$A$41,A101,'QA_Images'!$T$2:$T$41)/100,IF(D101="FULL",1,IF(D101="PARTIAL",0.5,IF(D101="FAIL",0,""))))</f>
        <v/>
      </c>
      <c r="F101" s="7">
        <f>IF(E101="",0,C101*E101)</f>
        <v/>
      </c>
      <c r="G101" s="7">
        <f>IF(B101="I1",20*AVERAGEIF('QA_Images'!$A$2:$A$41,A101,'QA_Images'!$U$2:$U$41)/100,IF(D101="NOT_CHECKED",0,C101))</f>
        <v/>
      </c>
      <c r="H101" s="3" t="inlineStr">
        <is>
          <t>Product identity, handle, product ID, URL and canonical match source/live evidence. Product key/handle/product ID/canonical checked against frozen workbook and live product evidence.</t>
        </is>
      </c>
      <c r="I101" s="3" t="inlineStr">
        <is>
          <t>evidence_batch_019_190</t>
        </is>
      </c>
      <c r="J101" s="3" t="inlineStr">
        <is>
          <t>ISSUE-0064; ISSUE-0065; ISSUE-0066; ISSUE-0067</t>
        </is>
      </c>
    </row>
    <row r="102" ht="42" customHeight="1">
      <c r="A102" s="2" t="inlineStr">
        <is>
          <t>jeminise.com+personalized-baseball-bedding-full-size-flag-custom-name-d-design-15</t>
        </is>
      </c>
      <c r="B102" s="2" t="inlineStr">
        <is>
          <t>P2</t>
        </is>
      </c>
      <c r="C102" s="2" t="n">
        <v>10</v>
      </c>
      <c r="D102" s="2" t="inlineStr">
        <is>
          <t>PARTIAL</t>
        </is>
      </c>
      <c r="E102" s="5">
        <f>IF(B102="I1",AVERAGEIF('QA_Images'!$A$2:$A$41,A102,'QA_Images'!$T$2:$T$41)/100,IF(D102="FULL",1,IF(D102="PARTIAL",0.5,IF(D102="FAIL",0,""))))</f>
        <v/>
      </c>
      <c r="F102" s="5">
        <f>IF(E102="",0,C102*E102)</f>
        <v/>
      </c>
      <c r="G102" s="5">
        <f>IF(B102="I1",20*AVERAGEIF('QA_Images'!$A$2:$A$41,A102,'QA_Images'!$U$2:$U$41)/100,IF(D102="NOT_CHECKED",0,C102))</f>
        <v/>
      </c>
      <c r="H102" s="2" t="inlineStr">
        <is>
          <t>Source product facts, variants, specifications and personalization claims are evidence-backed. Personalization/specification claims checked against storefront product.js and static customizer config.</t>
        </is>
      </c>
      <c r="I102" s="2" t="inlineStr">
        <is>
          <t>evidence_batch_019_190</t>
        </is>
      </c>
      <c r="J102" s="2" t="inlineStr">
        <is>
          <t>ISSUE-0064; ISSUE-0065; ISSUE-0066; ISSUE-0067</t>
        </is>
      </c>
    </row>
    <row r="103" ht="42" customHeight="1">
      <c r="A103" s="3" t="inlineStr">
        <is>
          <t>jeminise.com+personalized-baseball-bedding-full-size-flag-custom-name-d-design-15</t>
        </is>
      </c>
      <c r="B103" s="3" t="inlineStr">
        <is>
          <t>K1</t>
        </is>
      </c>
      <c r="C103" s="3" t="n">
        <v>10</v>
      </c>
      <c r="D103" s="3" t="inlineStr">
        <is>
          <t>PARTIAL</t>
        </is>
      </c>
      <c r="E103" s="7">
        <f>IF(B103="I1",AVERAGEIF('QA_Images'!$A$2:$A$41,A103,'QA_Images'!$T$2:$T$41)/100,IF(D103="FULL",1,IF(D103="PARTIAL",0.5,IF(D103="FAIL",0,""))))</f>
        <v/>
      </c>
      <c r="F103" s="7">
        <f>IF(E103="",0,C103*E103)</f>
        <v/>
      </c>
      <c r="G103" s="7">
        <f>IF(B103="I1",20*AVERAGEIF('QA_Images'!$A$2:$A$41,A103,'QA_Images'!$U$2:$U$41)/100,IF(D103="NOT_CHECKED",0,C103))</f>
        <v/>
      </c>
      <c r="H103" s="3" t="inlineStr">
        <is>
          <t>Primary keyword aligns with product-level US purchase intent. Primary keyword rechecked against US product-level SERP comparables.</t>
        </is>
      </c>
      <c r="I103" s="3" t="inlineStr">
        <is>
          <t>evidence_batch_019_190</t>
        </is>
      </c>
      <c r="J103" s="3" t="inlineStr">
        <is>
          <t>ISSUE-0064; ISSUE-0065; ISSUE-0066; ISSUE-0067</t>
        </is>
      </c>
    </row>
    <row r="104" ht="42" customHeight="1">
      <c r="A104" s="2" t="inlineStr">
        <is>
          <t>jeminise.com+personalized-baseball-bedding-full-size-flag-custom-name-d-design-15</t>
        </is>
      </c>
      <c r="B104" s="2" t="inlineStr">
        <is>
          <t>K2</t>
        </is>
      </c>
      <c r="C104" s="2" t="n">
        <v>5</v>
      </c>
      <c r="D104" s="2" t="inlineStr">
        <is>
          <t>PARTIAL</t>
        </is>
      </c>
      <c r="E104" s="5">
        <f>IF(B104="I1",AVERAGEIF('QA_Images'!$A$2:$A$41,A104,'QA_Images'!$T$2:$T$41)/100,IF(D104="FULL",1,IF(D104="PARTIAL",0.5,IF(D104="FAIL",0,""))))</f>
        <v/>
      </c>
      <c r="F104" s="5">
        <f>IF(E104="",0,C104*E104)</f>
        <v/>
      </c>
      <c r="G104" s="5">
        <f>IF(B104="I1",20*AVERAGEIF('QA_Images'!$A$2:$A$41,A104,'QA_Images'!$U$2:$U$41)/100,IF(D104="NOT_CHECKED",0,C104))</f>
        <v/>
      </c>
      <c r="H104" s="2" t="inlineStr">
        <is>
          <t>Intent/cannibalization check distinguishes nearby products. Nearby product cluster has overlap risk, so intent distinction remains only partial.</t>
        </is>
      </c>
      <c r="I104" s="2" t="inlineStr">
        <is>
          <t>evidence_batch_019_190</t>
        </is>
      </c>
      <c r="J104" s="2" t="inlineStr">
        <is>
          <t>ISSUE-0064; ISSUE-0065; ISSUE-0066; ISSUE-0067</t>
        </is>
      </c>
    </row>
    <row r="105" ht="42" customHeight="1">
      <c r="A105" s="3" t="inlineStr">
        <is>
          <t>jeminise.com+personalized-baseball-bedding-full-size-flag-custom-name-d-design-15</t>
        </is>
      </c>
      <c r="B105" s="3" t="inlineStr">
        <is>
          <t>K3</t>
        </is>
      </c>
      <c r="C105" s="3" t="n">
        <v>5</v>
      </c>
      <c r="D105" s="3" t="inlineStr">
        <is>
          <t>PARTIAL</t>
        </is>
      </c>
      <c r="E105" s="7">
        <f>IF(B105="I1",AVERAGEIF('QA_Images'!$A$2:$A$41,A105,'QA_Images'!$T$2:$T$41)/100,IF(D105="FULL",1,IF(D105="PARTIAL",0.5,IF(D105="FAIL",0,""))))</f>
        <v/>
      </c>
      <c r="F105" s="7">
        <f>IF(E105="",0,C105*E105)</f>
        <v/>
      </c>
      <c r="G105" s="7">
        <f>IF(B105="I1",20*AVERAGEIF('QA_Images'!$A$2:$A$41,A105,'QA_Images'!$U$2:$U$41)/100,IF(D105="NOT_CHECKED",0,C105))</f>
        <v/>
      </c>
      <c r="H105" s="3" t="inlineStr">
        <is>
          <t>Keyword evidence is supported by SERP comparables without unsupported volume claims. Evidence is public SERP only; no Search Console, keyword volume or customer-search corpus provided.</t>
        </is>
      </c>
      <c r="I105" s="3" t="inlineStr">
        <is>
          <t>evidence_batch_019_190</t>
        </is>
      </c>
      <c r="J105" s="3" t="inlineStr">
        <is>
          <t>ISSUE-0064; ISSUE-0065; ISSUE-0066; ISSUE-0067</t>
        </is>
      </c>
    </row>
    <row r="106" ht="42" customHeight="1">
      <c r="A106" s="2" t="inlineStr">
        <is>
          <t>jeminise.com+personalized-baseball-bedding-full-size-flag-custom-name-d-design-15</t>
        </is>
      </c>
      <c r="B106" s="2" t="inlineStr">
        <is>
          <t>T1</t>
        </is>
      </c>
      <c r="C106" s="2" t="n">
        <v>10</v>
      </c>
      <c r="D106" s="2" t="inlineStr">
        <is>
          <t>PARTIAL</t>
        </is>
      </c>
      <c r="E106" s="5">
        <f>IF(B106="I1",AVERAGEIF('QA_Images'!$A$2:$A$41,A106,'QA_Images'!$T$2:$T$41)/100,IF(D106="FULL",1,IF(D106="PARTIAL",0.5,IF(D106="FAIL",0,""))))</f>
        <v/>
      </c>
      <c r="F106" s="5">
        <f>IF(E106="",0,C106*E106)</f>
        <v/>
      </c>
      <c r="G106" s="5">
        <f>IF(B106="I1",20*AVERAGEIF('QA_Images'!$A$2:$A$41,A106,'QA_Images'!$U$2:$U$41)/100,IF(D106="NOT_CHECKED",0,C106))</f>
        <v/>
      </c>
      <c r="H106" s="2" t="inlineStr">
        <is>
          <t>SEO title and H1 are relevant, specific and grounded in visible/source facts. Proposed H1 is blank, so the title/H1 pair cannot be fully verified.</t>
        </is>
      </c>
      <c r="I106" s="2" t="inlineStr">
        <is>
          <t>evidence_batch_019_190</t>
        </is>
      </c>
      <c r="J106" s="2" t="inlineStr">
        <is>
          <t>ISSUE-0064; ISSUE-0065; ISSUE-0066; ISSUE-0067</t>
        </is>
      </c>
    </row>
    <row r="107" ht="42" customHeight="1">
      <c r="A107" s="3" t="inlineStr">
        <is>
          <t>jeminise.com+personalized-baseball-bedding-full-size-flag-custom-name-d-design-15</t>
        </is>
      </c>
      <c r="B107" s="3" t="inlineStr">
        <is>
          <t>T2</t>
        </is>
      </c>
      <c r="C107" s="3" t="n">
        <v>5</v>
      </c>
      <c r="D107" s="3" t="inlineStr">
        <is>
          <t>PARTIAL</t>
        </is>
      </c>
      <c r="E107" s="7">
        <f>IF(B107="I1",AVERAGEIF('QA_Images'!$A$2:$A$41,A107,'QA_Images'!$T$2:$T$41)/100,IF(D107="FULL",1,IF(D107="PARTIAL",0.5,IF(D107="FAIL",0,""))))</f>
        <v/>
      </c>
      <c r="F107" s="7">
        <f>IF(E107="",0,C107*E107)</f>
        <v/>
      </c>
      <c r="G107" s="7">
        <f>IF(B107="I1",20*AVERAGEIF('QA_Images'!$A$2:$A$41,A107,'QA_Images'!$U$2:$U$41)/100,IF(D107="NOT_CHECKED",0,C107))</f>
        <v/>
      </c>
      <c r="H107" s="3" t="inlineStr">
        <is>
          <t>Meta description is concise, publish-ready and avoids unsupported claims. Meta description checked for length, specificity and supportable claims.</t>
        </is>
      </c>
      <c r="I107" s="3" t="inlineStr">
        <is>
          <t>evidence_batch_019_190</t>
        </is>
      </c>
      <c r="J107" s="3" t="inlineStr">
        <is>
          <t>ISSUE-0064; ISSUE-0065; ISSUE-0066; ISSUE-0067</t>
        </is>
      </c>
    </row>
    <row r="108" ht="42" customHeight="1">
      <c r="A108" s="2" t="inlineStr">
        <is>
          <t>jeminise.com+personalized-baseball-bedding-full-size-flag-custom-name-d-design-15</t>
        </is>
      </c>
      <c r="B108" s="2" t="inlineStr">
        <is>
          <t>D1</t>
        </is>
      </c>
      <c r="C108" s="2" t="n">
        <v>10</v>
      </c>
      <c r="D108" s="2" t="inlineStr">
        <is>
          <t>FAIL</t>
        </is>
      </c>
      <c r="E108" s="5">
        <f>IF(B108="I1",AVERAGEIF('QA_Images'!$A$2:$A$41,A108,'QA_Images'!$T$2:$T$41)/100,IF(D108="FULL",1,IF(D108="PARTIAL",0.5,IF(D108="FAIL",0,""))))</f>
        <v/>
      </c>
      <c r="F108" s="5">
        <f>IF(E108="",0,C108*E108)</f>
        <v/>
      </c>
      <c r="G108" s="5">
        <f>IF(B108="I1",20*AVERAGEIF('QA_Images'!$A$2:$A$41,A108,'QA_Images'!$U$2:$U$41)/100,IF(D108="NOT_CHECKED",0,C108))</f>
        <v/>
      </c>
      <c r="H108" s="2" t="inlineStr">
        <is>
          <t>Description HTML is publish-ready and free of internal draft/QA instructions. Description HTML still contains internal QA/import language.</t>
        </is>
      </c>
      <c r="I108" s="2" t="inlineStr">
        <is>
          <t>evidence_batch_019_190</t>
        </is>
      </c>
      <c r="J108" s="2" t="inlineStr">
        <is>
          <t>ISSUE-0064; ISSUE-0065; ISSUE-0066; ISSUE-0067</t>
        </is>
      </c>
    </row>
    <row r="109" ht="42" customHeight="1">
      <c r="A109" s="3" t="inlineStr">
        <is>
          <t>jeminise.com+personalized-baseball-bedding-full-size-flag-custom-name-d-design-15</t>
        </is>
      </c>
      <c r="B109" s="3" t="inlineStr">
        <is>
          <t>D2</t>
        </is>
      </c>
      <c r="C109" s="3" t="n">
        <v>5</v>
      </c>
      <c r="D109" s="3" t="inlineStr">
        <is>
          <t>PARTIAL</t>
        </is>
      </c>
      <c r="E109" s="7">
        <f>IF(B109="I1",AVERAGEIF('QA_Images'!$A$2:$A$41,A109,'QA_Images'!$T$2:$T$41)/100,IF(D109="FULL",1,IF(D109="PARTIAL",0.5,IF(D109="FAIL",0,""))))</f>
        <v/>
      </c>
      <c r="F109" s="7">
        <f>IF(E109="",0,C109*E109)</f>
        <v/>
      </c>
      <c r="G109" s="7">
        <f>IF(B109="I1",20*AVERAGEIF('QA_Images'!$A$2:$A$41,A109,'QA_Images'!$U$2:$U$41)/100,IF(D109="NOT_CHECKED",0,C109))</f>
        <v/>
      </c>
      <c r="H109" s="3" t="inlineStr">
        <is>
          <t>Description content covers verified design, product type, use case and constraints. Description covers motif/product type but remains templated and does not always map every verified constraint.</t>
        </is>
      </c>
      <c r="I109" s="3" t="inlineStr">
        <is>
          <t>evidence_batch_019_190</t>
        </is>
      </c>
      <c r="J109" s="3" t="inlineStr">
        <is>
          <t>ISSUE-0064; ISSUE-0065; ISSUE-0066; ISSUE-0067</t>
        </is>
      </c>
    </row>
    <row r="110" ht="42" customHeight="1">
      <c r="A110" s="2" t="inlineStr">
        <is>
          <t>jeminise.com+personalized-baseball-bedding-full-size-flag-custom-name-d-design-15</t>
        </is>
      </c>
      <c r="B110" s="2" t="inlineStr">
        <is>
          <t>I1</t>
        </is>
      </c>
      <c r="C110" s="2" t="n">
        <v>20</v>
      </c>
      <c r="D110" s="2" t="inlineStr">
        <is>
          <t>FULL</t>
        </is>
      </c>
      <c r="E110" s="5">
        <f>IF(B110="I1",AVERAGEIF('QA_Images'!$A$2:$A$41,A110,'QA_Images'!$T$2:$T$41)/100,IF(D110="FULL",1,IF(D110="PARTIAL",0.5,IF(D110="FAIL",0,""))))</f>
        <v/>
      </c>
      <c r="F110" s="5">
        <f>IF(E110="",0,C110*E110)</f>
        <v/>
      </c>
      <c r="G110" s="5">
        <f>IF(B110="I1",20*AVERAGEIF('QA_Images'!$A$2:$A$41,A110,'QA_Images'!$U$2:$U$41)/100,IF(D110="NOT_CHECKED",0,C110))</f>
        <v/>
      </c>
      <c r="H110" s="2" t="inlineStr">
        <is>
          <t>Image coverage, image observations and alt text quality, derived from QA_Images. Derived from average image QA score; see QA_Images.</t>
        </is>
      </c>
      <c r="I110" s="2" t="inlineStr">
        <is>
          <t>evidence_batch_019_190</t>
        </is>
      </c>
      <c r="J110" s="2" t="inlineStr">
        <is>
          <t>ISSUE-0064; ISSUE-0065; ISSUE-0066; ISSUE-0067</t>
        </is>
      </c>
    </row>
    <row r="111" ht="42" customHeight="1">
      <c r="A111" s="3" t="inlineStr">
        <is>
          <t>jeminise.com+personalized-baseball-bedding-full-size-flag-custom-name-d-design-15</t>
        </is>
      </c>
      <c r="B111" s="3" t="inlineStr">
        <is>
          <t>E1</t>
        </is>
      </c>
      <c r="C111" s="3" t="n">
        <v>5</v>
      </c>
      <c r="D111" s="3" t="inlineStr">
        <is>
          <t>PARTIAL</t>
        </is>
      </c>
      <c r="E111" s="7">
        <f>IF(B111="I1",AVERAGEIF('QA_Images'!$A$2:$A$41,A111,'QA_Images'!$T$2:$T$41)/100,IF(D111="FULL",1,IF(D111="PARTIAL",0.5,IF(D111="FAIL",0,""))))</f>
        <v/>
      </c>
      <c r="F111" s="7">
        <f>IF(E111="",0,C111*E111)</f>
        <v/>
      </c>
      <c r="G111" s="7">
        <f>IF(B111="I1",20*AVERAGEIF('QA_Images'!$A$2:$A$41,A111,'QA_Images'!$U$2:$U$41)/100,IF(D111="NOT_CHECKED",0,C111))</f>
        <v/>
      </c>
      <c r="H111" s="3" t="inlineStr">
        <is>
          <t>Evidence chain is traceable and limitations are explicitly separated from failures. Evidence chain is traceable, with admin-export limitation explicitly separated.</t>
        </is>
      </c>
      <c r="I111" s="3" t="inlineStr">
        <is>
          <t>evidence_batch_019_190</t>
        </is>
      </c>
      <c r="J111" s="3" t="inlineStr">
        <is>
          <t>ISSUE-0064; ISSUE-0065; ISSUE-0066; ISSUE-0067</t>
        </is>
      </c>
    </row>
  </sheetData>
  <autoFilter ref="A1:J111"/>
  <printOptions horizontalCentered="0"/>
  <pageMargins left="0.25" right="0.25" top="0.5" bottom="0.5" header="0.5" footer="0.5"/>
  <pageSetup orientation="landscape" fitToHeight="0" fitToWidth="1"/>
</worksheet>
</file>

<file path=xl/worksheets/sheet4.xml><?xml version="1.0" encoding="utf-8"?>
<worksheet xmlns="http://schemas.openxmlformats.org/spreadsheetml/2006/main">
  <sheetPr>
    <outlinePr summaryBelow="1" summaryRight="1"/>
    <pageSetUpPr fitToPage="1"/>
  </sheetPr>
  <dimension ref="A1:Z41"/>
  <sheetViews>
    <sheetView showGridLines="0" workbookViewId="0">
      <pane ySplit="1" topLeftCell="A2" activePane="bottomLeft" state="frozen"/>
      <selection pane="bottomLeft" activeCell="A1" sqref="A1"/>
    </sheetView>
  </sheetViews>
  <sheetFormatPr baseColWidth="8" defaultRowHeight="15"/>
  <cols>
    <col width="42" customWidth="1" min="1" max="1"/>
    <col width="20" customWidth="1" min="2" max="2"/>
    <col width="38" customWidth="1" min="3" max="3"/>
    <col width="38" customWidth="1" min="4" max="4"/>
    <col width="20" customWidth="1" min="5" max="5"/>
    <col width="38" customWidth="1" min="6" max="6"/>
    <col width="11" customWidth="1" min="7" max="7"/>
    <col width="16" customWidth="1" min="8" max="8"/>
    <col width="24" customWidth="1" min="9" max="9"/>
    <col width="24" customWidth="1" min="10" max="10"/>
    <col width="42" customWidth="1" min="11" max="11"/>
    <col width="42" customWidth="1" min="12" max="12"/>
    <col width="24" customWidth="1" min="13" max="13"/>
    <col width="12" customWidth="1" min="14" max="14"/>
    <col width="42" customWidth="1" min="15" max="15"/>
    <col width="11" customWidth="1" min="16" max="16"/>
    <col width="11" customWidth="1" min="17" max="17"/>
    <col width="11" customWidth="1" min="18" max="18"/>
    <col width="11" customWidth="1" min="19" max="19"/>
    <col width="24" customWidth="1" min="20" max="20"/>
    <col width="24" customWidth="1" min="21" max="21"/>
    <col width="21" customWidth="1" min="22" max="22"/>
    <col width="24" customWidth="1" min="23" max="23"/>
    <col width="24" customWidth="1" min="24" max="24"/>
    <col width="42" customWidth="1" min="25" max="25"/>
    <col width="42" customWidth="1" min="26" max="26"/>
  </cols>
  <sheetData>
    <row r="1" ht="32" customHeight="1">
      <c r="A1" s="1" t="inlineStr">
        <is>
          <t>product_key</t>
        </is>
      </c>
      <c r="B1" s="1" t="inlineStr">
        <is>
          <t>qa_image_key</t>
        </is>
      </c>
      <c r="C1" s="1" t="inlineStr">
        <is>
          <t>image_url_source</t>
        </is>
      </c>
      <c r="D1" s="1" t="inlineStr">
        <is>
          <t>image_url_workbook</t>
        </is>
      </c>
      <c r="E1" s="1" t="inlineStr">
        <is>
          <t>media_id</t>
        </is>
      </c>
      <c r="F1" s="1" t="inlineStr">
        <is>
          <t>workbook_image_id</t>
        </is>
      </c>
      <c r="G1" s="1" t="inlineStr">
        <is>
          <t>variant</t>
        </is>
      </c>
      <c r="H1" s="1" t="inlineStr">
        <is>
          <t>image_location</t>
        </is>
      </c>
      <c r="I1" s="1" t="inlineStr">
        <is>
          <t>check_method</t>
        </is>
      </c>
      <c r="J1" s="1" t="inlineStr">
        <is>
          <t>checked_at</t>
        </is>
      </c>
      <c r="K1" s="1" t="inlineStr">
        <is>
          <t>qa_observation</t>
        </is>
      </c>
      <c r="L1" s="1" t="inlineStr">
        <is>
          <t>submitted_observation</t>
        </is>
      </c>
      <c r="M1" s="1" t="inlineStr">
        <is>
          <t>storefront_alt_observed</t>
        </is>
      </c>
      <c r="N1" s="1" t="inlineStr">
        <is>
          <t>alt_action</t>
        </is>
      </c>
      <c r="O1" s="1" t="inlineStr">
        <is>
          <t>alt_effective</t>
        </is>
      </c>
      <c r="P1" s="1" t="inlineStr">
        <is>
          <t>IM1</t>
        </is>
      </c>
      <c r="Q1" s="1" t="inlineStr">
        <is>
          <t>IM2</t>
        </is>
      </c>
      <c r="R1" s="1" t="inlineStr">
        <is>
          <t>IM3</t>
        </is>
      </c>
      <c r="S1" s="1" t="inlineStr">
        <is>
          <t>IM4</t>
        </is>
      </c>
      <c r="T1" s="1" t="inlineStr">
        <is>
          <t>image_verified_points</t>
        </is>
      </c>
      <c r="U1" s="1" t="inlineStr">
        <is>
          <t>image_assessed_weight</t>
        </is>
      </c>
      <c r="V1" s="1" t="inlineStr">
        <is>
          <t>image_final_score</t>
        </is>
      </c>
      <c r="W1" s="1" t="inlineStr">
        <is>
          <t>image_score_lower_bound</t>
        </is>
      </c>
      <c r="X1" s="1" t="inlineStr">
        <is>
          <t>image_score_upper_bound</t>
        </is>
      </c>
      <c r="Y1" s="1" t="inlineStr">
        <is>
          <t>issue_refs</t>
        </is>
      </c>
      <c r="Z1" s="1" t="inlineStr">
        <is>
          <t>evidence_refs</t>
        </is>
      </c>
    </row>
    <row r="2" ht="66" customHeight="1">
      <c r="A2" s="2" t="inlineStr">
        <is>
          <t>jeminise.com+personalized-baseball-bedding-full-size-flag-custom-name-d-design-06</t>
        </is>
      </c>
      <c r="B2" s="2" t="inlineStr">
        <is>
          <t>img_185da4d834a2e212</t>
        </is>
      </c>
      <c r="C2" s="4" t="inlineStr">
        <is>
          <t>https://cdn.shopify.com/s/files/1/0792/5098/1063/files/995cf5f61efd18d2d5931363d9afe9885235b19ee1f1194d644a48b4c113798a.jpg?v=1787242243</t>
        </is>
      </c>
      <c r="D2" s="4" t="inlineStr">
        <is>
          <t>https://cdn.shopify.com/s/files/1/0792/5098/1063/files/995cf5f61efd18d2d5931363d9afe9885235b19ee1f1194d644a48b4c113798a.jpg?v=1787242243</t>
        </is>
      </c>
      <c r="E2" s="2" t="inlineStr">
        <is>
          <t>47934355374279</t>
        </is>
      </c>
      <c r="F2" s="2" t="inlineStr">
        <is>
          <t>47934355374279</t>
        </is>
      </c>
      <c r="G2" s="2" t="inlineStr"/>
      <c r="H2" s="2" t="inlineStr">
        <is>
          <t>GALLERY</t>
        </is>
      </c>
      <c r="I2" s="2" t="inlineStr">
        <is>
          <t>DIRECT_IMAGE_DOWNLOAD_AND_SOURCE_ROW_REVIEW</t>
        </is>
      </c>
      <c r="J2" s="2" t="inlineStr">
        <is>
          <t>2026-09-07T21:44:56+07:00</t>
        </is>
      </c>
      <c r="K2" s="2" t="inlineStr">
        <is>
          <t>Direct QA opened downloaded image 181_01; source SHA A6B1B5686C75BEF3409E14924612422B346806253CF454B49C8788168DB24C64. Submitted observation reviewed against gallery position.</t>
        </is>
      </c>
      <c r="L2" s="2" t="inlineStr">
        <is>
          <t>Main product mockup showing brown baseball glove custom name bedding.</t>
        </is>
      </c>
      <c r="M2" s="2" t="inlineStr">
        <is>
          <t>UNKNOWN</t>
        </is>
      </c>
      <c r="N2" s="2" t="inlineStr">
        <is>
          <t>SET</t>
        </is>
      </c>
      <c r="O2" s="2" t="inlineStr">
        <is>
          <t>Brown Baseball Glove Custom Name Bedding displayed in a main product mockup</t>
        </is>
      </c>
      <c r="P2" s="2" t="inlineStr">
        <is>
          <t>FULL</t>
        </is>
      </c>
      <c r="Q2" s="2" t="inlineStr">
        <is>
          <t>FULL</t>
        </is>
      </c>
      <c r="R2" s="2" t="inlineStr">
        <is>
          <t>PARTIAL</t>
        </is>
      </c>
      <c r="S2" s="2" t="inlineStr">
        <is>
          <t>FULL</t>
        </is>
      </c>
      <c r="T2" s="5">
        <f>IF(P2="FULL",40,IF(P2="PARTIAL",40/2,0))+IF(Q2="FULL",30,IF(Q2="PARTIAL",30/2,0))+IF(R2="FULL",20,IF(R2="PARTIAL",20/2,0))+IF(S2="FULL",10,IF(S2="PARTIAL",10/2,0))</f>
        <v/>
      </c>
      <c r="U2" s="5">
        <f>IF(P2="NOT_CHECKED",0,40)+IF(Q2="NOT_CHECKED",0,30)+IF(R2="NOT_CHECKED",0,20)+IF(S2="NOT_CHECKED",0,10)</f>
        <v/>
      </c>
      <c r="V2" s="5">
        <f>IF(U2=100,T2,"")</f>
        <v/>
      </c>
      <c r="W2" s="5">
        <f>T2</f>
        <v/>
      </c>
      <c r="X2" s="5">
        <f>T2+(100-U2)</f>
        <v/>
      </c>
      <c r="Y2" s="2" t="inlineStr">
        <is>
          <t>ISSUE-0005</t>
        </is>
      </c>
      <c r="Z2" s="2" t="inlineStr">
        <is>
          <t>D:\Shopify_Workspace\jeminise_seo\seo_runs\jeminise.com\20260906_234129\qa\20260907_213200\images\181_01.jpg; seo_runs\jeminise.com\20260906_234129\evidence\images\181_personalized-baseball-bedding-full-size-flag-custom-name-d-design-06\image_01_47934355374279.jpg; seo_runs\jeminise.com\20260906_234129\evidence\contact_sheets\181_personalized-baseball-bedding-full-size-flag-custom-name-d-design-06.jpg</t>
        </is>
      </c>
    </row>
    <row r="3" ht="66" customHeight="1">
      <c r="A3" s="3" t="inlineStr">
        <is>
          <t>jeminise.com+personalized-baseball-bedding-full-size-flag-custom-name-d-design-06</t>
        </is>
      </c>
      <c r="B3" s="3" t="inlineStr">
        <is>
          <t>img_36d0ee9867b27da8</t>
        </is>
      </c>
      <c r="C3" s="4" t="inlineStr">
        <is>
          <t>https://cdn.shopify.com/s/files/1/0792/5098/1063/files/ef81c56fe7d5f4f60045bfbd0778e14ad11ce2a6824c23132d2b864ef763fe85_d6cb245f-20c8-4cf5-8e6c-492305b20a8f.jpg?v=1787242243</t>
        </is>
      </c>
      <c r="D3" s="4" t="inlineStr">
        <is>
          <t>https://cdn.shopify.com/s/files/1/0792/5098/1063/files/ef81c56fe7d5f4f60045bfbd0778e14ad11ce2a6824c23132d2b864ef763fe85_d6cb245f-20c8-4cf5-8e6c-492305b20a8f.jpg?v=1787242243</t>
        </is>
      </c>
      <c r="E3" s="3" t="inlineStr">
        <is>
          <t>47934355407047</t>
        </is>
      </c>
      <c r="F3" s="3" t="inlineStr">
        <is>
          <t>47934355407047</t>
        </is>
      </c>
      <c r="G3" s="3" t="inlineStr"/>
      <c r="H3" s="3" t="inlineStr">
        <is>
          <t>GALLERY</t>
        </is>
      </c>
      <c r="I3" s="3" t="inlineStr">
        <is>
          <t>DIRECT_IMAGE_DOWNLOAD_AND_SOURCE_ROW_REVIEW</t>
        </is>
      </c>
      <c r="J3" s="3" t="inlineStr">
        <is>
          <t>2026-09-07T21:44:56+07:00</t>
        </is>
      </c>
      <c r="K3" s="3" t="inlineStr">
        <is>
          <t>Direct QA opened downloaded image 181_02; source SHA 946D5B32E02CA70029866292D0775686EA770A101CD6D8BC2C108F506AB44BBE. Submitted observation reviewed against gallery position.</t>
        </is>
      </c>
      <c r="L3" s="3" t="inlineStr">
        <is>
          <t>Secondary flat, close-up or bedroom mockup showing brown baseball glove custom name bedding.</t>
        </is>
      </c>
      <c r="M3" s="3" t="inlineStr">
        <is>
          <t>UNKNOWN</t>
        </is>
      </c>
      <c r="N3" s="3" t="inlineStr">
        <is>
          <t>SET</t>
        </is>
      </c>
      <c r="O3" s="3" t="inlineStr">
        <is>
          <t>Feature or care image for Brown Baseball Glove Custom Name Bedding</t>
        </is>
      </c>
      <c r="P3" s="3" t="inlineStr">
        <is>
          <t>FULL</t>
        </is>
      </c>
      <c r="Q3" s="3" t="inlineStr">
        <is>
          <t>FULL</t>
        </is>
      </c>
      <c r="R3" s="3" t="inlineStr">
        <is>
          <t>FULL</t>
        </is>
      </c>
      <c r="S3" s="3" t="inlineStr">
        <is>
          <t>FULL</t>
        </is>
      </c>
      <c r="T3" s="7">
        <f>IF(P3="FULL",40,IF(P3="PARTIAL",40/2,0))+IF(Q3="FULL",30,IF(Q3="PARTIAL",30/2,0))+IF(R3="FULL",20,IF(R3="PARTIAL",20/2,0))+IF(S3="FULL",10,IF(S3="PARTIAL",10/2,0))</f>
        <v/>
      </c>
      <c r="U3" s="7">
        <f>IF(P3="NOT_CHECKED",0,40)+IF(Q3="NOT_CHECKED",0,30)+IF(R3="NOT_CHECKED",0,20)+IF(S3="NOT_CHECKED",0,10)</f>
        <v/>
      </c>
      <c r="V3" s="7">
        <f>IF(U3=100,T3,"")</f>
        <v/>
      </c>
      <c r="W3" s="7">
        <f>T3</f>
        <v/>
      </c>
      <c r="X3" s="7">
        <f>T3+(100-U3)</f>
        <v/>
      </c>
      <c r="Y3" s="3" t="inlineStr"/>
      <c r="Z3" s="3" t="inlineStr">
        <is>
          <t>D:\Shopify_Workspace\jeminise_seo\seo_runs\jeminise.com\20260906_234129\qa\20260907_213200\images\181_02.jpg; seo_runs\jeminise.com\20260906_234129\evidence\images\181_personalized-baseball-bedding-full-size-flag-custom-name-d-design-06\image_02_47934355407047.jpg; seo_runs\jeminise.com\20260906_234129\evidence\contact_sheets\181_personalized-baseball-bedding-full-size-flag-custom-name-d-design-06.jpg</t>
        </is>
      </c>
    </row>
    <row r="4" ht="66" customHeight="1">
      <c r="A4" s="2" t="inlineStr">
        <is>
          <t>jeminise.com+personalized-baseball-bedding-full-size-flag-custom-name-d-design-06</t>
        </is>
      </c>
      <c r="B4" s="2" t="inlineStr">
        <is>
          <t>img_d7357904e336086e</t>
        </is>
      </c>
      <c r="C4" s="4" t="inlineStr">
        <is>
          <t>https://cdn.shopify.com/s/files/1/0792/5098/1063/files/b495d9b37eafdceff5caf3643256f7b3a83de826d49a14bdc531b13424296018_ad1ab0c9-2779-4f36-9049-4dee6667abea.jpg?v=1787242243</t>
        </is>
      </c>
      <c r="D4" s="4" t="inlineStr">
        <is>
          <t>https://cdn.shopify.com/s/files/1/0792/5098/1063/files/b495d9b37eafdceff5caf3643256f7b3a83de826d49a14bdc531b13424296018_ad1ab0c9-2779-4f36-9049-4dee6667abea.jpg?v=1787242243</t>
        </is>
      </c>
      <c r="E4" s="2" t="inlineStr">
        <is>
          <t>47934355439815</t>
        </is>
      </c>
      <c r="F4" s="2" t="inlineStr">
        <is>
          <t>47934355439815</t>
        </is>
      </c>
      <c r="G4" s="2" t="inlineStr"/>
      <c r="H4" s="2" t="inlineStr">
        <is>
          <t>GALLERY</t>
        </is>
      </c>
      <c r="I4" s="2" t="inlineStr">
        <is>
          <t>DIRECT_IMAGE_DOWNLOAD_AND_SOURCE_ROW_REVIEW</t>
        </is>
      </c>
      <c r="J4" s="2" t="inlineStr">
        <is>
          <t>2026-09-07T21:44:56+07:00</t>
        </is>
      </c>
      <c r="K4" s="2" t="inlineStr">
        <is>
          <t>Direct QA opened downloaded image 181_03; source SHA 82D08ED974694A5AE83601A42A9EAD30E75BA471FA67537A9B6996296A80AD73. Submitted observation reviewed against gallery position.</t>
        </is>
      </c>
      <c r="L4" s="2" t="inlineStr">
        <is>
          <t>Bedding type, feature, lifestyle or material image for brown baseball glove custom name bedding.</t>
        </is>
      </c>
      <c r="M4" s="2" t="inlineStr">
        <is>
          <t>UNKNOWN</t>
        </is>
      </c>
      <c r="N4" s="2" t="inlineStr">
        <is>
          <t>SET</t>
        </is>
      </c>
      <c r="O4" s="2" t="inlineStr">
        <is>
          <t>Product detail or closure image for Brown Baseball Glove Custom Name Bedding</t>
        </is>
      </c>
      <c r="P4" s="2" t="inlineStr">
        <is>
          <t>FULL</t>
        </is>
      </c>
      <c r="Q4" s="2" t="inlineStr">
        <is>
          <t>PARTIAL</t>
        </is>
      </c>
      <c r="R4" s="2" t="inlineStr">
        <is>
          <t>FULL</t>
        </is>
      </c>
      <c r="S4" s="2" t="inlineStr">
        <is>
          <t>FULL</t>
        </is>
      </c>
      <c r="T4" s="5">
        <f>IF(P4="FULL",40,IF(P4="PARTIAL",40/2,0))+IF(Q4="FULL",30,IF(Q4="PARTIAL",30/2,0))+IF(R4="FULL",20,IF(R4="PARTIAL",20/2,0))+IF(S4="FULL",10,IF(S4="PARTIAL",10/2,0))</f>
        <v/>
      </c>
      <c r="U4" s="5">
        <f>IF(P4="NOT_CHECKED",0,40)+IF(Q4="NOT_CHECKED",0,30)+IF(R4="NOT_CHECKED",0,20)+IF(S4="NOT_CHECKED",0,10)</f>
        <v/>
      </c>
      <c r="V4" s="5">
        <f>IF(U4=100,T4,"")</f>
        <v/>
      </c>
      <c r="W4" s="5">
        <f>T4</f>
        <v/>
      </c>
      <c r="X4" s="5">
        <f>T4+(100-U4)</f>
        <v/>
      </c>
      <c r="Y4" s="2" t="inlineStr">
        <is>
          <t>ISSUE-0006</t>
        </is>
      </c>
      <c r="Z4" s="2" t="inlineStr">
        <is>
          <t>D:\Shopify_Workspace\jeminise_seo\seo_runs\jeminise.com\20260906_234129\qa\20260907_213200\images\181_03.jpg; seo_runs\jeminise.com\20260906_234129\evidence\images\181_personalized-baseball-bedding-full-size-flag-custom-name-d-design-06\image_03_47934355439815.jpg; seo_runs\jeminise.com\20260906_234129\evidence\contact_sheets\181_personalized-baseball-bedding-full-size-flag-custom-name-d-design-06.jpg</t>
        </is>
      </c>
    </row>
    <row r="5" ht="66" customHeight="1">
      <c r="A5" s="3" t="inlineStr">
        <is>
          <t>jeminise.com+personalized-baseball-bedding-full-size-flag-custom-name-d-design-06</t>
        </is>
      </c>
      <c r="B5" s="3" t="inlineStr">
        <is>
          <t>img_71accca32ded885f</t>
        </is>
      </c>
      <c r="C5" s="4" t="inlineStr">
        <is>
          <t>https://cdn.shopify.com/s/files/1/0792/5098/1063/files/d51e3360a3e4b984af63b01c4b53d517484ca3d6cb1beeea158bcf59acab9ed4_79836266-04d5-4535-8b8d-cc36660e7fb5.jpg?v=1787242243</t>
        </is>
      </c>
      <c r="D5" s="4" t="inlineStr">
        <is>
          <t>https://cdn.shopify.com/s/files/1/0792/5098/1063/files/d51e3360a3e4b984af63b01c4b53d517484ca3d6cb1beeea158bcf59acab9ed4_79836266-04d5-4535-8b8d-cc36660e7fb5.jpg?v=1787242243</t>
        </is>
      </c>
      <c r="E5" s="3" t="inlineStr">
        <is>
          <t>47934355472583</t>
        </is>
      </c>
      <c r="F5" s="3" t="inlineStr">
        <is>
          <t>47934355472583</t>
        </is>
      </c>
      <c r="G5" s="3" t="inlineStr"/>
      <c r="H5" s="3" t="inlineStr">
        <is>
          <t>GALLERY</t>
        </is>
      </c>
      <c r="I5" s="3" t="inlineStr">
        <is>
          <t>DIRECT_IMAGE_DOWNLOAD_AND_SOURCE_ROW_REVIEW</t>
        </is>
      </c>
      <c r="J5" s="3" t="inlineStr">
        <is>
          <t>2026-09-07T21:44:56+07:00</t>
        </is>
      </c>
      <c r="K5" s="3" t="inlineStr">
        <is>
          <t>Direct QA opened downloaded image 181_04; source SHA 232246736D0E74D62007D0E6971A2E140EDFD432E8573485134C1F85951D9CC3. Submitted observation reviewed against gallery position.</t>
        </is>
      </c>
      <c r="L5" s="3" t="inlineStr">
        <is>
          <t>Detail, feature panel or lifestyle image connected to brown baseball glove custom name bedding.</t>
        </is>
      </c>
      <c r="M5" s="3" t="inlineStr">
        <is>
          <t>UNKNOWN</t>
        </is>
      </c>
      <c r="N5" s="3" t="inlineStr">
        <is>
          <t>SET</t>
        </is>
      </c>
      <c r="O5" s="3" t="inlineStr">
        <is>
          <t>Fabric or high-density weaving image for Brown Baseball Glove Custom Name Bedding</t>
        </is>
      </c>
      <c r="P5" s="3" t="inlineStr">
        <is>
          <t>FULL</t>
        </is>
      </c>
      <c r="Q5" s="3" t="inlineStr">
        <is>
          <t>PARTIAL</t>
        </is>
      </c>
      <c r="R5" s="3" t="inlineStr">
        <is>
          <t>FULL</t>
        </is>
      </c>
      <c r="S5" s="3" t="inlineStr">
        <is>
          <t>FULL</t>
        </is>
      </c>
      <c r="T5" s="7">
        <f>IF(P5="FULL",40,IF(P5="PARTIAL",40/2,0))+IF(Q5="FULL",30,IF(Q5="PARTIAL",30/2,0))+IF(R5="FULL",20,IF(R5="PARTIAL",20/2,0))+IF(S5="FULL",10,IF(S5="PARTIAL",10/2,0))</f>
        <v/>
      </c>
      <c r="U5" s="7">
        <f>IF(P5="NOT_CHECKED",0,40)+IF(Q5="NOT_CHECKED",0,30)+IF(R5="NOT_CHECKED",0,20)+IF(S5="NOT_CHECKED",0,10)</f>
        <v/>
      </c>
      <c r="V5" s="7">
        <f>IF(U5=100,T5,"")</f>
        <v/>
      </c>
      <c r="W5" s="7">
        <f>T5</f>
        <v/>
      </c>
      <c r="X5" s="7">
        <f>T5+(100-U5)</f>
        <v/>
      </c>
      <c r="Y5" s="3" t="inlineStr">
        <is>
          <t>ISSUE-0007</t>
        </is>
      </c>
      <c r="Z5" s="3" t="inlineStr">
        <is>
          <t>D:\Shopify_Workspace\jeminise_seo\seo_runs\jeminise.com\20260906_234129\qa\20260907_213200\images\181_04.jpg; seo_runs\jeminise.com\20260906_234129\evidence\images\181_personalized-baseball-bedding-full-size-flag-custom-name-d-design-06\image_04_47934355472583.jpg; seo_runs\jeminise.com\20260906_234129\evidence\contact_sheets\181_personalized-baseball-bedding-full-size-flag-custom-name-d-design-06.jpg</t>
        </is>
      </c>
    </row>
    <row r="6" ht="66" customHeight="1">
      <c r="A6" s="2" t="inlineStr">
        <is>
          <t>jeminise.com+personalized-baseball-bedding-full-size-flag-custom-name-d-design-07</t>
        </is>
      </c>
      <c r="B6" s="2" t="inlineStr">
        <is>
          <t>img_58e85ba60bfe7402</t>
        </is>
      </c>
      <c r="C6" s="4" t="inlineStr">
        <is>
          <t>https://cdn.shopify.com/s/files/1/0792/5098/1063/files/378a8e96305e6779a03c8ecabd45a597b3f4915044ba0256db08f5291ae0aebe.jpg?v=1787242250</t>
        </is>
      </c>
      <c r="D6" s="4" t="inlineStr">
        <is>
          <t>https://cdn.shopify.com/s/files/1/0792/5098/1063/files/378a8e96305e6779a03c8ecabd45a597b3f4915044ba0256db08f5291ae0aebe.jpg?v=1787242250</t>
        </is>
      </c>
      <c r="E6" s="2" t="inlineStr">
        <is>
          <t>47934356390087</t>
        </is>
      </c>
      <c r="F6" s="2" t="inlineStr">
        <is>
          <t>47934356390087</t>
        </is>
      </c>
      <c r="G6" s="2" t="inlineStr"/>
      <c r="H6" s="2" t="inlineStr">
        <is>
          <t>GALLERY</t>
        </is>
      </c>
      <c r="I6" s="2" t="inlineStr">
        <is>
          <t>DIRECT_IMAGE_DOWNLOAD_AND_SOURCE_ROW_REVIEW</t>
        </is>
      </c>
      <c r="J6" s="2" t="inlineStr">
        <is>
          <t>2026-09-07T21:44:56+07:00</t>
        </is>
      </c>
      <c r="K6" s="2" t="inlineStr">
        <is>
          <t>Direct QA opened downloaded image 182_01; source SHA A828C3DB8929EB84737CA04A81B9B101CC6E85144090E55E516A6365D1D8225F. Submitted observation reviewed against gallery position.</t>
        </is>
      </c>
      <c r="L6" s="2" t="inlineStr">
        <is>
          <t>Main product mockup showing American flag baseball bedding with script name.</t>
        </is>
      </c>
      <c r="M6" s="2" t="inlineStr">
        <is>
          <t>UNKNOWN</t>
        </is>
      </c>
      <c r="N6" s="2" t="inlineStr">
        <is>
          <t>SET</t>
        </is>
      </c>
      <c r="O6" s="2" t="inlineStr">
        <is>
          <t>American Flag Baseball Bedding with Custom Name displayed in a main product mockup</t>
        </is>
      </c>
      <c r="P6" s="2" t="inlineStr">
        <is>
          <t>FULL</t>
        </is>
      </c>
      <c r="Q6" s="2" t="inlineStr">
        <is>
          <t>FULL</t>
        </is>
      </c>
      <c r="R6" s="2" t="inlineStr">
        <is>
          <t>PARTIAL</t>
        </is>
      </c>
      <c r="S6" s="2" t="inlineStr">
        <is>
          <t>FULL</t>
        </is>
      </c>
      <c r="T6" s="5">
        <f>IF(P6="FULL",40,IF(P6="PARTIAL",40/2,0))+IF(Q6="FULL",30,IF(Q6="PARTIAL",30/2,0))+IF(R6="FULL",20,IF(R6="PARTIAL",20/2,0))+IF(S6="FULL",10,IF(S6="PARTIAL",10/2,0))</f>
        <v/>
      </c>
      <c r="U6" s="5">
        <f>IF(P6="NOT_CHECKED",0,40)+IF(Q6="NOT_CHECKED",0,30)+IF(R6="NOT_CHECKED",0,20)+IF(S6="NOT_CHECKED",0,10)</f>
        <v/>
      </c>
      <c r="V6" s="5">
        <f>IF(U6=100,T6,"")</f>
        <v/>
      </c>
      <c r="W6" s="5">
        <f>T6</f>
        <v/>
      </c>
      <c r="X6" s="5">
        <f>T6+(100-U6)</f>
        <v/>
      </c>
      <c r="Y6" s="2" t="inlineStr">
        <is>
          <t>ISSUE-0012</t>
        </is>
      </c>
      <c r="Z6" s="2" t="inlineStr">
        <is>
          <t>D:\Shopify_Workspace\jeminise_seo\seo_runs\jeminise.com\20260906_234129\qa\20260907_213200\images\182_01.jpg; seo_runs\jeminise.com\20260906_234129\evidence\images\182_personalized-baseball-bedding-full-size-flag-custom-name-d-design-07\image_01_47934356390087.jpg; seo_runs\jeminise.com\20260906_234129\evidence\contact_sheets\182_personalized-baseball-bedding-full-size-flag-custom-name-d-design-07.jpg</t>
        </is>
      </c>
    </row>
    <row r="7" ht="66" customHeight="1">
      <c r="A7" s="3" t="inlineStr">
        <is>
          <t>jeminise.com+personalized-baseball-bedding-full-size-flag-custom-name-d-design-07</t>
        </is>
      </c>
      <c r="B7" s="3" t="inlineStr">
        <is>
          <t>img_dfef26f299f2c67d</t>
        </is>
      </c>
      <c r="C7" s="4" t="inlineStr">
        <is>
          <t>https://cdn.shopify.com/s/files/1/0792/5098/1063/files/ef81c56fe7d5f4f60045bfbd0778e14ad11ce2a6824c23132d2b864ef763fe85_42217646-9998-4fbd-9ca4-b3ed21cdf5dd.jpg?v=1787242250</t>
        </is>
      </c>
      <c r="D7" s="4" t="inlineStr">
        <is>
          <t>https://cdn.shopify.com/s/files/1/0792/5098/1063/files/ef81c56fe7d5f4f60045bfbd0778e14ad11ce2a6824c23132d2b864ef763fe85_42217646-9998-4fbd-9ca4-b3ed21cdf5dd.jpg?v=1787242250</t>
        </is>
      </c>
      <c r="E7" s="3" t="inlineStr">
        <is>
          <t>47934356422855</t>
        </is>
      </c>
      <c r="F7" s="3" t="inlineStr">
        <is>
          <t>47934356422855</t>
        </is>
      </c>
      <c r="G7" s="3" t="inlineStr"/>
      <c r="H7" s="3" t="inlineStr">
        <is>
          <t>GALLERY</t>
        </is>
      </c>
      <c r="I7" s="3" t="inlineStr">
        <is>
          <t>DIRECT_IMAGE_DOWNLOAD_AND_SOURCE_ROW_REVIEW</t>
        </is>
      </c>
      <c r="J7" s="3" t="inlineStr">
        <is>
          <t>2026-09-07T21:44:56+07:00</t>
        </is>
      </c>
      <c r="K7" s="3" t="inlineStr">
        <is>
          <t>Direct QA opened downloaded image 182_02; source SHA 946D5B32E02CA70029866292D0775686EA770A101CD6D8BC2C108F506AB44BBE. Submitted observation reviewed against gallery position.</t>
        </is>
      </c>
      <c r="L7" s="3" t="inlineStr">
        <is>
          <t>Secondary flat, close-up or bedroom mockup showing American flag baseball bedding with script name.</t>
        </is>
      </c>
      <c r="M7" s="3" t="inlineStr">
        <is>
          <t>UNKNOWN</t>
        </is>
      </c>
      <c r="N7" s="3" t="inlineStr">
        <is>
          <t>SET</t>
        </is>
      </c>
      <c r="O7" s="3" t="inlineStr">
        <is>
          <t>Feature or care image for American Flag Baseball Bedding with Custom Name</t>
        </is>
      </c>
      <c r="P7" s="3" t="inlineStr">
        <is>
          <t>FULL</t>
        </is>
      </c>
      <c r="Q7" s="3" t="inlineStr">
        <is>
          <t>FULL</t>
        </is>
      </c>
      <c r="R7" s="3" t="inlineStr">
        <is>
          <t>FULL</t>
        </is>
      </c>
      <c r="S7" s="3" t="inlineStr">
        <is>
          <t>FULL</t>
        </is>
      </c>
      <c r="T7" s="7">
        <f>IF(P7="FULL",40,IF(P7="PARTIAL",40/2,0))+IF(Q7="FULL",30,IF(Q7="PARTIAL",30/2,0))+IF(R7="FULL",20,IF(R7="PARTIAL",20/2,0))+IF(S7="FULL",10,IF(S7="PARTIAL",10/2,0))</f>
        <v/>
      </c>
      <c r="U7" s="7">
        <f>IF(P7="NOT_CHECKED",0,40)+IF(Q7="NOT_CHECKED",0,30)+IF(R7="NOT_CHECKED",0,20)+IF(S7="NOT_CHECKED",0,10)</f>
        <v/>
      </c>
      <c r="V7" s="7">
        <f>IF(U7=100,T7,"")</f>
        <v/>
      </c>
      <c r="W7" s="7">
        <f>T7</f>
        <v/>
      </c>
      <c r="X7" s="7">
        <f>T7+(100-U7)</f>
        <v/>
      </c>
      <c r="Y7" s="3" t="inlineStr"/>
      <c r="Z7" s="3" t="inlineStr">
        <is>
          <t>D:\Shopify_Workspace\jeminise_seo\seo_runs\jeminise.com\20260906_234129\qa\20260907_213200\images\182_02.jpg; seo_runs\jeminise.com\20260906_234129\evidence\images\182_personalized-baseball-bedding-full-size-flag-custom-name-d-design-07\image_02_47934356422855.jpg; seo_runs\jeminise.com\20260906_234129\evidence\contact_sheets\182_personalized-baseball-bedding-full-size-flag-custom-name-d-design-07.jpg</t>
        </is>
      </c>
    </row>
    <row r="8" ht="66" customHeight="1">
      <c r="A8" s="2" t="inlineStr">
        <is>
          <t>jeminise.com+personalized-baseball-bedding-full-size-flag-custom-name-d-design-07</t>
        </is>
      </c>
      <c r="B8" s="2" t="inlineStr">
        <is>
          <t>img_af6381ba7175d4b0</t>
        </is>
      </c>
      <c r="C8" s="4" t="inlineStr">
        <is>
          <t>https://cdn.shopify.com/s/files/1/0792/5098/1063/files/b495d9b37eafdceff5caf3643256f7b3a83de826d49a14bdc531b13424296018_fbe6001d-6588-4bce-aecf-e0e3701d32ce.jpg?v=1787242250</t>
        </is>
      </c>
      <c r="D8" s="4" t="inlineStr">
        <is>
          <t>https://cdn.shopify.com/s/files/1/0792/5098/1063/files/b495d9b37eafdceff5caf3643256f7b3a83de826d49a14bdc531b13424296018_fbe6001d-6588-4bce-aecf-e0e3701d32ce.jpg?v=1787242250</t>
        </is>
      </c>
      <c r="E8" s="2" t="inlineStr">
        <is>
          <t>47934356455623</t>
        </is>
      </c>
      <c r="F8" s="2" t="inlineStr">
        <is>
          <t>47934356455623</t>
        </is>
      </c>
      <c r="G8" s="2" t="inlineStr"/>
      <c r="H8" s="2" t="inlineStr">
        <is>
          <t>GALLERY</t>
        </is>
      </c>
      <c r="I8" s="2" t="inlineStr">
        <is>
          <t>DIRECT_IMAGE_DOWNLOAD_AND_SOURCE_ROW_REVIEW</t>
        </is>
      </c>
      <c r="J8" s="2" t="inlineStr">
        <is>
          <t>2026-09-07T21:44:56+07:00</t>
        </is>
      </c>
      <c r="K8" s="2" t="inlineStr">
        <is>
          <t>Direct QA opened downloaded image 182_03; source SHA 82D08ED974694A5AE83601A42A9EAD30E75BA471FA67537A9B6996296A80AD73. Submitted observation reviewed against gallery position.</t>
        </is>
      </c>
      <c r="L8" s="2" t="inlineStr">
        <is>
          <t>Bedding type, feature, lifestyle or material image for American flag baseball bedding with script name.</t>
        </is>
      </c>
      <c r="M8" s="2" t="inlineStr">
        <is>
          <t>UNKNOWN</t>
        </is>
      </c>
      <c r="N8" s="2" t="inlineStr">
        <is>
          <t>SET</t>
        </is>
      </c>
      <c r="O8" s="2" t="inlineStr">
        <is>
          <t>Product detail or closure image for American Flag Baseball Bedding with Custom Name</t>
        </is>
      </c>
      <c r="P8" s="2" t="inlineStr">
        <is>
          <t>FULL</t>
        </is>
      </c>
      <c r="Q8" s="2" t="inlineStr">
        <is>
          <t>PARTIAL</t>
        </is>
      </c>
      <c r="R8" s="2" t="inlineStr">
        <is>
          <t>FULL</t>
        </is>
      </c>
      <c r="S8" s="2" t="inlineStr">
        <is>
          <t>FULL</t>
        </is>
      </c>
      <c r="T8" s="5">
        <f>IF(P8="FULL",40,IF(P8="PARTIAL",40/2,0))+IF(Q8="FULL",30,IF(Q8="PARTIAL",30/2,0))+IF(R8="FULL",20,IF(R8="PARTIAL",20/2,0))+IF(S8="FULL",10,IF(S8="PARTIAL",10/2,0))</f>
        <v/>
      </c>
      <c r="U8" s="5">
        <f>IF(P8="NOT_CHECKED",0,40)+IF(Q8="NOT_CHECKED",0,30)+IF(R8="NOT_CHECKED",0,20)+IF(S8="NOT_CHECKED",0,10)</f>
        <v/>
      </c>
      <c r="V8" s="5">
        <f>IF(U8=100,T8,"")</f>
        <v/>
      </c>
      <c r="W8" s="5">
        <f>T8</f>
        <v/>
      </c>
      <c r="X8" s="5">
        <f>T8+(100-U8)</f>
        <v/>
      </c>
      <c r="Y8" s="2" t="inlineStr">
        <is>
          <t>ISSUE-0013</t>
        </is>
      </c>
      <c r="Z8" s="2" t="inlineStr">
        <is>
          <t>D:\Shopify_Workspace\jeminise_seo\seo_runs\jeminise.com\20260906_234129\qa\20260907_213200\images\182_03.jpg; seo_runs\jeminise.com\20260906_234129\evidence\images\182_personalized-baseball-bedding-full-size-flag-custom-name-d-design-07\image_03_47934356455623.jpg; seo_runs\jeminise.com\20260906_234129\evidence\contact_sheets\182_personalized-baseball-bedding-full-size-flag-custom-name-d-design-07.jpg</t>
        </is>
      </c>
    </row>
    <row r="9" ht="66" customHeight="1">
      <c r="A9" s="3" t="inlineStr">
        <is>
          <t>jeminise.com+personalized-baseball-bedding-full-size-flag-custom-name-d-design-07</t>
        </is>
      </c>
      <c r="B9" s="3" t="inlineStr">
        <is>
          <t>img_4e5b30d07a6b1a40</t>
        </is>
      </c>
      <c r="C9" s="4" t="inlineStr">
        <is>
          <t>https://cdn.shopify.com/s/files/1/0792/5098/1063/files/d51e3360a3e4b984af63b01c4b53d517484ca3d6cb1beeea158bcf59acab9ed4_54a4893c-2527-4db4-962c-f6837c2c1fdf.jpg?v=1787242250</t>
        </is>
      </c>
      <c r="D9" s="4" t="inlineStr">
        <is>
          <t>https://cdn.shopify.com/s/files/1/0792/5098/1063/files/d51e3360a3e4b984af63b01c4b53d517484ca3d6cb1beeea158bcf59acab9ed4_54a4893c-2527-4db4-962c-f6837c2c1fdf.jpg?v=1787242250</t>
        </is>
      </c>
      <c r="E9" s="3" t="inlineStr">
        <is>
          <t>47934356488391</t>
        </is>
      </c>
      <c r="F9" s="3" t="inlineStr">
        <is>
          <t>47934356488391</t>
        </is>
      </c>
      <c r="G9" s="3" t="inlineStr"/>
      <c r="H9" s="3" t="inlineStr">
        <is>
          <t>GALLERY</t>
        </is>
      </c>
      <c r="I9" s="3" t="inlineStr">
        <is>
          <t>DIRECT_IMAGE_DOWNLOAD_AND_SOURCE_ROW_REVIEW</t>
        </is>
      </c>
      <c r="J9" s="3" t="inlineStr">
        <is>
          <t>2026-09-07T21:44:56+07:00</t>
        </is>
      </c>
      <c r="K9" s="3" t="inlineStr">
        <is>
          <t>Direct QA opened downloaded image 182_04; source SHA 232246736D0E74D62007D0E6971A2E140EDFD432E8573485134C1F85951D9CC3. Submitted observation reviewed against gallery position.</t>
        </is>
      </c>
      <c r="L9" s="3" t="inlineStr">
        <is>
          <t>Detail, feature panel or lifestyle image connected to American flag baseball bedding with script name.</t>
        </is>
      </c>
      <c r="M9" s="3" t="inlineStr">
        <is>
          <t>UNKNOWN</t>
        </is>
      </c>
      <c r="N9" s="3" t="inlineStr">
        <is>
          <t>SET</t>
        </is>
      </c>
      <c r="O9" s="3" t="inlineStr">
        <is>
          <t>Fabric or high-density weaving image for American Flag Baseball Bedding with Custom Name</t>
        </is>
      </c>
      <c r="P9" s="3" t="inlineStr">
        <is>
          <t>FULL</t>
        </is>
      </c>
      <c r="Q9" s="3" t="inlineStr">
        <is>
          <t>PARTIAL</t>
        </is>
      </c>
      <c r="R9" s="3" t="inlineStr">
        <is>
          <t>FULL</t>
        </is>
      </c>
      <c r="S9" s="3" t="inlineStr">
        <is>
          <t>FULL</t>
        </is>
      </c>
      <c r="T9" s="7">
        <f>IF(P9="FULL",40,IF(P9="PARTIAL",40/2,0))+IF(Q9="FULL",30,IF(Q9="PARTIAL",30/2,0))+IF(R9="FULL",20,IF(R9="PARTIAL",20/2,0))+IF(S9="FULL",10,IF(S9="PARTIAL",10/2,0))</f>
        <v/>
      </c>
      <c r="U9" s="7">
        <f>IF(P9="NOT_CHECKED",0,40)+IF(Q9="NOT_CHECKED",0,30)+IF(R9="NOT_CHECKED",0,20)+IF(S9="NOT_CHECKED",0,10)</f>
        <v/>
      </c>
      <c r="V9" s="7">
        <f>IF(U9=100,T9,"")</f>
        <v/>
      </c>
      <c r="W9" s="7">
        <f>T9</f>
        <v/>
      </c>
      <c r="X9" s="7">
        <f>T9+(100-U9)</f>
        <v/>
      </c>
      <c r="Y9" s="3" t="inlineStr">
        <is>
          <t>ISSUE-0014</t>
        </is>
      </c>
      <c r="Z9" s="3" t="inlineStr">
        <is>
          <t>D:\Shopify_Workspace\jeminise_seo\seo_runs\jeminise.com\20260906_234129\qa\20260907_213200\images\182_04.jpg; seo_runs\jeminise.com\20260906_234129\evidence\images\182_personalized-baseball-bedding-full-size-flag-custom-name-d-design-07\image_04_47934356488391.jpg; seo_runs\jeminise.com\20260906_234129\evidence\contact_sheets\182_personalized-baseball-bedding-full-size-flag-custom-name-d-design-07.jpg</t>
        </is>
      </c>
    </row>
    <row r="10" ht="66" customHeight="1">
      <c r="A10" s="2" t="inlineStr">
        <is>
          <t>jeminise.com+personalized-baseball-bedding-full-size-flag-custom-name-d-design-08</t>
        </is>
      </c>
      <c r="B10" s="2" t="inlineStr">
        <is>
          <t>img_917b097f979b039b</t>
        </is>
      </c>
      <c r="C10" s="4" t="inlineStr">
        <is>
          <t>https://cdn.shopify.com/s/files/1/0792/5098/1063/files/d7ef02b64a3368ae8a6946c495c9fe3973509085263bc4e81d2b85c88e1e713b.jpg?v=1787242268</t>
        </is>
      </c>
      <c r="D10" s="4" t="inlineStr">
        <is>
          <t>https://cdn.shopify.com/s/files/1/0792/5098/1063/files/d7ef02b64a3368ae8a6946c495c9fe3973509085263bc4e81d2b85c88e1e713b.jpg?v=1787242268</t>
        </is>
      </c>
      <c r="E10" s="2" t="inlineStr">
        <is>
          <t>47934357733575</t>
        </is>
      </c>
      <c r="F10" s="2" t="inlineStr">
        <is>
          <t>47934357733575</t>
        </is>
      </c>
      <c r="G10" s="2" t="inlineStr"/>
      <c r="H10" s="2" t="inlineStr">
        <is>
          <t>GALLERY</t>
        </is>
      </c>
      <c r="I10" s="2" t="inlineStr">
        <is>
          <t>DIRECT_IMAGE_DOWNLOAD_AND_SOURCE_ROW_REVIEW</t>
        </is>
      </c>
      <c r="J10" s="2" t="inlineStr">
        <is>
          <t>2026-09-07T21:44:56+07:00</t>
        </is>
      </c>
      <c r="K10" s="2" t="inlineStr">
        <is>
          <t>Direct QA opened downloaded image 183_01; source SHA 8B49835D64633F2D39403A5CFFDBAE489F24E8FC393DD85FCCC26DC77E9D3EB7. Submitted observation reviewed against gallery position.</t>
        </is>
      </c>
      <c r="L10" s="2" t="inlineStr">
        <is>
          <t>Main product mockup showing baseball flag bedding with block name and number.</t>
        </is>
      </c>
      <c r="M10" s="2" t="inlineStr">
        <is>
          <t>UNKNOWN</t>
        </is>
      </c>
      <c r="N10" s="2" t="inlineStr">
        <is>
          <t>SET</t>
        </is>
      </c>
      <c r="O10" s="2" t="inlineStr">
        <is>
          <t>Baseball Flag Bedding with Name and Number displayed in a main product mockup</t>
        </is>
      </c>
      <c r="P10" s="2" t="inlineStr">
        <is>
          <t>FULL</t>
        </is>
      </c>
      <c r="Q10" s="2" t="inlineStr">
        <is>
          <t>FULL</t>
        </is>
      </c>
      <c r="R10" s="2" t="inlineStr">
        <is>
          <t>PARTIAL</t>
        </is>
      </c>
      <c r="S10" s="2" t="inlineStr">
        <is>
          <t>FULL</t>
        </is>
      </c>
      <c r="T10" s="5">
        <f>IF(P10="FULL",40,IF(P10="PARTIAL",40/2,0))+IF(Q10="FULL",30,IF(Q10="PARTIAL",30/2,0))+IF(R10="FULL",20,IF(R10="PARTIAL",20/2,0))+IF(S10="FULL",10,IF(S10="PARTIAL",10/2,0))</f>
        <v/>
      </c>
      <c r="U10" s="5">
        <f>IF(P10="NOT_CHECKED",0,40)+IF(Q10="NOT_CHECKED",0,30)+IF(R10="NOT_CHECKED",0,20)+IF(S10="NOT_CHECKED",0,10)</f>
        <v/>
      </c>
      <c r="V10" s="5">
        <f>IF(U10=100,T10,"")</f>
        <v/>
      </c>
      <c r="W10" s="5">
        <f>T10</f>
        <v/>
      </c>
      <c r="X10" s="5">
        <f>T10+(100-U10)</f>
        <v/>
      </c>
      <c r="Y10" s="2" t="inlineStr">
        <is>
          <t>ISSUE-0019</t>
        </is>
      </c>
      <c r="Z10" s="2" t="inlineStr">
        <is>
          <t>D:\Shopify_Workspace\jeminise_seo\seo_runs\jeminise.com\20260906_234129\qa\20260907_213200\images\183_01.jpg; seo_runs\jeminise.com\20260906_234129\evidence\images\183_personalized-baseball-bedding-full-size-flag-custom-name-d-design-08\image_01_47934357733575.jpg; seo_runs\jeminise.com\20260906_234129\evidence\contact_sheets\183_personalized-baseball-bedding-full-size-flag-custom-name-d-design-08.jpg</t>
        </is>
      </c>
    </row>
    <row r="11" ht="66" customHeight="1">
      <c r="A11" s="3" t="inlineStr">
        <is>
          <t>jeminise.com+personalized-baseball-bedding-full-size-flag-custom-name-d-design-08</t>
        </is>
      </c>
      <c r="B11" s="3" t="inlineStr">
        <is>
          <t>img_1c838e4f19d56a40</t>
        </is>
      </c>
      <c r="C11" s="4" t="inlineStr">
        <is>
          <t>https://cdn.shopify.com/s/files/1/0792/5098/1063/files/ef81c56fe7d5f4f60045bfbd0778e14ad11ce2a6824c23132d2b864ef763fe85_908e933d-3668-4227-ab63-ea1cb072130c.jpg?v=1787242268</t>
        </is>
      </c>
      <c r="D11" s="4" t="inlineStr">
        <is>
          <t>https://cdn.shopify.com/s/files/1/0792/5098/1063/files/ef81c56fe7d5f4f60045bfbd0778e14ad11ce2a6824c23132d2b864ef763fe85_908e933d-3668-4227-ab63-ea1cb072130c.jpg?v=1787242268</t>
        </is>
      </c>
      <c r="E11" s="3" t="inlineStr">
        <is>
          <t>47934357766343</t>
        </is>
      </c>
      <c r="F11" s="3" t="inlineStr">
        <is>
          <t>47934357766343</t>
        </is>
      </c>
      <c r="G11" s="3" t="inlineStr"/>
      <c r="H11" s="3" t="inlineStr">
        <is>
          <t>GALLERY</t>
        </is>
      </c>
      <c r="I11" s="3" t="inlineStr">
        <is>
          <t>DIRECT_IMAGE_DOWNLOAD_AND_SOURCE_ROW_REVIEW</t>
        </is>
      </c>
      <c r="J11" s="3" t="inlineStr">
        <is>
          <t>2026-09-07T21:44:56+07:00</t>
        </is>
      </c>
      <c r="K11" s="3" t="inlineStr">
        <is>
          <t>Direct QA opened downloaded image 183_02; source SHA 946D5B32E02CA70029866292D0775686EA770A101CD6D8BC2C108F506AB44BBE. Submitted observation reviewed against gallery position.</t>
        </is>
      </c>
      <c r="L11" s="3" t="inlineStr">
        <is>
          <t>Secondary flat, close-up or bedroom mockup showing baseball flag bedding with block name and number.</t>
        </is>
      </c>
      <c r="M11" s="3" t="inlineStr">
        <is>
          <t>UNKNOWN</t>
        </is>
      </c>
      <c r="N11" s="3" t="inlineStr">
        <is>
          <t>SET</t>
        </is>
      </c>
      <c r="O11" s="3" t="inlineStr">
        <is>
          <t>Feature or care image for Baseball Flag Bedding with Name and Number</t>
        </is>
      </c>
      <c r="P11" s="3" t="inlineStr">
        <is>
          <t>FULL</t>
        </is>
      </c>
      <c r="Q11" s="3" t="inlineStr">
        <is>
          <t>FULL</t>
        </is>
      </c>
      <c r="R11" s="3" t="inlineStr">
        <is>
          <t>FULL</t>
        </is>
      </c>
      <c r="S11" s="3" t="inlineStr">
        <is>
          <t>FULL</t>
        </is>
      </c>
      <c r="T11" s="7">
        <f>IF(P11="FULL",40,IF(P11="PARTIAL",40/2,0))+IF(Q11="FULL",30,IF(Q11="PARTIAL",30/2,0))+IF(R11="FULL",20,IF(R11="PARTIAL",20/2,0))+IF(S11="FULL",10,IF(S11="PARTIAL",10/2,0))</f>
        <v/>
      </c>
      <c r="U11" s="7">
        <f>IF(P11="NOT_CHECKED",0,40)+IF(Q11="NOT_CHECKED",0,30)+IF(R11="NOT_CHECKED",0,20)+IF(S11="NOT_CHECKED",0,10)</f>
        <v/>
      </c>
      <c r="V11" s="7">
        <f>IF(U11=100,T11,"")</f>
        <v/>
      </c>
      <c r="W11" s="7">
        <f>T11</f>
        <v/>
      </c>
      <c r="X11" s="7">
        <f>T11+(100-U11)</f>
        <v/>
      </c>
      <c r="Y11" s="3" t="inlineStr"/>
      <c r="Z11" s="3" t="inlineStr">
        <is>
          <t>D:\Shopify_Workspace\jeminise_seo\seo_runs\jeminise.com\20260906_234129\qa\20260907_213200\images\183_02.jpg; seo_runs\jeminise.com\20260906_234129\evidence\images\183_personalized-baseball-bedding-full-size-flag-custom-name-d-design-08\image_02_47934357766343.jpg; seo_runs\jeminise.com\20260906_234129\evidence\contact_sheets\183_personalized-baseball-bedding-full-size-flag-custom-name-d-design-08.jpg</t>
        </is>
      </c>
    </row>
    <row r="12" ht="66" customHeight="1">
      <c r="A12" s="2" t="inlineStr">
        <is>
          <t>jeminise.com+personalized-baseball-bedding-full-size-flag-custom-name-d-design-08</t>
        </is>
      </c>
      <c r="B12" s="2" t="inlineStr">
        <is>
          <t>img_d933bd9216c93016</t>
        </is>
      </c>
      <c r="C12" s="4" t="inlineStr">
        <is>
          <t>https://cdn.shopify.com/s/files/1/0792/5098/1063/files/b495d9b37eafdceff5caf3643256f7b3a83de826d49a14bdc531b13424296018_3877c96d-b8a8-48d7-b692-7581e5a24201.jpg?v=1787242268</t>
        </is>
      </c>
      <c r="D12" s="4" t="inlineStr">
        <is>
          <t>https://cdn.shopify.com/s/files/1/0792/5098/1063/files/b495d9b37eafdceff5caf3643256f7b3a83de826d49a14bdc531b13424296018_3877c96d-b8a8-48d7-b692-7581e5a24201.jpg?v=1787242268</t>
        </is>
      </c>
      <c r="E12" s="2" t="inlineStr">
        <is>
          <t>47934357799111</t>
        </is>
      </c>
      <c r="F12" s="2" t="inlineStr">
        <is>
          <t>47934357799111</t>
        </is>
      </c>
      <c r="G12" s="2" t="inlineStr"/>
      <c r="H12" s="2" t="inlineStr">
        <is>
          <t>GALLERY</t>
        </is>
      </c>
      <c r="I12" s="2" t="inlineStr">
        <is>
          <t>DIRECT_IMAGE_DOWNLOAD_AND_SOURCE_ROW_REVIEW</t>
        </is>
      </c>
      <c r="J12" s="2" t="inlineStr">
        <is>
          <t>2026-09-07T21:44:56+07:00</t>
        </is>
      </c>
      <c r="K12" s="2" t="inlineStr">
        <is>
          <t>Direct QA opened downloaded image 183_03; source SHA 82D08ED974694A5AE83601A42A9EAD30E75BA471FA67537A9B6996296A80AD73. Submitted observation reviewed against gallery position.</t>
        </is>
      </c>
      <c r="L12" s="2" t="inlineStr">
        <is>
          <t>Bedding type, feature, lifestyle or material image for baseball flag bedding with block name and number.</t>
        </is>
      </c>
      <c r="M12" s="2" t="inlineStr">
        <is>
          <t>UNKNOWN</t>
        </is>
      </c>
      <c r="N12" s="2" t="inlineStr">
        <is>
          <t>SET</t>
        </is>
      </c>
      <c r="O12" s="2" t="inlineStr">
        <is>
          <t>Product detail or closure image for Baseball Flag Bedding with Name and Number</t>
        </is>
      </c>
      <c r="P12" s="2" t="inlineStr">
        <is>
          <t>FULL</t>
        </is>
      </c>
      <c r="Q12" s="2" t="inlineStr">
        <is>
          <t>PARTIAL</t>
        </is>
      </c>
      <c r="R12" s="2" t="inlineStr">
        <is>
          <t>FULL</t>
        </is>
      </c>
      <c r="S12" s="2" t="inlineStr">
        <is>
          <t>FULL</t>
        </is>
      </c>
      <c r="T12" s="5">
        <f>IF(P12="FULL",40,IF(P12="PARTIAL",40/2,0))+IF(Q12="FULL",30,IF(Q12="PARTIAL",30/2,0))+IF(R12="FULL",20,IF(R12="PARTIAL",20/2,0))+IF(S12="FULL",10,IF(S12="PARTIAL",10/2,0))</f>
        <v/>
      </c>
      <c r="U12" s="5">
        <f>IF(P12="NOT_CHECKED",0,40)+IF(Q12="NOT_CHECKED",0,30)+IF(R12="NOT_CHECKED",0,20)+IF(S12="NOT_CHECKED",0,10)</f>
        <v/>
      </c>
      <c r="V12" s="5">
        <f>IF(U12=100,T12,"")</f>
        <v/>
      </c>
      <c r="W12" s="5">
        <f>T12</f>
        <v/>
      </c>
      <c r="X12" s="5">
        <f>T12+(100-U12)</f>
        <v/>
      </c>
      <c r="Y12" s="2" t="inlineStr">
        <is>
          <t>ISSUE-0020</t>
        </is>
      </c>
      <c r="Z12" s="2" t="inlineStr">
        <is>
          <t>D:\Shopify_Workspace\jeminise_seo\seo_runs\jeminise.com\20260906_234129\qa\20260907_213200\images\183_03.jpg; seo_runs\jeminise.com\20260906_234129\evidence\images\183_personalized-baseball-bedding-full-size-flag-custom-name-d-design-08\image_03_47934357799111.jpg; seo_runs\jeminise.com\20260906_234129\evidence\contact_sheets\183_personalized-baseball-bedding-full-size-flag-custom-name-d-design-08.jpg</t>
        </is>
      </c>
    </row>
    <row r="13" ht="66" customHeight="1">
      <c r="A13" s="3" t="inlineStr">
        <is>
          <t>jeminise.com+personalized-baseball-bedding-full-size-flag-custom-name-d-design-08</t>
        </is>
      </c>
      <c r="B13" s="3" t="inlineStr">
        <is>
          <t>img_0d141f050ca1e4bf</t>
        </is>
      </c>
      <c r="C13" s="4" t="inlineStr">
        <is>
          <t>https://cdn.shopify.com/s/files/1/0792/5098/1063/files/d51e3360a3e4b984af63b01c4b53d517484ca3d6cb1beeea158bcf59acab9ed4_c65b84ca-8f37-4622-8981-67541f312bd9.jpg?v=1787242268</t>
        </is>
      </c>
      <c r="D13" s="4" t="inlineStr">
        <is>
          <t>https://cdn.shopify.com/s/files/1/0792/5098/1063/files/d51e3360a3e4b984af63b01c4b53d517484ca3d6cb1beeea158bcf59acab9ed4_c65b84ca-8f37-4622-8981-67541f312bd9.jpg?v=1787242268</t>
        </is>
      </c>
      <c r="E13" s="3" t="inlineStr">
        <is>
          <t>47934357831879</t>
        </is>
      </c>
      <c r="F13" s="3" t="inlineStr">
        <is>
          <t>47934357831879</t>
        </is>
      </c>
      <c r="G13" s="3" t="inlineStr"/>
      <c r="H13" s="3" t="inlineStr">
        <is>
          <t>GALLERY</t>
        </is>
      </c>
      <c r="I13" s="3" t="inlineStr">
        <is>
          <t>DIRECT_IMAGE_DOWNLOAD_AND_SOURCE_ROW_REVIEW</t>
        </is>
      </c>
      <c r="J13" s="3" t="inlineStr">
        <is>
          <t>2026-09-07T21:44:56+07:00</t>
        </is>
      </c>
      <c r="K13" s="3" t="inlineStr">
        <is>
          <t>Direct QA opened downloaded image 183_04; source SHA 232246736D0E74D62007D0E6971A2E140EDFD432E8573485134C1F85951D9CC3. Submitted observation reviewed against gallery position.</t>
        </is>
      </c>
      <c r="L13" s="3" t="inlineStr">
        <is>
          <t>Detail, feature panel or lifestyle image connected to baseball flag bedding with block name and number.</t>
        </is>
      </c>
      <c r="M13" s="3" t="inlineStr">
        <is>
          <t>UNKNOWN</t>
        </is>
      </c>
      <c r="N13" s="3" t="inlineStr">
        <is>
          <t>SET</t>
        </is>
      </c>
      <c r="O13" s="3" t="inlineStr">
        <is>
          <t>Fabric or high-density weaving image for Baseball Flag Bedding with Name and Number</t>
        </is>
      </c>
      <c r="P13" s="3" t="inlineStr">
        <is>
          <t>FULL</t>
        </is>
      </c>
      <c r="Q13" s="3" t="inlineStr">
        <is>
          <t>PARTIAL</t>
        </is>
      </c>
      <c r="R13" s="3" t="inlineStr">
        <is>
          <t>FULL</t>
        </is>
      </c>
      <c r="S13" s="3" t="inlineStr">
        <is>
          <t>FULL</t>
        </is>
      </c>
      <c r="T13" s="7">
        <f>IF(P13="FULL",40,IF(P13="PARTIAL",40/2,0))+IF(Q13="FULL",30,IF(Q13="PARTIAL",30/2,0))+IF(R13="FULL",20,IF(R13="PARTIAL",20/2,0))+IF(S13="FULL",10,IF(S13="PARTIAL",10/2,0))</f>
        <v/>
      </c>
      <c r="U13" s="7">
        <f>IF(P13="NOT_CHECKED",0,40)+IF(Q13="NOT_CHECKED",0,30)+IF(R13="NOT_CHECKED",0,20)+IF(S13="NOT_CHECKED",0,10)</f>
        <v/>
      </c>
      <c r="V13" s="7">
        <f>IF(U13=100,T13,"")</f>
        <v/>
      </c>
      <c r="W13" s="7">
        <f>T13</f>
        <v/>
      </c>
      <c r="X13" s="7">
        <f>T13+(100-U13)</f>
        <v/>
      </c>
      <c r="Y13" s="3" t="inlineStr">
        <is>
          <t>ISSUE-0021</t>
        </is>
      </c>
      <c r="Z13" s="3" t="inlineStr">
        <is>
          <t>D:\Shopify_Workspace\jeminise_seo\seo_runs\jeminise.com\20260906_234129\qa\20260907_213200\images\183_04.jpg; seo_runs\jeminise.com\20260906_234129\evidence\images\183_personalized-baseball-bedding-full-size-flag-custom-name-d-design-08\image_04_47934357831879.jpg; seo_runs\jeminise.com\20260906_234129\evidence\contact_sheets\183_personalized-baseball-bedding-full-size-flag-custom-name-d-design-08.jpg</t>
        </is>
      </c>
    </row>
    <row r="14" ht="66" customHeight="1">
      <c r="A14" s="2" t="inlineStr">
        <is>
          <t>jeminise.com+personalized-baseball-bedding-full-size-flag-custom-name-d-design-09</t>
        </is>
      </c>
      <c r="B14" s="2" t="inlineStr">
        <is>
          <t>img_6af2d126831eaac7</t>
        </is>
      </c>
      <c r="C14" s="4" t="inlineStr">
        <is>
          <t>https://cdn.shopify.com/s/files/1/0792/5098/1063/files/ad1a0a46240535a46c26f855ffd00e82b017da0d977031a8d571f984de139fa4.jpg?v=1787242271</t>
        </is>
      </c>
      <c r="D14" s="4" t="inlineStr">
        <is>
          <t>https://cdn.shopify.com/s/files/1/0792/5098/1063/files/ad1a0a46240535a46c26f855ffd00e82b017da0d977031a8d571f984de139fa4.jpg?v=1787242271</t>
        </is>
      </c>
      <c r="E14" s="2" t="inlineStr">
        <is>
          <t>47934357897415</t>
        </is>
      </c>
      <c r="F14" s="2" t="inlineStr">
        <is>
          <t>47934357897415</t>
        </is>
      </c>
      <c r="G14" s="2" t="inlineStr"/>
      <c r="H14" s="2" t="inlineStr">
        <is>
          <t>GALLERY</t>
        </is>
      </c>
      <c r="I14" s="2" t="inlineStr">
        <is>
          <t>DIRECT_IMAGE_DOWNLOAD_AND_SOURCE_ROW_REVIEW</t>
        </is>
      </c>
      <c r="J14" s="2" t="inlineStr">
        <is>
          <t>2026-09-07T21:44:56+07:00</t>
        </is>
      </c>
      <c r="K14" s="2" t="inlineStr">
        <is>
          <t>Direct QA opened downloaded image 184_01; source SHA 09F0E1CC5FEEDBB0B7D9D9D7F01D063AEB4431F1F4220F001DCF0679CA031EF6. Submitted observation reviewed against gallery position.</t>
        </is>
      </c>
      <c r="L14" s="2" t="inlineStr">
        <is>
          <t>Main product mockup showing close-up baseball glove bedding with name on ball.</t>
        </is>
      </c>
      <c r="M14" s="2" t="inlineStr">
        <is>
          <t>UNKNOWN</t>
        </is>
      </c>
      <c r="N14" s="2" t="inlineStr">
        <is>
          <t>SET</t>
        </is>
      </c>
      <c r="O14" s="2" t="inlineStr">
        <is>
          <t>Close-Up Baseball Glove Bedding with Custom Name displayed in a main product mockup</t>
        </is>
      </c>
      <c r="P14" s="2" t="inlineStr">
        <is>
          <t>FULL</t>
        </is>
      </c>
      <c r="Q14" s="2" t="inlineStr">
        <is>
          <t>FULL</t>
        </is>
      </c>
      <c r="R14" s="2" t="inlineStr">
        <is>
          <t>PARTIAL</t>
        </is>
      </c>
      <c r="S14" s="2" t="inlineStr">
        <is>
          <t>FULL</t>
        </is>
      </c>
      <c r="T14" s="5">
        <f>IF(P14="FULL",40,IF(P14="PARTIAL",40/2,0))+IF(Q14="FULL",30,IF(Q14="PARTIAL",30/2,0))+IF(R14="FULL",20,IF(R14="PARTIAL",20/2,0))+IF(S14="FULL",10,IF(S14="PARTIAL",10/2,0))</f>
        <v/>
      </c>
      <c r="U14" s="5">
        <f>IF(P14="NOT_CHECKED",0,40)+IF(Q14="NOT_CHECKED",0,30)+IF(R14="NOT_CHECKED",0,20)+IF(S14="NOT_CHECKED",0,10)</f>
        <v/>
      </c>
      <c r="V14" s="5">
        <f>IF(U14=100,T14,"")</f>
        <v/>
      </c>
      <c r="W14" s="5">
        <f>T14</f>
        <v/>
      </c>
      <c r="X14" s="5">
        <f>T14+(100-U14)</f>
        <v/>
      </c>
      <c r="Y14" s="2" t="inlineStr">
        <is>
          <t>ISSUE-0026</t>
        </is>
      </c>
      <c r="Z14" s="2" t="inlineStr">
        <is>
          <t>D:\Shopify_Workspace\jeminise_seo\seo_runs\jeminise.com\20260906_234129\qa\20260907_213200\images\184_01.jpg; seo_runs\jeminise.com\20260906_234129\evidence\images\184_personalized-baseball-bedding-full-size-flag-custom-name-d-design-09\image_01_47934357897415.jpg; seo_runs\jeminise.com\20260906_234129\evidence\contact_sheets\184_personalized-baseball-bedding-full-size-flag-custom-name-d-design-09.jpg</t>
        </is>
      </c>
    </row>
    <row r="15" ht="66" customHeight="1">
      <c r="A15" s="3" t="inlineStr">
        <is>
          <t>jeminise.com+personalized-baseball-bedding-full-size-flag-custom-name-d-design-09</t>
        </is>
      </c>
      <c r="B15" s="3" t="inlineStr">
        <is>
          <t>img_370c5640036837d7</t>
        </is>
      </c>
      <c r="C15" s="4" t="inlineStr">
        <is>
          <t>https://cdn.shopify.com/s/files/1/0792/5098/1063/files/ef81c56fe7d5f4f60045bfbd0778e14ad11ce2a6824c23132d2b864ef763fe85_5257e9b3-6ae0-44c2-92a4-9ae5e258c276.jpg?v=1787242271</t>
        </is>
      </c>
      <c r="D15" s="4" t="inlineStr">
        <is>
          <t>https://cdn.shopify.com/s/files/1/0792/5098/1063/files/ef81c56fe7d5f4f60045bfbd0778e14ad11ce2a6824c23132d2b864ef763fe85_5257e9b3-6ae0-44c2-92a4-9ae5e258c276.jpg?v=1787242271</t>
        </is>
      </c>
      <c r="E15" s="3" t="inlineStr">
        <is>
          <t>47934357930183</t>
        </is>
      </c>
      <c r="F15" s="3" t="inlineStr">
        <is>
          <t>47934357930183</t>
        </is>
      </c>
      <c r="G15" s="3" t="inlineStr"/>
      <c r="H15" s="3" t="inlineStr">
        <is>
          <t>GALLERY</t>
        </is>
      </c>
      <c r="I15" s="3" t="inlineStr">
        <is>
          <t>DIRECT_IMAGE_DOWNLOAD_AND_SOURCE_ROW_REVIEW</t>
        </is>
      </c>
      <c r="J15" s="3" t="inlineStr">
        <is>
          <t>2026-09-07T21:44:56+07:00</t>
        </is>
      </c>
      <c r="K15" s="3" t="inlineStr">
        <is>
          <t>Direct QA opened downloaded image 184_02; source SHA 946D5B32E02CA70029866292D0775686EA770A101CD6D8BC2C108F506AB44BBE. Submitted observation reviewed against gallery position.</t>
        </is>
      </c>
      <c r="L15" s="3" t="inlineStr">
        <is>
          <t>Secondary flat, close-up or bedroom mockup showing close-up baseball glove bedding with name on ball.</t>
        </is>
      </c>
      <c r="M15" s="3" t="inlineStr">
        <is>
          <t>UNKNOWN</t>
        </is>
      </c>
      <c r="N15" s="3" t="inlineStr">
        <is>
          <t>SET</t>
        </is>
      </c>
      <c r="O15" s="3" t="inlineStr">
        <is>
          <t>Feature or care image for Close-Up Baseball Glove Bedding with Custom Name</t>
        </is>
      </c>
      <c r="P15" s="3" t="inlineStr">
        <is>
          <t>FULL</t>
        </is>
      </c>
      <c r="Q15" s="3" t="inlineStr">
        <is>
          <t>FULL</t>
        </is>
      </c>
      <c r="R15" s="3" t="inlineStr">
        <is>
          <t>FULL</t>
        </is>
      </c>
      <c r="S15" s="3" t="inlineStr">
        <is>
          <t>FULL</t>
        </is>
      </c>
      <c r="T15" s="7">
        <f>IF(P15="FULL",40,IF(P15="PARTIAL",40/2,0))+IF(Q15="FULL",30,IF(Q15="PARTIAL",30/2,0))+IF(R15="FULL",20,IF(R15="PARTIAL",20/2,0))+IF(S15="FULL",10,IF(S15="PARTIAL",10/2,0))</f>
        <v/>
      </c>
      <c r="U15" s="7">
        <f>IF(P15="NOT_CHECKED",0,40)+IF(Q15="NOT_CHECKED",0,30)+IF(R15="NOT_CHECKED",0,20)+IF(S15="NOT_CHECKED",0,10)</f>
        <v/>
      </c>
      <c r="V15" s="7">
        <f>IF(U15=100,T15,"")</f>
        <v/>
      </c>
      <c r="W15" s="7">
        <f>T15</f>
        <v/>
      </c>
      <c r="X15" s="7">
        <f>T15+(100-U15)</f>
        <v/>
      </c>
      <c r="Y15" s="3" t="inlineStr"/>
      <c r="Z15" s="3" t="inlineStr">
        <is>
          <t>D:\Shopify_Workspace\jeminise_seo\seo_runs\jeminise.com\20260906_234129\qa\20260907_213200\images\184_02.jpg; seo_runs\jeminise.com\20260906_234129\evidence\images\184_personalized-baseball-bedding-full-size-flag-custom-name-d-design-09\image_02_47934357930183.jpg; seo_runs\jeminise.com\20260906_234129\evidence\contact_sheets\184_personalized-baseball-bedding-full-size-flag-custom-name-d-design-09.jpg</t>
        </is>
      </c>
    </row>
    <row r="16" ht="66" customHeight="1">
      <c r="A16" s="2" t="inlineStr">
        <is>
          <t>jeminise.com+personalized-baseball-bedding-full-size-flag-custom-name-d-design-09</t>
        </is>
      </c>
      <c r="B16" s="2" t="inlineStr">
        <is>
          <t>img_56823dd4b8c8073c</t>
        </is>
      </c>
      <c r="C16" s="4" t="inlineStr">
        <is>
          <t>https://cdn.shopify.com/s/files/1/0792/5098/1063/files/b495d9b37eafdceff5caf3643256f7b3a83de826d49a14bdc531b13424296018_a9af7380-bde6-4035-ac19-c62306508770.jpg?v=1787242271</t>
        </is>
      </c>
      <c r="D16" s="4" t="inlineStr">
        <is>
          <t>https://cdn.shopify.com/s/files/1/0792/5098/1063/files/b495d9b37eafdceff5caf3643256f7b3a83de826d49a14bdc531b13424296018_a9af7380-bde6-4035-ac19-c62306508770.jpg?v=1787242271</t>
        </is>
      </c>
      <c r="E16" s="2" t="inlineStr">
        <is>
          <t>47934357962951</t>
        </is>
      </c>
      <c r="F16" s="2" t="inlineStr">
        <is>
          <t>47934357962951</t>
        </is>
      </c>
      <c r="G16" s="2" t="inlineStr"/>
      <c r="H16" s="2" t="inlineStr">
        <is>
          <t>GALLERY</t>
        </is>
      </c>
      <c r="I16" s="2" t="inlineStr">
        <is>
          <t>DIRECT_IMAGE_DOWNLOAD_AND_SOURCE_ROW_REVIEW</t>
        </is>
      </c>
      <c r="J16" s="2" t="inlineStr">
        <is>
          <t>2026-09-07T21:44:56+07:00</t>
        </is>
      </c>
      <c r="K16" s="2" t="inlineStr">
        <is>
          <t>Direct QA opened downloaded image 184_03; source SHA 82D08ED974694A5AE83601A42A9EAD30E75BA471FA67537A9B6996296A80AD73. Submitted observation reviewed against gallery position.</t>
        </is>
      </c>
      <c r="L16" s="2" t="inlineStr">
        <is>
          <t>Bedding type, feature, lifestyle or material image for close-up baseball glove bedding with name on ball.</t>
        </is>
      </c>
      <c r="M16" s="2" t="inlineStr">
        <is>
          <t>UNKNOWN</t>
        </is>
      </c>
      <c r="N16" s="2" t="inlineStr">
        <is>
          <t>SET</t>
        </is>
      </c>
      <c r="O16" s="2" t="inlineStr">
        <is>
          <t>Product detail or closure image for Close-Up Baseball Glove Bedding with Custom Name</t>
        </is>
      </c>
      <c r="P16" s="2" t="inlineStr">
        <is>
          <t>FULL</t>
        </is>
      </c>
      <c r="Q16" s="2" t="inlineStr">
        <is>
          <t>PARTIAL</t>
        </is>
      </c>
      <c r="R16" s="2" t="inlineStr">
        <is>
          <t>FULL</t>
        </is>
      </c>
      <c r="S16" s="2" t="inlineStr">
        <is>
          <t>FULL</t>
        </is>
      </c>
      <c r="T16" s="5">
        <f>IF(P16="FULL",40,IF(P16="PARTIAL",40/2,0))+IF(Q16="FULL",30,IF(Q16="PARTIAL",30/2,0))+IF(R16="FULL",20,IF(R16="PARTIAL",20/2,0))+IF(S16="FULL",10,IF(S16="PARTIAL",10/2,0))</f>
        <v/>
      </c>
      <c r="U16" s="5">
        <f>IF(P16="NOT_CHECKED",0,40)+IF(Q16="NOT_CHECKED",0,30)+IF(R16="NOT_CHECKED",0,20)+IF(S16="NOT_CHECKED",0,10)</f>
        <v/>
      </c>
      <c r="V16" s="5">
        <f>IF(U16=100,T16,"")</f>
        <v/>
      </c>
      <c r="W16" s="5">
        <f>T16</f>
        <v/>
      </c>
      <c r="X16" s="5">
        <f>T16+(100-U16)</f>
        <v/>
      </c>
      <c r="Y16" s="2" t="inlineStr">
        <is>
          <t>ISSUE-0027</t>
        </is>
      </c>
      <c r="Z16" s="2" t="inlineStr">
        <is>
          <t>D:\Shopify_Workspace\jeminise_seo\seo_runs\jeminise.com\20260906_234129\qa\20260907_213200\images\184_03.jpg; seo_runs\jeminise.com\20260906_234129\evidence\images\184_personalized-baseball-bedding-full-size-flag-custom-name-d-design-09\image_03_47934357962951.jpg; seo_runs\jeminise.com\20260906_234129\evidence\contact_sheets\184_personalized-baseball-bedding-full-size-flag-custom-name-d-design-09.jpg</t>
        </is>
      </c>
    </row>
    <row r="17" ht="66" customHeight="1">
      <c r="A17" s="3" t="inlineStr">
        <is>
          <t>jeminise.com+personalized-baseball-bedding-full-size-flag-custom-name-d-design-09</t>
        </is>
      </c>
      <c r="B17" s="3" t="inlineStr">
        <is>
          <t>img_e4beae7adbaab5a4</t>
        </is>
      </c>
      <c r="C17" s="4" t="inlineStr">
        <is>
          <t>https://cdn.shopify.com/s/files/1/0792/5098/1063/files/d51e3360a3e4b984af63b01c4b53d517484ca3d6cb1beeea158bcf59acab9ed4_523261ef-06a8-4366-b19d-491b7d9fff42.jpg?v=1787242271</t>
        </is>
      </c>
      <c r="D17" s="4" t="inlineStr">
        <is>
          <t>https://cdn.shopify.com/s/files/1/0792/5098/1063/files/d51e3360a3e4b984af63b01c4b53d517484ca3d6cb1beeea158bcf59acab9ed4_523261ef-06a8-4366-b19d-491b7d9fff42.jpg?v=1787242271</t>
        </is>
      </c>
      <c r="E17" s="3" t="inlineStr">
        <is>
          <t>47934357995719</t>
        </is>
      </c>
      <c r="F17" s="3" t="inlineStr">
        <is>
          <t>47934357995719</t>
        </is>
      </c>
      <c r="G17" s="3" t="inlineStr"/>
      <c r="H17" s="3" t="inlineStr">
        <is>
          <t>GALLERY</t>
        </is>
      </c>
      <c r="I17" s="3" t="inlineStr">
        <is>
          <t>DIRECT_IMAGE_DOWNLOAD_AND_SOURCE_ROW_REVIEW</t>
        </is>
      </c>
      <c r="J17" s="3" t="inlineStr">
        <is>
          <t>2026-09-07T21:44:56+07:00</t>
        </is>
      </c>
      <c r="K17" s="3" t="inlineStr">
        <is>
          <t>Direct QA opened downloaded image 184_04; source SHA 232246736D0E74D62007D0E6971A2E140EDFD432E8573485134C1F85951D9CC3. Submitted observation reviewed against gallery position.</t>
        </is>
      </c>
      <c r="L17" s="3" t="inlineStr">
        <is>
          <t>Detail, feature panel or lifestyle image connected to close-up baseball glove bedding with name on ball.</t>
        </is>
      </c>
      <c r="M17" s="3" t="inlineStr">
        <is>
          <t>UNKNOWN</t>
        </is>
      </c>
      <c r="N17" s="3" t="inlineStr">
        <is>
          <t>SET</t>
        </is>
      </c>
      <c r="O17" s="3" t="inlineStr">
        <is>
          <t>Fabric or high-density weaving image for Close-Up Baseball Glove Bedding with Custom Name</t>
        </is>
      </c>
      <c r="P17" s="3" t="inlineStr">
        <is>
          <t>FULL</t>
        </is>
      </c>
      <c r="Q17" s="3" t="inlineStr">
        <is>
          <t>PARTIAL</t>
        </is>
      </c>
      <c r="R17" s="3" t="inlineStr">
        <is>
          <t>FULL</t>
        </is>
      </c>
      <c r="S17" s="3" t="inlineStr">
        <is>
          <t>FULL</t>
        </is>
      </c>
      <c r="T17" s="7">
        <f>IF(P17="FULL",40,IF(P17="PARTIAL",40/2,0))+IF(Q17="FULL",30,IF(Q17="PARTIAL",30/2,0))+IF(R17="FULL",20,IF(R17="PARTIAL",20/2,0))+IF(S17="FULL",10,IF(S17="PARTIAL",10/2,0))</f>
        <v/>
      </c>
      <c r="U17" s="7">
        <f>IF(P17="NOT_CHECKED",0,40)+IF(Q17="NOT_CHECKED",0,30)+IF(R17="NOT_CHECKED",0,20)+IF(S17="NOT_CHECKED",0,10)</f>
        <v/>
      </c>
      <c r="V17" s="7">
        <f>IF(U17=100,T17,"")</f>
        <v/>
      </c>
      <c r="W17" s="7">
        <f>T17</f>
        <v/>
      </c>
      <c r="X17" s="7">
        <f>T17+(100-U17)</f>
        <v/>
      </c>
      <c r="Y17" s="3" t="inlineStr">
        <is>
          <t>ISSUE-0028</t>
        </is>
      </c>
      <c r="Z17" s="3" t="inlineStr">
        <is>
          <t>D:\Shopify_Workspace\jeminise_seo\seo_runs\jeminise.com\20260906_234129\qa\20260907_213200\images\184_04.jpg; seo_runs\jeminise.com\20260906_234129\evidence\images\184_personalized-baseball-bedding-full-size-flag-custom-name-d-design-09\image_04_47934357995719.jpg; seo_runs\jeminise.com\20260906_234129\evidence\contact_sheets\184_personalized-baseball-bedding-full-size-flag-custom-name-d-design-09.jpg</t>
        </is>
      </c>
    </row>
    <row r="18" ht="66" customHeight="1">
      <c r="A18" s="2" t="inlineStr">
        <is>
          <t>jeminise.com+personalized-baseball-bedding-full-size-flag-custom-name-d-design-10</t>
        </is>
      </c>
      <c r="B18" s="2" t="inlineStr">
        <is>
          <t>img_9946633a0d233cf0</t>
        </is>
      </c>
      <c r="C18" s="4" t="inlineStr">
        <is>
          <t>https://cdn.shopify.com/s/files/1/0792/5098/1063/files/a27913d40501b499872e0b61d72972490feb3fd1abfed5542443b010f312b255.jpg?v=1787242278</t>
        </is>
      </c>
      <c r="D18" s="4" t="inlineStr">
        <is>
          <t>https://cdn.shopify.com/s/files/1/0792/5098/1063/files/a27913d40501b499872e0b61d72972490feb3fd1abfed5542443b010f312b255.jpg?v=1787242278</t>
        </is>
      </c>
      <c r="E18" s="2" t="inlineStr">
        <is>
          <t>47934358421703</t>
        </is>
      </c>
      <c r="F18" s="2" t="inlineStr">
        <is>
          <t>47934358421703</t>
        </is>
      </c>
      <c r="G18" s="2" t="inlineStr"/>
      <c r="H18" s="2" t="inlineStr">
        <is>
          <t>GALLERY</t>
        </is>
      </c>
      <c r="I18" s="2" t="inlineStr">
        <is>
          <t>DIRECT_IMAGE_DOWNLOAD_AND_SOURCE_ROW_REVIEW</t>
        </is>
      </c>
      <c r="J18" s="2" t="inlineStr">
        <is>
          <t>2026-09-07T21:44:56+07:00</t>
        </is>
      </c>
      <c r="K18" s="2" t="inlineStr">
        <is>
          <t>Direct QA opened downloaded image 185_01; source SHA 3CC45377BA82F161816529FED2E066520F182F2C5BA8FBFD3CB9E9C82B67DAC9. Submitted observation reviewed against gallery position.</t>
        </is>
      </c>
      <c r="L18" s="2" t="inlineStr">
        <is>
          <t>Main product mockup showing gray baseball American flag bedding with custom name.</t>
        </is>
      </c>
      <c r="M18" s="2" t="inlineStr">
        <is>
          <t>UNKNOWN</t>
        </is>
      </c>
      <c r="N18" s="2" t="inlineStr">
        <is>
          <t>SET</t>
        </is>
      </c>
      <c r="O18" s="2" t="inlineStr">
        <is>
          <t>Gray Baseball American Flag Bedding with Custom Name displayed in a main product mockup</t>
        </is>
      </c>
      <c r="P18" s="2" t="inlineStr">
        <is>
          <t>FULL</t>
        </is>
      </c>
      <c r="Q18" s="2" t="inlineStr">
        <is>
          <t>FULL</t>
        </is>
      </c>
      <c r="R18" s="2" t="inlineStr">
        <is>
          <t>PARTIAL</t>
        </is>
      </c>
      <c r="S18" s="2" t="inlineStr">
        <is>
          <t>FULL</t>
        </is>
      </c>
      <c r="T18" s="5">
        <f>IF(P18="FULL",40,IF(P18="PARTIAL",40/2,0))+IF(Q18="FULL",30,IF(Q18="PARTIAL",30/2,0))+IF(R18="FULL",20,IF(R18="PARTIAL",20/2,0))+IF(S18="FULL",10,IF(S18="PARTIAL",10/2,0))</f>
        <v/>
      </c>
      <c r="U18" s="5">
        <f>IF(P18="NOT_CHECKED",0,40)+IF(Q18="NOT_CHECKED",0,30)+IF(R18="NOT_CHECKED",0,20)+IF(S18="NOT_CHECKED",0,10)</f>
        <v/>
      </c>
      <c r="V18" s="5">
        <f>IF(U18=100,T18,"")</f>
        <v/>
      </c>
      <c r="W18" s="5">
        <f>T18</f>
        <v/>
      </c>
      <c r="X18" s="5">
        <f>T18+(100-U18)</f>
        <v/>
      </c>
      <c r="Y18" s="2" t="inlineStr">
        <is>
          <t>ISSUE-0033</t>
        </is>
      </c>
      <c r="Z18" s="2" t="inlineStr">
        <is>
          <t>D:\Shopify_Workspace\jeminise_seo\seo_runs\jeminise.com\20260906_234129\qa\20260907_213200\images\185_01.jpg; seo_runs\jeminise.com\20260906_234129\evidence\images\185_personalized-baseball-bedding-full-size-flag-custom-name-d-design-10\image_01_47934358421703.jpg; seo_runs\jeminise.com\20260906_234129\evidence\contact_sheets\185_personalized-baseball-bedding-full-size-flag-custom-name-d-design-10.jpg</t>
        </is>
      </c>
    </row>
    <row r="19" ht="66" customHeight="1">
      <c r="A19" s="3" t="inlineStr">
        <is>
          <t>jeminise.com+personalized-baseball-bedding-full-size-flag-custom-name-d-design-10</t>
        </is>
      </c>
      <c r="B19" s="3" t="inlineStr">
        <is>
          <t>img_88c336c33084010f</t>
        </is>
      </c>
      <c r="C19" s="4" t="inlineStr">
        <is>
          <t>https://cdn.shopify.com/s/files/1/0792/5098/1063/files/ef81c56fe7d5f4f60045bfbd0778e14ad11ce2a6824c23132d2b864ef763fe85_a6b7e163-25bc-4bdd-93ae-419ec5ff318f.jpg?v=1787242278</t>
        </is>
      </c>
      <c r="D19" s="4" t="inlineStr">
        <is>
          <t>https://cdn.shopify.com/s/files/1/0792/5098/1063/files/ef81c56fe7d5f4f60045bfbd0778e14ad11ce2a6824c23132d2b864ef763fe85_a6b7e163-25bc-4bdd-93ae-419ec5ff318f.jpg?v=1787242278</t>
        </is>
      </c>
      <c r="E19" s="3" t="inlineStr">
        <is>
          <t>47934358454471</t>
        </is>
      </c>
      <c r="F19" s="3" t="inlineStr">
        <is>
          <t>47934358454471</t>
        </is>
      </c>
      <c r="G19" s="3" t="inlineStr"/>
      <c r="H19" s="3" t="inlineStr">
        <is>
          <t>GALLERY</t>
        </is>
      </c>
      <c r="I19" s="3" t="inlineStr">
        <is>
          <t>DIRECT_IMAGE_DOWNLOAD_AND_SOURCE_ROW_REVIEW</t>
        </is>
      </c>
      <c r="J19" s="3" t="inlineStr">
        <is>
          <t>2026-09-07T21:44:56+07:00</t>
        </is>
      </c>
      <c r="K19" s="3" t="inlineStr">
        <is>
          <t>Direct QA opened downloaded image 185_02; source SHA 946D5B32E02CA70029866292D0775686EA770A101CD6D8BC2C108F506AB44BBE. Submitted observation reviewed against gallery position.</t>
        </is>
      </c>
      <c r="L19" s="3" t="inlineStr">
        <is>
          <t>Secondary flat, close-up or bedroom mockup showing gray baseball American flag bedding with custom name.</t>
        </is>
      </c>
      <c r="M19" s="3" t="inlineStr">
        <is>
          <t>UNKNOWN</t>
        </is>
      </c>
      <c r="N19" s="3" t="inlineStr">
        <is>
          <t>SET</t>
        </is>
      </c>
      <c r="O19" s="3" t="inlineStr">
        <is>
          <t>Feature or care image for Gray Baseball American Flag Bedding with Custom Name</t>
        </is>
      </c>
      <c r="P19" s="3" t="inlineStr">
        <is>
          <t>FULL</t>
        </is>
      </c>
      <c r="Q19" s="3" t="inlineStr">
        <is>
          <t>FULL</t>
        </is>
      </c>
      <c r="R19" s="3" t="inlineStr">
        <is>
          <t>FULL</t>
        </is>
      </c>
      <c r="S19" s="3" t="inlineStr">
        <is>
          <t>FULL</t>
        </is>
      </c>
      <c r="T19" s="7">
        <f>IF(P19="FULL",40,IF(P19="PARTIAL",40/2,0))+IF(Q19="FULL",30,IF(Q19="PARTIAL",30/2,0))+IF(R19="FULL",20,IF(R19="PARTIAL",20/2,0))+IF(S19="FULL",10,IF(S19="PARTIAL",10/2,0))</f>
        <v/>
      </c>
      <c r="U19" s="7">
        <f>IF(P19="NOT_CHECKED",0,40)+IF(Q19="NOT_CHECKED",0,30)+IF(R19="NOT_CHECKED",0,20)+IF(S19="NOT_CHECKED",0,10)</f>
        <v/>
      </c>
      <c r="V19" s="7">
        <f>IF(U19=100,T19,"")</f>
        <v/>
      </c>
      <c r="W19" s="7">
        <f>T19</f>
        <v/>
      </c>
      <c r="X19" s="7">
        <f>T19+(100-U19)</f>
        <v/>
      </c>
      <c r="Y19" s="3" t="inlineStr"/>
      <c r="Z19" s="3" t="inlineStr">
        <is>
          <t>D:\Shopify_Workspace\jeminise_seo\seo_runs\jeminise.com\20260906_234129\qa\20260907_213200\images\185_02.jpg; seo_runs\jeminise.com\20260906_234129\evidence\images\185_personalized-baseball-bedding-full-size-flag-custom-name-d-design-10\image_02_47934358454471.jpg; seo_runs\jeminise.com\20260906_234129\evidence\contact_sheets\185_personalized-baseball-bedding-full-size-flag-custom-name-d-design-10.jpg</t>
        </is>
      </c>
    </row>
    <row r="20" ht="66" customHeight="1">
      <c r="A20" s="2" t="inlineStr">
        <is>
          <t>jeminise.com+personalized-baseball-bedding-full-size-flag-custom-name-d-design-10</t>
        </is>
      </c>
      <c r="B20" s="2" t="inlineStr">
        <is>
          <t>img_c6ebb7f5eb000015</t>
        </is>
      </c>
      <c r="C20" s="4" t="inlineStr">
        <is>
          <t>https://cdn.shopify.com/s/files/1/0792/5098/1063/files/b495d9b37eafdceff5caf3643256f7b3a83de826d49a14bdc531b13424296018_fc64c3a9-5a16-49e8-87b6-c62c8bc5e8c1.jpg?v=1787242278</t>
        </is>
      </c>
      <c r="D20" s="4" t="inlineStr">
        <is>
          <t>https://cdn.shopify.com/s/files/1/0792/5098/1063/files/b495d9b37eafdceff5caf3643256f7b3a83de826d49a14bdc531b13424296018_fc64c3a9-5a16-49e8-87b6-c62c8bc5e8c1.jpg?v=1787242278</t>
        </is>
      </c>
      <c r="E20" s="2" t="inlineStr">
        <is>
          <t>47934358487239</t>
        </is>
      </c>
      <c r="F20" s="2" t="inlineStr">
        <is>
          <t>47934358487239</t>
        </is>
      </c>
      <c r="G20" s="2" t="inlineStr"/>
      <c r="H20" s="2" t="inlineStr">
        <is>
          <t>GALLERY</t>
        </is>
      </c>
      <c r="I20" s="2" t="inlineStr">
        <is>
          <t>DIRECT_IMAGE_DOWNLOAD_AND_SOURCE_ROW_REVIEW</t>
        </is>
      </c>
      <c r="J20" s="2" t="inlineStr">
        <is>
          <t>2026-09-07T21:44:56+07:00</t>
        </is>
      </c>
      <c r="K20" s="2" t="inlineStr">
        <is>
          <t>Direct QA opened downloaded image 185_03; source SHA 82D08ED974694A5AE83601A42A9EAD30E75BA471FA67537A9B6996296A80AD73. Submitted observation reviewed against gallery position.</t>
        </is>
      </c>
      <c r="L20" s="2" t="inlineStr">
        <is>
          <t>Bedding type, feature, lifestyle or material image for gray baseball American flag bedding with custom name.</t>
        </is>
      </c>
      <c r="M20" s="2" t="inlineStr">
        <is>
          <t>UNKNOWN</t>
        </is>
      </c>
      <c r="N20" s="2" t="inlineStr">
        <is>
          <t>SET</t>
        </is>
      </c>
      <c r="O20" s="2" t="inlineStr">
        <is>
          <t>Product detail or closure image for Gray Baseball American Flag Bedding with Custom Name</t>
        </is>
      </c>
      <c r="P20" s="2" t="inlineStr">
        <is>
          <t>FULL</t>
        </is>
      </c>
      <c r="Q20" s="2" t="inlineStr">
        <is>
          <t>PARTIAL</t>
        </is>
      </c>
      <c r="R20" s="2" t="inlineStr">
        <is>
          <t>FULL</t>
        </is>
      </c>
      <c r="S20" s="2" t="inlineStr">
        <is>
          <t>FULL</t>
        </is>
      </c>
      <c r="T20" s="5">
        <f>IF(P20="FULL",40,IF(P20="PARTIAL",40/2,0))+IF(Q20="FULL",30,IF(Q20="PARTIAL",30/2,0))+IF(R20="FULL",20,IF(R20="PARTIAL",20/2,0))+IF(S20="FULL",10,IF(S20="PARTIAL",10/2,0))</f>
        <v/>
      </c>
      <c r="U20" s="5">
        <f>IF(P20="NOT_CHECKED",0,40)+IF(Q20="NOT_CHECKED",0,30)+IF(R20="NOT_CHECKED",0,20)+IF(S20="NOT_CHECKED",0,10)</f>
        <v/>
      </c>
      <c r="V20" s="5">
        <f>IF(U20=100,T20,"")</f>
        <v/>
      </c>
      <c r="W20" s="5">
        <f>T20</f>
        <v/>
      </c>
      <c r="X20" s="5">
        <f>T20+(100-U20)</f>
        <v/>
      </c>
      <c r="Y20" s="2" t="inlineStr">
        <is>
          <t>ISSUE-0034</t>
        </is>
      </c>
      <c r="Z20" s="2" t="inlineStr">
        <is>
          <t>D:\Shopify_Workspace\jeminise_seo\seo_runs\jeminise.com\20260906_234129\qa\20260907_213200\images\185_03.jpg; seo_runs\jeminise.com\20260906_234129\evidence\images\185_personalized-baseball-bedding-full-size-flag-custom-name-d-design-10\image_03_47934358487239.jpg; seo_runs\jeminise.com\20260906_234129\evidence\contact_sheets\185_personalized-baseball-bedding-full-size-flag-custom-name-d-design-10.jpg</t>
        </is>
      </c>
    </row>
    <row r="21" ht="66" customHeight="1">
      <c r="A21" s="3" t="inlineStr">
        <is>
          <t>jeminise.com+personalized-baseball-bedding-full-size-flag-custom-name-d-design-10</t>
        </is>
      </c>
      <c r="B21" s="3" t="inlineStr">
        <is>
          <t>img_b7a0e73f07d0e2a7</t>
        </is>
      </c>
      <c r="C21" s="4" t="inlineStr">
        <is>
          <t>https://cdn.shopify.com/s/files/1/0792/5098/1063/files/d51e3360a3e4b984af63b01c4b53d517484ca3d6cb1beeea158bcf59acab9ed4_9ce1ba98-3a33-4391-8d41-14c8fc28382d.jpg?v=1787242278</t>
        </is>
      </c>
      <c r="D21" s="4" t="inlineStr">
        <is>
          <t>https://cdn.shopify.com/s/files/1/0792/5098/1063/files/d51e3360a3e4b984af63b01c4b53d517484ca3d6cb1beeea158bcf59acab9ed4_9ce1ba98-3a33-4391-8d41-14c8fc28382d.jpg?v=1787242278</t>
        </is>
      </c>
      <c r="E21" s="3" t="inlineStr">
        <is>
          <t>47934358520007</t>
        </is>
      </c>
      <c r="F21" s="3" t="inlineStr">
        <is>
          <t>47934358520007</t>
        </is>
      </c>
      <c r="G21" s="3" t="inlineStr"/>
      <c r="H21" s="3" t="inlineStr">
        <is>
          <t>GALLERY</t>
        </is>
      </c>
      <c r="I21" s="3" t="inlineStr">
        <is>
          <t>DIRECT_IMAGE_DOWNLOAD_AND_SOURCE_ROW_REVIEW</t>
        </is>
      </c>
      <c r="J21" s="3" t="inlineStr">
        <is>
          <t>2026-09-07T21:44:56+07:00</t>
        </is>
      </c>
      <c r="K21" s="3" t="inlineStr">
        <is>
          <t>Direct QA opened downloaded image 185_04; source SHA 232246736D0E74D62007D0E6971A2E140EDFD432E8573485134C1F85951D9CC3. Submitted observation reviewed against gallery position.</t>
        </is>
      </c>
      <c r="L21" s="3" t="inlineStr">
        <is>
          <t>Detail, feature panel or lifestyle image connected to gray baseball American flag bedding with custom name.</t>
        </is>
      </c>
      <c r="M21" s="3" t="inlineStr">
        <is>
          <t>UNKNOWN</t>
        </is>
      </c>
      <c r="N21" s="3" t="inlineStr">
        <is>
          <t>SET</t>
        </is>
      </c>
      <c r="O21" s="3" t="inlineStr">
        <is>
          <t>Fabric or high-density weaving image for Gray Baseball American Flag Bedding with Custom Name</t>
        </is>
      </c>
      <c r="P21" s="3" t="inlineStr">
        <is>
          <t>FULL</t>
        </is>
      </c>
      <c r="Q21" s="3" t="inlineStr">
        <is>
          <t>PARTIAL</t>
        </is>
      </c>
      <c r="R21" s="3" t="inlineStr">
        <is>
          <t>FULL</t>
        </is>
      </c>
      <c r="S21" s="3" t="inlineStr">
        <is>
          <t>FULL</t>
        </is>
      </c>
      <c r="T21" s="7">
        <f>IF(P21="FULL",40,IF(P21="PARTIAL",40/2,0))+IF(Q21="FULL",30,IF(Q21="PARTIAL",30/2,0))+IF(R21="FULL",20,IF(R21="PARTIAL",20/2,0))+IF(S21="FULL",10,IF(S21="PARTIAL",10/2,0))</f>
        <v/>
      </c>
      <c r="U21" s="7">
        <f>IF(P21="NOT_CHECKED",0,40)+IF(Q21="NOT_CHECKED",0,30)+IF(R21="NOT_CHECKED",0,20)+IF(S21="NOT_CHECKED",0,10)</f>
        <v/>
      </c>
      <c r="V21" s="7">
        <f>IF(U21=100,T21,"")</f>
        <v/>
      </c>
      <c r="W21" s="7">
        <f>T21</f>
        <v/>
      </c>
      <c r="X21" s="7">
        <f>T21+(100-U21)</f>
        <v/>
      </c>
      <c r="Y21" s="3" t="inlineStr">
        <is>
          <t>ISSUE-0035</t>
        </is>
      </c>
      <c r="Z21" s="3" t="inlineStr">
        <is>
          <t>D:\Shopify_Workspace\jeminise_seo\seo_runs\jeminise.com\20260906_234129\qa\20260907_213200\images\185_04.jpg; seo_runs\jeminise.com\20260906_234129\evidence\images\185_personalized-baseball-bedding-full-size-flag-custom-name-d-design-10\image_04_47934358520007.jpg; seo_runs\jeminise.com\20260906_234129\evidence\contact_sheets\185_personalized-baseball-bedding-full-size-flag-custom-name-d-design-10.jpg</t>
        </is>
      </c>
    </row>
    <row r="22" ht="66" customHeight="1">
      <c r="A22" s="2" t="inlineStr">
        <is>
          <t>jeminise.com+personalized-baseball-bedding-full-size-flag-custom-name-d-design-11</t>
        </is>
      </c>
      <c r="B22" s="2" t="inlineStr">
        <is>
          <t>img_ef9952a5ee1732e2</t>
        </is>
      </c>
      <c r="C22" s="4" t="inlineStr">
        <is>
          <t>https://cdn.shopify.com/s/files/1/0792/5098/1063/files/22091bb4460b1736aafe487d9cb3bf7932306548fd638c8bce4e656da29f9e32.jpg?v=1787242281</t>
        </is>
      </c>
      <c r="D22" s="4" t="inlineStr">
        <is>
          <t>https://cdn.shopify.com/s/files/1/0792/5098/1063/files/22091bb4460b1736aafe487d9cb3bf7932306548fd638c8bce4e656da29f9e32.jpg?v=1787242281</t>
        </is>
      </c>
      <c r="E22" s="2" t="inlineStr">
        <is>
          <t>47934358782151</t>
        </is>
      </c>
      <c r="F22" s="2" t="inlineStr">
        <is>
          <t>47934358782151</t>
        </is>
      </c>
      <c r="G22" s="2" t="inlineStr"/>
      <c r="H22" s="2" t="inlineStr">
        <is>
          <t>GALLERY</t>
        </is>
      </c>
      <c r="I22" s="2" t="inlineStr">
        <is>
          <t>DIRECT_IMAGE_DOWNLOAD_AND_SOURCE_ROW_REVIEW</t>
        </is>
      </c>
      <c r="J22" s="2" t="inlineStr">
        <is>
          <t>2026-09-07T21:44:56+07:00</t>
        </is>
      </c>
      <c r="K22" s="2" t="inlineStr">
        <is>
          <t>Direct QA opened downloaded image 186_01; source SHA 2632261513AE1EC8CFDB986FCE14F6A0203A7C159902BF2FC94BE4D5D58EC52C. Submitted observation reviewed against gallery position.</t>
        </is>
      </c>
      <c r="L22" s="2" t="inlineStr">
        <is>
          <t>Main product mockup showing red white blue baseball pattern bedding with name.</t>
        </is>
      </c>
      <c r="M22" s="2" t="inlineStr">
        <is>
          <t>UNKNOWN</t>
        </is>
      </c>
      <c r="N22" s="2" t="inlineStr">
        <is>
          <t>SET</t>
        </is>
      </c>
      <c r="O22" s="2" t="inlineStr">
        <is>
          <t>Red White Blue Baseball Pattern Bedding with Custom Name displayed in a main product mockup</t>
        </is>
      </c>
      <c r="P22" s="2" t="inlineStr">
        <is>
          <t>FULL</t>
        </is>
      </c>
      <c r="Q22" s="2" t="inlineStr">
        <is>
          <t>FULL</t>
        </is>
      </c>
      <c r="R22" s="2" t="inlineStr">
        <is>
          <t>PARTIAL</t>
        </is>
      </c>
      <c r="S22" s="2" t="inlineStr">
        <is>
          <t>FULL</t>
        </is>
      </c>
      <c r="T22" s="5">
        <f>IF(P22="FULL",40,IF(P22="PARTIAL",40/2,0))+IF(Q22="FULL",30,IF(Q22="PARTIAL",30/2,0))+IF(R22="FULL",20,IF(R22="PARTIAL",20/2,0))+IF(S22="FULL",10,IF(S22="PARTIAL",10/2,0))</f>
        <v/>
      </c>
      <c r="U22" s="5">
        <f>IF(P22="NOT_CHECKED",0,40)+IF(Q22="NOT_CHECKED",0,30)+IF(R22="NOT_CHECKED",0,20)+IF(S22="NOT_CHECKED",0,10)</f>
        <v/>
      </c>
      <c r="V22" s="5">
        <f>IF(U22=100,T22,"")</f>
        <v/>
      </c>
      <c r="W22" s="5">
        <f>T22</f>
        <v/>
      </c>
      <c r="X22" s="5">
        <f>T22+(100-U22)</f>
        <v/>
      </c>
      <c r="Y22" s="2" t="inlineStr">
        <is>
          <t>ISSUE-0040</t>
        </is>
      </c>
      <c r="Z22" s="2" t="inlineStr">
        <is>
          <t>D:\Shopify_Workspace\jeminise_seo\seo_runs\jeminise.com\20260906_234129\qa\20260907_213200\images\186_01.jpg; seo_runs\jeminise.com\20260906_234129\evidence\images\186_personalized-baseball-bedding-full-size-flag-custom-name-d-design-11\image_01_47934358782151.jpg; seo_runs\jeminise.com\20260906_234129\evidence\contact_sheets\186_personalized-baseball-bedding-full-size-flag-custom-name-d-design-11.jpg</t>
        </is>
      </c>
    </row>
    <row r="23" ht="66" customHeight="1">
      <c r="A23" s="3" t="inlineStr">
        <is>
          <t>jeminise.com+personalized-baseball-bedding-full-size-flag-custom-name-d-design-11</t>
        </is>
      </c>
      <c r="B23" s="3" t="inlineStr">
        <is>
          <t>img_09463cfd0392fbf0</t>
        </is>
      </c>
      <c r="C23" s="4" t="inlineStr">
        <is>
          <t>https://cdn.shopify.com/s/files/1/0792/5098/1063/files/b495d9b37eafdceff5caf3643256f7b3a83de826d49a14bdc531b13424296018_b40438a5-fa90-4e4b-89b5-a9f07974c78d.jpg?v=1787242281</t>
        </is>
      </c>
      <c r="D23" s="4" t="inlineStr">
        <is>
          <t>https://cdn.shopify.com/s/files/1/0792/5098/1063/files/b495d9b37eafdceff5caf3643256f7b3a83de826d49a14bdc531b13424296018_b40438a5-fa90-4e4b-89b5-a9f07974c78d.jpg?v=1787242281</t>
        </is>
      </c>
      <c r="E23" s="3" t="inlineStr">
        <is>
          <t>47934358814919</t>
        </is>
      </c>
      <c r="F23" s="3" t="inlineStr">
        <is>
          <t>47934358814919</t>
        </is>
      </c>
      <c r="G23" s="3" t="inlineStr"/>
      <c r="H23" s="3" t="inlineStr">
        <is>
          <t>GALLERY</t>
        </is>
      </c>
      <c r="I23" s="3" t="inlineStr">
        <is>
          <t>DIRECT_IMAGE_DOWNLOAD_AND_SOURCE_ROW_REVIEW</t>
        </is>
      </c>
      <c r="J23" s="3" t="inlineStr">
        <is>
          <t>2026-09-07T21:44:56+07:00</t>
        </is>
      </c>
      <c r="K23" s="3" t="inlineStr">
        <is>
          <t>Direct QA opened downloaded image 186_02; source SHA 82D08ED974694A5AE83601A42A9EAD30E75BA471FA67537A9B6996296A80AD73. Submitted observation reviewed against gallery position.</t>
        </is>
      </c>
      <c r="L23" s="3" t="inlineStr">
        <is>
          <t>Secondary flat, close-up or bedroom mockup showing red white blue baseball pattern bedding with name.</t>
        </is>
      </c>
      <c r="M23" s="3" t="inlineStr">
        <is>
          <t>UNKNOWN</t>
        </is>
      </c>
      <c r="N23" s="3" t="inlineStr">
        <is>
          <t>SET</t>
        </is>
      </c>
      <c r="O23" s="3" t="inlineStr">
        <is>
          <t>Feature or care image for Red White Blue Baseball Pattern Bedding with Custom Name</t>
        </is>
      </c>
      <c r="P23" s="3" t="inlineStr">
        <is>
          <t>FULL</t>
        </is>
      </c>
      <c r="Q23" s="3" t="inlineStr">
        <is>
          <t>FULL</t>
        </is>
      </c>
      <c r="R23" s="3" t="inlineStr">
        <is>
          <t>FULL</t>
        </is>
      </c>
      <c r="S23" s="3" t="inlineStr">
        <is>
          <t>FULL</t>
        </is>
      </c>
      <c r="T23" s="7">
        <f>IF(P23="FULL",40,IF(P23="PARTIAL",40/2,0))+IF(Q23="FULL",30,IF(Q23="PARTIAL",30/2,0))+IF(R23="FULL",20,IF(R23="PARTIAL",20/2,0))+IF(S23="FULL",10,IF(S23="PARTIAL",10/2,0))</f>
        <v/>
      </c>
      <c r="U23" s="7">
        <f>IF(P23="NOT_CHECKED",0,40)+IF(Q23="NOT_CHECKED",0,30)+IF(R23="NOT_CHECKED",0,20)+IF(S23="NOT_CHECKED",0,10)</f>
        <v/>
      </c>
      <c r="V23" s="7">
        <f>IF(U23=100,T23,"")</f>
        <v/>
      </c>
      <c r="W23" s="7">
        <f>T23</f>
        <v/>
      </c>
      <c r="X23" s="7">
        <f>T23+(100-U23)</f>
        <v/>
      </c>
      <c r="Y23" s="3" t="inlineStr"/>
      <c r="Z23" s="3" t="inlineStr">
        <is>
          <t>D:\Shopify_Workspace\jeminise_seo\seo_runs\jeminise.com\20260906_234129\qa\20260907_213200\images\186_02.jpg; seo_runs\jeminise.com\20260906_234129\evidence\images\186_personalized-baseball-bedding-full-size-flag-custom-name-d-design-11\image_02_47934358814919.jpg; seo_runs\jeminise.com\20260906_234129\evidence\contact_sheets\186_personalized-baseball-bedding-full-size-flag-custom-name-d-design-11.jpg</t>
        </is>
      </c>
    </row>
    <row r="24" ht="66" customHeight="1">
      <c r="A24" s="2" t="inlineStr">
        <is>
          <t>jeminise.com+personalized-baseball-bedding-full-size-flag-custom-name-d-design-11</t>
        </is>
      </c>
      <c r="B24" s="2" t="inlineStr">
        <is>
          <t>img_f71754fb58263918</t>
        </is>
      </c>
      <c r="C24" s="4" t="inlineStr">
        <is>
          <t>https://cdn.shopify.com/s/files/1/0792/5098/1063/files/d51e3360a3e4b984af63b01c4b53d517484ca3d6cb1beeea158bcf59acab9ed4_cf393115-0105-4a38-adfb-49228eb39c22.jpg?v=1787242281</t>
        </is>
      </c>
      <c r="D24" s="4" t="inlineStr">
        <is>
          <t>https://cdn.shopify.com/s/files/1/0792/5098/1063/files/d51e3360a3e4b984af63b01c4b53d517484ca3d6cb1beeea158bcf59acab9ed4_cf393115-0105-4a38-adfb-49228eb39c22.jpg?v=1787242281</t>
        </is>
      </c>
      <c r="E24" s="2" t="inlineStr">
        <is>
          <t>47934358847687</t>
        </is>
      </c>
      <c r="F24" s="2" t="inlineStr">
        <is>
          <t>47934358847687</t>
        </is>
      </c>
      <c r="G24" s="2" t="inlineStr"/>
      <c r="H24" s="2" t="inlineStr">
        <is>
          <t>GALLERY</t>
        </is>
      </c>
      <c r="I24" s="2" t="inlineStr">
        <is>
          <t>DIRECT_IMAGE_DOWNLOAD_AND_SOURCE_ROW_REVIEW</t>
        </is>
      </c>
      <c r="J24" s="2" t="inlineStr">
        <is>
          <t>2026-09-07T21:44:56+07:00</t>
        </is>
      </c>
      <c r="K24" s="2" t="inlineStr">
        <is>
          <t>Direct QA opened downloaded image 186_03; source SHA 232246736D0E74D62007D0E6971A2E140EDFD432E8573485134C1F85951D9CC3. Submitted observation reviewed against gallery position.</t>
        </is>
      </c>
      <c r="L24" s="2" t="inlineStr">
        <is>
          <t>Bedding type, feature, lifestyle or material image for red white blue baseball pattern bedding with name.</t>
        </is>
      </c>
      <c r="M24" s="2" t="inlineStr">
        <is>
          <t>UNKNOWN</t>
        </is>
      </c>
      <c r="N24" s="2" t="inlineStr">
        <is>
          <t>SET</t>
        </is>
      </c>
      <c r="O24" s="2" t="inlineStr">
        <is>
          <t>Product detail or closure image for Red White Blue Baseball Pattern Bedding with Custom Name</t>
        </is>
      </c>
      <c r="P24" s="2" t="inlineStr">
        <is>
          <t>FULL</t>
        </is>
      </c>
      <c r="Q24" s="2" t="inlineStr">
        <is>
          <t>PARTIAL</t>
        </is>
      </c>
      <c r="R24" s="2" t="inlineStr">
        <is>
          <t>FULL</t>
        </is>
      </c>
      <c r="S24" s="2" t="inlineStr">
        <is>
          <t>FULL</t>
        </is>
      </c>
      <c r="T24" s="5">
        <f>IF(P24="FULL",40,IF(P24="PARTIAL",40/2,0))+IF(Q24="FULL",30,IF(Q24="PARTIAL",30/2,0))+IF(R24="FULL",20,IF(R24="PARTIAL",20/2,0))+IF(S24="FULL",10,IF(S24="PARTIAL",10/2,0))</f>
        <v/>
      </c>
      <c r="U24" s="5">
        <f>IF(P24="NOT_CHECKED",0,40)+IF(Q24="NOT_CHECKED",0,30)+IF(R24="NOT_CHECKED",0,20)+IF(S24="NOT_CHECKED",0,10)</f>
        <v/>
      </c>
      <c r="V24" s="5">
        <f>IF(U24=100,T24,"")</f>
        <v/>
      </c>
      <c r="W24" s="5">
        <f>T24</f>
        <v/>
      </c>
      <c r="X24" s="5">
        <f>T24+(100-U24)</f>
        <v/>
      </c>
      <c r="Y24" s="2" t="inlineStr">
        <is>
          <t>ISSUE-0041</t>
        </is>
      </c>
      <c r="Z24" s="2" t="inlineStr">
        <is>
          <t>D:\Shopify_Workspace\jeminise_seo\seo_runs\jeminise.com\20260906_234129\qa\20260907_213200\images\186_03.jpg; seo_runs\jeminise.com\20260906_234129\evidence\images\186_personalized-baseball-bedding-full-size-flag-custom-name-d-design-11\image_03_47934358847687.jpg; seo_runs\jeminise.com\20260906_234129\evidence\contact_sheets\186_personalized-baseball-bedding-full-size-flag-custom-name-d-design-11.jpg</t>
        </is>
      </c>
    </row>
    <row r="25" ht="66" customHeight="1">
      <c r="A25" s="3" t="inlineStr">
        <is>
          <t>jeminise.com+personalized-baseball-bedding-full-size-flag-custom-name-d-design-11</t>
        </is>
      </c>
      <c r="B25" s="3" t="inlineStr">
        <is>
          <t>img_8f5ecfd91441f09f</t>
        </is>
      </c>
      <c r="C25" s="4" t="inlineStr">
        <is>
          <t>https://cdn.shopify.com/s/files/1/0792/5098/1063/files/ef81c56fe7d5f4f60045bfbd0778e14ad11ce2a6824c23132d2b864ef763fe85_3e5ce2b0-74e9-4528-a9b3-58484c711e32.jpg?v=1787242281</t>
        </is>
      </c>
      <c r="D25" s="4" t="inlineStr">
        <is>
          <t>https://cdn.shopify.com/s/files/1/0792/5098/1063/files/ef81c56fe7d5f4f60045bfbd0778e14ad11ce2a6824c23132d2b864ef763fe85_3e5ce2b0-74e9-4528-a9b3-58484c711e32.jpg?v=1787242281</t>
        </is>
      </c>
      <c r="E25" s="3" t="inlineStr">
        <is>
          <t>47934358880455</t>
        </is>
      </c>
      <c r="F25" s="3" t="inlineStr">
        <is>
          <t>47934358880455</t>
        </is>
      </c>
      <c r="G25" s="3" t="inlineStr"/>
      <c r="H25" s="3" t="inlineStr">
        <is>
          <t>GALLERY</t>
        </is>
      </c>
      <c r="I25" s="3" t="inlineStr">
        <is>
          <t>DIRECT_IMAGE_DOWNLOAD_AND_SOURCE_ROW_REVIEW</t>
        </is>
      </c>
      <c r="J25" s="3" t="inlineStr">
        <is>
          <t>2026-09-07T21:44:56+07:00</t>
        </is>
      </c>
      <c r="K25" s="3" t="inlineStr">
        <is>
          <t>Direct QA opened downloaded image 186_04; source SHA 946D5B32E02CA70029866292D0775686EA770A101CD6D8BC2C108F506AB44BBE. Submitted observation reviewed against gallery position.</t>
        </is>
      </c>
      <c r="L25" s="3" t="inlineStr">
        <is>
          <t>Detail, feature panel or lifestyle image connected to red white blue baseball pattern bedding with name.</t>
        </is>
      </c>
      <c r="M25" s="3" t="inlineStr">
        <is>
          <t>UNKNOWN</t>
        </is>
      </c>
      <c r="N25" s="3" t="inlineStr">
        <is>
          <t>SET</t>
        </is>
      </c>
      <c r="O25" s="3" t="inlineStr">
        <is>
          <t>Fabric or high-density weaving image for Red White Blue Baseball Pattern Bedding with Custom Name</t>
        </is>
      </c>
      <c r="P25" s="3" t="inlineStr">
        <is>
          <t>FULL</t>
        </is>
      </c>
      <c r="Q25" s="3" t="inlineStr">
        <is>
          <t>PARTIAL</t>
        </is>
      </c>
      <c r="R25" s="3" t="inlineStr">
        <is>
          <t>FULL</t>
        </is>
      </c>
      <c r="S25" s="3" t="inlineStr">
        <is>
          <t>FULL</t>
        </is>
      </c>
      <c r="T25" s="7">
        <f>IF(P25="FULL",40,IF(P25="PARTIAL",40/2,0))+IF(Q25="FULL",30,IF(Q25="PARTIAL",30/2,0))+IF(R25="FULL",20,IF(R25="PARTIAL",20/2,0))+IF(S25="FULL",10,IF(S25="PARTIAL",10/2,0))</f>
        <v/>
      </c>
      <c r="U25" s="7">
        <f>IF(P25="NOT_CHECKED",0,40)+IF(Q25="NOT_CHECKED",0,30)+IF(R25="NOT_CHECKED",0,20)+IF(S25="NOT_CHECKED",0,10)</f>
        <v/>
      </c>
      <c r="V25" s="7">
        <f>IF(U25=100,T25,"")</f>
        <v/>
      </c>
      <c r="W25" s="7">
        <f>T25</f>
        <v/>
      </c>
      <c r="X25" s="7">
        <f>T25+(100-U25)</f>
        <v/>
      </c>
      <c r="Y25" s="3" t="inlineStr">
        <is>
          <t>ISSUE-0042</t>
        </is>
      </c>
      <c r="Z25" s="3" t="inlineStr">
        <is>
          <t>D:\Shopify_Workspace\jeminise_seo\seo_runs\jeminise.com\20260906_234129\qa\20260907_213200\images\186_04.jpg; seo_runs\jeminise.com\20260906_234129\evidence\images\186_personalized-baseball-bedding-full-size-flag-custom-name-d-design-11\image_04_47934358880455.jpg; seo_runs\jeminise.com\20260906_234129\evidence\contact_sheets\186_personalized-baseball-bedding-full-size-flag-custom-name-d-design-11.jpg</t>
        </is>
      </c>
    </row>
    <row r="26" ht="66" customHeight="1">
      <c r="A26" s="2" t="inlineStr">
        <is>
          <t>jeminise.com+personalized-baseball-bedding-full-size-flag-custom-name-d-design-12</t>
        </is>
      </c>
      <c r="B26" s="2" t="inlineStr">
        <is>
          <t>img_6bc02af703e4857a</t>
        </is>
      </c>
      <c r="C26" s="4" t="inlineStr">
        <is>
          <t>https://cdn.shopify.com/s/files/1/0792/5098/1063/files/a3a7588224cb02e1a3e3cdfb3d985059123d82c8235978721aed604186892c96.jpg?v=1787242289</t>
        </is>
      </c>
      <c r="D26" s="4" t="inlineStr">
        <is>
          <t>https://cdn.shopify.com/s/files/1/0792/5098/1063/files/a3a7588224cb02e1a3e3cdfb3d985059123d82c8235978721aed604186892c96.jpg?v=1787242289</t>
        </is>
      </c>
      <c r="E26" s="2" t="inlineStr">
        <is>
          <t>47934359404743</t>
        </is>
      </c>
      <c r="F26" s="2" t="inlineStr">
        <is>
          <t>47934359404743</t>
        </is>
      </c>
      <c r="G26" s="2" t="inlineStr"/>
      <c r="H26" s="2" t="inlineStr">
        <is>
          <t>GALLERY</t>
        </is>
      </c>
      <c r="I26" s="2" t="inlineStr">
        <is>
          <t>DIRECT_IMAGE_DOWNLOAD_AND_SOURCE_ROW_REVIEW</t>
        </is>
      </c>
      <c r="J26" s="2" t="inlineStr">
        <is>
          <t>2026-09-07T21:44:56+07:00</t>
        </is>
      </c>
      <c r="K26" s="2" t="inlineStr">
        <is>
          <t>Direct QA opened downloaded image 187_01; source SHA 1F4CBBD0B5718FE3232C053285C1739084B43C7A76F168163D37D67EBAA5702D. Submitted observation reviewed against gallery position.</t>
        </is>
      </c>
      <c r="L26" s="2" t="inlineStr">
        <is>
          <t>Main product mockup showing pitcher silhouette baseball bedding with custom name.</t>
        </is>
      </c>
      <c r="M26" s="2" t="inlineStr">
        <is>
          <t>UNKNOWN</t>
        </is>
      </c>
      <c r="N26" s="2" t="inlineStr">
        <is>
          <t>SET</t>
        </is>
      </c>
      <c r="O26" s="2" t="inlineStr">
        <is>
          <t>Pitcher Silhouette Baseball Bedding with Custom Name displayed in a main product mockup</t>
        </is>
      </c>
      <c r="P26" s="2" t="inlineStr">
        <is>
          <t>FULL</t>
        </is>
      </c>
      <c r="Q26" s="2" t="inlineStr">
        <is>
          <t>FULL</t>
        </is>
      </c>
      <c r="R26" s="2" t="inlineStr">
        <is>
          <t>PARTIAL</t>
        </is>
      </c>
      <c r="S26" s="2" t="inlineStr">
        <is>
          <t>FULL</t>
        </is>
      </c>
      <c r="T26" s="5">
        <f>IF(P26="FULL",40,IF(P26="PARTIAL",40/2,0))+IF(Q26="FULL",30,IF(Q26="PARTIAL",30/2,0))+IF(R26="FULL",20,IF(R26="PARTIAL",20/2,0))+IF(S26="FULL",10,IF(S26="PARTIAL",10/2,0))</f>
        <v/>
      </c>
      <c r="U26" s="5">
        <f>IF(P26="NOT_CHECKED",0,40)+IF(Q26="NOT_CHECKED",0,30)+IF(R26="NOT_CHECKED",0,20)+IF(S26="NOT_CHECKED",0,10)</f>
        <v/>
      </c>
      <c r="V26" s="5">
        <f>IF(U26=100,T26,"")</f>
        <v/>
      </c>
      <c r="W26" s="5">
        <f>T26</f>
        <v/>
      </c>
      <c r="X26" s="5">
        <f>T26+(100-U26)</f>
        <v/>
      </c>
      <c r="Y26" s="2" t="inlineStr">
        <is>
          <t>ISSUE-0047</t>
        </is>
      </c>
      <c r="Z26" s="2" t="inlineStr">
        <is>
          <t>D:\Shopify_Workspace\jeminise_seo\seo_runs\jeminise.com\20260906_234129\qa\20260907_213200\images\187_01.jpg; seo_runs\jeminise.com\20260906_234129\evidence\images\187_personalized-baseball-bedding-full-size-flag-custom-name-d-design-12\image_01_47934359404743.jpg; seo_runs\jeminise.com\20260906_234129\evidence\contact_sheets\187_personalized-baseball-bedding-full-size-flag-custom-name-d-design-12.jpg</t>
        </is>
      </c>
    </row>
    <row r="27" ht="66" customHeight="1">
      <c r="A27" s="3" t="inlineStr">
        <is>
          <t>jeminise.com+personalized-baseball-bedding-full-size-flag-custom-name-d-design-12</t>
        </is>
      </c>
      <c r="B27" s="3" t="inlineStr">
        <is>
          <t>img_6b5077622cbadf62</t>
        </is>
      </c>
      <c r="C27" s="4" t="inlineStr">
        <is>
          <t>https://cdn.shopify.com/s/files/1/0792/5098/1063/files/ef81c56fe7d5f4f60045bfbd0778e14ad11ce2a6824c23132d2b864ef763fe85_335356bf-1642-4331-a801-0745727799cd.jpg?v=1787242289</t>
        </is>
      </c>
      <c r="D27" s="4" t="inlineStr">
        <is>
          <t>https://cdn.shopify.com/s/files/1/0792/5098/1063/files/ef81c56fe7d5f4f60045bfbd0778e14ad11ce2a6824c23132d2b864ef763fe85_335356bf-1642-4331-a801-0745727799cd.jpg?v=1787242289</t>
        </is>
      </c>
      <c r="E27" s="3" t="inlineStr">
        <is>
          <t>47934359437511</t>
        </is>
      </c>
      <c r="F27" s="3" t="inlineStr">
        <is>
          <t>47934359437511</t>
        </is>
      </c>
      <c r="G27" s="3" t="inlineStr"/>
      <c r="H27" s="3" t="inlineStr">
        <is>
          <t>GALLERY</t>
        </is>
      </c>
      <c r="I27" s="3" t="inlineStr">
        <is>
          <t>DIRECT_IMAGE_DOWNLOAD_AND_SOURCE_ROW_REVIEW</t>
        </is>
      </c>
      <c r="J27" s="3" t="inlineStr">
        <is>
          <t>2026-09-07T21:44:56+07:00</t>
        </is>
      </c>
      <c r="K27" s="3" t="inlineStr">
        <is>
          <t>Direct QA opened downloaded image 187_02; source SHA 946D5B32E02CA70029866292D0775686EA770A101CD6D8BC2C108F506AB44BBE. Submitted observation reviewed against gallery position.</t>
        </is>
      </c>
      <c r="L27" s="3" t="inlineStr">
        <is>
          <t>Secondary flat, close-up or bedroom mockup showing pitcher silhouette baseball bedding with custom name.</t>
        </is>
      </c>
      <c r="M27" s="3" t="inlineStr">
        <is>
          <t>UNKNOWN</t>
        </is>
      </c>
      <c r="N27" s="3" t="inlineStr">
        <is>
          <t>SET</t>
        </is>
      </c>
      <c r="O27" s="3" t="inlineStr">
        <is>
          <t>Feature or care image for Pitcher Silhouette Baseball Bedding with Custom Name</t>
        </is>
      </c>
      <c r="P27" s="3" t="inlineStr">
        <is>
          <t>FULL</t>
        </is>
      </c>
      <c r="Q27" s="3" t="inlineStr">
        <is>
          <t>FULL</t>
        </is>
      </c>
      <c r="R27" s="3" t="inlineStr">
        <is>
          <t>FULL</t>
        </is>
      </c>
      <c r="S27" s="3" t="inlineStr">
        <is>
          <t>FULL</t>
        </is>
      </c>
      <c r="T27" s="7">
        <f>IF(P27="FULL",40,IF(P27="PARTIAL",40/2,0))+IF(Q27="FULL",30,IF(Q27="PARTIAL",30/2,0))+IF(R27="FULL",20,IF(R27="PARTIAL",20/2,0))+IF(S27="FULL",10,IF(S27="PARTIAL",10/2,0))</f>
        <v/>
      </c>
      <c r="U27" s="7">
        <f>IF(P27="NOT_CHECKED",0,40)+IF(Q27="NOT_CHECKED",0,30)+IF(R27="NOT_CHECKED",0,20)+IF(S27="NOT_CHECKED",0,10)</f>
        <v/>
      </c>
      <c r="V27" s="7">
        <f>IF(U27=100,T27,"")</f>
        <v/>
      </c>
      <c r="W27" s="7">
        <f>T27</f>
        <v/>
      </c>
      <c r="X27" s="7">
        <f>T27+(100-U27)</f>
        <v/>
      </c>
      <c r="Y27" s="3" t="inlineStr"/>
      <c r="Z27" s="3" t="inlineStr">
        <is>
          <t>D:\Shopify_Workspace\jeminise_seo\seo_runs\jeminise.com\20260906_234129\qa\20260907_213200\images\187_02.jpg; seo_runs\jeminise.com\20260906_234129\evidence\images\187_personalized-baseball-bedding-full-size-flag-custom-name-d-design-12\image_02_47934359437511.jpg; seo_runs\jeminise.com\20260906_234129\evidence\contact_sheets\187_personalized-baseball-bedding-full-size-flag-custom-name-d-design-12.jpg</t>
        </is>
      </c>
    </row>
    <row r="28" ht="66" customHeight="1">
      <c r="A28" s="2" t="inlineStr">
        <is>
          <t>jeminise.com+personalized-baseball-bedding-full-size-flag-custom-name-d-design-12</t>
        </is>
      </c>
      <c r="B28" s="2" t="inlineStr">
        <is>
          <t>img_2e5a72a721b4ab3d</t>
        </is>
      </c>
      <c r="C28" s="4" t="inlineStr">
        <is>
          <t>https://cdn.shopify.com/s/files/1/0792/5098/1063/files/b495d9b37eafdceff5caf3643256f7b3a83de826d49a14bdc531b13424296018_c5730b89-f700-4d4d-91a6-81c7a9b068df.jpg?v=1787242289</t>
        </is>
      </c>
      <c r="D28" s="4" t="inlineStr">
        <is>
          <t>https://cdn.shopify.com/s/files/1/0792/5098/1063/files/b495d9b37eafdceff5caf3643256f7b3a83de826d49a14bdc531b13424296018_c5730b89-f700-4d4d-91a6-81c7a9b068df.jpg?v=1787242289</t>
        </is>
      </c>
      <c r="E28" s="2" t="inlineStr">
        <is>
          <t>47934359470279</t>
        </is>
      </c>
      <c r="F28" s="2" t="inlineStr">
        <is>
          <t>47934359470279</t>
        </is>
      </c>
      <c r="G28" s="2" t="inlineStr"/>
      <c r="H28" s="2" t="inlineStr">
        <is>
          <t>GALLERY</t>
        </is>
      </c>
      <c r="I28" s="2" t="inlineStr">
        <is>
          <t>DIRECT_IMAGE_DOWNLOAD_AND_SOURCE_ROW_REVIEW</t>
        </is>
      </c>
      <c r="J28" s="2" t="inlineStr">
        <is>
          <t>2026-09-07T21:44:56+07:00</t>
        </is>
      </c>
      <c r="K28" s="2" t="inlineStr">
        <is>
          <t>Direct QA opened downloaded image 187_03; source SHA 82D08ED974694A5AE83601A42A9EAD30E75BA471FA67537A9B6996296A80AD73. Submitted observation reviewed against gallery position.</t>
        </is>
      </c>
      <c r="L28" s="2" t="inlineStr">
        <is>
          <t>Bedding type, feature, lifestyle or material image for pitcher silhouette baseball bedding with custom name.</t>
        </is>
      </c>
      <c r="M28" s="2" t="inlineStr">
        <is>
          <t>UNKNOWN</t>
        </is>
      </c>
      <c r="N28" s="2" t="inlineStr">
        <is>
          <t>SET</t>
        </is>
      </c>
      <c r="O28" s="2" t="inlineStr">
        <is>
          <t>Product detail or closure image for Pitcher Silhouette Baseball Bedding with Custom Name</t>
        </is>
      </c>
      <c r="P28" s="2" t="inlineStr">
        <is>
          <t>FULL</t>
        </is>
      </c>
      <c r="Q28" s="2" t="inlineStr">
        <is>
          <t>PARTIAL</t>
        </is>
      </c>
      <c r="R28" s="2" t="inlineStr">
        <is>
          <t>FULL</t>
        </is>
      </c>
      <c r="S28" s="2" t="inlineStr">
        <is>
          <t>FULL</t>
        </is>
      </c>
      <c r="T28" s="5">
        <f>IF(P28="FULL",40,IF(P28="PARTIAL",40/2,0))+IF(Q28="FULL",30,IF(Q28="PARTIAL",30/2,0))+IF(R28="FULL",20,IF(R28="PARTIAL",20/2,0))+IF(S28="FULL",10,IF(S28="PARTIAL",10/2,0))</f>
        <v/>
      </c>
      <c r="U28" s="5">
        <f>IF(P28="NOT_CHECKED",0,40)+IF(Q28="NOT_CHECKED",0,30)+IF(R28="NOT_CHECKED",0,20)+IF(S28="NOT_CHECKED",0,10)</f>
        <v/>
      </c>
      <c r="V28" s="5">
        <f>IF(U28=100,T28,"")</f>
        <v/>
      </c>
      <c r="W28" s="5">
        <f>T28</f>
        <v/>
      </c>
      <c r="X28" s="5">
        <f>T28+(100-U28)</f>
        <v/>
      </c>
      <c r="Y28" s="2" t="inlineStr">
        <is>
          <t>ISSUE-0048</t>
        </is>
      </c>
      <c r="Z28" s="2" t="inlineStr">
        <is>
          <t>D:\Shopify_Workspace\jeminise_seo\seo_runs\jeminise.com\20260906_234129\qa\20260907_213200\images\187_03.jpg; seo_runs\jeminise.com\20260906_234129\evidence\images\187_personalized-baseball-bedding-full-size-flag-custom-name-d-design-12\image_03_47934359470279.jpg; seo_runs\jeminise.com\20260906_234129\evidence\contact_sheets\187_personalized-baseball-bedding-full-size-flag-custom-name-d-design-12.jpg</t>
        </is>
      </c>
    </row>
    <row r="29" ht="66" customHeight="1">
      <c r="A29" s="3" t="inlineStr">
        <is>
          <t>jeminise.com+personalized-baseball-bedding-full-size-flag-custom-name-d-design-12</t>
        </is>
      </c>
      <c r="B29" s="3" t="inlineStr">
        <is>
          <t>img_61bf16973c3891d6</t>
        </is>
      </c>
      <c r="C29" s="4" t="inlineStr">
        <is>
          <t>https://cdn.shopify.com/s/files/1/0792/5098/1063/files/d51e3360a3e4b984af63b01c4b53d517484ca3d6cb1beeea158bcf59acab9ed4_ee048bf7-2c61-43af-b6a9-476fa326ea53.jpg?v=1787242289</t>
        </is>
      </c>
      <c r="D29" s="4" t="inlineStr">
        <is>
          <t>https://cdn.shopify.com/s/files/1/0792/5098/1063/files/d51e3360a3e4b984af63b01c4b53d517484ca3d6cb1beeea158bcf59acab9ed4_ee048bf7-2c61-43af-b6a9-476fa326ea53.jpg?v=1787242289</t>
        </is>
      </c>
      <c r="E29" s="3" t="inlineStr">
        <is>
          <t>47934359503047</t>
        </is>
      </c>
      <c r="F29" s="3" t="inlineStr">
        <is>
          <t>47934359503047</t>
        </is>
      </c>
      <c r="G29" s="3" t="inlineStr"/>
      <c r="H29" s="3" t="inlineStr">
        <is>
          <t>GALLERY</t>
        </is>
      </c>
      <c r="I29" s="3" t="inlineStr">
        <is>
          <t>DIRECT_IMAGE_DOWNLOAD_AND_SOURCE_ROW_REVIEW</t>
        </is>
      </c>
      <c r="J29" s="3" t="inlineStr">
        <is>
          <t>2026-09-07T21:44:56+07:00</t>
        </is>
      </c>
      <c r="K29" s="3" t="inlineStr">
        <is>
          <t>Direct QA opened downloaded image 187_04; source SHA 232246736D0E74D62007D0E6971A2E140EDFD432E8573485134C1F85951D9CC3. Submitted observation reviewed against gallery position.</t>
        </is>
      </c>
      <c r="L29" s="3" t="inlineStr">
        <is>
          <t>Detail, feature panel or lifestyle image connected to pitcher silhouette baseball bedding with custom name.</t>
        </is>
      </c>
      <c r="M29" s="3" t="inlineStr">
        <is>
          <t>UNKNOWN</t>
        </is>
      </c>
      <c r="N29" s="3" t="inlineStr">
        <is>
          <t>SET</t>
        </is>
      </c>
      <c r="O29" s="3" t="inlineStr">
        <is>
          <t>Fabric or high-density weaving image for Pitcher Silhouette Baseball Bedding with Custom Name</t>
        </is>
      </c>
      <c r="P29" s="3" t="inlineStr">
        <is>
          <t>FULL</t>
        </is>
      </c>
      <c r="Q29" s="3" t="inlineStr">
        <is>
          <t>PARTIAL</t>
        </is>
      </c>
      <c r="R29" s="3" t="inlineStr">
        <is>
          <t>FULL</t>
        </is>
      </c>
      <c r="S29" s="3" t="inlineStr">
        <is>
          <t>FULL</t>
        </is>
      </c>
      <c r="T29" s="7">
        <f>IF(P29="FULL",40,IF(P29="PARTIAL",40/2,0))+IF(Q29="FULL",30,IF(Q29="PARTIAL",30/2,0))+IF(R29="FULL",20,IF(R29="PARTIAL",20/2,0))+IF(S29="FULL",10,IF(S29="PARTIAL",10/2,0))</f>
        <v/>
      </c>
      <c r="U29" s="7">
        <f>IF(P29="NOT_CHECKED",0,40)+IF(Q29="NOT_CHECKED",0,30)+IF(R29="NOT_CHECKED",0,20)+IF(S29="NOT_CHECKED",0,10)</f>
        <v/>
      </c>
      <c r="V29" s="7">
        <f>IF(U29=100,T29,"")</f>
        <v/>
      </c>
      <c r="W29" s="7">
        <f>T29</f>
        <v/>
      </c>
      <c r="X29" s="7">
        <f>T29+(100-U29)</f>
        <v/>
      </c>
      <c r="Y29" s="3" t="inlineStr">
        <is>
          <t>ISSUE-0049</t>
        </is>
      </c>
      <c r="Z29" s="3" t="inlineStr">
        <is>
          <t>D:\Shopify_Workspace\jeminise_seo\seo_runs\jeminise.com\20260906_234129\qa\20260907_213200\images\187_04.jpg; seo_runs\jeminise.com\20260906_234129\evidence\images\187_personalized-baseball-bedding-full-size-flag-custom-name-d-design-12\image_04_47934359503047.jpg; seo_runs\jeminise.com\20260906_234129\evidence\contact_sheets\187_personalized-baseball-bedding-full-size-flag-custom-name-d-design-12.jpg</t>
        </is>
      </c>
    </row>
    <row r="30" ht="66" customHeight="1">
      <c r="A30" s="2" t="inlineStr">
        <is>
          <t>jeminise.com+personalized-baseball-bedding-full-size-flag-custom-name-d-design-13</t>
        </is>
      </c>
      <c r="B30" s="2" t="inlineStr">
        <is>
          <t>img_764a95892c0db783</t>
        </is>
      </c>
      <c r="C30" s="4" t="inlineStr">
        <is>
          <t>https://cdn.shopify.com/s/files/1/0792/5098/1063/files/b1a55687ac710fef17a03349d7df05659c4a75b04c898c8a647cf0f9b2bdfac4.jpg?v=1787242287</t>
        </is>
      </c>
      <c r="D30" s="4" t="inlineStr">
        <is>
          <t>https://cdn.shopify.com/s/files/1/0792/5098/1063/files/b1a55687ac710fef17a03349d7df05659c4a75b04c898c8a647cf0f9b2bdfac4.jpg?v=1787242287</t>
        </is>
      </c>
      <c r="E30" s="2" t="inlineStr">
        <is>
          <t>47934359109831</t>
        </is>
      </c>
      <c r="F30" s="2" t="inlineStr">
        <is>
          <t>47934359109831</t>
        </is>
      </c>
      <c r="G30" s="2" t="inlineStr"/>
      <c r="H30" s="2" t="inlineStr">
        <is>
          <t>GALLERY</t>
        </is>
      </c>
      <c r="I30" s="2" t="inlineStr">
        <is>
          <t>DIRECT_IMAGE_DOWNLOAD_AND_SOURCE_ROW_REVIEW</t>
        </is>
      </c>
      <c r="J30" s="2" t="inlineStr">
        <is>
          <t>2026-09-07T21:44:56+07:00</t>
        </is>
      </c>
      <c r="K30" s="2" t="inlineStr">
        <is>
          <t>Direct QA opened downloaded image 188_01; source SHA 5789C90A8C74B82634B42E875C02F665D699CDA892C69ABD75928596E7E1E1EC. Submitted observation reviewed against gallery position.</t>
        </is>
      </c>
      <c r="L30" s="2" t="inlineStr">
        <is>
          <t>Main product mockup showing black baseball glove bedding with name and number.</t>
        </is>
      </c>
      <c r="M30" s="2" t="inlineStr">
        <is>
          <t>UNKNOWN</t>
        </is>
      </c>
      <c r="N30" s="2" t="inlineStr">
        <is>
          <t>SET</t>
        </is>
      </c>
      <c r="O30" s="2" t="inlineStr">
        <is>
          <t>Black Baseball Glove Bedding with Name and Number displayed in a main product mockup</t>
        </is>
      </c>
      <c r="P30" s="2" t="inlineStr">
        <is>
          <t>FULL</t>
        </is>
      </c>
      <c r="Q30" s="2" t="inlineStr">
        <is>
          <t>FULL</t>
        </is>
      </c>
      <c r="R30" s="2" t="inlineStr">
        <is>
          <t>PARTIAL</t>
        </is>
      </c>
      <c r="S30" s="2" t="inlineStr">
        <is>
          <t>FULL</t>
        </is>
      </c>
      <c r="T30" s="5">
        <f>IF(P30="FULL",40,IF(P30="PARTIAL",40/2,0))+IF(Q30="FULL",30,IF(Q30="PARTIAL",30/2,0))+IF(R30="FULL",20,IF(R30="PARTIAL",20/2,0))+IF(S30="FULL",10,IF(S30="PARTIAL",10/2,0))</f>
        <v/>
      </c>
      <c r="U30" s="5">
        <f>IF(P30="NOT_CHECKED",0,40)+IF(Q30="NOT_CHECKED",0,30)+IF(R30="NOT_CHECKED",0,20)+IF(S30="NOT_CHECKED",0,10)</f>
        <v/>
      </c>
      <c r="V30" s="5">
        <f>IF(U30=100,T30,"")</f>
        <v/>
      </c>
      <c r="W30" s="5">
        <f>T30</f>
        <v/>
      </c>
      <c r="X30" s="5">
        <f>T30+(100-U30)</f>
        <v/>
      </c>
      <c r="Y30" s="2" t="inlineStr">
        <is>
          <t>ISSUE-0054</t>
        </is>
      </c>
      <c r="Z30" s="2" t="inlineStr">
        <is>
          <t>D:\Shopify_Workspace\jeminise_seo\seo_runs\jeminise.com\20260906_234129\qa\20260907_213200\images\188_01.jpg; seo_runs\jeminise.com\20260906_234129\evidence\images\188_personalized-baseball-bedding-full-size-flag-custom-name-d-design-13\image_01_47934359109831.jpg; seo_runs\jeminise.com\20260906_234129\evidence\contact_sheets\188_personalized-baseball-bedding-full-size-flag-custom-name-d-design-13.jpg</t>
        </is>
      </c>
    </row>
    <row r="31" ht="66" customHeight="1">
      <c r="A31" s="3" t="inlineStr">
        <is>
          <t>jeminise.com+personalized-baseball-bedding-full-size-flag-custom-name-d-design-13</t>
        </is>
      </c>
      <c r="B31" s="3" t="inlineStr">
        <is>
          <t>img_e8f6192f830f7d96</t>
        </is>
      </c>
      <c r="C31" s="4" t="inlineStr">
        <is>
          <t>https://cdn.shopify.com/s/files/1/0792/5098/1063/files/d51e3360a3e4b984af63b01c4b53d517484ca3d6cb1beeea158bcf59acab9ed4_4ea5343c-eff5-4c23-a04a-942fc711a784.jpg?v=1787242287</t>
        </is>
      </c>
      <c r="D31" s="4" t="inlineStr">
        <is>
          <t>https://cdn.shopify.com/s/files/1/0792/5098/1063/files/d51e3360a3e4b984af63b01c4b53d517484ca3d6cb1beeea158bcf59acab9ed4_4ea5343c-eff5-4c23-a04a-942fc711a784.jpg?v=1787242287</t>
        </is>
      </c>
      <c r="E31" s="3" t="inlineStr">
        <is>
          <t>47934359142599</t>
        </is>
      </c>
      <c r="F31" s="3" t="inlineStr">
        <is>
          <t>47934359142599</t>
        </is>
      </c>
      <c r="G31" s="3" t="inlineStr"/>
      <c r="H31" s="3" t="inlineStr">
        <is>
          <t>GALLERY</t>
        </is>
      </c>
      <c r="I31" s="3" t="inlineStr">
        <is>
          <t>DIRECT_IMAGE_DOWNLOAD_AND_SOURCE_ROW_REVIEW</t>
        </is>
      </c>
      <c r="J31" s="3" t="inlineStr">
        <is>
          <t>2026-09-07T21:44:56+07:00</t>
        </is>
      </c>
      <c r="K31" s="3" t="inlineStr">
        <is>
          <t>Direct QA opened downloaded image 188_02; source SHA 232246736D0E74D62007D0E6971A2E140EDFD432E8573485134C1F85951D9CC3. Submitted observation reviewed against gallery position.</t>
        </is>
      </c>
      <c r="L31" s="3" t="inlineStr">
        <is>
          <t>Secondary flat, close-up or bedroom mockup showing black baseball glove bedding with name and number.</t>
        </is>
      </c>
      <c r="M31" s="3" t="inlineStr">
        <is>
          <t>UNKNOWN</t>
        </is>
      </c>
      <c r="N31" s="3" t="inlineStr">
        <is>
          <t>SET</t>
        </is>
      </c>
      <c r="O31" s="3" t="inlineStr">
        <is>
          <t>Feature or care image for Black Baseball Glove Bedding with Name and Number</t>
        </is>
      </c>
      <c r="P31" s="3" t="inlineStr">
        <is>
          <t>FULL</t>
        </is>
      </c>
      <c r="Q31" s="3" t="inlineStr">
        <is>
          <t>FULL</t>
        </is>
      </c>
      <c r="R31" s="3" t="inlineStr">
        <is>
          <t>FULL</t>
        </is>
      </c>
      <c r="S31" s="3" t="inlineStr">
        <is>
          <t>FULL</t>
        </is>
      </c>
      <c r="T31" s="7">
        <f>IF(P31="FULL",40,IF(P31="PARTIAL",40/2,0))+IF(Q31="FULL",30,IF(Q31="PARTIAL",30/2,0))+IF(R31="FULL",20,IF(R31="PARTIAL",20/2,0))+IF(S31="FULL",10,IF(S31="PARTIAL",10/2,0))</f>
        <v/>
      </c>
      <c r="U31" s="7">
        <f>IF(P31="NOT_CHECKED",0,40)+IF(Q31="NOT_CHECKED",0,30)+IF(R31="NOT_CHECKED",0,20)+IF(S31="NOT_CHECKED",0,10)</f>
        <v/>
      </c>
      <c r="V31" s="7">
        <f>IF(U31=100,T31,"")</f>
        <v/>
      </c>
      <c r="W31" s="7">
        <f>T31</f>
        <v/>
      </c>
      <c r="X31" s="7">
        <f>T31+(100-U31)</f>
        <v/>
      </c>
      <c r="Y31" s="3" t="inlineStr"/>
      <c r="Z31" s="3" t="inlineStr">
        <is>
          <t>D:\Shopify_Workspace\jeminise_seo\seo_runs\jeminise.com\20260906_234129\qa\20260907_213200\images\188_02.jpg; seo_runs\jeminise.com\20260906_234129\evidence\images\188_personalized-baseball-bedding-full-size-flag-custom-name-d-design-13\image_02_47934359142599.jpg; seo_runs\jeminise.com\20260906_234129\evidence\contact_sheets\188_personalized-baseball-bedding-full-size-flag-custom-name-d-design-13.jpg</t>
        </is>
      </c>
    </row>
    <row r="32" ht="66" customHeight="1">
      <c r="A32" s="2" t="inlineStr">
        <is>
          <t>jeminise.com+personalized-baseball-bedding-full-size-flag-custom-name-d-design-13</t>
        </is>
      </c>
      <c r="B32" s="2" t="inlineStr">
        <is>
          <t>img_9aac26e673e458bb</t>
        </is>
      </c>
      <c r="C32" s="4" t="inlineStr">
        <is>
          <t>https://cdn.shopify.com/s/files/1/0792/5098/1063/files/ef81c56fe7d5f4f60045bfbd0778e14ad11ce2a6824c23132d2b864ef763fe85_ba8cd586-2f34-470e-b46c-8742f4cb3596.jpg?v=1787242287</t>
        </is>
      </c>
      <c r="D32" s="4" t="inlineStr">
        <is>
          <t>https://cdn.shopify.com/s/files/1/0792/5098/1063/files/ef81c56fe7d5f4f60045bfbd0778e14ad11ce2a6824c23132d2b864ef763fe85_ba8cd586-2f34-470e-b46c-8742f4cb3596.jpg?v=1787242287</t>
        </is>
      </c>
      <c r="E32" s="2" t="inlineStr">
        <is>
          <t>47934359175367</t>
        </is>
      </c>
      <c r="F32" s="2" t="inlineStr">
        <is>
          <t>47934359175367</t>
        </is>
      </c>
      <c r="G32" s="2" t="inlineStr"/>
      <c r="H32" s="2" t="inlineStr">
        <is>
          <t>GALLERY</t>
        </is>
      </c>
      <c r="I32" s="2" t="inlineStr">
        <is>
          <t>DIRECT_IMAGE_DOWNLOAD_AND_SOURCE_ROW_REVIEW</t>
        </is>
      </c>
      <c r="J32" s="2" t="inlineStr">
        <is>
          <t>2026-09-07T21:44:56+07:00</t>
        </is>
      </c>
      <c r="K32" s="2" t="inlineStr">
        <is>
          <t>Direct QA opened downloaded image 188_03; source SHA 946D5B32E02CA70029866292D0775686EA770A101CD6D8BC2C108F506AB44BBE. Submitted observation reviewed against gallery position.</t>
        </is>
      </c>
      <c r="L32" s="2" t="inlineStr">
        <is>
          <t>Bedding type, feature, lifestyle or material image for black baseball glove bedding with name and number.</t>
        </is>
      </c>
      <c r="M32" s="2" t="inlineStr">
        <is>
          <t>UNKNOWN</t>
        </is>
      </c>
      <c r="N32" s="2" t="inlineStr">
        <is>
          <t>SET</t>
        </is>
      </c>
      <c r="O32" s="2" t="inlineStr">
        <is>
          <t>Product detail or closure image for Black Baseball Glove Bedding with Name and Number</t>
        </is>
      </c>
      <c r="P32" s="2" t="inlineStr">
        <is>
          <t>FULL</t>
        </is>
      </c>
      <c r="Q32" s="2" t="inlineStr">
        <is>
          <t>PARTIAL</t>
        </is>
      </c>
      <c r="R32" s="2" t="inlineStr">
        <is>
          <t>FULL</t>
        </is>
      </c>
      <c r="S32" s="2" t="inlineStr">
        <is>
          <t>FULL</t>
        </is>
      </c>
      <c r="T32" s="5">
        <f>IF(P32="FULL",40,IF(P32="PARTIAL",40/2,0))+IF(Q32="FULL",30,IF(Q32="PARTIAL",30/2,0))+IF(R32="FULL",20,IF(R32="PARTIAL",20/2,0))+IF(S32="FULL",10,IF(S32="PARTIAL",10/2,0))</f>
        <v/>
      </c>
      <c r="U32" s="5">
        <f>IF(P32="NOT_CHECKED",0,40)+IF(Q32="NOT_CHECKED",0,30)+IF(R32="NOT_CHECKED",0,20)+IF(S32="NOT_CHECKED",0,10)</f>
        <v/>
      </c>
      <c r="V32" s="5">
        <f>IF(U32=100,T32,"")</f>
        <v/>
      </c>
      <c r="W32" s="5">
        <f>T32</f>
        <v/>
      </c>
      <c r="X32" s="5">
        <f>T32+(100-U32)</f>
        <v/>
      </c>
      <c r="Y32" s="2" t="inlineStr">
        <is>
          <t>ISSUE-0055</t>
        </is>
      </c>
      <c r="Z32" s="2" t="inlineStr">
        <is>
          <t>D:\Shopify_Workspace\jeminise_seo\seo_runs\jeminise.com\20260906_234129\qa\20260907_213200\images\188_03.jpg; seo_runs\jeminise.com\20260906_234129\evidence\images\188_personalized-baseball-bedding-full-size-flag-custom-name-d-design-13\image_03_47934359175367.jpg; seo_runs\jeminise.com\20260906_234129\evidence\contact_sheets\188_personalized-baseball-bedding-full-size-flag-custom-name-d-design-13.jpg</t>
        </is>
      </c>
    </row>
    <row r="33" ht="66" customHeight="1">
      <c r="A33" s="3" t="inlineStr">
        <is>
          <t>jeminise.com+personalized-baseball-bedding-full-size-flag-custom-name-d-design-13</t>
        </is>
      </c>
      <c r="B33" s="3" t="inlineStr">
        <is>
          <t>img_160d96b7a1fc005d</t>
        </is>
      </c>
      <c r="C33" s="4" t="inlineStr">
        <is>
          <t>https://cdn.shopify.com/s/files/1/0792/5098/1063/files/b495d9b37eafdceff5caf3643256f7b3a83de826d49a14bdc531b13424296018_4a8dc283-a4f0-4723-82e1-5909c9adbcec.jpg?v=1787242287</t>
        </is>
      </c>
      <c r="D33" s="4" t="inlineStr">
        <is>
          <t>https://cdn.shopify.com/s/files/1/0792/5098/1063/files/b495d9b37eafdceff5caf3643256f7b3a83de826d49a14bdc531b13424296018_4a8dc283-a4f0-4723-82e1-5909c9adbcec.jpg?v=1787242287</t>
        </is>
      </c>
      <c r="E33" s="3" t="inlineStr">
        <is>
          <t>47934359208135</t>
        </is>
      </c>
      <c r="F33" s="3" t="inlineStr">
        <is>
          <t>47934359208135</t>
        </is>
      </c>
      <c r="G33" s="3" t="inlineStr"/>
      <c r="H33" s="3" t="inlineStr">
        <is>
          <t>GALLERY</t>
        </is>
      </c>
      <c r="I33" s="3" t="inlineStr">
        <is>
          <t>DIRECT_IMAGE_DOWNLOAD_AND_SOURCE_ROW_REVIEW</t>
        </is>
      </c>
      <c r="J33" s="3" t="inlineStr">
        <is>
          <t>2026-09-07T21:44:56+07:00</t>
        </is>
      </c>
      <c r="K33" s="3" t="inlineStr">
        <is>
          <t>Direct QA opened downloaded image 188_04; source SHA 82D08ED974694A5AE83601A42A9EAD30E75BA471FA67537A9B6996296A80AD73. Submitted observation reviewed against gallery position.</t>
        </is>
      </c>
      <c r="L33" s="3" t="inlineStr">
        <is>
          <t>Detail, feature panel or lifestyle image connected to black baseball glove bedding with name and number.</t>
        </is>
      </c>
      <c r="M33" s="3" t="inlineStr">
        <is>
          <t>UNKNOWN</t>
        </is>
      </c>
      <c r="N33" s="3" t="inlineStr">
        <is>
          <t>SET</t>
        </is>
      </c>
      <c r="O33" s="3" t="inlineStr">
        <is>
          <t>Fabric or high-density weaving image for Black Baseball Glove Bedding with Name and Number</t>
        </is>
      </c>
      <c r="P33" s="3" t="inlineStr">
        <is>
          <t>FULL</t>
        </is>
      </c>
      <c r="Q33" s="3" t="inlineStr">
        <is>
          <t>PARTIAL</t>
        </is>
      </c>
      <c r="R33" s="3" t="inlineStr">
        <is>
          <t>FULL</t>
        </is>
      </c>
      <c r="S33" s="3" t="inlineStr">
        <is>
          <t>FULL</t>
        </is>
      </c>
      <c r="T33" s="7">
        <f>IF(P33="FULL",40,IF(P33="PARTIAL",40/2,0))+IF(Q33="FULL",30,IF(Q33="PARTIAL",30/2,0))+IF(R33="FULL",20,IF(R33="PARTIAL",20/2,0))+IF(S33="FULL",10,IF(S33="PARTIAL",10/2,0))</f>
        <v/>
      </c>
      <c r="U33" s="7">
        <f>IF(P33="NOT_CHECKED",0,40)+IF(Q33="NOT_CHECKED",0,30)+IF(R33="NOT_CHECKED",0,20)+IF(S33="NOT_CHECKED",0,10)</f>
        <v/>
      </c>
      <c r="V33" s="7">
        <f>IF(U33=100,T33,"")</f>
        <v/>
      </c>
      <c r="W33" s="7">
        <f>T33</f>
        <v/>
      </c>
      <c r="X33" s="7">
        <f>T33+(100-U33)</f>
        <v/>
      </c>
      <c r="Y33" s="3" t="inlineStr">
        <is>
          <t>ISSUE-0056</t>
        </is>
      </c>
      <c r="Z33" s="3" t="inlineStr">
        <is>
          <t>D:\Shopify_Workspace\jeminise_seo\seo_runs\jeminise.com\20260906_234129\qa\20260907_213200\images\188_04.jpg; seo_runs\jeminise.com\20260906_234129\evidence\images\188_personalized-baseball-bedding-full-size-flag-custom-name-d-design-13\image_04_47934359208135.jpg; seo_runs\jeminise.com\20260906_234129\evidence\contact_sheets\188_personalized-baseball-bedding-full-size-flag-custom-name-d-design-13.jpg</t>
        </is>
      </c>
    </row>
    <row r="34" ht="66" customHeight="1">
      <c r="A34" s="2" t="inlineStr">
        <is>
          <t>jeminise.com+personalized-baseball-bedding-full-size-flag-custom-name-d-design-14</t>
        </is>
      </c>
      <c r="B34" s="2" t="inlineStr">
        <is>
          <t>img_2fdff9713f927d1e</t>
        </is>
      </c>
      <c r="C34" s="4" t="inlineStr">
        <is>
          <t>https://cdn.shopify.com/s/files/1/0792/5098/1063/files/ee03510fe9336bb706be4887685f8efc23f52558e7f8c421b81f75897fd38d63.jpg?v=1787242298</t>
        </is>
      </c>
      <c r="D34" s="4" t="inlineStr">
        <is>
          <t>https://cdn.shopify.com/s/files/1/0792/5098/1063/files/ee03510fe9336bb706be4887685f8efc23f52558e7f8c421b81f75897fd38d63.jpg?v=1787242298</t>
        </is>
      </c>
      <c r="E34" s="2" t="inlineStr">
        <is>
          <t>47934359929031</t>
        </is>
      </c>
      <c r="F34" s="2" t="inlineStr">
        <is>
          <t>47934359929031</t>
        </is>
      </c>
      <c r="G34" s="2" t="inlineStr"/>
      <c r="H34" s="2" t="inlineStr">
        <is>
          <t>GALLERY</t>
        </is>
      </c>
      <c r="I34" s="2" t="inlineStr">
        <is>
          <t>DIRECT_IMAGE_DOWNLOAD_AND_SOURCE_ROW_REVIEW</t>
        </is>
      </c>
      <c r="J34" s="2" t="inlineStr">
        <is>
          <t>2026-09-07T21:44:56+07:00</t>
        </is>
      </c>
      <c r="K34" s="2" t="inlineStr">
        <is>
          <t>Direct QA opened downloaded image 189_01; source SHA CE66870908CB01E667EB49E410DCF427502A52C945EBD188936B12290FB04578. Submitted observation reviewed against gallery position.</t>
        </is>
      </c>
      <c r="L34" s="2" t="inlineStr">
        <is>
          <t>Main product mockup showing blue striped baseball bedding with name on ball.</t>
        </is>
      </c>
      <c r="M34" s="2" t="inlineStr">
        <is>
          <t>UNKNOWN</t>
        </is>
      </c>
      <c r="N34" s="2" t="inlineStr">
        <is>
          <t>SET</t>
        </is>
      </c>
      <c r="O34" s="2" t="inlineStr">
        <is>
          <t>Blue Striped Baseball Bedding with Custom Name displayed in a main product mockup</t>
        </is>
      </c>
      <c r="P34" s="2" t="inlineStr">
        <is>
          <t>FULL</t>
        </is>
      </c>
      <c r="Q34" s="2" t="inlineStr">
        <is>
          <t>FULL</t>
        </is>
      </c>
      <c r="R34" s="2" t="inlineStr">
        <is>
          <t>PARTIAL</t>
        </is>
      </c>
      <c r="S34" s="2" t="inlineStr">
        <is>
          <t>FULL</t>
        </is>
      </c>
      <c r="T34" s="5">
        <f>IF(P34="FULL",40,IF(P34="PARTIAL",40/2,0))+IF(Q34="FULL",30,IF(Q34="PARTIAL",30/2,0))+IF(R34="FULL",20,IF(R34="PARTIAL",20/2,0))+IF(S34="FULL",10,IF(S34="PARTIAL",10/2,0))</f>
        <v/>
      </c>
      <c r="U34" s="5">
        <f>IF(P34="NOT_CHECKED",0,40)+IF(Q34="NOT_CHECKED",0,30)+IF(R34="NOT_CHECKED",0,20)+IF(S34="NOT_CHECKED",0,10)</f>
        <v/>
      </c>
      <c r="V34" s="5">
        <f>IF(U34=100,T34,"")</f>
        <v/>
      </c>
      <c r="W34" s="5">
        <f>T34</f>
        <v/>
      </c>
      <c r="X34" s="5">
        <f>T34+(100-U34)</f>
        <v/>
      </c>
      <c r="Y34" s="2" t="inlineStr">
        <is>
          <t>ISSUE-0061</t>
        </is>
      </c>
      <c r="Z34" s="2" t="inlineStr">
        <is>
          <t>D:\Shopify_Workspace\jeminise_seo\seo_runs\jeminise.com\20260906_234129\qa\20260907_213200\images\189_01.jpg; seo_runs\jeminise.com\20260906_234129\evidence\images\189_personalized-baseball-bedding-full-size-flag-custom-name-d-design-14\image_01_47934359929031.jpg; seo_runs\jeminise.com\20260906_234129\evidence\contact_sheets\189_personalized-baseball-bedding-full-size-flag-custom-name-d-design-14.jpg</t>
        </is>
      </c>
    </row>
    <row r="35" ht="66" customHeight="1">
      <c r="A35" s="3" t="inlineStr">
        <is>
          <t>jeminise.com+personalized-baseball-bedding-full-size-flag-custom-name-d-design-14</t>
        </is>
      </c>
      <c r="B35" s="3" t="inlineStr">
        <is>
          <t>img_73b5e9a656bdcb70</t>
        </is>
      </c>
      <c r="C35" s="4" t="inlineStr">
        <is>
          <t>https://cdn.shopify.com/s/files/1/0792/5098/1063/files/b495d9b37eafdceff5caf3643256f7b3a83de826d49a14bdc531b13424296018_578eb1ab-2971-4795-8ffe-02e170b2d3fd.jpg?v=1787242298</t>
        </is>
      </c>
      <c r="D35" s="4" t="inlineStr">
        <is>
          <t>https://cdn.shopify.com/s/files/1/0792/5098/1063/files/b495d9b37eafdceff5caf3643256f7b3a83de826d49a14bdc531b13424296018_578eb1ab-2971-4795-8ffe-02e170b2d3fd.jpg?v=1787242298</t>
        </is>
      </c>
      <c r="E35" s="3" t="inlineStr">
        <is>
          <t>47934359961799</t>
        </is>
      </c>
      <c r="F35" s="3" t="inlineStr">
        <is>
          <t>47934359961799</t>
        </is>
      </c>
      <c r="G35" s="3" t="inlineStr"/>
      <c r="H35" s="3" t="inlineStr">
        <is>
          <t>GALLERY</t>
        </is>
      </c>
      <c r="I35" s="3" t="inlineStr">
        <is>
          <t>DIRECT_IMAGE_DOWNLOAD_AND_SOURCE_ROW_REVIEW</t>
        </is>
      </c>
      <c r="J35" s="3" t="inlineStr">
        <is>
          <t>2026-09-07T21:44:56+07:00</t>
        </is>
      </c>
      <c r="K35" s="3" t="inlineStr">
        <is>
          <t>Direct QA opened downloaded image 189_02; source SHA 82D08ED974694A5AE83601A42A9EAD30E75BA471FA67537A9B6996296A80AD73. Submitted observation reviewed against gallery position.</t>
        </is>
      </c>
      <c r="L35" s="3" t="inlineStr">
        <is>
          <t>Secondary flat, close-up or bedroom mockup showing blue striped baseball bedding with name on ball.</t>
        </is>
      </c>
      <c r="M35" s="3" t="inlineStr">
        <is>
          <t>UNKNOWN</t>
        </is>
      </c>
      <c r="N35" s="3" t="inlineStr">
        <is>
          <t>SET</t>
        </is>
      </c>
      <c r="O35" s="3" t="inlineStr">
        <is>
          <t>Feature or care image for Blue Striped Baseball Bedding with Custom Name</t>
        </is>
      </c>
      <c r="P35" s="3" t="inlineStr">
        <is>
          <t>FULL</t>
        </is>
      </c>
      <c r="Q35" s="3" t="inlineStr">
        <is>
          <t>FULL</t>
        </is>
      </c>
      <c r="R35" s="3" t="inlineStr">
        <is>
          <t>FULL</t>
        </is>
      </c>
      <c r="S35" s="3" t="inlineStr">
        <is>
          <t>FULL</t>
        </is>
      </c>
      <c r="T35" s="7">
        <f>IF(P35="FULL",40,IF(P35="PARTIAL",40/2,0))+IF(Q35="FULL",30,IF(Q35="PARTIAL",30/2,0))+IF(R35="FULL",20,IF(R35="PARTIAL",20/2,0))+IF(S35="FULL",10,IF(S35="PARTIAL",10/2,0))</f>
        <v/>
      </c>
      <c r="U35" s="7">
        <f>IF(P35="NOT_CHECKED",0,40)+IF(Q35="NOT_CHECKED",0,30)+IF(R35="NOT_CHECKED",0,20)+IF(S35="NOT_CHECKED",0,10)</f>
        <v/>
      </c>
      <c r="V35" s="7">
        <f>IF(U35=100,T35,"")</f>
        <v/>
      </c>
      <c r="W35" s="7">
        <f>T35</f>
        <v/>
      </c>
      <c r="X35" s="7">
        <f>T35+(100-U35)</f>
        <v/>
      </c>
      <c r="Y35" s="3" t="inlineStr"/>
      <c r="Z35" s="3" t="inlineStr">
        <is>
          <t>D:\Shopify_Workspace\jeminise_seo\seo_runs\jeminise.com\20260906_234129\qa\20260907_213200\images\189_02.jpg; seo_runs\jeminise.com\20260906_234129\evidence\images\189_personalized-baseball-bedding-full-size-flag-custom-name-d-design-14\image_02_47934359961799.jpg; seo_runs\jeminise.com\20260906_234129\evidence\contact_sheets\189_personalized-baseball-bedding-full-size-flag-custom-name-d-design-14.jpg</t>
        </is>
      </c>
    </row>
    <row r="36" ht="66" customHeight="1">
      <c r="A36" s="2" t="inlineStr">
        <is>
          <t>jeminise.com+personalized-baseball-bedding-full-size-flag-custom-name-d-design-14</t>
        </is>
      </c>
      <c r="B36" s="2" t="inlineStr">
        <is>
          <t>img_0d9b9f16843e6f5e</t>
        </is>
      </c>
      <c r="C36" s="4" t="inlineStr">
        <is>
          <t>https://cdn.shopify.com/s/files/1/0792/5098/1063/files/d51e3360a3e4b984af63b01c4b53d517484ca3d6cb1beeea158bcf59acab9ed4_7ada0386-ab38-4643-9b5f-2f7b2137dfb7.jpg?v=1787242298</t>
        </is>
      </c>
      <c r="D36" s="4" t="inlineStr">
        <is>
          <t>https://cdn.shopify.com/s/files/1/0792/5098/1063/files/d51e3360a3e4b984af63b01c4b53d517484ca3d6cb1beeea158bcf59acab9ed4_7ada0386-ab38-4643-9b5f-2f7b2137dfb7.jpg?v=1787242298</t>
        </is>
      </c>
      <c r="E36" s="2" t="inlineStr">
        <is>
          <t>47934359994567</t>
        </is>
      </c>
      <c r="F36" s="2" t="inlineStr">
        <is>
          <t>47934359994567</t>
        </is>
      </c>
      <c r="G36" s="2" t="inlineStr"/>
      <c r="H36" s="2" t="inlineStr">
        <is>
          <t>GALLERY</t>
        </is>
      </c>
      <c r="I36" s="2" t="inlineStr">
        <is>
          <t>DIRECT_IMAGE_DOWNLOAD_AND_SOURCE_ROW_REVIEW</t>
        </is>
      </c>
      <c r="J36" s="2" t="inlineStr">
        <is>
          <t>2026-09-07T21:44:56+07:00</t>
        </is>
      </c>
      <c r="K36" s="2" t="inlineStr">
        <is>
          <t>Direct QA opened downloaded image 189_03; source SHA 232246736D0E74D62007D0E6971A2E140EDFD432E8573485134C1F85951D9CC3. Submitted observation reviewed against gallery position.</t>
        </is>
      </c>
      <c r="L36" s="2" t="inlineStr">
        <is>
          <t>Bedding type, feature, lifestyle or material image for blue striped baseball bedding with name on ball.</t>
        </is>
      </c>
      <c r="M36" s="2" t="inlineStr">
        <is>
          <t>UNKNOWN</t>
        </is>
      </c>
      <c r="N36" s="2" t="inlineStr">
        <is>
          <t>SET</t>
        </is>
      </c>
      <c r="O36" s="2" t="inlineStr">
        <is>
          <t>Product detail or closure image for Blue Striped Baseball Bedding with Custom Name</t>
        </is>
      </c>
      <c r="P36" s="2" t="inlineStr">
        <is>
          <t>FULL</t>
        </is>
      </c>
      <c r="Q36" s="2" t="inlineStr">
        <is>
          <t>PARTIAL</t>
        </is>
      </c>
      <c r="R36" s="2" t="inlineStr">
        <is>
          <t>FULL</t>
        </is>
      </c>
      <c r="S36" s="2" t="inlineStr">
        <is>
          <t>FULL</t>
        </is>
      </c>
      <c r="T36" s="5">
        <f>IF(P36="FULL",40,IF(P36="PARTIAL",40/2,0))+IF(Q36="FULL",30,IF(Q36="PARTIAL",30/2,0))+IF(R36="FULL",20,IF(R36="PARTIAL",20/2,0))+IF(S36="FULL",10,IF(S36="PARTIAL",10/2,0))</f>
        <v/>
      </c>
      <c r="U36" s="5">
        <f>IF(P36="NOT_CHECKED",0,40)+IF(Q36="NOT_CHECKED",0,30)+IF(R36="NOT_CHECKED",0,20)+IF(S36="NOT_CHECKED",0,10)</f>
        <v/>
      </c>
      <c r="V36" s="5">
        <f>IF(U36=100,T36,"")</f>
        <v/>
      </c>
      <c r="W36" s="5">
        <f>T36</f>
        <v/>
      </c>
      <c r="X36" s="5">
        <f>T36+(100-U36)</f>
        <v/>
      </c>
      <c r="Y36" s="2" t="inlineStr">
        <is>
          <t>ISSUE-0062</t>
        </is>
      </c>
      <c r="Z36" s="2" t="inlineStr">
        <is>
          <t>D:\Shopify_Workspace\jeminise_seo\seo_runs\jeminise.com\20260906_234129\qa\20260907_213200\images\189_03.jpg; seo_runs\jeminise.com\20260906_234129\evidence\images\189_personalized-baseball-bedding-full-size-flag-custom-name-d-design-14\image_03_47934359994567.jpg; seo_runs\jeminise.com\20260906_234129\evidence\contact_sheets\189_personalized-baseball-bedding-full-size-flag-custom-name-d-design-14.jpg</t>
        </is>
      </c>
    </row>
    <row r="37" ht="66" customHeight="1">
      <c r="A37" s="3" t="inlineStr">
        <is>
          <t>jeminise.com+personalized-baseball-bedding-full-size-flag-custom-name-d-design-14</t>
        </is>
      </c>
      <c r="B37" s="3" t="inlineStr">
        <is>
          <t>img_4a8d76453f518d1b</t>
        </is>
      </c>
      <c r="C37" s="4" t="inlineStr">
        <is>
          <t>https://cdn.shopify.com/s/files/1/0792/5098/1063/files/ef81c56fe7d5f4f60045bfbd0778e14ad11ce2a6824c23132d2b864ef763fe85_de7307cd-6f52-4591-a335-3b64c709339f.jpg?v=1787242298</t>
        </is>
      </c>
      <c r="D37" s="4" t="inlineStr">
        <is>
          <t>https://cdn.shopify.com/s/files/1/0792/5098/1063/files/ef81c56fe7d5f4f60045bfbd0778e14ad11ce2a6824c23132d2b864ef763fe85_de7307cd-6f52-4591-a335-3b64c709339f.jpg?v=1787242298</t>
        </is>
      </c>
      <c r="E37" s="3" t="inlineStr">
        <is>
          <t>47934360027335</t>
        </is>
      </c>
      <c r="F37" s="3" t="inlineStr">
        <is>
          <t>47934360027335</t>
        </is>
      </c>
      <c r="G37" s="3" t="inlineStr"/>
      <c r="H37" s="3" t="inlineStr">
        <is>
          <t>GALLERY</t>
        </is>
      </c>
      <c r="I37" s="3" t="inlineStr">
        <is>
          <t>DIRECT_IMAGE_DOWNLOAD_AND_SOURCE_ROW_REVIEW</t>
        </is>
      </c>
      <c r="J37" s="3" t="inlineStr">
        <is>
          <t>2026-09-07T21:44:56+07:00</t>
        </is>
      </c>
      <c r="K37" s="3" t="inlineStr">
        <is>
          <t>Direct QA opened downloaded image 189_04; source SHA 946D5B32E02CA70029866292D0775686EA770A101CD6D8BC2C108F506AB44BBE. Submitted observation reviewed against gallery position.</t>
        </is>
      </c>
      <c r="L37" s="3" t="inlineStr">
        <is>
          <t>Detail, feature panel or lifestyle image connected to blue striped baseball bedding with name on ball.</t>
        </is>
      </c>
      <c r="M37" s="3" t="inlineStr">
        <is>
          <t>UNKNOWN</t>
        </is>
      </c>
      <c r="N37" s="3" t="inlineStr">
        <is>
          <t>SET</t>
        </is>
      </c>
      <c r="O37" s="3" t="inlineStr">
        <is>
          <t>Fabric or high-density weaving image for Blue Striped Baseball Bedding with Custom Name</t>
        </is>
      </c>
      <c r="P37" s="3" t="inlineStr">
        <is>
          <t>FULL</t>
        </is>
      </c>
      <c r="Q37" s="3" t="inlineStr">
        <is>
          <t>PARTIAL</t>
        </is>
      </c>
      <c r="R37" s="3" t="inlineStr">
        <is>
          <t>FULL</t>
        </is>
      </c>
      <c r="S37" s="3" t="inlineStr">
        <is>
          <t>FULL</t>
        </is>
      </c>
      <c r="T37" s="7">
        <f>IF(P37="FULL",40,IF(P37="PARTIAL",40/2,0))+IF(Q37="FULL",30,IF(Q37="PARTIAL",30/2,0))+IF(R37="FULL",20,IF(R37="PARTIAL",20/2,0))+IF(S37="FULL",10,IF(S37="PARTIAL",10/2,0))</f>
        <v/>
      </c>
      <c r="U37" s="7">
        <f>IF(P37="NOT_CHECKED",0,40)+IF(Q37="NOT_CHECKED",0,30)+IF(R37="NOT_CHECKED",0,20)+IF(S37="NOT_CHECKED",0,10)</f>
        <v/>
      </c>
      <c r="V37" s="7">
        <f>IF(U37=100,T37,"")</f>
        <v/>
      </c>
      <c r="W37" s="7">
        <f>T37</f>
        <v/>
      </c>
      <c r="X37" s="7">
        <f>T37+(100-U37)</f>
        <v/>
      </c>
      <c r="Y37" s="3" t="inlineStr">
        <is>
          <t>ISSUE-0063</t>
        </is>
      </c>
      <c r="Z37" s="3" t="inlineStr">
        <is>
          <t>D:\Shopify_Workspace\jeminise_seo\seo_runs\jeminise.com\20260906_234129\qa\20260907_213200\images\189_04.jpg; seo_runs\jeminise.com\20260906_234129\evidence\images\189_personalized-baseball-bedding-full-size-flag-custom-name-d-design-14\image_04_47934360027335.jpg; seo_runs\jeminise.com\20260906_234129\evidence\contact_sheets\189_personalized-baseball-bedding-full-size-flag-custom-name-d-design-14.jpg</t>
        </is>
      </c>
    </row>
    <row r="38" ht="66" customHeight="1">
      <c r="A38" s="2" t="inlineStr">
        <is>
          <t>jeminise.com+personalized-baseball-bedding-full-size-flag-custom-name-d-design-15</t>
        </is>
      </c>
      <c r="B38" s="2" t="inlineStr">
        <is>
          <t>img_a0e38328a5c4639e</t>
        </is>
      </c>
      <c r="C38" s="4" t="inlineStr">
        <is>
          <t>https://cdn.shopify.com/s/files/1/0792/5098/1063/files/c348d936be646a1acfb4ca9b0e001f0668ce4f86c27fb4d7641115a01f9bb8ef.jpg?v=1787242300</t>
        </is>
      </c>
      <c r="D38" s="4" t="inlineStr">
        <is>
          <t>https://cdn.shopify.com/s/files/1/0792/5098/1063/files/c348d936be646a1acfb4ca9b0e001f0668ce4f86c27fb4d7641115a01f9bb8ef.jpg?v=1787242300</t>
        </is>
      </c>
      <c r="E38" s="2" t="inlineStr">
        <is>
          <t>47934360191175</t>
        </is>
      </c>
      <c r="F38" s="2" t="inlineStr">
        <is>
          <t>47934360191175</t>
        </is>
      </c>
      <c r="G38" s="2" t="inlineStr"/>
      <c r="H38" s="2" t="inlineStr">
        <is>
          <t>GALLERY</t>
        </is>
      </c>
      <c r="I38" s="2" t="inlineStr">
        <is>
          <t>DIRECT_IMAGE_DOWNLOAD_AND_SOURCE_ROW_REVIEW</t>
        </is>
      </c>
      <c r="J38" s="2" t="inlineStr">
        <is>
          <t>2026-09-07T21:44:56+07:00</t>
        </is>
      </c>
      <c r="K38" s="2" t="inlineStr">
        <is>
          <t>Direct QA opened downloaded image 190_01; source SHA 5748F2D0E7659EC1034F27BFFA5C17F78D2D876E6458DB0DBC8C11F4C7678791. Submitted observation reviewed against gallery position.</t>
        </is>
      </c>
      <c r="L38" s="2" t="inlineStr">
        <is>
          <t>Main product mockup showing galaxy baseball bedding with custom name and number.</t>
        </is>
      </c>
      <c r="M38" s="2" t="inlineStr">
        <is>
          <t>UNKNOWN</t>
        </is>
      </c>
      <c r="N38" s="2" t="inlineStr">
        <is>
          <t>SET</t>
        </is>
      </c>
      <c r="O38" s="2" t="inlineStr">
        <is>
          <t>Galaxy Baseball Bedding with Custom Name and Number displayed in a main product mockup</t>
        </is>
      </c>
      <c r="P38" s="2" t="inlineStr">
        <is>
          <t>FULL</t>
        </is>
      </c>
      <c r="Q38" s="2" t="inlineStr">
        <is>
          <t>FULL</t>
        </is>
      </c>
      <c r="R38" s="2" t="inlineStr">
        <is>
          <t>PARTIAL</t>
        </is>
      </c>
      <c r="S38" s="2" t="inlineStr">
        <is>
          <t>FULL</t>
        </is>
      </c>
      <c r="T38" s="5">
        <f>IF(P38="FULL",40,IF(P38="PARTIAL",40/2,0))+IF(Q38="FULL",30,IF(Q38="PARTIAL",30/2,0))+IF(R38="FULL",20,IF(R38="PARTIAL",20/2,0))+IF(S38="FULL",10,IF(S38="PARTIAL",10/2,0))</f>
        <v/>
      </c>
      <c r="U38" s="5">
        <f>IF(P38="NOT_CHECKED",0,40)+IF(Q38="NOT_CHECKED",0,30)+IF(R38="NOT_CHECKED",0,20)+IF(S38="NOT_CHECKED",0,10)</f>
        <v/>
      </c>
      <c r="V38" s="5">
        <f>IF(U38=100,T38,"")</f>
        <v/>
      </c>
      <c r="W38" s="5">
        <f>T38</f>
        <v/>
      </c>
      <c r="X38" s="5">
        <f>T38+(100-U38)</f>
        <v/>
      </c>
      <c r="Y38" s="2" t="inlineStr">
        <is>
          <t>ISSUE-0068</t>
        </is>
      </c>
      <c r="Z38" s="2" t="inlineStr">
        <is>
          <t>D:\Shopify_Workspace\jeminise_seo\seo_runs\jeminise.com\20260906_234129\qa\20260907_213200\images\190_01.jpg; seo_runs\jeminise.com\20260906_234129\evidence\images\190_personalized-baseball-bedding-full-size-flag-custom-name-d-design-15\image_01_47934360191175.jpg; seo_runs\jeminise.com\20260906_234129\evidence\contact_sheets\190_personalized-baseball-bedding-full-size-flag-custom-name-d-design-15.jpg</t>
        </is>
      </c>
    </row>
    <row r="39" ht="66" customHeight="1">
      <c r="A39" s="3" t="inlineStr">
        <is>
          <t>jeminise.com+personalized-baseball-bedding-full-size-flag-custom-name-d-design-15</t>
        </is>
      </c>
      <c r="B39" s="3" t="inlineStr">
        <is>
          <t>img_c51ad75b9653b888</t>
        </is>
      </c>
      <c r="C39" s="4" t="inlineStr">
        <is>
          <t>https://cdn.shopify.com/s/files/1/0792/5098/1063/files/ef81c56fe7d5f4f60045bfbd0778e14ad11ce2a6824c23132d2b864ef763fe85_6d0a4f67-282f-4c98-8661-cc3bc21003a9.jpg?v=1787242300</t>
        </is>
      </c>
      <c r="D39" s="4" t="inlineStr">
        <is>
          <t>https://cdn.shopify.com/s/files/1/0792/5098/1063/files/ef81c56fe7d5f4f60045bfbd0778e14ad11ce2a6824c23132d2b864ef763fe85_6d0a4f67-282f-4c98-8661-cc3bc21003a9.jpg?v=1787242300</t>
        </is>
      </c>
      <c r="E39" s="3" t="inlineStr">
        <is>
          <t>47934360223943</t>
        </is>
      </c>
      <c r="F39" s="3" t="inlineStr">
        <is>
          <t>47934360223943</t>
        </is>
      </c>
      <c r="G39" s="3" t="inlineStr"/>
      <c r="H39" s="3" t="inlineStr">
        <is>
          <t>GALLERY</t>
        </is>
      </c>
      <c r="I39" s="3" t="inlineStr">
        <is>
          <t>DIRECT_IMAGE_DOWNLOAD_AND_SOURCE_ROW_REVIEW</t>
        </is>
      </c>
      <c r="J39" s="3" t="inlineStr">
        <is>
          <t>2026-09-07T21:44:56+07:00</t>
        </is>
      </c>
      <c r="K39" s="3" t="inlineStr">
        <is>
          <t>Direct QA opened downloaded image 190_02; source SHA 946D5B32E02CA70029866292D0775686EA770A101CD6D8BC2C108F506AB44BBE. Submitted observation reviewed against gallery position.</t>
        </is>
      </c>
      <c r="L39" s="3" t="inlineStr">
        <is>
          <t>Secondary flat, close-up or bedroom mockup showing galaxy baseball bedding with custom name and number.</t>
        </is>
      </c>
      <c r="M39" s="3" t="inlineStr">
        <is>
          <t>UNKNOWN</t>
        </is>
      </c>
      <c r="N39" s="3" t="inlineStr">
        <is>
          <t>SET</t>
        </is>
      </c>
      <c r="O39" s="3" t="inlineStr">
        <is>
          <t>Feature or care image for Galaxy Baseball Bedding with Custom Name and Number</t>
        </is>
      </c>
      <c r="P39" s="3" t="inlineStr">
        <is>
          <t>FULL</t>
        </is>
      </c>
      <c r="Q39" s="3" t="inlineStr">
        <is>
          <t>FULL</t>
        </is>
      </c>
      <c r="R39" s="3" t="inlineStr">
        <is>
          <t>FULL</t>
        </is>
      </c>
      <c r="S39" s="3" t="inlineStr">
        <is>
          <t>FULL</t>
        </is>
      </c>
      <c r="T39" s="7">
        <f>IF(P39="FULL",40,IF(P39="PARTIAL",40/2,0))+IF(Q39="FULL",30,IF(Q39="PARTIAL",30/2,0))+IF(R39="FULL",20,IF(R39="PARTIAL",20/2,0))+IF(S39="FULL",10,IF(S39="PARTIAL",10/2,0))</f>
        <v/>
      </c>
      <c r="U39" s="7">
        <f>IF(P39="NOT_CHECKED",0,40)+IF(Q39="NOT_CHECKED",0,30)+IF(R39="NOT_CHECKED",0,20)+IF(S39="NOT_CHECKED",0,10)</f>
        <v/>
      </c>
      <c r="V39" s="7">
        <f>IF(U39=100,T39,"")</f>
        <v/>
      </c>
      <c r="W39" s="7">
        <f>T39</f>
        <v/>
      </c>
      <c r="X39" s="7">
        <f>T39+(100-U39)</f>
        <v/>
      </c>
      <c r="Y39" s="3" t="inlineStr"/>
      <c r="Z39" s="3" t="inlineStr">
        <is>
          <t>D:\Shopify_Workspace\jeminise_seo\seo_runs\jeminise.com\20260906_234129\qa\20260907_213200\images\190_02.jpg; seo_runs\jeminise.com\20260906_234129\evidence\images\190_personalized-baseball-bedding-full-size-flag-custom-name-d-design-15\image_02_47934360223943.jpg; seo_runs\jeminise.com\20260906_234129\evidence\contact_sheets\190_personalized-baseball-bedding-full-size-flag-custom-name-d-design-15.jpg</t>
        </is>
      </c>
    </row>
    <row r="40" ht="66" customHeight="1">
      <c r="A40" s="2" t="inlineStr">
        <is>
          <t>jeminise.com+personalized-baseball-bedding-full-size-flag-custom-name-d-design-15</t>
        </is>
      </c>
      <c r="B40" s="2" t="inlineStr">
        <is>
          <t>img_e6639d2f42644369</t>
        </is>
      </c>
      <c r="C40" s="4" t="inlineStr">
        <is>
          <t>https://cdn.shopify.com/s/files/1/0792/5098/1063/files/b495d9b37eafdceff5caf3643256f7b3a83de826d49a14bdc531b13424296018_9a9a0e38-5509-44d6-9f5a-daa2a82ea3cf.jpg?v=1787242300</t>
        </is>
      </c>
      <c r="D40" s="4" t="inlineStr">
        <is>
          <t>https://cdn.shopify.com/s/files/1/0792/5098/1063/files/b495d9b37eafdceff5caf3643256f7b3a83de826d49a14bdc531b13424296018_9a9a0e38-5509-44d6-9f5a-daa2a82ea3cf.jpg?v=1787242300</t>
        </is>
      </c>
      <c r="E40" s="2" t="inlineStr">
        <is>
          <t>47934360256711</t>
        </is>
      </c>
      <c r="F40" s="2" t="inlineStr">
        <is>
          <t>47934360256711</t>
        </is>
      </c>
      <c r="G40" s="2" t="inlineStr"/>
      <c r="H40" s="2" t="inlineStr">
        <is>
          <t>GALLERY</t>
        </is>
      </c>
      <c r="I40" s="2" t="inlineStr">
        <is>
          <t>DIRECT_IMAGE_DOWNLOAD_AND_SOURCE_ROW_REVIEW</t>
        </is>
      </c>
      <c r="J40" s="2" t="inlineStr">
        <is>
          <t>2026-09-07T21:44:56+07:00</t>
        </is>
      </c>
      <c r="K40" s="2" t="inlineStr">
        <is>
          <t>Direct QA opened downloaded image 190_03; source SHA 82D08ED974694A5AE83601A42A9EAD30E75BA471FA67537A9B6996296A80AD73. Submitted observation reviewed against gallery position.</t>
        </is>
      </c>
      <c r="L40" s="2" t="inlineStr">
        <is>
          <t>Bedding type, feature, lifestyle or material image for galaxy baseball bedding with custom name and number.</t>
        </is>
      </c>
      <c r="M40" s="2" t="inlineStr">
        <is>
          <t>UNKNOWN</t>
        </is>
      </c>
      <c r="N40" s="2" t="inlineStr">
        <is>
          <t>SET</t>
        </is>
      </c>
      <c r="O40" s="2" t="inlineStr">
        <is>
          <t>Product detail or closure image for Galaxy Baseball Bedding with Custom Name and Number</t>
        </is>
      </c>
      <c r="P40" s="2" t="inlineStr">
        <is>
          <t>FULL</t>
        </is>
      </c>
      <c r="Q40" s="2" t="inlineStr">
        <is>
          <t>PARTIAL</t>
        </is>
      </c>
      <c r="R40" s="2" t="inlineStr">
        <is>
          <t>FULL</t>
        </is>
      </c>
      <c r="S40" s="2" t="inlineStr">
        <is>
          <t>FULL</t>
        </is>
      </c>
      <c r="T40" s="5">
        <f>IF(P40="FULL",40,IF(P40="PARTIAL",40/2,0))+IF(Q40="FULL",30,IF(Q40="PARTIAL",30/2,0))+IF(R40="FULL",20,IF(R40="PARTIAL",20/2,0))+IF(S40="FULL",10,IF(S40="PARTIAL",10/2,0))</f>
        <v/>
      </c>
      <c r="U40" s="5">
        <f>IF(P40="NOT_CHECKED",0,40)+IF(Q40="NOT_CHECKED",0,30)+IF(R40="NOT_CHECKED",0,20)+IF(S40="NOT_CHECKED",0,10)</f>
        <v/>
      </c>
      <c r="V40" s="5">
        <f>IF(U40=100,T40,"")</f>
        <v/>
      </c>
      <c r="W40" s="5">
        <f>T40</f>
        <v/>
      </c>
      <c r="X40" s="5">
        <f>T40+(100-U40)</f>
        <v/>
      </c>
      <c r="Y40" s="2" t="inlineStr">
        <is>
          <t>ISSUE-0069</t>
        </is>
      </c>
      <c r="Z40" s="2" t="inlineStr">
        <is>
          <t>D:\Shopify_Workspace\jeminise_seo\seo_runs\jeminise.com\20260906_234129\qa\20260907_213200\images\190_03.jpg; seo_runs\jeminise.com\20260906_234129\evidence\images\190_personalized-baseball-bedding-full-size-flag-custom-name-d-design-15\image_03_47934360256711.jpg; seo_runs\jeminise.com\20260906_234129\evidence\contact_sheets\190_personalized-baseball-bedding-full-size-flag-custom-name-d-design-15.jpg</t>
        </is>
      </c>
    </row>
    <row r="41" ht="66" customHeight="1">
      <c r="A41" s="3" t="inlineStr">
        <is>
          <t>jeminise.com+personalized-baseball-bedding-full-size-flag-custom-name-d-design-15</t>
        </is>
      </c>
      <c r="B41" s="3" t="inlineStr">
        <is>
          <t>img_d6ec23a44ed7116e</t>
        </is>
      </c>
      <c r="C41" s="4" t="inlineStr">
        <is>
          <t>https://cdn.shopify.com/s/files/1/0792/5098/1063/files/d51e3360a3e4b984af63b01c4b53d517484ca3d6cb1beeea158bcf59acab9ed4_abb774eb-d928-458c-83b5-1fb2af3ce77e.jpg?v=1787242300</t>
        </is>
      </c>
      <c r="D41" s="4" t="inlineStr">
        <is>
          <t>https://cdn.shopify.com/s/files/1/0792/5098/1063/files/d51e3360a3e4b984af63b01c4b53d517484ca3d6cb1beeea158bcf59acab9ed4_abb774eb-d928-458c-83b5-1fb2af3ce77e.jpg?v=1787242300</t>
        </is>
      </c>
      <c r="E41" s="3" t="inlineStr">
        <is>
          <t>47934360289479</t>
        </is>
      </c>
      <c r="F41" s="3" t="inlineStr">
        <is>
          <t>47934360289479</t>
        </is>
      </c>
      <c r="G41" s="3" t="inlineStr"/>
      <c r="H41" s="3" t="inlineStr">
        <is>
          <t>GALLERY</t>
        </is>
      </c>
      <c r="I41" s="3" t="inlineStr">
        <is>
          <t>DIRECT_IMAGE_DOWNLOAD_AND_SOURCE_ROW_REVIEW</t>
        </is>
      </c>
      <c r="J41" s="3" t="inlineStr">
        <is>
          <t>2026-09-07T21:44:56+07:00</t>
        </is>
      </c>
      <c r="K41" s="3" t="inlineStr">
        <is>
          <t>Direct QA opened downloaded image 190_04; source SHA 232246736D0E74D62007D0E6971A2E140EDFD432E8573485134C1F85951D9CC3. Submitted observation reviewed against gallery position.</t>
        </is>
      </c>
      <c r="L41" s="3" t="inlineStr">
        <is>
          <t>Detail, feature panel or lifestyle image connected to galaxy baseball bedding with custom name and number.</t>
        </is>
      </c>
      <c r="M41" s="3" t="inlineStr">
        <is>
          <t>UNKNOWN</t>
        </is>
      </c>
      <c r="N41" s="3" t="inlineStr">
        <is>
          <t>SET</t>
        </is>
      </c>
      <c r="O41" s="3" t="inlineStr">
        <is>
          <t>Fabric or high-density weaving image for Galaxy Baseball Bedding with Custom Name and Number</t>
        </is>
      </c>
      <c r="P41" s="3" t="inlineStr">
        <is>
          <t>FULL</t>
        </is>
      </c>
      <c r="Q41" s="3" t="inlineStr">
        <is>
          <t>PARTIAL</t>
        </is>
      </c>
      <c r="R41" s="3" t="inlineStr">
        <is>
          <t>FULL</t>
        </is>
      </c>
      <c r="S41" s="3" t="inlineStr">
        <is>
          <t>FULL</t>
        </is>
      </c>
      <c r="T41" s="7">
        <f>IF(P41="FULL",40,IF(P41="PARTIAL",40/2,0))+IF(Q41="FULL",30,IF(Q41="PARTIAL",30/2,0))+IF(R41="FULL",20,IF(R41="PARTIAL",20/2,0))+IF(S41="FULL",10,IF(S41="PARTIAL",10/2,0))</f>
        <v/>
      </c>
      <c r="U41" s="7">
        <f>IF(P41="NOT_CHECKED",0,40)+IF(Q41="NOT_CHECKED",0,30)+IF(R41="NOT_CHECKED",0,20)+IF(S41="NOT_CHECKED",0,10)</f>
        <v/>
      </c>
      <c r="V41" s="7">
        <f>IF(U41=100,T41,"")</f>
        <v/>
      </c>
      <c r="W41" s="7">
        <f>T41</f>
        <v/>
      </c>
      <c r="X41" s="7">
        <f>T41+(100-U41)</f>
        <v/>
      </c>
      <c r="Y41" s="3" t="inlineStr">
        <is>
          <t>ISSUE-0070</t>
        </is>
      </c>
      <c r="Z41" s="3" t="inlineStr">
        <is>
          <t>D:\Shopify_Workspace\jeminise_seo\seo_runs\jeminise.com\20260906_234129\qa\20260907_213200\images\190_04.jpg; seo_runs\jeminise.com\20260906_234129\evidence\images\190_personalized-baseball-bedding-full-size-flag-custom-name-d-design-15\image_04_47934360289479.jpg; seo_runs\jeminise.com\20260906_234129\evidence\contact_sheets\190_personalized-baseball-bedding-full-size-flag-custom-name-d-design-15.jpg</t>
        </is>
      </c>
    </row>
  </sheetData>
  <autoFilter ref="A1:Z41"/>
  <hyperlinks>
    <hyperlink xmlns:r="http://schemas.openxmlformats.org/officeDocument/2006/relationships" ref="C2" r:id="rId1"/>
    <hyperlink xmlns:r="http://schemas.openxmlformats.org/officeDocument/2006/relationships" ref="D2" r:id="rId2"/>
    <hyperlink xmlns:r="http://schemas.openxmlformats.org/officeDocument/2006/relationships" ref="C3" r:id="rId3"/>
    <hyperlink xmlns:r="http://schemas.openxmlformats.org/officeDocument/2006/relationships" ref="D3" r:id="rId4"/>
    <hyperlink xmlns:r="http://schemas.openxmlformats.org/officeDocument/2006/relationships" ref="C4" r:id="rId5"/>
    <hyperlink xmlns:r="http://schemas.openxmlformats.org/officeDocument/2006/relationships" ref="D4" r:id="rId6"/>
    <hyperlink xmlns:r="http://schemas.openxmlformats.org/officeDocument/2006/relationships" ref="C5" r:id="rId7"/>
    <hyperlink xmlns:r="http://schemas.openxmlformats.org/officeDocument/2006/relationships" ref="D5" r:id="rId8"/>
    <hyperlink xmlns:r="http://schemas.openxmlformats.org/officeDocument/2006/relationships" ref="C6" r:id="rId9"/>
    <hyperlink xmlns:r="http://schemas.openxmlformats.org/officeDocument/2006/relationships" ref="D6" r:id="rId10"/>
    <hyperlink xmlns:r="http://schemas.openxmlformats.org/officeDocument/2006/relationships" ref="C7" r:id="rId11"/>
    <hyperlink xmlns:r="http://schemas.openxmlformats.org/officeDocument/2006/relationships" ref="D7" r:id="rId12"/>
    <hyperlink xmlns:r="http://schemas.openxmlformats.org/officeDocument/2006/relationships" ref="C8" r:id="rId13"/>
    <hyperlink xmlns:r="http://schemas.openxmlformats.org/officeDocument/2006/relationships" ref="D8" r:id="rId14"/>
    <hyperlink xmlns:r="http://schemas.openxmlformats.org/officeDocument/2006/relationships" ref="C9" r:id="rId15"/>
    <hyperlink xmlns:r="http://schemas.openxmlformats.org/officeDocument/2006/relationships" ref="D9" r:id="rId16"/>
    <hyperlink xmlns:r="http://schemas.openxmlformats.org/officeDocument/2006/relationships" ref="C10" r:id="rId17"/>
    <hyperlink xmlns:r="http://schemas.openxmlformats.org/officeDocument/2006/relationships" ref="D10" r:id="rId18"/>
    <hyperlink xmlns:r="http://schemas.openxmlformats.org/officeDocument/2006/relationships" ref="C11" r:id="rId19"/>
    <hyperlink xmlns:r="http://schemas.openxmlformats.org/officeDocument/2006/relationships" ref="D11" r:id="rId20"/>
    <hyperlink xmlns:r="http://schemas.openxmlformats.org/officeDocument/2006/relationships" ref="C12" r:id="rId21"/>
    <hyperlink xmlns:r="http://schemas.openxmlformats.org/officeDocument/2006/relationships" ref="D12" r:id="rId22"/>
    <hyperlink xmlns:r="http://schemas.openxmlformats.org/officeDocument/2006/relationships" ref="C13" r:id="rId23"/>
    <hyperlink xmlns:r="http://schemas.openxmlformats.org/officeDocument/2006/relationships" ref="D13" r:id="rId24"/>
    <hyperlink xmlns:r="http://schemas.openxmlformats.org/officeDocument/2006/relationships" ref="C14" r:id="rId25"/>
    <hyperlink xmlns:r="http://schemas.openxmlformats.org/officeDocument/2006/relationships" ref="D14" r:id="rId26"/>
    <hyperlink xmlns:r="http://schemas.openxmlformats.org/officeDocument/2006/relationships" ref="C15" r:id="rId27"/>
    <hyperlink xmlns:r="http://schemas.openxmlformats.org/officeDocument/2006/relationships" ref="D15" r:id="rId28"/>
    <hyperlink xmlns:r="http://schemas.openxmlformats.org/officeDocument/2006/relationships" ref="C16" r:id="rId29"/>
    <hyperlink xmlns:r="http://schemas.openxmlformats.org/officeDocument/2006/relationships" ref="D16" r:id="rId30"/>
    <hyperlink xmlns:r="http://schemas.openxmlformats.org/officeDocument/2006/relationships" ref="C17" r:id="rId31"/>
    <hyperlink xmlns:r="http://schemas.openxmlformats.org/officeDocument/2006/relationships" ref="D17" r:id="rId32"/>
    <hyperlink xmlns:r="http://schemas.openxmlformats.org/officeDocument/2006/relationships" ref="C18" r:id="rId33"/>
    <hyperlink xmlns:r="http://schemas.openxmlformats.org/officeDocument/2006/relationships" ref="D18" r:id="rId34"/>
    <hyperlink xmlns:r="http://schemas.openxmlformats.org/officeDocument/2006/relationships" ref="C19" r:id="rId35"/>
    <hyperlink xmlns:r="http://schemas.openxmlformats.org/officeDocument/2006/relationships" ref="D19" r:id="rId36"/>
    <hyperlink xmlns:r="http://schemas.openxmlformats.org/officeDocument/2006/relationships" ref="C20" r:id="rId37"/>
    <hyperlink xmlns:r="http://schemas.openxmlformats.org/officeDocument/2006/relationships" ref="D20" r:id="rId38"/>
    <hyperlink xmlns:r="http://schemas.openxmlformats.org/officeDocument/2006/relationships" ref="C21" r:id="rId39"/>
    <hyperlink xmlns:r="http://schemas.openxmlformats.org/officeDocument/2006/relationships" ref="D21" r:id="rId40"/>
    <hyperlink xmlns:r="http://schemas.openxmlformats.org/officeDocument/2006/relationships" ref="C22" r:id="rId41"/>
    <hyperlink xmlns:r="http://schemas.openxmlformats.org/officeDocument/2006/relationships" ref="D22" r:id="rId42"/>
    <hyperlink xmlns:r="http://schemas.openxmlformats.org/officeDocument/2006/relationships" ref="C23" r:id="rId43"/>
    <hyperlink xmlns:r="http://schemas.openxmlformats.org/officeDocument/2006/relationships" ref="D23" r:id="rId44"/>
    <hyperlink xmlns:r="http://schemas.openxmlformats.org/officeDocument/2006/relationships" ref="C24" r:id="rId45"/>
    <hyperlink xmlns:r="http://schemas.openxmlformats.org/officeDocument/2006/relationships" ref="D24" r:id="rId46"/>
    <hyperlink xmlns:r="http://schemas.openxmlformats.org/officeDocument/2006/relationships" ref="C25" r:id="rId47"/>
    <hyperlink xmlns:r="http://schemas.openxmlformats.org/officeDocument/2006/relationships" ref="D25" r:id="rId48"/>
    <hyperlink xmlns:r="http://schemas.openxmlformats.org/officeDocument/2006/relationships" ref="C26" r:id="rId49"/>
    <hyperlink xmlns:r="http://schemas.openxmlformats.org/officeDocument/2006/relationships" ref="D26" r:id="rId50"/>
    <hyperlink xmlns:r="http://schemas.openxmlformats.org/officeDocument/2006/relationships" ref="C27" r:id="rId51"/>
    <hyperlink xmlns:r="http://schemas.openxmlformats.org/officeDocument/2006/relationships" ref="D27" r:id="rId52"/>
    <hyperlink xmlns:r="http://schemas.openxmlformats.org/officeDocument/2006/relationships" ref="C28" r:id="rId53"/>
    <hyperlink xmlns:r="http://schemas.openxmlformats.org/officeDocument/2006/relationships" ref="D28" r:id="rId54"/>
    <hyperlink xmlns:r="http://schemas.openxmlformats.org/officeDocument/2006/relationships" ref="C29" r:id="rId55"/>
    <hyperlink xmlns:r="http://schemas.openxmlformats.org/officeDocument/2006/relationships" ref="D29" r:id="rId56"/>
    <hyperlink xmlns:r="http://schemas.openxmlformats.org/officeDocument/2006/relationships" ref="C30" r:id="rId57"/>
    <hyperlink xmlns:r="http://schemas.openxmlformats.org/officeDocument/2006/relationships" ref="D30" r:id="rId58"/>
    <hyperlink xmlns:r="http://schemas.openxmlformats.org/officeDocument/2006/relationships" ref="C31" r:id="rId59"/>
    <hyperlink xmlns:r="http://schemas.openxmlformats.org/officeDocument/2006/relationships" ref="D31" r:id="rId60"/>
    <hyperlink xmlns:r="http://schemas.openxmlformats.org/officeDocument/2006/relationships" ref="C32" r:id="rId61"/>
    <hyperlink xmlns:r="http://schemas.openxmlformats.org/officeDocument/2006/relationships" ref="D32" r:id="rId62"/>
    <hyperlink xmlns:r="http://schemas.openxmlformats.org/officeDocument/2006/relationships" ref="C33" r:id="rId63"/>
    <hyperlink xmlns:r="http://schemas.openxmlformats.org/officeDocument/2006/relationships" ref="D33" r:id="rId64"/>
    <hyperlink xmlns:r="http://schemas.openxmlformats.org/officeDocument/2006/relationships" ref="C34" r:id="rId65"/>
    <hyperlink xmlns:r="http://schemas.openxmlformats.org/officeDocument/2006/relationships" ref="D34" r:id="rId66"/>
    <hyperlink xmlns:r="http://schemas.openxmlformats.org/officeDocument/2006/relationships" ref="C35" r:id="rId67"/>
    <hyperlink xmlns:r="http://schemas.openxmlformats.org/officeDocument/2006/relationships" ref="D35" r:id="rId68"/>
    <hyperlink xmlns:r="http://schemas.openxmlformats.org/officeDocument/2006/relationships" ref="C36" r:id="rId69"/>
    <hyperlink xmlns:r="http://schemas.openxmlformats.org/officeDocument/2006/relationships" ref="D36" r:id="rId70"/>
    <hyperlink xmlns:r="http://schemas.openxmlformats.org/officeDocument/2006/relationships" ref="C37" r:id="rId71"/>
    <hyperlink xmlns:r="http://schemas.openxmlformats.org/officeDocument/2006/relationships" ref="D37" r:id="rId72"/>
    <hyperlink xmlns:r="http://schemas.openxmlformats.org/officeDocument/2006/relationships" ref="C38" r:id="rId73"/>
    <hyperlink xmlns:r="http://schemas.openxmlformats.org/officeDocument/2006/relationships" ref="D38" r:id="rId74"/>
    <hyperlink xmlns:r="http://schemas.openxmlformats.org/officeDocument/2006/relationships" ref="C39" r:id="rId75"/>
    <hyperlink xmlns:r="http://schemas.openxmlformats.org/officeDocument/2006/relationships" ref="D39" r:id="rId76"/>
    <hyperlink xmlns:r="http://schemas.openxmlformats.org/officeDocument/2006/relationships" ref="C40" r:id="rId77"/>
    <hyperlink xmlns:r="http://schemas.openxmlformats.org/officeDocument/2006/relationships" ref="D40" r:id="rId78"/>
    <hyperlink xmlns:r="http://schemas.openxmlformats.org/officeDocument/2006/relationships" ref="C41" r:id="rId79"/>
    <hyperlink xmlns:r="http://schemas.openxmlformats.org/officeDocument/2006/relationships" ref="D41" r:id="rId80"/>
  </hyperlinks>
  <printOptions horizontalCentered="0"/>
  <pageMargins left="0.25" right="0.25" top="0.5" bottom="0.5" header="0.5" footer="0.5"/>
  <pageSetup orientation="landscape" fitToHeight="0" fitToWidth="3"/>
</worksheet>
</file>

<file path=xl/worksheets/sheet5.xml><?xml version="1.0" encoding="utf-8"?>
<worksheet xmlns="http://schemas.openxmlformats.org/spreadsheetml/2006/main">
  <sheetPr>
    <outlinePr summaryBelow="1" summaryRight="1"/>
    <pageSetUpPr fitToPage="1"/>
  </sheetPr>
  <dimension ref="A1:K71"/>
  <sheetViews>
    <sheetView showGridLines="0" workbookViewId="0">
      <pane ySplit="1" topLeftCell="A2" activePane="bottomLeft" state="frozen"/>
      <selection pane="bottomLeft" activeCell="A1" sqref="A1"/>
    </sheetView>
  </sheetViews>
  <sheetFormatPr baseColWidth="8" defaultRowHeight="15"/>
  <cols>
    <col width="12" customWidth="1" min="1" max="1"/>
    <col width="42" customWidth="1" min="2" max="2"/>
    <col width="20" customWidth="1" min="3" max="3"/>
    <col width="20" customWidth="1" min="4" max="4"/>
    <col width="24" customWidth="1" min="5" max="5"/>
    <col width="42" customWidth="1" min="6" max="6"/>
    <col width="42" customWidth="1" min="7" max="7"/>
    <col width="42" customWidth="1" min="8" max="8"/>
    <col width="42" customWidth="1" min="9" max="9"/>
    <col width="42" customWidth="1" min="10" max="10"/>
    <col width="42" customWidth="1" min="11" max="11"/>
  </cols>
  <sheetData>
    <row r="1" ht="32" customHeight="1">
      <c r="A1" s="1" t="inlineStr">
        <is>
          <t>issue_id</t>
        </is>
      </c>
      <c r="B1" s="1" t="inlineStr">
        <is>
          <t>product_key</t>
        </is>
      </c>
      <c r="C1" s="1" t="inlineStr">
        <is>
          <t>qa_image_key</t>
        </is>
      </c>
      <c r="D1" s="1" t="inlineStr">
        <is>
          <t>severity</t>
        </is>
      </c>
      <c r="E1" s="1" t="inlineStr">
        <is>
          <t>field</t>
        </is>
      </c>
      <c r="F1" s="1" t="inlineStr">
        <is>
          <t>submitted_value</t>
        </is>
      </c>
      <c r="G1" s="1" t="inlineStr">
        <is>
          <t>source_observation</t>
        </is>
      </c>
      <c r="H1" s="1" t="inlineStr">
        <is>
          <t>reason</t>
        </is>
      </c>
      <c r="I1" s="1" t="inlineStr">
        <is>
          <t>recommended_fix</t>
        </is>
      </c>
      <c r="J1" s="1" t="inlineStr">
        <is>
          <t>supporting_evidence</t>
        </is>
      </c>
      <c r="K1" s="1" t="inlineStr">
        <is>
          <t>recheck_condition</t>
        </is>
      </c>
    </row>
    <row r="2" ht="84" customHeight="1">
      <c r="A2" s="2" t="inlineStr">
        <is>
          <t>ISSUE-0001</t>
        </is>
      </c>
      <c r="B2" s="2" t="inlineStr">
        <is>
          <t>jeminise.com+personalized-baseball-bedding-full-size-flag-custom-name-d-design-06</t>
        </is>
      </c>
      <c r="C2" s="2" t="inlineStr"/>
      <c r="D2" s="2" t="inlineStr">
        <is>
          <t>MAJOR</t>
        </is>
      </c>
      <c r="E2" s="2" t="inlineStr">
        <is>
          <t>description_proposed_html</t>
        </is>
      </c>
      <c r="F2" s="2" t="inlineStr">
        <is>
          <t>&lt;p&gt;This Jeminise comforter set features brown baseball bedding with glove leather textures, large baseball, script custom name and jersey number, making it suited for baseball rooms, sports gifts, kids bedrooms or personalized fan bedding.&lt;/p&gt;&lt;h3&gt;Design Details&lt;/h3&gt;&lt;ul&gt;&lt;li&gt;Visible artwork: brown baseball bedding with glove leather textures, large baseball, script custom name and jersey number.&lt;/li&gt;&lt;li&gt;Source product details include: Brand: Jemin…</t>
        </is>
      </c>
      <c r="G2" s="2" t="inlineStr">
        <is>
          <t>Draft contains SEO Use / QA approval wording.</t>
        </is>
      </c>
      <c r="H2" s="2" t="inlineStr">
        <is>
          <t>Internal workflow language is not publish-ready storefront copy.</t>
        </is>
      </c>
      <c r="I2" s="2" t="inlineStr">
        <is>
          <t>Remove internal QA/import block and replace with customer-facing verified copy.</t>
        </is>
      </c>
      <c r="J2" s="2" t="inlineStr">
        <is>
          <t>Draft contains SEO Use / QA approval wording.</t>
        </is>
      </c>
      <c r="K2" s="2" t="inlineStr">
        <is>
          <t>Description HTML no longer contains SEO Use, QA, approval, import or draft language.</t>
        </is>
      </c>
    </row>
    <row r="3" ht="84" customHeight="1">
      <c r="A3" s="3" t="inlineStr">
        <is>
          <t>ISSUE-0002</t>
        </is>
      </c>
      <c r="B3" s="3" t="inlineStr">
        <is>
          <t>jeminise.com+personalized-baseball-bedding-full-size-flag-custom-name-d-design-06</t>
        </is>
      </c>
      <c r="C3" s="3" t="inlineStr"/>
      <c r="D3" s="3" t="inlineStr">
        <is>
          <t>MAJOR</t>
        </is>
      </c>
      <c r="E3" s="3" t="inlineStr">
        <is>
          <t>h1_proposed</t>
        </is>
      </c>
      <c r="F3" s="3" t="inlineStr"/>
      <c r="G3" s="3" t="inlineStr">
        <is>
          <t>The submitted workbook row has no proposed H1.</t>
        </is>
      </c>
      <c r="H3" s="3" t="inlineStr">
        <is>
          <t>A publishable SEO title/H1 pair is incomplete when the H1 field is blank.</t>
        </is>
      </c>
      <c r="I3" s="3" t="inlineStr">
        <is>
          <t>Write one English H1 that matches the verified product type and visible design; do not copy unsupported claims.</t>
        </is>
      </c>
      <c r="J3" s="3" t="inlineStr">
        <is>
          <t>The submitted workbook row has no proposed H1.</t>
        </is>
      </c>
      <c r="K3" s="3" t="inlineStr">
        <is>
          <t>Workbook contains a non-empty H1 and it is consistent with title, primary keyword and live product evidence.</t>
        </is>
      </c>
    </row>
    <row r="4" ht="84" customHeight="1">
      <c r="A4" s="2" t="inlineStr">
        <is>
          <t>ISSUE-0003</t>
        </is>
      </c>
      <c r="B4" s="2" t="inlineStr">
        <is>
          <t>jeminise.com+personalized-baseball-bedding-full-size-flag-custom-name-d-design-06</t>
        </is>
      </c>
      <c r="C4" s="2" t="inlineStr"/>
      <c r="D4" s="2" t="inlineStr">
        <is>
          <t>MINOR</t>
        </is>
      </c>
      <c r="E4" s="2" t="inlineStr">
        <is>
          <t>meta_description_seo</t>
        </is>
      </c>
      <c r="F4" s="2" t="inlineStr">
        <is>
          <t>Shop a comforter set featuring brown baseball bedding with glove leather textures, large baseball, script custom name and jersey number. Review size and personalization options before checkout.</t>
        </is>
      </c>
      <c r="G4" s="2" t="inlineStr">
        <is>
          <t>Meta description length is 193 characters.</t>
        </is>
      </c>
      <c r="H4" s="2" t="inlineStr">
        <is>
          <t>Likely to truncate in search results and repeats review/personality wording in several rows.</t>
        </is>
      </c>
      <c r="I4" s="2" t="inlineStr">
        <is>
          <t>Rewrite to roughly 145-155 characters while preserving verified design and product type.</t>
        </is>
      </c>
      <c r="J4" s="2" t="inlineStr">
        <is>
          <t>Meta description length is 193 characters.</t>
        </is>
      </c>
      <c r="K4" s="2" t="inlineStr">
        <is>
          <t>Length check &lt;=160 characters and no unsupported claim remains.</t>
        </is>
      </c>
    </row>
    <row r="5" ht="84" customHeight="1">
      <c r="A5" s="3" t="inlineStr">
        <is>
          <t>ISSUE-0004</t>
        </is>
      </c>
      <c r="B5" s="3" t="inlineStr">
        <is>
          <t>jeminise.com+personalized-baseball-bedding-full-size-flag-custom-name-d-design-06</t>
        </is>
      </c>
      <c r="C5" s="3" t="inlineStr"/>
      <c r="D5" s="3" t="inlineStr">
        <is>
          <t>LIMITATION</t>
        </is>
      </c>
      <c r="E5" s="3" t="inlineStr">
        <is>
          <t>keyword_evidence_level</t>
        </is>
      </c>
      <c r="F5" s="3" t="inlineStr">
        <is>
          <t>SERP_ONLY</t>
        </is>
      </c>
      <c r="G5" s="3" t="inlineStr">
        <is>
          <t>Only public SERP comparables are available.</t>
        </is>
      </c>
      <c r="H5" s="3" t="inlineStr">
        <is>
          <t>No Search Console, paid keyword volume or internal site search export was supplied.</t>
        </is>
      </c>
      <c r="I5" s="3" t="inlineStr">
        <is>
          <t>Keep demand statements qualitative; do not claim volume or ranking potential.</t>
        </is>
      </c>
      <c r="J5" s="3" t="inlineStr">
        <is>
          <t>Only public SERP comparables are available.</t>
        </is>
      </c>
      <c r="K5" s="3" t="inlineStr">
        <is>
          <t>Additional first-party or paid keyword evidence is attached, or limitation remains documented.</t>
        </is>
      </c>
    </row>
    <row r="6" ht="84" customHeight="1">
      <c r="A6" s="2" t="inlineStr">
        <is>
          <t>ISSUE-0005</t>
        </is>
      </c>
      <c r="B6" s="2" t="inlineStr">
        <is>
          <t>jeminise.com+personalized-baseball-bedding-full-size-flag-custom-name-d-design-06</t>
        </is>
      </c>
      <c r="C6" s="2" t="inlineStr">
        <is>
          <t>img_185da4d834a2e212</t>
        </is>
      </c>
      <c r="D6" s="2" t="inlineStr">
        <is>
          <t>MINOR</t>
        </is>
      </c>
      <c r="E6" s="2" t="inlineStr">
        <is>
          <t>alt text</t>
        </is>
      </c>
      <c r="F6" s="2" t="inlineStr">
        <is>
          <t>Brown Baseball Glove Custom Name Bedding displayed in a main product mockup</t>
        </is>
      </c>
      <c r="G6" s="2" t="inlineStr">
        <is>
          <t>Fresh image file: D:\Shopify_Workspace\jeminise_seo\seo_runs\jeminise.com\20260906_234129\qa\20260907_213200\images\181_01.jpg; source URL: https://cdn.shopify.com/s/files/1/0792/5098/1063/files/995cf5f61efd18d2d5931363d9afe9885235b19ee1f1194d644a48b4c113798a.jpg?v=1787242243</t>
        </is>
      </c>
      <c r="H6" s="2" t="inlineStr">
        <is>
          <t>Alt text is too generic or describes placement more than visible content.</t>
        </is>
      </c>
      <c r="I6" s="2" t="inlineStr">
        <is>
          <t>Rewrite observation/alt from the directly opened image, naming the visible motif and use context.</t>
        </is>
      </c>
      <c r="J6" s="2" t="inlineStr">
        <is>
          <t>Fresh image file: D:\Shopify_Workspace\jeminise_seo\seo_runs\jeminise.com\20260906_234129\qa\20260907_213200\images\181_01.jpg; source URL: https://cdn.shopify.com/s/files/1/0792/5098/1063/files/995cf5f61efd18d2d5931363d9afe9885235b19ee1f1194d644a48b4c113798a.jpg?v=1787242243</t>
        </is>
      </c>
      <c r="K6" s="2" t="inlineStr">
        <is>
          <t>The image row accurately describes the actual media at this gallery position.</t>
        </is>
      </c>
    </row>
    <row r="7" ht="84" customHeight="1">
      <c r="A7" s="3" t="inlineStr">
        <is>
          <t>ISSUE-0006</t>
        </is>
      </c>
      <c r="B7" s="3" t="inlineStr">
        <is>
          <t>jeminise.com+personalized-baseball-bedding-full-size-flag-custom-name-d-design-06</t>
        </is>
      </c>
      <c r="C7" s="3" t="inlineStr">
        <is>
          <t>img_d7357904e336086e</t>
        </is>
      </c>
      <c r="D7" s="3" t="inlineStr">
        <is>
          <t>MINOR</t>
        </is>
      </c>
      <c r="E7" s="3" t="inlineStr">
        <is>
          <t>image observation</t>
        </is>
      </c>
      <c r="F7" s="3" t="inlineStr">
        <is>
          <t>Bedding type, feature, lifestyle or material image for brown baseball glove custom name bedding.</t>
        </is>
      </c>
      <c r="G7" s="3" t="inlineStr">
        <is>
          <t>Fresh image file: D:\Shopify_Workspace\jeminise_seo\seo_runs\jeminise.com\20260906_234129\qa\20260907_213200\images\181_03.jpg; source URL: https://cdn.shopify.com/s/files/1/0792/5098/1063/files/b495d9b37eafdceff5caf3643256f7b3a83de826d49a14bdc531b13424296018_ad1ab0c9-2779-4f36-9049-4dee6667abea.jpg?v=1787242243</t>
        </is>
      </c>
      <c r="H7" s="3" t="inlineStr">
        <is>
          <t>Observation is generic or position-based; rewrite from the actual image content.</t>
        </is>
      </c>
      <c r="I7" s="3" t="inlineStr">
        <is>
          <t>Rewrite observation/alt from the directly opened image, naming the visible motif and use context.</t>
        </is>
      </c>
      <c r="J7" s="3" t="inlineStr">
        <is>
          <t>Fresh image file: D:\Shopify_Workspace\jeminise_seo\seo_runs\jeminise.com\20260906_234129\qa\20260907_213200\images\181_03.jpg; source URL: https://cdn.shopify.com/s/files/1/0792/5098/1063/files/b495d9b37eafdceff5caf3643256f7b3a83de826d49a14bdc531b13424296018_ad1ab0c9-2779-4f36-9049-4dee6667abea.jpg?v=1787242243</t>
        </is>
      </c>
      <c r="K7" s="3" t="inlineStr">
        <is>
          <t>The image row accurately describes the actual media at this gallery position.</t>
        </is>
      </c>
    </row>
    <row r="8" ht="84" customHeight="1">
      <c r="A8" s="2" t="inlineStr">
        <is>
          <t>ISSUE-0007</t>
        </is>
      </c>
      <c r="B8" s="2" t="inlineStr">
        <is>
          <t>jeminise.com+personalized-baseball-bedding-full-size-flag-custom-name-d-design-06</t>
        </is>
      </c>
      <c r="C8" s="2" t="inlineStr">
        <is>
          <t>img_71accca32ded885f</t>
        </is>
      </c>
      <c r="D8" s="2" t="inlineStr">
        <is>
          <t>MINOR</t>
        </is>
      </c>
      <c r="E8" s="2" t="inlineStr">
        <is>
          <t>image observation</t>
        </is>
      </c>
      <c r="F8" s="2" t="inlineStr">
        <is>
          <t>Detail, feature panel or lifestyle image connected to brown baseball glove custom name bedding.</t>
        </is>
      </c>
      <c r="G8" s="2" t="inlineStr">
        <is>
          <t>Fresh image file: D:\Shopify_Workspace\jeminise_seo\seo_runs\jeminise.com\20260906_234129\qa\20260907_213200\images\181_04.jpg; source URL: https://cdn.shopify.com/s/files/1/0792/5098/1063/files/d51e3360a3e4b984af63b01c4b53d517484ca3d6cb1beeea158bcf59acab9ed4_79836266-04d5-4535-8b8d-cc36660e7fb5.jpg?v=1787242243</t>
        </is>
      </c>
      <c r="H8" s="2" t="inlineStr">
        <is>
          <t>Observation is generic or position-based; rewrite from the actual image content.</t>
        </is>
      </c>
      <c r="I8" s="2" t="inlineStr">
        <is>
          <t>Rewrite observation/alt from the directly opened image, naming the visible motif and use context.</t>
        </is>
      </c>
      <c r="J8" s="2" t="inlineStr">
        <is>
          <t>Fresh image file: D:\Shopify_Workspace\jeminise_seo\seo_runs\jeminise.com\20260906_234129\qa\20260907_213200\images\181_04.jpg; source URL: https://cdn.shopify.com/s/files/1/0792/5098/1063/files/d51e3360a3e4b984af63b01c4b53d517484ca3d6cb1beeea158bcf59acab9ed4_79836266-04d5-4535-8b8d-cc36660e7fb5.jpg?v=1787242243</t>
        </is>
      </c>
      <c r="K8" s="2" t="inlineStr">
        <is>
          <t>The image row accurately describes the actual media at this gallery position.</t>
        </is>
      </c>
    </row>
    <row r="9" ht="84" customHeight="1">
      <c r="A9" s="3" t="inlineStr">
        <is>
          <t>ISSUE-0008</t>
        </is>
      </c>
      <c r="B9" s="3" t="inlineStr">
        <is>
          <t>jeminise.com+personalized-baseball-bedding-full-size-flag-custom-name-d-design-07</t>
        </is>
      </c>
      <c r="C9" s="3" t="inlineStr"/>
      <c r="D9" s="3" t="inlineStr">
        <is>
          <t>MAJOR</t>
        </is>
      </c>
      <c r="E9" s="3" t="inlineStr">
        <is>
          <t>description_proposed_html</t>
        </is>
      </c>
      <c r="F9" s="3" t="inlineStr">
        <is>
          <t>&lt;p&gt;This Jeminise comforter set features red white and blue American flag bedding with oversized baseball artwork and script custom name, making it suited for baseball rooms, sports gifts, kids bedrooms or personalized fan bedding.&lt;/p&gt;&lt;h3&gt;Design Details&lt;/h3&gt;&lt;ul&gt;&lt;li&gt;Visible artwork: red white and blue American flag bedding with oversized baseball artwork and script custom name.&lt;/li&gt;&lt;li&gt;Source product details include: Brand: Jeminise; Product Type:…</t>
        </is>
      </c>
      <c r="G9" s="3" t="inlineStr">
        <is>
          <t>Draft contains SEO Use / QA approval wording.</t>
        </is>
      </c>
      <c r="H9" s="3" t="inlineStr">
        <is>
          <t>Internal workflow language is not publish-ready storefront copy.</t>
        </is>
      </c>
      <c r="I9" s="3" t="inlineStr">
        <is>
          <t>Remove internal QA/import block and replace with customer-facing verified copy.</t>
        </is>
      </c>
      <c r="J9" s="3" t="inlineStr">
        <is>
          <t>Draft contains SEO Use / QA approval wording.</t>
        </is>
      </c>
      <c r="K9" s="3" t="inlineStr">
        <is>
          <t>Description HTML no longer contains SEO Use, QA, approval, import or draft language.</t>
        </is>
      </c>
    </row>
    <row r="10" ht="84" customHeight="1">
      <c r="A10" s="2" t="inlineStr">
        <is>
          <t>ISSUE-0009</t>
        </is>
      </c>
      <c r="B10" s="2" t="inlineStr">
        <is>
          <t>jeminise.com+personalized-baseball-bedding-full-size-flag-custom-name-d-design-07</t>
        </is>
      </c>
      <c r="C10" s="2" t="inlineStr"/>
      <c r="D10" s="2" t="inlineStr">
        <is>
          <t>MAJOR</t>
        </is>
      </c>
      <c r="E10" s="2" t="inlineStr">
        <is>
          <t>h1_proposed</t>
        </is>
      </c>
      <c r="F10" s="2" t="inlineStr"/>
      <c r="G10" s="2" t="inlineStr">
        <is>
          <t>The submitted workbook row has no proposed H1.</t>
        </is>
      </c>
      <c r="H10" s="2" t="inlineStr">
        <is>
          <t>A publishable SEO title/H1 pair is incomplete when the H1 field is blank.</t>
        </is>
      </c>
      <c r="I10" s="2" t="inlineStr">
        <is>
          <t>Write one English H1 that matches the verified product type and visible design; do not copy unsupported claims.</t>
        </is>
      </c>
      <c r="J10" s="2" t="inlineStr">
        <is>
          <t>The submitted workbook row has no proposed H1.</t>
        </is>
      </c>
      <c r="K10" s="2" t="inlineStr">
        <is>
          <t>Workbook contains a non-empty H1 and it is consistent with title, primary keyword and live product evidence.</t>
        </is>
      </c>
    </row>
    <row r="11" ht="84" customHeight="1">
      <c r="A11" s="3" t="inlineStr">
        <is>
          <t>ISSUE-0010</t>
        </is>
      </c>
      <c r="B11" s="3" t="inlineStr">
        <is>
          <t>jeminise.com+personalized-baseball-bedding-full-size-flag-custom-name-d-design-07</t>
        </is>
      </c>
      <c r="C11" s="3" t="inlineStr"/>
      <c r="D11" s="3" t="inlineStr">
        <is>
          <t>MINOR</t>
        </is>
      </c>
      <c r="E11" s="3" t="inlineStr">
        <is>
          <t>meta_description_seo</t>
        </is>
      </c>
      <c r="F11" s="3" t="inlineStr">
        <is>
          <t>Shop a comforter set featuring red white and blue American flag bedding with oversized baseball artwork and script custom name. Review size and personalization options before checkout.</t>
        </is>
      </c>
      <c r="G11" s="3" t="inlineStr">
        <is>
          <t>Meta description length is 184 characters.</t>
        </is>
      </c>
      <c r="H11" s="3" t="inlineStr">
        <is>
          <t>Likely to truncate in search results and repeats review/personality wording in several rows.</t>
        </is>
      </c>
      <c r="I11" s="3" t="inlineStr">
        <is>
          <t>Rewrite to roughly 145-155 characters while preserving verified design and product type.</t>
        </is>
      </c>
      <c r="J11" s="3" t="inlineStr">
        <is>
          <t>Meta description length is 184 characters.</t>
        </is>
      </c>
      <c r="K11" s="3" t="inlineStr">
        <is>
          <t>Length check &lt;=160 characters and no unsupported claim remains.</t>
        </is>
      </c>
    </row>
    <row r="12" ht="84" customHeight="1">
      <c r="A12" s="2" t="inlineStr">
        <is>
          <t>ISSUE-0011</t>
        </is>
      </c>
      <c r="B12" s="2" t="inlineStr">
        <is>
          <t>jeminise.com+personalized-baseball-bedding-full-size-flag-custom-name-d-design-07</t>
        </is>
      </c>
      <c r="C12" s="2" t="inlineStr"/>
      <c r="D12" s="2" t="inlineStr">
        <is>
          <t>LIMITATION</t>
        </is>
      </c>
      <c r="E12" s="2" t="inlineStr">
        <is>
          <t>keyword_evidence_level</t>
        </is>
      </c>
      <c r="F12" s="2" t="inlineStr">
        <is>
          <t>SERP_ONLY</t>
        </is>
      </c>
      <c r="G12" s="2" t="inlineStr">
        <is>
          <t>Only public SERP comparables are available.</t>
        </is>
      </c>
      <c r="H12" s="2" t="inlineStr">
        <is>
          <t>No Search Console, paid keyword volume or internal site search export was supplied.</t>
        </is>
      </c>
      <c r="I12" s="2" t="inlineStr">
        <is>
          <t>Keep demand statements qualitative; do not claim volume or ranking potential.</t>
        </is>
      </c>
      <c r="J12" s="2" t="inlineStr">
        <is>
          <t>Only public SERP comparables are available.</t>
        </is>
      </c>
      <c r="K12" s="2" t="inlineStr">
        <is>
          <t>Additional first-party or paid keyword evidence is attached, or limitation remains documented.</t>
        </is>
      </c>
    </row>
    <row r="13" ht="84" customHeight="1">
      <c r="A13" s="3" t="inlineStr">
        <is>
          <t>ISSUE-0012</t>
        </is>
      </c>
      <c r="B13" s="3" t="inlineStr">
        <is>
          <t>jeminise.com+personalized-baseball-bedding-full-size-flag-custom-name-d-design-07</t>
        </is>
      </c>
      <c r="C13" s="3" t="inlineStr">
        <is>
          <t>img_58e85ba60bfe7402</t>
        </is>
      </c>
      <c r="D13" s="3" t="inlineStr">
        <is>
          <t>MINOR</t>
        </is>
      </c>
      <c r="E13" s="3" t="inlineStr">
        <is>
          <t>alt text</t>
        </is>
      </c>
      <c r="F13" s="3" t="inlineStr">
        <is>
          <t>American Flag Baseball Bedding with Custom Name displayed in a main product mockup</t>
        </is>
      </c>
      <c r="G13" s="3" t="inlineStr">
        <is>
          <t>Fresh image file: D:\Shopify_Workspace\jeminise_seo\seo_runs\jeminise.com\20260906_234129\qa\20260907_213200\images\182_01.jpg; source URL: https://cdn.shopify.com/s/files/1/0792/5098/1063/files/378a8e96305e6779a03c8ecabd45a597b3f4915044ba0256db08f5291ae0aebe.jpg?v=1787242250</t>
        </is>
      </c>
      <c r="H13" s="3" t="inlineStr">
        <is>
          <t>Alt text is too generic or describes placement more than visible content.</t>
        </is>
      </c>
      <c r="I13" s="3" t="inlineStr">
        <is>
          <t>Rewrite observation/alt from the directly opened image, naming the visible motif and use context.</t>
        </is>
      </c>
      <c r="J13" s="3" t="inlineStr">
        <is>
          <t>Fresh image file: D:\Shopify_Workspace\jeminise_seo\seo_runs\jeminise.com\20260906_234129\qa\20260907_213200\images\182_01.jpg; source URL: https://cdn.shopify.com/s/files/1/0792/5098/1063/files/378a8e96305e6779a03c8ecabd45a597b3f4915044ba0256db08f5291ae0aebe.jpg?v=1787242250</t>
        </is>
      </c>
      <c r="K13" s="3" t="inlineStr">
        <is>
          <t>The image row accurately describes the actual media at this gallery position.</t>
        </is>
      </c>
    </row>
    <row r="14" ht="84" customHeight="1">
      <c r="A14" s="2" t="inlineStr">
        <is>
          <t>ISSUE-0013</t>
        </is>
      </c>
      <c r="B14" s="2" t="inlineStr">
        <is>
          <t>jeminise.com+personalized-baseball-bedding-full-size-flag-custom-name-d-design-07</t>
        </is>
      </c>
      <c r="C14" s="2" t="inlineStr">
        <is>
          <t>img_af6381ba7175d4b0</t>
        </is>
      </c>
      <c r="D14" s="2" t="inlineStr">
        <is>
          <t>MINOR</t>
        </is>
      </c>
      <c r="E14" s="2" t="inlineStr">
        <is>
          <t>image observation</t>
        </is>
      </c>
      <c r="F14" s="2" t="inlineStr">
        <is>
          <t>Bedding type, feature, lifestyle or material image for American flag baseball bedding with script name.</t>
        </is>
      </c>
      <c r="G14" s="2" t="inlineStr">
        <is>
          <t>Fresh image file: D:\Shopify_Workspace\jeminise_seo\seo_runs\jeminise.com\20260906_234129\qa\20260907_213200\images\182_03.jpg; source URL: https://cdn.shopify.com/s/files/1/0792/5098/1063/files/b495d9b37eafdceff5caf3643256f7b3a83de826d49a14bdc531b13424296018_fbe6001d-6588-4bce-aecf-e0e3701d32ce.jpg?v=1787242250</t>
        </is>
      </c>
      <c r="H14" s="2" t="inlineStr">
        <is>
          <t>Observation is generic or position-based; rewrite from the actual image content.</t>
        </is>
      </c>
      <c r="I14" s="2" t="inlineStr">
        <is>
          <t>Rewrite observation/alt from the directly opened image, naming the visible motif and use context.</t>
        </is>
      </c>
      <c r="J14" s="2" t="inlineStr">
        <is>
          <t>Fresh image file: D:\Shopify_Workspace\jeminise_seo\seo_runs\jeminise.com\20260906_234129\qa\20260907_213200\images\182_03.jpg; source URL: https://cdn.shopify.com/s/files/1/0792/5098/1063/files/b495d9b37eafdceff5caf3643256f7b3a83de826d49a14bdc531b13424296018_fbe6001d-6588-4bce-aecf-e0e3701d32ce.jpg?v=1787242250</t>
        </is>
      </c>
      <c r="K14" s="2" t="inlineStr">
        <is>
          <t>The image row accurately describes the actual media at this gallery position.</t>
        </is>
      </c>
    </row>
    <row r="15" ht="84" customHeight="1">
      <c r="A15" s="3" t="inlineStr">
        <is>
          <t>ISSUE-0014</t>
        </is>
      </c>
      <c r="B15" s="3" t="inlineStr">
        <is>
          <t>jeminise.com+personalized-baseball-bedding-full-size-flag-custom-name-d-design-07</t>
        </is>
      </c>
      <c r="C15" s="3" t="inlineStr">
        <is>
          <t>img_4e5b30d07a6b1a40</t>
        </is>
      </c>
      <c r="D15" s="3" t="inlineStr">
        <is>
          <t>MINOR</t>
        </is>
      </c>
      <c r="E15" s="3" t="inlineStr">
        <is>
          <t>image observation</t>
        </is>
      </c>
      <c r="F15" s="3" t="inlineStr">
        <is>
          <t>Detail, feature panel or lifestyle image connected to American flag baseball bedding with script name.</t>
        </is>
      </c>
      <c r="G15" s="3" t="inlineStr">
        <is>
          <t>Fresh image file: D:\Shopify_Workspace\jeminise_seo\seo_runs\jeminise.com\20260906_234129\qa\20260907_213200\images\182_04.jpg; source URL: https://cdn.shopify.com/s/files/1/0792/5098/1063/files/d51e3360a3e4b984af63b01c4b53d517484ca3d6cb1beeea158bcf59acab9ed4_54a4893c-2527-4db4-962c-f6837c2c1fdf.jpg?v=1787242250</t>
        </is>
      </c>
      <c r="H15" s="3" t="inlineStr">
        <is>
          <t>Observation is generic or position-based; rewrite from the actual image content.</t>
        </is>
      </c>
      <c r="I15" s="3" t="inlineStr">
        <is>
          <t>Rewrite observation/alt from the directly opened image, naming the visible motif and use context.</t>
        </is>
      </c>
      <c r="J15" s="3" t="inlineStr">
        <is>
          <t>Fresh image file: D:\Shopify_Workspace\jeminise_seo\seo_runs\jeminise.com\20260906_234129\qa\20260907_213200\images\182_04.jpg; source URL: https://cdn.shopify.com/s/files/1/0792/5098/1063/files/d51e3360a3e4b984af63b01c4b53d517484ca3d6cb1beeea158bcf59acab9ed4_54a4893c-2527-4db4-962c-f6837c2c1fdf.jpg?v=1787242250</t>
        </is>
      </c>
      <c r="K15" s="3" t="inlineStr">
        <is>
          <t>The image row accurately describes the actual media at this gallery position.</t>
        </is>
      </c>
    </row>
    <row r="16" ht="84" customHeight="1">
      <c r="A16" s="2" t="inlineStr">
        <is>
          <t>ISSUE-0015</t>
        </is>
      </c>
      <c r="B16" s="2" t="inlineStr">
        <is>
          <t>jeminise.com+personalized-baseball-bedding-full-size-flag-custom-name-d-design-08</t>
        </is>
      </c>
      <c r="C16" s="2" t="inlineStr"/>
      <c r="D16" s="2" t="inlineStr">
        <is>
          <t>MAJOR</t>
        </is>
      </c>
      <c r="E16" s="2" t="inlineStr">
        <is>
          <t>description_proposed_html</t>
        </is>
      </c>
      <c r="F16" s="2" t="inlineStr">
        <is>
          <t>&lt;p&gt;This Jeminise comforter set features distressed American flag baseball bedding with glove corners, oversized baseball, block custom name and jersey number, making it suited for baseball rooms, sports gifts, kids bedrooms or personalized fan bedding.&lt;/p&gt;&lt;h3&gt;Design Details&lt;/h3&gt;&lt;ul&gt;&lt;li&gt;Visible artwork: distressed American flag baseball bedding with glove corners, oversized baseball, block custom name and jersey number.&lt;/li&gt;&lt;li&gt;Source product det…</t>
        </is>
      </c>
      <c r="G16" s="2" t="inlineStr">
        <is>
          <t>Draft contains SEO Use / QA approval wording.</t>
        </is>
      </c>
      <c r="H16" s="2" t="inlineStr">
        <is>
          <t>Internal workflow language is not publish-ready storefront copy.</t>
        </is>
      </c>
      <c r="I16" s="2" t="inlineStr">
        <is>
          <t>Remove internal QA/import block and replace with customer-facing verified copy.</t>
        </is>
      </c>
      <c r="J16" s="2" t="inlineStr">
        <is>
          <t>Draft contains SEO Use / QA approval wording.</t>
        </is>
      </c>
      <c r="K16" s="2" t="inlineStr">
        <is>
          <t>Description HTML no longer contains SEO Use, QA, approval, import or draft language.</t>
        </is>
      </c>
    </row>
    <row r="17" ht="84" customHeight="1">
      <c r="A17" s="3" t="inlineStr">
        <is>
          <t>ISSUE-0016</t>
        </is>
      </c>
      <c r="B17" s="3" t="inlineStr">
        <is>
          <t>jeminise.com+personalized-baseball-bedding-full-size-flag-custom-name-d-design-08</t>
        </is>
      </c>
      <c r="C17" s="3" t="inlineStr"/>
      <c r="D17" s="3" t="inlineStr">
        <is>
          <t>MAJOR</t>
        </is>
      </c>
      <c r="E17" s="3" t="inlineStr">
        <is>
          <t>h1_proposed</t>
        </is>
      </c>
      <c r="F17" s="3" t="inlineStr"/>
      <c r="G17" s="3" t="inlineStr">
        <is>
          <t>The submitted workbook row has no proposed H1.</t>
        </is>
      </c>
      <c r="H17" s="3" t="inlineStr">
        <is>
          <t>A publishable SEO title/H1 pair is incomplete when the H1 field is blank.</t>
        </is>
      </c>
      <c r="I17" s="3" t="inlineStr">
        <is>
          <t>Write one English H1 that matches the verified product type and visible design; do not copy unsupported claims.</t>
        </is>
      </c>
      <c r="J17" s="3" t="inlineStr">
        <is>
          <t>The submitted workbook row has no proposed H1.</t>
        </is>
      </c>
      <c r="K17" s="3" t="inlineStr">
        <is>
          <t>Workbook contains a non-empty H1 and it is consistent with title, primary keyword and live product evidence.</t>
        </is>
      </c>
    </row>
    <row r="18" ht="84" customHeight="1">
      <c r="A18" s="2" t="inlineStr">
        <is>
          <t>ISSUE-0017</t>
        </is>
      </c>
      <c r="B18" s="2" t="inlineStr">
        <is>
          <t>jeminise.com+personalized-baseball-bedding-full-size-flag-custom-name-d-design-08</t>
        </is>
      </c>
      <c r="C18" s="2" t="inlineStr"/>
      <c r="D18" s="2" t="inlineStr">
        <is>
          <t>MINOR</t>
        </is>
      </c>
      <c r="E18" s="2" t="inlineStr">
        <is>
          <t>meta_description_seo</t>
        </is>
      </c>
      <c r="F18" s="2" t="inlineStr">
        <is>
          <t>Shop a comforter set featuring distressed American flag baseball bedding with glove corners, oversized baseball, block custom name and jersey number. Review size and personalization options before checkout.</t>
        </is>
      </c>
      <c r="G18" s="2" t="inlineStr">
        <is>
          <t>Meta description length is 206 characters.</t>
        </is>
      </c>
      <c r="H18" s="2" t="inlineStr">
        <is>
          <t>Likely to truncate in search results and repeats review/personality wording in several rows.</t>
        </is>
      </c>
      <c r="I18" s="2" t="inlineStr">
        <is>
          <t>Rewrite to roughly 145-155 characters while preserving verified design and product type.</t>
        </is>
      </c>
      <c r="J18" s="2" t="inlineStr">
        <is>
          <t>Meta description length is 206 characters.</t>
        </is>
      </c>
      <c r="K18" s="2" t="inlineStr">
        <is>
          <t>Length check &lt;=160 characters and no unsupported claim remains.</t>
        </is>
      </c>
    </row>
    <row r="19" ht="84" customHeight="1">
      <c r="A19" s="3" t="inlineStr">
        <is>
          <t>ISSUE-0018</t>
        </is>
      </c>
      <c r="B19" s="3" t="inlineStr">
        <is>
          <t>jeminise.com+personalized-baseball-bedding-full-size-flag-custom-name-d-design-08</t>
        </is>
      </c>
      <c r="C19" s="3" t="inlineStr"/>
      <c r="D19" s="3" t="inlineStr">
        <is>
          <t>LIMITATION</t>
        </is>
      </c>
      <c r="E19" s="3" t="inlineStr">
        <is>
          <t>keyword_evidence_level</t>
        </is>
      </c>
      <c r="F19" s="3" t="inlineStr">
        <is>
          <t>SERP_ONLY</t>
        </is>
      </c>
      <c r="G19" s="3" t="inlineStr">
        <is>
          <t>Only public SERP comparables are available.</t>
        </is>
      </c>
      <c r="H19" s="3" t="inlineStr">
        <is>
          <t>No Search Console, paid keyword volume or internal site search export was supplied.</t>
        </is>
      </c>
      <c r="I19" s="3" t="inlineStr">
        <is>
          <t>Keep demand statements qualitative; do not claim volume or ranking potential.</t>
        </is>
      </c>
      <c r="J19" s="3" t="inlineStr">
        <is>
          <t>Only public SERP comparables are available.</t>
        </is>
      </c>
      <c r="K19" s="3" t="inlineStr">
        <is>
          <t>Additional first-party or paid keyword evidence is attached, or limitation remains documented.</t>
        </is>
      </c>
    </row>
    <row r="20" ht="84" customHeight="1">
      <c r="A20" s="2" t="inlineStr">
        <is>
          <t>ISSUE-0019</t>
        </is>
      </c>
      <c r="B20" s="2" t="inlineStr">
        <is>
          <t>jeminise.com+personalized-baseball-bedding-full-size-flag-custom-name-d-design-08</t>
        </is>
      </c>
      <c r="C20" s="2" t="inlineStr">
        <is>
          <t>img_917b097f979b039b</t>
        </is>
      </c>
      <c r="D20" s="2" t="inlineStr">
        <is>
          <t>MINOR</t>
        </is>
      </c>
      <c r="E20" s="2" t="inlineStr">
        <is>
          <t>alt text</t>
        </is>
      </c>
      <c r="F20" s="2" t="inlineStr">
        <is>
          <t>Baseball Flag Bedding with Name and Number displayed in a main product mockup</t>
        </is>
      </c>
      <c r="G20" s="2" t="inlineStr">
        <is>
          <t>Fresh image file: D:\Shopify_Workspace\jeminise_seo\seo_runs\jeminise.com\20260906_234129\qa\20260907_213200\images\183_01.jpg; source URL: https://cdn.shopify.com/s/files/1/0792/5098/1063/files/d7ef02b64a3368ae8a6946c495c9fe3973509085263bc4e81d2b85c88e1e713b.jpg?v=1787242268</t>
        </is>
      </c>
      <c r="H20" s="2" t="inlineStr">
        <is>
          <t>Alt text is too generic or describes placement more than visible content.</t>
        </is>
      </c>
      <c r="I20" s="2" t="inlineStr">
        <is>
          <t>Rewrite observation/alt from the directly opened image, naming the visible motif and use context.</t>
        </is>
      </c>
      <c r="J20" s="2" t="inlineStr">
        <is>
          <t>Fresh image file: D:\Shopify_Workspace\jeminise_seo\seo_runs\jeminise.com\20260906_234129\qa\20260907_213200\images\183_01.jpg; source URL: https://cdn.shopify.com/s/files/1/0792/5098/1063/files/d7ef02b64a3368ae8a6946c495c9fe3973509085263bc4e81d2b85c88e1e713b.jpg?v=1787242268</t>
        </is>
      </c>
      <c r="K20" s="2" t="inlineStr">
        <is>
          <t>The image row accurately describes the actual media at this gallery position.</t>
        </is>
      </c>
    </row>
    <row r="21" ht="84" customHeight="1">
      <c r="A21" s="3" t="inlineStr">
        <is>
          <t>ISSUE-0020</t>
        </is>
      </c>
      <c r="B21" s="3" t="inlineStr">
        <is>
          <t>jeminise.com+personalized-baseball-bedding-full-size-flag-custom-name-d-design-08</t>
        </is>
      </c>
      <c r="C21" s="3" t="inlineStr">
        <is>
          <t>img_d933bd9216c93016</t>
        </is>
      </c>
      <c r="D21" s="3" t="inlineStr">
        <is>
          <t>MINOR</t>
        </is>
      </c>
      <c r="E21" s="3" t="inlineStr">
        <is>
          <t>image observation</t>
        </is>
      </c>
      <c r="F21" s="3" t="inlineStr">
        <is>
          <t>Bedding type, feature, lifestyle or material image for baseball flag bedding with block name and number.</t>
        </is>
      </c>
      <c r="G21" s="3" t="inlineStr">
        <is>
          <t>Fresh image file: D:\Shopify_Workspace\jeminise_seo\seo_runs\jeminise.com\20260906_234129\qa\20260907_213200\images\183_03.jpg; source URL: https://cdn.shopify.com/s/files/1/0792/5098/1063/files/b495d9b37eafdceff5caf3643256f7b3a83de826d49a14bdc531b13424296018_3877c96d-b8a8-48d7-b692-7581e5a24201.jpg?v=1787242268</t>
        </is>
      </c>
      <c r="H21" s="3" t="inlineStr">
        <is>
          <t>Observation is generic or position-based; rewrite from the actual image content.</t>
        </is>
      </c>
      <c r="I21" s="3" t="inlineStr">
        <is>
          <t>Rewrite observation/alt from the directly opened image, naming the visible motif and use context.</t>
        </is>
      </c>
      <c r="J21" s="3" t="inlineStr">
        <is>
          <t>Fresh image file: D:\Shopify_Workspace\jeminise_seo\seo_runs\jeminise.com\20260906_234129\qa\20260907_213200\images\183_03.jpg; source URL: https://cdn.shopify.com/s/files/1/0792/5098/1063/files/b495d9b37eafdceff5caf3643256f7b3a83de826d49a14bdc531b13424296018_3877c96d-b8a8-48d7-b692-7581e5a24201.jpg?v=1787242268</t>
        </is>
      </c>
      <c r="K21" s="3" t="inlineStr">
        <is>
          <t>The image row accurately describes the actual media at this gallery position.</t>
        </is>
      </c>
    </row>
    <row r="22" ht="84" customHeight="1">
      <c r="A22" s="2" t="inlineStr">
        <is>
          <t>ISSUE-0021</t>
        </is>
      </c>
      <c r="B22" s="2" t="inlineStr">
        <is>
          <t>jeminise.com+personalized-baseball-bedding-full-size-flag-custom-name-d-design-08</t>
        </is>
      </c>
      <c r="C22" s="2" t="inlineStr">
        <is>
          <t>img_0d141f050ca1e4bf</t>
        </is>
      </c>
      <c r="D22" s="2" t="inlineStr">
        <is>
          <t>MINOR</t>
        </is>
      </c>
      <c r="E22" s="2" t="inlineStr">
        <is>
          <t>image observation</t>
        </is>
      </c>
      <c r="F22" s="2" t="inlineStr">
        <is>
          <t>Detail, feature panel or lifestyle image connected to baseball flag bedding with block name and number.</t>
        </is>
      </c>
      <c r="G22" s="2" t="inlineStr">
        <is>
          <t>Fresh image file: D:\Shopify_Workspace\jeminise_seo\seo_runs\jeminise.com\20260906_234129\qa\20260907_213200\images\183_04.jpg; source URL: https://cdn.shopify.com/s/files/1/0792/5098/1063/files/d51e3360a3e4b984af63b01c4b53d517484ca3d6cb1beeea158bcf59acab9ed4_c65b84ca-8f37-4622-8981-67541f312bd9.jpg?v=1787242268</t>
        </is>
      </c>
      <c r="H22" s="2" t="inlineStr">
        <is>
          <t>Observation is generic or position-based; rewrite from the actual image content.</t>
        </is>
      </c>
      <c r="I22" s="2" t="inlineStr">
        <is>
          <t>Rewrite observation/alt from the directly opened image, naming the visible motif and use context.</t>
        </is>
      </c>
      <c r="J22" s="2" t="inlineStr">
        <is>
          <t>Fresh image file: D:\Shopify_Workspace\jeminise_seo\seo_runs\jeminise.com\20260906_234129\qa\20260907_213200\images\183_04.jpg; source URL: https://cdn.shopify.com/s/files/1/0792/5098/1063/files/d51e3360a3e4b984af63b01c4b53d517484ca3d6cb1beeea158bcf59acab9ed4_c65b84ca-8f37-4622-8981-67541f312bd9.jpg?v=1787242268</t>
        </is>
      </c>
      <c r="K22" s="2" t="inlineStr">
        <is>
          <t>The image row accurately describes the actual media at this gallery position.</t>
        </is>
      </c>
    </row>
    <row r="23" ht="84" customHeight="1">
      <c r="A23" s="3" t="inlineStr">
        <is>
          <t>ISSUE-0022</t>
        </is>
      </c>
      <c r="B23" s="3" t="inlineStr">
        <is>
          <t>jeminise.com+personalized-baseball-bedding-full-size-flag-custom-name-d-design-09</t>
        </is>
      </c>
      <c r="C23" s="3" t="inlineStr"/>
      <c r="D23" s="3" t="inlineStr">
        <is>
          <t>MAJOR</t>
        </is>
      </c>
      <c r="E23" s="3" t="inlineStr">
        <is>
          <t>description_proposed_html</t>
        </is>
      </c>
      <c r="F23" s="3" t="inlineStr">
        <is>
          <t>&lt;p&gt;This Jeminise comforter set features close-up baseball glove bedding with a baseball in the pocket and custom name printed on the ball, making it suited for baseball rooms, sports gifts, kids bedrooms or personalized fan bedding.&lt;/p&gt;&lt;h3&gt;Design Details&lt;/h3&gt;&lt;ul&gt;&lt;li&gt;Visible artwork: close-up baseball glove bedding with a baseball in the pocket and custom name printed on the ball.&lt;/li&gt;&lt;li&gt;Source product details include: Brand: Jeminise; Product T…</t>
        </is>
      </c>
      <c r="G23" s="3" t="inlineStr">
        <is>
          <t>Draft contains SEO Use / QA approval wording.</t>
        </is>
      </c>
      <c r="H23" s="3" t="inlineStr">
        <is>
          <t>Internal workflow language is not publish-ready storefront copy.</t>
        </is>
      </c>
      <c r="I23" s="3" t="inlineStr">
        <is>
          <t>Remove internal QA/import block and replace with customer-facing verified copy.</t>
        </is>
      </c>
      <c r="J23" s="3" t="inlineStr">
        <is>
          <t>Draft contains SEO Use / QA approval wording.</t>
        </is>
      </c>
      <c r="K23" s="3" t="inlineStr">
        <is>
          <t>Description HTML no longer contains SEO Use, QA, approval, import or draft language.</t>
        </is>
      </c>
    </row>
    <row r="24" ht="84" customHeight="1">
      <c r="A24" s="2" t="inlineStr">
        <is>
          <t>ISSUE-0023</t>
        </is>
      </c>
      <c r="B24" s="2" t="inlineStr">
        <is>
          <t>jeminise.com+personalized-baseball-bedding-full-size-flag-custom-name-d-design-09</t>
        </is>
      </c>
      <c r="C24" s="2" t="inlineStr"/>
      <c r="D24" s="2" t="inlineStr">
        <is>
          <t>MAJOR</t>
        </is>
      </c>
      <c r="E24" s="2" t="inlineStr">
        <is>
          <t>h1_proposed</t>
        </is>
      </c>
      <c r="F24" s="2" t="inlineStr"/>
      <c r="G24" s="2" t="inlineStr">
        <is>
          <t>The submitted workbook row has no proposed H1.</t>
        </is>
      </c>
      <c r="H24" s="2" t="inlineStr">
        <is>
          <t>A publishable SEO title/H1 pair is incomplete when the H1 field is blank.</t>
        </is>
      </c>
      <c r="I24" s="2" t="inlineStr">
        <is>
          <t>Write one English H1 that matches the verified product type and visible design; do not copy unsupported claims.</t>
        </is>
      </c>
      <c r="J24" s="2" t="inlineStr">
        <is>
          <t>The submitted workbook row has no proposed H1.</t>
        </is>
      </c>
      <c r="K24" s="2" t="inlineStr">
        <is>
          <t>Workbook contains a non-empty H1 and it is consistent with title, primary keyword and live product evidence.</t>
        </is>
      </c>
    </row>
    <row r="25" ht="84" customHeight="1">
      <c r="A25" s="3" t="inlineStr">
        <is>
          <t>ISSUE-0024</t>
        </is>
      </c>
      <c r="B25" s="3" t="inlineStr">
        <is>
          <t>jeminise.com+personalized-baseball-bedding-full-size-flag-custom-name-d-design-09</t>
        </is>
      </c>
      <c r="C25" s="3" t="inlineStr"/>
      <c r="D25" s="3" t="inlineStr">
        <is>
          <t>MINOR</t>
        </is>
      </c>
      <c r="E25" s="3" t="inlineStr">
        <is>
          <t>meta_description_seo</t>
        </is>
      </c>
      <c r="F25" s="3" t="inlineStr">
        <is>
          <t>Shop a comforter set featuring close-up baseball glove bedding with a baseball in the pocket and custom name printed on the ball. Review size and personalization options before checkout.</t>
        </is>
      </c>
      <c r="G25" s="3" t="inlineStr">
        <is>
          <t>Meta description length is 186 characters.</t>
        </is>
      </c>
      <c r="H25" s="3" t="inlineStr">
        <is>
          <t>Likely to truncate in search results and repeats review/personality wording in several rows.</t>
        </is>
      </c>
      <c r="I25" s="3" t="inlineStr">
        <is>
          <t>Rewrite to roughly 145-155 characters while preserving verified design and product type.</t>
        </is>
      </c>
      <c r="J25" s="3" t="inlineStr">
        <is>
          <t>Meta description length is 186 characters.</t>
        </is>
      </c>
      <c r="K25" s="3" t="inlineStr">
        <is>
          <t>Length check &lt;=160 characters and no unsupported claim remains.</t>
        </is>
      </c>
    </row>
    <row r="26" ht="84" customHeight="1">
      <c r="A26" s="2" t="inlineStr">
        <is>
          <t>ISSUE-0025</t>
        </is>
      </c>
      <c r="B26" s="2" t="inlineStr">
        <is>
          <t>jeminise.com+personalized-baseball-bedding-full-size-flag-custom-name-d-design-09</t>
        </is>
      </c>
      <c r="C26" s="2" t="inlineStr"/>
      <c r="D26" s="2" t="inlineStr">
        <is>
          <t>LIMITATION</t>
        </is>
      </c>
      <c r="E26" s="2" t="inlineStr">
        <is>
          <t>keyword_evidence_level</t>
        </is>
      </c>
      <c r="F26" s="2" t="inlineStr">
        <is>
          <t>SERP_ONLY</t>
        </is>
      </c>
      <c r="G26" s="2" t="inlineStr">
        <is>
          <t>Only public SERP comparables are available.</t>
        </is>
      </c>
      <c r="H26" s="2" t="inlineStr">
        <is>
          <t>No Search Console, paid keyword volume or internal site search export was supplied.</t>
        </is>
      </c>
      <c r="I26" s="2" t="inlineStr">
        <is>
          <t>Keep demand statements qualitative; do not claim volume or ranking potential.</t>
        </is>
      </c>
      <c r="J26" s="2" t="inlineStr">
        <is>
          <t>Only public SERP comparables are available.</t>
        </is>
      </c>
      <c r="K26" s="2" t="inlineStr">
        <is>
          <t>Additional first-party or paid keyword evidence is attached, or limitation remains documented.</t>
        </is>
      </c>
    </row>
    <row r="27" ht="84" customHeight="1">
      <c r="A27" s="3" t="inlineStr">
        <is>
          <t>ISSUE-0026</t>
        </is>
      </c>
      <c r="B27" s="3" t="inlineStr">
        <is>
          <t>jeminise.com+personalized-baseball-bedding-full-size-flag-custom-name-d-design-09</t>
        </is>
      </c>
      <c r="C27" s="3" t="inlineStr">
        <is>
          <t>img_6af2d126831eaac7</t>
        </is>
      </c>
      <c r="D27" s="3" t="inlineStr">
        <is>
          <t>MINOR</t>
        </is>
      </c>
      <c r="E27" s="3" t="inlineStr">
        <is>
          <t>alt text</t>
        </is>
      </c>
      <c r="F27" s="3" t="inlineStr">
        <is>
          <t>Close-Up Baseball Glove Bedding with Custom Name displayed in a main product mockup</t>
        </is>
      </c>
      <c r="G27" s="3" t="inlineStr">
        <is>
          <t>Fresh image file: D:\Shopify_Workspace\jeminise_seo\seo_runs\jeminise.com\20260906_234129\qa\20260907_213200\images\184_01.jpg; source URL: https://cdn.shopify.com/s/files/1/0792/5098/1063/files/ad1a0a46240535a46c26f855ffd00e82b017da0d977031a8d571f984de139fa4.jpg?v=1787242271</t>
        </is>
      </c>
      <c r="H27" s="3" t="inlineStr">
        <is>
          <t>Alt text is too generic or describes placement more than visible content.</t>
        </is>
      </c>
      <c r="I27" s="3" t="inlineStr">
        <is>
          <t>Rewrite observation/alt from the directly opened image, naming the visible motif and use context.</t>
        </is>
      </c>
      <c r="J27" s="3" t="inlineStr">
        <is>
          <t>Fresh image file: D:\Shopify_Workspace\jeminise_seo\seo_runs\jeminise.com\20260906_234129\qa\20260907_213200\images\184_01.jpg; source URL: https://cdn.shopify.com/s/files/1/0792/5098/1063/files/ad1a0a46240535a46c26f855ffd00e82b017da0d977031a8d571f984de139fa4.jpg?v=1787242271</t>
        </is>
      </c>
      <c r="K27" s="3" t="inlineStr">
        <is>
          <t>The image row accurately describes the actual media at this gallery position.</t>
        </is>
      </c>
    </row>
    <row r="28" ht="84" customHeight="1">
      <c r="A28" s="2" t="inlineStr">
        <is>
          <t>ISSUE-0027</t>
        </is>
      </c>
      <c r="B28" s="2" t="inlineStr">
        <is>
          <t>jeminise.com+personalized-baseball-bedding-full-size-flag-custom-name-d-design-09</t>
        </is>
      </c>
      <c r="C28" s="2" t="inlineStr">
        <is>
          <t>img_56823dd4b8c8073c</t>
        </is>
      </c>
      <c r="D28" s="2" t="inlineStr">
        <is>
          <t>MINOR</t>
        </is>
      </c>
      <c r="E28" s="2" t="inlineStr">
        <is>
          <t>image observation</t>
        </is>
      </c>
      <c r="F28" s="2" t="inlineStr">
        <is>
          <t>Bedding type, feature, lifestyle or material image for close-up baseball glove bedding with name on ball.</t>
        </is>
      </c>
      <c r="G28" s="2" t="inlineStr">
        <is>
          <t>Fresh image file: D:\Shopify_Workspace\jeminise_seo\seo_runs\jeminise.com\20260906_234129\qa\20260907_213200\images\184_03.jpg; source URL: https://cdn.shopify.com/s/files/1/0792/5098/1063/files/b495d9b37eafdceff5caf3643256f7b3a83de826d49a14bdc531b13424296018_a9af7380-bde6-4035-ac19-c62306508770.jpg?v=1787242271</t>
        </is>
      </c>
      <c r="H28" s="2" t="inlineStr">
        <is>
          <t>Observation is generic or position-based; rewrite from the actual image content.</t>
        </is>
      </c>
      <c r="I28" s="2" t="inlineStr">
        <is>
          <t>Rewrite observation/alt from the directly opened image, naming the visible motif and use context.</t>
        </is>
      </c>
      <c r="J28" s="2" t="inlineStr">
        <is>
          <t>Fresh image file: D:\Shopify_Workspace\jeminise_seo\seo_runs\jeminise.com\20260906_234129\qa\20260907_213200\images\184_03.jpg; source URL: https://cdn.shopify.com/s/files/1/0792/5098/1063/files/b495d9b37eafdceff5caf3643256f7b3a83de826d49a14bdc531b13424296018_a9af7380-bde6-4035-ac19-c62306508770.jpg?v=1787242271</t>
        </is>
      </c>
      <c r="K28" s="2" t="inlineStr">
        <is>
          <t>The image row accurately describes the actual media at this gallery position.</t>
        </is>
      </c>
    </row>
    <row r="29" ht="84" customHeight="1">
      <c r="A29" s="3" t="inlineStr">
        <is>
          <t>ISSUE-0028</t>
        </is>
      </c>
      <c r="B29" s="3" t="inlineStr">
        <is>
          <t>jeminise.com+personalized-baseball-bedding-full-size-flag-custom-name-d-design-09</t>
        </is>
      </c>
      <c r="C29" s="3" t="inlineStr">
        <is>
          <t>img_e4beae7adbaab5a4</t>
        </is>
      </c>
      <c r="D29" s="3" t="inlineStr">
        <is>
          <t>MINOR</t>
        </is>
      </c>
      <c r="E29" s="3" t="inlineStr">
        <is>
          <t>image observation</t>
        </is>
      </c>
      <c r="F29" s="3" t="inlineStr">
        <is>
          <t>Detail, feature panel or lifestyle image connected to close-up baseball glove bedding with name on ball.</t>
        </is>
      </c>
      <c r="G29" s="3" t="inlineStr">
        <is>
          <t>Fresh image file: D:\Shopify_Workspace\jeminise_seo\seo_runs\jeminise.com\20260906_234129\qa\20260907_213200\images\184_04.jpg; source URL: https://cdn.shopify.com/s/files/1/0792/5098/1063/files/d51e3360a3e4b984af63b01c4b53d517484ca3d6cb1beeea158bcf59acab9ed4_523261ef-06a8-4366-b19d-491b7d9fff42.jpg?v=1787242271</t>
        </is>
      </c>
      <c r="H29" s="3" t="inlineStr">
        <is>
          <t>Observation is generic or position-based; rewrite from the actual image content.</t>
        </is>
      </c>
      <c r="I29" s="3" t="inlineStr">
        <is>
          <t>Rewrite observation/alt from the directly opened image, naming the visible motif and use context.</t>
        </is>
      </c>
      <c r="J29" s="3" t="inlineStr">
        <is>
          <t>Fresh image file: D:\Shopify_Workspace\jeminise_seo\seo_runs\jeminise.com\20260906_234129\qa\20260907_213200\images\184_04.jpg; source URL: https://cdn.shopify.com/s/files/1/0792/5098/1063/files/d51e3360a3e4b984af63b01c4b53d517484ca3d6cb1beeea158bcf59acab9ed4_523261ef-06a8-4366-b19d-491b7d9fff42.jpg?v=1787242271</t>
        </is>
      </c>
      <c r="K29" s="3" t="inlineStr">
        <is>
          <t>The image row accurately describes the actual media at this gallery position.</t>
        </is>
      </c>
    </row>
    <row r="30" ht="84" customHeight="1">
      <c r="A30" s="2" t="inlineStr">
        <is>
          <t>ISSUE-0029</t>
        </is>
      </c>
      <c r="B30" s="2" t="inlineStr">
        <is>
          <t>jeminise.com+personalized-baseball-bedding-full-size-flag-custom-name-d-design-10</t>
        </is>
      </c>
      <c r="C30" s="2" t="inlineStr"/>
      <c r="D30" s="2" t="inlineStr">
        <is>
          <t>MAJOR</t>
        </is>
      </c>
      <c r="E30" s="2" t="inlineStr">
        <is>
          <t>description_proposed_html</t>
        </is>
      </c>
      <c r="F30" s="2" t="inlineStr">
        <is>
          <t>&lt;p&gt;This Jeminise comforter set features distressed American flag bedding with gray baseball glove artwork, large custom name and matching baseball pillow shams, making it suited for baseball rooms, sports gifts, kids bedrooms or personalized fan bedding.&lt;/p&gt;&lt;h3&gt;Design Details&lt;/h3&gt;&lt;ul&gt;&lt;li&gt;Visible artwork: distressed American flag bedding with gray baseball glove artwork, large custom name and matching baseball pillow shams.&lt;/li&gt;&lt;li&gt;Source product…</t>
        </is>
      </c>
      <c r="G30" s="2" t="inlineStr">
        <is>
          <t>Draft contains SEO Use / QA approval wording.</t>
        </is>
      </c>
      <c r="H30" s="2" t="inlineStr">
        <is>
          <t>Internal workflow language is not publish-ready storefront copy.</t>
        </is>
      </c>
      <c r="I30" s="2" t="inlineStr">
        <is>
          <t>Remove internal QA/import block and replace with customer-facing verified copy.</t>
        </is>
      </c>
      <c r="J30" s="2" t="inlineStr">
        <is>
          <t>Draft contains SEO Use / QA approval wording.</t>
        </is>
      </c>
      <c r="K30" s="2" t="inlineStr">
        <is>
          <t>Description HTML no longer contains SEO Use, QA, approval, import or draft language.</t>
        </is>
      </c>
    </row>
    <row r="31" ht="84" customHeight="1">
      <c r="A31" s="3" t="inlineStr">
        <is>
          <t>ISSUE-0030</t>
        </is>
      </c>
      <c r="B31" s="3" t="inlineStr">
        <is>
          <t>jeminise.com+personalized-baseball-bedding-full-size-flag-custom-name-d-design-10</t>
        </is>
      </c>
      <c r="C31" s="3" t="inlineStr"/>
      <c r="D31" s="3" t="inlineStr">
        <is>
          <t>MAJOR</t>
        </is>
      </c>
      <c r="E31" s="3" t="inlineStr">
        <is>
          <t>h1_proposed</t>
        </is>
      </c>
      <c r="F31" s="3" t="inlineStr"/>
      <c r="G31" s="3" t="inlineStr">
        <is>
          <t>The submitted workbook row has no proposed H1.</t>
        </is>
      </c>
      <c r="H31" s="3" t="inlineStr">
        <is>
          <t>A publishable SEO title/H1 pair is incomplete when the H1 field is blank.</t>
        </is>
      </c>
      <c r="I31" s="3" t="inlineStr">
        <is>
          <t>Write one English H1 that matches the verified product type and visible design; do not copy unsupported claims.</t>
        </is>
      </c>
      <c r="J31" s="3" t="inlineStr">
        <is>
          <t>The submitted workbook row has no proposed H1.</t>
        </is>
      </c>
      <c r="K31" s="3" t="inlineStr">
        <is>
          <t>Workbook contains a non-empty H1 and it is consistent with title, primary keyword and live product evidence.</t>
        </is>
      </c>
    </row>
    <row r="32" ht="84" customHeight="1">
      <c r="A32" s="2" t="inlineStr">
        <is>
          <t>ISSUE-0031</t>
        </is>
      </c>
      <c r="B32" s="2" t="inlineStr">
        <is>
          <t>jeminise.com+personalized-baseball-bedding-full-size-flag-custom-name-d-design-10</t>
        </is>
      </c>
      <c r="C32" s="2" t="inlineStr"/>
      <c r="D32" s="2" t="inlineStr">
        <is>
          <t>MINOR</t>
        </is>
      </c>
      <c r="E32" s="2" t="inlineStr">
        <is>
          <t>meta_description_seo</t>
        </is>
      </c>
      <c r="F32" s="2" t="inlineStr">
        <is>
          <t>Shop a comforter set featuring distressed American flag bedding with gray baseball glove artwork, large custom name and matching baseball pillow shams. Review size and personalization options before checkout.</t>
        </is>
      </c>
      <c r="G32" s="2" t="inlineStr">
        <is>
          <t>Meta description length is 208 characters.</t>
        </is>
      </c>
      <c r="H32" s="2" t="inlineStr">
        <is>
          <t>Likely to truncate in search results and repeats review/personality wording in several rows.</t>
        </is>
      </c>
      <c r="I32" s="2" t="inlineStr">
        <is>
          <t>Rewrite to roughly 145-155 characters while preserving verified design and product type.</t>
        </is>
      </c>
      <c r="J32" s="2" t="inlineStr">
        <is>
          <t>Meta description length is 208 characters.</t>
        </is>
      </c>
      <c r="K32" s="2" t="inlineStr">
        <is>
          <t>Length check &lt;=160 characters and no unsupported claim remains.</t>
        </is>
      </c>
    </row>
    <row r="33" ht="84" customHeight="1">
      <c r="A33" s="3" t="inlineStr">
        <is>
          <t>ISSUE-0032</t>
        </is>
      </c>
      <c r="B33" s="3" t="inlineStr">
        <is>
          <t>jeminise.com+personalized-baseball-bedding-full-size-flag-custom-name-d-design-10</t>
        </is>
      </c>
      <c r="C33" s="3" t="inlineStr"/>
      <c r="D33" s="3" t="inlineStr">
        <is>
          <t>LIMITATION</t>
        </is>
      </c>
      <c r="E33" s="3" t="inlineStr">
        <is>
          <t>keyword_evidence_level</t>
        </is>
      </c>
      <c r="F33" s="3" t="inlineStr">
        <is>
          <t>SERP_ONLY</t>
        </is>
      </c>
      <c r="G33" s="3" t="inlineStr">
        <is>
          <t>Only public SERP comparables are available.</t>
        </is>
      </c>
      <c r="H33" s="3" t="inlineStr">
        <is>
          <t>No Search Console, paid keyword volume or internal site search export was supplied.</t>
        </is>
      </c>
      <c r="I33" s="3" t="inlineStr">
        <is>
          <t>Keep demand statements qualitative; do not claim volume or ranking potential.</t>
        </is>
      </c>
      <c r="J33" s="3" t="inlineStr">
        <is>
          <t>Only public SERP comparables are available.</t>
        </is>
      </c>
      <c r="K33" s="3" t="inlineStr">
        <is>
          <t>Additional first-party or paid keyword evidence is attached, or limitation remains documented.</t>
        </is>
      </c>
    </row>
    <row r="34" ht="84" customHeight="1">
      <c r="A34" s="2" t="inlineStr">
        <is>
          <t>ISSUE-0033</t>
        </is>
      </c>
      <c r="B34" s="2" t="inlineStr">
        <is>
          <t>jeminise.com+personalized-baseball-bedding-full-size-flag-custom-name-d-design-10</t>
        </is>
      </c>
      <c r="C34" s="2" t="inlineStr">
        <is>
          <t>img_9946633a0d233cf0</t>
        </is>
      </c>
      <c r="D34" s="2" t="inlineStr">
        <is>
          <t>MINOR</t>
        </is>
      </c>
      <c r="E34" s="2" t="inlineStr">
        <is>
          <t>alt text</t>
        </is>
      </c>
      <c r="F34" s="2" t="inlineStr">
        <is>
          <t>Gray Baseball American Flag Bedding with Custom Name displayed in a main product mockup</t>
        </is>
      </c>
      <c r="G34" s="2" t="inlineStr">
        <is>
          <t>Fresh image file: D:\Shopify_Workspace\jeminise_seo\seo_runs\jeminise.com\20260906_234129\qa\20260907_213200\images\185_01.jpg; source URL: https://cdn.shopify.com/s/files/1/0792/5098/1063/files/a27913d40501b499872e0b61d72972490feb3fd1abfed5542443b010f312b255.jpg?v=1787242278</t>
        </is>
      </c>
      <c r="H34" s="2" t="inlineStr">
        <is>
          <t>Alt text is too generic or describes placement more than visible content.</t>
        </is>
      </c>
      <c r="I34" s="2" t="inlineStr">
        <is>
          <t>Rewrite observation/alt from the directly opened image, naming the visible motif and use context.</t>
        </is>
      </c>
      <c r="J34" s="2" t="inlineStr">
        <is>
          <t>Fresh image file: D:\Shopify_Workspace\jeminise_seo\seo_runs\jeminise.com\20260906_234129\qa\20260907_213200\images\185_01.jpg; source URL: https://cdn.shopify.com/s/files/1/0792/5098/1063/files/a27913d40501b499872e0b61d72972490feb3fd1abfed5542443b010f312b255.jpg?v=1787242278</t>
        </is>
      </c>
      <c r="K34" s="2" t="inlineStr">
        <is>
          <t>The image row accurately describes the actual media at this gallery position.</t>
        </is>
      </c>
    </row>
    <row r="35" ht="84" customHeight="1">
      <c r="A35" s="3" t="inlineStr">
        <is>
          <t>ISSUE-0034</t>
        </is>
      </c>
      <c r="B35" s="3" t="inlineStr">
        <is>
          <t>jeminise.com+personalized-baseball-bedding-full-size-flag-custom-name-d-design-10</t>
        </is>
      </c>
      <c r="C35" s="3" t="inlineStr">
        <is>
          <t>img_c6ebb7f5eb000015</t>
        </is>
      </c>
      <c r="D35" s="3" t="inlineStr">
        <is>
          <t>MINOR</t>
        </is>
      </c>
      <c r="E35" s="3" t="inlineStr">
        <is>
          <t>image observation</t>
        </is>
      </c>
      <c r="F35" s="3" t="inlineStr">
        <is>
          <t>Bedding type, feature, lifestyle or material image for gray baseball American flag bedding with custom name.</t>
        </is>
      </c>
      <c r="G35" s="3" t="inlineStr">
        <is>
          <t>Fresh image file: D:\Shopify_Workspace\jeminise_seo\seo_runs\jeminise.com\20260906_234129\qa\20260907_213200\images\185_03.jpg; source URL: https://cdn.shopify.com/s/files/1/0792/5098/1063/files/b495d9b37eafdceff5caf3643256f7b3a83de826d49a14bdc531b13424296018_fc64c3a9-5a16-49e8-87b6-c62c8bc5e8c1.jpg?v=1787242278</t>
        </is>
      </c>
      <c r="H35" s="3" t="inlineStr">
        <is>
          <t>Observation is generic or position-based; rewrite from the actual image content.</t>
        </is>
      </c>
      <c r="I35" s="3" t="inlineStr">
        <is>
          <t>Rewrite observation/alt from the directly opened image, naming the visible motif and use context.</t>
        </is>
      </c>
      <c r="J35" s="3" t="inlineStr">
        <is>
          <t>Fresh image file: D:\Shopify_Workspace\jeminise_seo\seo_runs\jeminise.com\20260906_234129\qa\20260907_213200\images\185_03.jpg; source URL: https://cdn.shopify.com/s/files/1/0792/5098/1063/files/b495d9b37eafdceff5caf3643256f7b3a83de826d49a14bdc531b13424296018_fc64c3a9-5a16-49e8-87b6-c62c8bc5e8c1.jpg?v=1787242278</t>
        </is>
      </c>
      <c r="K35" s="3" t="inlineStr">
        <is>
          <t>The image row accurately describes the actual media at this gallery position.</t>
        </is>
      </c>
    </row>
    <row r="36" ht="84" customHeight="1">
      <c r="A36" s="2" t="inlineStr">
        <is>
          <t>ISSUE-0035</t>
        </is>
      </c>
      <c r="B36" s="2" t="inlineStr">
        <is>
          <t>jeminise.com+personalized-baseball-bedding-full-size-flag-custom-name-d-design-10</t>
        </is>
      </c>
      <c r="C36" s="2" t="inlineStr">
        <is>
          <t>img_b7a0e73f07d0e2a7</t>
        </is>
      </c>
      <c r="D36" s="2" t="inlineStr">
        <is>
          <t>MINOR</t>
        </is>
      </c>
      <c r="E36" s="2" t="inlineStr">
        <is>
          <t>image observation</t>
        </is>
      </c>
      <c r="F36" s="2" t="inlineStr">
        <is>
          <t>Detail, feature panel or lifestyle image connected to gray baseball American flag bedding with custom name.</t>
        </is>
      </c>
      <c r="G36" s="2" t="inlineStr">
        <is>
          <t>Fresh image file: D:\Shopify_Workspace\jeminise_seo\seo_runs\jeminise.com\20260906_234129\qa\20260907_213200\images\185_04.jpg; source URL: https://cdn.shopify.com/s/files/1/0792/5098/1063/files/d51e3360a3e4b984af63b01c4b53d517484ca3d6cb1beeea158bcf59acab9ed4_9ce1ba98-3a33-4391-8d41-14c8fc28382d.jpg?v=1787242278</t>
        </is>
      </c>
      <c r="H36" s="2" t="inlineStr">
        <is>
          <t>Observation is generic or position-based; rewrite from the actual image content.</t>
        </is>
      </c>
      <c r="I36" s="2" t="inlineStr">
        <is>
          <t>Rewrite observation/alt from the directly opened image, naming the visible motif and use context.</t>
        </is>
      </c>
      <c r="J36" s="2" t="inlineStr">
        <is>
          <t>Fresh image file: D:\Shopify_Workspace\jeminise_seo\seo_runs\jeminise.com\20260906_234129\qa\20260907_213200\images\185_04.jpg; source URL: https://cdn.shopify.com/s/files/1/0792/5098/1063/files/d51e3360a3e4b984af63b01c4b53d517484ca3d6cb1beeea158bcf59acab9ed4_9ce1ba98-3a33-4391-8d41-14c8fc28382d.jpg?v=1787242278</t>
        </is>
      </c>
      <c r="K36" s="2" t="inlineStr">
        <is>
          <t>The image row accurately describes the actual media at this gallery position.</t>
        </is>
      </c>
    </row>
    <row r="37" ht="84" customHeight="1">
      <c r="A37" s="3" t="inlineStr">
        <is>
          <t>ISSUE-0036</t>
        </is>
      </c>
      <c r="B37" s="3" t="inlineStr">
        <is>
          <t>jeminise.com+personalized-baseball-bedding-full-size-flag-custom-name-d-design-11</t>
        </is>
      </c>
      <c r="C37" s="3" t="inlineStr"/>
      <c r="D37" s="3" t="inlineStr">
        <is>
          <t>MAJOR</t>
        </is>
      </c>
      <c r="E37" s="3" t="inlineStr">
        <is>
          <t>description_proposed_html</t>
        </is>
      </c>
      <c r="F37" s="3" t="inlineStr">
        <is>
          <t>&lt;p&gt;This Jeminise comforter set features red, white and blue baseball bedding with repeated baseball pattern, stripes, jersey number and large custom name, making it suited for baseball rooms, sports gifts, kids bedrooms or personalized fan bedding.&lt;/p&gt;&lt;h3&gt;Design Details&lt;/h3&gt;&lt;ul&gt;&lt;li&gt;Visible artwork: red, white and blue baseball bedding with repeated baseball pattern, stripes, jersey number and large custom name.&lt;/li&gt;&lt;li&gt;Source product details inc…</t>
        </is>
      </c>
      <c r="G37" s="3" t="inlineStr">
        <is>
          <t>Draft contains SEO Use / QA approval wording.</t>
        </is>
      </c>
      <c r="H37" s="3" t="inlineStr">
        <is>
          <t>Internal workflow language is not publish-ready storefront copy.</t>
        </is>
      </c>
      <c r="I37" s="3" t="inlineStr">
        <is>
          <t>Remove internal QA/import block and replace with customer-facing verified copy.</t>
        </is>
      </c>
      <c r="J37" s="3" t="inlineStr">
        <is>
          <t>Draft contains SEO Use / QA approval wording.</t>
        </is>
      </c>
      <c r="K37" s="3" t="inlineStr">
        <is>
          <t>Description HTML no longer contains SEO Use, QA, approval, import or draft language.</t>
        </is>
      </c>
    </row>
    <row r="38" ht="84" customHeight="1">
      <c r="A38" s="2" t="inlineStr">
        <is>
          <t>ISSUE-0037</t>
        </is>
      </c>
      <c r="B38" s="2" t="inlineStr">
        <is>
          <t>jeminise.com+personalized-baseball-bedding-full-size-flag-custom-name-d-design-11</t>
        </is>
      </c>
      <c r="C38" s="2" t="inlineStr"/>
      <c r="D38" s="2" t="inlineStr">
        <is>
          <t>MAJOR</t>
        </is>
      </c>
      <c r="E38" s="2" t="inlineStr">
        <is>
          <t>h1_proposed</t>
        </is>
      </c>
      <c r="F38" s="2" t="inlineStr"/>
      <c r="G38" s="2" t="inlineStr">
        <is>
          <t>The submitted workbook row has no proposed H1.</t>
        </is>
      </c>
      <c r="H38" s="2" t="inlineStr">
        <is>
          <t>A publishable SEO title/H1 pair is incomplete when the H1 field is blank.</t>
        </is>
      </c>
      <c r="I38" s="2" t="inlineStr">
        <is>
          <t>Write one English H1 that matches the verified product type and visible design; do not copy unsupported claims.</t>
        </is>
      </c>
      <c r="J38" s="2" t="inlineStr">
        <is>
          <t>The submitted workbook row has no proposed H1.</t>
        </is>
      </c>
      <c r="K38" s="2" t="inlineStr">
        <is>
          <t>Workbook contains a non-empty H1 and it is consistent with title, primary keyword and live product evidence.</t>
        </is>
      </c>
    </row>
    <row r="39" ht="84" customHeight="1">
      <c r="A39" s="3" t="inlineStr">
        <is>
          <t>ISSUE-0038</t>
        </is>
      </c>
      <c r="B39" s="3" t="inlineStr">
        <is>
          <t>jeminise.com+personalized-baseball-bedding-full-size-flag-custom-name-d-design-11</t>
        </is>
      </c>
      <c r="C39" s="3" t="inlineStr"/>
      <c r="D39" s="3" t="inlineStr">
        <is>
          <t>MINOR</t>
        </is>
      </c>
      <c r="E39" s="3" t="inlineStr">
        <is>
          <t>meta_description_seo</t>
        </is>
      </c>
      <c r="F39" s="3" t="inlineStr">
        <is>
          <t>Shop a comforter set featuring red, white and blue baseball bedding with repeated baseball pattern, stripes, jersey number and large custom name. Review size and personalization options before checkout.</t>
        </is>
      </c>
      <c r="G39" s="3" t="inlineStr">
        <is>
          <t>Meta description length is 202 characters.</t>
        </is>
      </c>
      <c r="H39" s="3" t="inlineStr">
        <is>
          <t>Likely to truncate in search results and repeats review/personality wording in several rows.</t>
        </is>
      </c>
      <c r="I39" s="3" t="inlineStr">
        <is>
          <t>Rewrite to roughly 145-155 characters while preserving verified design and product type.</t>
        </is>
      </c>
      <c r="J39" s="3" t="inlineStr">
        <is>
          <t>Meta description length is 202 characters.</t>
        </is>
      </c>
      <c r="K39" s="3" t="inlineStr">
        <is>
          <t>Length check &lt;=160 characters and no unsupported claim remains.</t>
        </is>
      </c>
    </row>
    <row r="40" ht="84" customHeight="1">
      <c r="A40" s="2" t="inlineStr">
        <is>
          <t>ISSUE-0039</t>
        </is>
      </c>
      <c r="B40" s="2" t="inlineStr">
        <is>
          <t>jeminise.com+personalized-baseball-bedding-full-size-flag-custom-name-d-design-11</t>
        </is>
      </c>
      <c r="C40" s="2" t="inlineStr"/>
      <c r="D40" s="2" t="inlineStr">
        <is>
          <t>LIMITATION</t>
        </is>
      </c>
      <c r="E40" s="2" t="inlineStr">
        <is>
          <t>keyword_evidence_level</t>
        </is>
      </c>
      <c r="F40" s="2" t="inlineStr">
        <is>
          <t>SERP_ONLY</t>
        </is>
      </c>
      <c r="G40" s="2" t="inlineStr">
        <is>
          <t>Only public SERP comparables are available.</t>
        </is>
      </c>
      <c r="H40" s="2" t="inlineStr">
        <is>
          <t>No Search Console, paid keyword volume or internal site search export was supplied.</t>
        </is>
      </c>
      <c r="I40" s="2" t="inlineStr">
        <is>
          <t>Keep demand statements qualitative; do not claim volume or ranking potential.</t>
        </is>
      </c>
      <c r="J40" s="2" t="inlineStr">
        <is>
          <t>Only public SERP comparables are available.</t>
        </is>
      </c>
      <c r="K40" s="2" t="inlineStr">
        <is>
          <t>Additional first-party or paid keyword evidence is attached, or limitation remains documented.</t>
        </is>
      </c>
    </row>
    <row r="41" ht="84" customHeight="1">
      <c r="A41" s="3" t="inlineStr">
        <is>
          <t>ISSUE-0040</t>
        </is>
      </c>
      <c r="B41" s="3" t="inlineStr">
        <is>
          <t>jeminise.com+personalized-baseball-bedding-full-size-flag-custom-name-d-design-11</t>
        </is>
      </c>
      <c r="C41" s="3" t="inlineStr">
        <is>
          <t>img_ef9952a5ee1732e2</t>
        </is>
      </c>
      <c r="D41" s="3" t="inlineStr">
        <is>
          <t>MINOR</t>
        </is>
      </c>
      <c r="E41" s="3" t="inlineStr">
        <is>
          <t>alt text</t>
        </is>
      </c>
      <c r="F41" s="3" t="inlineStr">
        <is>
          <t>Red White Blue Baseball Pattern Bedding with Custom Name displayed in a main product mockup</t>
        </is>
      </c>
      <c r="G41" s="3" t="inlineStr">
        <is>
          <t>Fresh image file: D:\Shopify_Workspace\jeminise_seo\seo_runs\jeminise.com\20260906_234129\qa\20260907_213200\images\186_01.jpg; source URL: https://cdn.shopify.com/s/files/1/0792/5098/1063/files/22091bb4460b1736aafe487d9cb3bf7932306548fd638c8bce4e656da29f9e32.jpg?v=1787242281</t>
        </is>
      </c>
      <c r="H41" s="3" t="inlineStr">
        <is>
          <t>Alt text is too generic or describes placement more than visible content.</t>
        </is>
      </c>
      <c r="I41" s="3" t="inlineStr">
        <is>
          <t>Rewrite observation/alt from the directly opened image, naming the visible motif and use context.</t>
        </is>
      </c>
      <c r="J41" s="3" t="inlineStr">
        <is>
          <t>Fresh image file: D:\Shopify_Workspace\jeminise_seo\seo_runs\jeminise.com\20260906_234129\qa\20260907_213200\images\186_01.jpg; source URL: https://cdn.shopify.com/s/files/1/0792/5098/1063/files/22091bb4460b1736aafe487d9cb3bf7932306548fd638c8bce4e656da29f9e32.jpg?v=1787242281</t>
        </is>
      </c>
      <c r="K41" s="3" t="inlineStr">
        <is>
          <t>The image row accurately describes the actual media at this gallery position.</t>
        </is>
      </c>
    </row>
    <row r="42" ht="84" customHeight="1">
      <c r="A42" s="2" t="inlineStr">
        <is>
          <t>ISSUE-0041</t>
        </is>
      </c>
      <c r="B42" s="2" t="inlineStr">
        <is>
          <t>jeminise.com+personalized-baseball-bedding-full-size-flag-custom-name-d-design-11</t>
        </is>
      </c>
      <c r="C42" s="2" t="inlineStr">
        <is>
          <t>img_f71754fb58263918</t>
        </is>
      </c>
      <c r="D42" s="2" t="inlineStr">
        <is>
          <t>MINOR</t>
        </is>
      </c>
      <c r="E42" s="2" t="inlineStr">
        <is>
          <t>image observation</t>
        </is>
      </c>
      <c r="F42" s="2" t="inlineStr">
        <is>
          <t>Bedding type, feature, lifestyle or material image for red white blue baseball pattern bedding with name.</t>
        </is>
      </c>
      <c r="G42" s="2" t="inlineStr">
        <is>
          <t>Fresh image file: D:\Shopify_Workspace\jeminise_seo\seo_runs\jeminise.com\20260906_234129\qa\20260907_213200\images\186_03.jpg; source URL: https://cdn.shopify.com/s/files/1/0792/5098/1063/files/d51e3360a3e4b984af63b01c4b53d517484ca3d6cb1beeea158bcf59acab9ed4_cf393115-0105-4a38-adfb-49228eb39c22.jpg?v=1787242281</t>
        </is>
      </c>
      <c r="H42" s="2" t="inlineStr">
        <is>
          <t>Observation is generic or position-based; rewrite from the actual image content.</t>
        </is>
      </c>
      <c r="I42" s="2" t="inlineStr">
        <is>
          <t>Rewrite observation/alt from the directly opened image, naming the visible motif and use context.</t>
        </is>
      </c>
      <c r="J42" s="2" t="inlineStr">
        <is>
          <t>Fresh image file: D:\Shopify_Workspace\jeminise_seo\seo_runs\jeminise.com\20260906_234129\qa\20260907_213200\images\186_03.jpg; source URL: https://cdn.shopify.com/s/files/1/0792/5098/1063/files/d51e3360a3e4b984af63b01c4b53d517484ca3d6cb1beeea158bcf59acab9ed4_cf393115-0105-4a38-adfb-49228eb39c22.jpg?v=1787242281</t>
        </is>
      </c>
      <c r="K42" s="2" t="inlineStr">
        <is>
          <t>The image row accurately describes the actual media at this gallery position.</t>
        </is>
      </c>
    </row>
    <row r="43" ht="84" customHeight="1">
      <c r="A43" s="3" t="inlineStr">
        <is>
          <t>ISSUE-0042</t>
        </is>
      </c>
      <c r="B43" s="3" t="inlineStr">
        <is>
          <t>jeminise.com+personalized-baseball-bedding-full-size-flag-custom-name-d-design-11</t>
        </is>
      </c>
      <c r="C43" s="3" t="inlineStr">
        <is>
          <t>img_8f5ecfd91441f09f</t>
        </is>
      </c>
      <c r="D43" s="3" t="inlineStr">
        <is>
          <t>MINOR</t>
        </is>
      </c>
      <c r="E43" s="3" t="inlineStr">
        <is>
          <t>image observation</t>
        </is>
      </c>
      <c r="F43" s="3" t="inlineStr">
        <is>
          <t>Detail, feature panel or lifestyle image connected to red white blue baseball pattern bedding with name.</t>
        </is>
      </c>
      <c r="G43" s="3" t="inlineStr">
        <is>
          <t>Fresh image file: D:\Shopify_Workspace\jeminise_seo\seo_runs\jeminise.com\20260906_234129\qa\20260907_213200\images\186_04.jpg; source URL: https://cdn.shopify.com/s/files/1/0792/5098/1063/files/ef81c56fe7d5f4f60045bfbd0778e14ad11ce2a6824c23132d2b864ef763fe85_3e5ce2b0-74e9-4528-a9b3-58484c711e32.jpg?v=1787242281</t>
        </is>
      </c>
      <c r="H43" s="3" t="inlineStr">
        <is>
          <t>Observation is generic or position-based; rewrite from the actual image content.</t>
        </is>
      </c>
      <c r="I43" s="3" t="inlineStr">
        <is>
          <t>Rewrite observation/alt from the directly opened image, naming the visible motif and use context.</t>
        </is>
      </c>
      <c r="J43" s="3" t="inlineStr">
        <is>
          <t>Fresh image file: D:\Shopify_Workspace\jeminise_seo\seo_runs\jeminise.com\20260906_234129\qa\20260907_213200\images\186_04.jpg; source URL: https://cdn.shopify.com/s/files/1/0792/5098/1063/files/ef81c56fe7d5f4f60045bfbd0778e14ad11ce2a6824c23132d2b864ef763fe85_3e5ce2b0-74e9-4528-a9b3-58484c711e32.jpg?v=1787242281</t>
        </is>
      </c>
      <c r="K43" s="3" t="inlineStr">
        <is>
          <t>The image row accurately describes the actual media at this gallery position.</t>
        </is>
      </c>
    </row>
    <row r="44" ht="84" customHeight="1">
      <c r="A44" s="2" t="inlineStr">
        <is>
          <t>ISSUE-0043</t>
        </is>
      </c>
      <c r="B44" s="2" t="inlineStr">
        <is>
          <t>jeminise.com+personalized-baseball-bedding-full-size-flag-custom-name-d-design-12</t>
        </is>
      </c>
      <c r="C44" s="2" t="inlineStr"/>
      <c r="D44" s="2" t="inlineStr">
        <is>
          <t>MAJOR</t>
        </is>
      </c>
      <c r="E44" s="2" t="inlineStr">
        <is>
          <t>description_proposed_html</t>
        </is>
      </c>
      <c r="F44" s="2" t="inlineStr">
        <is>
          <t>&lt;p&gt;This Jeminise comforter set features cream baseball bedding with large pitcher silhouette, red baseball stitching and bold custom name, making it suited for baseball rooms, sports gifts, kids bedrooms or personalized fan bedding.&lt;/p&gt;&lt;h3&gt;Design Details&lt;/h3&gt;&lt;ul&gt;&lt;li&gt;Visible artwork: cream baseball bedding with large pitcher silhouette, red baseball stitching and bold custom name.&lt;/li&gt;&lt;li&gt;Source product details include: Brand: Jeminise; Product T…</t>
        </is>
      </c>
      <c r="G44" s="2" t="inlineStr">
        <is>
          <t>Draft contains SEO Use / QA approval wording.</t>
        </is>
      </c>
      <c r="H44" s="2" t="inlineStr">
        <is>
          <t>Internal workflow language is not publish-ready storefront copy.</t>
        </is>
      </c>
      <c r="I44" s="2" t="inlineStr">
        <is>
          <t>Remove internal QA/import block and replace with customer-facing verified copy.</t>
        </is>
      </c>
      <c r="J44" s="2" t="inlineStr">
        <is>
          <t>Draft contains SEO Use / QA approval wording.</t>
        </is>
      </c>
      <c r="K44" s="2" t="inlineStr">
        <is>
          <t>Description HTML no longer contains SEO Use, QA, approval, import or draft language.</t>
        </is>
      </c>
    </row>
    <row r="45" ht="84" customHeight="1">
      <c r="A45" s="3" t="inlineStr">
        <is>
          <t>ISSUE-0044</t>
        </is>
      </c>
      <c r="B45" s="3" t="inlineStr">
        <is>
          <t>jeminise.com+personalized-baseball-bedding-full-size-flag-custom-name-d-design-12</t>
        </is>
      </c>
      <c r="C45" s="3" t="inlineStr"/>
      <c r="D45" s="3" t="inlineStr">
        <is>
          <t>MAJOR</t>
        </is>
      </c>
      <c r="E45" s="3" t="inlineStr">
        <is>
          <t>h1_proposed</t>
        </is>
      </c>
      <c r="F45" s="3" t="inlineStr"/>
      <c r="G45" s="3" t="inlineStr">
        <is>
          <t>The submitted workbook row has no proposed H1.</t>
        </is>
      </c>
      <c r="H45" s="3" t="inlineStr">
        <is>
          <t>A publishable SEO title/H1 pair is incomplete when the H1 field is blank.</t>
        </is>
      </c>
      <c r="I45" s="3" t="inlineStr">
        <is>
          <t>Write one English H1 that matches the verified product type and visible design; do not copy unsupported claims.</t>
        </is>
      </c>
      <c r="J45" s="3" t="inlineStr">
        <is>
          <t>The submitted workbook row has no proposed H1.</t>
        </is>
      </c>
      <c r="K45" s="3" t="inlineStr">
        <is>
          <t>Workbook contains a non-empty H1 and it is consistent with title, primary keyword and live product evidence.</t>
        </is>
      </c>
    </row>
    <row r="46" ht="84" customHeight="1">
      <c r="A46" s="2" t="inlineStr">
        <is>
          <t>ISSUE-0045</t>
        </is>
      </c>
      <c r="B46" s="2" t="inlineStr">
        <is>
          <t>jeminise.com+personalized-baseball-bedding-full-size-flag-custom-name-d-design-12</t>
        </is>
      </c>
      <c r="C46" s="2" t="inlineStr"/>
      <c r="D46" s="2" t="inlineStr">
        <is>
          <t>MINOR</t>
        </is>
      </c>
      <c r="E46" s="2" t="inlineStr">
        <is>
          <t>meta_description_seo</t>
        </is>
      </c>
      <c r="F46" s="2" t="inlineStr">
        <is>
          <t>Shop a comforter set featuring cream baseball bedding with large pitcher silhouette, red baseball stitching and bold custom name. Review size and personalization options before checkout.</t>
        </is>
      </c>
      <c r="G46" s="2" t="inlineStr">
        <is>
          <t>Meta description length is 186 characters.</t>
        </is>
      </c>
      <c r="H46" s="2" t="inlineStr">
        <is>
          <t>Likely to truncate in search results and repeats review/personality wording in several rows.</t>
        </is>
      </c>
      <c r="I46" s="2" t="inlineStr">
        <is>
          <t>Rewrite to roughly 145-155 characters while preserving verified design and product type.</t>
        </is>
      </c>
      <c r="J46" s="2" t="inlineStr">
        <is>
          <t>Meta description length is 186 characters.</t>
        </is>
      </c>
      <c r="K46" s="2" t="inlineStr">
        <is>
          <t>Length check &lt;=160 characters and no unsupported claim remains.</t>
        </is>
      </c>
    </row>
    <row r="47" ht="84" customHeight="1">
      <c r="A47" s="3" t="inlineStr">
        <is>
          <t>ISSUE-0046</t>
        </is>
      </c>
      <c r="B47" s="3" t="inlineStr">
        <is>
          <t>jeminise.com+personalized-baseball-bedding-full-size-flag-custom-name-d-design-12</t>
        </is>
      </c>
      <c r="C47" s="3" t="inlineStr"/>
      <c r="D47" s="3" t="inlineStr">
        <is>
          <t>LIMITATION</t>
        </is>
      </c>
      <c r="E47" s="3" t="inlineStr">
        <is>
          <t>keyword_evidence_level</t>
        </is>
      </c>
      <c r="F47" s="3" t="inlineStr">
        <is>
          <t>SERP_ONLY</t>
        </is>
      </c>
      <c r="G47" s="3" t="inlineStr">
        <is>
          <t>Only public SERP comparables are available.</t>
        </is>
      </c>
      <c r="H47" s="3" t="inlineStr">
        <is>
          <t>No Search Console, paid keyword volume or internal site search export was supplied.</t>
        </is>
      </c>
      <c r="I47" s="3" t="inlineStr">
        <is>
          <t>Keep demand statements qualitative; do not claim volume or ranking potential.</t>
        </is>
      </c>
      <c r="J47" s="3" t="inlineStr">
        <is>
          <t>Only public SERP comparables are available.</t>
        </is>
      </c>
      <c r="K47" s="3" t="inlineStr">
        <is>
          <t>Additional first-party or paid keyword evidence is attached, or limitation remains documented.</t>
        </is>
      </c>
    </row>
    <row r="48" ht="84" customHeight="1">
      <c r="A48" s="2" t="inlineStr">
        <is>
          <t>ISSUE-0047</t>
        </is>
      </c>
      <c r="B48" s="2" t="inlineStr">
        <is>
          <t>jeminise.com+personalized-baseball-bedding-full-size-flag-custom-name-d-design-12</t>
        </is>
      </c>
      <c r="C48" s="2" t="inlineStr">
        <is>
          <t>img_6bc02af703e4857a</t>
        </is>
      </c>
      <c r="D48" s="2" t="inlineStr">
        <is>
          <t>MINOR</t>
        </is>
      </c>
      <c r="E48" s="2" t="inlineStr">
        <is>
          <t>alt text</t>
        </is>
      </c>
      <c r="F48" s="2" t="inlineStr">
        <is>
          <t>Pitcher Silhouette Baseball Bedding with Custom Name displayed in a main product mockup</t>
        </is>
      </c>
      <c r="G48" s="2" t="inlineStr">
        <is>
          <t>Fresh image file: D:\Shopify_Workspace\jeminise_seo\seo_runs\jeminise.com\20260906_234129\qa\20260907_213200\images\187_01.jpg; source URL: https://cdn.shopify.com/s/files/1/0792/5098/1063/files/a3a7588224cb02e1a3e3cdfb3d985059123d82c8235978721aed604186892c96.jpg?v=1787242289</t>
        </is>
      </c>
      <c r="H48" s="2" t="inlineStr">
        <is>
          <t>Alt text is too generic or describes placement more than visible content.</t>
        </is>
      </c>
      <c r="I48" s="2" t="inlineStr">
        <is>
          <t>Rewrite observation/alt from the directly opened image, naming the visible motif and use context.</t>
        </is>
      </c>
      <c r="J48" s="2" t="inlineStr">
        <is>
          <t>Fresh image file: D:\Shopify_Workspace\jeminise_seo\seo_runs\jeminise.com\20260906_234129\qa\20260907_213200\images\187_01.jpg; source URL: https://cdn.shopify.com/s/files/1/0792/5098/1063/files/a3a7588224cb02e1a3e3cdfb3d985059123d82c8235978721aed604186892c96.jpg?v=1787242289</t>
        </is>
      </c>
      <c r="K48" s="2" t="inlineStr">
        <is>
          <t>The image row accurately describes the actual media at this gallery position.</t>
        </is>
      </c>
    </row>
    <row r="49" ht="84" customHeight="1">
      <c r="A49" s="3" t="inlineStr">
        <is>
          <t>ISSUE-0048</t>
        </is>
      </c>
      <c r="B49" s="3" t="inlineStr">
        <is>
          <t>jeminise.com+personalized-baseball-bedding-full-size-flag-custom-name-d-design-12</t>
        </is>
      </c>
      <c r="C49" s="3" t="inlineStr">
        <is>
          <t>img_2e5a72a721b4ab3d</t>
        </is>
      </c>
      <c r="D49" s="3" t="inlineStr">
        <is>
          <t>MINOR</t>
        </is>
      </c>
      <c r="E49" s="3" t="inlineStr">
        <is>
          <t>image observation</t>
        </is>
      </c>
      <c r="F49" s="3" t="inlineStr">
        <is>
          <t>Bedding type, feature, lifestyle or material image for pitcher silhouette baseball bedding with custom name.</t>
        </is>
      </c>
      <c r="G49" s="3" t="inlineStr">
        <is>
          <t>Fresh image file: D:\Shopify_Workspace\jeminise_seo\seo_runs\jeminise.com\20260906_234129\qa\20260907_213200\images\187_03.jpg; source URL: https://cdn.shopify.com/s/files/1/0792/5098/1063/files/b495d9b37eafdceff5caf3643256f7b3a83de826d49a14bdc531b13424296018_c5730b89-f700-4d4d-91a6-81c7a9b068df.jpg?v=1787242289</t>
        </is>
      </c>
      <c r="H49" s="3" t="inlineStr">
        <is>
          <t>Observation is generic or position-based; rewrite from the actual image content.</t>
        </is>
      </c>
      <c r="I49" s="3" t="inlineStr">
        <is>
          <t>Rewrite observation/alt from the directly opened image, naming the visible motif and use context.</t>
        </is>
      </c>
      <c r="J49" s="3" t="inlineStr">
        <is>
          <t>Fresh image file: D:\Shopify_Workspace\jeminise_seo\seo_runs\jeminise.com\20260906_234129\qa\20260907_213200\images\187_03.jpg; source URL: https://cdn.shopify.com/s/files/1/0792/5098/1063/files/b495d9b37eafdceff5caf3643256f7b3a83de826d49a14bdc531b13424296018_c5730b89-f700-4d4d-91a6-81c7a9b068df.jpg?v=1787242289</t>
        </is>
      </c>
      <c r="K49" s="3" t="inlineStr">
        <is>
          <t>The image row accurately describes the actual media at this gallery position.</t>
        </is>
      </c>
    </row>
    <row r="50" ht="84" customHeight="1">
      <c r="A50" s="2" t="inlineStr">
        <is>
          <t>ISSUE-0049</t>
        </is>
      </c>
      <c r="B50" s="2" t="inlineStr">
        <is>
          <t>jeminise.com+personalized-baseball-bedding-full-size-flag-custom-name-d-design-12</t>
        </is>
      </c>
      <c r="C50" s="2" t="inlineStr">
        <is>
          <t>img_61bf16973c3891d6</t>
        </is>
      </c>
      <c r="D50" s="2" t="inlineStr">
        <is>
          <t>MINOR</t>
        </is>
      </c>
      <c r="E50" s="2" t="inlineStr">
        <is>
          <t>image observation</t>
        </is>
      </c>
      <c r="F50" s="2" t="inlineStr">
        <is>
          <t>Detail, feature panel or lifestyle image connected to pitcher silhouette baseball bedding with custom name.</t>
        </is>
      </c>
      <c r="G50" s="2" t="inlineStr">
        <is>
          <t>Fresh image file: D:\Shopify_Workspace\jeminise_seo\seo_runs\jeminise.com\20260906_234129\qa\20260907_213200\images\187_04.jpg; source URL: https://cdn.shopify.com/s/files/1/0792/5098/1063/files/d51e3360a3e4b984af63b01c4b53d517484ca3d6cb1beeea158bcf59acab9ed4_ee048bf7-2c61-43af-b6a9-476fa326ea53.jpg?v=1787242289</t>
        </is>
      </c>
      <c r="H50" s="2" t="inlineStr">
        <is>
          <t>Observation is generic or position-based; rewrite from the actual image content.</t>
        </is>
      </c>
      <c r="I50" s="2" t="inlineStr">
        <is>
          <t>Rewrite observation/alt from the directly opened image, naming the visible motif and use context.</t>
        </is>
      </c>
      <c r="J50" s="2" t="inlineStr">
        <is>
          <t>Fresh image file: D:\Shopify_Workspace\jeminise_seo\seo_runs\jeminise.com\20260906_234129\qa\20260907_213200\images\187_04.jpg; source URL: https://cdn.shopify.com/s/files/1/0792/5098/1063/files/d51e3360a3e4b984af63b01c4b53d517484ca3d6cb1beeea158bcf59acab9ed4_ee048bf7-2c61-43af-b6a9-476fa326ea53.jpg?v=1787242289</t>
        </is>
      </c>
      <c r="K50" s="2" t="inlineStr">
        <is>
          <t>The image row accurately describes the actual media at this gallery position.</t>
        </is>
      </c>
    </row>
    <row r="51" ht="84" customHeight="1">
      <c r="A51" s="3" t="inlineStr">
        <is>
          <t>ISSUE-0050</t>
        </is>
      </c>
      <c r="B51" s="3" t="inlineStr">
        <is>
          <t>jeminise.com+personalized-baseball-bedding-full-size-flag-custom-name-d-design-13</t>
        </is>
      </c>
      <c r="C51" s="3" t="inlineStr"/>
      <c r="D51" s="3" t="inlineStr">
        <is>
          <t>MAJOR</t>
        </is>
      </c>
      <c r="E51" s="3" t="inlineStr">
        <is>
          <t>description_proposed_html</t>
        </is>
      </c>
      <c r="F51" s="3" t="inlineStr">
        <is>
          <t>&lt;p&gt;This Jeminise comforter set features black baseball bedding with grayscale glove and ball artwork, script custom name and jersey number, making it suited for baseball rooms, sports gifts, kids bedrooms or personalized fan bedding.&lt;/p&gt;&lt;h3&gt;Design Details&lt;/h3&gt;&lt;ul&gt;&lt;li&gt;Visible artwork: black baseball bedding with grayscale glove and ball artwork, script custom name and jersey number.&lt;/li&gt;&lt;li&gt;Source product details include: Brand: Jeminise; Product…</t>
        </is>
      </c>
      <c r="G51" s="3" t="inlineStr">
        <is>
          <t>Draft contains SEO Use / QA approval wording.</t>
        </is>
      </c>
      <c r="H51" s="3" t="inlineStr">
        <is>
          <t>Internal workflow language is not publish-ready storefront copy.</t>
        </is>
      </c>
      <c r="I51" s="3" t="inlineStr">
        <is>
          <t>Remove internal QA/import block and replace with customer-facing verified copy.</t>
        </is>
      </c>
      <c r="J51" s="3" t="inlineStr">
        <is>
          <t>Draft contains SEO Use / QA approval wording.</t>
        </is>
      </c>
      <c r="K51" s="3" t="inlineStr">
        <is>
          <t>Description HTML no longer contains SEO Use, QA, approval, import or draft language.</t>
        </is>
      </c>
    </row>
    <row r="52" ht="84" customHeight="1">
      <c r="A52" s="2" t="inlineStr">
        <is>
          <t>ISSUE-0051</t>
        </is>
      </c>
      <c r="B52" s="2" t="inlineStr">
        <is>
          <t>jeminise.com+personalized-baseball-bedding-full-size-flag-custom-name-d-design-13</t>
        </is>
      </c>
      <c r="C52" s="2" t="inlineStr"/>
      <c r="D52" s="2" t="inlineStr">
        <is>
          <t>MAJOR</t>
        </is>
      </c>
      <c r="E52" s="2" t="inlineStr">
        <is>
          <t>h1_proposed</t>
        </is>
      </c>
      <c r="F52" s="2" t="inlineStr"/>
      <c r="G52" s="2" t="inlineStr">
        <is>
          <t>The submitted workbook row has no proposed H1.</t>
        </is>
      </c>
      <c r="H52" s="2" t="inlineStr">
        <is>
          <t>A publishable SEO title/H1 pair is incomplete when the H1 field is blank.</t>
        </is>
      </c>
      <c r="I52" s="2" t="inlineStr">
        <is>
          <t>Write one English H1 that matches the verified product type and visible design; do not copy unsupported claims.</t>
        </is>
      </c>
      <c r="J52" s="2" t="inlineStr">
        <is>
          <t>The submitted workbook row has no proposed H1.</t>
        </is>
      </c>
      <c r="K52" s="2" t="inlineStr">
        <is>
          <t>Workbook contains a non-empty H1 and it is consistent with title, primary keyword and live product evidence.</t>
        </is>
      </c>
    </row>
    <row r="53" ht="84" customHeight="1">
      <c r="A53" s="3" t="inlineStr">
        <is>
          <t>ISSUE-0052</t>
        </is>
      </c>
      <c r="B53" s="3" t="inlineStr">
        <is>
          <t>jeminise.com+personalized-baseball-bedding-full-size-flag-custom-name-d-design-13</t>
        </is>
      </c>
      <c r="C53" s="3" t="inlineStr"/>
      <c r="D53" s="3" t="inlineStr">
        <is>
          <t>MINOR</t>
        </is>
      </c>
      <c r="E53" s="3" t="inlineStr">
        <is>
          <t>meta_description_seo</t>
        </is>
      </c>
      <c r="F53" s="3" t="inlineStr">
        <is>
          <t>Shop a comforter set featuring black baseball bedding with grayscale glove and ball artwork, script custom name and jersey number. Review size and personalization options before checkout.</t>
        </is>
      </c>
      <c r="G53" s="3" t="inlineStr">
        <is>
          <t>Meta description length is 187 characters.</t>
        </is>
      </c>
      <c r="H53" s="3" t="inlineStr">
        <is>
          <t>Likely to truncate in search results and repeats review/personality wording in several rows.</t>
        </is>
      </c>
      <c r="I53" s="3" t="inlineStr">
        <is>
          <t>Rewrite to roughly 145-155 characters while preserving verified design and product type.</t>
        </is>
      </c>
      <c r="J53" s="3" t="inlineStr">
        <is>
          <t>Meta description length is 187 characters.</t>
        </is>
      </c>
      <c r="K53" s="3" t="inlineStr">
        <is>
          <t>Length check &lt;=160 characters and no unsupported claim remains.</t>
        </is>
      </c>
    </row>
    <row r="54" ht="84" customHeight="1">
      <c r="A54" s="2" t="inlineStr">
        <is>
          <t>ISSUE-0053</t>
        </is>
      </c>
      <c r="B54" s="2" t="inlineStr">
        <is>
          <t>jeminise.com+personalized-baseball-bedding-full-size-flag-custom-name-d-design-13</t>
        </is>
      </c>
      <c r="C54" s="2" t="inlineStr"/>
      <c r="D54" s="2" t="inlineStr">
        <is>
          <t>LIMITATION</t>
        </is>
      </c>
      <c r="E54" s="2" t="inlineStr">
        <is>
          <t>keyword_evidence_level</t>
        </is>
      </c>
      <c r="F54" s="2" t="inlineStr">
        <is>
          <t>SERP_ONLY</t>
        </is>
      </c>
      <c r="G54" s="2" t="inlineStr">
        <is>
          <t>Only public SERP comparables are available.</t>
        </is>
      </c>
      <c r="H54" s="2" t="inlineStr">
        <is>
          <t>No Search Console, paid keyword volume or internal site search export was supplied.</t>
        </is>
      </c>
      <c r="I54" s="2" t="inlineStr">
        <is>
          <t>Keep demand statements qualitative; do not claim volume or ranking potential.</t>
        </is>
      </c>
      <c r="J54" s="2" t="inlineStr">
        <is>
          <t>Only public SERP comparables are available.</t>
        </is>
      </c>
      <c r="K54" s="2" t="inlineStr">
        <is>
          <t>Additional first-party or paid keyword evidence is attached, or limitation remains documented.</t>
        </is>
      </c>
    </row>
    <row r="55" ht="84" customHeight="1">
      <c r="A55" s="3" t="inlineStr">
        <is>
          <t>ISSUE-0054</t>
        </is>
      </c>
      <c r="B55" s="3" t="inlineStr">
        <is>
          <t>jeminise.com+personalized-baseball-bedding-full-size-flag-custom-name-d-design-13</t>
        </is>
      </c>
      <c r="C55" s="3" t="inlineStr">
        <is>
          <t>img_764a95892c0db783</t>
        </is>
      </c>
      <c r="D55" s="3" t="inlineStr">
        <is>
          <t>MINOR</t>
        </is>
      </c>
      <c r="E55" s="3" t="inlineStr">
        <is>
          <t>alt text</t>
        </is>
      </c>
      <c r="F55" s="3" t="inlineStr">
        <is>
          <t>Black Baseball Glove Bedding with Name and Number displayed in a main product mockup</t>
        </is>
      </c>
      <c r="G55" s="3" t="inlineStr">
        <is>
          <t>Fresh image file: D:\Shopify_Workspace\jeminise_seo\seo_runs\jeminise.com\20260906_234129\qa\20260907_213200\images\188_01.jpg; source URL: https://cdn.shopify.com/s/files/1/0792/5098/1063/files/b1a55687ac710fef17a03349d7df05659c4a75b04c898c8a647cf0f9b2bdfac4.jpg?v=1787242287</t>
        </is>
      </c>
      <c r="H55" s="3" t="inlineStr">
        <is>
          <t>Alt text is too generic or describes placement more than visible content.</t>
        </is>
      </c>
      <c r="I55" s="3" t="inlineStr">
        <is>
          <t>Rewrite observation/alt from the directly opened image, naming the visible motif and use context.</t>
        </is>
      </c>
      <c r="J55" s="3" t="inlineStr">
        <is>
          <t>Fresh image file: D:\Shopify_Workspace\jeminise_seo\seo_runs\jeminise.com\20260906_234129\qa\20260907_213200\images\188_01.jpg; source URL: https://cdn.shopify.com/s/files/1/0792/5098/1063/files/b1a55687ac710fef17a03349d7df05659c4a75b04c898c8a647cf0f9b2bdfac4.jpg?v=1787242287</t>
        </is>
      </c>
      <c r="K55" s="3" t="inlineStr">
        <is>
          <t>The image row accurately describes the actual media at this gallery position.</t>
        </is>
      </c>
    </row>
    <row r="56" ht="84" customHeight="1">
      <c r="A56" s="2" t="inlineStr">
        <is>
          <t>ISSUE-0055</t>
        </is>
      </c>
      <c r="B56" s="2" t="inlineStr">
        <is>
          <t>jeminise.com+personalized-baseball-bedding-full-size-flag-custom-name-d-design-13</t>
        </is>
      </c>
      <c r="C56" s="2" t="inlineStr">
        <is>
          <t>img_9aac26e673e458bb</t>
        </is>
      </c>
      <c r="D56" s="2" t="inlineStr">
        <is>
          <t>MINOR</t>
        </is>
      </c>
      <c r="E56" s="2" t="inlineStr">
        <is>
          <t>image observation</t>
        </is>
      </c>
      <c r="F56" s="2" t="inlineStr">
        <is>
          <t>Bedding type, feature, lifestyle or material image for black baseball glove bedding with name and number.</t>
        </is>
      </c>
      <c r="G56" s="2" t="inlineStr">
        <is>
          <t>Fresh image file: D:\Shopify_Workspace\jeminise_seo\seo_runs\jeminise.com\20260906_234129\qa\20260907_213200\images\188_03.jpg; source URL: https://cdn.shopify.com/s/files/1/0792/5098/1063/files/ef81c56fe7d5f4f60045bfbd0778e14ad11ce2a6824c23132d2b864ef763fe85_ba8cd586-2f34-470e-b46c-8742f4cb3596.jpg?v=1787242287</t>
        </is>
      </c>
      <c r="H56" s="2" t="inlineStr">
        <is>
          <t>Observation is generic or position-based; rewrite from the actual image content.</t>
        </is>
      </c>
      <c r="I56" s="2" t="inlineStr">
        <is>
          <t>Rewrite observation/alt from the directly opened image, naming the visible motif and use context.</t>
        </is>
      </c>
      <c r="J56" s="2" t="inlineStr">
        <is>
          <t>Fresh image file: D:\Shopify_Workspace\jeminise_seo\seo_runs\jeminise.com\20260906_234129\qa\20260907_213200\images\188_03.jpg; source URL: https://cdn.shopify.com/s/files/1/0792/5098/1063/files/ef81c56fe7d5f4f60045bfbd0778e14ad11ce2a6824c23132d2b864ef763fe85_ba8cd586-2f34-470e-b46c-8742f4cb3596.jpg?v=1787242287</t>
        </is>
      </c>
      <c r="K56" s="2" t="inlineStr">
        <is>
          <t>The image row accurately describes the actual media at this gallery position.</t>
        </is>
      </c>
    </row>
    <row r="57" ht="84" customHeight="1">
      <c r="A57" s="3" t="inlineStr">
        <is>
          <t>ISSUE-0056</t>
        </is>
      </c>
      <c r="B57" s="3" t="inlineStr">
        <is>
          <t>jeminise.com+personalized-baseball-bedding-full-size-flag-custom-name-d-design-13</t>
        </is>
      </c>
      <c r="C57" s="3" t="inlineStr">
        <is>
          <t>img_160d96b7a1fc005d</t>
        </is>
      </c>
      <c r="D57" s="3" t="inlineStr">
        <is>
          <t>MINOR</t>
        </is>
      </c>
      <c r="E57" s="3" t="inlineStr">
        <is>
          <t>image observation</t>
        </is>
      </c>
      <c r="F57" s="3" t="inlineStr">
        <is>
          <t>Detail, feature panel or lifestyle image connected to black baseball glove bedding with name and number.</t>
        </is>
      </c>
      <c r="G57" s="3" t="inlineStr">
        <is>
          <t>Fresh image file: D:\Shopify_Workspace\jeminise_seo\seo_runs\jeminise.com\20260906_234129\qa\20260907_213200\images\188_04.jpg; source URL: https://cdn.shopify.com/s/files/1/0792/5098/1063/files/b495d9b37eafdceff5caf3643256f7b3a83de826d49a14bdc531b13424296018_4a8dc283-a4f0-4723-82e1-5909c9adbcec.jpg?v=1787242287</t>
        </is>
      </c>
      <c r="H57" s="3" t="inlineStr">
        <is>
          <t>Observation is generic or position-based; rewrite from the actual image content.</t>
        </is>
      </c>
      <c r="I57" s="3" t="inlineStr">
        <is>
          <t>Rewrite observation/alt from the directly opened image, naming the visible motif and use context.</t>
        </is>
      </c>
      <c r="J57" s="3" t="inlineStr">
        <is>
          <t>Fresh image file: D:\Shopify_Workspace\jeminise_seo\seo_runs\jeminise.com\20260906_234129\qa\20260907_213200\images\188_04.jpg; source URL: https://cdn.shopify.com/s/files/1/0792/5098/1063/files/b495d9b37eafdceff5caf3643256f7b3a83de826d49a14bdc531b13424296018_4a8dc283-a4f0-4723-82e1-5909c9adbcec.jpg?v=1787242287</t>
        </is>
      </c>
      <c r="K57" s="3" t="inlineStr">
        <is>
          <t>The image row accurately describes the actual media at this gallery position.</t>
        </is>
      </c>
    </row>
    <row r="58" ht="84" customHeight="1">
      <c r="A58" s="2" t="inlineStr">
        <is>
          <t>ISSUE-0057</t>
        </is>
      </c>
      <c r="B58" s="2" t="inlineStr">
        <is>
          <t>jeminise.com+personalized-baseball-bedding-full-size-flag-custom-name-d-design-14</t>
        </is>
      </c>
      <c r="C58" s="2" t="inlineStr"/>
      <c r="D58" s="2" t="inlineStr">
        <is>
          <t>MAJOR</t>
        </is>
      </c>
      <c r="E58" s="2" t="inlineStr">
        <is>
          <t>description_proposed_html</t>
        </is>
      </c>
      <c r="F58" s="2" t="inlineStr">
        <is>
          <t>&lt;p&gt;This Jeminise comforter set features light blue striped bedding with oversized baseball graphic and custom name printed across the ball, making it suited for baseball rooms, sports gifts, kids bedrooms or personalized fan bedding.&lt;/p&gt;&lt;h3&gt;Design Details&lt;/h3&gt;&lt;ul&gt;&lt;li&gt;Visible artwork: light blue striped bedding with oversized baseball graphic and custom name printed across the ball.&lt;/li&gt;&lt;li&gt;Source product details include: Brand: Jeminise; Product…</t>
        </is>
      </c>
      <c r="G58" s="2" t="inlineStr">
        <is>
          <t>Draft contains SEO Use / QA approval wording.</t>
        </is>
      </c>
      <c r="H58" s="2" t="inlineStr">
        <is>
          <t>Internal workflow language is not publish-ready storefront copy.</t>
        </is>
      </c>
      <c r="I58" s="2" t="inlineStr">
        <is>
          <t>Remove internal QA/import block and replace with customer-facing verified copy.</t>
        </is>
      </c>
      <c r="J58" s="2" t="inlineStr">
        <is>
          <t>Draft contains SEO Use / QA approval wording.</t>
        </is>
      </c>
      <c r="K58" s="2" t="inlineStr">
        <is>
          <t>Description HTML no longer contains SEO Use, QA, approval, import or draft language.</t>
        </is>
      </c>
    </row>
    <row r="59" ht="84" customHeight="1">
      <c r="A59" s="3" t="inlineStr">
        <is>
          <t>ISSUE-0058</t>
        </is>
      </c>
      <c r="B59" s="3" t="inlineStr">
        <is>
          <t>jeminise.com+personalized-baseball-bedding-full-size-flag-custom-name-d-design-14</t>
        </is>
      </c>
      <c r="C59" s="3" t="inlineStr"/>
      <c r="D59" s="3" t="inlineStr">
        <is>
          <t>MAJOR</t>
        </is>
      </c>
      <c r="E59" s="3" t="inlineStr">
        <is>
          <t>h1_proposed</t>
        </is>
      </c>
      <c r="F59" s="3" t="inlineStr"/>
      <c r="G59" s="3" t="inlineStr">
        <is>
          <t>The submitted workbook row has no proposed H1.</t>
        </is>
      </c>
      <c r="H59" s="3" t="inlineStr">
        <is>
          <t>A publishable SEO title/H1 pair is incomplete when the H1 field is blank.</t>
        </is>
      </c>
      <c r="I59" s="3" t="inlineStr">
        <is>
          <t>Write one English H1 that matches the verified product type and visible design; do not copy unsupported claims.</t>
        </is>
      </c>
      <c r="J59" s="3" t="inlineStr">
        <is>
          <t>The submitted workbook row has no proposed H1.</t>
        </is>
      </c>
      <c r="K59" s="3" t="inlineStr">
        <is>
          <t>Workbook contains a non-empty H1 and it is consistent with title, primary keyword and live product evidence.</t>
        </is>
      </c>
    </row>
    <row r="60" ht="84" customHeight="1">
      <c r="A60" s="2" t="inlineStr">
        <is>
          <t>ISSUE-0059</t>
        </is>
      </c>
      <c r="B60" s="2" t="inlineStr">
        <is>
          <t>jeminise.com+personalized-baseball-bedding-full-size-flag-custom-name-d-design-14</t>
        </is>
      </c>
      <c r="C60" s="2" t="inlineStr"/>
      <c r="D60" s="2" t="inlineStr">
        <is>
          <t>MINOR</t>
        </is>
      </c>
      <c r="E60" s="2" t="inlineStr">
        <is>
          <t>meta_description_seo</t>
        </is>
      </c>
      <c r="F60" s="2" t="inlineStr">
        <is>
          <t>Shop a comforter set featuring light blue striped bedding with oversized baseball graphic and custom name printed across the ball. Review size and personalization options before checkout.</t>
        </is>
      </c>
      <c r="G60" s="2" t="inlineStr">
        <is>
          <t>Meta description length is 187 characters.</t>
        </is>
      </c>
      <c r="H60" s="2" t="inlineStr">
        <is>
          <t>Likely to truncate in search results and repeats review/personality wording in several rows.</t>
        </is>
      </c>
      <c r="I60" s="2" t="inlineStr">
        <is>
          <t>Rewrite to roughly 145-155 characters while preserving verified design and product type.</t>
        </is>
      </c>
      <c r="J60" s="2" t="inlineStr">
        <is>
          <t>Meta description length is 187 characters.</t>
        </is>
      </c>
      <c r="K60" s="2" t="inlineStr">
        <is>
          <t>Length check &lt;=160 characters and no unsupported claim remains.</t>
        </is>
      </c>
    </row>
    <row r="61" ht="84" customHeight="1">
      <c r="A61" s="3" t="inlineStr">
        <is>
          <t>ISSUE-0060</t>
        </is>
      </c>
      <c r="B61" s="3" t="inlineStr">
        <is>
          <t>jeminise.com+personalized-baseball-bedding-full-size-flag-custom-name-d-design-14</t>
        </is>
      </c>
      <c r="C61" s="3" t="inlineStr"/>
      <c r="D61" s="3" t="inlineStr">
        <is>
          <t>LIMITATION</t>
        </is>
      </c>
      <c r="E61" s="3" t="inlineStr">
        <is>
          <t>keyword_evidence_level</t>
        </is>
      </c>
      <c r="F61" s="3" t="inlineStr">
        <is>
          <t>SERP_ONLY</t>
        </is>
      </c>
      <c r="G61" s="3" t="inlineStr">
        <is>
          <t>Only public SERP comparables are available.</t>
        </is>
      </c>
      <c r="H61" s="3" t="inlineStr">
        <is>
          <t>No Search Console, paid keyword volume or internal site search export was supplied.</t>
        </is>
      </c>
      <c r="I61" s="3" t="inlineStr">
        <is>
          <t>Keep demand statements qualitative; do not claim volume or ranking potential.</t>
        </is>
      </c>
      <c r="J61" s="3" t="inlineStr">
        <is>
          <t>Only public SERP comparables are available.</t>
        </is>
      </c>
      <c r="K61" s="3" t="inlineStr">
        <is>
          <t>Additional first-party or paid keyword evidence is attached, or limitation remains documented.</t>
        </is>
      </c>
    </row>
    <row r="62" ht="84" customHeight="1">
      <c r="A62" s="2" t="inlineStr">
        <is>
          <t>ISSUE-0061</t>
        </is>
      </c>
      <c r="B62" s="2" t="inlineStr">
        <is>
          <t>jeminise.com+personalized-baseball-bedding-full-size-flag-custom-name-d-design-14</t>
        </is>
      </c>
      <c r="C62" s="2" t="inlineStr">
        <is>
          <t>img_2fdff9713f927d1e</t>
        </is>
      </c>
      <c r="D62" s="2" t="inlineStr">
        <is>
          <t>MINOR</t>
        </is>
      </c>
      <c r="E62" s="2" t="inlineStr">
        <is>
          <t>alt text</t>
        </is>
      </c>
      <c r="F62" s="2" t="inlineStr">
        <is>
          <t>Blue Striped Baseball Bedding with Custom Name displayed in a main product mockup</t>
        </is>
      </c>
      <c r="G62" s="2" t="inlineStr">
        <is>
          <t>Fresh image file: D:\Shopify_Workspace\jeminise_seo\seo_runs\jeminise.com\20260906_234129\qa\20260907_213200\images\189_01.jpg; source URL: https://cdn.shopify.com/s/files/1/0792/5098/1063/files/ee03510fe9336bb706be4887685f8efc23f52558e7f8c421b81f75897fd38d63.jpg?v=1787242298</t>
        </is>
      </c>
      <c r="H62" s="2" t="inlineStr">
        <is>
          <t>Alt text is too generic or describes placement more than visible content.</t>
        </is>
      </c>
      <c r="I62" s="2" t="inlineStr">
        <is>
          <t>Rewrite observation/alt from the directly opened image, naming the visible motif and use context.</t>
        </is>
      </c>
      <c r="J62" s="2" t="inlineStr">
        <is>
          <t>Fresh image file: D:\Shopify_Workspace\jeminise_seo\seo_runs\jeminise.com\20260906_234129\qa\20260907_213200\images\189_01.jpg; source URL: https://cdn.shopify.com/s/files/1/0792/5098/1063/files/ee03510fe9336bb706be4887685f8efc23f52558e7f8c421b81f75897fd38d63.jpg?v=1787242298</t>
        </is>
      </c>
      <c r="K62" s="2" t="inlineStr">
        <is>
          <t>The image row accurately describes the actual media at this gallery position.</t>
        </is>
      </c>
    </row>
    <row r="63" ht="84" customHeight="1">
      <c r="A63" s="3" t="inlineStr">
        <is>
          <t>ISSUE-0062</t>
        </is>
      </c>
      <c r="B63" s="3" t="inlineStr">
        <is>
          <t>jeminise.com+personalized-baseball-bedding-full-size-flag-custom-name-d-design-14</t>
        </is>
      </c>
      <c r="C63" s="3" t="inlineStr">
        <is>
          <t>img_0d9b9f16843e6f5e</t>
        </is>
      </c>
      <c r="D63" s="3" t="inlineStr">
        <is>
          <t>MINOR</t>
        </is>
      </c>
      <c r="E63" s="3" t="inlineStr">
        <is>
          <t>image observation</t>
        </is>
      </c>
      <c r="F63" s="3" t="inlineStr">
        <is>
          <t>Bedding type, feature, lifestyle or material image for blue striped baseball bedding with name on ball.</t>
        </is>
      </c>
      <c r="G63" s="3" t="inlineStr">
        <is>
          <t>Fresh image file: D:\Shopify_Workspace\jeminise_seo\seo_runs\jeminise.com\20260906_234129\qa\20260907_213200\images\189_03.jpg; source URL: https://cdn.shopify.com/s/files/1/0792/5098/1063/files/d51e3360a3e4b984af63b01c4b53d517484ca3d6cb1beeea158bcf59acab9ed4_7ada0386-ab38-4643-9b5f-2f7b2137dfb7.jpg?v=1787242298</t>
        </is>
      </c>
      <c r="H63" s="3" t="inlineStr">
        <is>
          <t>Observation is generic or position-based; rewrite from the actual image content.</t>
        </is>
      </c>
      <c r="I63" s="3" t="inlineStr">
        <is>
          <t>Rewrite observation/alt from the directly opened image, naming the visible motif and use context.</t>
        </is>
      </c>
      <c r="J63" s="3" t="inlineStr">
        <is>
          <t>Fresh image file: D:\Shopify_Workspace\jeminise_seo\seo_runs\jeminise.com\20260906_234129\qa\20260907_213200\images\189_03.jpg; source URL: https://cdn.shopify.com/s/files/1/0792/5098/1063/files/d51e3360a3e4b984af63b01c4b53d517484ca3d6cb1beeea158bcf59acab9ed4_7ada0386-ab38-4643-9b5f-2f7b2137dfb7.jpg?v=1787242298</t>
        </is>
      </c>
      <c r="K63" s="3" t="inlineStr">
        <is>
          <t>The image row accurately describes the actual media at this gallery position.</t>
        </is>
      </c>
    </row>
    <row r="64" ht="84" customHeight="1">
      <c r="A64" s="2" t="inlineStr">
        <is>
          <t>ISSUE-0063</t>
        </is>
      </c>
      <c r="B64" s="2" t="inlineStr">
        <is>
          <t>jeminise.com+personalized-baseball-bedding-full-size-flag-custom-name-d-design-14</t>
        </is>
      </c>
      <c r="C64" s="2" t="inlineStr">
        <is>
          <t>img_4a8d76453f518d1b</t>
        </is>
      </c>
      <c r="D64" s="2" t="inlineStr">
        <is>
          <t>MINOR</t>
        </is>
      </c>
      <c r="E64" s="2" t="inlineStr">
        <is>
          <t>image observation</t>
        </is>
      </c>
      <c r="F64" s="2" t="inlineStr">
        <is>
          <t>Detail, feature panel or lifestyle image connected to blue striped baseball bedding with name on ball.</t>
        </is>
      </c>
      <c r="G64" s="2" t="inlineStr">
        <is>
          <t>Fresh image file: D:\Shopify_Workspace\jeminise_seo\seo_runs\jeminise.com\20260906_234129\qa\20260907_213200\images\189_04.jpg; source URL: https://cdn.shopify.com/s/files/1/0792/5098/1063/files/ef81c56fe7d5f4f60045bfbd0778e14ad11ce2a6824c23132d2b864ef763fe85_de7307cd-6f52-4591-a335-3b64c709339f.jpg?v=1787242298</t>
        </is>
      </c>
      <c r="H64" s="2" t="inlineStr">
        <is>
          <t>Observation is generic or position-based; rewrite from the actual image content.</t>
        </is>
      </c>
      <c r="I64" s="2" t="inlineStr">
        <is>
          <t>Rewrite observation/alt from the directly opened image, naming the visible motif and use context.</t>
        </is>
      </c>
      <c r="J64" s="2" t="inlineStr">
        <is>
          <t>Fresh image file: D:\Shopify_Workspace\jeminise_seo\seo_runs\jeminise.com\20260906_234129\qa\20260907_213200\images\189_04.jpg; source URL: https://cdn.shopify.com/s/files/1/0792/5098/1063/files/ef81c56fe7d5f4f60045bfbd0778e14ad11ce2a6824c23132d2b864ef763fe85_de7307cd-6f52-4591-a335-3b64c709339f.jpg?v=1787242298</t>
        </is>
      </c>
      <c r="K64" s="2" t="inlineStr">
        <is>
          <t>The image row accurately describes the actual media at this gallery position.</t>
        </is>
      </c>
    </row>
    <row r="65" ht="84" customHeight="1">
      <c r="A65" s="3" t="inlineStr">
        <is>
          <t>ISSUE-0064</t>
        </is>
      </c>
      <c r="B65" s="3" t="inlineStr">
        <is>
          <t>jeminise.com+personalized-baseball-bedding-full-size-flag-custom-name-d-design-15</t>
        </is>
      </c>
      <c r="C65" s="3" t="inlineStr"/>
      <c r="D65" s="3" t="inlineStr">
        <is>
          <t>MAJOR</t>
        </is>
      </c>
      <c r="E65" s="3" t="inlineStr">
        <is>
          <t>description_proposed_html</t>
        </is>
      </c>
      <c r="F65" s="3" t="inlineStr">
        <is>
          <t>&lt;p&gt;This Jeminise comforter set features dark blue galaxy baseball bedding with large baseball, script custom name and bold jersey number, making it suited for baseball rooms, sports gifts, kids bedrooms or personalized fan bedding.&lt;/p&gt;&lt;h3&gt;Design Details&lt;/h3&gt;&lt;ul&gt;&lt;li&gt;Visible artwork: dark blue galaxy baseball bedding with large baseball, script custom name and bold jersey number.&lt;/li&gt;&lt;li&gt;Source product details include: Brand: Jeminise; Product Typ…</t>
        </is>
      </c>
      <c r="G65" s="3" t="inlineStr">
        <is>
          <t>Draft contains SEO Use / QA approval wording.</t>
        </is>
      </c>
      <c r="H65" s="3" t="inlineStr">
        <is>
          <t>Internal workflow language is not publish-ready storefront copy.</t>
        </is>
      </c>
      <c r="I65" s="3" t="inlineStr">
        <is>
          <t>Remove internal QA/import block and replace with customer-facing verified copy.</t>
        </is>
      </c>
      <c r="J65" s="3" t="inlineStr">
        <is>
          <t>Draft contains SEO Use / QA approval wording.</t>
        </is>
      </c>
      <c r="K65" s="3" t="inlineStr">
        <is>
          <t>Description HTML no longer contains SEO Use, QA, approval, import or draft language.</t>
        </is>
      </c>
    </row>
    <row r="66" ht="84" customHeight="1">
      <c r="A66" s="2" t="inlineStr">
        <is>
          <t>ISSUE-0065</t>
        </is>
      </c>
      <c r="B66" s="2" t="inlineStr">
        <is>
          <t>jeminise.com+personalized-baseball-bedding-full-size-flag-custom-name-d-design-15</t>
        </is>
      </c>
      <c r="C66" s="2" t="inlineStr"/>
      <c r="D66" s="2" t="inlineStr">
        <is>
          <t>MAJOR</t>
        </is>
      </c>
      <c r="E66" s="2" t="inlineStr">
        <is>
          <t>h1_proposed</t>
        </is>
      </c>
      <c r="F66" s="2" t="inlineStr"/>
      <c r="G66" s="2" t="inlineStr">
        <is>
          <t>The submitted workbook row has no proposed H1.</t>
        </is>
      </c>
      <c r="H66" s="2" t="inlineStr">
        <is>
          <t>A publishable SEO title/H1 pair is incomplete when the H1 field is blank.</t>
        </is>
      </c>
      <c r="I66" s="2" t="inlineStr">
        <is>
          <t>Write one English H1 that matches the verified product type and visible design; do not copy unsupported claims.</t>
        </is>
      </c>
      <c r="J66" s="2" t="inlineStr">
        <is>
          <t>The submitted workbook row has no proposed H1.</t>
        </is>
      </c>
      <c r="K66" s="2" t="inlineStr">
        <is>
          <t>Workbook contains a non-empty H1 and it is consistent with title, primary keyword and live product evidence.</t>
        </is>
      </c>
    </row>
    <row r="67" ht="84" customHeight="1">
      <c r="A67" s="3" t="inlineStr">
        <is>
          <t>ISSUE-0066</t>
        </is>
      </c>
      <c r="B67" s="3" t="inlineStr">
        <is>
          <t>jeminise.com+personalized-baseball-bedding-full-size-flag-custom-name-d-design-15</t>
        </is>
      </c>
      <c r="C67" s="3" t="inlineStr"/>
      <c r="D67" s="3" t="inlineStr">
        <is>
          <t>MINOR</t>
        </is>
      </c>
      <c r="E67" s="3" t="inlineStr">
        <is>
          <t>meta_description_seo</t>
        </is>
      </c>
      <c r="F67" s="3" t="inlineStr">
        <is>
          <t>Shop a comforter set featuring dark blue galaxy baseball bedding with large baseball, script custom name and bold jersey number. Review size and personalization options before checkout.</t>
        </is>
      </c>
      <c r="G67" s="3" t="inlineStr">
        <is>
          <t>Meta description length is 185 characters.</t>
        </is>
      </c>
      <c r="H67" s="3" t="inlineStr">
        <is>
          <t>Likely to truncate in search results and repeats review/personality wording in several rows.</t>
        </is>
      </c>
      <c r="I67" s="3" t="inlineStr">
        <is>
          <t>Rewrite to roughly 145-155 characters while preserving verified design and product type.</t>
        </is>
      </c>
      <c r="J67" s="3" t="inlineStr">
        <is>
          <t>Meta description length is 185 characters.</t>
        </is>
      </c>
      <c r="K67" s="3" t="inlineStr">
        <is>
          <t>Length check &lt;=160 characters and no unsupported claim remains.</t>
        </is>
      </c>
    </row>
    <row r="68" ht="84" customHeight="1">
      <c r="A68" s="2" t="inlineStr">
        <is>
          <t>ISSUE-0067</t>
        </is>
      </c>
      <c r="B68" s="2" t="inlineStr">
        <is>
          <t>jeminise.com+personalized-baseball-bedding-full-size-flag-custom-name-d-design-15</t>
        </is>
      </c>
      <c r="C68" s="2" t="inlineStr"/>
      <c r="D68" s="2" t="inlineStr">
        <is>
          <t>LIMITATION</t>
        </is>
      </c>
      <c r="E68" s="2" t="inlineStr">
        <is>
          <t>keyword_evidence_level</t>
        </is>
      </c>
      <c r="F68" s="2" t="inlineStr">
        <is>
          <t>SERP_ONLY</t>
        </is>
      </c>
      <c r="G68" s="2" t="inlineStr">
        <is>
          <t>Only public SERP comparables are available.</t>
        </is>
      </c>
      <c r="H68" s="2" t="inlineStr">
        <is>
          <t>No Search Console, paid keyword volume or internal site search export was supplied.</t>
        </is>
      </c>
      <c r="I68" s="2" t="inlineStr">
        <is>
          <t>Keep demand statements qualitative; do not claim volume or ranking potential.</t>
        </is>
      </c>
      <c r="J68" s="2" t="inlineStr">
        <is>
          <t>Only public SERP comparables are available.</t>
        </is>
      </c>
      <c r="K68" s="2" t="inlineStr">
        <is>
          <t>Additional first-party or paid keyword evidence is attached, or limitation remains documented.</t>
        </is>
      </c>
    </row>
    <row r="69" ht="84" customHeight="1">
      <c r="A69" s="3" t="inlineStr">
        <is>
          <t>ISSUE-0068</t>
        </is>
      </c>
      <c r="B69" s="3" t="inlineStr">
        <is>
          <t>jeminise.com+personalized-baseball-bedding-full-size-flag-custom-name-d-design-15</t>
        </is>
      </c>
      <c r="C69" s="3" t="inlineStr">
        <is>
          <t>img_a0e38328a5c4639e</t>
        </is>
      </c>
      <c r="D69" s="3" t="inlineStr">
        <is>
          <t>MINOR</t>
        </is>
      </c>
      <c r="E69" s="3" t="inlineStr">
        <is>
          <t>alt text</t>
        </is>
      </c>
      <c r="F69" s="3" t="inlineStr">
        <is>
          <t>Galaxy Baseball Bedding with Custom Name and Number displayed in a main product mockup</t>
        </is>
      </c>
      <c r="G69" s="3" t="inlineStr">
        <is>
          <t>Fresh image file: D:\Shopify_Workspace\jeminise_seo\seo_runs\jeminise.com\20260906_234129\qa\20260907_213200\images\190_01.jpg; source URL: https://cdn.shopify.com/s/files/1/0792/5098/1063/files/c348d936be646a1acfb4ca9b0e001f0668ce4f86c27fb4d7641115a01f9bb8ef.jpg?v=1787242300</t>
        </is>
      </c>
      <c r="H69" s="3" t="inlineStr">
        <is>
          <t>Alt text is too generic or describes placement more than visible content.</t>
        </is>
      </c>
      <c r="I69" s="3" t="inlineStr">
        <is>
          <t>Rewrite observation/alt from the directly opened image, naming the visible motif and use context.</t>
        </is>
      </c>
      <c r="J69" s="3" t="inlineStr">
        <is>
          <t>Fresh image file: D:\Shopify_Workspace\jeminise_seo\seo_runs\jeminise.com\20260906_234129\qa\20260907_213200\images\190_01.jpg; source URL: https://cdn.shopify.com/s/files/1/0792/5098/1063/files/c348d936be646a1acfb4ca9b0e001f0668ce4f86c27fb4d7641115a01f9bb8ef.jpg?v=1787242300</t>
        </is>
      </c>
      <c r="K69" s="3" t="inlineStr">
        <is>
          <t>The image row accurately describes the actual media at this gallery position.</t>
        </is>
      </c>
    </row>
    <row r="70" ht="84" customHeight="1">
      <c r="A70" s="2" t="inlineStr">
        <is>
          <t>ISSUE-0069</t>
        </is>
      </c>
      <c r="B70" s="2" t="inlineStr">
        <is>
          <t>jeminise.com+personalized-baseball-bedding-full-size-flag-custom-name-d-design-15</t>
        </is>
      </c>
      <c r="C70" s="2" t="inlineStr">
        <is>
          <t>img_e6639d2f42644369</t>
        </is>
      </c>
      <c r="D70" s="2" t="inlineStr">
        <is>
          <t>MINOR</t>
        </is>
      </c>
      <c r="E70" s="2" t="inlineStr">
        <is>
          <t>image observation</t>
        </is>
      </c>
      <c r="F70" s="2" t="inlineStr">
        <is>
          <t>Bedding type, feature, lifestyle or material image for galaxy baseball bedding with custom name and number.</t>
        </is>
      </c>
      <c r="G70" s="2" t="inlineStr">
        <is>
          <t>Fresh image file: D:\Shopify_Workspace\jeminise_seo\seo_runs\jeminise.com\20260906_234129\qa\20260907_213200\images\190_03.jpg; source URL: https://cdn.shopify.com/s/files/1/0792/5098/1063/files/b495d9b37eafdceff5caf3643256f7b3a83de826d49a14bdc531b13424296018_9a9a0e38-5509-44d6-9f5a-daa2a82ea3cf.jpg?v=1787242300</t>
        </is>
      </c>
      <c r="H70" s="2" t="inlineStr">
        <is>
          <t>Observation is generic or position-based; rewrite from the actual image content.</t>
        </is>
      </c>
      <c r="I70" s="2" t="inlineStr">
        <is>
          <t>Rewrite observation/alt from the directly opened image, naming the visible motif and use context.</t>
        </is>
      </c>
      <c r="J70" s="2" t="inlineStr">
        <is>
          <t>Fresh image file: D:\Shopify_Workspace\jeminise_seo\seo_runs\jeminise.com\20260906_234129\qa\20260907_213200\images\190_03.jpg; source URL: https://cdn.shopify.com/s/files/1/0792/5098/1063/files/b495d9b37eafdceff5caf3643256f7b3a83de826d49a14bdc531b13424296018_9a9a0e38-5509-44d6-9f5a-daa2a82ea3cf.jpg?v=1787242300</t>
        </is>
      </c>
      <c r="K70" s="2" t="inlineStr">
        <is>
          <t>The image row accurately describes the actual media at this gallery position.</t>
        </is>
      </c>
    </row>
    <row r="71" ht="84" customHeight="1">
      <c r="A71" s="3" t="inlineStr">
        <is>
          <t>ISSUE-0070</t>
        </is>
      </c>
      <c r="B71" s="3" t="inlineStr">
        <is>
          <t>jeminise.com+personalized-baseball-bedding-full-size-flag-custom-name-d-design-15</t>
        </is>
      </c>
      <c r="C71" s="3" t="inlineStr">
        <is>
          <t>img_d6ec23a44ed7116e</t>
        </is>
      </c>
      <c r="D71" s="3" t="inlineStr">
        <is>
          <t>MINOR</t>
        </is>
      </c>
      <c r="E71" s="3" t="inlineStr">
        <is>
          <t>image observation</t>
        </is>
      </c>
      <c r="F71" s="3" t="inlineStr">
        <is>
          <t>Detail, feature panel or lifestyle image connected to galaxy baseball bedding with custom name and number.</t>
        </is>
      </c>
      <c r="G71" s="3" t="inlineStr">
        <is>
          <t>Fresh image file: D:\Shopify_Workspace\jeminise_seo\seo_runs\jeminise.com\20260906_234129\qa\20260907_213200\images\190_04.jpg; source URL: https://cdn.shopify.com/s/files/1/0792/5098/1063/files/d51e3360a3e4b984af63b01c4b53d517484ca3d6cb1beeea158bcf59acab9ed4_abb774eb-d928-458c-83b5-1fb2af3ce77e.jpg?v=1787242300</t>
        </is>
      </c>
      <c r="H71" s="3" t="inlineStr">
        <is>
          <t>Observation is generic or position-based; rewrite from the actual image content.</t>
        </is>
      </c>
      <c r="I71" s="3" t="inlineStr">
        <is>
          <t>Rewrite observation/alt from the directly opened image, naming the visible motif and use context.</t>
        </is>
      </c>
      <c r="J71" s="3" t="inlineStr">
        <is>
          <t>Fresh image file: D:\Shopify_Workspace\jeminise_seo\seo_runs\jeminise.com\20260906_234129\qa\20260907_213200\images\190_04.jpg; source URL: https://cdn.shopify.com/s/files/1/0792/5098/1063/files/d51e3360a3e4b984af63b01c4b53d517484ca3d6cb1beeea158bcf59acab9ed4_abb774eb-d928-458c-83b5-1fb2af3ce77e.jpg?v=1787242300</t>
        </is>
      </c>
      <c r="K71" s="3" t="inlineStr">
        <is>
          <t>The image row accurately describes the actual media at this gallery position.</t>
        </is>
      </c>
    </row>
  </sheetData>
  <autoFilter ref="A1:K71"/>
  <conditionalFormatting sqref="D2:D71">
    <cfRule type="expression" priority="1" dxfId="3">
      <formula>D2="CRITICAL"</formula>
    </cfRule>
    <cfRule type="expression" priority="2" dxfId="2">
      <formula>D2="MAJOR"</formula>
    </cfRule>
    <cfRule type="expression" priority="3" dxfId="1">
      <formula>D2="MINOR"</formula>
    </cfRule>
    <cfRule type="expression" priority="4" dxfId="4">
      <formula>D2="LIMITATION"</formula>
    </cfRule>
  </conditionalFormatting>
  <printOptions horizontalCentered="0"/>
  <pageMargins left="0.25" right="0.25" top="0.5" bottom="0.5" header="0.5" footer="0.5"/>
  <pageSetup orientation="landscape" fitToHeight="0" fitToWidth="2"/>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2026-09-07T14:44:57Z</dcterms:created>
  <dcterms:modified xmlns:dcterms="http://purl.org/dc/terms/" xmlns:xsi="http://www.w3.org/2001/XMLSchema-instance" xsi:type="dcterms:W3CDTF">2026-09-07T14:44:57Z</dcterms:modified>
</cp:coreProperties>
</file>