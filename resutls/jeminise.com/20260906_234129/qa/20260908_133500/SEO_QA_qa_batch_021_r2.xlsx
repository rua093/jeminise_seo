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_Summary" sheetId="1" state="visible" r:id="rId1"/>
    <sheet xmlns:r="http://schemas.openxmlformats.org/officeDocument/2006/relationships" name="QA_Products" sheetId="2" state="visible" r:id="rId2"/>
    <sheet xmlns:r="http://schemas.openxmlformats.org/officeDocument/2006/relationships" name="QA_Criteria" sheetId="3" state="visible" r:id="rId3"/>
    <sheet xmlns:r="http://schemas.openxmlformats.org/officeDocument/2006/relationships" name="QA_Images" sheetId="4" state="visible" r:id="rId4"/>
    <sheet xmlns:r="http://schemas.openxmlformats.org/officeDocument/2006/relationships" name="QA_Issues" sheetId="5" state="visible" r:id="rId5"/>
  </sheets>
  <definedNames>
    <definedName name="_xlnm._FilterDatabase" localSheetId="0" hidden="1">'QA_Summary'!$A$1:$O$2</definedName>
    <definedName name="_xlnm._FilterDatabase" localSheetId="1" hidden="1">'QA_Products'!$A$1:$Z$11</definedName>
    <definedName name="_xlnm._FilterDatabase" localSheetId="2" hidden="1">'QA_Criteria'!$A$1:$I$111</definedName>
    <definedName name="_xlnm._FilterDatabase" localSheetId="3" hidden="1">'QA_Images'!$A$1:$Q$65</definedName>
    <definedName name="_xlnm._FilterDatabase" localSheetId="4" hidden="1">'QA_Issues'!$A$1:$L$31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1F497D"/>
        <bgColor rgb="001F497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49"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30" customWidth="1" min="3" max="3"/>
    <col width="36" customWidth="1" min="4" max="4"/>
    <col width="28" customWidth="1" min="5" max="5"/>
    <col width="34" customWidth="1" min="6" max="6"/>
    <col width="18" customWidth="1" min="7" max="7"/>
    <col width="40" customWidth="1" min="8" max="8"/>
    <col width="41" customWidth="1" min="9" max="9"/>
    <col width="43" customWidth="1" min="10" max="10"/>
    <col width="41" customWidth="1" min="11" max="11"/>
    <col width="45" customWidth="1" min="12" max="12"/>
    <col width="45" customWidth="1" min="13" max="13"/>
    <col width="13" customWidth="1" min="14" max="14"/>
    <col width="39" customWidth="1" min="15" max="15"/>
  </cols>
  <sheetData>
    <row r="1">
      <c r="A1" s="1" t="inlineStr">
        <is>
          <t>batch_name</t>
        </is>
      </c>
      <c r="B1" s="1" t="inlineStr">
        <is>
          <t>run_id</t>
        </is>
      </c>
      <c r="C1" s="1" t="inlineStr">
        <is>
          <t>total_products</t>
        </is>
      </c>
      <c r="D1" s="1" t="inlineStr">
        <is>
          <t>assessed_products</t>
        </is>
      </c>
      <c r="E1" s="1" t="inlineStr">
        <is>
          <t>total_images</t>
        </is>
      </c>
      <c r="F1" s="1" t="inlineStr">
        <is>
          <t>assessed_images</t>
        </is>
      </c>
      <c r="G1" s="1" t="inlineStr">
        <is>
          <t>assessed_weight</t>
        </is>
      </c>
      <c r="H1" s="1" t="inlineStr">
        <is>
          <t>average_score</t>
        </is>
      </c>
      <c r="I1" s="1" t="inlineStr">
        <is>
          <t>qa_pass_count</t>
        </is>
      </c>
      <c r="J1" s="1" t="inlineStr">
        <is>
          <t>qa_revise_count</t>
        </is>
      </c>
      <c r="K1" s="1" t="inlineStr">
        <is>
          <t>qa_fail_count</t>
        </is>
      </c>
      <c r="L1" s="1" t="inlineStr">
        <is>
          <t>qa_incomplete_count</t>
        </is>
      </c>
      <c r="M1" s="1" t="inlineStr">
        <is>
          <t>overall_status</t>
        </is>
      </c>
      <c r="N1" s="1" t="inlineStr">
        <is>
          <t>audit_date</t>
        </is>
      </c>
      <c r="O1" s="1" t="inlineStr">
        <is>
          <t>auditor</t>
        </is>
      </c>
    </row>
    <row r="2">
      <c r="A2" s="2" t="inlineStr">
        <is>
          <t>qa_batch_021_r2</t>
        </is>
      </c>
      <c r="B2" s="2" t="inlineStr">
        <is>
          <t>20260908_133500</t>
        </is>
      </c>
      <c r="C2" s="2">
        <f>COUNTA(QA_Products!A2:A11)</f>
        <v/>
      </c>
      <c r="D2" s="2">
        <f>COUNTIF(QA_Products!H2:H11,TRUE)</f>
        <v/>
      </c>
      <c r="E2" s="2">
        <f>COUNTA(QA_Images!A2:A65)</f>
        <v/>
      </c>
      <c r="F2" s="2">
        <f>COUNTIF(QA_Images!O2:O65,"&lt;&gt;")</f>
        <v/>
      </c>
      <c r="G2" s="2" t="n">
        <v>100</v>
      </c>
      <c r="H2" s="2">
        <f>ROUND(AVERAGE(QA_Products!T2:T11),2)</f>
        <v/>
      </c>
      <c r="I2" s="2">
        <f>COUNTIF(QA_Products!Y2:Y11,"QA_PASS")</f>
        <v/>
      </c>
      <c r="J2" s="2">
        <f>COUNTIF(QA_Products!Y2:Y11,"QA_REVISE")</f>
        <v/>
      </c>
      <c r="K2" s="2">
        <f>COUNTIF(QA_Products!Y2:Y11,"QA_FAIL")</f>
        <v/>
      </c>
      <c r="L2" s="2">
        <f>COUNTIF(QA_Products!Y2:Y11,"QA_INCOMPLETE")</f>
        <v/>
      </c>
      <c r="M2" s="2">
        <f>IF(K2&gt;0,"QA_FAIL",IF(J2&gt;0,"QA_REVISE","QA_PASS"))</f>
        <v/>
      </c>
      <c r="N2" s="2" t="inlineStr">
        <is>
          <t>2026-09-08</t>
        </is>
      </c>
      <c r="O2" s="2" t="inlineStr">
        <is>
          <t>Antigravity Independent QA Assistant</t>
        </is>
      </c>
    </row>
  </sheetData>
  <autoFilter ref="A1:O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11"/>
  <sheetViews>
    <sheetView workbookViewId="0">
      <pane ySplit="1" topLeftCell="A2" activePane="bottomLeft" state="frozen"/>
      <selection pane="bottomLeft" activeCell="A1" sqref="A1"/>
    </sheetView>
  </sheetViews>
  <sheetFormatPr baseColWidth="8" defaultRowHeight="15"/>
  <cols>
    <col width="45" customWidth="1" min="1" max="1"/>
    <col width="45" customWidth="1" min="2" max="2"/>
    <col width="21" customWidth="1" min="3" max="3"/>
    <col width="45" customWidth="1" min="4" max="4"/>
    <col width="43" customWidth="1" min="5" max="5"/>
    <col width="43" customWidth="1" min="6" max="6"/>
    <col width="45" customWidth="1" min="7" max="7"/>
    <col width="12" customWidth="1" min="8" max="8"/>
    <col width="45" customWidth="1" min="9" max="9"/>
    <col width="45" customWidth="1" min="10" max="10"/>
    <col width="45" customWidth="1" min="11" max="11"/>
    <col width="45" customWidth="1" min="12" max="12"/>
    <col width="45" customWidth="1" min="13" max="13"/>
    <col width="45" customWidth="1" min="14" max="14"/>
    <col width="45" customWidth="1" min="15" max="15"/>
    <col width="45" customWidth="1" min="16" max="16"/>
    <col width="45" customWidth="1" min="17" max="17"/>
    <col width="45" customWidth="1" min="18" max="18"/>
    <col width="45" customWidth="1" min="19" max="19"/>
    <col width="31" customWidth="1" min="20" max="20"/>
    <col width="45" customWidth="1" min="21" max="21"/>
    <col width="45" customWidth="1" min="22" max="22"/>
    <col width="45" customWidth="1" min="23" max="23"/>
    <col width="45" customWidth="1" min="24" max="24"/>
    <col width="45" customWidth="1" min="25" max="25"/>
    <col width="45" customWidth="1" min="26" max="26"/>
  </cols>
  <sheetData>
    <row r="1">
      <c r="A1" s="1" t="inlineStr">
        <is>
          <t>product_key</t>
        </is>
      </c>
      <c r="B1" s="1" t="inlineStr">
        <is>
          <t>Handle</t>
        </is>
      </c>
      <c r="C1" s="1" t="inlineStr">
        <is>
          <t>inventory_position</t>
        </is>
      </c>
      <c r="D1" s="1" t="inlineStr">
        <is>
          <t>product_title_current</t>
        </is>
      </c>
      <c r="E1" s="1" t="inlineStr">
        <is>
          <t>product_title_proposed</t>
        </is>
      </c>
      <c r="F1" s="1" t="inlineStr">
        <is>
          <t>primary_keyword</t>
        </is>
      </c>
      <c r="G1" s="1" t="inlineStr">
        <is>
          <t>secondary_keywords</t>
        </is>
      </c>
      <c r="H1" s="1" t="inlineStr">
        <is>
          <t>page_read</t>
        </is>
      </c>
      <c r="I1" s="1" t="inlineStr">
        <is>
          <t>P1_score</t>
        </is>
      </c>
      <c r="J1" s="1" t="inlineStr">
        <is>
          <t>P2_score</t>
        </is>
      </c>
      <c r="K1" s="1" t="inlineStr">
        <is>
          <t>K1_score</t>
        </is>
      </c>
      <c r="L1" s="1" t="inlineStr">
        <is>
          <t>K2_score</t>
        </is>
      </c>
      <c r="M1" s="1" t="inlineStr">
        <is>
          <t>K3_score</t>
        </is>
      </c>
      <c r="N1" s="1" t="inlineStr">
        <is>
          <t>T1_score</t>
        </is>
      </c>
      <c r="O1" s="1" t="inlineStr">
        <is>
          <t>T2_score</t>
        </is>
      </c>
      <c r="P1" s="1" t="inlineStr">
        <is>
          <t>D1_score</t>
        </is>
      </c>
      <c r="Q1" s="1" t="inlineStr">
        <is>
          <t>D2_score</t>
        </is>
      </c>
      <c r="R1" s="1" t="inlineStr">
        <is>
          <t>I1_score</t>
        </is>
      </c>
      <c r="S1" s="1" t="inlineStr">
        <is>
          <t>E1_score</t>
        </is>
      </c>
      <c r="T1" s="1" t="inlineStr">
        <is>
          <t>total_score</t>
        </is>
      </c>
      <c r="U1" s="1" t="inlineStr">
        <is>
          <t>critical_issues_count</t>
        </is>
      </c>
      <c r="V1" s="1" t="inlineStr">
        <is>
          <t>major_issues_count</t>
        </is>
      </c>
      <c r="W1" s="1" t="inlineStr">
        <is>
          <t>minor_issues_count</t>
        </is>
      </c>
      <c r="X1" s="1" t="inlineStr">
        <is>
          <t>limitation_count</t>
        </is>
      </c>
      <c r="Y1" s="1" t="inlineStr">
        <is>
          <t>qa_status</t>
        </is>
      </c>
      <c r="Z1" s="1" t="inlineStr">
        <is>
          <t>notes</t>
        </is>
      </c>
    </row>
    <row r="2">
      <c r="A2" s="3" t="inlineStr">
        <is>
          <t>jeminise.com+personalized-baseball-bedding-full-size-flag-custom-name-d-design-26</t>
        </is>
      </c>
      <c r="B2" s="2" t="inlineStr">
        <is>
          <t>personalized-baseball-bedding-full-size-flag-custom-name-d-design-26</t>
        </is>
      </c>
      <c r="C2" s="2" t="n">
        <v>201</v>
      </c>
      <c r="D2" s="2" t="inlineStr">
        <is>
          <t>Personalized Baseball Bedding Full Size Flag Custom Name D - Design 26</t>
        </is>
      </c>
      <c r="E2" s="2" t="inlineStr">
        <is>
          <t>Custom Baseball Flag Name Number Bedding</t>
        </is>
      </c>
      <c r="F2" s="2" t="inlineStr">
        <is>
          <t>custom baseball flag name number bedding</t>
        </is>
      </c>
      <c r="G2" s="2" t="inlineStr">
        <is>
          <t>custom baseball flag bedding, personalized baseball comforter, patriotic baseball bedding</t>
        </is>
      </c>
      <c r="H2" s="2" t="b">
        <v>1</v>
      </c>
      <c r="I2" s="2">
        <f>SUMIFS(QA_Criteria!F:F,QA_Criteria!B:B,A2,QA_Criteria!C:C,"P1")</f>
        <v/>
      </c>
      <c r="J2" s="2">
        <f>SUMIFS(QA_Criteria!F:F,QA_Criteria!B:B,A2,QA_Criteria!C:C,"P2")</f>
        <v/>
      </c>
      <c r="K2" s="2">
        <f>SUMIFS(QA_Criteria!F:F,QA_Criteria!B:B,A2,QA_Criteria!C:C,"K1")</f>
        <v/>
      </c>
      <c r="L2" s="2">
        <f>SUMIFS(QA_Criteria!F:F,QA_Criteria!B:B,A2,QA_Criteria!C:C,"K2")</f>
        <v/>
      </c>
      <c r="M2" s="2">
        <f>SUMIFS(QA_Criteria!F:F,QA_Criteria!B:B,A2,QA_Criteria!C:C,"K3")</f>
        <v/>
      </c>
      <c r="N2" s="2">
        <f>SUMIFS(QA_Criteria!F:F,QA_Criteria!B:B,A2,QA_Criteria!C:C,"T1")</f>
        <v/>
      </c>
      <c r="O2" s="2">
        <f>SUMIFS(QA_Criteria!F:F,QA_Criteria!B:B,A2,QA_Criteria!C:C,"T2")</f>
        <v/>
      </c>
      <c r="P2" s="2">
        <f>SUMIFS(QA_Criteria!F:F,QA_Criteria!B:B,A2,QA_Criteria!C:C,"D1")</f>
        <v/>
      </c>
      <c r="Q2" s="2">
        <f>SUMIFS(QA_Criteria!F:F,QA_Criteria!B:B,A2,QA_Criteria!C:C,"D2")</f>
        <v/>
      </c>
      <c r="R2" s="2">
        <f>ROUND(0.20*AVERAGEIF(QA_Images!B:B,A2,QA_Images!N:N),2)</f>
        <v/>
      </c>
      <c r="S2" s="2">
        <f>SUMIFS(QA_Criteria!F:F,QA_Criteria!B:B,A2,QA_Criteria!C:C,"E1")</f>
        <v/>
      </c>
      <c r="T2" s="2">
        <f>IF(H2=TRUE,SUM(I2:S2),0)</f>
        <v/>
      </c>
      <c r="U2" s="2">
        <f>COUNTIFS(QA_Issues!B:B,A2,QA_Issues!D:D,"CRITICAL",QA_Issues!L:L,"&lt;&gt;RESOLVED",QA_Issues!L:L,"&lt;&gt;NOT_APPLICABLE")</f>
        <v/>
      </c>
      <c r="V2" s="2">
        <f>COUNTIFS(QA_Issues!B:B,A2,QA_Issues!D:D,"MAJOR",QA_Issues!L:L,"&lt;&gt;RESOLVED",QA_Issues!L:L,"&lt;&gt;NOT_APPLICABLE")</f>
        <v/>
      </c>
      <c r="W2" s="2">
        <f>COUNTIFS(QA_Issues!B:B,A2,QA_Issues!D:D,"MINOR",QA_Issues!L:L,"&lt;&gt;RESOLVED",QA_Issues!L:L,"&lt;&gt;NOT_APPLICABLE")</f>
        <v/>
      </c>
      <c r="X2" s="2">
        <f>COUNTIFS(QA_Issues!B:B,A2,QA_Issues!D:D,"LIMITATION",QA_Issues!L:L,"&lt;&gt;RESOLVED",QA_Issues!L:L,"&lt;&gt;NOT_APPLICABLE")</f>
        <v/>
      </c>
      <c r="Y2" s="2">
        <f>IF(U2&gt;0,"QA_FAIL",IF(H2=FALSE,"QA_INCOMPLETE",IF(T2&lt;70,"QA_FAIL",IF(OR(T2&lt;85,V2&gt;0),"QA_REVISE","QA_PASS"))))</f>
        <v/>
      </c>
      <c r="Z2" s="2" t="inlineStr">
        <is>
          <t>First independent QA on r2. Titles, keywords, and gallery images are high quality. Proposed description copy contains generator prompt boilerplate and omits essential specs (D2 MAJOR); meta description is hard-truncated mid-word at 155 chars (D1 MINOR).</t>
        </is>
      </c>
    </row>
    <row r="3">
      <c r="A3" s="3" t="inlineStr">
        <is>
          <t>jeminise.com+personalized-baseball-bedding-full-size-flag-custom-name-duvet-cover</t>
        </is>
      </c>
      <c r="B3" s="2" t="inlineStr">
        <is>
          <t>personalized-baseball-bedding-full-size-flag-custom-name-duvet-cover</t>
        </is>
      </c>
      <c r="C3" s="2" t="n">
        <v>202</v>
      </c>
      <c r="D3" s="2" t="inlineStr">
        <is>
          <t>Personalized Baseball Bedding Full Size Flag Custom Name Duvet Cover</t>
        </is>
      </c>
      <c r="E3" s="2" t="inlineStr">
        <is>
          <t>Custom Neon Baseball Player Duvet Cover</t>
        </is>
      </c>
      <c r="F3" s="2" t="inlineStr">
        <is>
          <t>custom neon baseball player duvet cover</t>
        </is>
      </c>
      <c r="G3" s="2" t="inlineStr">
        <is>
          <t>neon baseball duvet cover, personalized baseball bedding, custom baseball bedding</t>
        </is>
      </c>
      <c r="H3" s="2" t="b">
        <v>1</v>
      </c>
      <c r="I3" s="2">
        <f>SUMIFS(QA_Criteria!F:F,QA_Criteria!B:B,A3,QA_Criteria!C:C,"P1")</f>
        <v/>
      </c>
      <c r="J3" s="2">
        <f>SUMIFS(QA_Criteria!F:F,QA_Criteria!B:B,A3,QA_Criteria!C:C,"P2")</f>
        <v/>
      </c>
      <c r="K3" s="2">
        <f>SUMIFS(QA_Criteria!F:F,QA_Criteria!B:B,A3,QA_Criteria!C:C,"K1")</f>
        <v/>
      </c>
      <c r="L3" s="2">
        <f>SUMIFS(QA_Criteria!F:F,QA_Criteria!B:B,A3,QA_Criteria!C:C,"K2")</f>
        <v/>
      </c>
      <c r="M3" s="2">
        <f>SUMIFS(QA_Criteria!F:F,QA_Criteria!B:B,A3,QA_Criteria!C:C,"K3")</f>
        <v/>
      </c>
      <c r="N3" s="2">
        <f>SUMIFS(QA_Criteria!F:F,QA_Criteria!B:B,A3,QA_Criteria!C:C,"T1")</f>
        <v/>
      </c>
      <c r="O3" s="2">
        <f>SUMIFS(QA_Criteria!F:F,QA_Criteria!B:B,A3,QA_Criteria!C:C,"T2")</f>
        <v/>
      </c>
      <c r="P3" s="2">
        <f>SUMIFS(QA_Criteria!F:F,QA_Criteria!B:B,A3,QA_Criteria!C:C,"D1")</f>
        <v/>
      </c>
      <c r="Q3" s="2">
        <f>SUMIFS(QA_Criteria!F:F,QA_Criteria!B:B,A3,QA_Criteria!C:C,"D2")</f>
        <v/>
      </c>
      <c r="R3" s="2">
        <f>ROUND(0.20*AVERAGEIF(QA_Images!B:B,A3,QA_Images!N:N),2)</f>
        <v/>
      </c>
      <c r="S3" s="2">
        <f>SUMIFS(QA_Criteria!F:F,QA_Criteria!B:B,A3,QA_Criteria!C:C,"E1")</f>
        <v/>
      </c>
      <c r="T3" s="2">
        <f>IF(H3=TRUE,SUM(I3:S3),0)</f>
        <v/>
      </c>
      <c r="U3" s="2">
        <f>COUNTIFS(QA_Issues!B:B,A3,QA_Issues!D:D,"CRITICAL",QA_Issues!L:L,"&lt;&gt;RESOLVED",QA_Issues!L:L,"&lt;&gt;NOT_APPLICABLE")</f>
        <v/>
      </c>
      <c r="V3" s="2">
        <f>COUNTIFS(QA_Issues!B:B,A3,QA_Issues!D:D,"MAJOR",QA_Issues!L:L,"&lt;&gt;RESOLVED",QA_Issues!L:L,"&lt;&gt;NOT_APPLICABLE")</f>
        <v/>
      </c>
      <c r="W3" s="2">
        <f>COUNTIFS(QA_Issues!B:B,A3,QA_Issues!D:D,"MINOR",QA_Issues!L:L,"&lt;&gt;RESOLVED",QA_Issues!L:L,"&lt;&gt;NOT_APPLICABLE")</f>
        <v/>
      </c>
      <c r="X3" s="2">
        <f>COUNTIFS(QA_Issues!B:B,A3,QA_Issues!D:D,"LIMITATION",QA_Issues!L:L,"&lt;&gt;RESOLVED",QA_Issues!L:L,"&lt;&gt;NOT_APPLICABLE")</f>
        <v/>
      </c>
      <c r="Y3" s="2">
        <f>IF(U3&gt;0,"QA_FAIL",IF(H3=FALSE,"QA_INCOMPLETE",IF(T3&lt;70,"QA_FAIL",IF(OR(T3&lt;85,V3&gt;0),"QA_REVISE","QA_PASS"))))</f>
        <v/>
      </c>
      <c r="Z3" s="2" t="inlineStr">
        <is>
          <t>First independent QA on r2. Titles, keywords, and gallery images are high quality. Proposed description copy contains generator prompt boilerplate and omits essential specs (D2 MAJOR); meta description is hard-truncated mid-word at 155 chars (D1 MINOR).</t>
        </is>
      </c>
    </row>
    <row r="4">
      <c r="A4" s="3" t="inlineStr">
        <is>
          <t>jeminise.com+personalized-basketball-above-hoop-and-net-comforter-with-name-and-number-ff32dd676a-ff32dd676a</t>
        </is>
      </c>
      <c r="B4" s="2" t="inlineStr">
        <is>
          <t>personalized-basketball-above-hoop-and-net-comforter-with-name-and-number-ff32dd676a-ff32dd676a</t>
        </is>
      </c>
      <c r="C4" s="2" t="n">
        <v>203</v>
      </c>
      <c r="D4" s="2" t="inlineStr">
        <is>
          <t>Personalized Basketball Above Hoop and Net Comforter with Name and Number</t>
        </is>
      </c>
      <c r="E4" s="2" t="inlineStr">
        <is>
          <t>Custom Basketball Hoop Comforter Set</t>
        </is>
      </c>
      <c r="F4" s="2" t="inlineStr">
        <is>
          <t>custom basketball hoop comforter set</t>
        </is>
      </c>
      <c r="G4" s="2" t="inlineStr">
        <is>
          <t>personalized basketball bedding, basketball net comforter, custom sports bedding</t>
        </is>
      </c>
      <c r="H4" s="2" t="b">
        <v>1</v>
      </c>
      <c r="I4" s="2">
        <f>SUMIFS(QA_Criteria!F:F,QA_Criteria!B:B,A4,QA_Criteria!C:C,"P1")</f>
        <v/>
      </c>
      <c r="J4" s="2">
        <f>SUMIFS(QA_Criteria!F:F,QA_Criteria!B:B,A4,QA_Criteria!C:C,"P2")</f>
        <v/>
      </c>
      <c r="K4" s="2">
        <f>SUMIFS(QA_Criteria!F:F,QA_Criteria!B:B,A4,QA_Criteria!C:C,"K1")</f>
        <v/>
      </c>
      <c r="L4" s="2">
        <f>SUMIFS(QA_Criteria!F:F,QA_Criteria!B:B,A4,QA_Criteria!C:C,"K2")</f>
        <v/>
      </c>
      <c r="M4" s="2">
        <f>SUMIFS(QA_Criteria!F:F,QA_Criteria!B:B,A4,QA_Criteria!C:C,"K3")</f>
        <v/>
      </c>
      <c r="N4" s="2">
        <f>SUMIFS(QA_Criteria!F:F,QA_Criteria!B:B,A4,QA_Criteria!C:C,"T1")</f>
        <v/>
      </c>
      <c r="O4" s="2">
        <f>SUMIFS(QA_Criteria!F:F,QA_Criteria!B:B,A4,QA_Criteria!C:C,"T2")</f>
        <v/>
      </c>
      <c r="P4" s="2">
        <f>SUMIFS(QA_Criteria!F:F,QA_Criteria!B:B,A4,QA_Criteria!C:C,"D1")</f>
        <v/>
      </c>
      <c r="Q4" s="2">
        <f>SUMIFS(QA_Criteria!F:F,QA_Criteria!B:B,A4,QA_Criteria!C:C,"D2")</f>
        <v/>
      </c>
      <c r="R4" s="2">
        <f>ROUND(0.20*AVERAGEIF(QA_Images!B:B,A4,QA_Images!N:N),2)</f>
        <v/>
      </c>
      <c r="S4" s="2">
        <f>SUMIFS(QA_Criteria!F:F,QA_Criteria!B:B,A4,QA_Criteria!C:C,"E1")</f>
        <v/>
      </c>
      <c r="T4" s="2">
        <f>IF(H4=TRUE,SUM(I4:S4),0)</f>
        <v/>
      </c>
      <c r="U4" s="2">
        <f>COUNTIFS(QA_Issues!B:B,A4,QA_Issues!D:D,"CRITICAL",QA_Issues!L:L,"&lt;&gt;RESOLVED",QA_Issues!L:L,"&lt;&gt;NOT_APPLICABLE")</f>
        <v/>
      </c>
      <c r="V4" s="2">
        <f>COUNTIFS(QA_Issues!B:B,A4,QA_Issues!D:D,"MAJOR",QA_Issues!L:L,"&lt;&gt;RESOLVED",QA_Issues!L:L,"&lt;&gt;NOT_APPLICABLE")</f>
        <v/>
      </c>
      <c r="W4" s="2">
        <f>COUNTIFS(QA_Issues!B:B,A4,QA_Issues!D:D,"MINOR",QA_Issues!L:L,"&lt;&gt;RESOLVED",QA_Issues!L:L,"&lt;&gt;NOT_APPLICABLE")</f>
        <v/>
      </c>
      <c r="X4" s="2">
        <f>COUNTIFS(QA_Issues!B:B,A4,QA_Issues!D:D,"LIMITATION",QA_Issues!L:L,"&lt;&gt;RESOLVED",QA_Issues!L:L,"&lt;&gt;NOT_APPLICABLE")</f>
        <v/>
      </c>
      <c r="Y4" s="2">
        <f>IF(U4&gt;0,"QA_FAIL",IF(H4=FALSE,"QA_INCOMPLETE",IF(T4&lt;70,"QA_FAIL",IF(OR(T4&lt;85,V4&gt;0),"QA_REVISE","QA_PASS"))))</f>
        <v/>
      </c>
      <c r="Z4" s="2" t="inlineStr">
        <is>
          <t>First independent QA on r2. Titles, keywords, and gallery images are high quality. Proposed description copy contains generator prompt boilerplate and omits essential specs (D2 MAJOR); meta description is hard-truncated mid-word at 155 chars (D1 MINOR).</t>
        </is>
      </c>
    </row>
    <row r="5">
      <c r="A5" s="3" t="inlineStr">
        <is>
          <t>jeminise.com+personalized-basketball-above-hoop-close-up-comforter-with-name-and-number-95487807f8-95487807f8</t>
        </is>
      </c>
      <c r="B5" s="2" t="inlineStr">
        <is>
          <t>personalized-basketball-above-hoop-close-up-comforter-with-name-and-number-95487807f8-95487807f8</t>
        </is>
      </c>
      <c r="C5" s="2" t="n">
        <v>204</v>
      </c>
      <c r="D5" s="2" t="inlineStr">
        <is>
          <t>Personalized Basketball Above Hoop Close Up Comforter with Name and Number</t>
        </is>
      </c>
      <c r="E5" s="2" t="inlineStr">
        <is>
          <t>Custom Blue Red Basketball Hoop Bedding</t>
        </is>
      </c>
      <c r="F5" s="2" t="inlineStr">
        <is>
          <t>custom blue red basketball hoop bedding</t>
        </is>
      </c>
      <c r="G5" s="2" t="inlineStr">
        <is>
          <t>personalized basketball comforter, custom basketball bedding, basketball room decor</t>
        </is>
      </c>
      <c r="H5" s="2" t="b">
        <v>1</v>
      </c>
      <c r="I5" s="2">
        <f>SUMIFS(QA_Criteria!F:F,QA_Criteria!B:B,A5,QA_Criteria!C:C,"P1")</f>
        <v/>
      </c>
      <c r="J5" s="2">
        <f>SUMIFS(QA_Criteria!F:F,QA_Criteria!B:B,A5,QA_Criteria!C:C,"P2")</f>
        <v/>
      </c>
      <c r="K5" s="2">
        <f>SUMIFS(QA_Criteria!F:F,QA_Criteria!B:B,A5,QA_Criteria!C:C,"K1")</f>
        <v/>
      </c>
      <c r="L5" s="2">
        <f>SUMIFS(QA_Criteria!F:F,QA_Criteria!B:B,A5,QA_Criteria!C:C,"K2")</f>
        <v/>
      </c>
      <c r="M5" s="2">
        <f>SUMIFS(QA_Criteria!F:F,QA_Criteria!B:B,A5,QA_Criteria!C:C,"K3")</f>
        <v/>
      </c>
      <c r="N5" s="2">
        <f>SUMIFS(QA_Criteria!F:F,QA_Criteria!B:B,A5,QA_Criteria!C:C,"T1")</f>
        <v/>
      </c>
      <c r="O5" s="2">
        <f>SUMIFS(QA_Criteria!F:F,QA_Criteria!B:B,A5,QA_Criteria!C:C,"T2")</f>
        <v/>
      </c>
      <c r="P5" s="2">
        <f>SUMIFS(QA_Criteria!F:F,QA_Criteria!B:B,A5,QA_Criteria!C:C,"D1")</f>
        <v/>
      </c>
      <c r="Q5" s="2">
        <f>SUMIFS(QA_Criteria!F:F,QA_Criteria!B:B,A5,QA_Criteria!C:C,"D2")</f>
        <v/>
      </c>
      <c r="R5" s="2">
        <f>ROUND(0.20*AVERAGEIF(QA_Images!B:B,A5,QA_Images!N:N),2)</f>
        <v/>
      </c>
      <c r="S5" s="2">
        <f>SUMIFS(QA_Criteria!F:F,QA_Criteria!B:B,A5,QA_Criteria!C:C,"E1")</f>
        <v/>
      </c>
      <c r="T5" s="2">
        <f>IF(H5=TRUE,SUM(I5:S5),0)</f>
        <v/>
      </c>
      <c r="U5" s="2">
        <f>COUNTIFS(QA_Issues!B:B,A5,QA_Issues!D:D,"CRITICAL",QA_Issues!L:L,"&lt;&gt;RESOLVED",QA_Issues!L:L,"&lt;&gt;NOT_APPLICABLE")</f>
        <v/>
      </c>
      <c r="V5" s="2">
        <f>COUNTIFS(QA_Issues!B:B,A5,QA_Issues!D:D,"MAJOR",QA_Issues!L:L,"&lt;&gt;RESOLVED",QA_Issues!L:L,"&lt;&gt;NOT_APPLICABLE")</f>
        <v/>
      </c>
      <c r="W5" s="2">
        <f>COUNTIFS(QA_Issues!B:B,A5,QA_Issues!D:D,"MINOR",QA_Issues!L:L,"&lt;&gt;RESOLVED",QA_Issues!L:L,"&lt;&gt;NOT_APPLICABLE")</f>
        <v/>
      </c>
      <c r="X5" s="2">
        <f>COUNTIFS(QA_Issues!B:B,A5,QA_Issues!D:D,"LIMITATION",QA_Issues!L:L,"&lt;&gt;RESOLVED",QA_Issues!L:L,"&lt;&gt;NOT_APPLICABLE")</f>
        <v/>
      </c>
      <c r="Y5" s="2">
        <f>IF(U5&gt;0,"QA_FAIL",IF(H5=FALSE,"QA_INCOMPLETE",IF(T5&lt;70,"QA_FAIL",IF(OR(T5&lt;85,V5&gt;0),"QA_REVISE","QA_PASS"))))</f>
        <v/>
      </c>
      <c r="Z5" s="2" t="inlineStr">
        <is>
          <t>First independent QA on r2. Titles, keywords, and gallery images are high quality. Proposed description copy contains generator prompt boilerplate and omits essential specs (D2 MAJOR); meta description is hard-truncated mid-word at 155 chars (D1 MINOR).</t>
        </is>
      </c>
    </row>
    <row r="6">
      <c r="A6" s="3" t="inlineStr">
        <is>
          <t>jeminise.com+personalized-basketball-with-paint-splash-comforter-ccac4b4a9e-ccac4b4a9e</t>
        </is>
      </c>
      <c r="B6" s="2" t="inlineStr">
        <is>
          <t>personalized-basketball-with-paint-splash-comforter-ccac4b4a9e-ccac4b4a9e</t>
        </is>
      </c>
      <c r="C6" s="2" t="n">
        <v>205</v>
      </c>
      <c r="D6" s="2" t="inlineStr">
        <is>
          <t>Personalized Basketball Above Hoop Close Up Comforter with Name and Number</t>
        </is>
      </c>
      <c r="E6" s="2" t="inlineStr">
        <is>
          <t>Custom Basketball Paint Splash Comforter</t>
        </is>
      </c>
      <c r="F6" s="2" t="inlineStr">
        <is>
          <t>custom basketball paint splash comforter</t>
        </is>
      </c>
      <c r="G6" s="2" t="inlineStr">
        <is>
          <t>personalized basketball bedding, basketball comforter set, custom name sports bedding</t>
        </is>
      </c>
      <c r="H6" s="2" t="b">
        <v>1</v>
      </c>
      <c r="I6" s="2">
        <f>SUMIFS(QA_Criteria!F:F,QA_Criteria!B:B,A6,QA_Criteria!C:C,"P1")</f>
        <v/>
      </c>
      <c r="J6" s="2">
        <f>SUMIFS(QA_Criteria!F:F,QA_Criteria!B:B,A6,QA_Criteria!C:C,"P2")</f>
        <v/>
      </c>
      <c r="K6" s="2">
        <f>SUMIFS(QA_Criteria!F:F,QA_Criteria!B:B,A6,QA_Criteria!C:C,"K1")</f>
        <v/>
      </c>
      <c r="L6" s="2">
        <f>SUMIFS(QA_Criteria!F:F,QA_Criteria!B:B,A6,QA_Criteria!C:C,"K2")</f>
        <v/>
      </c>
      <c r="M6" s="2">
        <f>SUMIFS(QA_Criteria!F:F,QA_Criteria!B:B,A6,QA_Criteria!C:C,"K3")</f>
        <v/>
      </c>
      <c r="N6" s="2">
        <f>SUMIFS(QA_Criteria!F:F,QA_Criteria!B:B,A6,QA_Criteria!C:C,"T1")</f>
        <v/>
      </c>
      <c r="O6" s="2">
        <f>SUMIFS(QA_Criteria!F:F,QA_Criteria!B:B,A6,QA_Criteria!C:C,"T2")</f>
        <v/>
      </c>
      <c r="P6" s="2">
        <f>SUMIFS(QA_Criteria!F:F,QA_Criteria!B:B,A6,QA_Criteria!C:C,"D1")</f>
        <v/>
      </c>
      <c r="Q6" s="2">
        <f>SUMIFS(QA_Criteria!F:F,QA_Criteria!B:B,A6,QA_Criteria!C:C,"D2")</f>
        <v/>
      </c>
      <c r="R6" s="2">
        <f>ROUND(0.20*AVERAGEIF(QA_Images!B:B,A6,QA_Images!N:N),2)</f>
        <v/>
      </c>
      <c r="S6" s="2">
        <f>SUMIFS(QA_Criteria!F:F,QA_Criteria!B:B,A6,QA_Criteria!C:C,"E1")</f>
        <v/>
      </c>
      <c r="T6" s="2">
        <f>IF(H6=TRUE,SUM(I6:S6),0)</f>
        <v/>
      </c>
      <c r="U6" s="2">
        <f>COUNTIFS(QA_Issues!B:B,A6,QA_Issues!D:D,"CRITICAL",QA_Issues!L:L,"&lt;&gt;RESOLVED",QA_Issues!L:L,"&lt;&gt;NOT_APPLICABLE")</f>
        <v/>
      </c>
      <c r="V6" s="2">
        <f>COUNTIFS(QA_Issues!B:B,A6,QA_Issues!D:D,"MAJOR",QA_Issues!L:L,"&lt;&gt;RESOLVED",QA_Issues!L:L,"&lt;&gt;NOT_APPLICABLE")</f>
        <v/>
      </c>
      <c r="W6" s="2">
        <f>COUNTIFS(QA_Issues!B:B,A6,QA_Issues!D:D,"MINOR",QA_Issues!L:L,"&lt;&gt;RESOLVED",QA_Issues!L:L,"&lt;&gt;NOT_APPLICABLE")</f>
        <v/>
      </c>
      <c r="X6" s="2">
        <f>COUNTIFS(QA_Issues!B:B,A6,QA_Issues!D:D,"LIMITATION",QA_Issues!L:L,"&lt;&gt;RESOLVED",QA_Issues!L:L,"&lt;&gt;NOT_APPLICABLE")</f>
        <v/>
      </c>
      <c r="Y6" s="2">
        <f>IF(U6&gt;0,"QA_FAIL",IF(H6=FALSE,"QA_INCOMPLETE",IF(T6&lt;70,"QA_FAIL",IF(OR(T6&lt;85,V6&gt;0),"QA_REVISE","QA_PASS"))))</f>
        <v/>
      </c>
      <c r="Z6" s="2" t="inlineStr">
        <is>
          <t>First independent QA on r2. Titles, keywords, and gallery images are high quality. Proposed description copy contains generator prompt boilerplate and omits essential specs (D2 MAJOR); meta description is hard-truncated mid-word at 155 chars (D1 MINOR).</t>
        </is>
      </c>
    </row>
    <row r="7">
      <c r="A7" s="3" t="inlineStr">
        <is>
          <t>jeminise.com+personalized-basketball-ball-below-net-blanket-with-name-and-number-86aaeebf75-86aaeebf75</t>
        </is>
      </c>
      <c r="B7" s="2" t="inlineStr">
        <is>
          <t>personalized-basketball-ball-below-net-blanket-with-name-and-number-86aaeebf75-86aaeebf75</t>
        </is>
      </c>
      <c r="C7" s="2" t="n">
        <v>206</v>
      </c>
      <c r="D7" s="2" t="inlineStr">
        <is>
          <t>Personalized Basketball Ball Below Net Blanket with Name and Number</t>
        </is>
      </c>
      <c r="E7" s="2" t="inlineStr">
        <is>
          <t>Custom Basketball Net Blanket</t>
        </is>
      </c>
      <c r="F7" s="2" t="inlineStr">
        <is>
          <t>custom basketball net blanket</t>
        </is>
      </c>
      <c r="G7" s="2" t="inlineStr">
        <is>
          <t>personalized basketball blanket, custom basketball throw, basketball gift blanket</t>
        </is>
      </c>
      <c r="H7" s="2" t="b">
        <v>1</v>
      </c>
      <c r="I7" s="2">
        <f>SUMIFS(QA_Criteria!F:F,QA_Criteria!B:B,A7,QA_Criteria!C:C,"P1")</f>
        <v/>
      </c>
      <c r="J7" s="2">
        <f>SUMIFS(QA_Criteria!F:F,QA_Criteria!B:B,A7,QA_Criteria!C:C,"P2")</f>
        <v/>
      </c>
      <c r="K7" s="2">
        <f>SUMIFS(QA_Criteria!F:F,QA_Criteria!B:B,A7,QA_Criteria!C:C,"K1")</f>
        <v/>
      </c>
      <c r="L7" s="2">
        <f>SUMIFS(QA_Criteria!F:F,QA_Criteria!B:B,A7,QA_Criteria!C:C,"K2")</f>
        <v/>
      </c>
      <c r="M7" s="2">
        <f>SUMIFS(QA_Criteria!F:F,QA_Criteria!B:B,A7,QA_Criteria!C:C,"K3")</f>
        <v/>
      </c>
      <c r="N7" s="2">
        <f>SUMIFS(QA_Criteria!F:F,QA_Criteria!B:B,A7,QA_Criteria!C:C,"T1")</f>
        <v/>
      </c>
      <c r="O7" s="2">
        <f>SUMIFS(QA_Criteria!F:F,QA_Criteria!B:B,A7,QA_Criteria!C:C,"T2")</f>
        <v/>
      </c>
      <c r="P7" s="2">
        <f>SUMIFS(QA_Criteria!F:F,QA_Criteria!B:B,A7,QA_Criteria!C:C,"D1")</f>
        <v/>
      </c>
      <c r="Q7" s="2">
        <f>SUMIFS(QA_Criteria!F:F,QA_Criteria!B:B,A7,QA_Criteria!C:C,"D2")</f>
        <v/>
      </c>
      <c r="R7" s="2">
        <f>ROUND(0.20*AVERAGEIF(QA_Images!B:B,A7,QA_Images!N:N),2)</f>
        <v/>
      </c>
      <c r="S7" s="2">
        <f>SUMIFS(QA_Criteria!F:F,QA_Criteria!B:B,A7,QA_Criteria!C:C,"E1")</f>
        <v/>
      </c>
      <c r="T7" s="2">
        <f>IF(H7=TRUE,SUM(I7:S7),0)</f>
        <v/>
      </c>
      <c r="U7" s="2">
        <f>COUNTIFS(QA_Issues!B:B,A7,QA_Issues!D:D,"CRITICAL",QA_Issues!L:L,"&lt;&gt;RESOLVED",QA_Issues!L:L,"&lt;&gt;NOT_APPLICABLE")</f>
        <v/>
      </c>
      <c r="V7" s="2">
        <f>COUNTIFS(QA_Issues!B:B,A7,QA_Issues!D:D,"MAJOR",QA_Issues!L:L,"&lt;&gt;RESOLVED",QA_Issues!L:L,"&lt;&gt;NOT_APPLICABLE")</f>
        <v/>
      </c>
      <c r="W7" s="2">
        <f>COUNTIFS(QA_Issues!B:B,A7,QA_Issues!D:D,"MINOR",QA_Issues!L:L,"&lt;&gt;RESOLVED",QA_Issues!L:L,"&lt;&gt;NOT_APPLICABLE")</f>
        <v/>
      </c>
      <c r="X7" s="2">
        <f>COUNTIFS(QA_Issues!B:B,A7,QA_Issues!D:D,"LIMITATION",QA_Issues!L:L,"&lt;&gt;RESOLVED",QA_Issues!L:L,"&lt;&gt;NOT_APPLICABLE")</f>
        <v/>
      </c>
      <c r="Y7" s="2">
        <f>IF(U7&gt;0,"QA_FAIL",IF(H7=FALSE,"QA_INCOMPLETE",IF(T7&lt;70,"QA_FAIL",IF(OR(T7&lt;85,V7&gt;0),"QA_REVISE","QA_PASS"))))</f>
        <v/>
      </c>
      <c r="Z7" s="2" t="inlineStr">
        <is>
          <t>First independent QA on r2. Titles, keywords, and gallery images are high quality. Proposed description copy contains generator prompt boilerplate and omits essential specs (D2 MAJOR); meta description is hard-truncated mid-word at 155 chars (D1 MINOR).</t>
        </is>
      </c>
    </row>
    <row r="8">
      <c r="A8" s="3" t="inlineStr">
        <is>
          <t>jeminise.com+personalized-basketball-below-hoop-comforter-name-number-e8b829a176-e8b829a176</t>
        </is>
      </c>
      <c r="B8" s="2" t="inlineStr">
        <is>
          <t>personalized-basketball-below-hoop-comforter-name-number-e8b829a176-e8b829a176</t>
        </is>
      </c>
      <c r="C8" s="2" t="n">
        <v>207</v>
      </c>
      <c r="D8" s="2" t="inlineStr">
        <is>
          <t>Personalized Basketball Below Hoop Comforter with Name and Number Design 1</t>
        </is>
      </c>
      <c r="E8" s="2" t="inlineStr">
        <is>
          <t>Custom Basketball Court Hoop Comforter</t>
        </is>
      </c>
      <c r="F8" s="2" t="inlineStr">
        <is>
          <t>custom basketball court hoop comforter</t>
        </is>
      </c>
      <c r="G8" s="2" t="inlineStr">
        <is>
          <t>personalized basketball bedding, basketball player comforter, custom sports bedding</t>
        </is>
      </c>
      <c r="H8" s="2" t="b">
        <v>1</v>
      </c>
      <c r="I8" s="2">
        <f>SUMIFS(QA_Criteria!F:F,QA_Criteria!B:B,A8,QA_Criteria!C:C,"P1")</f>
        <v/>
      </c>
      <c r="J8" s="2">
        <f>SUMIFS(QA_Criteria!F:F,QA_Criteria!B:B,A8,QA_Criteria!C:C,"P2")</f>
        <v/>
      </c>
      <c r="K8" s="2">
        <f>SUMIFS(QA_Criteria!F:F,QA_Criteria!B:B,A8,QA_Criteria!C:C,"K1")</f>
        <v/>
      </c>
      <c r="L8" s="2">
        <f>SUMIFS(QA_Criteria!F:F,QA_Criteria!B:B,A8,QA_Criteria!C:C,"K2")</f>
        <v/>
      </c>
      <c r="M8" s="2">
        <f>SUMIFS(QA_Criteria!F:F,QA_Criteria!B:B,A8,QA_Criteria!C:C,"K3")</f>
        <v/>
      </c>
      <c r="N8" s="2">
        <f>SUMIFS(QA_Criteria!F:F,QA_Criteria!B:B,A8,QA_Criteria!C:C,"T1")</f>
        <v/>
      </c>
      <c r="O8" s="2">
        <f>SUMIFS(QA_Criteria!F:F,QA_Criteria!B:B,A8,QA_Criteria!C:C,"T2")</f>
        <v/>
      </c>
      <c r="P8" s="2">
        <f>SUMIFS(QA_Criteria!F:F,QA_Criteria!B:B,A8,QA_Criteria!C:C,"D1")</f>
        <v/>
      </c>
      <c r="Q8" s="2">
        <f>SUMIFS(QA_Criteria!F:F,QA_Criteria!B:B,A8,QA_Criteria!C:C,"D2")</f>
        <v/>
      </c>
      <c r="R8" s="2">
        <f>ROUND(0.20*AVERAGEIF(QA_Images!B:B,A8,QA_Images!N:N),2)</f>
        <v/>
      </c>
      <c r="S8" s="2">
        <f>SUMIFS(QA_Criteria!F:F,QA_Criteria!B:B,A8,QA_Criteria!C:C,"E1")</f>
        <v/>
      </c>
      <c r="T8" s="2">
        <f>IF(H8=TRUE,SUM(I8:S8),0)</f>
        <v/>
      </c>
      <c r="U8" s="2">
        <f>COUNTIFS(QA_Issues!B:B,A8,QA_Issues!D:D,"CRITICAL",QA_Issues!L:L,"&lt;&gt;RESOLVED",QA_Issues!L:L,"&lt;&gt;NOT_APPLICABLE")</f>
        <v/>
      </c>
      <c r="V8" s="2">
        <f>COUNTIFS(QA_Issues!B:B,A8,QA_Issues!D:D,"MAJOR",QA_Issues!L:L,"&lt;&gt;RESOLVED",QA_Issues!L:L,"&lt;&gt;NOT_APPLICABLE")</f>
        <v/>
      </c>
      <c r="W8" s="2">
        <f>COUNTIFS(QA_Issues!B:B,A8,QA_Issues!D:D,"MINOR",QA_Issues!L:L,"&lt;&gt;RESOLVED",QA_Issues!L:L,"&lt;&gt;NOT_APPLICABLE")</f>
        <v/>
      </c>
      <c r="X8" s="2">
        <f>COUNTIFS(QA_Issues!B:B,A8,QA_Issues!D:D,"LIMITATION",QA_Issues!L:L,"&lt;&gt;RESOLVED",QA_Issues!L:L,"&lt;&gt;NOT_APPLICABLE")</f>
        <v/>
      </c>
      <c r="Y8" s="2">
        <f>IF(U8&gt;0,"QA_FAIL",IF(H8=FALSE,"QA_INCOMPLETE",IF(T8&lt;70,"QA_FAIL",IF(OR(T8&lt;85,V8&gt;0),"QA_REVISE","QA_PASS"))))</f>
        <v/>
      </c>
      <c r="Z8" s="2" t="inlineStr">
        <is>
          <t>First independent QA on r2. Titles, keywords, and gallery images are high quality. Proposed description copy contains generator prompt boilerplate and omits essential specs (D2 MAJOR); meta description is hard-truncated mid-word at 155 chars (D1 MINOR).</t>
        </is>
      </c>
    </row>
    <row r="9">
      <c r="A9" s="3" t="inlineStr">
        <is>
          <t>jeminise.com+personalized-basketball-below-hoop-comforter-with-name-and-number-d7a58513fd-d7a58513fd</t>
        </is>
      </c>
      <c r="B9" s="2" t="inlineStr">
        <is>
          <t>personalized-basketball-below-hoop-comforter-with-name-and-number-d7a58513fd-d7a58513fd</t>
        </is>
      </c>
      <c r="C9" s="2" t="n">
        <v>208</v>
      </c>
      <c r="D9" s="2" t="inlineStr">
        <is>
          <t>Personalized Basketball Below Hoop Comforter with Name and Number Design 2</t>
        </is>
      </c>
      <c r="E9" s="2" t="inlineStr">
        <is>
          <t>Custom Black Basketball Hoop Comforter</t>
        </is>
      </c>
      <c r="F9" s="2" t="inlineStr">
        <is>
          <t>custom black basketball hoop comforter</t>
        </is>
      </c>
      <c r="G9" s="2" t="inlineStr">
        <is>
          <t>personalized basketball bedding, basketball net comforter, custom name bedding</t>
        </is>
      </c>
      <c r="H9" s="2" t="b">
        <v>1</v>
      </c>
      <c r="I9" s="2">
        <f>SUMIFS(QA_Criteria!F:F,QA_Criteria!B:B,A9,QA_Criteria!C:C,"P1")</f>
        <v/>
      </c>
      <c r="J9" s="2">
        <f>SUMIFS(QA_Criteria!F:F,QA_Criteria!B:B,A9,QA_Criteria!C:C,"P2")</f>
        <v/>
      </c>
      <c r="K9" s="2">
        <f>SUMIFS(QA_Criteria!F:F,QA_Criteria!B:B,A9,QA_Criteria!C:C,"K1")</f>
        <v/>
      </c>
      <c r="L9" s="2">
        <f>SUMIFS(QA_Criteria!F:F,QA_Criteria!B:B,A9,QA_Criteria!C:C,"K2")</f>
        <v/>
      </c>
      <c r="M9" s="2">
        <f>SUMIFS(QA_Criteria!F:F,QA_Criteria!B:B,A9,QA_Criteria!C:C,"K3")</f>
        <v/>
      </c>
      <c r="N9" s="2">
        <f>SUMIFS(QA_Criteria!F:F,QA_Criteria!B:B,A9,QA_Criteria!C:C,"T1")</f>
        <v/>
      </c>
      <c r="O9" s="2">
        <f>SUMIFS(QA_Criteria!F:F,QA_Criteria!B:B,A9,QA_Criteria!C:C,"T2")</f>
        <v/>
      </c>
      <c r="P9" s="2">
        <f>SUMIFS(QA_Criteria!F:F,QA_Criteria!B:B,A9,QA_Criteria!C:C,"D1")</f>
        <v/>
      </c>
      <c r="Q9" s="2">
        <f>SUMIFS(QA_Criteria!F:F,QA_Criteria!B:B,A9,QA_Criteria!C:C,"D2")</f>
        <v/>
      </c>
      <c r="R9" s="2">
        <f>ROUND(0.20*AVERAGEIF(QA_Images!B:B,A9,QA_Images!N:N),2)</f>
        <v/>
      </c>
      <c r="S9" s="2">
        <f>SUMIFS(QA_Criteria!F:F,QA_Criteria!B:B,A9,QA_Criteria!C:C,"E1")</f>
        <v/>
      </c>
      <c r="T9" s="2">
        <f>IF(H9=TRUE,SUM(I9:S9),0)</f>
        <v/>
      </c>
      <c r="U9" s="2">
        <f>COUNTIFS(QA_Issues!B:B,A9,QA_Issues!D:D,"CRITICAL",QA_Issues!L:L,"&lt;&gt;RESOLVED",QA_Issues!L:L,"&lt;&gt;NOT_APPLICABLE")</f>
        <v/>
      </c>
      <c r="V9" s="2">
        <f>COUNTIFS(QA_Issues!B:B,A9,QA_Issues!D:D,"MAJOR",QA_Issues!L:L,"&lt;&gt;RESOLVED",QA_Issues!L:L,"&lt;&gt;NOT_APPLICABLE")</f>
        <v/>
      </c>
      <c r="W9" s="2">
        <f>COUNTIFS(QA_Issues!B:B,A9,QA_Issues!D:D,"MINOR",QA_Issues!L:L,"&lt;&gt;RESOLVED",QA_Issues!L:L,"&lt;&gt;NOT_APPLICABLE")</f>
        <v/>
      </c>
      <c r="X9" s="2">
        <f>COUNTIFS(QA_Issues!B:B,A9,QA_Issues!D:D,"LIMITATION",QA_Issues!L:L,"&lt;&gt;RESOLVED",QA_Issues!L:L,"&lt;&gt;NOT_APPLICABLE")</f>
        <v/>
      </c>
      <c r="Y9" s="2">
        <f>IF(U9&gt;0,"QA_FAIL",IF(H9=FALSE,"QA_INCOMPLETE",IF(T9&lt;70,"QA_FAIL",IF(OR(T9&lt;85,V9&gt;0),"QA_REVISE","QA_PASS"))))</f>
        <v/>
      </c>
      <c r="Z9" s="2" t="inlineStr">
        <is>
          <t>First independent QA on r2. Titles, keywords, and gallery images are high quality. Proposed description copy contains generator prompt boilerplate and omits essential specs (D2 MAJOR); meta description is hard-truncated mid-word at 155 chars (D1 MINOR).</t>
        </is>
      </c>
    </row>
    <row r="10">
      <c r="A10" s="3" t="inlineStr">
        <is>
          <t>jeminise.com+personalized-basketball-burning-flames-comforter-with-name-and-number-746598fa53-746598fa53</t>
        </is>
      </c>
      <c r="B10" s="2" t="inlineStr">
        <is>
          <t>personalized-basketball-burning-flames-comforter-with-name-and-number-746598fa53-746598fa53</t>
        </is>
      </c>
      <c r="C10" s="2" t="n">
        <v>209</v>
      </c>
      <c r="D10" s="2" t="inlineStr">
        <is>
          <t>Personalized Basketball Burning Flames Comforter with Name and Number</t>
        </is>
      </c>
      <c r="E10" s="2" t="inlineStr">
        <is>
          <t>Custom Flame Basketball Comforter Set</t>
        </is>
      </c>
      <c r="F10" s="2" t="inlineStr">
        <is>
          <t>custom flame basketball comforter set</t>
        </is>
      </c>
      <c r="G10" s="2" t="inlineStr">
        <is>
          <t>personalized basketball bedding, fire basketball comforter, custom sports bedding</t>
        </is>
      </c>
      <c r="H10" s="2" t="b">
        <v>1</v>
      </c>
      <c r="I10" s="2">
        <f>SUMIFS(QA_Criteria!F:F,QA_Criteria!B:B,A10,QA_Criteria!C:C,"P1")</f>
        <v/>
      </c>
      <c r="J10" s="2">
        <f>SUMIFS(QA_Criteria!F:F,QA_Criteria!B:B,A10,QA_Criteria!C:C,"P2")</f>
        <v/>
      </c>
      <c r="K10" s="2">
        <f>SUMIFS(QA_Criteria!F:F,QA_Criteria!B:B,A10,QA_Criteria!C:C,"K1")</f>
        <v/>
      </c>
      <c r="L10" s="2">
        <f>SUMIFS(QA_Criteria!F:F,QA_Criteria!B:B,A10,QA_Criteria!C:C,"K2")</f>
        <v/>
      </c>
      <c r="M10" s="2">
        <f>SUMIFS(QA_Criteria!F:F,QA_Criteria!B:B,A10,QA_Criteria!C:C,"K3")</f>
        <v/>
      </c>
      <c r="N10" s="2">
        <f>SUMIFS(QA_Criteria!F:F,QA_Criteria!B:B,A10,QA_Criteria!C:C,"T1")</f>
        <v/>
      </c>
      <c r="O10" s="2">
        <f>SUMIFS(QA_Criteria!F:F,QA_Criteria!B:B,A10,QA_Criteria!C:C,"T2")</f>
        <v/>
      </c>
      <c r="P10" s="2">
        <f>SUMIFS(QA_Criteria!F:F,QA_Criteria!B:B,A10,QA_Criteria!C:C,"D1")</f>
        <v/>
      </c>
      <c r="Q10" s="2">
        <f>SUMIFS(QA_Criteria!F:F,QA_Criteria!B:B,A10,QA_Criteria!C:C,"D2")</f>
        <v/>
      </c>
      <c r="R10" s="2">
        <f>ROUND(0.20*AVERAGEIF(QA_Images!B:B,A10,QA_Images!N:N),2)</f>
        <v/>
      </c>
      <c r="S10" s="2">
        <f>SUMIFS(QA_Criteria!F:F,QA_Criteria!B:B,A10,QA_Criteria!C:C,"E1")</f>
        <v/>
      </c>
      <c r="T10" s="2">
        <f>IF(H10=TRUE,SUM(I10:S10),0)</f>
        <v/>
      </c>
      <c r="U10" s="2">
        <f>COUNTIFS(QA_Issues!B:B,A10,QA_Issues!D:D,"CRITICAL",QA_Issues!L:L,"&lt;&gt;RESOLVED",QA_Issues!L:L,"&lt;&gt;NOT_APPLICABLE")</f>
        <v/>
      </c>
      <c r="V10" s="2">
        <f>COUNTIFS(QA_Issues!B:B,A10,QA_Issues!D:D,"MAJOR",QA_Issues!L:L,"&lt;&gt;RESOLVED",QA_Issues!L:L,"&lt;&gt;NOT_APPLICABLE")</f>
        <v/>
      </c>
      <c r="W10" s="2">
        <f>COUNTIFS(QA_Issues!B:B,A10,QA_Issues!D:D,"MINOR",QA_Issues!L:L,"&lt;&gt;RESOLVED",QA_Issues!L:L,"&lt;&gt;NOT_APPLICABLE")</f>
        <v/>
      </c>
      <c r="X10" s="2">
        <f>COUNTIFS(QA_Issues!B:B,A10,QA_Issues!D:D,"LIMITATION",QA_Issues!L:L,"&lt;&gt;RESOLVED",QA_Issues!L:L,"&lt;&gt;NOT_APPLICABLE")</f>
        <v/>
      </c>
      <c r="Y10" s="2">
        <f>IF(U10&gt;0,"QA_FAIL",IF(H10=FALSE,"QA_INCOMPLETE",IF(T10&lt;70,"QA_FAIL",IF(OR(T10&lt;85,V10&gt;0),"QA_REVISE","QA_PASS"))))</f>
        <v/>
      </c>
      <c r="Z10" s="2" t="inlineStr">
        <is>
          <t>First independent QA on r2. Titles, keywords, and gallery images are high quality. Proposed description copy contains generator prompt boilerplate and omits essential specs (D2 MAJOR); meta description is hard-truncated mid-word at 155 chars (D1 MINOR).</t>
        </is>
      </c>
    </row>
    <row r="11">
      <c r="A11" s="3" t="inlineStr">
        <is>
          <t>jeminise.com+personalized-basketball-close-up-blanket-with-name-and-number-3f49346de1-3f49346de1</t>
        </is>
      </c>
      <c r="B11" s="2" t="inlineStr">
        <is>
          <t>personalized-basketball-close-up-blanket-with-name-and-number-3f49346de1-3f49346de1</t>
        </is>
      </c>
      <c r="C11" s="2" t="n">
        <v>210</v>
      </c>
      <c r="D11" s="2" t="inlineStr">
        <is>
          <t>Personalized Basketball Close Up Blanket with Name and Number</t>
        </is>
      </c>
      <c r="E11" s="2" t="inlineStr">
        <is>
          <t>Custom Basketball Close-Up Blanket</t>
        </is>
      </c>
      <c r="F11" s="2" t="inlineStr">
        <is>
          <t>custom basketball close-up blanket</t>
        </is>
      </c>
      <c r="G11" s="2" t="inlineStr">
        <is>
          <t>personalized basketball blanket, custom basketball throw, basketball player blanket</t>
        </is>
      </c>
      <c r="H11" s="2" t="b">
        <v>1</v>
      </c>
      <c r="I11" s="2">
        <f>SUMIFS(QA_Criteria!F:F,QA_Criteria!B:B,A11,QA_Criteria!C:C,"P1")</f>
        <v/>
      </c>
      <c r="J11" s="2">
        <f>SUMIFS(QA_Criteria!F:F,QA_Criteria!B:B,A11,QA_Criteria!C:C,"P2")</f>
        <v/>
      </c>
      <c r="K11" s="2">
        <f>SUMIFS(QA_Criteria!F:F,QA_Criteria!B:B,A11,QA_Criteria!C:C,"K1")</f>
        <v/>
      </c>
      <c r="L11" s="2">
        <f>SUMIFS(QA_Criteria!F:F,QA_Criteria!B:B,A11,QA_Criteria!C:C,"K2")</f>
        <v/>
      </c>
      <c r="M11" s="2">
        <f>SUMIFS(QA_Criteria!F:F,QA_Criteria!B:B,A11,QA_Criteria!C:C,"K3")</f>
        <v/>
      </c>
      <c r="N11" s="2">
        <f>SUMIFS(QA_Criteria!F:F,QA_Criteria!B:B,A11,QA_Criteria!C:C,"T1")</f>
        <v/>
      </c>
      <c r="O11" s="2">
        <f>SUMIFS(QA_Criteria!F:F,QA_Criteria!B:B,A11,QA_Criteria!C:C,"T2")</f>
        <v/>
      </c>
      <c r="P11" s="2">
        <f>SUMIFS(QA_Criteria!F:F,QA_Criteria!B:B,A11,QA_Criteria!C:C,"D1")</f>
        <v/>
      </c>
      <c r="Q11" s="2">
        <f>SUMIFS(QA_Criteria!F:F,QA_Criteria!B:B,A11,QA_Criteria!C:C,"D2")</f>
        <v/>
      </c>
      <c r="R11" s="2">
        <f>ROUND(0.20*AVERAGEIF(QA_Images!B:B,A11,QA_Images!N:N),2)</f>
        <v/>
      </c>
      <c r="S11" s="2">
        <f>SUMIFS(QA_Criteria!F:F,QA_Criteria!B:B,A11,QA_Criteria!C:C,"E1")</f>
        <v/>
      </c>
      <c r="T11" s="2">
        <f>IF(H11=TRUE,SUM(I11:S11),0)</f>
        <v/>
      </c>
      <c r="U11" s="2">
        <f>COUNTIFS(QA_Issues!B:B,A11,QA_Issues!D:D,"CRITICAL",QA_Issues!L:L,"&lt;&gt;RESOLVED",QA_Issues!L:L,"&lt;&gt;NOT_APPLICABLE")</f>
        <v/>
      </c>
      <c r="V11" s="2">
        <f>COUNTIFS(QA_Issues!B:B,A11,QA_Issues!D:D,"MAJOR",QA_Issues!L:L,"&lt;&gt;RESOLVED",QA_Issues!L:L,"&lt;&gt;NOT_APPLICABLE")</f>
        <v/>
      </c>
      <c r="W11" s="2">
        <f>COUNTIFS(QA_Issues!B:B,A11,QA_Issues!D:D,"MINOR",QA_Issues!L:L,"&lt;&gt;RESOLVED",QA_Issues!L:L,"&lt;&gt;NOT_APPLICABLE")</f>
        <v/>
      </c>
      <c r="X11" s="2">
        <f>COUNTIFS(QA_Issues!B:B,A11,QA_Issues!D:D,"LIMITATION",QA_Issues!L:L,"&lt;&gt;RESOLVED",QA_Issues!L:L,"&lt;&gt;NOT_APPLICABLE")</f>
        <v/>
      </c>
      <c r="Y11" s="2">
        <f>IF(U11&gt;0,"QA_FAIL",IF(H11=FALSE,"QA_INCOMPLETE",IF(T11&lt;70,"QA_FAIL",IF(OR(T11&lt;85,V11&gt;0),"QA_REVISE","QA_PASS"))))</f>
        <v/>
      </c>
      <c r="Z11" s="2" t="inlineStr">
        <is>
          <t>First independent QA on r2. Titles, keywords, and gallery images are high quality. Proposed description copy contains generator prompt boilerplate and omits essential specs (D2 MAJOR); meta description is hard-truncated mid-word at 155 chars (D1 MINOR).</t>
        </is>
      </c>
    </row>
  </sheetData>
  <autoFilter ref="A1:Z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17" customWidth="1" min="3" max="3"/>
    <col width="31" customWidth="1" min="4" max="4"/>
    <col width="13" customWidth="1" min="5" max="5"/>
    <col width="15" customWidth="1" min="6" max="6"/>
    <col width="20" customWidth="1" min="7" max="7"/>
    <col width="45" customWidth="1" min="8" max="8"/>
    <col width="45" customWidth="1" min="9" max="9"/>
  </cols>
  <sheetData>
    <row r="1">
      <c r="A1" s="1" t="inlineStr">
        <is>
          <t>criterion_id</t>
        </is>
      </c>
      <c r="B1" s="1" t="inlineStr">
        <is>
          <t>product_key</t>
        </is>
      </c>
      <c r="C1" s="1" t="inlineStr">
        <is>
          <t>criterion_code</t>
        </is>
      </c>
      <c r="D1" s="1" t="inlineStr">
        <is>
          <t>criterion_name</t>
        </is>
      </c>
      <c r="E1" s="1" t="inlineStr">
        <is>
          <t>max_weight</t>
        </is>
      </c>
      <c r="F1" s="1" t="inlineStr">
        <is>
          <t>score_earned</t>
        </is>
      </c>
      <c r="G1" s="1" t="inlineStr">
        <is>
          <t>evaluation_status</t>
        </is>
      </c>
      <c r="H1" s="1" t="inlineStr">
        <is>
          <t>evaluation_details</t>
        </is>
      </c>
      <c r="I1" s="1" t="inlineStr">
        <is>
          <t>auditor_notes</t>
        </is>
      </c>
    </row>
    <row r="2">
      <c r="A2" s="3" t="inlineStr">
        <is>
          <t>CRIT-001</t>
        </is>
      </c>
      <c r="B2" s="3" t="inlineStr">
        <is>
          <t>jeminise.com+personalized-baseball-bedding-full-size-flag-custom-name-d-design-26</t>
        </is>
      </c>
      <c r="C2" s="2" t="inlineStr">
        <is>
          <t>P1</t>
        </is>
      </c>
      <c r="D2" s="2" t="inlineStr">
        <is>
          <t>Product Identification</t>
        </is>
      </c>
      <c r="E2" s="2" t="n">
        <v>15</v>
      </c>
      <c r="F2" s="2" t="n">
        <v>15</v>
      </c>
      <c r="G2" s="2" t="inlineStr">
        <is>
          <t>PASS</t>
        </is>
      </c>
      <c r="H2" s="2" t="inlineStr">
        <is>
          <t>personalized-baseball-bedding-full-size-flag-custom-name-d-design-26: Accurately identified product form factor (Bedding Comforter/Duvet Cover for 201-205, 207-209; Throw Blanket for 206, 210), material category, and sports motif from live storefront audit and gallery inspection.</t>
        </is>
      </c>
      <c r="I2" s="2" t="inlineStr">
        <is>
          <t>Audited in batch 21 r2. Criteria P1 weight=15.0.</t>
        </is>
      </c>
    </row>
    <row r="3">
      <c r="A3" s="3" t="inlineStr">
        <is>
          <t>CRIT-002</t>
        </is>
      </c>
      <c r="B3" s="3" t="inlineStr">
        <is>
          <t>jeminise.com+personalized-baseball-bedding-full-size-flag-custom-name-d-design-26</t>
        </is>
      </c>
      <c r="C3" s="2" t="inlineStr">
        <is>
          <t>P2</t>
        </is>
      </c>
      <c r="D3" s="2" t="inlineStr">
        <is>
          <t>Taxonomy &amp; Classification</t>
        </is>
      </c>
      <c r="E3" s="2" t="n">
        <v>10</v>
      </c>
      <c r="F3" s="2" t="n">
        <v>10</v>
      </c>
      <c r="G3" s="2" t="inlineStr">
        <is>
          <t>PASS</t>
        </is>
      </c>
      <c r="H3" s="2" t="inlineStr">
        <is>
          <t>personalized-baseball-bedding-full-size-flag-custom-name-d-design-26: Correct category assignment aligning with Shopify collections, product types, and variant configurations (48 variants for Bedding, 8 variants for Blankets).</t>
        </is>
      </c>
      <c r="I3" s="2" t="inlineStr">
        <is>
          <t>Audited in batch 21 r2. Criteria P2 weight=10.0.</t>
        </is>
      </c>
    </row>
    <row r="4">
      <c r="A4" s="3" t="inlineStr">
        <is>
          <t>CRIT-003</t>
        </is>
      </c>
      <c r="B4" s="3" t="inlineStr">
        <is>
          <t>jeminise.com+personalized-baseball-bedding-full-size-flag-custom-name-d-design-26</t>
        </is>
      </c>
      <c r="C4" s="2" t="inlineStr">
        <is>
          <t>K1</t>
        </is>
      </c>
      <c r="D4" s="2" t="inlineStr">
        <is>
          <t>Primary Keyword Focus</t>
        </is>
      </c>
      <c r="E4" s="2" t="n">
        <v>10</v>
      </c>
      <c r="F4" s="2" t="n">
        <v>10</v>
      </c>
      <c r="G4" s="2" t="inlineStr">
        <is>
          <t>PASS</t>
        </is>
      </c>
      <c r="H4" s="2" t="inlineStr">
        <is>
          <t>personalized-baseball-bedding-full-size-flag-custom-name-d-design-26: Primary keyword accurately targets specific product motif and search demand validated via live US SERP analysis.</t>
        </is>
      </c>
      <c r="I4" s="2" t="inlineStr">
        <is>
          <t>Audited in batch 21 r2. Criteria K1 weight=10.0.</t>
        </is>
      </c>
    </row>
    <row r="5">
      <c r="A5" s="3" t="inlineStr">
        <is>
          <t>CRIT-004</t>
        </is>
      </c>
      <c r="B5" s="3" t="inlineStr">
        <is>
          <t>jeminise.com+personalized-baseball-bedding-full-size-flag-custom-name-d-design-26</t>
        </is>
      </c>
      <c r="C5" s="2" t="inlineStr">
        <is>
          <t>K2</t>
        </is>
      </c>
      <c r="D5" s="2" t="inlineStr">
        <is>
          <t>Secondary Keyword Support</t>
        </is>
      </c>
      <c r="E5" s="2" t="n">
        <v>5</v>
      </c>
      <c r="F5" s="2" t="n">
        <v>5</v>
      </c>
      <c r="G5" s="2" t="inlineStr">
        <is>
          <t>PASS</t>
        </is>
      </c>
      <c r="H5" s="2" t="inlineStr">
        <is>
          <t>personalized-baseball-bedding-full-size-flag-custom-name-d-design-26: Secondary keywords support relevant long-tail variations without keyword stuffing.</t>
        </is>
      </c>
      <c r="I5" s="2" t="inlineStr">
        <is>
          <t>Audited in batch 21 r2. Criteria K2 weight=5.0.</t>
        </is>
      </c>
    </row>
    <row r="6">
      <c r="A6" s="3" t="inlineStr">
        <is>
          <t>CRIT-005</t>
        </is>
      </c>
      <c r="B6" s="3" t="inlineStr">
        <is>
          <t>jeminise.com+personalized-baseball-bedding-full-size-flag-custom-name-d-design-26</t>
        </is>
      </c>
      <c r="C6" s="2" t="inlineStr">
        <is>
          <t>K3</t>
        </is>
      </c>
      <c r="D6" s="2" t="inlineStr">
        <is>
          <t>Search Intent Alignment</t>
        </is>
      </c>
      <c r="E6" s="2" t="n">
        <v>5</v>
      </c>
      <c r="F6" s="2" t="n">
        <v>5</v>
      </c>
      <c r="G6" s="2" t="inlineStr">
        <is>
          <t>PASS</t>
        </is>
      </c>
      <c r="H6" s="2" t="inlineStr">
        <is>
          <t>personalized-baseball-bedding-full-size-flag-custom-name-d-design-26: Commercial product search intent aligned with US sports bedding and home decor buyer expectations.</t>
        </is>
      </c>
      <c r="I6" s="2" t="inlineStr">
        <is>
          <t>Audited in batch 21 r2. Criteria K3 weight=5.0.</t>
        </is>
      </c>
    </row>
    <row r="7">
      <c r="A7" s="3" t="inlineStr">
        <is>
          <t>CRIT-006</t>
        </is>
      </c>
      <c r="B7" s="3" t="inlineStr">
        <is>
          <t>jeminise.com+personalized-baseball-bedding-full-size-flag-custom-name-d-design-26</t>
        </is>
      </c>
      <c r="C7" s="2" t="inlineStr">
        <is>
          <t>T1</t>
        </is>
      </c>
      <c r="D7" s="2" t="inlineStr">
        <is>
          <t>Proposed Title Optimization</t>
        </is>
      </c>
      <c r="E7" s="2" t="n">
        <v>10</v>
      </c>
      <c r="F7" s="2" t="n">
        <v>10</v>
      </c>
      <c r="G7" s="2" t="inlineStr">
        <is>
          <t>PASS</t>
        </is>
      </c>
      <c r="H7" s="2" t="inlineStr">
        <is>
          <t>personalized-baseball-bedding-full-size-flag-custom-name-d-design-26: Title proposed is concise, front-loaded with primary keyword, and eliminates redundant keyword stuffing.</t>
        </is>
      </c>
      <c r="I7" s="2" t="inlineStr">
        <is>
          <t>Audited in batch 21 r2. Criteria T1 weight=10.0.</t>
        </is>
      </c>
    </row>
    <row r="8">
      <c r="A8" s="3" t="inlineStr">
        <is>
          <t>CRIT-007</t>
        </is>
      </c>
      <c r="B8" s="3" t="inlineStr">
        <is>
          <t>jeminise.com+personalized-baseball-bedding-full-size-flag-custom-name-d-design-26</t>
        </is>
      </c>
      <c r="C8" s="2" t="inlineStr">
        <is>
          <t>T2</t>
        </is>
      </c>
      <c r="D8" s="2" t="inlineStr">
        <is>
          <t>Meta Title / H1 Optimization</t>
        </is>
      </c>
      <c r="E8" s="2" t="n">
        <v>5</v>
      </c>
      <c r="F8" s="2" t="n">
        <v>5</v>
      </c>
      <c r="G8" s="2" t="inlineStr">
        <is>
          <t>PASS</t>
        </is>
      </c>
      <c r="H8" s="2" t="inlineStr">
        <is>
          <t>personalized-baseball-bedding-full-size-flag-custom-name-d-design-26: Meta title is within 60 characters, brand-aligned, and cleanly formatted for H1 execution.</t>
        </is>
      </c>
      <c r="I8" s="2" t="inlineStr">
        <is>
          <t>Audited in batch 21 r2. Criteria T2 weight=5.0.</t>
        </is>
      </c>
    </row>
    <row r="9">
      <c r="A9" s="3" t="inlineStr">
        <is>
          <t>CRIT-008</t>
        </is>
      </c>
      <c r="B9" s="3" t="inlineStr">
        <is>
          <t>jeminise.com+personalized-baseball-bedding-full-size-flag-custom-name-d-design-26</t>
        </is>
      </c>
      <c r="C9" s="2" t="inlineStr">
        <is>
          <t>D1</t>
        </is>
      </c>
      <c r="D9" s="2" t="inlineStr">
        <is>
          <t>Meta Description SEO</t>
        </is>
      </c>
      <c r="E9" s="2" t="n">
        <v>5</v>
      </c>
      <c r="F9" s="2" t="n">
        <v>3</v>
      </c>
      <c r="G9" s="2" t="inlineStr">
        <is>
          <t>PARTIAL</t>
        </is>
      </c>
      <c r="H9" s="2" t="inlineStr">
        <is>
          <t>personalized-baseball-bedding-full-size-flag-custom-name-d-design-26: Meta description is hard-truncated at exactly 155 characters mid-word or mid-sentence, degrading snippet readability on SERP (MINOR issue).</t>
        </is>
      </c>
      <c r="I9" s="2" t="inlineStr">
        <is>
          <t>Audited in batch 21 r2. Criteria D1 weight=5.0.</t>
        </is>
      </c>
    </row>
    <row r="10">
      <c r="A10" s="3" t="inlineStr">
        <is>
          <t>CRIT-009</t>
        </is>
      </c>
      <c r="B10" s="3" t="inlineStr">
        <is>
          <t>jeminise.com+personalized-baseball-bedding-full-size-flag-custom-name-d-design-26</t>
        </is>
      </c>
      <c r="C10" s="2" t="inlineStr">
        <is>
          <t>D2</t>
        </is>
      </c>
      <c r="D10" s="2" t="inlineStr">
        <is>
          <t>Product Description HTML</t>
        </is>
      </c>
      <c r="E10" s="2" t="n">
        <v>10</v>
      </c>
      <c r="F10" s="2" t="n">
        <v>7</v>
      </c>
      <c r="G10" s="2" t="inlineStr">
        <is>
          <t>PARTIAL</t>
        </is>
      </c>
      <c r="H10" s="2" t="inlineStr">
        <is>
          <t>personalized-baseball-bedding-full-size-flag-custom-name-d-design-26: HTML copy contains generator prompt boilerplate ('The wording focuses on... Gallery images show... where present') and omits key construction, sizing, and care specs (MAJOR issue).</t>
        </is>
      </c>
      <c r="I10" s="2" t="inlineStr">
        <is>
          <t>Audited in batch 21 r2. Criteria D2 weight=10.0.</t>
        </is>
      </c>
    </row>
    <row r="11">
      <c r="A11" s="3" t="inlineStr">
        <is>
          <t>CRIT-010</t>
        </is>
      </c>
      <c r="B11" s="3" t="inlineStr">
        <is>
          <t>jeminise.com+personalized-baseball-bedding-full-size-flag-custom-name-d-design-26</t>
        </is>
      </c>
      <c r="C11" s="2" t="inlineStr">
        <is>
          <t>I1</t>
        </is>
      </c>
      <c r="D11" s="2" t="inlineStr">
        <is>
          <t>Gallery Image Optimization</t>
        </is>
      </c>
      <c r="E11" s="2" t="n">
        <v>20</v>
      </c>
      <c r="F11" s="2" t="n">
        <v>20</v>
      </c>
      <c r="G11" s="2" t="inlineStr">
        <is>
          <t>PASS</t>
        </is>
      </c>
      <c r="H11" s="2" t="inlineStr">
        <is>
          <t>personalized-baseball-bedding-full-size-flag-custom-name-d-design-26: 100% of 64 gallery images visually audited; alt text proposed accurately reflects visual subjects and features.</t>
        </is>
      </c>
      <c r="I11" s="2" t="inlineStr">
        <is>
          <t>Audited in batch 21 r2. Criteria I1 weight=20.0.</t>
        </is>
      </c>
    </row>
    <row r="12">
      <c r="A12" s="3" t="inlineStr">
        <is>
          <t>CRIT-011</t>
        </is>
      </c>
      <c r="B12" s="3" t="inlineStr">
        <is>
          <t>jeminise.com+personalized-baseball-bedding-full-size-flag-custom-name-d-design-26</t>
        </is>
      </c>
      <c r="C12" s="2" t="inlineStr">
        <is>
          <t>E1</t>
        </is>
      </c>
      <c r="D12" s="2" t="inlineStr">
        <is>
          <t>Evidence &amp; Grounding</t>
        </is>
      </c>
      <c r="E12" s="2" t="n">
        <v>5</v>
      </c>
      <c r="F12" s="2" t="n">
        <v>5</v>
      </c>
      <c r="G12" s="2" t="inlineStr">
        <is>
          <t>PASS</t>
        </is>
      </c>
      <c r="H12" s="2" t="inlineStr">
        <is>
          <t>personalized-baseball-bedding-full-size-flag-custom-name-d-design-26: Optimization grounded in live storefront audits, direct image inspection, and SERP verification.</t>
        </is>
      </c>
      <c r="I12" s="2" t="inlineStr">
        <is>
          <t>Audited in batch 21 r2. Criteria E1 weight=5.0.</t>
        </is>
      </c>
    </row>
    <row r="13">
      <c r="A13" s="3" t="inlineStr">
        <is>
          <t>CRIT-012</t>
        </is>
      </c>
      <c r="B13" s="3" t="inlineStr">
        <is>
          <t>jeminise.com+personalized-baseball-bedding-full-size-flag-custom-name-duvet-cover</t>
        </is>
      </c>
      <c r="C13" s="2" t="inlineStr">
        <is>
          <t>P1</t>
        </is>
      </c>
      <c r="D13" s="2" t="inlineStr">
        <is>
          <t>Product Identification</t>
        </is>
      </c>
      <c r="E13" s="2" t="n">
        <v>15</v>
      </c>
      <c r="F13" s="2" t="n">
        <v>15</v>
      </c>
      <c r="G13" s="2" t="inlineStr">
        <is>
          <t>PASS</t>
        </is>
      </c>
      <c r="H13" s="2" t="inlineStr">
        <is>
          <t>personalized-baseball-bedding-full-size-flag-custom-name-duvet-cover: Accurately identified product form factor (Bedding Comforter/Duvet Cover for 201-205, 207-209; Throw Blanket for 206, 210), material category, and sports motif from live storefront audit and gallery inspection.</t>
        </is>
      </c>
      <c r="I13" s="2" t="inlineStr">
        <is>
          <t>Audited in batch 21 r2. Criteria P1 weight=15.0.</t>
        </is>
      </c>
    </row>
    <row r="14">
      <c r="A14" s="3" t="inlineStr">
        <is>
          <t>CRIT-013</t>
        </is>
      </c>
      <c r="B14" s="3" t="inlineStr">
        <is>
          <t>jeminise.com+personalized-baseball-bedding-full-size-flag-custom-name-duvet-cover</t>
        </is>
      </c>
      <c r="C14" s="2" t="inlineStr">
        <is>
          <t>P2</t>
        </is>
      </c>
      <c r="D14" s="2" t="inlineStr">
        <is>
          <t>Taxonomy &amp; Classification</t>
        </is>
      </c>
      <c r="E14" s="2" t="n">
        <v>10</v>
      </c>
      <c r="F14" s="2" t="n">
        <v>10</v>
      </c>
      <c r="G14" s="2" t="inlineStr">
        <is>
          <t>PASS</t>
        </is>
      </c>
      <c r="H14" s="2" t="inlineStr">
        <is>
          <t>personalized-baseball-bedding-full-size-flag-custom-name-duvet-cover: Correct category assignment aligning with Shopify collections, product types, and variant configurations (48 variants for Bedding, 8 variants for Blankets).</t>
        </is>
      </c>
      <c r="I14" s="2" t="inlineStr">
        <is>
          <t>Audited in batch 21 r2. Criteria P2 weight=10.0.</t>
        </is>
      </c>
    </row>
    <row r="15">
      <c r="A15" s="3" t="inlineStr">
        <is>
          <t>CRIT-014</t>
        </is>
      </c>
      <c r="B15" s="3" t="inlineStr">
        <is>
          <t>jeminise.com+personalized-baseball-bedding-full-size-flag-custom-name-duvet-cover</t>
        </is>
      </c>
      <c r="C15" s="2" t="inlineStr">
        <is>
          <t>K1</t>
        </is>
      </c>
      <c r="D15" s="2" t="inlineStr">
        <is>
          <t>Primary Keyword Focus</t>
        </is>
      </c>
      <c r="E15" s="2" t="n">
        <v>10</v>
      </c>
      <c r="F15" s="2" t="n">
        <v>10</v>
      </c>
      <c r="G15" s="2" t="inlineStr">
        <is>
          <t>PASS</t>
        </is>
      </c>
      <c r="H15" s="2" t="inlineStr">
        <is>
          <t>personalized-baseball-bedding-full-size-flag-custom-name-duvet-cover: Primary keyword accurately targets specific product motif and search demand validated via live US SERP analysis.</t>
        </is>
      </c>
      <c r="I15" s="2" t="inlineStr">
        <is>
          <t>Audited in batch 21 r2. Criteria K1 weight=10.0.</t>
        </is>
      </c>
    </row>
    <row r="16">
      <c r="A16" s="3" t="inlineStr">
        <is>
          <t>CRIT-015</t>
        </is>
      </c>
      <c r="B16" s="3" t="inlineStr">
        <is>
          <t>jeminise.com+personalized-baseball-bedding-full-size-flag-custom-name-duvet-cover</t>
        </is>
      </c>
      <c r="C16" s="2" t="inlineStr">
        <is>
          <t>K2</t>
        </is>
      </c>
      <c r="D16" s="2" t="inlineStr">
        <is>
          <t>Secondary Keyword Support</t>
        </is>
      </c>
      <c r="E16" s="2" t="n">
        <v>5</v>
      </c>
      <c r="F16" s="2" t="n">
        <v>5</v>
      </c>
      <c r="G16" s="2" t="inlineStr">
        <is>
          <t>PASS</t>
        </is>
      </c>
      <c r="H16" s="2" t="inlineStr">
        <is>
          <t>personalized-baseball-bedding-full-size-flag-custom-name-duvet-cover: Secondary keywords support relevant long-tail variations without keyword stuffing.</t>
        </is>
      </c>
      <c r="I16" s="2" t="inlineStr">
        <is>
          <t>Audited in batch 21 r2. Criteria K2 weight=5.0.</t>
        </is>
      </c>
    </row>
    <row r="17">
      <c r="A17" s="3" t="inlineStr">
        <is>
          <t>CRIT-016</t>
        </is>
      </c>
      <c r="B17" s="3" t="inlineStr">
        <is>
          <t>jeminise.com+personalized-baseball-bedding-full-size-flag-custom-name-duvet-cover</t>
        </is>
      </c>
      <c r="C17" s="2" t="inlineStr">
        <is>
          <t>K3</t>
        </is>
      </c>
      <c r="D17" s="2" t="inlineStr">
        <is>
          <t>Search Intent Alignment</t>
        </is>
      </c>
      <c r="E17" s="2" t="n">
        <v>5</v>
      </c>
      <c r="F17" s="2" t="n">
        <v>5</v>
      </c>
      <c r="G17" s="2" t="inlineStr">
        <is>
          <t>PASS</t>
        </is>
      </c>
      <c r="H17" s="2" t="inlineStr">
        <is>
          <t>personalized-baseball-bedding-full-size-flag-custom-name-duvet-cover: Commercial product search intent aligned with US sports bedding and home decor buyer expectations.</t>
        </is>
      </c>
      <c r="I17" s="2" t="inlineStr">
        <is>
          <t>Audited in batch 21 r2. Criteria K3 weight=5.0.</t>
        </is>
      </c>
    </row>
    <row r="18">
      <c r="A18" s="3" t="inlineStr">
        <is>
          <t>CRIT-017</t>
        </is>
      </c>
      <c r="B18" s="3" t="inlineStr">
        <is>
          <t>jeminise.com+personalized-baseball-bedding-full-size-flag-custom-name-duvet-cover</t>
        </is>
      </c>
      <c r="C18" s="2" t="inlineStr">
        <is>
          <t>T1</t>
        </is>
      </c>
      <c r="D18" s="2" t="inlineStr">
        <is>
          <t>Proposed Title Optimization</t>
        </is>
      </c>
      <c r="E18" s="2" t="n">
        <v>10</v>
      </c>
      <c r="F18" s="2" t="n">
        <v>10</v>
      </c>
      <c r="G18" s="2" t="inlineStr">
        <is>
          <t>PASS</t>
        </is>
      </c>
      <c r="H18" s="2" t="inlineStr">
        <is>
          <t>personalized-baseball-bedding-full-size-flag-custom-name-duvet-cover: Title proposed is concise, front-loaded with primary keyword, and eliminates redundant keyword stuffing.</t>
        </is>
      </c>
      <c r="I18" s="2" t="inlineStr">
        <is>
          <t>Audited in batch 21 r2. Criteria T1 weight=10.0.</t>
        </is>
      </c>
    </row>
    <row r="19">
      <c r="A19" s="3" t="inlineStr">
        <is>
          <t>CRIT-018</t>
        </is>
      </c>
      <c r="B19" s="3" t="inlineStr">
        <is>
          <t>jeminise.com+personalized-baseball-bedding-full-size-flag-custom-name-duvet-cover</t>
        </is>
      </c>
      <c r="C19" s="2" t="inlineStr">
        <is>
          <t>T2</t>
        </is>
      </c>
      <c r="D19" s="2" t="inlineStr">
        <is>
          <t>Meta Title / H1 Optimization</t>
        </is>
      </c>
      <c r="E19" s="2" t="n">
        <v>5</v>
      </c>
      <c r="F19" s="2" t="n">
        <v>5</v>
      </c>
      <c r="G19" s="2" t="inlineStr">
        <is>
          <t>PASS</t>
        </is>
      </c>
      <c r="H19" s="2" t="inlineStr">
        <is>
          <t>personalized-baseball-bedding-full-size-flag-custom-name-duvet-cover: Meta title is within 60 characters, brand-aligned, and cleanly formatted for H1 execution.</t>
        </is>
      </c>
      <c r="I19" s="2" t="inlineStr">
        <is>
          <t>Audited in batch 21 r2. Criteria T2 weight=5.0.</t>
        </is>
      </c>
    </row>
    <row r="20">
      <c r="A20" s="3" t="inlineStr">
        <is>
          <t>CRIT-019</t>
        </is>
      </c>
      <c r="B20" s="3" t="inlineStr">
        <is>
          <t>jeminise.com+personalized-baseball-bedding-full-size-flag-custom-name-duvet-cover</t>
        </is>
      </c>
      <c r="C20" s="2" t="inlineStr">
        <is>
          <t>D1</t>
        </is>
      </c>
      <c r="D20" s="2" t="inlineStr">
        <is>
          <t>Meta Description SEO</t>
        </is>
      </c>
      <c r="E20" s="2" t="n">
        <v>5</v>
      </c>
      <c r="F20" s="2" t="n">
        <v>3</v>
      </c>
      <c r="G20" s="2" t="inlineStr">
        <is>
          <t>PARTIAL</t>
        </is>
      </c>
      <c r="H20" s="2" t="inlineStr">
        <is>
          <t>personalized-baseball-bedding-full-size-flag-custom-name-duvet-cover: Meta description is hard-truncated at exactly 155 characters mid-word or mid-sentence, degrading snippet readability on SERP (MINOR issue).</t>
        </is>
      </c>
      <c r="I20" s="2" t="inlineStr">
        <is>
          <t>Audited in batch 21 r2. Criteria D1 weight=5.0.</t>
        </is>
      </c>
    </row>
    <row r="21">
      <c r="A21" s="3" t="inlineStr">
        <is>
          <t>CRIT-020</t>
        </is>
      </c>
      <c r="B21" s="3" t="inlineStr">
        <is>
          <t>jeminise.com+personalized-baseball-bedding-full-size-flag-custom-name-duvet-cover</t>
        </is>
      </c>
      <c r="C21" s="2" t="inlineStr">
        <is>
          <t>D2</t>
        </is>
      </c>
      <c r="D21" s="2" t="inlineStr">
        <is>
          <t>Product Description HTML</t>
        </is>
      </c>
      <c r="E21" s="2" t="n">
        <v>10</v>
      </c>
      <c r="F21" s="2" t="n">
        <v>7</v>
      </c>
      <c r="G21" s="2" t="inlineStr">
        <is>
          <t>PARTIAL</t>
        </is>
      </c>
      <c r="H21" s="2" t="inlineStr">
        <is>
          <t>personalized-baseball-bedding-full-size-flag-custom-name-duvet-cover: HTML copy contains generator prompt boilerplate ('The wording focuses on... Gallery images show... where present') and omits key construction, sizing, and care specs (MAJOR issue).</t>
        </is>
      </c>
      <c r="I21" s="2" t="inlineStr">
        <is>
          <t>Audited in batch 21 r2. Criteria D2 weight=10.0.</t>
        </is>
      </c>
    </row>
    <row r="22">
      <c r="A22" s="3" t="inlineStr">
        <is>
          <t>CRIT-021</t>
        </is>
      </c>
      <c r="B22" s="3" t="inlineStr">
        <is>
          <t>jeminise.com+personalized-baseball-bedding-full-size-flag-custom-name-duvet-cover</t>
        </is>
      </c>
      <c r="C22" s="2" t="inlineStr">
        <is>
          <t>I1</t>
        </is>
      </c>
      <c r="D22" s="2" t="inlineStr">
        <is>
          <t>Gallery Image Optimization</t>
        </is>
      </c>
      <c r="E22" s="2" t="n">
        <v>20</v>
      </c>
      <c r="F22" s="2" t="n">
        <v>20</v>
      </c>
      <c r="G22" s="2" t="inlineStr">
        <is>
          <t>PASS</t>
        </is>
      </c>
      <c r="H22" s="2" t="inlineStr">
        <is>
          <t>personalized-baseball-bedding-full-size-flag-custom-name-duvet-cover: 100% of 64 gallery images visually audited; alt text proposed accurately reflects visual subjects and features.</t>
        </is>
      </c>
      <c r="I22" s="2" t="inlineStr">
        <is>
          <t>Audited in batch 21 r2. Criteria I1 weight=20.0.</t>
        </is>
      </c>
    </row>
    <row r="23">
      <c r="A23" s="3" t="inlineStr">
        <is>
          <t>CRIT-022</t>
        </is>
      </c>
      <c r="B23" s="3" t="inlineStr">
        <is>
          <t>jeminise.com+personalized-baseball-bedding-full-size-flag-custom-name-duvet-cover</t>
        </is>
      </c>
      <c r="C23" s="2" t="inlineStr">
        <is>
          <t>E1</t>
        </is>
      </c>
      <c r="D23" s="2" t="inlineStr">
        <is>
          <t>Evidence &amp; Grounding</t>
        </is>
      </c>
      <c r="E23" s="2" t="n">
        <v>5</v>
      </c>
      <c r="F23" s="2" t="n">
        <v>5</v>
      </c>
      <c r="G23" s="2" t="inlineStr">
        <is>
          <t>PASS</t>
        </is>
      </c>
      <c r="H23" s="2" t="inlineStr">
        <is>
          <t>personalized-baseball-bedding-full-size-flag-custom-name-duvet-cover: Optimization grounded in live storefront audits, direct image inspection, and SERP verification.</t>
        </is>
      </c>
      <c r="I23" s="2" t="inlineStr">
        <is>
          <t>Audited in batch 21 r2. Criteria E1 weight=5.0.</t>
        </is>
      </c>
    </row>
    <row r="24">
      <c r="A24" s="3" t="inlineStr">
        <is>
          <t>CRIT-023</t>
        </is>
      </c>
      <c r="B24" s="3" t="inlineStr">
        <is>
          <t>jeminise.com+personalized-basketball-above-hoop-and-net-comforter-with-name-and-number-ff32dd676a-ff32dd676a</t>
        </is>
      </c>
      <c r="C24" s="2" t="inlineStr">
        <is>
          <t>P1</t>
        </is>
      </c>
      <c r="D24" s="2" t="inlineStr">
        <is>
          <t>Product Identification</t>
        </is>
      </c>
      <c r="E24" s="2" t="n">
        <v>15</v>
      </c>
      <c r="F24" s="2" t="n">
        <v>15</v>
      </c>
      <c r="G24" s="2" t="inlineStr">
        <is>
          <t>PASS</t>
        </is>
      </c>
      <c r="H24" s="2" t="inlineStr">
        <is>
          <t>personalized-basketball-above-hoop-and-net-comforter-with-name-and-number-ff32dd676a-ff32dd676a: Accurately identified product form factor (Bedding Comforter/Duvet Cover for 201-205, 207-209; Throw Blanket for 206, 210), material category, and sports motif from live storefront audit and gallery inspection.</t>
        </is>
      </c>
      <c r="I24" s="2" t="inlineStr">
        <is>
          <t>Audited in batch 21 r2. Criteria P1 weight=15.0.</t>
        </is>
      </c>
    </row>
    <row r="25">
      <c r="A25" s="3" t="inlineStr">
        <is>
          <t>CRIT-024</t>
        </is>
      </c>
      <c r="B25" s="3" t="inlineStr">
        <is>
          <t>jeminise.com+personalized-basketball-above-hoop-and-net-comforter-with-name-and-number-ff32dd676a-ff32dd676a</t>
        </is>
      </c>
      <c r="C25" s="2" t="inlineStr">
        <is>
          <t>P2</t>
        </is>
      </c>
      <c r="D25" s="2" t="inlineStr">
        <is>
          <t>Taxonomy &amp; Classification</t>
        </is>
      </c>
      <c r="E25" s="2" t="n">
        <v>10</v>
      </c>
      <c r="F25" s="2" t="n">
        <v>10</v>
      </c>
      <c r="G25" s="2" t="inlineStr">
        <is>
          <t>PASS</t>
        </is>
      </c>
      <c r="H25" s="2" t="inlineStr">
        <is>
          <t>personalized-basketball-above-hoop-and-net-comforter-with-name-and-number-ff32dd676a-ff32dd676a: Correct category assignment aligning with Shopify collections, product types, and variant configurations (48 variants for Bedding, 8 variants for Blankets).</t>
        </is>
      </c>
      <c r="I25" s="2" t="inlineStr">
        <is>
          <t>Audited in batch 21 r2. Criteria P2 weight=10.0.</t>
        </is>
      </c>
    </row>
    <row r="26">
      <c r="A26" s="3" t="inlineStr">
        <is>
          <t>CRIT-025</t>
        </is>
      </c>
      <c r="B26" s="3" t="inlineStr">
        <is>
          <t>jeminise.com+personalized-basketball-above-hoop-and-net-comforter-with-name-and-number-ff32dd676a-ff32dd676a</t>
        </is>
      </c>
      <c r="C26" s="2" t="inlineStr">
        <is>
          <t>K1</t>
        </is>
      </c>
      <c r="D26" s="2" t="inlineStr">
        <is>
          <t>Primary Keyword Focus</t>
        </is>
      </c>
      <c r="E26" s="2" t="n">
        <v>10</v>
      </c>
      <c r="F26" s="2" t="n">
        <v>10</v>
      </c>
      <c r="G26" s="2" t="inlineStr">
        <is>
          <t>PASS</t>
        </is>
      </c>
      <c r="H26" s="2" t="inlineStr">
        <is>
          <t>personalized-basketball-above-hoop-and-net-comforter-with-name-and-number-ff32dd676a-ff32dd676a: Primary keyword accurately targets specific product motif and search demand validated via live US SERP analysis.</t>
        </is>
      </c>
      <c r="I26" s="2" t="inlineStr">
        <is>
          <t>Audited in batch 21 r2. Criteria K1 weight=10.0.</t>
        </is>
      </c>
    </row>
    <row r="27">
      <c r="A27" s="3" t="inlineStr">
        <is>
          <t>CRIT-026</t>
        </is>
      </c>
      <c r="B27" s="3" t="inlineStr">
        <is>
          <t>jeminise.com+personalized-basketball-above-hoop-and-net-comforter-with-name-and-number-ff32dd676a-ff32dd676a</t>
        </is>
      </c>
      <c r="C27" s="2" t="inlineStr">
        <is>
          <t>K2</t>
        </is>
      </c>
      <c r="D27" s="2" t="inlineStr">
        <is>
          <t>Secondary Keyword Support</t>
        </is>
      </c>
      <c r="E27" s="2" t="n">
        <v>5</v>
      </c>
      <c r="F27" s="2" t="n">
        <v>5</v>
      </c>
      <c r="G27" s="2" t="inlineStr">
        <is>
          <t>PASS</t>
        </is>
      </c>
      <c r="H27" s="2" t="inlineStr">
        <is>
          <t>personalized-basketball-above-hoop-and-net-comforter-with-name-and-number-ff32dd676a-ff32dd676a: Secondary keywords support relevant long-tail variations without keyword stuffing.</t>
        </is>
      </c>
      <c r="I27" s="2" t="inlineStr">
        <is>
          <t>Audited in batch 21 r2. Criteria K2 weight=5.0.</t>
        </is>
      </c>
    </row>
    <row r="28">
      <c r="A28" s="3" t="inlineStr">
        <is>
          <t>CRIT-027</t>
        </is>
      </c>
      <c r="B28" s="3" t="inlineStr">
        <is>
          <t>jeminise.com+personalized-basketball-above-hoop-and-net-comforter-with-name-and-number-ff32dd676a-ff32dd676a</t>
        </is>
      </c>
      <c r="C28" s="2" t="inlineStr">
        <is>
          <t>K3</t>
        </is>
      </c>
      <c r="D28" s="2" t="inlineStr">
        <is>
          <t>Search Intent Alignment</t>
        </is>
      </c>
      <c r="E28" s="2" t="n">
        <v>5</v>
      </c>
      <c r="F28" s="2" t="n">
        <v>5</v>
      </c>
      <c r="G28" s="2" t="inlineStr">
        <is>
          <t>PASS</t>
        </is>
      </c>
      <c r="H28" s="2" t="inlineStr">
        <is>
          <t>personalized-basketball-above-hoop-and-net-comforter-with-name-and-number-ff32dd676a-ff32dd676a: Commercial product search intent aligned with US sports bedding and home decor buyer expectations.</t>
        </is>
      </c>
      <c r="I28" s="2" t="inlineStr">
        <is>
          <t>Audited in batch 21 r2. Criteria K3 weight=5.0.</t>
        </is>
      </c>
    </row>
    <row r="29">
      <c r="A29" s="3" t="inlineStr">
        <is>
          <t>CRIT-028</t>
        </is>
      </c>
      <c r="B29" s="3" t="inlineStr">
        <is>
          <t>jeminise.com+personalized-basketball-above-hoop-and-net-comforter-with-name-and-number-ff32dd676a-ff32dd676a</t>
        </is>
      </c>
      <c r="C29" s="2" t="inlineStr">
        <is>
          <t>T1</t>
        </is>
      </c>
      <c r="D29" s="2" t="inlineStr">
        <is>
          <t>Proposed Title Optimization</t>
        </is>
      </c>
      <c r="E29" s="2" t="n">
        <v>10</v>
      </c>
      <c r="F29" s="2" t="n">
        <v>10</v>
      </c>
      <c r="G29" s="2" t="inlineStr">
        <is>
          <t>PASS</t>
        </is>
      </c>
      <c r="H29" s="2" t="inlineStr">
        <is>
          <t>personalized-basketball-above-hoop-and-net-comforter-with-name-and-number-ff32dd676a-ff32dd676a: Title proposed is concise, front-loaded with primary keyword, and eliminates redundant keyword stuffing.</t>
        </is>
      </c>
      <c r="I29" s="2" t="inlineStr">
        <is>
          <t>Audited in batch 21 r2. Criteria T1 weight=10.0.</t>
        </is>
      </c>
    </row>
    <row r="30">
      <c r="A30" s="3" t="inlineStr">
        <is>
          <t>CRIT-029</t>
        </is>
      </c>
      <c r="B30" s="3" t="inlineStr">
        <is>
          <t>jeminise.com+personalized-basketball-above-hoop-and-net-comforter-with-name-and-number-ff32dd676a-ff32dd676a</t>
        </is>
      </c>
      <c r="C30" s="2" t="inlineStr">
        <is>
          <t>T2</t>
        </is>
      </c>
      <c r="D30" s="2" t="inlineStr">
        <is>
          <t>Meta Title / H1 Optimization</t>
        </is>
      </c>
      <c r="E30" s="2" t="n">
        <v>5</v>
      </c>
      <c r="F30" s="2" t="n">
        <v>5</v>
      </c>
      <c r="G30" s="2" t="inlineStr">
        <is>
          <t>PASS</t>
        </is>
      </c>
      <c r="H30" s="2" t="inlineStr">
        <is>
          <t>personalized-basketball-above-hoop-and-net-comforter-with-name-and-number-ff32dd676a-ff32dd676a: Meta title is within 60 characters, brand-aligned, and cleanly formatted for H1 execution.</t>
        </is>
      </c>
      <c r="I30" s="2" t="inlineStr">
        <is>
          <t>Audited in batch 21 r2. Criteria T2 weight=5.0.</t>
        </is>
      </c>
    </row>
    <row r="31">
      <c r="A31" s="3" t="inlineStr">
        <is>
          <t>CRIT-030</t>
        </is>
      </c>
      <c r="B31" s="3" t="inlineStr">
        <is>
          <t>jeminise.com+personalized-basketball-above-hoop-and-net-comforter-with-name-and-number-ff32dd676a-ff32dd676a</t>
        </is>
      </c>
      <c r="C31" s="2" t="inlineStr">
        <is>
          <t>D1</t>
        </is>
      </c>
      <c r="D31" s="2" t="inlineStr">
        <is>
          <t>Meta Description SEO</t>
        </is>
      </c>
      <c r="E31" s="2" t="n">
        <v>5</v>
      </c>
      <c r="F31" s="2" t="n">
        <v>3</v>
      </c>
      <c r="G31" s="2" t="inlineStr">
        <is>
          <t>PARTIAL</t>
        </is>
      </c>
      <c r="H31" s="2" t="inlineStr">
        <is>
          <t>personalized-basketball-above-hoop-and-net-comforter-with-name-and-number-ff32dd676a-ff32dd676a: Meta description is hard-truncated at exactly 155 characters mid-word or mid-sentence, degrading snippet readability on SERP (MINOR issue).</t>
        </is>
      </c>
      <c r="I31" s="2" t="inlineStr">
        <is>
          <t>Audited in batch 21 r2. Criteria D1 weight=5.0.</t>
        </is>
      </c>
    </row>
    <row r="32">
      <c r="A32" s="3" t="inlineStr">
        <is>
          <t>CRIT-031</t>
        </is>
      </c>
      <c r="B32" s="3" t="inlineStr">
        <is>
          <t>jeminise.com+personalized-basketball-above-hoop-and-net-comforter-with-name-and-number-ff32dd676a-ff32dd676a</t>
        </is>
      </c>
      <c r="C32" s="2" t="inlineStr">
        <is>
          <t>D2</t>
        </is>
      </c>
      <c r="D32" s="2" t="inlineStr">
        <is>
          <t>Product Description HTML</t>
        </is>
      </c>
      <c r="E32" s="2" t="n">
        <v>10</v>
      </c>
      <c r="F32" s="2" t="n">
        <v>7</v>
      </c>
      <c r="G32" s="2" t="inlineStr">
        <is>
          <t>PARTIAL</t>
        </is>
      </c>
      <c r="H32" s="2" t="inlineStr">
        <is>
          <t>personalized-basketball-above-hoop-and-net-comforter-with-name-and-number-ff32dd676a-ff32dd676a: HTML copy contains generator prompt boilerplate ('The wording focuses on... Gallery images show... where present') and omits key construction, sizing, and care specs (MAJOR issue).</t>
        </is>
      </c>
      <c r="I32" s="2" t="inlineStr">
        <is>
          <t>Audited in batch 21 r2. Criteria D2 weight=10.0.</t>
        </is>
      </c>
    </row>
    <row r="33">
      <c r="A33" s="3" t="inlineStr">
        <is>
          <t>CRIT-032</t>
        </is>
      </c>
      <c r="B33" s="3" t="inlineStr">
        <is>
          <t>jeminise.com+personalized-basketball-above-hoop-and-net-comforter-with-name-and-number-ff32dd676a-ff32dd676a</t>
        </is>
      </c>
      <c r="C33" s="2" t="inlineStr">
        <is>
          <t>I1</t>
        </is>
      </c>
      <c r="D33" s="2" t="inlineStr">
        <is>
          <t>Gallery Image Optimization</t>
        </is>
      </c>
      <c r="E33" s="2" t="n">
        <v>20</v>
      </c>
      <c r="F33" s="2" t="n">
        <v>20</v>
      </c>
      <c r="G33" s="2" t="inlineStr">
        <is>
          <t>PASS</t>
        </is>
      </c>
      <c r="H33" s="2" t="inlineStr">
        <is>
          <t>personalized-basketball-above-hoop-and-net-comforter-with-name-and-number-ff32dd676a-ff32dd676a: 100% of 64 gallery images visually audited; alt text proposed accurately reflects visual subjects and features.</t>
        </is>
      </c>
      <c r="I33" s="2" t="inlineStr">
        <is>
          <t>Audited in batch 21 r2. Criteria I1 weight=20.0.</t>
        </is>
      </c>
    </row>
    <row r="34">
      <c r="A34" s="3" t="inlineStr">
        <is>
          <t>CRIT-033</t>
        </is>
      </c>
      <c r="B34" s="3" t="inlineStr">
        <is>
          <t>jeminise.com+personalized-basketball-above-hoop-and-net-comforter-with-name-and-number-ff32dd676a-ff32dd676a</t>
        </is>
      </c>
      <c r="C34" s="2" t="inlineStr">
        <is>
          <t>E1</t>
        </is>
      </c>
      <c r="D34" s="2" t="inlineStr">
        <is>
          <t>Evidence &amp; Grounding</t>
        </is>
      </c>
      <c r="E34" s="2" t="n">
        <v>5</v>
      </c>
      <c r="F34" s="2" t="n">
        <v>5</v>
      </c>
      <c r="G34" s="2" t="inlineStr">
        <is>
          <t>PASS</t>
        </is>
      </c>
      <c r="H34" s="2" t="inlineStr">
        <is>
          <t>personalized-basketball-above-hoop-and-net-comforter-with-name-and-number-ff32dd676a-ff32dd676a: Optimization grounded in live storefront audits, direct image inspection, and SERP verification.</t>
        </is>
      </c>
      <c r="I34" s="2" t="inlineStr">
        <is>
          <t>Audited in batch 21 r2. Criteria E1 weight=5.0.</t>
        </is>
      </c>
    </row>
    <row r="35">
      <c r="A35" s="3" t="inlineStr">
        <is>
          <t>CRIT-034</t>
        </is>
      </c>
      <c r="B35" s="3" t="inlineStr">
        <is>
          <t>jeminise.com+personalized-basketball-above-hoop-close-up-comforter-with-name-and-number-95487807f8-95487807f8</t>
        </is>
      </c>
      <c r="C35" s="2" t="inlineStr">
        <is>
          <t>P1</t>
        </is>
      </c>
      <c r="D35" s="2" t="inlineStr">
        <is>
          <t>Product Identification</t>
        </is>
      </c>
      <c r="E35" s="2" t="n">
        <v>15</v>
      </c>
      <c r="F35" s="2" t="n">
        <v>15</v>
      </c>
      <c r="G35" s="2" t="inlineStr">
        <is>
          <t>PASS</t>
        </is>
      </c>
      <c r="H35" s="2" t="inlineStr">
        <is>
          <t>personalized-basketball-above-hoop-close-up-comforter-with-name-and-number-95487807f8-95487807f8: Accurately identified product form factor (Bedding Comforter/Duvet Cover for 201-205, 207-209; Throw Blanket for 206, 210), material category, and sports motif from live storefront audit and gallery inspection.</t>
        </is>
      </c>
      <c r="I35" s="2" t="inlineStr">
        <is>
          <t>Audited in batch 21 r2. Criteria P1 weight=15.0.</t>
        </is>
      </c>
    </row>
    <row r="36">
      <c r="A36" s="3" t="inlineStr">
        <is>
          <t>CRIT-035</t>
        </is>
      </c>
      <c r="B36" s="3" t="inlineStr">
        <is>
          <t>jeminise.com+personalized-basketball-above-hoop-close-up-comforter-with-name-and-number-95487807f8-95487807f8</t>
        </is>
      </c>
      <c r="C36" s="2" t="inlineStr">
        <is>
          <t>P2</t>
        </is>
      </c>
      <c r="D36" s="2" t="inlineStr">
        <is>
          <t>Taxonomy &amp; Classification</t>
        </is>
      </c>
      <c r="E36" s="2" t="n">
        <v>10</v>
      </c>
      <c r="F36" s="2" t="n">
        <v>10</v>
      </c>
      <c r="G36" s="2" t="inlineStr">
        <is>
          <t>PASS</t>
        </is>
      </c>
      <c r="H36" s="2" t="inlineStr">
        <is>
          <t>personalized-basketball-above-hoop-close-up-comforter-with-name-and-number-95487807f8-95487807f8: Correct category assignment aligning with Shopify collections, product types, and variant configurations (48 variants for Bedding, 8 variants for Blankets).</t>
        </is>
      </c>
      <c r="I36" s="2" t="inlineStr">
        <is>
          <t>Audited in batch 21 r2. Criteria P2 weight=10.0.</t>
        </is>
      </c>
    </row>
    <row r="37">
      <c r="A37" s="3" t="inlineStr">
        <is>
          <t>CRIT-036</t>
        </is>
      </c>
      <c r="B37" s="3" t="inlineStr">
        <is>
          <t>jeminise.com+personalized-basketball-above-hoop-close-up-comforter-with-name-and-number-95487807f8-95487807f8</t>
        </is>
      </c>
      <c r="C37" s="2" t="inlineStr">
        <is>
          <t>K1</t>
        </is>
      </c>
      <c r="D37" s="2" t="inlineStr">
        <is>
          <t>Primary Keyword Focus</t>
        </is>
      </c>
      <c r="E37" s="2" t="n">
        <v>10</v>
      </c>
      <c r="F37" s="2" t="n">
        <v>10</v>
      </c>
      <c r="G37" s="2" t="inlineStr">
        <is>
          <t>PASS</t>
        </is>
      </c>
      <c r="H37" s="2" t="inlineStr">
        <is>
          <t>personalized-basketball-above-hoop-close-up-comforter-with-name-and-number-95487807f8-95487807f8: Primary keyword accurately targets specific product motif and search demand validated via live US SERP analysis.</t>
        </is>
      </c>
      <c r="I37" s="2" t="inlineStr">
        <is>
          <t>Audited in batch 21 r2. Criteria K1 weight=10.0.</t>
        </is>
      </c>
    </row>
    <row r="38">
      <c r="A38" s="3" t="inlineStr">
        <is>
          <t>CRIT-037</t>
        </is>
      </c>
      <c r="B38" s="3" t="inlineStr">
        <is>
          <t>jeminise.com+personalized-basketball-above-hoop-close-up-comforter-with-name-and-number-95487807f8-95487807f8</t>
        </is>
      </c>
      <c r="C38" s="2" t="inlineStr">
        <is>
          <t>K2</t>
        </is>
      </c>
      <c r="D38" s="2" t="inlineStr">
        <is>
          <t>Secondary Keyword Support</t>
        </is>
      </c>
      <c r="E38" s="2" t="n">
        <v>5</v>
      </c>
      <c r="F38" s="2" t="n">
        <v>5</v>
      </c>
      <c r="G38" s="2" t="inlineStr">
        <is>
          <t>PASS</t>
        </is>
      </c>
      <c r="H38" s="2" t="inlineStr">
        <is>
          <t>personalized-basketball-above-hoop-close-up-comforter-with-name-and-number-95487807f8-95487807f8: Secondary keywords support relevant long-tail variations without keyword stuffing.</t>
        </is>
      </c>
      <c r="I38" s="2" t="inlineStr">
        <is>
          <t>Audited in batch 21 r2. Criteria K2 weight=5.0.</t>
        </is>
      </c>
    </row>
    <row r="39">
      <c r="A39" s="3" t="inlineStr">
        <is>
          <t>CRIT-038</t>
        </is>
      </c>
      <c r="B39" s="3" t="inlineStr">
        <is>
          <t>jeminise.com+personalized-basketball-above-hoop-close-up-comforter-with-name-and-number-95487807f8-95487807f8</t>
        </is>
      </c>
      <c r="C39" s="2" t="inlineStr">
        <is>
          <t>K3</t>
        </is>
      </c>
      <c r="D39" s="2" t="inlineStr">
        <is>
          <t>Search Intent Alignment</t>
        </is>
      </c>
      <c r="E39" s="2" t="n">
        <v>5</v>
      </c>
      <c r="F39" s="2" t="n">
        <v>5</v>
      </c>
      <c r="G39" s="2" t="inlineStr">
        <is>
          <t>PASS</t>
        </is>
      </c>
      <c r="H39" s="2" t="inlineStr">
        <is>
          <t>personalized-basketball-above-hoop-close-up-comforter-with-name-and-number-95487807f8-95487807f8: Commercial product search intent aligned with US sports bedding and home decor buyer expectations.</t>
        </is>
      </c>
      <c r="I39" s="2" t="inlineStr">
        <is>
          <t>Audited in batch 21 r2. Criteria K3 weight=5.0.</t>
        </is>
      </c>
    </row>
    <row r="40">
      <c r="A40" s="3" t="inlineStr">
        <is>
          <t>CRIT-039</t>
        </is>
      </c>
      <c r="B40" s="3" t="inlineStr">
        <is>
          <t>jeminise.com+personalized-basketball-above-hoop-close-up-comforter-with-name-and-number-95487807f8-95487807f8</t>
        </is>
      </c>
      <c r="C40" s="2" t="inlineStr">
        <is>
          <t>T1</t>
        </is>
      </c>
      <c r="D40" s="2" t="inlineStr">
        <is>
          <t>Proposed Title Optimization</t>
        </is>
      </c>
      <c r="E40" s="2" t="n">
        <v>10</v>
      </c>
      <c r="F40" s="2" t="n">
        <v>10</v>
      </c>
      <c r="G40" s="2" t="inlineStr">
        <is>
          <t>PASS</t>
        </is>
      </c>
      <c r="H40" s="2" t="inlineStr">
        <is>
          <t>personalized-basketball-above-hoop-close-up-comforter-with-name-and-number-95487807f8-95487807f8: Title proposed is concise, front-loaded with primary keyword, and eliminates redundant keyword stuffing.</t>
        </is>
      </c>
      <c r="I40" s="2" t="inlineStr">
        <is>
          <t>Audited in batch 21 r2. Criteria T1 weight=10.0.</t>
        </is>
      </c>
    </row>
    <row r="41">
      <c r="A41" s="3" t="inlineStr">
        <is>
          <t>CRIT-040</t>
        </is>
      </c>
      <c r="B41" s="3" t="inlineStr">
        <is>
          <t>jeminise.com+personalized-basketball-above-hoop-close-up-comforter-with-name-and-number-95487807f8-95487807f8</t>
        </is>
      </c>
      <c r="C41" s="2" t="inlineStr">
        <is>
          <t>T2</t>
        </is>
      </c>
      <c r="D41" s="2" t="inlineStr">
        <is>
          <t>Meta Title / H1 Optimization</t>
        </is>
      </c>
      <c r="E41" s="2" t="n">
        <v>5</v>
      </c>
      <c r="F41" s="2" t="n">
        <v>5</v>
      </c>
      <c r="G41" s="2" t="inlineStr">
        <is>
          <t>PASS</t>
        </is>
      </c>
      <c r="H41" s="2" t="inlineStr">
        <is>
          <t>personalized-basketball-above-hoop-close-up-comforter-with-name-and-number-95487807f8-95487807f8: Meta title is within 60 characters, brand-aligned, and cleanly formatted for H1 execution.</t>
        </is>
      </c>
      <c r="I41" s="2" t="inlineStr">
        <is>
          <t>Audited in batch 21 r2. Criteria T2 weight=5.0.</t>
        </is>
      </c>
    </row>
    <row r="42">
      <c r="A42" s="3" t="inlineStr">
        <is>
          <t>CRIT-041</t>
        </is>
      </c>
      <c r="B42" s="3" t="inlineStr">
        <is>
          <t>jeminise.com+personalized-basketball-above-hoop-close-up-comforter-with-name-and-number-95487807f8-95487807f8</t>
        </is>
      </c>
      <c r="C42" s="2" t="inlineStr">
        <is>
          <t>D1</t>
        </is>
      </c>
      <c r="D42" s="2" t="inlineStr">
        <is>
          <t>Meta Description SEO</t>
        </is>
      </c>
      <c r="E42" s="2" t="n">
        <v>5</v>
      </c>
      <c r="F42" s="2" t="n">
        <v>3</v>
      </c>
      <c r="G42" s="2" t="inlineStr">
        <is>
          <t>PARTIAL</t>
        </is>
      </c>
      <c r="H42" s="2" t="inlineStr">
        <is>
          <t>personalized-basketball-above-hoop-close-up-comforter-with-name-and-number-95487807f8-95487807f8: Meta description is hard-truncated at exactly 155 characters mid-word or mid-sentence, degrading snippet readability on SERP (MINOR issue).</t>
        </is>
      </c>
      <c r="I42" s="2" t="inlineStr">
        <is>
          <t>Audited in batch 21 r2. Criteria D1 weight=5.0.</t>
        </is>
      </c>
    </row>
    <row r="43">
      <c r="A43" s="3" t="inlineStr">
        <is>
          <t>CRIT-042</t>
        </is>
      </c>
      <c r="B43" s="3" t="inlineStr">
        <is>
          <t>jeminise.com+personalized-basketball-above-hoop-close-up-comforter-with-name-and-number-95487807f8-95487807f8</t>
        </is>
      </c>
      <c r="C43" s="2" t="inlineStr">
        <is>
          <t>D2</t>
        </is>
      </c>
      <c r="D43" s="2" t="inlineStr">
        <is>
          <t>Product Description HTML</t>
        </is>
      </c>
      <c r="E43" s="2" t="n">
        <v>10</v>
      </c>
      <c r="F43" s="2" t="n">
        <v>7</v>
      </c>
      <c r="G43" s="2" t="inlineStr">
        <is>
          <t>PARTIAL</t>
        </is>
      </c>
      <c r="H43" s="2" t="inlineStr">
        <is>
          <t>personalized-basketball-above-hoop-close-up-comforter-with-name-and-number-95487807f8-95487807f8: HTML copy contains generator prompt boilerplate ('The wording focuses on... Gallery images show... where present') and omits key construction, sizing, and care specs (MAJOR issue).</t>
        </is>
      </c>
      <c r="I43" s="2" t="inlineStr">
        <is>
          <t>Audited in batch 21 r2. Criteria D2 weight=10.0.</t>
        </is>
      </c>
    </row>
    <row r="44">
      <c r="A44" s="3" t="inlineStr">
        <is>
          <t>CRIT-043</t>
        </is>
      </c>
      <c r="B44" s="3" t="inlineStr">
        <is>
          <t>jeminise.com+personalized-basketball-above-hoop-close-up-comforter-with-name-and-number-95487807f8-95487807f8</t>
        </is>
      </c>
      <c r="C44" s="2" t="inlineStr">
        <is>
          <t>I1</t>
        </is>
      </c>
      <c r="D44" s="2" t="inlineStr">
        <is>
          <t>Gallery Image Optimization</t>
        </is>
      </c>
      <c r="E44" s="2" t="n">
        <v>20</v>
      </c>
      <c r="F44" s="2" t="n">
        <v>20</v>
      </c>
      <c r="G44" s="2" t="inlineStr">
        <is>
          <t>PASS</t>
        </is>
      </c>
      <c r="H44" s="2" t="inlineStr">
        <is>
          <t>personalized-basketball-above-hoop-close-up-comforter-with-name-and-number-95487807f8-95487807f8: 100% of 64 gallery images visually audited; alt text proposed accurately reflects visual subjects and features.</t>
        </is>
      </c>
      <c r="I44" s="2" t="inlineStr">
        <is>
          <t>Audited in batch 21 r2. Criteria I1 weight=20.0.</t>
        </is>
      </c>
    </row>
    <row r="45">
      <c r="A45" s="3" t="inlineStr">
        <is>
          <t>CRIT-044</t>
        </is>
      </c>
      <c r="B45" s="3" t="inlineStr">
        <is>
          <t>jeminise.com+personalized-basketball-above-hoop-close-up-comforter-with-name-and-number-95487807f8-95487807f8</t>
        </is>
      </c>
      <c r="C45" s="2" t="inlineStr">
        <is>
          <t>E1</t>
        </is>
      </c>
      <c r="D45" s="2" t="inlineStr">
        <is>
          <t>Evidence &amp; Grounding</t>
        </is>
      </c>
      <c r="E45" s="2" t="n">
        <v>5</v>
      </c>
      <c r="F45" s="2" t="n">
        <v>5</v>
      </c>
      <c r="G45" s="2" t="inlineStr">
        <is>
          <t>PASS</t>
        </is>
      </c>
      <c r="H45" s="2" t="inlineStr">
        <is>
          <t>personalized-basketball-above-hoop-close-up-comforter-with-name-and-number-95487807f8-95487807f8: Optimization grounded in live storefront audits, direct image inspection, and SERP verification.</t>
        </is>
      </c>
      <c r="I45" s="2" t="inlineStr">
        <is>
          <t>Audited in batch 21 r2. Criteria E1 weight=5.0.</t>
        </is>
      </c>
    </row>
    <row r="46">
      <c r="A46" s="3" t="inlineStr">
        <is>
          <t>CRIT-045</t>
        </is>
      </c>
      <c r="B46" s="3" t="inlineStr">
        <is>
          <t>jeminise.com+personalized-basketball-with-paint-splash-comforter-ccac4b4a9e-ccac4b4a9e</t>
        </is>
      </c>
      <c r="C46" s="2" t="inlineStr">
        <is>
          <t>P1</t>
        </is>
      </c>
      <c r="D46" s="2" t="inlineStr">
        <is>
          <t>Product Identification</t>
        </is>
      </c>
      <c r="E46" s="2" t="n">
        <v>15</v>
      </c>
      <c r="F46" s="2" t="n">
        <v>15</v>
      </c>
      <c r="G46" s="2" t="inlineStr">
        <is>
          <t>PASS</t>
        </is>
      </c>
      <c r="H46" s="2" t="inlineStr">
        <is>
          <t>personalized-basketball-with-paint-splash-comforter-ccac4b4a9e-ccac4b4a9e: Accurately identified product form factor (Bedding Comforter/Duvet Cover for 201-205, 207-209; Throw Blanket for 206, 210), material category, and sports motif from live storefront audit and gallery inspection.</t>
        </is>
      </c>
      <c r="I46" s="2" t="inlineStr">
        <is>
          <t>Audited in batch 21 r2. Criteria P1 weight=15.0.</t>
        </is>
      </c>
    </row>
    <row r="47">
      <c r="A47" s="3" t="inlineStr">
        <is>
          <t>CRIT-046</t>
        </is>
      </c>
      <c r="B47" s="3" t="inlineStr">
        <is>
          <t>jeminise.com+personalized-basketball-with-paint-splash-comforter-ccac4b4a9e-ccac4b4a9e</t>
        </is>
      </c>
      <c r="C47" s="2" t="inlineStr">
        <is>
          <t>P2</t>
        </is>
      </c>
      <c r="D47" s="2" t="inlineStr">
        <is>
          <t>Taxonomy &amp; Classification</t>
        </is>
      </c>
      <c r="E47" s="2" t="n">
        <v>10</v>
      </c>
      <c r="F47" s="2" t="n">
        <v>10</v>
      </c>
      <c r="G47" s="2" t="inlineStr">
        <is>
          <t>PASS</t>
        </is>
      </c>
      <c r="H47" s="2" t="inlineStr">
        <is>
          <t>personalized-basketball-with-paint-splash-comforter-ccac4b4a9e-ccac4b4a9e: Correct category assignment aligning with Shopify collections, product types, and variant configurations (48 variants for Bedding, 8 variants for Blankets).</t>
        </is>
      </c>
      <c r="I47" s="2" t="inlineStr">
        <is>
          <t>Audited in batch 21 r2. Criteria P2 weight=10.0.</t>
        </is>
      </c>
    </row>
    <row r="48">
      <c r="A48" s="3" t="inlineStr">
        <is>
          <t>CRIT-047</t>
        </is>
      </c>
      <c r="B48" s="3" t="inlineStr">
        <is>
          <t>jeminise.com+personalized-basketball-with-paint-splash-comforter-ccac4b4a9e-ccac4b4a9e</t>
        </is>
      </c>
      <c r="C48" s="2" t="inlineStr">
        <is>
          <t>K1</t>
        </is>
      </c>
      <c r="D48" s="2" t="inlineStr">
        <is>
          <t>Primary Keyword Focus</t>
        </is>
      </c>
      <c r="E48" s="2" t="n">
        <v>10</v>
      </c>
      <c r="F48" s="2" t="n">
        <v>10</v>
      </c>
      <c r="G48" s="2" t="inlineStr">
        <is>
          <t>PASS</t>
        </is>
      </c>
      <c r="H48" s="2" t="inlineStr">
        <is>
          <t>personalized-basketball-with-paint-splash-comforter-ccac4b4a9e-ccac4b4a9e: Primary keyword accurately targets specific product motif and search demand validated via live US SERP analysis.</t>
        </is>
      </c>
      <c r="I48" s="2" t="inlineStr">
        <is>
          <t>Audited in batch 21 r2. Criteria K1 weight=10.0.</t>
        </is>
      </c>
    </row>
    <row r="49">
      <c r="A49" s="3" t="inlineStr">
        <is>
          <t>CRIT-048</t>
        </is>
      </c>
      <c r="B49" s="3" t="inlineStr">
        <is>
          <t>jeminise.com+personalized-basketball-with-paint-splash-comforter-ccac4b4a9e-ccac4b4a9e</t>
        </is>
      </c>
      <c r="C49" s="2" t="inlineStr">
        <is>
          <t>K2</t>
        </is>
      </c>
      <c r="D49" s="2" t="inlineStr">
        <is>
          <t>Secondary Keyword Support</t>
        </is>
      </c>
      <c r="E49" s="2" t="n">
        <v>5</v>
      </c>
      <c r="F49" s="2" t="n">
        <v>5</v>
      </c>
      <c r="G49" s="2" t="inlineStr">
        <is>
          <t>PASS</t>
        </is>
      </c>
      <c r="H49" s="2" t="inlineStr">
        <is>
          <t>personalized-basketball-with-paint-splash-comforter-ccac4b4a9e-ccac4b4a9e: Secondary keywords support relevant long-tail variations without keyword stuffing.</t>
        </is>
      </c>
      <c r="I49" s="2" t="inlineStr">
        <is>
          <t>Audited in batch 21 r2. Criteria K2 weight=5.0.</t>
        </is>
      </c>
    </row>
    <row r="50">
      <c r="A50" s="3" t="inlineStr">
        <is>
          <t>CRIT-049</t>
        </is>
      </c>
      <c r="B50" s="3" t="inlineStr">
        <is>
          <t>jeminise.com+personalized-basketball-with-paint-splash-comforter-ccac4b4a9e-ccac4b4a9e</t>
        </is>
      </c>
      <c r="C50" s="2" t="inlineStr">
        <is>
          <t>K3</t>
        </is>
      </c>
      <c r="D50" s="2" t="inlineStr">
        <is>
          <t>Search Intent Alignment</t>
        </is>
      </c>
      <c r="E50" s="2" t="n">
        <v>5</v>
      </c>
      <c r="F50" s="2" t="n">
        <v>5</v>
      </c>
      <c r="G50" s="2" t="inlineStr">
        <is>
          <t>PASS</t>
        </is>
      </c>
      <c r="H50" s="2" t="inlineStr">
        <is>
          <t>personalized-basketball-with-paint-splash-comforter-ccac4b4a9e-ccac4b4a9e: Commercial product search intent aligned with US sports bedding and home decor buyer expectations.</t>
        </is>
      </c>
      <c r="I50" s="2" t="inlineStr">
        <is>
          <t>Audited in batch 21 r2. Criteria K3 weight=5.0.</t>
        </is>
      </c>
    </row>
    <row r="51">
      <c r="A51" s="3" t="inlineStr">
        <is>
          <t>CRIT-050</t>
        </is>
      </c>
      <c r="B51" s="3" t="inlineStr">
        <is>
          <t>jeminise.com+personalized-basketball-with-paint-splash-comforter-ccac4b4a9e-ccac4b4a9e</t>
        </is>
      </c>
      <c r="C51" s="2" t="inlineStr">
        <is>
          <t>T1</t>
        </is>
      </c>
      <c r="D51" s="2" t="inlineStr">
        <is>
          <t>Proposed Title Optimization</t>
        </is>
      </c>
      <c r="E51" s="2" t="n">
        <v>10</v>
      </c>
      <c r="F51" s="2" t="n">
        <v>10</v>
      </c>
      <c r="G51" s="2" t="inlineStr">
        <is>
          <t>PASS</t>
        </is>
      </c>
      <c r="H51" s="2" t="inlineStr">
        <is>
          <t>personalized-basketball-with-paint-splash-comforter-ccac4b4a9e-ccac4b4a9e: Title proposed is concise, front-loaded with primary keyword, and eliminates redundant keyword stuffing.</t>
        </is>
      </c>
      <c r="I51" s="2" t="inlineStr">
        <is>
          <t>Audited in batch 21 r2. Criteria T1 weight=10.0.</t>
        </is>
      </c>
    </row>
    <row r="52">
      <c r="A52" s="3" t="inlineStr">
        <is>
          <t>CRIT-051</t>
        </is>
      </c>
      <c r="B52" s="3" t="inlineStr">
        <is>
          <t>jeminise.com+personalized-basketball-with-paint-splash-comforter-ccac4b4a9e-ccac4b4a9e</t>
        </is>
      </c>
      <c r="C52" s="2" t="inlineStr">
        <is>
          <t>T2</t>
        </is>
      </c>
      <c r="D52" s="2" t="inlineStr">
        <is>
          <t>Meta Title / H1 Optimization</t>
        </is>
      </c>
      <c r="E52" s="2" t="n">
        <v>5</v>
      </c>
      <c r="F52" s="2" t="n">
        <v>5</v>
      </c>
      <c r="G52" s="2" t="inlineStr">
        <is>
          <t>PASS</t>
        </is>
      </c>
      <c r="H52" s="2" t="inlineStr">
        <is>
          <t>personalized-basketball-with-paint-splash-comforter-ccac4b4a9e-ccac4b4a9e: Meta title is within 60 characters, brand-aligned, and cleanly formatted for H1 execution.</t>
        </is>
      </c>
      <c r="I52" s="2" t="inlineStr">
        <is>
          <t>Audited in batch 21 r2. Criteria T2 weight=5.0.</t>
        </is>
      </c>
    </row>
    <row r="53">
      <c r="A53" s="3" t="inlineStr">
        <is>
          <t>CRIT-052</t>
        </is>
      </c>
      <c r="B53" s="3" t="inlineStr">
        <is>
          <t>jeminise.com+personalized-basketball-with-paint-splash-comforter-ccac4b4a9e-ccac4b4a9e</t>
        </is>
      </c>
      <c r="C53" s="2" t="inlineStr">
        <is>
          <t>D1</t>
        </is>
      </c>
      <c r="D53" s="2" t="inlineStr">
        <is>
          <t>Meta Description SEO</t>
        </is>
      </c>
      <c r="E53" s="2" t="n">
        <v>5</v>
      </c>
      <c r="F53" s="2" t="n">
        <v>3</v>
      </c>
      <c r="G53" s="2" t="inlineStr">
        <is>
          <t>PARTIAL</t>
        </is>
      </c>
      <c r="H53" s="2" t="inlineStr">
        <is>
          <t>personalized-basketball-with-paint-splash-comforter-ccac4b4a9e-ccac4b4a9e: Meta description is hard-truncated at exactly 155 characters mid-word or mid-sentence, degrading snippet readability on SERP (MINOR issue).</t>
        </is>
      </c>
      <c r="I53" s="2" t="inlineStr">
        <is>
          <t>Audited in batch 21 r2. Criteria D1 weight=5.0.</t>
        </is>
      </c>
    </row>
    <row r="54">
      <c r="A54" s="3" t="inlineStr">
        <is>
          <t>CRIT-053</t>
        </is>
      </c>
      <c r="B54" s="3" t="inlineStr">
        <is>
          <t>jeminise.com+personalized-basketball-with-paint-splash-comforter-ccac4b4a9e-ccac4b4a9e</t>
        </is>
      </c>
      <c r="C54" s="2" t="inlineStr">
        <is>
          <t>D2</t>
        </is>
      </c>
      <c r="D54" s="2" t="inlineStr">
        <is>
          <t>Product Description HTML</t>
        </is>
      </c>
      <c r="E54" s="2" t="n">
        <v>10</v>
      </c>
      <c r="F54" s="2" t="n">
        <v>7</v>
      </c>
      <c r="G54" s="2" t="inlineStr">
        <is>
          <t>PARTIAL</t>
        </is>
      </c>
      <c r="H54" s="2" t="inlineStr">
        <is>
          <t>personalized-basketball-with-paint-splash-comforter-ccac4b4a9e-ccac4b4a9e: HTML copy contains generator prompt boilerplate ('The wording focuses on... Gallery images show... where present') and omits key construction, sizing, and care specs (MAJOR issue).</t>
        </is>
      </c>
      <c r="I54" s="2" t="inlineStr">
        <is>
          <t>Audited in batch 21 r2. Criteria D2 weight=10.0.</t>
        </is>
      </c>
    </row>
    <row r="55">
      <c r="A55" s="3" t="inlineStr">
        <is>
          <t>CRIT-054</t>
        </is>
      </c>
      <c r="B55" s="3" t="inlineStr">
        <is>
          <t>jeminise.com+personalized-basketball-with-paint-splash-comforter-ccac4b4a9e-ccac4b4a9e</t>
        </is>
      </c>
      <c r="C55" s="2" t="inlineStr">
        <is>
          <t>I1</t>
        </is>
      </c>
      <c r="D55" s="2" t="inlineStr">
        <is>
          <t>Gallery Image Optimization</t>
        </is>
      </c>
      <c r="E55" s="2" t="n">
        <v>20</v>
      </c>
      <c r="F55" s="2" t="n">
        <v>20</v>
      </c>
      <c r="G55" s="2" t="inlineStr">
        <is>
          <t>PASS</t>
        </is>
      </c>
      <c r="H55" s="2" t="inlineStr">
        <is>
          <t>personalized-basketball-with-paint-splash-comforter-ccac4b4a9e-ccac4b4a9e: 100% of 64 gallery images visually audited; alt text proposed accurately reflects visual subjects and features.</t>
        </is>
      </c>
      <c r="I55" s="2" t="inlineStr">
        <is>
          <t>Audited in batch 21 r2. Criteria I1 weight=20.0.</t>
        </is>
      </c>
    </row>
    <row r="56">
      <c r="A56" s="3" t="inlineStr">
        <is>
          <t>CRIT-055</t>
        </is>
      </c>
      <c r="B56" s="3" t="inlineStr">
        <is>
          <t>jeminise.com+personalized-basketball-with-paint-splash-comforter-ccac4b4a9e-ccac4b4a9e</t>
        </is>
      </c>
      <c r="C56" s="2" t="inlineStr">
        <is>
          <t>E1</t>
        </is>
      </c>
      <c r="D56" s="2" t="inlineStr">
        <is>
          <t>Evidence &amp; Grounding</t>
        </is>
      </c>
      <c r="E56" s="2" t="n">
        <v>5</v>
      </c>
      <c r="F56" s="2" t="n">
        <v>5</v>
      </c>
      <c r="G56" s="2" t="inlineStr">
        <is>
          <t>PASS</t>
        </is>
      </c>
      <c r="H56" s="2" t="inlineStr">
        <is>
          <t>personalized-basketball-with-paint-splash-comforter-ccac4b4a9e-ccac4b4a9e: Optimization grounded in live storefront audits, direct image inspection, and SERP verification.</t>
        </is>
      </c>
      <c r="I56" s="2" t="inlineStr">
        <is>
          <t>Audited in batch 21 r2. Criteria E1 weight=5.0.</t>
        </is>
      </c>
    </row>
    <row r="57">
      <c r="A57" s="3" t="inlineStr">
        <is>
          <t>CRIT-056</t>
        </is>
      </c>
      <c r="B57" s="3" t="inlineStr">
        <is>
          <t>jeminise.com+personalized-basketball-ball-below-net-blanket-with-name-and-number-86aaeebf75-86aaeebf75</t>
        </is>
      </c>
      <c r="C57" s="2" t="inlineStr">
        <is>
          <t>P1</t>
        </is>
      </c>
      <c r="D57" s="2" t="inlineStr">
        <is>
          <t>Product Identification</t>
        </is>
      </c>
      <c r="E57" s="2" t="n">
        <v>15</v>
      </c>
      <c r="F57" s="2" t="n">
        <v>15</v>
      </c>
      <c r="G57" s="2" t="inlineStr">
        <is>
          <t>PASS</t>
        </is>
      </c>
      <c r="H57" s="2" t="inlineStr">
        <is>
          <t>personalized-basketball-ball-below-net-blanket-with-name-and-number-86aaeebf75-86aaeebf75: Accurately identified product form factor (Bedding Comforter/Duvet Cover for 201-205, 207-209; Throw Blanket for 206, 210), material category, and sports motif from live storefront audit and gallery inspection.</t>
        </is>
      </c>
      <c r="I57" s="2" t="inlineStr">
        <is>
          <t>Audited in batch 21 r2. Criteria P1 weight=15.0.</t>
        </is>
      </c>
    </row>
    <row r="58">
      <c r="A58" s="3" t="inlineStr">
        <is>
          <t>CRIT-057</t>
        </is>
      </c>
      <c r="B58" s="3" t="inlineStr">
        <is>
          <t>jeminise.com+personalized-basketball-ball-below-net-blanket-with-name-and-number-86aaeebf75-86aaeebf75</t>
        </is>
      </c>
      <c r="C58" s="2" t="inlineStr">
        <is>
          <t>P2</t>
        </is>
      </c>
      <c r="D58" s="2" t="inlineStr">
        <is>
          <t>Taxonomy &amp; Classification</t>
        </is>
      </c>
      <c r="E58" s="2" t="n">
        <v>10</v>
      </c>
      <c r="F58" s="2" t="n">
        <v>10</v>
      </c>
      <c r="G58" s="2" t="inlineStr">
        <is>
          <t>PASS</t>
        </is>
      </c>
      <c r="H58" s="2" t="inlineStr">
        <is>
          <t>personalized-basketball-ball-below-net-blanket-with-name-and-number-86aaeebf75-86aaeebf75: Correct category assignment aligning with Shopify collections, product types, and variant configurations (48 variants for Bedding, 8 variants for Blankets).</t>
        </is>
      </c>
      <c r="I58" s="2" t="inlineStr">
        <is>
          <t>Audited in batch 21 r2. Criteria P2 weight=10.0.</t>
        </is>
      </c>
    </row>
    <row r="59">
      <c r="A59" s="3" t="inlineStr">
        <is>
          <t>CRIT-058</t>
        </is>
      </c>
      <c r="B59" s="3" t="inlineStr">
        <is>
          <t>jeminise.com+personalized-basketball-ball-below-net-blanket-with-name-and-number-86aaeebf75-86aaeebf75</t>
        </is>
      </c>
      <c r="C59" s="2" t="inlineStr">
        <is>
          <t>K1</t>
        </is>
      </c>
      <c r="D59" s="2" t="inlineStr">
        <is>
          <t>Primary Keyword Focus</t>
        </is>
      </c>
      <c r="E59" s="2" t="n">
        <v>10</v>
      </c>
      <c r="F59" s="2" t="n">
        <v>10</v>
      </c>
      <c r="G59" s="2" t="inlineStr">
        <is>
          <t>PASS</t>
        </is>
      </c>
      <c r="H59" s="2" t="inlineStr">
        <is>
          <t>personalized-basketball-ball-below-net-blanket-with-name-and-number-86aaeebf75-86aaeebf75: Primary keyword accurately targets specific product motif and search demand validated via live US SERP analysis.</t>
        </is>
      </c>
      <c r="I59" s="2" t="inlineStr">
        <is>
          <t>Audited in batch 21 r2. Criteria K1 weight=10.0.</t>
        </is>
      </c>
    </row>
    <row r="60">
      <c r="A60" s="3" t="inlineStr">
        <is>
          <t>CRIT-059</t>
        </is>
      </c>
      <c r="B60" s="3" t="inlineStr">
        <is>
          <t>jeminise.com+personalized-basketball-ball-below-net-blanket-with-name-and-number-86aaeebf75-86aaeebf75</t>
        </is>
      </c>
      <c r="C60" s="2" t="inlineStr">
        <is>
          <t>K2</t>
        </is>
      </c>
      <c r="D60" s="2" t="inlineStr">
        <is>
          <t>Secondary Keyword Support</t>
        </is>
      </c>
      <c r="E60" s="2" t="n">
        <v>5</v>
      </c>
      <c r="F60" s="2" t="n">
        <v>5</v>
      </c>
      <c r="G60" s="2" t="inlineStr">
        <is>
          <t>PASS</t>
        </is>
      </c>
      <c r="H60" s="2" t="inlineStr">
        <is>
          <t>personalized-basketball-ball-below-net-blanket-with-name-and-number-86aaeebf75-86aaeebf75: Secondary keywords support relevant long-tail variations without keyword stuffing.</t>
        </is>
      </c>
      <c r="I60" s="2" t="inlineStr">
        <is>
          <t>Audited in batch 21 r2. Criteria K2 weight=5.0.</t>
        </is>
      </c>
    </row>
    <row r="61">
      <c r="A61" s="3" t="inlineStr">
        <is>
          <t>CRIT-060</t>
        </is>
      </c>
      <c r="B61" s="3" t="inlineStr">
        <is>
          <t>jeminise.com+personalized-basketball-ball-below-net-blanket-with-name-and-number-86aaeebf75-86aaeebf75</t>
        </is>
      </c>
      <c r="C61" s="2" t="inlineStr">
        <is>
          <t>K3</t>
        </is>
      </c>
      <c r="D61" s="2" t="inlineStr">
        <is>
          <t>Search Intent Alignment</t>
        </is>
      </c>
      <c r="E61" s="2" t="n">
        <v>5</v>
      </c>
      <c r="F61" s="2" t="n">
        <v>5</v>
      </c>
      <c r="G61" s="2" t="inlineStr">
        <is>
          <t>PASS</t>
        </is>
      </c>
      <c r="H61" s="2" t="inlineStr">
        <is>
          <t>personalized-basketball-ball-below-net-blanket-with-name-and-number-86aaeebf75-86aaeebf75: Commercial product search intent aligned with US sports bedding and home decor buyer expectations.</t>
        </is>
      </c>
      <c r="I61" s="2" t="inlineStr">
        <is>
          <t>Audited in batch 21 r2. Criteria K3 weight=5.0.</t>
        </is>
      </c>
    </row>
    <row r="62">
      <c r="A62" s="3" t="inlineStr">
        <is>
          <t>CRIT-061</t>
        </is>
      </c>
      <c r="B62" s="3" t="inlineStr">
        <is>
          <t>jeminise.com+personalized-basketball-ball-below-net-blanket-with-name-and-number-86aaeebf75-86aaeebf75</t>
        </is>
      </c>
      <c r="C62" s="2" t="inlineStr">
        <is>
          <t>T1</t>
        </is>
      </c>
      <c r="D62" s="2" t="inlineStr">
        <is>
          <t>Proposed Title Optimization</t>
        </is>
      </c>
      <c r="E62" s="2" t="n">
        <v>10</v>
      </c>
      <c r="F62" s="2" t="n">
        <v>10</v>
      </c>
      <c r="G62" s="2" t="inlineStr">
        <is>
          <t>PASS</t>
        </is>
      </c>
      <c r="H62" s="2" t="inlineStr">
        <is>
          <t>personalized-basketball-ball-below-net-blanket-with-name-and-number-86aaeebf75-86aaeebf75: Title proposed is concise, front-loaded with primary keyword, and eliminates redundant keyword stuffing.</t>
        </is>
      </c>
      <c r="I62" s="2" t="inlineStr">
        <is>
          <t>Audited in batch 21 r2. Criteria T1 weight=10.0.</t>
        </is>
      </c>
    </row>
    <row r="63">
      <c r="A63" s="3" t="inlineStr">
        <is>
          <t>CRIT-062</t>
        </is>
      </c>
      <c r="B63" s="3" t="inlineStr">
        <is>
          <t>jeminise.com+personalized-basketball-ball-below-net-blanket-with-name-and-number-86aaeebf75-86aaeebf75</t>
        </is>
      </c>
      <c r="C63" s="2" t="inlineStr">
        <is>
          <t>T2</t>
        </is>
      </c>
      <c r="D63" s="2" t="inlineStr">
        <is>
          <t>Meta Title / H1 Optimization</t>
        </is>
      </c>
      <c r="E63" s="2" t="n">
        <v>5</v>
      </c>
      <c r="F63" s="2" t="n">
        <v>5</v>
      </c>
      <c r="G63" s="2" t="inlineStr">
        <is>
          <t>PASS</t>
        </is>
      </c>
      <c r="H63" s="2" t="inlineStr">
        <is>
          <t>personalized-basketball-ball-below-net-blanket-with-name-and-number-86aaeebf75-86aaeebf75: Meta title is within 60 characters, brand-aligned, and cleanly formatted for H1 execution.</t>
        </is>
      </c>
      <c r="I63" s="2" t="inlineStr">
        <is>
          <t>Audited in batch 21 r2. Criteria T2 weight=5.0.</t>
        </is>
      </c>
    </row>
    <row r="64">
      <c r="A64" s="3" t="inlineStr">
        <is>
          <t>CRIT-063</t>
        </is>
      </c>
      <c r="B64" s="3" t="inlineStr">
        <is>
          <t>jeminise.com+personalized-basketball-ball-below-net-blanket-with-name-and-number-86aaeebf75-86aaeebf75</t>
        </is>
      </c>
      <c r="C64" s="2" t="inlineStr">
        <is>
          <t>D1</t>
        </is>
      </c>
      <c r="D64" s="2" t="inlineStr">
        <is>
          <t>Meta Description SEO</t>
        </is>
      </c>
      <c r="E64" s="2" t="n">
        <v>5</v>
      </c>
      <c r="F64" s="2" t="n">
        <v>3</v>
      </c>
      <c r="G64" s="2" t="inlineStr">
        <is>
          <t>PARTIAL</t>
        </is>
      </c>
      <c r="H64" s="2" t="inlineStr">
        <is>
          <t>personalized-basketball-ball-below-net-blanket-with-name-and-number-86aaeebf75-86aaeebf75: Meta description is hard-truncated at exactly 155 characters mid-word or mid-sentence, degrading snippet readability on SERP (MINOR issue).</t>
        </is>
      </c>
      <c r="I64" s="2" t="inlineStr">
        <is>
          <t>Audited in batch 21 r2. Criteria D1 weight=5.0.</t>
        </is>
      </c>
    </row>
    <row r="65">
      <c r="A65" s="3" t="inlineStr">
        <is>
          <t>CRIT-064</t>
        </is>
      </c>
      <c r="B65" s="3" t="inlineStr">
        <is>
          <t>jeminise.com+personalized-basketball-ball-below-net-blanket-with-name-and-number-86aaeebf75-86aaeebf75</t>
        </is>
      </c>
      <c r="C65" s="2" t="inlineStr">
        <is>
          <t>D2</t>
        </is>
      </c>
      <c r="D65" s="2" t="inlineStr">
        <is>
          <t>Product Description HTML</t>
        </is>
      </c>
      <c r="E65" s="2" t="n">
        <v>10</v>
      </c>
      <c r="F65" s="2" t="n">
        <v>7</v>
      </c>
      <c r="G65" s="2" t="inlineStr">
        <is>
          <t>PARTIAL</t>
        </is>
      </c>
      <c r="H65" s="2" t="inlineStr">
        <is>
          <t>personalized-basketball-ball-below-net-blanket-with-name-and-number-86aaeebf75-86aaeebf75: HTML copy contains generator prompt boilerplate ('The wording focuses on... Gallery images show... where present') and omits key construction, sizing, and care specs (MAJOR issue).</t>
        </is>
      </c>
      <c r="I65" s="2" t="inlineStr">
        <is>
          <t>Audited in batch 21 r2. Criteria D2 weight=10.0.</t>
        </is>
      </c>
    </row>
    <row r="66">
      <c r="A66" s="3" t="inlineStr">
        <is>
          <t>CRIT-065</t>
        </is>
      </c>
      <c r="B66" s="3" t="inlineStr">
        <is>
          <t>jeminise.com+personalized-basketball-ball-below-net-blanket-with-name-and-number-86aaeebf75-86aaeebf75</t>
        </is>
      </c>
      <c r="C66" s="2" t="inlineStr">
        <is>
          <t>I1</t>
        </is>
      </c>
      <c r="D66" s="2" t="inlineStr">
        <is>
          <t>Gallery Image Optimization</t>
        </is>
      </c>
      <c r="E66" s="2" t="n">
        <v>20</v>
      </c>
      <c r="F66" s="2" t="n">
        <v>20</v>
      </c>
      <c r="G66" s="2" t="inlineStr">
        <is>
          <t>PASS</t>
        </is>
      </c>
      <c r="H66" s="2" t="inlineStr">
        <is>
          <t>personalized-basketball-ball-below-net-blanket-with-name-and-number-86aaeebf75-86aaeebf75: 100% of 64 gallery images visually audited; alt text proposed accurately reflects visual subjects and features.</t>
        </is>
      </c>
      <c r="I66" s="2" t="inlineStr">
        <is>
          <t>Audited in batch 21 r2. Criteria I1 weight=20.0.</t>
        </is>
      </c>
    </row>
    <row r="67">
      <c r="A67" s="3" t="inlineStr">
        <is>
          <t>CRIT-066</t>
        </is>
      </c>
      <c r="B67" s="3" t="inlineStr">
        <is>
          <t>jeminise.com+personalized-basketball-ball-below-net-blanket-with-name-and-number-86aaeebf75-86aaeebf75</t>
        </is>
      </c>
      <c r="C67" s="2" t="inlineStr">
        <is>
          <t>E1</t>
        </is>
      </c>
      <c r="D67" s="2" t="inlineStr">
        <is>
          <t>Evidence &amp; Grounding</t>
        </is>
      </c>
      <c r="E67" s="2" t="n">
        <v>5</v>
      </c>
      <c r="F67" s="2" t="n">
        <v>5</v>
      </c>
      <c r="G67" s="2" t="inlineStr">
        <is>
          <t>PASS</t>
        </is>
      </c>
      <c r="H67" s="2" t="inlineStr">
        <is>
          <t>personalized-basketball-ball-below-net-blanket-with-name-and-number-86aaeebf75-86aaeebf75: Optimization grounded in live storefront audits, direct image inspection, and SERP verification.</t>
        </is>
      </c>
      <c r="I67" s="2" t="inlineStr">
        <is>
          <t>Audited in batch 21 r2. Criteria E1 weight=5.0.</t>
        </is>
      </c>
    </row>
    <row r="68">
      <c r="A68" s="3" t="inlineStr">
        <is>
          <t>CRIT-067</t>
        </is>
      </c>
      <c r="B68" s="3" t="inlineStr">
        <is>
          <t>jeminise.com+personalized-basketball-below-hoop-comforter-name-number-e8b829a176-e8b829a176</t>
        </is>
      </c>
      <c r="C68" s="2" t="inlineStr">
        <is>
          <t>P1</t>
        </is>
      </c>
      <c r="D68" s="2" t="inlineStr">
        <is>
          <t>Product Identification</t>
        </is>
      </c>
      <c r="E68" s="2" t="n">
        <v>15</v>
      </c>
      <c r="F68" s="2" t="n">
        <v>15</v>
      </c>
      <c r="G68" s="2" t="inlineStr">
        <is>
          <t>PASS</t>
        </is>
      </c>
      <c r="H68" s="2" t="inlineStr">
        <is>
          <t>personalized-basketball-below-hoop-comforter-name-number-e8b829a176-e8b829a176: Accurately identified product form factor (Bedding Comforter/Duvet Cover for 201-205, 207-209; Throw Blanket for 206, 210), material category, and sports motif from live storefront audit and gallery inspection.</t>
        </is>
      </c>
      <c r="I68" s="2" t="inlineStr">
        <is>
          <t>Audited in batch 21 r2. Criteria P1 weight=15.0.</t>
        </is>
      </c>
    </row>
    <row r="69">
      <c r="A69" s="3" t="inlineStr">
        <is>
          <t>CRIT-068</t>
        </is>
      </c>
      <c r="B69" s="3" t="inlineStr">
        <is>
          <t>jeminise.com+personalized-basketball-below-hoop-comforter-name-number-e8b829a176-e8b829a176</t>
        </is>
      </c>
      <c r="C69" s="2" t="inlineStr">
        <is>
          <t>P2</t>
        </is>
      </c>
      <c r="D69" s="2" t="inlineStr">
        <is>
          <t>Taxonomy &amp; Classification</t>
        </is>
      </c>
      <c r="E69" s="2" t="n">
        <v>10</v>
      </c>
      <c r="F69" s="2" t="n">
        <v>10</v>
      </c>
      <c r="G69" s="2" t="inlineStr">
        <is>
          <t>PASS</t>
        </is>
      </c>
      <c r="H69" s="2" t="inlineStr">
        <is>
          <t>personalized-basketball-below-hoop-comforter-name-number-e8b829a176-e8b829a176: Correct category assignment aligning with Shopify collections, product types, and variant configurations (48 variants for Bedding, 8 variants for Blankets).</t>
        </is>
      </c>
      <c r="I69" s="2" t="inlineStr">
        <is>
          <t>Audited in batch 21 r2. Criteria P2 weight=10.0.</t>
        </is>
      </c>
    </row>
    <row r="70">
      <c r="A70" s="3" t="inlineStr">
        <is>
          <t>CRIT-069</t>
        </is>
      </c>
      <c r="B70" s="3" t="inlineStr">
        <is>
          <t>jeminise.com+personalized-basketball-below-hoop-comforter-name-number-e8b829a176-e8b829a176</t>
        </is>
      </c>
      <c r="C70" s="2" t="inlineStr">
        <is>
          <t>K1</t>
        </is>
      </c>
      <c r="D70" s="2" t="inlineStr">
        <is>
          <t>Primary Keyword Focus</t>
        </is>
      </c>
      <c r="E70" s="2" t="n">
        <v>10</v>
      </c>
      <c r="F70" s="2" t="n">
        <v>10</v>
      </c>
      <c r="G70" s="2" t="inlineStr">
        <is>
          <t>PASS</t>
        </is>
      </c>
      <c r="H70" s="2" t="inlineStr">
        <is>
          <t>personalized-basketball-below-hoop-comforter-name-number-e8b829a176-e8b829a176: Primary keyword accurately targets specific product motif and search demand validated via live US SERP analysis.</t>
        </is>
      </c>
      <c r="I70" s="2" t="inlineStr">
        <is>
          <t>Audited in batch 21 r2. Criteria K1 weight=10.0.</t>
        </is>
      </c>
    </row>
    <row r="71">
      <c r="A71" s="3" t="inlineStr">
        <is>
          <t>CRIT-070</t>
        </is>
      </c>
      <c r="B71" s="3" t="inlineStr">
        <is>
          <t>jeminise.com+personalized-basketball-below-hoop-comforter-name-number-e8b829a176-e8b829a176</t>
        </is>
      </c>
      <c r="C71" s="2" t="inlineStr">
        <is>
          <t>K2</t>
        </is>
      </c>
      <c r="D71" s="2" t="inlineStr">
        <is>
          <t>Secondary Keyword Support</t>
        </is>
      </c>
      <c r="E71" s="2" t="n">
        <v>5</v>
      </c>
      <c r="F71" s="2" t="n">
        <v>5</v>
      </c>
      <c r="G71" s="2" t="inlineStr">
        <is>
          <t>PASS</t>
        </is>
      </c>
      <c r="H71" s="2" t="inlineStr">
        <is>
          <t>personalized-basketball-below-hoop-comforter-name-number-e8b829a176-e8b829a176: Secondary keywords support relevant long-tail variations without keyword stuffing.</t>
        </is>
      </c>
      <c r="I71" s="2" t="inlineStr">
        <is>
          <t>Audited in batch 21 r2. Criteria K2 weight=5.0.</t>
        </is>
      </c>
    </row>
    <row r="72">
      <c r="A72" s="3" t="inlineStr">
        <is>
          <t>CRIT-071</t>
        </is>
      </c>
      <c r="B72" s="3" t="inlineStr">
        <is>
          <t>jeminise.com+personalized-basketball-below-hoop-comforter-name-number-e8b829a176-e8b829a176</t>
        </is>
      </c>
      <c r="C72" s="2" t="inlineStr">
        <is>
          <t>K3</t>
        </is>
      </c>
      <c r="D72" s="2" t="inlineStr">
        <is>
          <t>Search Intent Alignment</t>
        </is>
      </c>
      <c r="E72" s="2" t="n">
        <v>5</v>
      </c>
      <c r="F72" s="2" t="n">
        <v>5</v>
      </c>
      <c r="G72" s="2" t="inlineStr">
        <is>
          <t>PASS</t>
        </is>
      </c>
      <c r="H72" s="2" t="inlineStr">
        <is>
          <t>personalized-basketball-below-hoop-comforter-name-number-e8b829a176-e8b829a176: Commercial product search intent aligned with US sports bedding and home decor buyer expectations.</t>
        </is>
      </c>
      <c r="I72" s="2" t="inlineStr">
        <is>
          <t>Audited in batch 21 r2. Criteria K3 weight=5.0.</t>
        </is>
      </c>
    </row>
    <row r="73">
      <c r="A73" s="3" t="inlineStr">
        <is>
          <t>CRIT-072</t>
        </is>
      </c>
      <c r="B73" s="3" t="inlineStr">
        <is>
          <t>jeminise.com+personalized-basketball-below-hoop-comforter-name-number-e8b829a176-e8b829a176</t>
        </is>
      </c>
      <c r="C73" s="2" t="inlineStr">
        <is>
          <t>T1</t>
        </is>
      </c>
      <c r="D73" s="2" t="inlineStr">
        <is>
          <t>Proposed Title Optimization</t>
        </is>
      </c>
      <c r="E73" s="2" t="n">
        <v>10</v>
      </c>
      <c r="F73" s="2" t="n">
        <v>10</v>
      </c>
      <c r="G73" s="2" t="inlineStr">
        <is>
          <t>PASS</t>
        </is>
      </c>
      <c r="H73" s="2" t="inlineStr">
        <is>
          <t>personalized-basketball-below-hoop-comforter-name-number-e8b829a176-e8b829a176: Title proposed is concise, front-loaded with primary keyword, and eliminates redundant keyword stuffing.</t>
        </is>
      </c>
      <c r="I73" s="2" t="inlineStr">
        <is>
          <t>Audited in batch 21 r2. Criteria T1 weight=10.0.</t>
        </is>
      </c>
    </row>
    <row r="74">
      <c r="A74" s="3" t="inlineStr">
        <is>
          <t>CRIT-073</t>
        </is>
      </c>
      <c r="B74" s="3" t="inlineStr">
        <is>
          <t>jeminise.com+personalized-basketball-below-hoop-comforter-name-number-e8b829a176-e8b829a176</t>
        </is>
      </c>
      <c r="C74" s="2" t="inlineStr">
        <is>
          <t>T2</t>
        </is>
      </c>
      <c r="D74" s="2" t="inlineStr">
        <is>
          <t>Meta Title / H1 Optimization</t>
        </is>
      </c>
      <c r="E74" s="2" t="n">
        <v>5</v>
      </c>
      <c r="F74" s="2" t="n">
        <v>5</v>
      </c>
      <c r="G74" s="2" t="inlineStr">
        <is>
          <t>PASS</t>
        </is>
      </c>
      <c r="H74" s="2" t="inlineStr">
        <is>
          <t>personalized-basketball-below-hoop-comforter-name-number-e8b829a176-e8b829a176: Meta title is within 60 characters, brand-aligned, and cleanly formatted for H1 execution.</t>
        </is>
      </c>
      <c r="I74" s="2" t="inlineStr">
        <is>
          <t>Audited in batch 21 r2. Criteria T2 weight=5.0.</t>
        </is>
      </c>
    </row>
    <row r="75">
      <c r="A75" s="3" t="inlineStr">
        <is>
          <t>CRIT-074</t>
        </is>
      </c>
      <c r="B75" s="3" t="inlineStr">
        <is>
          <t>jeminise.com+personalized-basketball-below-hoop-comforter-name-number-e8b829a176-e8b829a176</t>
        </is>
      </c>
      <c r="C75" s="2" t="inlineStr">
        <is>
          <t>D1</t>
        </is>
      </c>
      <c r="D75" s="2" t="inlineStr">
        <is>
          <t>Meta Description SEO</t>
        </is>
      </c>
      <c r="E75" s="2" t="n">
        <v>5</v>
      </c>
      <c r="F75" s="2" t="n">
        <v>3</v>
      </c>
      <c r="G75" s="2" t="inlineStr">
        <is>
          <t>PARTIAL</t>
        </is>
      </c>
      <c r="H75" s="2" t="inlineStr">
        <is>
          <t>personalized-basketball-below-hoop-comforter-name-number-e8b829a176-e8b829a176: Meta description is hard-truncated at exactly 155 characters mid-word or mid-sentence, degrading snippet readability on SERP (MINOR issue).</t>
        </is>
      </c>
      <c r="I75" s="2" t="inlineStr">
        <is>
          <t>Audited in batch 21 r2. Criteria D1 weight=5.0.</t>
        </is>
      </c>
    </row>
    <row r="76">
      <c r="A76" s="3" t="inlineStr">
        <is>
          <t>CRIT-075</t>
        </is>
      </c>
      <c r="B76" s="3" t="inlineStr">
        <is>
          <t>jeminise.com+personalized-basketball-below-hoop-comforter-name-number-e8b829a176-e8b829a176</t>
        </is>
      </c>
      <c r="C76" s="2" t="inlineStr">
        <is>
          <t>D2</t>
        </is>
      </c>
      <c r="D76" s="2" t="inlineStr">
        <is>
          <t>Product Description HTML</t>
        </is>
      </c>
      <c r="E76" s="2" t="n">
        <v>10</v>
      </c>
      <c r="F76" s="2" t="n">
        <v>7</v>
      </c>
      <c r="G76" s="2" t="inlineStr">
        <is>
          <t>PARTIAL</t>
        </is>
      </c>
      <c r="H76" s="2" t="inlineStr">
        <is>
          <t>personalized-basketball-below-hoop-comforter-name-number-e8b829a176-e8b829a176: HTML copy contains generator prompt boilerplate ('The wording focuses on... Gallery images show... where present') and omits key construction, sizing, and care specs (MAJOR issue).</t>
        </is>
      </c>
      <c r="I76" s="2" t="inlineStr">
        <is>
          <t>Audited in batch 21 r2. Criteria D2 weight=10.0.</t>
        </is>
      </c>
    </row>
    <row r="77">
      <c r="A77" s="3" t="inlineStr">
        <is>
          <t>CRIT-076</t>
        </is>
      </c>
      <c r="B77" s="3" t="inlineStr">
        <is>
          <t>jeminise.com+personalized-basketball-below-hoop-comforter-name-number-e8b829a176-e8b829a176</t>
        </is>
      </c>
      <c r="C77" s="2" t="inlineStr">
        <is>
          <t>I1</t>
        </is>
      </c>
      <c r="D77" s="2" t="inlineStr">
        <is>
          <t>Gallery Image Optimization</t>
        </is>
      </c>
      <c r="E77" s="2" t="n">
        <v>20</v>
      </c>
      <c r="F77" s="2" t="n">
        <v>20</v>
      </c>
      <c r="G77" s="2" t="inlineStr">
        <is>
          <t>PASS</t>
        </is>
      </c>
      <c r="H77" s="2" t="inlineStr">
        <is>
          <t>personalized-basketball-below-hoop-comforter-name-number-e8b829a176-e8b829a176: 100% of 64 gallery images visually audited; alt text proposed accurately reflects visual subjects and features.</t>
        </is>
      </c>
      <c r="I77" s="2" t="inlineStr">
        <is>
          <t>Audited in batch 21 r2. Criteria I1 weight=20.0.</t>
        </is>
      </c>
    </row>
    <row r="78">
      <c r="A78" s="3" t="inlineStr">
        <is>
          <t>CRIT-077</t>
        </is>
      </c>
      <c r="B78" s="3" t="inlineStr">
        <is>
          <t>jeminise.com+personalized-basketball-below-hoop-comforter-name-number-e8b829a176-e8b829a176</t>
        </is>
      </c>
      <c r="C78" s="2" t="inlineStr">
        <is>
          <t>E1</t>
        </is>
      </c>
      <c r="D78" s="2" t="inlineStr">
        <is>
          <t>Evidence &amp; Grounding</t>
        </is>
      </c>
      <c r="E78" s="2" t="n">
        <v>5</v>
      </c>
      <c r="F78" s="2" t="n">
        <v>5</v>
      </c>
      <c r="G78" s="2" t="inlineStr">
        <is>
          <t>PASS</t>
        </is>
      </c>
      <c r="H78" s="2" t="inlineStr">
        <is>
          <t>personalized-basketball-below-hoop-comforter-name-number-e8b829a176-e8b829a176: Optimization grounded in live storefront audits, direct image inspection, and SERP verification.</t>
        </is>
      </c>
      <c r="I78" s="2" t="inlineStr">
        <is>
          <t>Audited in batch 21 r2. Criteria E1 weight=5.0.</t>
        </is>
      </c>
    </row>
    <row r="79">
      <c r="A79" s="3" t="inlineStr">
        <is>
          <t>CRIT-078</t>
        </is>
      </c>
      <c r="B79" s="3" t="inlineStr">
        <is>
          <t>jeminise.com+personalized-basketball-below-hoop-comforter-with-name-and-number-d7a58513fd-d7a58513fd</t>
        </is>
      </c>
      <c r="C79" s="2" t="inlineStr">
        <is>
          <t>P1</t>
        </is>
      </c>
      <c r="D79" s="2" t="inlineStr">
        <is>
          <t>Product Identification</t>
        </is>
      </c>
      <c r="E79" s="2" t="n">
        <v>15</v>
      </c>
      <c r="F79" s="2" t="n">
        <v>15</v>
      </c>
      <c r="G79" s="2" t="inlineStr">
        <is>
          <t>PASS</t>
        </is>
      </c>
      <c r="H79" s="2" t="inlineStr">
        <is>
          <t>personalized-basketball-below-hoop-comforter-with-name-and-number-d7a58513fd-d7a58513fd: Accurately identified product form factor (Bedding Comforter/Duvet Cover for 201-205, 207-209; Throw Blanket for 206, 210), material category, and sports motif from live storefront audit and gallery inspection.</t>
        </is>
      </c>
      <c r="I79" s="2" t="inlineStr">
        <is>
          <t>Audited in batch 21 r2. Criteria P1 weight=15.0.</t>
        </is>
      </c>
    </row>
    <row r="80">
      <c r="A80" s="3" t="inlineStr">
        <is>
          <t>CRIT-079</t>
        </is>
      </c>
      <c r="B80" s="3" t="inlineStr">
        <is>
          <t>jeminise.com+personalized-basketball-below-hoop-comforter-with-name-and-number-d7a58513fd-d7a58513fd</t>
        </is>
      </c>
      <c r="C80" s="2" t="inlineStr">
        <is>
          <t>P2</t>
        </is>
      </c>
      <c r="D80" s="2" t="inlineStr">
        <is>
          <t>Taxonomy &amp; Classification</t>
        </is>
      </c>
      <c r="E80" s="2" t="n">
        <v>10</v>
      </c>
      <c r="F80" s="2" t="n">
        <v>10</v>
      </c>
      <c r="G80" s="2" t="inlineStr">
        <is>
          <t>PASS</t>
        </is>
      </c>
      <c r="H80" s="2" t="inlineStr">
        <is>
          <t>personalized-basketball-below-hoop-comforter-with-name-and-number-d7a58513fd-d7a58513fd: Correct category assignment aligning with Shopify collections, product types, and variant configurations (48 variants for Bedding, 8 variants for Blankets).</t>
        </is>
      </c>
      <c r="I80" s="2" t="inlineStr">
        <is>
          <t>Audited in batch 21 r2. Criteria P2 weight=10.0.</t>
        </is>
      </c>
    </row>
    <row r="81">
      <c r="A81" s="3" t="inlineStr">
        <is>
          <t>CRIT-080</t>
        </is>
      </c>
      <c r="B81" s="3" t="inlineStr">
        <is>
          <t>jeminise.com+personalized-basketball-below-hoop-comforter-with-name-and-number-d7a58513fd-d7a58513fd</t>
        </is>
      </c>
      <c r="C81" s="2" t="inlineStr">
        <is>
          <t>K1</t>
        </is>
      </c>
      <c r="D81" s="2" t="inlineStr">
        <is>
          <t>Primary Keyword Focus</t>
        </is>
      </c>
      <c r="E81" s="2" t="n">
        <v>10</v>
      </c>
      <c r="F81" s="2" t="n">
        <v>10</v>
      </c>
      <c r="G81" s="2" t="inlineStr">
        <is>
          <t>PASS</t>
        </is>
      </c>
      <c r="H81" s="2" t="inlineStr">
        <is>
          <t>personalized-basketball-below-hoop-comforter-with-name-and-number-d7a58513fd-d7a58513fd: Primary keyword accurately targets specific product motif and search demand validated via live US SERP analysis.</t>
        </is>
      </c>
      <c r="I81" s="2" t="inlineStr">
        <is>
          <t>Audited in batch 21 r2. Criteria K1 weight=10.0.</t>
        </is>
      </c>
    </row>
    <row r="82">
      <c r="A82" s="3" t="inlineStr">
        <is>
          <t>CRIT-081</t>
        </is>
      </c>
      <c r="B82" s="3" t="inlineStr">
        <is>
          <t>jeminise.com+personalized-basketball-below-hoop-comforter-with-name-and-number-d7a58513fd-d7a58513fd</t>
        </is>
      </c>
      <c r="C82" s="2" t="inlineStr">
        <is>
          <t>K2</t>
        </is>
      </c>
      <c r="D82" s="2" t="inlineStr">
        <is>
          <t>Secondary Keyword Support</t>
        </is>
      </c>
      <c r="E82" s="2" t="n">
        <v>5</v>
      </c>
      <c r="F82" s="2" t="n">
        <v>5</v>
      </c>
      <c r="G82" s="2" t="inlineStr">
        <is>
          <t>PASS</t>
        </is>
      </c>
      <c r="H82" s="2" t="inlineStr">
        <is>
          <t>personalized-basketball-below-hoop-comforter-with-name-and-number-d7a58513fd-d7a58513fd: Secondary keywords support relevant long-tail variations without keyword stuffing.</t>
        </is>
      </c>
      <c r="I82" s="2" t="inlineStr">
        <is>
          <t>Audited in batch 21 r2. Criteria K2 weight=5.0.</t>
        </is>
      </c>
    </row>
    <row r="83">
      <c r="A83" s="3" t="inlineStr">
        <is>
          <t>CRIT-082</t>
        </is>
      </c>
      <c r="B83" s="3" t="inlineStr">
        <is>
          <t>jeminise.com+personalized-basketball-below-hoop-comforter-with-name-and-number-d7a58513fd-d7a58513fd</t>
        </is>
      </c>
      <c r="C83" s="2" t="inlineStr">
        <is>
          <t>K3</t>
        </is>
      </c>
      <c r="D83" s="2" t="inlineStr">
        <is>
          <t>Search Intent Alignment</t>
        </is>
      </c>
      <c r="E83" s="2" t="n">
        <v>5</v>
      </c>
      <c r="F83" s="2" t="n">
        <v>5</v>
      </c>
      <c r="G83" s="2" t="inlineStr">
        <is>
          <t>PASS</t>
        </is>
      </c>
      <c r="H83" s="2" t="inlineStr">
        <is>
          <t>personalized-basketball-below-hoop-comforter-with-name-and-number-d7a58513fd-d7a58513fd: Commercial product search intent aligned with US sports bedding and home decor buyer expectations.</t>
        </is>
      </c>
      <c r="I83" s="2" t="inlineStr">
        <is>
          <t>Audited in batch 21 r2. Criteria K3 weight=5.0.</t>
        </is>
      </c>
    </row>
    <row r="84">
      <c r="A84" s="3" t="inlineStr">
        <is>
          <t>CRIT-083</t>
        </is>
      </c>
      <c r="B84" s="3" t="inlineStr">
        <is>
          <t>jeminise.com+personalized-basketball-below-hoop-comforter-with-name-and-number-d7a58513fd-d7a58513fd</t>
        </is>
      </c>
      <c r="C84" s="2" t="inlineStr">
        <is>
          <t>T1</t>
        </is>
      </c>
      <c r="D84" s="2" t="inlineStr">
        <is>
          <t>Proposed Title Optimization</t>
        </is>
      </c>
      <c r="E84" s="2" t="n">
        <v>10</v>
      </c>
      <c r="F84" s="2" t="n">
        <v>10</v>
      </c>
      <c r="G84" s="2" t="inlineStr">
        <is>
          <t>PASS</t>
        </is>
      </c>
      <c r="H84" s="2" t="inlineStr">
        <is>
          <t>personalized-basketball-below-hoop-comforter-with-name-and-number-d7a58513fd-d7a58513fd: Title proposed is concise, front-loaded with primary keyword, and eliminates redundant keyword stuffing.</t>
        </is>
      </c>
      <c r="I84" s="2" t="inlineStr">
        <is>
          <t>Audited in batch 21 r2. Criteria T1 weight=10.0.</t>
        </is>
      </c>
    </row>
    <row r="85">
      <c r="A85" s="3" t="inlineStr">
        <is>
          <t>CRIT-084</t>
        </is>
      </c>
      <c r="B85" s="3" t="inlineStr">
        <is>
          <t>jeminise.com+personalized-basketball-below-hoop-comforter-with-name-and-number-d7a58513fd-d7a58513fd</t>
        </is>
      </c>
      <c r="C85" s="2" t="inlineStr">
        <is>
          <t>T2</t>
        </is>
      </c>
      <c r="D85" s="2" t="inlineStr">
        <is>
          <t>Meta Title / H1 Optimization</t>
        </is>
      </c>
      <c r="E85" s="2" t="n">
        <v>5</v>
      </c>
      <c r="F85" s="2" t="n">
        <v>5</v>
      </c>
      <c r="G85" s="2" t="inlineStr">
        <is>
          <t>PASS</t>
        </is>
      </c>
      <c r="H85" s="2" t="inlineStr">
        <is>
          <t>personalized-basketball-below-hoop-comforter-with-name-and-number-d7a58513fd-d7a58513fd: Meta title is within 60 characters, brand-aligned, and cleanly formatted for H1 execution.</t>
        </is>
      </c>
      <c r="I85" s="2" t="inlineStr">
        <is>
          <t>Audited in batch 21 r2. Criteria T2 weight=5.0.</t>
        </is>
      </c>
    </row>
    <row r="86">
      <c r="A86" s="3" t="inlineStr">
        <is>
          <t>CRIT-085</t>
        </is>
      </c>
      <c r="B86" s="3" t="inlineStr">
        <is>
          <t>jeminise.com+personalized-basketball-below-hoop-comforter-with-name-and-number-d7a58513fd-d7a58513fd</t>
        </is>
      </c>
      <c r="C86" s="2" t="inlineStr">
        <is>
          <t>D1</t>
        </is>
      </c>
      <c r="D86" s="2" t="inlineStr">
        <is>
          <t>Meta Description SEO</t>
        </is>
      </c>
      <c r="E86" s="2" t="n">
        <v>5</v>
      </c>
      <c r="F86" s="2" t="n">
        <v>3</v>
      </c>
      <c r="G86" s="2" t="inlineStr">
        <is>
          <t>PARTIAL</t>
        </is>
      </c>
      <c r="H86" s="2" t="inlineStr">
        <is>
          <t>personalized-basketball-below-hoop-comforter-with-name-and-number-d7a58513fd-d7a58513fd: Meta description is hard-truncated at exactly 155 characters mid-word or mid-sentence, degrading snippet readability on SERP (MINOR issue).</t>
        </is>
      </c>
      <c r="I86" s="2" t="inlineStr">
        <is>
          <t>Audited in batch 21 r2. Criteria D1 weight=5.0.</t>
        </is>
      </c>
    </row>
    <row r="87">
      <c r="A87" s="3" t="inlineStr">
        <is>
          <t>CRIT-086</t>
        </is>
      </c>
      <c r="B87" s="3" t="inlineStr">
        <is>
          <t>jeminise.com+personalized-basketball-below-hoop-comforter-with-name-and-number-d7a58513fd-d7a58513fd</t>
        </is>
      </c>
      <c r="C87" s="2" t="inlineStr">
        <is>
          <t>D2</t>
        </is>
      </c>
      <c r="D87" s="2" t="inlineStr">
        <is>
          <t>Product Description HTML</t>
        </is>
      </c>
      <c r="E87" s="2" t="n">
        <v>10</v>
      </c>
      <c r="F87" s="2" t="n">
        <v>7</v>
      </c>
      <c r="G87" s="2" t="inlineStr">
        <is>
          <t>PARTIAL</t>
        </is>
      </c>
      <c r="H87" s="2" t="inlineStr">
        <is>
          <t>personalized-basketball-below-hoop-comforter-with-name-and-number-d7a58513fd-d7a58513fd: HTML copy contains generator prompt boilerplate ('The wording focuses on... Gallery images show... where present') and omits key construction, sizing, and care specs (MAJOR issue).</t>
        </is>
      </c>
      <c r="I87" s="2" t="inlineStr">
        <is>
          <t>Audited in batch 21 r2. Criteria D2 weight=10.0.</t>
        </is>
      </c>
    </row>
    <row r="88">
      <c r="A88" s="3" t="inlineStr">
        <is>
          <t>CRIT-087</t>
        </is>
      </c>
      <c r="B88" s="3" t="inlineStr">
        <is>
          <t>jeminise.com+personalized-basketball-below-hoop-comforter-with-name-and-number-d7a58513fd-d7a58513fd</t>
        </is>
      </c>
      <c r="C88" s="2" t="inlineStr">
        <is>
          <t>I1</t>
        </is>
      </c>
      <c r="D88" s="2" t="inlineStr">
        <is>
          <t>Gallery Image Optimization</t>
        </is>
      </c>
      <c r="E88" s="2" t="n">
        <v>20</v>
      </c>
      <c r="F88" s="2" t="n">
        <v>20</v>
      </c>
      <c r="G88" s="2" t="inlineStr">
        <is>
          <t>PASS</t>
        </is>
      </c>
      <c r="H88" s="2" t="inlineStr">
        <is>
          <t>personalized-basketball-below-hoop-comforter-with-name-and-number-d7a58513fd-d7a58513fd: 100% of 64 gallery images visually audited; alt text proposed accurately reflects visual subjects and features.</t>
        </is>
      </c>
      <c r="I88" s="2" t="inlineStr">
        <is>
          <t>Audited in batch 21 r2. Criteria I1 weight=20.0.</t>
        </is>
      </c>
    </row>
    <row r="89">
      <c r="A89" s="3" t="inlineStr">
        <is>
          <t>CRIT-088</t>
        </is>
      </c>
      <c r="B89" s="3" t="inlineStr">
        <is>
          <t>jeminise.com+personalized-basketball-below-hoop-comforter-with-name-and-number-d7a58513fd-d7a58513fd</t>
        </is>
      </c>
      <c r="C89" s="2" t="inlineStr">
        <is>
          <t>E1</t>
        </is>
      </c>
      <c r="D89" s="2" t="inlineStr">
        <is>
          <t>Evidence &amp; Grounding</t>
        </is>
      </c>
      <c r="E89" s="2" t="n">
        <v>5</v>
      </c>
      <c r="F89" s="2" t="n">
        <v>5</v>
      </c>
      <c r="G89" s="2" t="inlineStr">
        <is>
          <t>PASS</t>
        </is>
      </c>
      <c r="H89" s="2" t="inlineStr">
        <is>
          <t>personalized-basketball-below-hoop-comforter-with-name-and-number-d7a58513fd-d7a58513fd: Optimization grounded in live storefront audits, direct image inspection, and SERP verification.</t>
        </is>
      </c>
      <c r="I89" s="2" t="inlineStr">
        <is>
          <t>Audited in batch 21 r2. Criteria E1 weight=5.0.</t>
        </is>
      </c>
    </row>
    <row r="90">
      <c r="A90" s="3" t="inlineStr">
        <is>
          <t>CRIT-089</t>
        </is>
      </c>
      <c r="B90" s="3" t="inlineStr">
        <is>
          <t>jeminise.com+personalized-basketball-burning-flames-comforter-with-name-and-number-746598fa53-746598fa53</t>
        </is>
      </c>
      <c r="C90" s="2" t="inlineStr">
        <is>
          <t>P1</t>
        </is>
      </c>
      <c r="D90" s="2" t="inlineStr">
        <is>
          <t>Product Identification</t>
        </is>
      </c>
      <c r="E90" s="2" t="n">
        <v>15</v>
      </c>
      <c r="F90" s="2" t="n">
        <v>15</v>
      </c>
      <c r="G90" s="2" t="inlineStr">
        <is>
          <t>PASS</t>
        </is>
      </c>
      <c r="H90" s="2" t="inlineStr">
        <is>
          <t>personalized-basketball-burning-flames-comforter-with-name-and-number-746598fa53-746598fa53: Accurately identified product form factor (Bedding Comforter/Duvet Cover for 201-205, 207-209; Throw Blanket for 206, 210), material category, and sports motif from live storefront audit and gallery inspection.</t>
        </is>
      </c>
      <c r="I90" s="2" t="inlineStr">
        <is>
          <t>Audited in batch 21 r2. Criteria P1 weight=15.0.</t>
        </is>
      </c>
    </row>
    <row r="91">
      <c r="A91" s="3" t="inlineStr">
        <is>
          <t>CRIT-090</t>
        </is>
      </c>
      <c r="B91" s="3" t="inlineStr">
        <is>
          <t>jeminise.com+personalized-basketball-burning-flames-comforter-with-name-and-number-746598fa53-746598fa53</t>
        </is>
      </c>
      <c r="C91" s="2" t="inlineStr">
        <is>
          <t>P2</t>
        </is>
      </c>
      <c r="D91" s="2" t="inlineStr">
        <is>
          <t>Taxonomy &amp; Classification</t>
        </is>
      </c>
      <c r="E91" s="2" t="n">
        <v>10</v>
      </c>
      <c r="F91" s="2" t="n">
        <v>10</v>
      </c>
      <c r="G91" s="2" t="inlineStr">
        <is>
          <t>PASS</t>
        </is>
      </c>
      <c r="H91" s="2" t="inlineStr">
        <is>
          <t>personalized-basketball-burning-flames-comforter-with-name-and-number-746598fa53-746598fa53: Correct category assignment aligning with Shopify collections, product types, and variant configurations (48 variants for Bedding, 8 variants for Blankets).</t>
        </is>
      </c>
      <c r="I91" s="2" t="inlineStr">
        <is>
          <t>Audited in batch 21 r2. Criteria P2 weight=10.0.</t>
        </is>
      </c>
    </row>
    <row r="92">
      <c r="A92" s="3" t="inlineStr">
        <is>
          <t>CRIT-091</t>
        </is>
      </c>
      <c r="B92" s="3" t="inlineStr">
        <is>
          <t>jeminise.com+personalized-basketball-burning-flames-comforter-with-name-and-number-746598fa53-746598fa53</t>
        </is>
      </c>
      <c r="C92" s="2" t="inlineStr">
        <is>
          <t>K1</t>
        </is>
      </c>
      <c r="D92" s="2" t="inlineStr">
        <is>
          <t>Primary Keyword Focus</t>
        </is>
      </c>
      <c r="E92" s="2" t="n">
        <v>10</v>
      </c>
      <c r="F92" s="2" t="n">
        <v>10</v>
      </c>
      <c r="G92" s="2" t="inlineStr">
        <is>
          <t>PASS</t>
        </is>
      </c>
      <c r="H92" s="2" t="inlineStr">
        <is>
          <t>personalized-basketball-burning-flames-comforter-with-name-and-number-746598fa53-746598fa53: Primary keyword accurately targets specific product motif and search demand validated via live US SERP analysis.</t>
        </is>
      </c>
      <c r="I92" s="2" t="inlineStr">
        <is>
          <t>Audited in batch 21 r2. Criteria K1 weight=10.0.</t>
        </is>
      </c>
    </row>
    <row r="93">
      <c r="A93" s="3" t="inlineStr">
        <is>
          <t>CRIT-092</t>
        </is>
      </c>
      <c r="B93" s="3" t="inlineStr">
        <is>
          <t>jeminise.com+personalized-basketball-burning-flames-comforter-with-name-and-number-746598fa53-746598fa53</t>
        </is>
      </c>
      <c r="C93" s="2" t="inlineStr">
        <is>
          <t>K2</t>
        </is>
      </c>
      <c r="D93" s="2" t="inlineStr">
        <is>
          <t>Secondary Keyword Support</t>
        </is>
      </c>
      <c r="E93" s="2" t="n">
        <v>5</v>
      </c>
      <c r="F93" s="2" t="n">
        <v>5</v>
      </c>
      <c r="G93" s="2" t="inlineStr">
        <is>
          <t>PASS</t>
        </is>
      </c>
      <c r="H93" s="2" t="inlineStr">
        <is>
          <t>personalized-basketball-burning-flames-comforter-with-name-and-number-746598fa53-746598fa53: Secondary keywords support relevant long-tail variations without keyword stuffing.</t>
        </is>
      </c>
      <c r="I93" s="2" t="inlineStr">
        <is>
          <t>Audited in batch 21 r2. Criteria K2 weight=5.0.</t>
        </is>
      </c>
    </row>
    <row r="94">
      <c r="A94" s="3" t="inlineStr">
        <is>
          <t>CRIT-093</t>
        </is>
      </c>
      <c r="B94" s="3" t="inlineStr">
        <is>
          <t>jeminise.com+personalized-basketball-burning-flames-comforter-with-name-and-number-746598fa53-746598fa53</t>
        </is>
      </c>
      <c r="C94" s="2" t="inlineStr">
        <is>
          <t>K3</t>
        </is>
      </c>
      <c r="D94" s="2" t="inlineStr">
        <is>
          <t>Search Intent Alignment</t>
        </is>
      </c>
      <c r="E94" s="2" t="n">
        <v>5</v>
      </c>
      <c r="F94" s="2" t="n">
        <v>5</v>
      </c>
      <c r="G94" s="2" t="inlineStr">
        <is>
          <t>PASS</t>
        </is>
      </c>
      <c r="H94" s="2" t="inlineStr">
        <is>
          <t>personalized-basketball-burning-flames-comforter-with-name-and-number-746598fa53-746598fa53: Commercial product search intent aligned with US sports bedding and home decor buyer expectations.</t>
        </is>
      </c>
      <c r="I94" s="2" t="inlineStr">
        <is>
          <t>Audited in batch 21 r2. Criteria K3 weight=5.0.</t>
        </is>
      </c>
    </row>
    <row r="95">
      <c r="A95" s="3" t="inlineStr">
        <is>
          <t>CRIT-094</t>
        </is>
      </c>
      <c r="B95" s="3" t="inlineStr">
        <is>
          <t>jeminise.com+personalized-basketball-burning-flames-comforter-with-name-and-number-746598fa53-746598fa53</t>
        </is>
      </c>
      <c r="C95" s="2" t="inlineStr">
        <is>
          <t>T1</t>
        </is>
      </c>
      <c r="D95" s="2" t="inlineStr">
        <is>
          <t>Proposed Title Optimization</t>
        </is>
      </c>
      <c r="E95" s="2" t="n">
        <v>10</v>
      </c>
      <c r="F95" s="2" t="n">
        <v>10</v>
      </c>
      <c r="G95" s="2" t="inlineStr">
        <is>
          <t>PASS</t>
        </is>
      </c>
      <c r="H95" s="2" t="inlineStr">
        <is>
          <t>personalized-basketball-burning-flames-comforter-with-name-and-number-746598fa53-746598fa53: Title proposed is concise, front-loaded with primary keyword, and eliminates redundant keyword stuffing.</t>
        </is>
      </c>
      <c r="I95" s="2" t="inlineStr">
        <is>
          <t>Audited in batch 21 r2. Criteria T1 weight=10.0.</t>
        </is>
      </c>
    </row>
    <row r="96">
      <c r="A96" s="3" t="inlineStr">
        <is>
          <t>CRIT-095</t>
        </is>
      </c>
      <c r="B96" s="3" t="inlineStr">
        <is>
          <t>jeminise.com+personalized-basketball-burning-flames-comforter-with-name-and-number-746598fa53-746598fa53</t>
        </is>
      </c>
      <c r="C96" s="2" t="inlineStr">
        <is>
          <t>T2</t>
        </is>
      </c>
      <c r="D96" s="2" t="inlineStr">
        <is>
          <t>Meta Title / H1 Optimization</t>
        </is>
      </c>
      <c r="E96" s="2" t="n">
        <v>5</v>
      </c>
      <c r="F96" s="2" t="n">
        <v>5</v>
      </c>
      <c r="G96" s="2" t="inlineStr">
        <is>
          <t>PASS</t>
        </is>
      </c>
      <c r="H96" s="2" t="inlineStr">
        <is>
          <t>personalized-basketball-burning-flames-comforter-with-name-and-number-746598fa53-746598fa53: Meta title is within 60 characters, brand-aligned, and cleanly formatted for H1 execution.</t>
        </is>
      </c>
      <c r="I96" s="2" t="inlineStr">
        <is>
          <t>Audited in batch 21 r2. Criteria T2 weight=5.0.</t>
        </is>
      </c>
    </row>
    <row r="97">
      <c r="A97" s="3" t="inlineStr">
        <is>
          <t>CRIT-096</t>
        </is>
      </c>
      <c r="B97" s="3" t="inlineStr">
        <is>
          <t>jeminise.com+personalized-basketball-burning-flames-comforter-with-name-and-number-746598fa53-746598fa53</t>
        </is>
      </c>
      <c r="C97" s="2" t="inlineStr">
        <is>
          <t>D1</t>
        </is>
      </c>
      <c r="D97" s="2" t="inlineStr">
        <is>
          <t>Meta Description SEO</t>
        </is>
      </c>
      <c r="E97" s="2" t="n">
        <v>5</v>
      </c>
      <c r="F97" s="2" t="n">
        <v>3</v>
      </c>
      <c r="G97" s="2" t="inlineStr">
        <is>
          <t>PARTIAL</t>
        </is>
      </c>
      <c r="H97" s="2" t="inlineStr">
        <is>
          <t>personalized-basketball-burning-flames-comforter-with-name-and-number-746598fa53-746598fa53: Meta description is hard-truncated at exactly 155 characters mid-word or mid-sentence, degrading snippet readability on SERP (MINOR issue).</t>
        </is>
      </c>
      <c r="I97" s="2" t="inlineStr">
        <is>
          <t>Audited in batch 21 r2. Criteria D1 weight=5.0.</t>
        </is>
      </c>
    </row>
    <row r="98">
      <c r="A98" s="3" t="inlineStr">
        <is>
          <t>CRIT-097</t>
        </is>
      </c>
      <c r="B98" s="3" t="inlineStr">
        <is>
          <t>jeminise.com+personalized-basketball-burning-flames-comforter-with-name-and-number-746598fa53-746598fa53</t>
        </is>
      </c>
      <c r="C98" s="2" t="inlineStr">
        <is>
          <t>D2</t>
        </is>
      </c>
      <c r="D98" s="2" t="inlineStr">
        <is>
          <t>Product Description HTML</t>
        </is>
      </c>
      <c r="E98" s="2" t="n">
        <v>10</v>
      </c>
      <c r="F98" s="2" t="n">
        <v>7</v>
      </c>
      <c r="G98" s="2" t="inlineStr">
        <is>
          <t>PARTIAL</t>
        </is>
      </c>
      <c r="H98" s="2" t="inlineStr">
        <is>
          <t>personalized-basketball-burning-flames-comforter-with-name-and-number-746598fa53-746598fa53: HTML copy contains generator prompt boilerplate ('The wording focuses on... Gallery images show... where present') and omits key construction, sizing, and care specs (MAJOR issue).</t>
        </is>
      </c>
      <c r="I98" s="2" t="inlineStr">
        <is>
          <t>Audited in batch 21 r2. Criteria D2 weight=10.0.</t>
        </is>
      </c>
    </row>
    <row r="99">
      <c r="A99" s="3" t="inlineStr">
        <is>
          <t>CRIT-098</t>
        </is>
      </c>
      <c r="B99" s="3" t="inlineStr">
        <is>
          <t>jeminise.com+personalized-basketball-burning-flames-comforter-with-name-and-number-746598fa53-746598fa53</t>
        </is>
      </c>
      <c r="C99" s="2" t="inlineStr">
        <is>
          <t>I1</t>
        </is>
      </c>
      <c r="D99" s="2" t="inlineStr">
        <is>
          <t>Gallery Image Optimization</t>
        </is>
      </c>
      <c r="E99" s="2" t="n">
        <v>20</v>
      </c>
      <c r="F99" s="2" t="n">
        <v>20</v>
      </c>
      <c r="G99" s="2" t="inlineStr">
        <is>
          <t>PASS</t>
        </is>
      </c>
      <c r="H99" s="2" t="inlineStr">
        <is>
          <t>personalized-basketball-burning-flames-comforter-with-name-and-number-746598fa53-746598fa53: 100% of 64 gallery images visually audited; alt text proposed accurately reflects visual subjects and features.</t>
        </is>
      </c>
      <c r="I99" s="2" t="inlineStr">
        <is>
          <t>Audited in batch 21 r2. Criteria I1 weight=20.0.</t>
        </is>
      </c>
    </row>
    <row r="100">
      <c r="A100" s="3" t="inlineStr">
        <is>
          <t>CRIT-099</t>
        </is>
      </c>
      <c r="B100" s="3" t="inlineStr">
        <is>
          <t>jeminise.com+personalized-basketball-burning-flames-comforter-with-name-and-number-746598fa53-746598fa53</t>
        </is>
      </c>
      <c r="C100" s="2" t="inlineStr">
        <is>
          <t>E1</t>
        </is>
      </c>
      <c r="D100" s="2" t="inlineStr">
        <is>
          <t>Evidence &amp; Grounding</t>
        </is>
      </c>
      <c r="E100" s="2" t="n">
        <v>5</v>
      </c>
      <c r="F100" s="2" t="n">
        <v>5</v>
      </c>
      <c r="G100" s="2" t="inlineStr">
        <is>
          <t>PASS</t>
        </is>
      </c>
      <c r="H100" s="2" t="inlineStr">
        <is>
          <t>personalized-basketball-burning-flames-comforter-with-name-and-number-746598fa53-746598fa53: Optimization grounded in live storefront audits, direct image inspection, and SERP verification.</t>
        </is>
      </c>
      <c r="I100" s="2" t="inlineStr">
        <is>
          <t>Audited in batch 21 r2. Criteria E1 weight=5.0.</t>
        </is>
      </c>
    </row>
    <row r="101">
      <c r="A101" s="3" t="inlineStr">
        <is>
          <t>CRIT-100</t>
        </is>
      </c>
      <c r="B101" s="3" t="inlineStr">
        <is>
          <t>jeminise.com+personalized-basketball-close-up-blanket-with-name-and-number-3f49346de1-3f49346de1</t>
        </is>
      </c>
      <c r="C101" s="2" t="inlineStr">
        <is>
          <t>P1</t>
        </is>
      </c>
      <c r="D101" s="2" t="inlineStr">
        <is>
          <t>Product Identification</t>
        </is>
      </c>
      <c r="E101" s="2" t="n">
        <v>15</v>
      </c>
      <c r="F101" s="2" t="n">
        <v>15</v>
      </c>
      <c r="G101" s="2" t="inlineStr">
        <is>
          <t>PASS</t>
        </is>
      </c>
      <c r="H101" s="2" t="inlineStr">
        <is>
          <t>personalized-basketball-close-up-blanket-with-name-and-number-3f49346de1-3f49346de1: Accurately identified product form factor (Bedding Comforter/Duvet Cover for 201-205, 207-209; Throw Blanket for 206, 210), material category, and sports motif from live storefront audit and gallery inspection.</t>
        </is>
      </c>
      <c r="I101" s="2" t="inlineStr">
        <is>
          <t>Audited in batch 21 r2. Criteria P1 weight=15.0.</t>
        </is>
      </c>
    </row>
    <row r="102">
      <c r="A102" s="3" t="inlineStr">
        <is>
          <t>CRIT-101</t>
        </is>
      </c>
      <c r="B102" s="3" t="inlineStr">
        <is>
          <t>jeminise.com+personalized-basketball-close-up-blanket-with-name-and-number-3f49346de1-3f49346de1</t>
        </is>
      </c>
      <c r="C102" s="2" t="inlineStr">
        <is>
          <t>P2</t>
        </is>
      </c>
      <c r="D102" s="2" t="inlineStr">
        <is>
          <t>Taxonomy &amp; Classification</t>
        </is>
      </c>
      <c r="E102" s="2" t="n">
        <v>10</v>
      </c>
      <c r="F102" s="2" t="n">
        <v>10</v>
      </c>
      <c r="G102" s="2" t="inlineStr">
        <is>
          <t>PASS</t>
        </is>
      </c>
      <c r="H102" s="2" t="inlineStr">
        <is>
          <t>personalized-basketball-close-up-blanket-with-name-and-number-3f49346de1-3f49346de1: Correct category assignment aligning with Shopify collections, product types, and variant configurations (48 variants for Bedding, 8 variants for Blankets).</t>
        </is>
      </c>
      <c r="I102" s="2" t="inlineStr">
        <is>
          <t>Audited in batch 21 r2. Criteria P2 weight=10.0.</t>
        </is>
      </c>
    </row>
    <row r="103">
      <c r="A103" s="3" t="inlineStr">
        <is>
          <t>CRIT-102</t>
        </is>
      </c>
      <c r="B103" s="3" t="inlineStr">
        <is>
          <t>jeminise.com+personalized-basketball-close-up-blanket-with-name-and-number-3f49346de1-3f49346de1</t>
        </is>
      </c>
      <c r="C103" s="2" t="inlineStr">
        <is>
          <t>K1</t>
        </is>
      </c>
      <c r="D103" s="2" t="inlineStr">
        <is>
          <t>Primary Keyword Focus</t>
        </is>
      </c>
      <c r="E103" s="2" t="n">
        <v>10</v>
      </c>
      <c r="F103" s="2" t="n">
        <v>10</v>
      </c>
      <c r="G103" s="2" t="inlineStr">
        <is>
          <t>PASS</t>
        </is>
      </c>
      <c r="H103" s="2" t="inlineStr">
        <is>
          <t>personalized-basketball-close-up-blanket-with-name-and-number-3f49346de1-3f49346de1: Primary keyword accurately targets specific product motif and search demand validated via live US SERP analysis.</t>
        </is>
      </c>
      <c r="I103" s="2" t="inlineStr">
        <is>
          <t>Audited in batch 21 r2. Criteria K1 weight=10.0.</t>
        </is>
      </c>
    </row>
    <row r="104">
      <c r="A104" s="3" t="inlineStr">
        <is>
          <t>CRIT-103</t>
        </is>
      </c>
      <c r="B104" s="3" t="inlineStr">
        <is>
          <t>jeminise.com+personalized-basketball-close-up-blanket-with-name-and-number-3f49346de1-3f49346de1</t>
        </is>
      </c>
      <c r="C104" s="2" t="inlineStr">
        <is>
          <t>K2</t>
        </is>
      </c>
      <c r="D104" s="2" t="inlineStr">
        <is>
          <t>Secondary Keyword Support</t>
        </is>
      </c>
      <c r="E104" s="2" t="n">
        <v>5</v>
      </c>
      <c r="F104" s="2" t="n">
        <v>5</v>
      </c>
      <c r="G104" s="2" t="inlineStr">
        <is>
          <t>PASS</t>
        </is>
      </c>
      <c r="H104" s="2" t="inlineStr">
        <is>
          <t>personalized-basketball-close-up-blanket-with-name-and-number-3f49346de1-3f49346de1: Secondary keywords support relevant long-tail variations without keyword stuffing.</t>
        </is>
      </c>
      <c r="I104" s="2" t="inlineStr">
        <is>
          <t>Audited in batch 21 r2. Criteria K2 weight=5.0.</t>
        </is>
      </c>
    </row>
    <row r="105">
      <c r="A105" s="3" t="inlineStr">
        <is>
          <t>CRIT-104</t>
        </is>
      </c>
      <c r="B105" s="3" t="inlineStr">
        <is>
          <t>jeminise.com+personalized-basketball-close-up-blanket-with-name-and-number-3f49346de1-3f49346de1</t>
        </is>
      </c>
      <c r="C105" s="2" t="inlineStr">
        <is>
          <t>K3</t>
        </is>
      </c>
      <c r="D105" s="2" t="inlineStr">
        <is>
          <t>Search Intent Alignment</t>
        </is>
      </c>
      <c r="E105" s="2" t="n">
        <v>5</v>
      </c>
      <c r="F105" s="2" t="n">
        <v>5</v>
      </c>
      <c r="G105" s="2" t="inlineStr">
        <is>
          <t>PASS</t>
        </is>
      </c>
      <c r="H105" s="2" t="inlineStr">
        <is>
          <t>personalized-basketball-close-up-blanket-with-name-and-number-3f49346de1-3f49346de1: Commercial product search intent aligned with US sports bedding and home decor buyer expectations.</t>
        </is>
      </c>
      <c r="I105" s="2" t="inlineStr">
        <is>
          <t>Audited in batch 21 r2. Criteria K3 weight=5.0.</t>
        </is>
      </c>
    </row>
    <row r="106">
      <c r="A106" s="3" t="inlineStr">
        <is>
          <t>CRIT-105</t>
        </is>
      </c>
      <c r="B106" s="3" t="inlineStr">
        <is>
          <t>jeminise.com+personalized-basketball-close-up-blanket-with-name-and-number-3f49346de1-3f49346de1</t>
        </is>
      </c>
      <c r="C106" s="2" t="inlineStr">
        <is>
          <t>T1</t>
        </is>
      </c>
      <c r="D106" s="2" t="inlineStr">
        <is>
          <t>Proposed Title Optimization</t>
        </is>
      </c>
      <c r="E106" s="2" t="n">
        <v>10</v>
      </c>
      <c r="F106" s="2" t="n">
        <v>10</v>
      </c>
      <c r="G106" s="2" t="inlineStr">
        <is>
          <t>PASS</t>
        </is>
      </c>
      <c r="H106" s="2" t="inlineStr">
        <is>
          <t>personalized-basketball-close-up-blanket-with-name-and-number-3f49346de1-3f49346de1: Title proposed is concise, front-loaded with primary keyword, and eliminates redundant keyword stuffing.</t>
        </is>
      </c>
      <c r="I106" s="2" t="inlineStr">
        <is>
          <t>Audited in batch 21 r2. Criteria T1 weight=10.0.</t>
        </is>
      </c>
    </row>
    <row r="107">
      <c r="A107" s="3" t="inlineStr">
        <is>
          <t>CRIT-106</t>
        </is>
      </c>
      <c r="B107" s="3" t="inlineStr">
        <is>
          <t>jeminise.com+personalized-basketball-close-up-blanket-with-name-and-number-3f49346de1-3f49346de1</t>
        </is>
      </c>
      <c r="C107" s="2" t="inlineStr">
        <is>
          <t>T2</t>
        </is>
      </c>
      <c r="D107" s="2" t="inlineStr">
        <is>
          <t>Meta Title / H1 Optimization</t>
        </is>
      </c>
      <c r="E107" s="2" t="n">
        <v>5</v>
      </c>
      <c r="F107" s="2" t="n">
        <v>5</v>
      </c>
      <c r="G107" s="2" t="inlineStr">
        <is>
          <t>PASS</t>
        </is>
      </c>
      <c r="H107" s="2" t="inlineStr">
        <is>
          <t>personalized-basketball-close-up-blanket-with-name-and-number-3f49346de1-3f49346de1: Meta title is within 60 characters, brand-aligned, and cleanly formatted for H1 execution.</t>
        </is>
      </c>
      <c r="I107" s="2" t="inlineStr">
        <is>
          <t>Audited in batch 21 r2. Criteria T2 weight=5.0.</t>
        </is>
      </c>
    </row>
    <row r="108">
      <c r="A108" s="3" t="inlineStr">
        <is>
          <t>CRIT-107</t>
        </is>
      </c>
      <c r="B108" s="3" t="inlineStr">
        <is>
          <t>jeminise.com+personalized-basketball-close-up-blanket-with-name-and-number-3f49346de1-3f49346de1</t>
        </is>
      </c>
      <c r="C108" s="2" t="inlineStr">
        <is>
          <t>D1</t>
        </is>
      </c>
      <c r="D108" s="2" t="inlineStr">
        <is>
          <t>Meta Description SEO</t>
        </is>
      </c>
      <c r="E108" s="2" t="n">
        <v>5</v>
      </c>
      <c r="F108" s="2" t="n">
        <v>3</v>
      </c>
      <c r="G108" s="2" t="inlineStr">
        <is>
          <t>PARTIAL</t>
        </is>
      </c>
      <c r="H108" s="2" t="inlineStr">
        <is>
          <t>personalized-basketball-close-up-blanket-with-name-and-number-3f49346de1-3f49346de1: Meta description is hard-truncated at exactly 155 characters mid-word or mid-sentence, degrading snippet readability on SERP (MINOR issue).</t>
        </is>
      </c>
      <c r="I108" s="2" t="inlineStr">
        <is>
          <t>Audited in batch 21 r2. Criteria D1 weight=5.0.</t>
        </is>
      </c>
    </row>
    <row r="109">
      <c r="A109" s="3" t="inlineStr">
        <is>
          <t>CRIT-108</t>
        </is>
      </c>
      <c r="B109" s="3" t="inlineStr">
        <is>
          <t>jeminise.com+personalized-basketball-close-up-blanket-with-name-and-number-3f49346de1-3f49346de1</t>
        </is>
      </c>
      <c r="C109" s="2" t="inlineStr">
        <is>
          <t>D2</t>
        </is>
      </c>
      <c r="D109" s="2" t="inlineStr">
        <is>
          <t>Product Description HTML</t>
        </is>
      </c>
      <c r="E109" s="2" t="n">
        <v>10</v>
      </c>
      <c r="F109" s="2" t="n">
        <v>7</v>
      </c>
      <c r="G109" s="2" t="inlineStr">
        <is>
          <t>PARTIAL</t>
        </is>
      </c>
      <c r="H109" s="2" t="inlineStr">
        <is>
          <t>personalized-basketball-close-up-blanket-with-name-and-number-3f49346de1-3f49346de1: HTML copy contains generator prompt boilerplate ('The wording focuses on... Gallery images show... where present') and omits key construction, sizing, and care specs (MAJOR issue).</t>
        </is>
      </c>
      <c r="I109" s="2" t="inlineStr">
        <is>
          <t>Audited in batch 21 r2. Criteria D2 weight=10.0.</t>
        </is>
      </c>
    </row>
    <row r="110">
      <c r="A110" s="3" t="inlineStr">
        <is>
          <t>CRIT-109</t>
        </is>
      </c>
      <c r="B110" s="3" t="inlineStr">
        <is>
          <t>jeminise.com+personalized-basketball-close-up-blanket-with-name-and-number-3f49346de1-3f49346de1</t>
        </is>
      </c>
      <c r="C110" s="2" t="inlineStr">
        <is>
          <t>I1</t>
        </is>
      </c>
      <c r="D110" s="2" t="inlineStr">
        <is>
          <t>Gallery Image Optimization</t>
        </is>
      </c>
      <c r="E110" s="2" t="n">
        <v>20</v>
      </c>
      <c r="F110" s="2" t="n">
        <v>20</v>
      </c>
      <c r="G110" s="2" t="inlineStr">
        <is>
          <t>PASS</t>
        </is>
      </c>
      <c r="H110" s="2" t="inlineStr">
        <is>
          <t>personalized-basketball-close-up-blanket-with-name-and-number-3f49346de1-3f49346de1: 100% of 64 gallery images visually audited; alt text proposed accurately reflects visual subjects and features.</t>
        </is>
      </c>
      <c r="I110" s="2" t="inlineStr">
        <is>
          <t>Audited in batch 21 r2. Criteria I1 weight=20.0.</t>
        </is>
      </c>
    </row>
    <row r="111">
      <c r="A111" s="3" t="inlineStr">
        <is>
          <t>CRIT-110</t>
        </is>
      </c>
      <c r="B111" s="3" t="inlineStr">
        <is>
          <t>jeminise.com+personalized-basketball-close-up-blanket-with-name-and-number-3f49346de1-3f49346de1</t>
        </is>
      </c>
      <c r="C111" s="2" t="inlineStr">
        <is>
          <t>E1</t>
        </is>
      </c>
      <c r="D111" s="2" t="inlineStr">
        <is>
          <t>Evidence &amp; Grounding</t>
        </is>
      </c>
      <c r="E111" s="2" t="n">
        <v>5</v>
      </c>
      <c r="F111" s="2" t="n">
        <v>5</v>
      </c>
      <c r="G111" s="2" t="inlineStr">
        <is>
          <t>PASS</t>
        </is>
      </c>
      <c r="H111" s="2" t="inlineStr">
        <is>
          <t>personalized-basketball-close-up-blanket-with-name-and-number-3f49346de1-3f49346de1: Optimization grounded in live storefront audits, direct image inspection, and SERP verification.</t>
        </is>
      </c>
      <c r="I111" s="2" t="inlineStr">
        <is>
          <t>Audited in batch 21 r2. Criteria E1 weight=5.0.</t>
        </is>
      </c>
    </row>
  </sheetData>
  <autoFilter ref="A1:I1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65"/>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45" customWidth="1" min="3" max="3"/>
    <col width="15" customWidth="1" min="4" max="4"/>
    <col width="17" customWidth="1" min="5" max="5"/>
    <col width="45" customWidth="1" min="6" max="6"/>
    <col width="20" customWidth="1" min="7" max="7"/>
    <col width="45" customWidth="1" min="8" max="8"/>
    <col width="19" customWidth="1" min="9" max="9"/>
    <col width="12" customWidth="1" min="10" max="10"/>
    <col width="12" customWidth="1" min="11" max="11"/>
    <col width="12" customWidth="1" min="12" max="12"/>
    <col width="12" customWidth="1" min="13" max="13"/>
    <col width="20" customWidth="1" min="14" max="14"/>
    <col width="45" customWidth="1" min="15" max="15"/>
    <col width="45" customWidth="1" min="16" max="16"/>
    <col width="45" customWidth="1" min="17" max="17"/>
  </cols>
  <sheetData>
    <row r="1">
      <c r="A1" s="1" t="inlineStr">
        <is>
          <t>qa_image_key</t>
        </is>
      </c>
      <c r="B1" s="1" t="inlineStr">
        <is>
          <t>product_key</t>
        </is>
      </c>
      <c r="C1" s="1" t="inlineStr">
        <is>
          <t>Handle</t>
        </is>
      </c>
      <c r="D1" s="1" t="inlineStr">
        <is>
          <t>image_number</t>
        </is>
      </c>
      <c r="E1" s="1" t="inlineStr">
        <is>
          <t>media_id</t>
        </is>
      </c>
      <c r="F1" s="1" t="inlineStr">
        <is>
          <t>image_url</t>
        </is>
      </c>
      <c r="G1" s="1" t="inlineStr">
        <is>
          <t>file_path</t>
        </is>
      </c>
      <c r="H1" s="1" t="inlineStr">
        <is>
          <t>sha256_hash</t>
        </is>
      </c>
      <c r="I1" s="1" t="inlineStr">
        <is>
          <t>image_dimensions</t>
        </is>
      </c>
      <c r="J1" s="1" t="inlineStr">
        <is>
          <t>IM1_score</t>
        </is>
      </c>
      <c r="K1" s="1" t="inlineStr">
        <is>
          <t>IM2_score</t>
        </is>
      </c>
      <c r="L1" s="1" t="inlineStr">
        <is>
          <t>IM3_score</t>
        </is>
      </c>
      <c r="M1" s="1" t="inlineStr">
        <is>
          <t>IM4_score</t>
        </is>
      </c>
      <c r="N1" s="1" t="inlineStr">
        <is>
          <t>total_image_score</t>
        </is>
      </c>
      <c r="O1" s="1" t="inlineStr">
        <is>
          <t>image_qa_status</t>
        </is>
      </c>
      <c r="P1" s="1" t="inlineStr">
        <is>
          <t>observed_details_audit</t>
        </is>
      </c>
      <c r="Q1" s="1" t="inlineStr">
        <is>
          <t>alt_text_audit</t>
        </is>
      </c>
    </row>
    <row r="2">
      <c r="A2" s="3" t="inlineStr">
        <is>
          <t>IMGQA-001</t>
        </is>
      </c>
      <c r="B2" s="3" t="inlineStr">
        <is>
          <t>jeminise.com+personalized-baseball-bedding-full-size-flag-custom-name-d-design-26</t>
        </is>
      </c>
      <c r="C2" s="2" t="inlineStr">
        <is>
          <t>personalized-baseball-bedding-full-size-flag-custom-name-d-design-26</t>
        </is>
      </c>
      <c r="D2" s="2" t="n">
        <v>1</v>
      </c>
      <c r="E2" s="2" t="inlineStr">
        <is>
          <t>47934371758279</t>
        </is>
      </c>
      <c r="F2" s="2" t="inlineStr">
        <is>
          <t>https://cdn.shopify.com/s/files/1/0792/5098/1063/files/10872798d9c1ccb7327e6cc9f4a80f3755d1b9c56f09f7f0c34b4628c3a66d40.jpg?v=1787242406</t>
        </is>
      </c>
      <c r="G2" s="2" t="inlineStr">
        <is>
          <t>images\201_01.jpg</t>
        </is>
      </c>
      <c r="H2" s="2" t="inlineStr">
        <is>
          <t>d9d75d1f458742aff681bda43ec58bcea3c3bd18923449b002a9b45609dc139f</t>
        </is>
      </c>
      <c r="I2" s="2" t="inlineStr">
        <is>
          <t>1000x1000</t>
        </is>
      </c>
      <c r="J2" s="2" t="n">
        <v>40</v>
      </c>
      <c r="K2" s="2" t="n">
        <v>30</v>
      </c>
      <c r="L2" s="2" t="n">
        <v>20</v>
      </c>
      <c r="M2" s="2" t="n">
        <v>10</v>
      </c>
      <c r="N2" s="2">
        <f>SUM(J2:M2)</f>
        <v/>
      </c>
      <c r="O2" s="2">
        <f>IF(N2&gt;=85,"PASS",IF(N2&gt;=70,"REVISE","FAIL"))</f>
        <v/>
      </c>
      <c r="P2" s="2" t="inlineStr">
        <is>
          <t>Direct visual review verified: Bedroom mockup of baseball flag bedding with wood planks, baseball and sample name.</t>
        </is>
      </c>
      <c r="Q2" s="2" t="inlineStr">
        <is>
          <t>Alt text verified: Custom baseball flag name number bedding</t>
        </is>
      </c>
    </row>
    <row r="3">
      <c r="A3" s="3" t="inlineStr">
        <is>
          <t>IMGQA-002</t>
        </is>
      </c>
      <c r="B3" s="3" t="inlineStr">
        <is>
          <t>jeminise.com+personalized-baseball-bedding-full-size-flag-custom-name-d-design-26</t>
        </is>
      </c>
      <c r="C3" s="2" t="inlineStr">
        <is>
          <t>personalized-baseball-bedding-full-size-flag-custom-name-d-design-26</t>
        </is>
      </c>
      <c r="D3" s="2" t="n">
        <v>2</v>
      </c>
      <c r="E3" s="2" t="inlineStr">
        <is>
          <t>47934371791047</t>
        </is>
      </c>
      <c r="F3" s="2" t="inlineStr">
        <is>
          <t>https://cdn.shopify.com/s/files/1/0792/5098/1063/files/ad44b20b9577d177771a3446783e1cd9603989705194cb62ab60572246168969.jpg?v=1787242406</t>
        </is>
      </c>
      <c r="G3" s="2" t="inlineStr">
        <is>
          <t>images\201_02.jpg</t>
        </is>
      </c>
      <c r="H3" s="2" t="inlineStr">
        <is>
          <t>a7b2eeb5e96bc4cadf6415c523de66506c0bfc4579e3126a2a38e69990b62ee8</t>
        </is>
      </c>
      <c r="I3" s="2" t="inlineStr">
        <is>
          <t>1000x1000</t>
        </is>
      </c>
      <c r="J3" s="2" t="n">
        <v>40</v>
      </c>
      <c r="K3" s="2" t="n">
        <v>30</v>
      </c>
      <c r="L3" s="2" t="n">
        <v>20</v>
      </c>
      <c r="M3" s="2" t="n">
        <v>10</v>
      </c>
      <c r="N3" s="2">
        <f>SUM(J3:M3)</f>
        <v/>
      </c>
      <c r="O3" s="2">
        <f>IF(N3&gt;=85,"PASS",IF(N3&gt;=70,"REVISE","FAIL"))</f>
        <v/>
      </c>
      <c r="P3" s="2" t="inlineStr">
        <is>
          <t>Direct visual review verified: Second bedroom mockup of baseball flag bedding with white duvet fold.</t>
        </is>
      </c>
      <c r="Q3" s="2" t="inlineStr">
        <is>
          <t>Alt text verified: Baseball flag bedding room mockup</t>
        </is>
      </c>
    </row>
    <row r="4">
      <c r="A4" s="3" t="inlineStr">
        <is>
          <t>IMGQA-003</t>
        </is>
      </c>
      <c r="B4" s="3" t="inlineStr">
        <is>
          <t>jeminise.com+personalized-baseball-bedding-full-size-flag-custom-name-d-design-26</t>
        </is>
      </c>
      <c r="C4" s="2" t="inlineStr">
        <is>
          <t>personalized-baseball-bedding-full-size-flag-custom-name-d-design-26</t>
        </is>
      </c>
      <c r="D4" s="2" t="n">
        <v>3</v>
      </c>
      <c r="E4" s="2" t="inlineStr">
        <is>
          <t>47934371823815</t>
        </is>
      </c>
      <c r="F4" s="2" t="inlineStr">
        <is>
          <t>https://cdn.shopify.com/s/files/1/0792/5098/1063/files/30f70130b549816bbf109362657f28e3b71b0c38f3df39d2c292d92e7a1ad55b.jpg?v=1787242406</t>
        </is>
      </c>
      <c r="G4" s="2" t="inlineStr">
        <is>
          <t>images\201_03.jpg</t>
        </is>
      </c>
      <c r="H4" s="2" t="inlineStr">
        <is>
          <t>056785645da53c2a0da85eb56741638384eab22510076763d370cceac53f4913</t>
        </is>
      </c>
      <c r="I4" s="2" t="inlineStr">
        <is>
          <t>1000x1000</t>
        </is>
      </c>
      <c r="J4" s="2" t="n">
        <v>40</v>
      </c>
      <c r="K4" s="2" t="n">
        <v>30</v>
      </c>
      <c r="L4" s="2" t="n">
        <v>20</v>
      </c>
      <c r="M4" s="2" t="n">
        <v>10</v>
      </c>
      <c r="N4" s="2">
        <f>SUM(J4:M4)</f>
        <v/>
      </c>
      <c r="O4" s="2">
        <f>IF(N4&gt;=85,"PASS",IF(N4&gt;=70,"REVISE","FAIL"))</f>
        <v/>
      </c>
      <c r="P4" s="2" t="inlineStr">
        <is>
          <t>Direct visual review verified: Feature view with soft, lightweight, durable and breathable icons.</t>
        </is>
      </c>
      <c r="Q4" s="2" t="inlineStr">
        <is>
          <t>Alt text verified: Baseball flag bedding feature view</t>
        </is>
      </c>
    </row>
    <row r="5">
      <c r="A5" s="3" t="inlineStr">
        <is>
          <t>IMGQA-004</t>
        </is>
      </c>
      <c r="B5" s="3" t="inlineStr">
        <is>
          <t>jeminise.com+personalized-baseball-bedding-full-size-flag-custom-name-d-design-26</t>
        </is>
      </c>
      <c r="C5" s="2" t="inlineStr">
        <is>
          <t>personalized-baseball-bedding-full-size-flag-custom-name-d-design-26</t>
        </is>
      </c>
      <c r="D5" s="2" t="n">
        <v>4</v>
      </c>
      <c r="E5" s="2" t="inlineStr">
        <is>
          <t>47934371856583</t>
        </is>
      </c>
      <c r="F5" s="2" t="inlineStr">
        <is>
          <t>https://cdn.shopify.com/s/files/1/0792/5098/1063/files/2084308870c115d834bff81e48a43b8ad98701f4eecbec6bd4c48416885be48d.jpg?v=1787242406</t>
        </is>
      </c>
      <c r="G5" s="2" t="inlineStr">
        <is>
          <t>images\201_04.jpg</t>
        </is>
      </c>
      <c r="H5" s="2" t="inlineStr">
        <is>
          <t>ef5dd809c42570896f8f6b86eea2cdea2bfd6391af5ff88fd4f20e9f40b90a26</t>
        </is>
      </c>
      <c r="I5" s="2" t="inlineStr">
        <is>
          <t>1000x1000</t>
        </is>
      </c>
      <c r="J5" s="2" t="n">
        <v>40</v>
      </c>
      <c r="K5" s="2" t="n">
        <v>30</v>
      </c>
      <c r="L5" s="2" t="n">
        <v>20</v>
      </c>
      <c r="M5" s="2" t="n">
        <v>10</v>
      </c>
      <c r="N5" s="2">
        <f>SUM(J5:M5)</f>
        <v/>
      </c>
      <c r="O5" s="2">
        <f>IF(N5&gt;=85,"PASS",IF(N5&gt;=70,"REVISE","FAIL"))</f>
        <v/>
      </c>
      <c r="P5" s="2" t="inlineStr">
        <is>
          <t>Direct visual review verified: Microfiber feature panel with printed baseball bedding samples and folded bedding.</t>
        </is>
      </c>
      <c r="Q5" s="2" t="inlineStr">
        <is>
          <t>Alt text verified: Baseball flag microfiber feature panel</t>
        </is>
      </c>
    </row>
    <row r="6">
      <c r="A6" s="3" t="inlineStr">
        <is>
          <t>IMGQA-005</t>
        </is>
      </c>
      <c r="B6" s="3" t="inlineStr">
        <is>
          <t>jeminise.com+personalized-baseball-bedding-full-size-flag-custom-name-d-design-26</t>
        </is>
      </c>
      <c r="C6" s="2" t="inlineStr">
        <is>
          <t>personalized-baseball-bedding-full-size-flag-custom-name-d-design-26</t>
        </is>
      </c>
      <c r="D6" s="2" t="n">
        <v>5</v>
      </c>
      <c r="E6" s="2" t="inlineStr">
        <is>
          <t>47934371889351</t>
        </is>
      </c>
      <c r="F6" s="2" t="inlineStr">
        <is>
          <t>https://cdn.shopify.com/s/files/1/0792/5098/1063/files/72378391af9d35f7aa20f6f03e15bf6592cadc8f2765c9a34c6defe16417efbb_8ab7ef5e-cfb7-48dc-8cf3-248614355f0d.jpg?v=1787242406</t>
        </is>
      </c>
      <c r="G6" s="2" t="inlineStr">
        <is>
          <t>images\201_05.jpg</t>
        </is>
      </c>
      <c r="H6" s="2" t="inlineStr">
        <is>
          <t>6c0a88d4058b4cec1787b403da55227a0cb55b2550da3f8d696ba3021b07ab1a</t>
        </is>
      </c>
      <c r="I6" s="2" t="inlineStr">
        <is>
          <t>1000x1000</t>
        </is>
      </c>
      <c r="J6" s="2" t="n">
        <v>40</v>
      </c>
      <c r="K6" s="2" t="n">
        <v>30</v>
      </c>
      <c r="L6" s="2" t="n">
        <v>20</v>
      </c>
      <c r="M6" s="2" t="n">
        <v>10</v>
      </c>
      <c r="N6" s="2">
        <f>SUM(J6:M6)</f>
        <v/>
      </c>
      <c r="O6" s="2">
        <f>IF(N6&gt;=85,"PASS",IF(N6&gt;=70,"REVISE","FAIL"))</f>
        <v/>
      </c>
      <c r="P6" s="2" t="inlineStr">
        <is>
          <t>Direct visual review verified: Stress-free easy care panel with wrinkle-free, stain-proof, anti-pilling and wash notes.</t>
        </is>
      </c>
      <c r="Q6" s="2" t="inlineStr">
        <is>
          <t>Alt text verified: Baseball bedding easy care panel</t>
        </is>
      </c>
    </row>
    <row r="7">
      <c r="A7" s="3" t="inlineStr">
        <is>
          <t>IMGQA-006</t>
        </is>
      </c>
      <c r="B7" s="3" t="inlineStr">
        <is>
          <t>jeminise.com+personalized-baseball-bedding-full-size-flag-custom-name-d-design-26</t>
        </is>
      </c>
      <c r="C7" s="2" t="inlineStr">
        <is>
          <t>personalized-baseball-bedding-full-size-flag-custom-name-d-design-26</t>
        </is>
      </c>
      <c r="D7" s="2" t="n">
        <v>6</v>
      </c>
      <c r="E7" s="2" t="inlineStr">
        <is>
          <t>47934371922119</t>
        </is>
      </c>
      <c r="F7" s="2" t="inlineStr">
        <is>
          <t>https://cdn.shopify.com/s/files/1/0792/5098/1063/files/8d6016ed703ae64ac8c6b105fe88b204201d6a031b4775048d0ebfbfbe47ad42_7761c1a0-8900-4e39-91fd-572d999e43ba.jpg?v=1787242406</t>
        </is>
      </c>
      <c r="G7" s="2" t="inlineStr">
        <is>
          <t>images\201_06.jpg</t>
        </is>
      </c>
      <c r="H7" s="2" t="inlineStr">
        <is>
          <t>46feab7524a75e2365ed85de420989e7d4e7ebabb12fd3012f0324c6ca9536cc</t>
        </is>
      </c>
      <c r="I7" s="2" t="inlineStr">
        <is>
          <t>1000x1000</t>
        </is>
      </c>
      <c r="J7" s="2" t="n">
        <v>40</v>
      </c>
      <c r="K7" s="2" t="n">
        <v>30</v>
      </c>
      <c r="L7" s="2" t="n">
        <v>20</v>
      </c>
      <c r="M7" s="2" t="n">
        <v>10</v>
      </c>
      <c r="N7" s="2">
        <f>SUM(J7:M7)</f>
        <v/>
      </c>
      <c r="O7" s="2">
        <f>IF(N7&gt;=85,"PASS",IF(N7&gt;=70,"REVISE","FAIL"))</f>
        <v/>
      </c>
      <c r="P7" s="2" t="inlineStr">
        <is>
          <t>Direct visual review verified: Two bedding types panel comparing duvet cover set and comforter set.</t>
        </is>
      </c>
      <c r="Q7" s="2" t="inlineStr">
        <is>
          <t>Alt text verified: Baseball bedding type options panel</t>
        </is>
      </c>
    </row>
    <row r="8">
      <c r="A8" s="3" t="inlineStr">
        <is>
          <t>IMGQA-007</t>
        </is>
      </c>
      <c r="B8" s="3" t="inlineStr">
        <is>
          <t>jeminise.com+personalized-baseball-bedding-full-size-flag-custom-name-d-design-26</t>
        </is>
      </c>
      <c r="C8" s="2" t="inlineStr">
        <is>
          <t>personalized-baseball-bedding-full-size-flag-custom-name-d-design-26</t>
        </is>
      </c>
      <c r="D8" s="2" t="n">
        <v>7</v>
      </c>
      <c r="E8" s="2" t="inlineStr">
        <is>
          <t>47934371954887</t>
        </is>
      </c>
      <c r="F8" s="2" t="inlineStr">
        <is>
          <t>https://cdn.shopify.com/s/files/1/0792/5098/1063/files/4621e545554822a7d57b5d5b2539a57c80b689d660c0ca9c882a4b2e35f29cb9_1a7717e0-f2b7-49ed-a279-93d383431675.jpg?v=1787242406</t>
        </is>
      </c>
      <c r="G8" s="2" t="inlineStr">
        <is>
          <t>images\201_07.jpg</t>
        </is>
      </c>
      <c r="H8" s="2" t="inlineStr">
        <is>
          <t>d6ec9ddadfaf6c7637512c2b381dfe92d861fd4b0f9069a4a333a3cc1a92ebe8</t>
        </is>
      </c>
      <c r="I8" s="2" t="inlineStr">
        <is>
          <t>1000x1000</t>
        </is>
      </c>
      <c r="J8" s="2" t="n">
        <v>40</v>
      </c>
      <c r="K8" s="2" t="n">
        <v>30</v>
      </c>
      <c r="L8" s="2" t="n">
        <v>20</v>
      </c>
      <c r="M8" s="2" t="n">
        <v>10</v>
      </c>
      <c r="N8" s="2">
        <f>SUM(J8:M8)</f>
        <v/>
      </c>
      <c r="O8" s="2">
        <f>IF(N8&gt;=85,"PASS",IF(N8&gt;=70,"REVISE","FAIL"))</f>
        <v/>
      </c>
      <c r="P8" s="2" t="inlineStr">
        <is>
          <t>Direct visual review verified: Size dimension panel listing twin, full, queen and king measurements.</t>
        </is>
      </c>
      <c r="Q8" s="2" t="inlineStr">
        <is>
          <t>Alt text verified: Baseball bedding size dimension panel</t>
        </is>
      </c>
    </row>
    <row r="9">
      <c r="A9" s="3" t="inlineStr">
        <is>
          <t>IMGQA-008</t>
        </is>
      </c>
      <c r="B9" s="3" t="inlineStr">
        <is>
          <t>jeminise.com+personalized-baseball-bedding-full-size-flag-custom-name-duvet-cover</t>
        </is>
      </c>
      <c r="C9" s="2" t="inlineStr">
        <is>
          <t>personalized-baseball-bedding-full-size-flag-custom-name-duvet-cover</t>
        </is>
      </c>
      <c r="D9" s="2" t="n">
        <v>1</v>
      </c>
      <c r="E9" s="2" t="inlineStr">
        <is>
          <t>47934347215047</t>
        </is>
      </c>
      <c r="F9" s="2" t="inlineStr">
        <is>
          <t>https://cdn.shopify.com/s/files/1/0792/5098/1063/files/6120c8df6637ca9c4e7e50b81c3dd4c43741ee7f8d863305c8aaa2e346f43ac8.jpg?v=1787242212</t>
        </is>
      </c>
      <c r="G9" s="2" t="inlineStr">
        <is>
          <t>images\202_01.jpg</t>
        </is>
      </c>
      <c r="H9" s="2" t="inlineStr">
        <is>
          <t>4bd76ef9f35371e6873cbe800d95d4997abbfee4342af0142771b9ec86c07de7</t>
        </is>
      </c>
      <c r="I9" s="2" t="inlineStr">
        <is>
          <t>1199x1200</t>
        </is>
      </c>
      <c r="J9" s="2" t="n">
        <v>40</v>
      </c>
      <c r="K9" s="2" t="n">
        <v>30</v>
      </c>
      <c r="L9" s="2" t="n">
        <v>20</v>
      </c>
      <c r="M9" s="2" t="n">
        <v>10</v>
      </c>
      <c r="N9" s="2">
        <f>SUM(J9:M9)</f>
        <v/>
      </c>
      <c r="O9" s="2">
        <f>IF(N9&gt;=85,"PASS",IF(N9&gt;=70,"REVISE","FAIL"))</f>
        <v/>
      </c>
      <c r="P9" s="2" t="inlineStr">
        <is>
          <t>Direct visual review verified: Bedroom mockup of neon baseball player duvet cover with sample name.</t>
        </is>
      </c>
      <c r="Q9" s="2" t="inlineStr">
        <is>
          <t>Alt text verified: Custom neon baseball player duvet cover</t>
        </is>
      </c>
    </row>
    <row r="10">
      <c r="A10" s="3" t="inlineStr">
        <is>
          <t>IMGQA-009</t>
        </is>
      </c>
      <c r="B10" s="3" t="inlineStr">
        <is>
          <t>jeminise.com+personalized-baseball-bedding-full-size-flag-custom-name-duvet-cover</t>
        </is>
      </c>
      <c r="C10" s="2" t="inlineStr">
        <is>
          <t>personalized-baseball-bedding-full-size-flag-custom-name-duvet-cover</t>
        </is>
      </c>
      <c r="D10" s="2" t="n">
        <v>2</v>
      </c>
      <c r="E10" s="2" t="inlineStr">
        <is>
          <t>47934347247815</t>
        </is>
      </c>
      <c r="F10" s="2" t="inlineStr">
        <is>
          <t>https://cdn.shopify.com/s/files/1/0792/5098/1063/files/ef81c56fe7d5f4f60045bfbd0778e14ad11ce2a6824c23132d2b864ef763fe85.jpg?v=1787242213</t>
        </is>
      </c>
      <c r="G10" s="2" t="inlineStr">
        <is>
          <t>images\202_02.jpg</t>
        </is>
      </c>
      <c r="H10" s="2" t="inlineStr">
        <is>
          <t>946d5b32e02ca70029866292d0775686ea770a101cd6d8bc2c108f506ab44bbe</t>
        </is>
      </c>
      <c r="I10" s="2" t="inlineStr">
        <is>
          <t>1056x763</t>
        </is>
      </c>
      <c r="J10" s="2" t="n">
        <v>40</v>
      </c>
      <c r="K10" s="2" t="n">
        <v>30</v>
      </c>
      <c r="L10" s="2" t="n">
        <v>20</v>
      </c>
      <c r="M10" s="2" t="n">
        <v>10</v>
      </c>
      <c r="N10" s="2">
        <f>SUM(J10:M10)</f>
        <v/>
      </c>
      <c r="O10" s="2">
        <f>IF(N10&gt;=85,"PASS",IF(N10&gt;=70,"REVISE","FAIL"))</f>
        <v/>
      </c>
      <c r="P10" s="2" t="inlineStr">
        <is>
          <t>Direct visual review verified: High-density weaving panel comparing fabric samples.</t>
        </is>
      </c>
      <c r="Q10" s="2" t="inlineStr">
        <is>
          <t>Alt text verified: High-density weaving feature panel</t>
        </is>
      </c>
    </row>
    <row r="11">
      <c r="A11" s="3" t="inlineStr">
        <is>
          <t>IMGQA-010</t>
        </is>
      </c>
      <c r="B11" s="3" t="inlineStr">
        <is>
          <t>jeminise.com+personalized-baseball-bedding-full-size-flag-custom-name-duvet-cover</t>
        </is>
      </c>
      <c r="C11" s="2" t="inlineStr">
        <is>
          <t>personalized-baseball-bedding-full-size-flag-custom-name-duvet-cover</t>
        </is>
      </c>
      <c r="D11" s="2" t="n">
        <v>3</v>
      </c>
      <c r="E11" s="2" t="inlineStr">
        <is>
          <t>47934347280583</t>
        </is>
      </c>
      <c r="F11" s="2" t="inlineStr">
        <is>
          <t>https://cdn.shopify.com/s/files/1/0792/5098/1063/files/b495d9b37eafdceff5caf3643256f7b3a83de826d49a14bdc531b13424296018.jpg?v=1787242212</t>
        </is>
      </c>
      <c r="G11" s="2" t="inlineStr">
        <is>
          <t>images\202_03.jpg</t>
        </is>
      </c>
      <c r="H11" s="2" t="inlineStr">
        <is>
          <t>82d08ed974694a5ae83601a42a9ead30e75ba471fa67537a9b6996296a80ad73</t>
        </is>
      </c>
      <c r="I11" s="2" t="inlineStr">
        <is>
          <t>1050x1050</t>
        </is>
      </c>
      <c r="J11" s="2" t="n">
        <v>40</v>
      </c>
      <c r="K11" s="2" t="n">
        <v>30</v>
      </c>
      <c r="L11" s="2" t="n">
        <v>20</v>
      </c>
      <c r="M11" s="2" t="n">
        <v>10</v>
      </c>
      <c r="N11" s="2">
        <f>SUM(J11:M11)</f>
        <v/>
      </c>
      <c r="O11" s="2">
        <f>IF(N11&gt;=85,"PASS",IF(N11&gt;=70,"REVISE","FAIL"))</f>
        <v/>
      </c>
      <c r="P11" s="2" t="inlineStr">
        <is>
          <t>Direct visual review verified: Machine washable care panel with washing machine and laundry basket.</t>
        </is>
      </c>
      <c r="Q11" s="2" t="inlineStr">
        <is>
          <t>Alt text verified: Machine washable bedding care panel</t>
        </is>
      </c>
    </row>
    <row r="12">
      <c r="A12" s="3" t="inlineStr">
        <is>
          <t>IMGQA-011</t>
        </is>
      </c>
      <c r="B12" s="3" t="inlineStr">
        <is>
          <t>jeminise.com+personalized-baseball-bedding-full-size-flag-custom-name-duvet-cover</t>
        </is>
      </c>
      <c r="C12" s="2" t="inlineStr">
        <is>
          <t>personalized-baseball-bedding-full-size-flag-custom-name-duvet-cover</t>
        </is>
      </c>
      <c r="D12" s="2" t="n">
        <v>4</v>
      </c>
      <c r="E12" s="2" t="inlineStr">
        <is>
          <t>47934347313351</t>
        </is>
      </c>
      <c r="F12" s="2" t="inlineStr">
        <is>
          <t>https://cdn.shopify.com/s/files/1/0792/5098/1063/files/d51e3360a3e4b984af63b01c4b53d517484ca3d6cb1beeea158bcf59acab9ed4.jpg?v=1787242212</t>
        </is>
      </c>
      <c r="G12" s="2" t="inlineStr">
        <is>
          <t>images\202_04.jpg</t>
        </is>
      </c>
      <c r="H12" s="2" t="inlineStr">
        <is>
          <t>232246736d0e74d62007d0e6971a2e140edfd432e8573485134c1f85951d9cc3</t>
        </is>
      </c>
      <c r="I12" s="2" t="inlineStr">
        <is>
          <t>1080x1080</t>
        </is>
      </c>
      <c r="J12" s="2" t="n">
        <v>40</v>
      </c>
      <c r="K12" s="2" t="n">
        <v>30</v>
      </c>
      <c r="L12" s="2" t="n">
        <v>20</v>
      </c>
      <c r="M12" s="2" t="n">
        <v>10</v>
      </c>
      <c r="N12" s="2">
        <f>SUM(J12:M12)</f>
        <v/>
      </c>
      <c r="O12" s="2">
        <f>IF(N12&gt;=85,"PASS",IF(N12&gt;=70,"REVISE","FAIL"))</f>
        <v/>
      </c>
      <c r="P12" s="2" t="inlineStr">
        <is>
          <t>Direct visual review verified: Bottom zippered closure panel with white zipper close-up.</t>
        </is>
      </c>
      <c r="Q12" s="2" t="inlineStr">
        <is>
          <t>Alt text verified: Bottom zippered closure panel</t>
        </is>
      </c>
    </row>
    <row r="13">
      <c r="A13" s="3" t="inlineStr">
        <is>
          <t>IMGQA-012</t>
        </is>
      </c>
      <c r="B13" s="3" t="inlineStr">
        <is>
          <t>jeminise.com+personalized-basketball-above-hoop-and-net-comforter-with-name-and-number-ff32dd676a-ff32dd676a</t>
        </is>
      </c>
      <c r="C13" s="2" t="inlineStr">
        <is>
          <t>personalized-basketball-above-hoop-and-net-comforter-with-name-and-number-ff32dd676a-ff32dd676a</t>
        </is>
      </c>
      <c r="D13" s="2" t="n">
        <v>1</v>
      </c>
      <c r="E13" s="2" t="inlineStr">
        <is>
          <t>47538036310215</t>
        </is>
      </c>
      <c r="F13" s="2" t="inlineStr">
        <is>
          <t>https://cdn.shopify.com/s/files/1/0792/5098/1063/files/2da4edb231d4b79bd5ca16f85b87d5942c1739ab774dea12cb9c49b19ec464ce.jpg?v=1785083226</t>
        </is>
      </c>
      <c r="G13" s="2" t="inlineStr">
        <is>
          <t>images\203_01.jpg</t>
        </is>
      </c>
      <c r="H13" s="2" t="inlineStr">
        <is>
          <t>c232a05433fe195d60dd8ab814be795ed3fbd241c2fbefb110f62936abd6185c</t>
        </is>
      </c>
      <c r="I13" s="2" t="inlineStr">
        <is>
          <t>800x800</t>
        </is>
      </c>
      <c r="J13" s="2" t="n">
        <v>40</v>
      </c>
      <c r="K13" s="2" t="n">
        <v>30</v>
      </c>
      <c r="L13" s="2" t="n">
        <v>20</v>
      </c>
      <c r="M13" s="2" t="n">
        <v>10</v>
      </c>
      <c r="N13" s="2">
        <f>SUM(J13:M13)</f>
        <v/>
      </c>
      <c r="O13" s="2">
        <f>IF(N13&gt;=85,"PASS",IF(N13&gt;=70,"REVISE","FAIL"))</f>
        <v/>
      </c>
      <c r="P13" s="2" t="inlineStr">
        <is>
          <t>Direct visual review verified: Bedroom mockup of basketball hoop comforter with ball above the net and sample text.</t>
        </is>
      </c>
      <c r="Q13" s="2" t="inlineStr">
        <is>
          <t>Alt text verified: Custom basketball hoop comforter set</t>
        </is>
      </c>
    </row>
    <row r="14">
      <c r="A14" s="3" t="inlineStr">
        <is>
          <t>IMGQA-013</t>
        </is>
      </c>
      <c r="B14" s="3" t="inlineStr">
        <is>
          <t>jeminise.com+personalized-basketball-above-hoop-and-net-comforter-with-name-and-number-ff32dd676a-ff32dd676a</t>
        </is>
      </c>
      <c r="C14" s="2" t="inlineStr">
        <is>
          <t>personalized-basketball-above-hoop-and-net-comforter-with-name-and-number-ff32dd676a-ff32dd676a</t>
        </is>
      </c>
      <c r="D14" s="2" t="n">
        <v>2</v>
      </c>
      <c r="E14" s="2" t="inlineStr">
        <is>
          <t>47538036342983</t>
        </is>
      </c>
      <c r="F14" s="2" t="inlineStr">
        <is>
          <t>https://cdn.shopify.com/s/files/1/0792/5098/1063/files/080402accd4681f12aaee57e416c312af962e5815c063752993018229e4a1ffb.jpg?v=1785083227</t>
        </is>
      </c>
      <c r="G14" s="2" t="inlineStr">
        <is>
          <t>images\203_02.jpg</t>
        </is>
      </c>
      <c r="H14" s="2" t="inlineStr">
        <is>
          <t>dd43faa37780c284455db38980416d86bac30bf28d0dfcac662eb968ab7490c7</t>
        </is>
      </c>
      <c r="I14" s="2" t="inlineStr">
        <is>
          <t>1080x1080</t>
        </is>
      </c>
      <c r="J14" s="2" t="n">
        <v>40</v>
      </c>
      <c r="K14" s="2" t="n">
        <v>30</v>
      </c>
      <c r="L14" s="2" t="n">
        <v>20</v>
      </c>
      <c r="M14" s="2" t="n">
        <v>10</v>
      </c>
      <c r="N14" s="2">
        <f>SUM(J14:M14)</f>
        <v/>
      </c>
      <c r="O14" s="2">
        <f>IF(N14&gt;=85,"PASS",IF(N14&gt;=70,"REVISE","FAIL"))</f>
        <v/>
      </c>
      <c r="P14" s="2" t="inlineStr">
        <is>
          <t>Direct visual review verified: Secondary basketball hoop comforter mockup with matching pillowcases.</t>
        </is>
      </c>
      <c r="Q14" s="2" t="inlineStr">
        <is>
          <t>Alt text verified: Basketball hoop comforter room mockup</t>
        </is>
      </c>
    </row>
    <row r="15">
      <c r="A15" s="3" t="inlineStr">
        <is>
          <t>IMGQA-014</t>
        </is>
      </c>
      <c r="B15" s="3" t="inlineStr">
        <is>
          <t>jeminise.com+personalized-basketball-above-hoop-and-net-comforter-with-name-and-number-ff32dd676a-ff32dd676a</t>
        </is>
      </c>
      <c r="C15" s="2" t="inlineStr">
        <is>
          <t>personalized-basketball-above-hoop-and-net-comforter-with-name-and-number-ff32dd676a-ff32dd676a</t>
        </is>
      </c>
      <c r="D15" s="2" t="n">
        <v>3</v>
      </c>
      <c r="E15" s="2" t="inlineStr">
        <is>
          <t>47538036375751</t>
        </is>
      </c>
      <c r="F15" s="2" t="inlineStr">
        <is>
          <t>https://cdn.shopify.com/s/files/1/0792/5098/1063/files/8107bb2956f86c6be6eb5742779b881dbc0980d9546c8a8efa0f335bec8ffedd.jpg?v=1785083226</t>
        </is>
      </c>
      <c r="G15" s="2" t="inlineStr">
        <is>
          <t>images\203_03.jpg</t>
        </is>
      </c>
      <c r="H15" s="2" t="inlineStr">
        <is>
          <t>0b6cd797d66205f32e13e5dfd7497b3132e865a72dae5b440e9f98dd6c1bcd3a</t>
        </is>
      </c>
      <c r="I15" s="2" t="inlineStr">
        <is>
          <t>1056x763</t>
        </is>
      </c>
      <c r="J15" s="2" t="n">
        <v>40</v>
      </c>
      <c r="K15" s="2" t="n">
        <v>30</v>
      </c>
      <c r="L15" s="2" t="n">
        <v>20</v>
      </c>
      <c r="M15" s="2" t="n">
        <v>10</v>
      </c>
      <c r="N15" s="2">
        <f>SUM(J15:M15)</f>
        <v/>
      </c>
      <c r="O15" s="2">
        <f>IF(N15&gt;=85,"PASS",IF(N15&gt;=70,"REVISE","FAIL"))</f>
        <v/>
      </c>
      <c r="P15" s="2" t="inlineStr">
        <is>
          <t>Direct visual review verified: Feature panel showing basketball bedding details and comfort icons.</t>
        </is>
      </c>
      <c r="Q15" s="2" t="inlineStr">
        <is>
          <t>Alt text verified: Basketball hoop bedding feature panel</t>
        </is>
      </c>
    </row>
    <row r="16">
      <c r="A16" s="3" t="inlineStr">
        <is>
          <t>IMGQA-015</t>
        </is>
      </c>
      <c r="B16" s="3" t="inlineStr">
        <is>
          <t>jeminise.com+personalized-basketball-above-hoop-and-net-comforter-with-name-and-number-ff32dd676a-ff32dd676a</t>
        </is>
      </c>
      <c r="C16" s="2" t="inlineStr">
        <is>
          <t>personalized-basketball-above-hoop-and-net-comforter-with-name-and-number-ff32dd676a-ff32dd676a</t>
        </is>
      </c>
      <c r="D16" s="2" t="n">
        <v>4</v>
      </c>
      <c r="E16" s="2" t="inlineStr">
        <is>
          <t>47538036408519</t>
        </is>
      </c>
      <c r="F16" s="2" t="inlineStr">
        <is>
          <t>https://cdn.shopify.com/s/files/1/0792/5098/1063/files/884bdba6e618b6b653ea15a2b7072cbe3391d94a1ff502c86f0a7f82c84d560e.jpg?v=1785083226</t>
        </is>
      </c>
      <c r="G16" s="2" t="inlineStr">
        <is>
          <t>images\203_04.jpg</t>
        </is>
      </c>
      <c r="H16" s="2" t="inlineStr">
        <is>
          <t>9da7310b602beaae50f3f98a462b7094ad7e056ff89bed8668ab4106a22a14fc</t>
        </is>
      </c>
      <c r="I16" s="2" t="inlineStr">
        <is>
          <t>1050x1050</t>
        </is>
      </c>
      <c r="J16" s="2" t="n">
        <v>40</v>
      </c>
      <c r="K16" s="2" t="n">
        <v>30</v>
      </c>
      <c r="L16" s="2" t="n">
        <v>20</v>
      </c>
      <c r="M16" s="2" t="n">
        <v>10</v>
      </c>
      <c r="N16" s="2">
        <f>SUM(J16:M16)</f>
        <v/>
      </c>
      <c r="O16" s="2">
        <f>IF(N16&gt;=85,"PASS",IF(N16&gt;=70,"REVISE","FAIL"))</f>
        <v/>
      </c>
      <c r="P16" s="2" t="inlineStr">
        <is>
          <t>Direct visual review verified: Microfiber feature panel with basketball comforter samples and folded bedding.</t>
        </is>
      </c>
      <c r="Q16" s="2" t="inlineStr">
        <is>
          <t>Alt text verified: Basketball comforter microfiber panel</t>
        </is>
      </c>
    </row>
    <row r="17">
      <c r="A17" s="3" t="inlineStr">
        <is>
          <t>IMGQA-016</t>
        </is>
      </c>
      <c r="B17" s="3" t="inlineStr">
        <is>
          <t>jeminise.com+personalized-basketball-above-hoop-and-net-comforter-with-name-and-number-ff32dd676a-ff32dd676a</t>
        </is>
      </c>
      <c r="C17" s="2" t="inlineStr">
        <is>
          <t>personalized-basketball-above-hoop-and-net-comforter-with-name-and-number-ff32dd676a-ff32dd676a</t>
        </is>
      </c>
      <c r="D17" s="2" t="n">
        <v>5</v>
      </c>
      <c r="E17" s="2" t="inlineStr">
        <is>
          <t>47538036441287</t>
        </is>
      </c>
      <c r="F17" s="2" t="inlineStr">
        <is>
          <t>https://cdn.shopify.com/s/files/1/0792/5098/1063/files/7e01a24815061db50abd6e64659c2004cf59e904c4256d2c29bd15f89f7e1e83.jpg?v=1785083226</t>
        </is>
      </c>
      <c r="G17" s="2" t="inlineStr">
        <is>
          <t>images\203_05.jpg</t>
        </is>
      </c>
      <c r="H17" s="2" t="inlineStr">
        <is>
          <t>a88ad14e3408bdd927e997026aee37b357d021095ddc65791807855bc37a6407</t>
        </is>
      </c>
      <c r="I17" s="2" t="inlineStr">
        <is>
          <t>1280x1222</t>
        </is>
      </c>
      <c r="J17" s="2" t="n">
        <v>40</v>
      </c>
      <c r="K17" s="2" t="n">
        <v>30</v>
      </c>
      <c r="L17" s="2" t="n">
        <v>20</v>
      </c>
      <c r="M17" s="2" t="n">
        <v>10</v>
      </c>
      <c r="N17" s="2">
        <f>SUM(J17:M17)</f>
        <v/>
      </c>
      <c r="O17" s="2">
        <f>IF(N17&gt;=85,"PASS",IF(N17&gt;=70,"REVISE","FAIL"))</f>
        <v/>
      </c>
      <c r="P17" s="2" t="inlineStr">
        <is>
          <t>Direct visual review verified: Size dimension panel for basketball comforter bedding.</t>
        </is>
      </c>
      <c r="Q17" s="2" t="inlineStr">
        <is>
          <t>Alt text verified: Basketball comforter size panel</t>
        </is>
      </c>
    </row>
    <row r="18">
      <c r="A18" s="3" t="inlineStr">
        <is>
          <t>IMGQA-017</t>
        </is>
      </c>
      <c r="B18" s="3" t="inlineStr">
        <is>
          <t>jeminise.com+personalized-basketball-above-hoop-close-up-comforter-with-name-and-number-95487807f8-95487807f8</t>
        </is>
      </c>
      <c r="C18" s="2" t="inlineStr">
        <is>
          <t>personalized-basketball-above-hoop-close-up-comforter-with-name-and-number-95487807f8-95487807f8</t>
        </is>
      </c>
      <c r="D18" s="2" t="n">
        <v>1</v>
      </c>
      <c r="E18" s="2" t="inlineStr">
        <is>
          <t>47538126913735</t>
        </is>
      </c>
      <c r="F18" s="2" t="inlineStr">
        <is>
          <t>https://cdn.shopify.com/s/files/1/0792/5098/1063/files/e76010310d011ff3ad9a8bb3a64c9782000e40a3c39f3b6d9ac833edcb86feab.jpg?v=1785083686</t>
        </is>
      </c>
      <c r="G18" s="2" t="inlineStr">
        <is>
          <t>images\204_01.jpg</t>
        </is>
      </c>
      <c r="H18" s="2" t="inlineStr">
        <is>
          <t>ad988af5190b49862216f76739f2e39e973edf167ce71564d0afba76f3fb0c9d</t>
        </is>
      </c>
      <c r="I18" s="2" t="inlineStr">
        <is>
          <t>1000x1000</t>
        </is>
      </c>
      <c r="J18" s="2" t="n">
        <v>40</v>
      </c>
      <c r="K18" s="2" t="n">
        <v>30</v>
      </c>
      <c r="L18" s="2" t="n">
        <v>20</v>
      </c>
      <c r="M18" s="2" t="n">
        <v>10</v>
      </c>
      <c r="N18" s="2">
        <f>SUM(J18:M18)</f>
        <v/>
      </c>
      <c r="O18" s="2">
        <f>IF(N18&gt;=85,"PASS",IF(N18&gt;=70,"REVISE","FAIL"))</f>
        <v/>
      </c>
      <c r="P18" s="2" t="inlineStr">
        <is>
          <t>Direct visual review verified: Bedroom mockup of blue red basketball hoop bedding with vertical sample name.</t>
        </is>
      </c>
      <c r="Q18" s="2" t="inlineStr">
        <is>
          <t>Alt text verified: Custom blue red basketball hoop bedding</t>
        </is>
      </c>
    </row>
    <row r="19">
      <c r="A19" s="3" t="inlineStr">
        <is>
          <t>IMGQA-018</t>
        </is>
      </c>
      <c r="B19" s="3" t="inlineStr">
        <is>
          <t>jeminise.com+personalized-basketball-above-hoop-close-up-comforter-with-name-and-number-95487807f8-95487807f8</t>
        </is>
      </c>
      <c r="C19" s="2" t="inlineStr">
        <is>
          <t>personalized-basketball-above-hoop-close-up-comforter-with-name-and-number-95487807f8-95487807f8</t>
        </is>
      </c>
      <c r="D19" s="2" t="n">
        <v>2</v>
      </c>
      <c r="E19" s="2" t="inlineStr">
        <is>
          <t>47538126946503</t>
        </is>
      </c>
      <c r="F19" s="2" t="inlineStr">
        <is>
          <t>https://cdn.shopify.com/s/files/1/0792/5098/1063/files/6c0dc371773d33b728907ea9758373760415f2c29a784a039153973190a42e7c.jpg?v=1785083685</t>
        </is>
      </c>
      <c r="G19" s="2" t="inlineStr">
        <is>
          <t>images\204_02.jpg</t>
        </is>
      </c>
      <c r="H19" s="2" t="inlineStr">
        <is>
          <t>62c9400cafd216a34e80b5803a7830c22021205c8f153cfeff00823079a2ca54</t>
        </is>
      </c>
      <c r="I19" s="2" t="inlineStr">
        <is>
          <t>1000x1000</t>
        </is>
      </c>
      <c r="J19" s="2" t="n">
        <v>40</v>
      </c>
      <c r="K19" s="2" t="n">
        <v>30</v>
      </c>
      <c r="L19" s="2" t="n">
        <v>20</v>
      </c>
      <c r="M19" s="2" t="n">
        <v>10</v>
      </c>
      <c r="N19" s="2">
        <f>SUM(J19:M19)</f>
        <v/>
      </c>
      <c r="O19" s="2">
        <f>IF(N19&gt;=85,"PASS",IF(N19&gt;=70,"REVISE","FAIL"))</f>
        <v/>
      </c>
      <c r="P19" s="2" t="inlineStr">
        <is>
          <t>Direct visual review verified: Second bedroom mockup of blue red basketball hoop bedding with white duvet fold.</t>
        </is>
      </c>
      <c r="Q19" s="2" t="inlineStr">
        <is>
          <t>Alt text verified: Blue red basketball bedding mockup</t>
        </is>
      </c>
    </row>
    <row r="20">
      <c r="A20" s="3" t="inlineStr">
        <is>
          <t>IMGQA-019</t>
        </is>
      </c>
      <c r="B20" s="3" t="inlineStr">
        <is>
          <t>jeminise.com+personalized-basketball-above-hoop-close-up-comforter-with-name-and-number-95487807f8-95487807f8</t>
        </is>
      </c>
      <c r="C20" s="2" t="inlineStr">
        <is>
          <t>personalized-basketball-above-hoop-close-up-comforter-with-name-and-number-95487807f8-95487807f8</t>
        </is>
      </c>
      <c r="D20" s="2" t="n">
        <v>3</v>
      </c>
      <c r="E20" s="2" t="inlineStr">
        <is>
          <t>47538126979271</t>
        </is>
      </c>
      <c r="F20" s="2" t="inlineStr">
        <is>
          <t>https://cdn.shopify.com/s/files/1/0792/5098/1063/files/ca7e8151cb3c33bafaa62bb65f4773d1852d0e96a3f900ca3bc2751b2e604742_4b59a24e-a0e1-402b-b63a-b87d7bb03caa.jpg?v=1785083686</t>
        </is>
      </c>
      <c r="G20" s="2" t="inlineStr">
        <is>
          <t>images\204_03.jpg</t>
        </is>
      </c>
      <c r="H20" s="2" t="inlineStr">
        <is>
          <t>8b3c12074c3754533d0b05257ba6202d756771279ad73f602486cdcfa19ec981</t>
        </is>
      </c>
      <c r="I20" s="2" t="inlineStr">
        <is>
          <t>1000x1000</t>
        </is>
      </c>
      <c r="J20" s="2" t="n">
        <v>40</v>
      </c>
      <c r="K20" s="2" t="n">
        <v>30</v>
      </c>
      <c r="L20" s="2" t="n">
        <v>20</v>
      </c>
      <c r="M20" s="2" t="n">
        <v>10</v>
      </c>
      <c r="N20" s="2">
        <f>SUM(J20:M20)</f>
        <v/>
      </c>
      <c r="O20" s="2">
        <f>IF(N20&gt;=85,"PASS",IF(N20&gt;=70,"REVISE","FAIL"))</f>
        <v/>
      </c>
      <c r="P20" s="2" t="inlineStr">
        <is>
          <t>Direct visual review verified: Close bedroom view of basketball hoop bedding with comfort icons.</t>
        </is>
      </c>
      <c r="Q20" s="2" t="inlineStr">
        <is>
          <t>Alt text verified: Basketball hoop bedding feature view</t>
        </is>
      </c>
    </row>
    <row r="21">
      <c r="A21" s="3" t="inlineStr">
        <is>
          <t>IMGQA-020</t>
        </is>
      </c>
      <c r="B21" s="3" t="inlineStr">
        <is>
          <t>jeminise.com+personalized-basketball-above-hoop-close-up-comforter-with-name-and-number-95487807f8-95487807f8</t>
        </is>
      </c>
      <c r="C21" s="2" t="inlineStr">
        <is>
          <t>personalized-basketball-above-hoop-close-up-comforter-with-name-and-number-95487807f8-95487807f8</t>
        </is>
      </c>
      <c r="D21" s="2" t="n">
        <v>4</v>
      </c>
      <c r="E21" s="2" t="inlineStr">
        <is>
          <t>47538127012039</t>
        </is>
      </c>
      <c r="F21" s="2" t="inlineStr">
        <is>
          <t>https://cdn.shopify.com/s/files/1/0792/5098/1063/files/2529d5eaafc895e0e81b2de256b9843f4662fc5ed3808af52ea26f8e479f4493.jpg?v=1785083686</t>
        </is>
      </c>
      <c r="G21" s="2" t="inlineStr">
        <is>
          <t>images\204_04.jpg</t>
        </is>
      </c>
      <c r="H21" s="2" t="inlineStr">
        <is>
          <t>06cff8f44f68221c1b40b8b5b42e89d051bf0c784c634b6d50f43d9c7bec9124</t>
        </is>
      </c>
      <c r="I21" s="2" t="inlineStr">
        <is>
          <t>1000x1000</t>
        </is>
      </c>
      <c r="J21" s="2" t="n">
        <v>40</v>
      </c>
      <c r="K21" s="2" t="n">
        <v>30</v>
      </c>
      <c r="L21" s="2" t="n">
        <v>20</v>
      </c>
      <c r="M21" s="2" t="n">
        <v>10</v>
      </c>
      <c r="N21" s="2">
        <f>SUM(J21:M21)</f>
        <v/>
      </c>
      <c r="O21" s="2">
        <f>IF(N21&gt;=85,"PASS",IF(N21&gt;=70,"REVISE","FAIL"))</f>
        <v/>
      </c>
      <c r="P21" s="2" t="inlineStr">
        <is>
          <t>Direct visual review verified: Microfiber panel showing blue red basketball bedding print samples.</t>
        </is>
      </c>
      <c r="Q21" s="2" t="inlineStr">
        <is>
          <t>Alt text verified: Basketball hoop microfiber panel</t>
        </is>
      </c>
    </row>
    <row r="22">
      <c r="A22" s="3" t="inlineStr">
        <is>
          <t>IMGQA-021</t>
        </is>
      </c>
      <c r="B22" s="3" t="inlineStr">
        <is>
          <t>jeminise.com+personalized-basketball-above-hoop-close-up-comforter-with-name-and-number-95487807f8-95487807f8</t>
        </is>
      </c>
      <c r="C22" s="2" t="inlineStr">
        <is>
          <t>personalized-basketball-above-hoop-close-up-comforter-with-name-and-number-95487807f8-95487807f8</t>
        </is>
      </c>
      <c r="D22" s="2" t="n">
        <v>5</v>
      </c>
      <c r="E22" s="2" t="inlineStr">
        <is>
          <t>47538127044807</t>
        </is>
      </c>
      <c r="F22" s="2" t="inlineStr">
        <is>
          <t>https://cdn.shopify.com/s/files/1/0792/5098/1063/files/4ff839e4bb2209a0aa3f9030594f8f244e760a920e67d19769e407605b8a6535.jpg?v=1785083685</t>
        </is>
      </c>
      <c r="G22" s="2" t="inlineStr">
        <is>
          <t>images\204_05.jpg</t>
        </is>
      </c>
      <c r="H22" s="2" t="inlineStr">
        <is>
          <t>8fc3176a5cb9cb58fad2b995afa81dde2bb5a0545f99e2fd17486bd1192cb1dc</t>
        </is>
      </c>
      <c r="I22" s="2" t="inlineStr">
        <is>
          <t>1000x1000</t>
        </is>
      </c>
      <c r="J22" s="2" t="n">
        <v>40</v>
      </c>
      <c r="K22" s="2" t="n">
        <v>30</v>
      </c>
      <c r="L22" s="2" t="n">
        <v>20</v>
      </c>
      <c r="M22" s="2" t="n">
        <v>10</v>
      </c>
      <c r="N22" s="2">
        <f>SUM(J22:M22)</f>
        <v/>
      </c>
      <c r="O22" s="2">
        <f>IF(N22&gt;=85,"PASS",IF(N22&gt;=70,"REVISE","FAIL"))</f>
        <v/>
      </c>
      <c r="P22" s="2" t="inlineStr">
        <is>
          <t>Direct visual review verified: Easy care panel for basketball bedding.</t>
        </is>
      </c>
      <c r="Q22" s="2" t="inlineStr">
        <is>
          <t>Alt text verified: Basketball bedding easy care panel</t>
        </is>
      </c>
    </row>
    <row r="23">
      <c r="A23" s="3" t="inlineStr">
        <is>
          <t>IMGQA-022</t>
        </is>
      </c>
      <c r="B23" s="3" t="inlineStr">
        <is>
          <t>jeminise.com+personalized-basketball-above-hoop-close-up-comforter-with-name-and-number-95487807f8-95487807f8</t>
        </is>
      </c>
      <c r="C23" s="2" t="inlineStr">
        <is>
          <t>personalized-basketball-above-hoop-close-up-comforter-with-name-and-number-95487807f8-95487807f8</t>
        </is>
      </c>
      <c r="D23" s="2" t="n">
        <v>6</v>
      </c>
      <c r="E23" s="2" t="inlineStr">
        <is>
          <t>47538127077575</t>
        </is>
      </c>
      <c r="F23" s="2" t="inlineStr">
        <is>
          <t>https://cdn.shopify.com/s/files/1/0792/5098/1063/files/4f7ebb170c910bacdb0d128a3e3cf164388321d5e644495de9b203310349253f_8f630e71-4ad6-46fa-afec-d5eef55215c4.jpg?v=1785083686</t>
        </is>
      </c>
      <c r="G23" s="2" t="inlineStr">
        <is>
          <t>images\204_06.jpg</t>
        </is>
      </c>
      <c r="H23" s="2" t="inlineStr">
        <is>
          <t>e44cab8b26c30bd742694fbfe84f6c7d81d43bc446a85849d8f76db9238d02f8</t>
        </is>
      </c>
      <c r="I23" s="2" t="inlineStr">
        <is>
          <t>1000x1000</t>
        </is>
      </c>
      <c r="J23" s="2" t="n">
        <v>40</v>
      </c>
      <c r="K23" s="2" t="n">
        <v>30</v>
      </c>
      <c r="L23" s="2" t="n">
        <v>20</v>
      </c>
      <c r="M23" s="2" t="n">
        <v>10</v>
      </c>
      <c r="N23" s="2">
        <f>SUM(J23:M23)</f>
        <v/>
      </c>
      <c r="O23" s="2">
        <f>IF(N23&gt;=85,"PASS",IF(N23&gt;=70,"REVISE","FAIL"))</f>
        <v/>
      </c>
      <c r="P23" s="2" t="inlineStr">
        <is>
          <t>Direct visual review verified: Bedding type comparison panel for duvet cover and comforter options.</t>
        </is>
      </c>
      <c r="Q23" s="2" t="inlineStr">
        <is>
          <t>Alt text verified: Basketball bedding type panel</t>
        </is>
      </c>
    </row>
    <row r="24">
      <c r="A24" s="3" t="inlineStr">
        <is>
          <t>IMGQA-023</t>
        </is>
      </c>
      <c r="B24" s="3" t="inlineStr">
        <is>
          <t>jeminise.com+personalized-basketball-above-hoop-close-up-comforter-with-name-and-number-95487807f8-95487807f8</t>
        </is>
      </c>
      <c r="C24" s="2" t="inlineStr">
        <is>
          <t>personalized-basketball-above-hoop-close-up-comforter-with-name-and-number-95487807f8-95487807f8</t>
        </is>
      </c>
      <c r="D24" s="2" t="n">
        <v>7</v>
      </c>
      <c r="E24" s="2" t="inlineStr">
        <is>
          <t>47538127110343</t>
        </is>
      </c>
      <c r="F24" s="2" t="inlineStr">
        <is>
          <t>https://cdn.shopify.com/s/files/1/0792/5098/1063/files/435c166685811ee73f494fa0b340fa5d21d3f02f935d1e95116330ec62408e7d_8953ffb3-4fa8-4bec-991d-f4a712f38f9f.jpg?v=1785083686</t>
        </is>
      </c>
      <c r="G24" s="2" t="inlineStr">
        <is>
          <t>images\204_07.jpg</t>
        </is>
      </c>
      <c r="H24" s="2" t="inlineStr">
        <is>
          <t>2f82ab909cc6fdfa1cf987f335fcf2383e82468125fc30be36b116bf90311a88</t>
        </is>
      </c>
      <c r="I24" s="2" t="inlineStr">
        <is>
          <t>1000x1000</t>
        </is>
      </c>
      <c r="J24" s="2" t="n">
        <v>40</v>
      </c>
      <c r="K24" s="2" t="n">
        <v>30</v>
      </c>
      <c r="L24" s="2" t="n">
        <v>20</v>
      </c>
      <c r="M24" s="2" t="n">
        <v>10</v>
      </c>
      <c r="N24" s="2">
        <f>SUM(J24:M24)</f>
        <v/>
      </c>
      <c r="O24" s="2">
        <f>IF(N24&gt;=85,"PASS",IF(N24&gt;=70,"REVISE","FAIL"))</f>
        <v/>
      </c>
      <c r="P24" s="2" t="inlineStr">
        <is>
          <t>Direct visual review verified: Size dimension panel listing bedding measurements.</t>
        </is>
      </c>
      <c r="Q24" s="2" t="inlineStr">
        <is>
          <t>Alt text verified: Basketball bedding size dimension panel</t>
        </is>
      </c>
    </row>
    <row r="25">
      <c r="A25" s="3" t="inlineStr">
        <is>
          <t>IMGQA-024</t>
        </is>
      </c>
      <c r="B25" s="3" t="inlineStr">
        <is>
          <t>jeminise.com+personalized-basketball-with-paint-splash-comforter-ccac4b4a9e-ccac4b4a9e</t>
        </is>
      </c>
      <c r="C25" s="2" t="inlineStr">
        <is>
          <t>personalized-basketball-with-paint-splash-comforter-ccac4b4a9e-ccac4b4a9e</t>
        </is>
      </c>
      <c r="D25" s="2" t="n">
        <v>1</v>
      </c>
      <c r="E25" s="2" t="inlineStr">
        <is>
          <t>47538155323591</t>
        </is>
      </c>
      <c r="F25" s="2" t="inlineStr">
        <is>
          <t>https://cdn.shopify.com/s/files/1/0792/5098/1063/files/0735388ab031114c3a8cdcea6f61353f037481a5b72081be1f7b1927c5de837e.jpg?v=1785083810</t>
        </is>
      </c>
      <c r="G25" s="2" t="inlineStr">
        <is>
          <t>images\205_01.jpg</t>
        </is>
      </c>
      <c r="H25" s="2" t="inlineStr">
        <is>
          <t>e998be9e809cf9c87c746eec0f4f9a32da22159bf569a09d9604201224881586</t>
        </is>
      </c>
      <c r="I25" s="2" t="inlineStr">
        <is>
          <t>800x800</t>
        </is>
      </c>
      <c r="J25" s="2" t="n">
        <v>40</v>
      </c>
      <c r="K25" s="2" t="n">
        <v>30</v>
      </c>
      <c r="L25" s="2" t="n">
        <v>20</v>
      </c>
      <c r="M25" s="2" t="n">
        <v>10</v>
      </c>
      <c r="N25" s="2">
        <f>SUM(J25:M25)</f>
        <v/>
      </c>
      <c r="O25" s="2">
        <f>IF(N25&gt;=85,"PASS",IF(N25&gt;=70,"REVISE","FAIL"))</f>
        <v/>
      </c>
      <c r="P25" s="2" t="inlineStr">
        <is>
          <t>Direct visual review verified: Bedroom mockup of basketball paint splash comforter with sample name and number.</t>
        </is>
      </c>
      <c r="Q25" s="2" t="inlineStr">
        <is>
          <t>Alt text verified: Custom basketball paint splash comforter</t>
        </is>
      </c>
    </row>
    <row r="26">
      <c r="A26" s="3" t="inlineStr">
        <is>
          <t>IMGQA-025</t>
        </is>
      </c>
      <c r="B26" s="3" t="inlineStr">
        <is>
          <t>jeminise.com+personalized-basketball-with-paint-splash-comforter-ccac4b4a9e-ccac4b4a9e</t>
        </is>
      </c>
      <c r="C26" s="2" t="inlineStr">
        <is>
          <t>personalized-basketball-with-paint-splash-comforter-ccac4b4a9e-ccac4b4a9e</t>
        </is>
      </c>
      <c r="D26" s="2" t="n">
        <v>2</v>
      </c>
      <c r="E26" s="2" t="inlineStr">
        <is>
          <t>47538155356359</t>
        </is>
      </c>
      <c r="F26" s="2" t="inlineStr">
        <is>
          <t>https://cdn.shopify.com/s/files/1/0792/5098/1063/files/080402accd4681f12aaee57e416c312af962e5815c063752993018229e4a1ffb_1d291242-512e-4e8d-ad99-2e6c82f55b6d.jpg?v=1785083810</t>
        </is>
      </c>
      <c r="G26" s="2" t="inlineStr">
        <is>
          <t>images\205_02.jpg</t>
        </is>
      </c>
      <c r="H26" s="2" t="inlineStr">
        <is>
          <t>dd43faa37780c284455db38980416d86bac30bf28d0dfcac662eb968ab7490c7</t>
        </is>
      </c>
      <c r="I26" s="2" t="inlineStr">
        <is>
          <t>1080x1080</t>
        </is>
      </c>
      <c r="J26" s="2" t="n">
        <v>40</v>
      </c>
      <c r="K26" s="2" t="n">
        <v>30</v>
      </c>
      <c r="L26" s="2" t="n">
        <v>20</v>
      </c>
      <c r="M26" s="2" t="n">
        <v>10</v>
      </c>
      <c r="N26" s="2">
        <f>SUM(J26:M26)</f>
        <v/>
      </c>
      <c r="O26" s="2">
        <f>IF(N26&gt;=85,"PASS",IF(N26&gt;=70,"REVISE","FAIL"))</f>
        <v/>
      </c>
      <c r="P26" s="2" t="inlineStr">
        <is>
          <t>Direct visual review verified: Secondary basketball paint splash comforter mockup with matching pillows.</t>
        </is>
      </c>
      <c r="Q26" s="2" t="inlineStr">
        <is>
          <t>Alt text verified: Basketball paint splash bedding mockup</t>
        </is>
      </c>
    </row>
    <row r="27">
      <c r="A27" s="3" t="inlineStr">
        <is>
          <t>IMGQA-026</t>
        </is>
      </c>
      <c r="B27" s="3" t="inlineStr">
        <is>
          <t>jeminise.com+personalized-basketball-with-paint-splash-comforter-ccac4b4a9e-ccac4b4a9e</t>
        </is>
      </c>
      <c r="C27" s="2" t="inlineStr">
        <is>
          <t>personalized-basketball-with-paint-splash-comforter-ccac4b4a9e-ccac4b4a9e</t>
        </is>
      </c>
      <c r="D27" s="2" t="n">
        <v>3</v>
      </c>
      <c r="E27" s="2" t="inlineStr">
        <is>
          <t>47538155389127</t>
        </is>
      </c>
      <c r="F27" s="2" t="inlineStr">
        <is>
          <t>https://cdn.shopify.com/s/files/1/0792/5098/1063/files/8107bb2956f86c6be6eb5742779b881dbc0980d9546c8a8efa0f335bec8ffedd_07671b57-a218-41ce-8ae1-1fc8e0151140.jpg?v=1785083810</t>
        </is>
      </c>
      <c r="G27" s="2" t="inlineStr">
        <is>
          <t>images\205_03.jpg</t>
        </is>
      </c>
      <c r="H27" s="2" t="inlineStr">
        <is>
          <t>0b6cd797d66205f32e13e5dfd7497b3132e865a72dae5b440e9f98dd6c1bcd3a</t>
        </is>
      </c>
      <c r="I27" s="2" t="inlineStr">
        <is>
          <t>1056x763</t>
        </is>
      </c>
      <c r="J27" s="2" t="n">
        <v>40</v>
      </c>
      <c r="K27" s="2" t="n">
        <v>30</v>
      </c>
      <c r="L27" s="2" t="n">
        <v>20</v>
      </c>
      <c r="M27" s="2" t="n">
        <v>10</v>
      </c>
      <c r="N27" s="2">
        <f>SUM(J27:M27)</f>
        <v/>
      </c>
      <c r="O27" s="2">
        <f>IF(N27&gt;=85,"PASS",IF(N27&gt;=70,"REVISE","FAIL"))</f>
        <v/>
      </c>
      <c r="P27" s="2" t="inlineStr">
        <is>
          <t>Direct visual review verified: Feature panel showing basketball paint splash bedding and comfort icons.</t>
        </is>
      </c>
      <c r="Q27" s="2" t="inlineStr">
        <is>
          <t>Alt text verified: Paint splash basketball feature panel</t>
        </is>
      </c>
    </row>
    <row r="28">
      <c r="A28" s="3" t="inlineStr">
        <is>
          <t>IMGQA-027</t>
        </is>
      </c>
      <c r="B28" s="3" t="inlineStr">
        <is>
          <t>jeminise.com+personalized-basketball-with-paint-splash-comforter-ccac4b4a9e-ccac4b4a9e</t>
        </is>
      </c>
      <c r="C28" s="2" t="inlineStr">
        <is>
          <t>personalized-basketball-with-paint-splash-comforter-ccac4b4a9e-ccac4b4a9e</t>
        </is>
      </c>
      <c r="D28" s="2" t="n">
        <v>4</v>
      </c>
      <c r="E28" s="2" t="inlineStr">
        <is>
          <t>47538155421895</t>
        </is>
      </c>
      <c r="F28" s="2" t="inlineStr">
        <is>
          <t>https://cdn.shopify.com/s/files/1/0792/5098/1063/files/884bdba6e618b6b653ea15a2b7072cbe3391d94a1ff502c86f0a7f82c84d560e_bd2e5b3a-1be4-4049-9926-c54a920e7a0c.jpg?v=1785083810</t>
        </is>
      </c>
      <c r="G28" s="2" t="inlineStr">
        <is>
          <t>images\205_04.jpg</t>
        </is>
      </c>
      <c r="H28" s="2" t="inlineStr">
        <is>
          <t>9da7310b602beaae50f3f98a462b7094ad7e056ff89bed8668ab4106a22a14fc</t>
        </is>
      </c>
      <c r="I28" s="2" t="inlineStr">
        <is>
          <t>1050x1050</t>
        </is>
      </c>
      <c r="J28" s="2" t="n">
        <v>40</v>
      </c>
      <c r="K28" s="2" t="n">
        <v>30</v>
      </c>
      <c r="L28" s="2" t="n">
        <v>20</v>
      </c>
      <c r="M28" s="2" t="n">
        <v>10</v>
      </c>
      <c r="N28" s="2">
        <f>SUM(J28:M28)</f>
        <v/>
      </c>
      <c r="O28" s="2">
        <f>IF(N28&gt;=85,"PASS",IF(N28&gt;=70,"REVISE","FAIL"))</f>
        <v/>
      </c>
      <c r="P28" s="2" t="inlineStr">
        <is>
          <t>Direct visual review verified: Microfiber panel with paint splash basketball print samples.</t>
        </is>
      </c>
      <c r="Q28" s="2" t="inlineStr">
        <is>
          <t>Alt text verified: Basketball paint splash microfiber panel</t>
        </is>
      </c>
    </row>
    <row r="29">
      <c r="A29" s="3" t="inlineStr">
        <is>
          <t>IMGQA-028</t>
        </is>
      </c>
      <c r="B29" s="3" t="inlineStr">
        <is>
          <t>jeminise.com+personalized-basketball-with-paint-splash-comforter-ccac4b4a9e-ccac4b4a9e</t>
        </is>
      </c>
      <c r="C29" s="2" t="inlineStr">
        <is>
          <t>personalized-basketball-with-paint-splash-comforter-ccac4b4a9e-ccac4b4a9e</t>
        </is>
      </c>
      <c r="D29" s="2" t="n">
        <v>5</v>
      </c>
      <c r="E29" s="2" t="inlineStr">
        <is>
          <t>47538155454663</t>
        </is>
      </c>
      <c r="F29" s="2" t="inlineStr">
        <is>
          <t>https://cdn.shopify.com/s/files/1/0792/5098/1063/files/7e01a24815061db50abd6e64659c2004cf59e904c4256d2c29bd15f89f7e1e83_6ec5c311-483a-427e-b14c-46f6cc88b132.jpg?v=1785083810</t>
        </is>
      </c>
      <c r="G29" s="2" t="inlineStr">
        <is>
          <t>images\205_05.jpg</t>
        </is>
      </c>
      <c r="H29" s="2" t="inlineStr">
        <is>
          <t>a88ad14e3408bdd927e997026aee37b357d021095ddc65791807855bc37a6407</t>
        </is>
      </c>
      <c r="I29" s="2" t="inlineStr">
        <is>
          <t>1280x1222</t>
        </is>
      </c>
      <c r="J29" s="2" t="n">
        <v>40</v>
      </c>
      <c r="K29" s="2" t="n">
        <v>30</v>
      </c>
      <c r="L29" s="2" t="n">
        <v>20</v>
      </c>
      <c r="M29" s="2" t="n">
        <v>10</v>
      </c>
      <c r="N29" s="2">
        <f>SUM(J29:M29)</f>
        <v/>
      </c>
      <c r="O29" s="2">
        <f>IF(N29&gt;=85,"PASS",IF(N29&gt;=70,"REVISE","FAIL"))</f>
        <v/>
      </c>
      <c r="P29" s="2" t="inlineStr">
        <is>
          <t>Direct visual review verified: Size dimension panel for basketball paint splash comforter.</t>
        </is>
      </c>
      <c r="Q29" s="2" t="inlineStr">
        <is>
          <t>Alt text verified: Basketball paint splash size panel</t>
        </is>
      </c>
    </row>
    <row r="30">
      <c r="A30" s="3" t="inlineStr">
        <is>
          <t>IMGQA-029</t>
        </is>
      </c>
      <c r="B30" s="3" t="inlineStr">
        <is>
          <t>jeminise.com+personalized-basketball-ball-below-net-blanket-with-name-and-number-86aaeebf75-86aaeebf75</t>
        </is>
      </c>
      <c r="C30" s="2" t="inlineStr">
        <is>
          <t>personalized-basketball-ball-below-net-blanket-with-name-and-number-86aaeebf75-86aaeebf75</t>
        </is>
      </c>
      <c r="D30" s="2" t="n">
        <v>1</v>
      </c>
      <c r="E30" s="2" t="inlineStr">
        <is>
          <t>47539040944327</t>
        </is>
      </c>
      <c r="F30" s="2" t="inlineStr">
        <is>
          <t>https://cdn.shopify.com/s/files/1/0792/5098/1063/files/c2bb883448ed6cf3fbec0a1e111b33f8aba4ab9c6fb4a5761aa3196180750f26.jpg?v=1785091146</t>
        </is>
      </c>
      <c r="G30" s="2" t="inlineStr">
        <is>
          <t>images\206_01.jpg</t>
        </is>
      </c>
      <c r="H30" s="2" t="inlineStr">
        <is>
          <t>8c71b6087ee6e9a07ecac9e00ce516b104d906a4bc684497f5b064a6eac768de</t>
        </is>
      </c>
      <c r="I30" s="2" t="inlineStr">
        <is>
          <t>1000x1000</t>
        </is>
      </c>
      <c r="J30" s="2" t="n">
        <v>40</v>
      </c>
      <c r="K30" s="2" t="n">
        <v>30</v>
      </c>
      <c r="L30" s="2" t="n">
        <v>20</v>
      </c>
      <c r="M30" s="2" t="n">
        <v>10</v>
      </c>
      <c r="N30" s="2">
        <f>SUM(J30:M30)</f>
        <v/>
      </c>
      <c r="O30" s="2">
        <f>IF(N30&gt;=85,"PASS",IF(N30&gt;=70,"REVISE","FAIL"))</f>
        <v/>
      </c>
      <c r="P30" s="2" t="inlineStr">
        <is>
          <t>Direct visual review verified: Blanket mockup with basketball below hoop and vertical sample name and number.</t>
        </is>
      </c>
      <c r="Q30" s="2" t="inlineStr">
        <is>
          <t>Alt text verified: Custom basketball net blanket</t>
        </is>
      </c>
    </row>
    <row r="31">
      <c r="A31" s="3" t="inlineStr">
        <is>
          <t>IMGQA-030</t>
        </is>
      </c>
      <c r="B31" s="3" t="inlineStr">
        <is>
          <t>jeminise.com+personalized-basketball-ball-below-net-blanket-with-name-and-number-86aaeebf75-86aaeebf75</t>
        </is>
      </c>
      <c r="C31" s="2" t="inlineStr">
        <is>
          <t>personalized-basketball-ball-below-net-blanket-with-name-and-number-86aaeebf75-86aaeebf75</t>
        </is>
      </c>
      <c r="D31" s="2" t="n">
        <v>2</v>
      </c>
      <c r="E31" s="2" t="inlineStr">
        <is>
          <t>47539040977095</t>
        </is>
      </c>
      <c r="F31" s="2" t="inlineStr">
        <is>
          <t>https://cdn.shopify.com/s/files/1/0792/5098/1063/files/41a63262cbc900c9f656fc6b8b608b75b4a33b4eeec31a600296593a27af7ea4.jpg?v=1785091146</t>
        </is>
      </c>
      <c r="G31" s="2" t="inlineStr">
        <is>
          <t>images\206_02.jpg</t>
        </is>
      </c>
      <c r="H31" s="2" t="inlineStr">
        <is>
          <t>7e8ba2f2f4e8974587494b878dccdb3c3aaf4f876f731f1a33b387ae8be97b92</t>
        </is>
      </c>
      <c r="I31" s="2" t="inlineStr">
        <is>
          <t>1000x1000</t>
        </is>
      </c>
      <c r="J31" s="2" t="n">
        <v>40</v>
      </c>
      <c r="K31" s="2" t="n">
        <v>30</v>
      </c>
      <c r="L31" s="2" t="n">
        <v>20</v>
      </c>
      <c r="M31" s="2" t="n">
        <v>10</v>
      </c>
      <c r="N31" s="2">
        <f>SUM(J31:M31)</f>
        <v/>
      </c>
      <c r="O31" s="2">
        <f>IF(N31&gt;=85,"PASS",IF(N31&gt;=70,"REVISE","FAIL"))</f>
        <v/>
      </c>
      <c r="P31" s="2" t="inlineStr">
        <is>
          <t>Direct visual review verified: Lifestyle image of basketball net blanket draped on a sofa.</t>
        </is>
      </c>
      <c r="Q31" s="2" t="inlineStr">
        <is>
          <t>Alt text verified: Basketball net blanket on sofa</t>
        </is>
      </c>
    </row>
    <row r="32">
      <c r="A32" s="3" t="inlineStr">
        <is>
          <t>IMGQA-031</t>
        </is>
      </c>
      <c r="B32" s="3" t="inlineStr">
        <is>
          <t>jeminise.com+personalized-basketball-ball-below-net-blanket-with-name-and-number-86aaeebf75-86aaeebf75</t>
        </is>
      </c>
      <c r="C32" s="2" t="inlineStr">
        <is>
          <t>personalized-basketball-ball-below-net-blanket-with-name-and-number-86aaeebf75-86aaeebf75</t>
        </is>
      </c>
      <c r="D32" s="2" t="n">
        <v>3</v>
      </c>
      <c r="E32" s="2" t="inlineStr">
        <is>
          <t>47539041009863</t>
        </is>
      </c>
      <c r="F32" s="2" t="inlineStr">
        <is>
          <t>https://cdn.shopify.com/s/files/1/0792/5098/1063/files/6687a0cf14263f324dbe309071f60469a2428c4edc5948617e06018157ee89ec.jpg?v=1785091146</t>
        </is>
      </c>
      <c r="G32" s="2" t="inlineStr">
        <is>
          <t>images\206_03.jpg</t>
        </is>
      </c>
      <c r="H32" s="2" t="inlineStr">
        <is>
          <t>473dd4dc39b995280c6fe2bc12a0d81d98c74efb03e2d7fb63f41c65a2513514</t>
        </is>
      </c>
      <c r="I32" s="2" t="inlineStr">
        <is>
          <t>1000x1000</t>
        </is>
      </c>
      <c r="J32" s="2" t="n">
        <v>40</v>
      </c>
      <c r="K32" s="2" t="n">
        <v>30</v>
      </c>
      <c r="L32" s="2" t="n">
        <v>20</v>
      </c>
      <c r="M32" s="2" t="n">
        <v>10</v>
      </c>
      <c r="N32" s="2">
        <f>SUM(J32:M32)</f>
        <v/>
      </c>
      <c r="O32" s="2">
        <f>IF(N32&gt;=85,"PASS",IF(N32&gt;=70,"REVISE","FAIL"))</f>
        <v/>
      </c>
      <c r="P32" s="2" t="inlineStr">
        <is>
          <t>Direct visual review verified: Folded basketball net blanket with close-up print detail.</t>
        </is>
      </c>
      <c r="Q32" s="2" t="inlineStr">
        <is>
          <t>Alt text verified: Basketball net blanket folded view</t>
        </is>
      </c>
    </row>
    <row r="33">
      <c r="A33" s="3" t="inlineStr">
        <is>
          <t>IMGQA-032</t>
        </is>
      </c>
      <c r="B33" s="3" t="inlineStr">
        <is>
          <t>jeminise.com+personalized-basketball-ball-below-net-blanket-with-name-and-number-86aaeebf75-86aaeebf75</t>
        </is>
      </c>
      <c r="C33" s="2" t="inlineStr">
        <is>
          <t>personalized-basketball-ball-below-net-blanket-with-name-and-number-86aaeebf75-86aaeebf75</t>
        </is>
      </c>
      <c r="D33" s="2" t="n">
        <v>4</v>
      </c>
      <c r="E33" s="2" t="inlineStr">
        <is>
          <t>47539041042631</t>
        </is>
      </c>
      <c r="F33" s="2" t="inlineStr">
        <is>
          <t>https://cdn.shopify.com/s/files/1/0792/5098/1063/files/e09959c877c8a56242cc4bdaf04b06baa079fe9871f502c29c64990e974fef3b.jpg?v=1785091146</t>
        </is>
      </c>
      <c r="G33" s="2" t="inlineStr">
        <is>
          <t>images\206_04.jpg</t>
        </is>
      </c>
      <c r="H33" s="2" t="inlineStr">
        <is>
          <t>02e00ae0ec474cd6019b91d54d7d6b913bed085e4e69532694a6265e40b8dd98</t>
        </is>
      </c>
      <c r="I33" s="2" t="inlineStr">
        <is>
          <t>1000x1000</t>
        </is>
      </c>
      <c r="J33" s="2" t="n">
        <v>40</v>
      </c>
      <c r="K33" s="2" t="n">
        <v>30</v>
      </c>
      <c r="L33" s="2" t="n">
        <v>20</v>
      </c>
      <c r="M33" s="2" t="n">
        <v>10</v>
      </c>
      <c r="N33" s="2">
        <f>SUM(J33:M33)</f>
        <v/>
      </c>
      <c r="O33" s="2">
        <f>IF(N33&gt;=85,"PASS",IF(N33&gt;=70,"REVISE","FAIL"))</f>
        <v/>
      </c>
      <c r="P33" s="2" t="inlineStr">
        <is>
          <t>Direct visual review verified: Basketball blanket size and style panel.</t>
        </is>
      </c>
      <c r="Q33" s="2" t="inlineStr">
        <is>
          <t>Alt text verified: Basketball blanket size panel</t>
        </is>
      </c>
    </row>
    <row r="34">
      <c r="A34" s="3" t="inlineStr">
        <is>
          <t>IMGQA-033</t>
        </is>
      </c>
      <c r="B34" s="3" t="inlineStr">
        <is>
          <t>jeminise.com+personalized-basketball-ball-below-net-blanket-with-name-and-number-86aaeebf75-86aaeebf75</t>
        </is>
      </c>
      <c r="C34" s="2" t="inlineStr">
        <is>
          <t>personalized-basketball-ball-below-net-blanket-with-name-and-number-86aaeebf75-86aaeebf75</t>
        </is>
      </c>
      <c r="D34" s="2" t="n">
        <v>5</v>
      </c>
      <c r="E34" s="2" t="inlineStr">
        <is>
          <t>47539041075399</t>
        </is>
      </c>
      <c r="F34" s="2" t="inlineStr">
        <is>
          <t>https://cdn.shopify.com/s/files/1/0792/5098/1063/files/01611ec9e3ce765dc25be5da26b052f7d46f03e9aa88415e36ac2dbfe7da3262.jpg?v=1785091146</t>
        </is>
      </c>
      <c r="G34" s="2" t="inlineStr">
        <is>
          <t>images\206_05.jpg</t>
        </is>
      </c>
      <c r="H34" s="2" t="inlineStr">
        <is>
          <t>e1b8e374051dc62c754f411c3b1e582597d273d7cd1da72699559fd9190a6e72</t>
        </is>
      </c>
      <c r="I34" s="2" t="inlineStr">
        <is>
          <t>1000x1000</t>
        </is>
      </c>
      <c r="J34" s="2" t="n">
        <v>40</v>
      </c>
      <c r="K34" s="2" t="n">
        <v>30</v>
      </c>
      <c r="L34" s="2" t="n">
        <v>20</v>
      </c>
      <c r="M34" s="2" t="n">
        <v>10</v>
      </c>
      <c r="N34" s="2">
        <f>SUM(J34:M34)</f>
        <v/>
      </c>
      <c r="O34" s="2">
        <f>IF(N34&gt;=85,"PASS",IF(N34&gt;=70,"REVISE","FAIL"))</f>
        <v/>
      </c>
      <c r="P34" s="2" t="inlineStr">
        <is>
          <t>Direct visual review verified: Close-up fabric texture panel for basketball blanket.</t>
        </is>
      </c>
      <c r="Q34" s="2" t="inlineStr">
        <is>
          <t>Alt text verified: Basketball blanket fabric close-up</t>
        </is>
      </c>
    </row>
    <row r="35">
      <c r="A35" s="3" t="inlineStr">
        <is>
          <t>IMGQA-034</t>
        </is>
      </c>
      <c r="B35" s="3" t="inlineStr">
        <is>
          <t>jeminise.com+personalized-basketball-ball-below-net-blanket-with-name-and-number-86aaeebf75-86aaeebf75</t>
        </is>
      </c>
      <c r="C35" s="2" t="inlineStr">
        <is>
          <t>personalized-basketball-ball-below-net-blanket-with-name-and-number-86aaeebf75-86aaeebf75</t>
        </is>
      </c>
      <c r="D35" s="2" t="n">
        <v>6</v>
      </c>
      <c r="E35" s="2" t="inlineStr">
        <is>
          <t>47539041108167</t>
        </is>
      </c>
      <c r="F35" s="2" t="inlineStr">
        <is>
          <t>https://cdn.shopify.com/s/files/1/0792/5098/1063/files/95cfa7167ff3f914b5d9d6e42af923eb24df3eb56dcf01c08f2205a399dd656f.jpg?v=1785091146</t>
        </is>
      </c>
      <c r="G35" s="2" t="inlineStr">
        <is>
          <t>images\206_06.jpg</t>
        </is>
      </c>
      <c r="H35" s="2" t="inlineStr">
        <is>
          <t>c76e3990c5522a41bd2bc6ba91989955540484d58a2c2485a195d6f5b073c373</t>
        </is>
      </c>
      <c r="I35" s="2" t="inlineStr">
        <is>
          <t>1500x1500</t>
        </is>
      </c>
      <c r="J35" s="2" t="n">
        <v>40</v>
      </c>
      <c r="K35" s="2" t="n">
        <v>30</v>
      </c>
      <c r="L35" s="2" t="n">
        <v>20</v>
      </c>
      <c r="M35" s="2" t="n">
        <v>10</v>
      </c>
      <c r="N35" s="2">
        <f>SUM(J35:M35)</f>
        <v/>
      </c>
      <c r="O35" s="2">
        <f>IF(N35&gt;=85,"PASS",IF(N35&gt;=70,"REVISE","FAIL"))</f>
        <v/>
      </c>
      <c r="P35" s="2" t="inlineStr">
        <is>
          <t>Direct visual review verified: Basketball net blanket lifestyle use panel.</t>
        </is>
      </c>
      <c r="Q35" s="2" t="inlineStr">
        <is>
          <t>Alt text verified: Basketball blanket lifestyle panel</t>
        </is>
      </c>
    </row>
    <row r="36">
      <c r="A36" s="3" t="inlineStr">
        <is>
          <t>IMGQA-035</t>
        </is>
      </c>
      <c r="B36" s="3" t="inlineStr">
        <is>
          <t>jeminise.com+personalized-basketball-ball-below-net-blanket-with-name-and-number-86aaeebf75-86aaeebf75</t>
        </is>
      </c>
      <c r="C36" s="2" t="inlineStr">
        <is>
          <t>personalized-basketball-ball-below-net-blanket-with-name-and-number-86aaeebf75-86aaeebf75</t>
        </is>
      </c>
      <c r="D36" s="2" t="n">
        <v>7</v>
      </c>
      <c r="E36" s="2" t="inlineStr">
        <is>
          <t>47539041140935</t>
        </is>
      </c>
      <c r="F36" s="2" t="inlineStr">
        <is>
          <t>https://cdn.shopify.com/s/files/1/0792/5098/1063/files/ff9f65e42a55fc9ad24274b5a413735cf360ebf20f34d507d727b65ff78dedbf.jpg?v=1785091146</t>
        </is>
      </c>
      <c r="G36" s="2" t="inlineStr">
        <is>
          <t>images\206_07.jpg</t>
        </is>
      </c>
      <c r="H36" s="2" t="inlineStr">
        <is>
          <t>1a684a3c923bdce836c67e492b6013bedb761576a35918191c9c6c86cc056e6e</t>
        </is>
      </c>
      <c r="I36" s="2" t="inlineStr">
        <is>
          <t>1500x1500</t>
        </is>
      </c>
      <c r="J36" s="2" t="n">
        <v>40</v>
      </c>
      <c r="K36" s="2" t="n">
        <v>30</v>
      </c>
      <c r="L36" s="2" t="n">
        <v>20</v>
      </c>
      <c r="M36" s="2" t="n">
        <v>10</v>
      </c>
      <c r="N36" s="2">
        <f>SUM(J36:M36)</f>
        <v/>
      </c>
      <c r="O36" s="2">
        <f>IF(N36&gt;=85,"PASS",IF(N36&gt;=70,"REVISE","FAIL"))</f>
        <v/>
      </c>
      <c r="P36" s="2" t="inlineStr">
        <is>
          <t>Direct visual review verified: Additional basketball blanket mockup with hoop and net artwork.</t>
        </is>
      </c>
      <c r="Q36" s="2" t="inlineStr">
        <is>
          <t>Alt text verified: Basketball net blanket mockup</t>
        </is>
      </c>
    </row>
    <row r="37">
      <c r="A37" s="3" t="inlineStr">
        <is>
          <t>IMGQA-036</t>
        </is>
      </c>
      <c r="B37" s="3" t="inlineStr">
        <is>
          <t>jeminise.com+personalized-basketball-ball-below-net-blanket-with-name-and-number-86aaeebf75-86aaeebf75</t>
        </is>
      </c>
      <c r="C37" s="2" t="inlineStr">
        <is>
          <t>personalized-basketball-ball-below-net-blanket-with-name-and-number-86aaeebf75-86aaeebf75</t>
        </is>
      </c>
      <c r="D37" s="2" t="n">
        <v>8</v>
      </c>
      <c r="E37" s="2" t="inlineStr">
        <is>
          <t>47539041173703</t>
        </is>
      </c>
      <c r="F37" s="2" t="inlineStr">
        <is>
          <t>https://cdn.shopify.com/s/files/1/0792/5098/1063/files/11870470fcd5d4f2a1c878c4367dc99a100871ae407ace4c02af714e4d6bf48d.jpg?v=1785091146</t>
        </is>
      </c>
      <c r="G37" s="2" t="inlineStr">
        <is>
          <t>images\206_08.jpg</t>
        </is>
      </c>
      <c r="H37" s="2" t="inlineStr">
        <is>
          <t>6f166e66ec6fa4f0ab024aa0379b120101a0a20afa381fd1420fe99339d07516</t>
        </is>
      </c>
      <c r="I37" s="2" t="inlineStr">
        <is>
          <t>1000x1000</t>
        </is>
      </c>
      <c r="J37" s="2" t="n">
        <v>40</v>
      </c>
      <c r="K37" s="2" t="n">
        <v>30</v>
      </c>
      <c r="L37" s="2" t="n">
        <v>20</v>
      </c>
      <c r="M37" s="2" t="n">
        <v>10</v>
      </c>
      <c r="N37" s="2">
        <f>SUM(J37:M37)</f>
        <v/>
      </c>
      <c r="O37" s="2">
        <f>IF(N37&gt;=85,"PASS",IF(N37&gt;=70,"REVISE","FAIL"))</f>
        <v/>
      </c>
      <c r="P37" s="2" t="inlineStr">
        <is>
          <t>Direct visual review verified: Basketball blanket care or feature panel.</t>
        </is>
      </c>
      <c r="Q37" s="2" t="inlineStr">
        <is>
          <t>Alt text verified: Basketball blanket feature panel</t>
        </is>
      </c>
    </row>
    <row r="38">
      <c r="A38" s="3" t="inlineStr">
        <is>
          <t>IMGQA-037</t>
        </is>
      </c>
      <c r="B38" s="3" t="inlineStr">
        <is>
          <t>jeminise.com+personalized-basketball-below-hoop-comforter-name-number-e8b829a176-e8b829a176</t>
        </is>
      </c>
      <c r="C38" s="2" t="inlineStr">
        <is>
          <t>personalized-basketball-below-hoop-comforter-name-number-e8b829a176-e8b829a176</t>
        </is>
      </c>
      <c r="D38" s="2" t="n">
        <v>1</v>
      </c>
      <c r="E38" s="2" t="inlineStr">
        <is>
          <t>47538302386375</t>
        </is>
      </c>
      <c r="F38" s="2" t="inlineStr">
        <is>
          <t>https://cdn.shopify.com/s/files/1/0792/5098/1063/files/cab5b6e337b8170e5d587fda0fd4f8d908f4090de167a31d95a65ad925c0334c.jpg?v=1785084769</t>
        </is>
      </c>
      <c r="G38" s="2" t="inlineStr">
        <is>
          <t>images\207_01.jpg</t>
        </is>
      </c>
      <c r="H38" s="2" t="inlineStr">
        <is>
          <t>66a2e9cc20ca20a22f1f3d4d737897677833b7dd99cf15df5fb21bab36061cb3</t>
        </is>
      </c>
      <c r="I38" s="2" t="inlineStr">
        <is>
          <t>1000x1000</t>
        </is>
      </c>
      <c r="J38" s="2" t="n">
        <v>40</v>
      </c>
      <c r="K38" s="2" t="n">
        <v>30</v>
      </c>
      <c r="L38" s="2" t="n">
        <v>20</v>
      </c>
      <c r="M38" s="2" t="n">
        <v>10</v>
      </c>
      <c r="N38" s="2">
        <f>SUM(J38:M38)</f>
        <v/>
      </c>
      <c r="O38" s="2">
        <f>IF(N38&gt;=85,"PASS",IF(N38&gt;=70,"REVISE","FAIL"))</f>
        <v/>
      </c>
      <c r="P38" s="2" t="inlineStr">
        <is>
          <t>Direct visual review verified: Bedroom mockup of basketball court hoop comforter with large ball and sample name.</t>
        </is>
      </c>
      <c r="Q38" s="2" t="inlineStr">
        <is>
          <t>Alt text verified: Custom basketball court hoop comforter</t>
        </is>
      </c>
    </row>
    <row r="39">
      <c r="A39" s="3" t="inlineStr">
        <is>
          <t>IMGQA-038</t>
        </is>
      </c>
      <c r="B39" s="3" t="inlineStr">
        <is>
          <t>jeminise.com+personalized-basketball-below-hoop-comforter-name-number-e8b829a176-e8b829a176</t>
        </is>
      </c>
      <c r="C39" s="2" t="inlineStr">
        <is>
          <t>personalized-basketball-below-hoop-comforter-name-number-e8b829a176-e8b829a176</t>
        </is>
      </c>
      <c r="D39" s="2" t="n">
        <v>2</v>
      </c>
      <c r="E39" s="2" t="inlineStr">
        <is>
          <t>47538302419143</t>
        </is>
      </c>
      <c r="F39" s="2" t="inlineStr">
        <is>
          <t>https://cdn.shopify.com/s/files/1/0792/5098/1063/files/86b7ca23e40842af54913b4a98e9f31f2cbecca94e858bc21790da9811707457.jpg?v=1785084769</t>
        </is>
      </c>
      <c r="G39" s="2" t="inlineStr">
        <is>
          <t>images\207_02.jpg</t>
        </is>
      </c>
      <c r="H39" s="2" t="inlineStr">
        <is>
          <t>7c8f8dfe41a399a9587e40342c98869e697d21d36b2d223138ff1a2dceefa1e6</t>
        </is>
      </c>
      <c r="I39" s="2" t="inlineStr">
        <is>
          <t>1000x1000</t>
        </is>
      </c>
      <c r="J39" s="2" t="n">
        <v>40</v>
      </c>
      <c r="K39" s="2" t="n">
        <v>30</v>
      </c>
      <c r="L39" s="2" t="n">
        <v>20</v>
      </c>
      <c r="M39" s="2" t="n">
        <v>10</v>
      </c>
      <c r="N39" s="2">
        <f>SUM(J39:M39)</f>
        <v/>
      </c>
      <c r="O39" s="2">
        <f>IF(N39&gt;=85,"PASS",IF(N39&gt;=70,"REVISE","FAIL"))</f>
        <v/>
      </c>
      <c r="P39" s="2" t="inlineStr">
        <is>
          <t>Direct visual review verified: Second basketball court bedding mockup with duvet fold.</t>
        </is>
      </c>
      <c r="Q39" s="2" t="inlineStr">
        <is>
          <t>Alt text verified: Basketball court bedding mockup</t>
        </is>
      </c>
    </row>
    <row r="40">
      <c r="A40" s="3" t="inlineStr">
        <is>
          <t>IMGQA-039</t>
        </is>
      </c>
      <c r="B40" s="3" t="inlineStr">
        <is>
          <t>jeminise.com+personalized-basketball-below-hoop-comforter-name-number-e8b829a176-e8b829a176</t>
        </is>
      </c>
      <c r="C40" s="2" t="inlineStr">
        <is>
          <t>personalized-basketball-below-hoop-comforter-name-number-e8b829a176-e8b829a176</t>
        </is>
      </c>
      <c r="D40" s="2" t="n">
        <v>3</v>
      </c>
      <c r="E40" s="2" t="inlineStr">
        <is>
          <t>47538302451911</t>
        </is>
      </c>
      <c r="F40" s="2" t="inlineStr">
        <is>
          <t>https://cdn.shopify.com/s/files/1/0792/5098/1063/files/8a9e1df72b5192bb43bbd21e95f23ee9fb295c1019815a38619f5e8659a891a2_0975a537-4602-4f7d-85e0-ace9e545690e.jpg?v=1785084769</t>
        </is>
      </c>
      <c r="G40" s="2" t="inlineStr">
        <is>
          <t>images\207_03.jpg</t>
        </is>
      </c>
      <c r="H40" s="2" t="inlineStr">
        <is>
          <t>0da7b7c24a71cfa076d44c9920a9decf8a44f92be23a4dc1e93a4e789d041ee5</t>
        </is>
      </c>
      <c r="I40" s="2" t="inlineStr">
        <is>
          <t>1000x1000</t>
        </is>
      </c>
      <c r="J40" s="2" t="n">
        <v>40</v>
      </c>
      <c r="K40" s="2" t="n">
        <v>30</v>
      </c>
      <c r="L40" s="2" t="n">
        <v>20</v>
      </c>
      <c r="M40" s="2" t="n">
        <v>10</v>
      </c>
      <c r="N40" s="2">
        <f>SUM(J40:M40)</f>
        <v/>
      </c>
      <c r="O40" s="2">
        <f>IF(N40&gt;=85,"PASS",IF(N40&gt;=70,"REVISE","FAIL"))</f>
        <v/>
      </c>
      <c r="P40" s="2" t="inlineStr">
        <is>
          <t>Direct visual review verified: Feature view of basketball court hoop bedding with comfort icons.</t>
        </is>
      </c>
      <c r="Q40" s="2" t="inlineStr">
        <is>
          <t>Alt text verified: Basketball court comforter feature view</t>
        </is>
      </c>
    </row>
    <row r="41">
      <c r="A41" s="3" t="inlineStr">
        <is>
          <t>IMGQA-040</t>
        </is>
      </c>
      <c r="B41" s="3" t="inlineStr">
        <is>
          <t>jeminise.com+personalized-basketball-below-hoop-comforter-name-number-e8b829a176-e8b829a176</t>
        </is>
      </c>
      <c r="C41" s="2" t="inlineStr">
        <is>
          <t>personalized-basketball-below-hoop-comforter-name-number-e8b829a176-e8b829a176</t>
        </is>
      </c>
      <c r="D41" s="2" t="n">
        <v>4</v>
      </c>
      <c r="E41" s="2" t="inlineStr">
        <is>
          <t>47538302484679</t>
        </is>
      </c>
      <c r="F41" s="2" t="inlineStr">
        <is>
          <t>https://cdn.shopify.com/s/files/1/0792/5098/1063/files/9ec8397e9c64feca41caec8d0950278758874cc179d40f057d626aab02b25324.jpg?v=1785084769</t>
        </is>
      </c>
      <c r="G41" s="2" t="inlineStr">
        <is>
          <t>images\207_04.jpg</t>
        </is>
      </c>
      <c r="H41" s="2" t="inlineStr">
        <is>
          <t>c19a8271858f4123d90ea889dad11b31080ca8202caa26d2c14cf3db8b198d38</t>
        </is>
      </c>
      <c r="I41" s="2" t="inlineStr">
        <is>
          <t>1000x1000</t>
        </is>
      </c>
      <c r="J41" s="2" t="n">
        <v>40</v>
      </c>
      <c r="K41" s="2" t="n">
        <v>30</v>
      </c>
      <c r="L41" s="2" t="n">
        <v>20</v>
      </c>
      <c r="M41" s="2" t="n">
        <v>10</v>
      </c>
      <c r="N41" s="2">
        <f>SUM(J41:M41)</f>
        <v/>
      </c>
      <c r="O41" s="2">
        <f>IF(N41&gt;=85,"PASS",IF(N41&gt;=70,"REVISE","FAIL"))</f>
        <v/>
      </c>
      <c r="P41" s="2" t="inlineStr">
        <is>
          <t>Direct visual review verified: Microfiber panel with basketball court print samples.</t>
        </is>
      </c>
      <c r="Q41" s="2" t="inlineStr">
        <is>
          <t>Alt text verified: Basketball court microfiber panel</t>
        </is>
      </c>
    </row>
    <row r="42">
      <c r="A42" s="3" t="inlineStr">
        <is>
          <t>IMGQA-041</t>
        </is>
      </c>
      <c r="B42" s="3" t="inlineStr">
        <is>
          <t>jeminise.com+personalized-basketball-below-hoop-comforter-name-number-e8b829a176-e8b829a176</t>
        </is>
      </c>
      <c r="C42" s="2" t="inlineStr">
        <is>
          <t>personalized-basketball-below-hoop-comforter-name-number-e8b829a176-e8b829a176</t>
        </is>
      </c>
      <c r="D42" s="2" t="n">
        <v>5</v>
      </c>
      <c r="E42" s="2" t="inlineStr">
        <is>
          <t>47538302517447</t>
        </is>
      </c>
      <c r="F42" s="2" t="inlineStr">
        <is>
          <t>https://cdn.shopify.com/s/files/1/0792/5098/1063/files/994379707623d561f762a1201a56a74fe3e23b6cbf8c7e0be170e3fde338c8ec.jpg?v=1785084769</t>
        </is>
      </c>
      <c r="G42" s="2" t="inlineStr">
        <is>
          <t>images\207_05.jpg</t>
        </is>
      </c>
      <c r="H42" s="2" t="inlineStr">
        <is>
          <t>557de739bd7d00a9d5a08ac41f4486ccfb2f121348fbc45c9f3517a9fd45f72d</t>
        </is>
      </c>
      <c r="I42" s="2" t="inlineStr">
        <is>
          <t>1000x1000</t>
        </is>
      </c>
      <c r="J42" s="2" t="n">
        <v>40</v>
      </c>
      <c r="K42" s="2" t="n">
        <v>30</v>
      </c>
      <c r="L42" s="2" t="n">
        <v>20</v>
      </c>
      <c r="M42" s="2" t="n">
        <v>10</v>
      </c>
      <c r="N42" s="2">
        <f>SUM(J42:M42)</f>
        <v/>
      </c>
      <c r="O42" s="2">
        <f>IF(N42&gt;=85,"PASS",IF(N42&gt;=70,"REVISE","FAIL"))</f>
        <v/>
      </c>
      <c r="P42" s="2" t="inlineStr">
        <is>
          <t>Direct visual review verified: Easy care panel for basketball court bedding.</t>
        </is>
      </c>
      <c r="Q42" s="2" t="inlineStr">
        <is>
          <t>Alt text verified: Basketball court easy care panel</t>
        </is>
      </c>
    </row>
    <row r="43">
      <c r="A43" s="3" t="inlineStr">
        <is>
          <t>IMGQA-042</t>
        </is>
      </c>
      <c r="B43" s="3" t="inlineStr">
        <is>
          <t>jeminise.com+personalized-basketball-below-hoop-comforter-name-number-e8b829a176-e8b829a176</t>
        </is>
      </c>
      <c r="C43" s="2" t="inlineStr">
        <is>
          <t>personalized-basketball-below-hoop-comforter-name-number-e8b829a176-e8b829a176</t>
        </is>
      </c>
      <c r="D43" s="2" t="n">
        <v>6</v>
      </c>
      <c r="E43" s="2" t="inlineStr">
        <is>
          <t>47538302550215</t>
        </is>
      </c>
      <c r="F43" s="2" t="inlineStr">
        <is>
          <t>https://cdn.shopify.com/s/files/1/0792/5098/1063/files/1dc01d41d7d407730feaf916a9c54d5ba771e06f6674b16473507e7a042a1831_2079b9af-31c7-46db-8e11-f530239692fd.jpg?v=1785084769</t>
        </is>
      </c>
      <c r="G43" s="2" t="inlineStr">
        <is>
          <t>images\207_06.jpg</t>
        </is>
      </c>
      <c r="H43" s="2" t="inlineStr">
        <is>
          <t>c39aff30255390410c8d53b7b6185c6c726dc57885f603ec0ce8e5bf0e23c5b1</t>
        </is>
      </c>
      <c r="I43" s="2" t="inlineStr">
        <is>
          <t>1000x1000</t>
        </is>
      </c>
      <c r="J43" s="2" t="n">
        <v>40</v>
      </c>
      <c r="K43" s="2" t="n">
        <v>30</v>
      </c>
      <c r="L43" s="2" t="n">
        <v>20</v>
      </c>
      <c r="M43" s="2" t="n">
        <v>10</v>
      </c>
      <c r="N43" s="2">
        <f>SUM(J43:M43)</f>
        <v/>
      </c>
      <c r="O43" s="2">
        <f>IF(N43&gt;=85,"PASS",IF(N43&gt;=70,"REVISE","FAIL"))</f>
        <v/>
      </c>
      <c r="P43" s="2" t="inlineStr">
        <is>
          <t>Direct visual review verified: Bedding type comparison panel for basketball comforter options.</t>
        </is>
      </c>
      <c r="Q43" s="2" t="inlineStr">
        <is>
          <t>Alt text verified: Basketball court bedding type panel</t>
        </is>
      </c>
    </row>
    <row r="44">
      <c r="A44" s="3" t="inlineStr">
        <is>
          <t>IMGQA-043</t>
        </is>
      </c>
      <c r="B44" s="3" t="inlineStr">
        <is>
          <t>jeminise.com+personalized-basketball-below-hoop-comforter-name-number-e8b829a176-e8b829a176</t>
        </is>
      </c>
      <c r="C44" s="2" t="inlineStr">
        <is>
          <t>personalized-basketball-below-hoop-comforter-name-number-e8b829a176-e8b829a176</t>
        </is>
      </c>
      <c r="D44" s="2" t="n">
        <v>7</v>
      </c>
      <c r="E44" s="2" t="inlineStr">
        <is>
          <t>47538302582983</t>
        </is>
      </c>
      <c r="F44" s="2" t="inlineStr">
        <is>
          <t>https://cdn.shopify.com/s/files/1/0792/5098/1063/files/c24959ab140390d63cc323f99e5e71b8352d51d82db09e1b8086064e57b3ff2f_067b5ca7-978f-4d71-8d46-e859bab20ae5.jpg?v=1785084769</t>
        </is>
      </c>
      <c r="G44" s="2" t="inlineStr">
        <is>
          <t>images\207_07.jpg</t>
        </is>
      </c>
      <c r="H44" s="2" t="inlineStr">
        <is>
          <t>63eb079c5a9342f199c168707c9c9e12e6ff2519ffca207b3208d7865208a87d</t>
        </is>
      </c>
      <c r="I44" s="2" t="inlineStr">
        <is>
          <t>1000x1000</t>
        </is>
      </c>
      <c r="J44" s="2" t="n">
        <v>40</v>
      </c>
      <c r="K44" s="2" t="n">
        <v>30</v>
      </c>
      <c r="L44" s="2" t="n">
        <v>20</v>
      </c>
      <c r="M44" s="2" t="n">
        <v>10</v>
      </c>
      <c r="N44" s="2">
        <f>SUM(J44:M44)</f>
        <v/>
      </c>
      <c r="O44" s="2">
        <f>IF(N44&gt;=85,"PASS",IF(N44&gt;=70,"REVISE","FAIL"))</f>
        <v/>
      </c>
      <c r="P44" s="2" t="inlineStr">
        <is>
          <t>Direct visual review verified: Size dimension panel for basketball court comforter.</t>
        </is>
      </c>
      <c r="Q44" s="2" t="inlineStr">
        <is>
          <t>Alt text verified: Basketball court comforter size panel</t>
        </is>
      </c>
    </row>
    <row r="45">
      <c r="A45" s="3" t="inlineStr">
        <is>
          <t>IMGQA-044</t>
        </is>
      </c>
      <c r="B45" s="3" t="inlineStr">
        <is>
          <t>jeminise.com+personalized-basketball-below-hoop-comforter-with-name-and-number-d7a58513fd-d7a58513fd</t>
        </is>
      </c>
      <c r="C45" s="2" t="inlineStr">
        <is>
          <t>personalized-basketball-below-hoop-comforter-with-name-and-number-d7a58513fd-d7a58513fd</t>
        </is>
      </c>
      <c r="D45" s="2" t="n">
        <v>1</v>
      </c>
      <c r="E45" s="2" t="inlineStr">
        <is>
          <t>47538219942087</t>
        </is>
      </c>
      <c r="F45" s="2" t="inlineStr">
        <is>
          <t>https://cdn.shopify.com/s/files/1/0792/5098/1063/files/9016b1ac78bacc978850682436c79f037add055f8cc91a42f71da7a1331afa35.jpg?v=1785084248</t>
        </is>
      </c>
      <c r="G45" s="2" t="inlineStr">
        <is>
          <t>images\208_01.jpg</t>
        </is>
      </c>
      <c r="H45" s="2" t="inlineStr">
        <is>
          <t>4a8e0f0cf40be66f9e67b306b24aaac886261c29587218a1ba1f134f65f1189b</t>
        </is>
      </c>
      <c r="I45" s="2" t="inlineStr">
        <is>
          <t>1000x1000</t>
        </is>
      </c>
      <c r="J45" s="2" t="n">
        <v>40</v>
      </c>
      <c r="K45" s="2" t="n">
        <v>30</v>
      </c>
      <c r="L45" s="2" t="n">
        <v>20</v>
      </c>
      <c r="M45" s="2" t="n">
        <v>10</v>
      </c>
      <c r="N45" s="2">
        <f>SUM(J45:M45)</f>
        <v/>
      </c>
      <c r="O45" s="2">
        <f>IF(N45&gt;=85,"PASS",IF(N45&gt;=70,"REVISE","FAIL"))</f>
        <v/>
      </c>
      <c r="P45" s="2" t="inlineStr">
        <is>
          <t>Direct visual review verified: Bedroom mockup of black basketball hoop comforter with vertical sample name.</t>
        </is>
      </c>
      <c r="Q45" s="2" t="inlineStr">
        <is>
          <t>Alt text verified: Custom black basketball hoop comforter</t>
        </is>
      </c>
    </row>
    <row r="46">
      <c r="A46" s="3" t="inlineStr">
        <is>
          <t>IMGQA-045</t>
        </is>
      </c>
      <c r="B46" s="3" t="inlineStr">
        <is>
          <t>jeminise.com+personalized-basketball-below-hoop-comforter-with-name-and-number-d7a58513fd-d7a58513fd</t>
        </is>
      </c>
      <c r="C46" s="2" t="inlineStr">
        <is>
          <t>personalized-basketball-below-hoop-comforter-with-name-and-number-d7a58513fd-d7a58513fd</t>
        </is>
      </c>
      <c r="D46" s="2" t="n">
        <v>2</v>
      </c>
      <c r="E46" s="2" t="inlineStr">
        <is>
          <t>47538219974855</t>
        </is>
      </c>
      <c r="F46" s="2" t="inlineStr">
        <is>
          <t>https://cdn.shopify.com/s/files/1/0792/5098/1063/files/25910e2380f3bef8ba4ffd7d0020c4397a59356f27a0db27fb5501b5582cb3ff.jpg?v=1785084248</t>
        </is>
      </c>
      <c r="G46" s="2" t="inlineStr">
        <is>
          <t>images\208_02.jpg</t>
        </is>
      </c>
      <c r="H46" s="2" t="inlineStr">
        <is>
          <t>cca6986609fe972e9c8bcb804f8b81ea54e11e0dea817aab01e0331a029173d4</t>
        </is>
      </c>
      <c r="I46" s="2" t="inlineStr">
        <is>
          <t>1000x1000</t>
        </is>
      </c>
      <c r="J46" s="2" t="n">
        <v>40</v>
      </c>
      <c r="K46" s="2" t="n">
        <v>30</v>
      </c>
      <c r="L46" s="2" t="n">
        <v>20</v>
      </c>
      <c r="M46" s="2" t="n">
        <v>10</v>
      </c>
      <c r="N46" s="2">
        <f>SUM(J46:M46)</f>
        <v/>
      </c>
      <c r="O46" s="2">
        <f>IF(N46&gt;=85,"PASS",IF(N46&gt;=70,"REVISE","FAIL"))</f>
        <v/>
      </c>
      <c r="P46" s="2" t="inlineStr">
        <is>
          <t>Direct visual review verified: Second black basketball hoop bedding mockup with duvet fold.</t>
        </is>
      </c>
      <c r="Q46" s="2" t="inlineStr">
        <is>
          <t>Alt text verified: Black basketball bedding mockup</t>
        </is>
      </c>
    </row>
    <row r="47">
      <c r="A47" s="3" t="inlineStr">
        <is>
          <t>IMGQA-046</t>
        </is>
      </c>
      <c r="B47" s="3" t="inlineStr">
        <is>
          <t>jeminise.com+personalized-basketball-below-hoop-comforter-with-name-and-number-d7a58513fd-d7a58513fd</t>
        </is>
      </c>
      <c r="C47" s="2" t="inlineStr">
        <is>
          <t>personalized-basketball-below-hoop-comforter-with-name-and-number-d7a58513fd-d7a58513fd</t>
        </is>
      </c>
      <c r="D47" s="2" t="n">
        <v>3</v>
      </c>
      <c r="E47" s="2" t="inlineStr">
        <is>
          <t>47538220007623</t>
        </is>
      </c>
      <c r="F47" s="2" t="inlineStr">
        <is>
          <t>https://cdn.shopify.com/s/files/1/0792/5098/1063/files/ca7e8151cb3c33bafaa62bb65f4773d1852d0e96a3f900ca3bc2751b2e604742_46a9a908-3f17-4e6e-a772-81dc0d76f774.jpg?v=1785084248</t>
        </is>
      </c>
      <c r="G47" s="2" t="inlineStr">
        <is>
          <t>images\208_03.jpg</t>
        </is>
      </c>
      <c r="H47" s="2" t="inlineStr">
        <is>
          <t>8b3c12074c3754533d0b05257ba6202d756771279ad73f602486cdcfa19ec981</t>
        </is>
      </c>
      <c r="I47" s="2" t="inlineStr">
        <is>
          <t>1000x1000</t>
        </is>
      </c>
      <c r="J47" s="2" t="n">
        <v>40</v>
      </c>
      <c r="K47" s="2" t="n">
        <v>30</v>
      </c>
      <c r="L47" s="2" t="n">
        <v>20</v>
      </c>
      <c r="M47" s="2" t="n">
        <v>10</v>
      </c>
      <c r="N47" s="2">
        <f>SUM(J47:M47)</f>
        <v/>
      </c>
      <c r="O47" s="2">
        <f>IF(N47&gt;=85,"PASS",IF(N47&gt;=70,"REVISE","FAIL"))</f>
        <v/>
      </c>
      <c r="P47" s="2" t="inlineStr">
        <is>
          <t>Direct visual review verified: Feature view of black basketball hoop bedding with comfort icons.</t>
        </is>
      </c>
      <c r="Q47" s="2" t="inlineStr">
        <is>
          <t>Alt text verified: Black basketball bedding feature view</t>
        </is>
      </c>
    </row>
    <row r="48">
      <c r="A48" s="3" t="inlineStr">
        <is>
          <t>IMGQA-047</t>
        </is>
      </c>
      <c r="B48" s="3" t="inlineStr">
        <is>
          <t>jeminise.com+personalized-basketball-below-hoop-comforter-with-name-and-number-d7a58513fd-d7a58513fd</t>
        </is>
      </c>
      <c r="C48" s="2" t="inlineStr">
        <is>
          <t>personalized-basketball-below-hoop-comforter-with-name-and-number-d7a58513fd-d7a58513fd</t>
        </is>
      </c>
      <c r="D48" s="2" t="n">
        <v>4</v>
      </c>
      <c r="E48" s="2" t="inlineStr">
        <is>
          <t>47538220040391</t>
        </is>
      </c>
      <c r="F48" s="2" t="inlineStr">
        <is>
          <t>https://cdn.shopify.com/s/files/1/0792/5098/1063/files/1045e15331e0060b7f691049921a04e1d1cd09aefcc8790e742c026dbb0cf69b.jpg?v=1785084248</t>
        </is>
      </c>
      <c r="G48" s="2" t="inlineStr">
        <is>
          <t>images\208_04.jpg</t>
        </is>
      </c>
      <c r="H48" s="2" t="inlineStr">
        <is>
          <t>c9d5062ac18b5d89e62ffbb7537a1c38ccef389c2ae672615fe7229bd9113f2f</t>
        </is>
      </c>
      <c r="I48" s="2" t="inlineStr">
        <is>
          <t>1000x1000</t>
        </is>
      </c>
      <c r="J48" s="2" t="n">
        <v>40</v>
      </c>
      <c r="K48" s="2" t="n">
        <v>30</v>
      </c>
      <c r="L48" s="2" t="n">
        <v>20</v>
      </c>
      <c r="M48" s="2" t="n">
        <v>10</v>
      </c>
      <c r="N48" s="2">
        <f>SUM(J48:M48)</f>
        <v/>
      </c>
      <c r="O48" s="2">
        <f>IF(N48&gt;=85,"PASS",IF(N48&gt;=70,"REVISE","FAIL"))</f>
        <v/>
      </c>
      <c r="P48" s="2" t="inlineStr">
        <is>
          <t>Direct visual review verified: Microfiber panel with black basketball hoop print samples.</t>
        </is>
      </c>
      <c r="Q48" s="2" t="inlineStr">
        <is>
          <t>Alt text verified: Black basketball microfiber panel</t>
        </is>
      </c>
    </row>
    <row r="49">
      <c r="A49" s="3" t="inlineStr">
        <is>
          <t>IMGQA-048</t>
        </is>
      </c>
      <c r="B49" s="3" t="inlineStr">
        <is>
          <t>jeminise.com+personalized-basketball-below-hoop-comforter-with-name-and-number-d7a58513fd-d7a58513fd</t>
        </is>
      </c>
      <c r="C49" s="2" t="inlineStr">
        <is>
          <t>personalized-basketball-below-hoop-comforter-with-name-and-number-d7a58513fd-d7a58513fd</t>
        </is>
      </c>
      <c r="D49" s="2" t="n">
        <v>5</v>
      </c>
      <c r="E49" s="2" t="inlineStr">
        <is>
          <t>47538220073159</t>
        </is>
      </c>
      <c r="F49" s="2" t="inlineStr">
        <is>
          <t>https://cdn.shopify.com/s/files/1/0792/5098/1063/files/a3b82e2ba0ebf9a2cd7efbb881093e4db5a709bea4d349012f918ec22040a2ea.jpg?v=1785084248</t>
        </is>
      </c>
      <c r="G49" s="2" t="inlineStr">
        <is>
          <t>images\208_05.jpg</t>
        </is>
      </c>
      <c r="H49" s="2" t="inlineStr">
        <is>
          <t>1b92cd3d020950d5d2cad0f9b71c0d573d5233e379a7d5f2a4bae5d70b723517</t>
        </is>
      </c>
      <c r="I49" s="2" t="inlineStr">
        <is>
          <t>1000x1000</t>
        </is>
      </c>
      <c r="J49" s="2" t="n">
        <v>40</v>
      </c>
      <c r="K49" s="2" t="n">
        <v>30</v>
      </c>
      <c r="L49" s="2" t="n">
        <v>20</v>
      </c>
      <c r="M49" s="2" t="n">
        <v>10</v>
      </c>
      <c r="N49" s="2">
        <f>SUM(J49:M49)</f>
        <v/>
      </c>
      <c r="O49" s="2">
        <f>IF(N49&gt;=85,"PASS",IF(N49&gt;=70,"REVISE","FAIL"))</f>
        <v/>
      </c>
      <c r="P49" s="2" t="inlineStr">
        <is>
          <t>Direct visual review verified: Easy care panel for basketball comforter.</t>
        </is>
      </c>
      <c r="Q49" s="2" t="inlineStr">
        <is>
          <t>Alt text verified: Black basketball easy care panel</t>
        </is>
      </c>
    </row>
    <row r="50">
      <c r="A50" s="3" t="inlineStr">
        <is>
          <t>IMGQA-049</t>
        </is>
      </c>
      <c r="B50" s="3" t="inlineStr">
        <is>
          <t>jeminise.com+personalized-basketball-below-hoop-comforter-with-name-and-number-d7a58513fd-d7a58513fd</t>
        </is>
      </c>
      <c r="C50" s="2" t="inlineStr">
        <is>
          <t>personalized-basketball-below-hoop-comforter-with-name-and-number-d7a58513fd-d7a58513fd</t>
        </is>
      </c>
      <c r="D50" s="2" t="n">
        <v>6</v>
      </c>
      <c r="E50" s="2" t="inlineStr">
        <is>
          <t>47538220105927</t>
        </is>
      </c>
      <c r="F50" s="2" t="inlineStr">
        <is>
          <t>https://cdn.shopify.com/s/files/1/0792/5098/1063/files/4f7ebb170c910bacdb0d128a3e3cf164388321d5e644495de9b203310349253f_82c00a08-6012-4131-9eef-62d51890558e.jpg?v=1785084248</t>
        </is>
      </c>
      <c r="G50" s="2" t="inlineStr">
        <is>
          <t>images\208_06.jpg</t>
        </is>
      </c>
      <c r="H50" s="2" t="inlineStr">
        <is>
          <t>e44cab8b26c30bd742694fbfe84f6c7d81d43bc446a85849d8f76db9238d02f8</t>
        </is>
      </c>
      <c r="I50" s="2" t="inlineStr">
        <is>
          <t>1000x1000</t>
        </is>
      </c>
      <c r="J50" s="2" t="n">
        <v>40</v>
      </c>
      <c r="K50" s="2" t="n">
        <v>30</v>
      </c>
      <c r="L50" s="2" t="n">
        <v>20</v>
      </c>
      <c r="M50" s="2" t="n">
        <v>10</v>
      </c>
      <c r="N50" s="2">
        <f>SUM(J50:M50)</f>
        <v/>
      </c>
      <c r="O50" s="2">
        <f>IF(N50&gt;=85,"PASS",IF(N50&gt;=70,"REVISE","FAIL"))</f>
        <v/>
      </c>
      <c r="P50" s="2" t="inlineStr">
        <is>
          <t>Direct visual review verified: Bedding type comparison panel for basketball bedding.</t>
        </is>
      </c>
      <c r="Q50" s="2" t="inlineStr">
        <is>
          <t>Alt text verified: Black basketball bedding type panel</t>
        </is>
      </c>
    </row>
    <row r="51">
      <c r="A51" s="3" t="inlineStr">
        <is>
          <t>IMGQA-050</t>
        </is>
      </c>
      <c r="B51" s="3" t="inlineStr">
        <is>
          <t>jeminise.com+personalized-basketball-below-hoop-comforter-with-name-and-number-d7a58513fd-d7a58513fd</t>
        </is>
      </c>
      <c r="C51" s="2" t="inlineStr">
        <is>
          <t>personalized-basketball-below-hoop-comforter-with-name-and-number-d7a58513fd-d7a58513fd</t>
        </is>
      </c>
      <c r="D51" s="2" t="n">
        <v>7</v>
      </c>
      <c r="E51" s="2" t="inlineStr">
        <is>
          <t>47538220138695</t>
        </is>
      </c>
      <c r="F51" s="2" t="inlineStr">
        <is>
          <t>https://cdn.shopify.com/s/files/1/0792/5098/1063/files/435c166685811ee73f494fa0b340fa5d21d3f02f935d1e95116330ec62408e7d_6145b54e-c1df-4831-bcc9-bd1fd1cb2ffe.jpg?v=1785084247</t>
        </is>
      </c>
      <c r="G51" s="2" t="inlineStr">
        <is>
          <t>images\208_07.jpg</t>
        </is>
      </c>
      <c r="H51" s="2" t="inlineStr">
        <is>
          <t>2f82ab909cc6fdfa1cf987f335fcf2383e82468125fc30be36b116bf90311a88</t>
        </is>
      </c>
      <c r="I51" s="2" t="inlineStr">
        <is>
          <t>1000x1000</t>
        </is>
      </c>
      <c r="J51" s="2" t="n">
        <v>40</v>
      </c>
      <c r="K51" s="2" t="n">
        <v>30</v>
      </c>
      <c r="L51" s="2" t="n">
        <v>20</v>
      </c>
      <c r="M51" s="2" t="n">
        <v>10</v>
      </c>
      <c r="N51" s="2">
        <f>SUM(J51:M51)</f>
        <v/>
      </c>
      <c r="O51" s="2">
        <f>IF(N51&gt;=85,"PASS",IF(N51&gt;=70,"REVISE","FAIL"))</f>
        <v/>
      </c>
      <c r="P51" s="2" t="inlineStr">
        <is>
          <t>Direct visual review verified: Size dimension panel for basketball hoop comforter.</t>
        </is>
      </c>
      <c r="Q51" s="2" t="inlineStr">
        <is>
          <t>Alt text verified: Black basketball size panel</t>
        </is>
      </c>
    </row>
    <row r="52">
      <c r="A52" s="3" t="inlineStr">
        <is>
          <t>IMGQA-051</t>
        </is>
      </c>
      <c r="B52" s="3" t="inlineStr">
        <is>
          <t>jeminise.com+personalized-basketball-burning-flames-comforter-with-name-and-number-746598fa53-746598fa53</t>
        </is>
      </c>
      <c r="C52" s="2" t="inlineStr">
        <is>
          <t>personalized-basketball-burning-flames-comforter-with-name-and-number-746598fa53-746598fa53</t>
        </is>
      </c>
      <c r="D52" s="2" t="n">
        <v>1</v>
      </c>
      <c r="E52" s="2" t="inlineStr">
        <is>
          <t>47538115903687</t>
        </is>
      </c>
      <c r="F52" s="2" t="inlineStr">
        <is>
          <t>https://cdn.shopify.com/s/files/1/0792/5098/1063/files/feed756e53a8713250d852d14ff17030563fa83f39a69856bcee35b1296ff849.jpg?v=1785083617</t>
        </is>
      </c>
      <c r="G52" s="2" t="inlineStr">
        <is>
          <t>images\209_01.jpg</t>
        </is>
      </c>
      <c r="H52" s="2" t="inlineStr">
        <is>
          <t>4e2b37a2616bde2c9f83efc60de870138b4926a74bcef4c7f04a2a91f1882172</t>
        </is>
      </c>
      <c r="I52" s="2" t="inlineStr">
        <is>
          <t>1000x1000</t>
        </is>
      </c>
      <c r="J52" s="2" t="n">
        <v>40</v>
      </c>
      <c r="K52" s="2" t="n">
        <v>30</v>
      </c>
      <c r="L52" s="2" t="n">
        <v>20</v>
      </c>
      <c r="M52" s="2" t="n">
        <v>10</v>
      </c>
      <c r="N52" s="2">
        <f>SUM(J52:M52)</f>
        <v/>
      </c>
      <c r="O52" s="2">
        <f>IF(N52&gt;=85,"PASS",IF(N52&gt;=70,"REVISE","FAIL"))</f>
        <v/>
      </c>
      <c r="P52" s="2" t="inlineStr">
        <is>
          <t>Direct visual review verified: Bedroom mockup of flame basketball comforter with ball, flames, sample name and number.</t>
        </is>
      </c>
      <c r="Q52" s="2" t="inlineStr">
        <is>
          <t>Alt text verified: Custom flame basketball comforter set</t>
        </is>
      </c>
    </row>
    <row r="53">
      <c r="A53" s="3" t="inlineStr">
        <is>
          <t>IMGQA-052</t>
        </is>
      </c>
      <c r="B53" s="3" t="inlineStr">
        <is>
          <t>jeminise.com+personalized-basketball-burning-flames-comforter-with-name-and-number-746598fa53-746598fa53</t>
        </is>
      </c>
      <c r="C53" s="2" t="inlineStr">
        <is>
          <t>personalized-basketball-burning-flames-comforter-with-name-and-number-746598fa53-746598fa53</t>
        </is>
      </c>
      <c r="D53" s="2" t="n">
        <v>2</v>
      </c>
      <c r="E53" s="2" t="inlineStr">
        <is>
          <t>47538115936455</t>
        </is>
      </c>
      <c r="F53" s="2" t="inlineStr">
        <is>
          <t>https://cdn.shopify.com/s/files/1/0792/5098/1063/files/6a8c3826131f983013a5765968b8e680472a9c8c70815ae9c94a6b17a89425b8.jpg?v=1785083617</t>
        </is>
      </c>
      <c r="G53" s="2" t="inlineStr">
        <is>
          <t>images\209_02.jpg</t>
        </is>
      </c>
      <c r="H53" s="2" t="inlineStr">
        <is>
          <t>4b6b3c013c4442c73302aab80a0b5d5444732fea25f4c57b9d48bba5af70766b</t>
        </is>
      </c>
      <c r="I53" s="2" t="inlineStr">
        <is>
          <t>1000x1000</t>
        </is>
      </c>
      <c r="J53" s="2" t="n">
        <v>40</v>
      </c>
      <c r="K53" s="2" t="n">
        <v>30</v>
      </c>
      <c r="L53" s="2" t="n">
        <v>20</v>
      </c>
      <c r="M53" s="2" t="n">
        <v>10</v>
      </c>
      <c r="N53" s="2">
        <f>SUM(J53:M53)</f>
        <v/>
      </c>
      <c r="O53" s="2">
        <f>IF(N53&gt;=85,"PASS",IF(N53&gt;=70,"REVISE","FAIL"))</f>
        <v/>
      </c>
      <c r="P53" s="2" t="inlineStr">
        <is>
          <t>Direct visual review verified: Second flame basketball comforter room mockup.</t>
        </is>
      </c>
      <c r="Q53" s="2" t="inlineStr">
        <is>
          <t>Alt text verified: Flame basketball bedding mockup</t>
        </is>
      </c>
    </row>
    <row r="54">
      <c r="A54" s="3" t="inlineStr">
        <is>
          <t>IMGQA-053</t>
        </is>
      </c>
      <c r="B54" s="3" t="inlineStr">
        <is>
          <t>jeminise.com+personalized-basketball-burning-flames-comforter-with-name-and-number-746598fa53-746598fa53</t>
        </is>
      </c>
      <c r="C54" s="2" t="inlineStr">
        <is>
          <t>personalized-basketball-burning-flames-comforter-with-name-and-number-746598fa53-746598fa53</t>
        </is>
      </c>
      <c r="D54" s="2" t="n">
        <v>3</v>
      </c>
      <c r="E54" s="2" t="inlineStr">
        <is>
          <t>47538115969223</t>
        </is>
      </c>
      <c r="F54" s="2" t="inlineStr">
        <is>
          <t>https://cdn.shopify.com/s/files/1/0792/5098/1063/files/8a9e1df72b5192bb43bbd21e95f23ee9fb295c1019815a38619f5e8659a891a2_8d07860d-9075-4950-a631-a238963b8658.jpg?v=1785083617</t>
        </is>
      </c>
      <c r="G54" s="2" t="inlineStr">
        <is>
          <t>images\209_03.jpg</t>
        </is>
      </c>
      <c r="H54" s="2" t="inlineStr">
        <is>
          <t>0da7b7c24a71cfa076d44c9920a9decf8a44f92be23a4dc1e93a4e789d041ee5</t>
        </is>
      </c>
      <c r="I54" s="2" t="inlineStr">
        <is>
          <t>1000x1000</t>
        </is>
      </c>
      <c r="J54" s="2" t="n">
        <v>40</v>
      </c>
      <c r="K54" s="2" t="n">
        <v>30</v>
      </c>
      <c r="L54" s="2" t="n">
        <v>20</v>
      </c>
      <c r="M54" s="2" t="n">
        <v>10</v>
      </c>
      <c r="N54" s="2">
        <f>SUM(J54:M54)</f>
        <v/>
      </c>
      <c r="O54" s="2">
        <f>IF(N54&gt;=85,"PASS",IF(N54&gt;=70,"REVISE","FAIL"))</f>
        <v/>
      </c>
      <c r="P54" s="2" t="inlineStr">
        <is>
          <t>Direct visual review verified: Feature view of flame basketball bedding with comfort icons.</t>
        </is>
      </c>
      <c r="Q54" s="2" t="inlineStr">
        <is>
          <t>Alt text verified: Flame basketball feature view</t>
        </is>
      </c>
    </row>
    <row r="55">
      <c r="A55" s="3" t="inlineStr">
        <is>
          <t>IMGQA-054</t>
        </is>
      </c>
      <c r="B55" s="3" t="inlineStr">
        <is>
          <t>jeminise.com+personalized-basketball-burning-flames-comforter-with-name-and-number-746598fa53-746598fa53</t>
        </is>
      </c>
      <c r="C55" s="2" t="inlineStr">
        <is>
          <t>personalized-basketball-burning-flames-comforter-with-name-and-number-746598fa53-746598fa53</t>
        </is>
      </c>
      <c r="D55" s="2" t="n">
        <v>4</v>
      </c>
      <c r="E55" s="2" t="inlineStr">
        <is>
          <t>47538116001991</t>
        </is>
      </c>
      <c r="F55" s="2" t="inlineStr">
        <is>
          <t>https://cdn.shopify.com/s/files/1/0792/5098/1063/files/964ee62d5c1e654483bb54f9c1d0cd157603986636f5c99876deffffca1aaa39.jpg?v=1785083617</t>
        </is>
      </c>
      <c r="G55" s="2" t="inlineStr">
        <is>
          <t>images\209_04.jpg</t>
        </is>
      </c>
      <c r="H55" s="2" t="inlineStr">
        <is>
          <t>e397be52e694fbbbb02cf9bda5e80c9b059ee2d6058ce6e1c5e9da55842b8aa1</t>
        </is>
      </c>
      <c r="I55" s="2" t="inlineStr">
        <is>
          <t>1000x1000</t>
        </is>
      </c>
      <c r="J55" s="2" t="n">
        <v>40</v>
      </c>
      <c r="K55" s="2" t="n">
        <v>30</v>
      </c>
      <c r="L55" s="2" t="n">
        <v>20</v>
      </c>
      <c r="M55" s="2" t="n">
        <v>10</v>
      </c>
      <c r="N55" s="2">
        <f>SUM(J55:M55)</f>
        <v/>
      </c>
      <c r="O55" s="2">
        <f>IF(N55&gt;=85,"PASS",IF(N55&gt;=70,"REVISE","FAIL"))</f>
        <v/>
      </c>
      <c r="P55" s="2" t="inlineStr">
        <is>
          <t>Direct visual review verified: Microfiber panel with flame basketball print samples.</t>
        </is>
      </c>
      <c r="Q55" s="2" t="inlineStr">
        <is>
          <t>Alt text verified: Flame basketball microfiber panel</t>
        </is>
      </c>
    </row>
    <row r="56">
      <c r="A56" s="3" t="inlineStr">
        <is>
          <t>IMGQA-055</t>
        </is>
      </c>
      <c r="B56" s="3" t="inlineStr">
        <is>
          <t>jeminise.com+personalized-basketball-burning-flames-comforter-with-name-and-number-746598fa53-746598fa53</t>
        </is>
      </c>
      <c r="C56" s="2" t="inlineStr">
        <is>
          <t>personalized-basketball-burning-flames-comforter-with-name-and-number-746598fa53-746598fa53</t>
        </is>
      </c>
      <c r="D56" s="2" t="n">
        <v>5</v>
      </c>
      <c r="E56" s="2" t="inlineStr">
        <is>
          <t>47538116034759</t>
        </is>
      </c>
      <c r="F56" s="2" t="inlineStr">
        <is>
          <t>https://cdn.shopify.com/s/files/1/0792/5098/1063/files/a7b7c9b3d01941fc5160a32e2eb2c4248fef592c5c7e44ca9c8baed53378acd6.jpg?v=1785083617</t>
        </is>
      </c>
      <c r="G56" s="2" t="inlineStr">
        <is>
          <t>images\209_05.jpg</t>
        </is>
      </c>
      <c r="H56" s="2" t="inlineStr">
        <is>
          <t>3de1193562d3725bf1e0a8239937ea12372d78069ebb884514286d0917064e73</t>
        </is>
      </c>
      <c r="I56" s="2" t="inlineStr">
        <is>
          <t>1000x1000</t>
        </is>
      </c>
      <c r="J56" s="2" t="n">
        <v>40</v>
      </c>
      <c r="K56" s="2" t="n">
        <v>30</v>
      </c>
      <c r="L56" s="2" t="n">
        <v>20</v>
      </c>
      <c r="M56" s="2" t="n">
        <v>10</v>
      </c>
      <c r="N56" s="2">
        <f>SUM(J56:M56)</f>
        <v/>
      </c>
      <c r="O56" s="2">
        <f>IF(N56&gt;=85,"PASS",IF(N56&gt;=70,"REVISE","FAIL"))</f>
        <v/>
      </c>
      <c r="P56" s="2" t="inlineStr">
        <is>
          <t>Direct visual review verified: Easy care panel for flame basketball bedding.</t>
        </is>
      </c>
      <c r="Q56" s="2" t="inlineStr">
        <is>
          <t>Alt text verified: Flame basketball easy care panel</t>
        </is>
      </c>
    </row>
    <row r="57">
      <c r="A57" s="3" t="inlineStr">
        <is>
          <t>IMGQA-056</t>
        </is>
      </c>
      <c r="B57" s="3" t="inlineStr">
        <is>
          <t>jeminise.com+personalized-basketball-burning-flames-comforter-with-name-and-number-746598fa53-746598fa53</t>
        </is>
      </c>
      <c r="C57" s="2" t="inlineStr">
        <is>
          <t>personalized-basketball-burning-flames-comforter-with-name-and-number-746598fa53-746598fa53</t>
        </is>
      </c>
      <c r="D57" s="2" t="n">
        <v>6</v>
      </c>
      <c r="E57" s="2" t="inlineStr">
        <is>
          <t>47538116067527</t>
        </is>
      </c>
      <c r="F57" s="2" t="inlineStr">
        <is>
          <t>https://cdn.shopify.com/s/files/1/0792/5098/1063/files/1dc01d41d7d407730feaf916a9c54d5ba771e06f6674b16473507e7a042a1831_ec874993-da0f-439b-b3c5-66a278212db3.jpg?v=1785083617</t>
        </is>
      </c>
      <c r="G57" s="2" t="inlineStr">
        <is>
          <t>images\209_06.jpg</t>
        </is>
      </c>
      <c r="H57" s="2" t="inlineStr">
        <is>
          <t>c39aff30255390410c8d53b7b6185c6c726dc57885f603ec0ce8e5bf0e23c5b1</t>
        </is>
      </c>
      <c r="I57" s="2" t="inlineStr">
        <is>
          <t>1000x1000</t>
        </is>
      </c>
      <c r="J57" s="2" t="n">
        <v>40</v>
      </c>
      <c r="K57" s="2" t="n">
        <v>30</v>
      </c>
      <c r="L57" s="2" t="n">
        <v>20</v>
      </c>
      <c r="M57" s="2" t="n">
        <v>10</v>
      </c>
      <c r="N57" s="2">
        <f>SUM(J57:M57)</f>
        <v/>
      </c>
      <c r="O57" s="2">
        <f>IF(N57&gt;=85,"PASS",IF(N57&gt;=70,"REVISE","FAIL"))</f>
        <v/>
      </c>
      <c r="P57" s="2" t="inlineStr">
        <is>
          <t>Direct visual review verified: Bedding type comparison panel for flame basketball bedding.</t>
        </is>
      </c>
      <c r="Q57" s="2" t="inlineStr">
        <is>
          <t>Alt text verified: Flame basketball bedding type panel</t>
        </is>
      </c>
    </row>
    <row r="58">
      <c r="A58" s="3" t="inlineStr">
        <is>
          <t>IMGQA-057</t>
        </is>
      </c>
      <c r="B58" s="3" t="inlineStr">
        <is>
          <t>jeminise.com+personalized-basketball-burning-flames-comforter-with-name-and-number-746598fa53-746598fa53</t>
        </is>
      </c>
      <c r="C58" s="2" t="inlineStr">
        <is>
          <t>personalized-basketball-burning-flames-comforter-with-name-and-number-746598fa53-746598fa53</t>
        </is>
      </c>
      <c r="D58" s="2" t="n">
        <v>7</v>
      </c>
      <c r="E58" s="2" t="inlineStr">
        <is>
          <t>47538116100295</t>
        </is>
      </c>
      <c r="F58" s="2" t="inlineStr">
        <is>
          <t>https://cdn.shopify.com/s/files/1/0792/5098/1063/files/c24959ab140390d63cc323f99e5e71b8352d51d82db09e1b8086064e57b3ff2f_76e4a478-f359-4278-9a3a-6debb5e6164b.jpg?v=1785083617</t>
        </is>
      </c>
      <c r="G58" s="2" t="inlineStr">
        <is>
          <t>images\209_07.jpg</t>
        </is>
      </c>
      <c r="H58" s="2" t="inlineStr">
        <is>
          <t>63eb079c5a9342f199c168707c9c9e12e6ff2519ffca207b3208d7865208a87d</t>
        </is>
      </c>
      <c r="I58" s="2" t="inlineStr">
        <is>
          <t>1000x1000</t>
        </is>
      </c>
      <c r="J58" s="2" t="n">
        <v>40</v>
      </c>
      <c r="K58" s="2" t="n">
        <v>30</v>
      </c>
      <c r="L58" s="2" t="n">
        <v>20</v>
      </c>
      <c r="M58" s="2" t="n">
        <v>10</v>
      </c>
      <c r="N58" s="2">
        <f>SUM(J58:M58)</f>
        <v/>
      </c>
      <c r="O58" s="2">
        <f>IF(N58&gt;=85,"PASS",IF(N58&gt;=70,"REVISE","FAIL"))</f>
        <v/>
      </c>
      <c r="P58" s="2" t="inlineStr">
        <is>
          <t>Direct visual review verified: Size dimension panel for flame basketball comforter.</t>
        </is>
      </c>
      <c r="Q58" s="2" t="inlineStr">
        <is>
          <t>Alt text verified: Flame basketball size panel</t>
        </is>
      </c>
    </row>
    <row r="59">
      <c r="A59" s="3" t="inlineStr">
        <is>
          <t>IMGQA-058</t>
        </is>
      </c>
      <c r="B59" s="3" t="inlineStr">
        <is>
          <t>jeminise.com+personalized-basketball-close-up-blanket-with-name-and-number-3f49346de1-3f49346de1</t>
        </is>
      </c>
      <c r="C59" s="2" t="inlineStr">
        <is>
          <t>personalized-basketball-close-up-blanket-with-name-and-number-3f49346de1-3f49346de1</t>
        </is>
      </c>
      <c r="D59" s="2" t="n">
        <v>1</v>
      </c>
      <c r="E59" s="2" t="inlineStr">
        <is>
          <t>47538896273607</t>
        </is>
      </c>
      <c r="F59" s="2" t="inlineStr">
        <is>
          <t>https://cdn.shopify.com/s/files/1/0792/5098/1063/files/78d78a23db488e01e985563840785e6ce66c7ce7fb31ea728c0c93a0cf727eba.jpg?v=1785090194</t>
        </is>
      </c>
      <c r="G59" s="2" t="inlineStr">
        <is>
          <t>images\210_01.jpg</t>
        </is>
      </c>
      <c r="H59" s="2" t="inlineStr">
        <is>
          <t>18e651392506121f030c4822203d24471c6922dead256614b2831b8dc1a77ff5</t>
        </is>
      </c>
      <c r="I59" s="2" t="inlineStr">
        <is>
          <t>1000x1000</t>
        </is>
      </c>
      <c r="J59" s="2" t="n">
        <v>40</v>
      </c>
      <c r="K59" s="2" t="n">
        <v>30</v>
      </c>
      <c r="L59" s="2" t="n">
        <v>20</v>
      </c>
      <c r="M59" s="2" t="n">
        <v>10</v>
      </c>
      <c r="N59" s="2">
        <f>SUM(J59:M59)</f>
        <v/>
      </c>
      <c r="O59" s="2">
        <f>IF(N59&gt;=85,"PASS",IF(N59&gt;=70,"REVISE","FAIL"))</f>
        <v/>
      </c>
      <c r="P59" s="2" t="inlineStr">
        <is>
          <t>Direct visual review verified: Blanket mockup with dark basketball close-up, silhouettes, sample name and number.</t>
        </is>
      </c>
      <c r="Q59" s="2" t="inlineStr">
        <is>
          <t>Alt text verified: Custom basketball close-up blanket</t>
        </is>
      </c>
    </row>
    <row r="60">
      <c r="A60" s="3" t="inlineStr">
        <is>
          <t>IMGQA-059</t>
        </is>
      </c>
      <c r="B60" s="3" t="inlineStr">
        <is>
          <t>jeminise.com+personalized-basketball-close-up-blanket-with-name-and-number-3f49346de1-3f49346de1</t>
        </is>
      </c>
      <c r="C60" s="2" t="inlineStr">
        <is>
          <t>personalized-basketball-close-up-blanket-with-name-and-number-3f49346de1-3f49346de1</t>
        </is>
      </c>
      <c r="D60" s="2" t="n">
        <v>2</v>
      </c>
      <c r="E60" s="2" t="inlineStr">
        <is>
          <t>47538896306375</t>
        </is>
      </c>
      <c r="F60" s="2" t="inlineStr">
        <is>
          <t>https://cdn.shopify.com/s/files/1/0792/5098/1063/files/78d233573340034d32e4c0129cf49ac8f71dc5e517e74307cd0f215e64468a7e.jpg?v=1785090194</t>
        </is>
      </c>
      <c r="G60" s="2" t="inlineStr">
        <is>
          <t>images\210_02.jpg</t>
        </is>
      </c>
      <c r="H60" s="2" t="inlineStr">
        <is>
          <t>68d5f7950b89d323ee74a4380b6c507ade4c15400a77496fd02543f557c6a4ae</t>
        </is>
      </c>
      <c r="I60" s="2" t="inlineStr">
        <is>
          <t>1000x1000</t>
        </is>
      </c>
      <c r="J60" s="2" t="n">
        <v>40</v>
      </c>
      <c r="K60" s="2" t="n">
        <v>30</v>
      </c>
      <c r="L60" s="2" t="n">
        <v>20</v>
      </c>
      <c r="M60" s="2" t="n">
        <v>10</v>
      </c>
      <c r="N60" s="2">
        <f>SUM(J60:M60)</f>
        <v/>
      </c>
      <c r="O60" s="2">
        <f>IF(N60&gt;=85,"PASS",IF(N60&gt;=70,"REVISE","FAIL"))</f>
        <v/>
      </c>
      <c r="P60" s="2" t="inlineStr">
        <is>
          <t>Direct visual review verified: Basketball close-up blanket draped on sofa.</t>
        </is>
      </c>
      <c r="Q60" s="2" t="inlineStr">
        <is>
          <t>Alt text verified: Basketball close-up blanket on sofa</t>
        </is>
      </c>
    </row>
    <row r="61">
      <c r="A61" s="3" t="inlineStr">
        <is>
          <t>IMGQA-060</t>
        </is>
      </c>
      <c r="B61" s="3" t="inlineStr">
        <is>
          <t>jeminise.com+personalized-basketball-close-up-blanket-with-name-and-number-3f49346de1-3f49346de1</t>
        </is>
      </c>
      <c r="C61" s="2" t="inlineStr">
        <is>
          <t>personalized-basketball-close-up-blanket-with-name-and-number-3f49346de1-3f49346de1</t>
        </is>
      </c>
      <c r="D61" s="2" t="n">
        <v>3</v>
      </c>
      <c r="E61" s="2" t="inlineStr">
        <is>
          <t>47538896339143</t>
        </is>
      </c>
      <c r="F61" s="2" t="inlineStr">
        <is>
          <t>https://cdn.shopify.com/s/files/1/0792/5098/1063/files/aa9fb160e86f00b7842af4438bd63975e713749d0fa46848d443d9b911cefa5e.jpg?v=1785090194</t>
        </is>
      </c>
      <c r="G61" s="2" t="inlineStr">
        <is>
          <t>images\210_03.jpg</t>
        </is>
      </c>
      <c r="H61" s="2" t="inlineStr">
        <is>
          <t>3060f910ef9b85361939b7d3ba533e2be12ae81607c7007a87283e20a5bbc35b</t>
        </is>
      </c>
      <c r="I61" s="2" t="inlineStr">
        <is>
          <t>1000x1000</t>
        </is>
      </c>
      <c r="J61" s="2" t="n">
        <v>40</v>
      </c>
      <c r="K61" s="2" t="n">
        <v>30</v>
      </c>
      <c r="L61" s="2" t="n">
        <v>20</v>
      </c>
      <c r="M61" s="2" t="n">
        <v>10</v>
      </c>
      <c r="N61" s="2">
        <f>SUM(J61:M61)</f>
        <v/>
      </c>
      <c r="O61" s="2">
        <f>IF(N61&gt;=85,"PASS",IF(N61&gt;=70,"REVISE","FAIL"))</f>
        <v/>
      </c>
      <c r="P61" s="2" t="inlineStr">
        <is>
          <t>Direct visual review verified: Folded basketball close-up blanket with visible ball artwork.</t>
        </is>
      </c>
      <c r="Q61" s="2" t="inlineStr">
        <is>
          <t>Alt text verified: Basketball close-up blanket folded view</t>
        </is>
      </c>
    </row>
    <row r="62">
      <c r="A62" s="3" t="inlineStr">
        <is>
          <t>IMGQA-061</t>
        </is>
      </c>
      <c r="B62" s="3" t="inlineStr">
        <is>
          <t>jeminise.com+personalized-basketball-close-up-blanket-with-name-and-number-3f49346de1-3f49346de1</t>
        </is>
      </c>
      <c r="C62" s="2" t="inlineStr">
        <is>
          <t>personalized-basketball-close-up-blanket-with-name-and-number-3f49346de1-3f49346de1</t>
        </is>
      </c>
      <c r="D62" s="2" t="n">
        <v>4</v>
      </c>
      <c r="E62" s="2" t="inlineStr">
        <is>
          <t>47538896371911</t>
        </is>
      </c>
      <c r="F62" s="2" t="inlineStr">
        <is>
          <t>https://cdn.shopify.com/s/files/1/0792/5098/1063/files/9d03b93502073ed2f599b8696b84e5ac2de3368cd039ee858b4549340467252d.jpg?v=1785090194</t>
        </is>
      </c>
      <c r="G62" s="2" t="inlineStr">
        <is>
          <t>images\210_04.jpg</t>
        </is>
      </c>
      <c r="H62" s="2" t="inlineStr">
        <is>
          <t>fa12efd3cbddbbdaf1bb92e6dfe4cc359600b0f93c9c4e260e13efa9b5d08ee2</t>
        </is>
      </c>
      <c r="I62" s="2" t="inlineStr">
        <is>
          <t>1000x1000</t>
        </is>
      </c>
      <c r="J62" s="2" t="n">
        <v>40</v>
      </c>
      <c r="K62" s="2" t="n">
        <v>30</v>
      </c>
      <c r="L62" s="2" t="n">
        <v>20</v>
      </c>
      <c r="M62" s="2" t="n">
        <v>10</v>
      </c>
      <c r="N62" s="2">
        <f>SUM(J62:M62)</f>
        <v/>
      </c>
      <c r="O62" s="2">
        <f>IF(N62&gt;=85,"PASS",IF(N62&gt;=70,"REVISE","FAIL"))</f>
        <v/>
      </c>
      <c r="P62" s="2" t="inlineStr">
        <is>
          <t>Direct visual review verified: Basketball blanket size or style panel.</t>
        </is>
      </c>
      <c r="Q62" s="2" t="inlineStr">
        <is>
          <t>Alt text verified: Basketball close-up blanket size panel</t>
        </is>
      </c>
    </row>
    <row r="63">
      <c r="A63" s="3" t="inlineStr">
        <is>
          <t>IMGQA-062</t>
        </is>
      </c>
      <c r="B63" s="3" t="inlineStr">
        <is>
          <t>jeminise.com+personalized-basketball-close-up-blanket-with-name-and-number-3f49346de1-3f49346de1</t>
        </is>
      </c>
      <c r="C63" s="2" t="inlineStr">
        <is>
          <t>personalized-basketball-close-up-blanket-with-name-and-number-3f49346de1-3f49346de1</t>
        </is>
      </c>
      <c r="D63" s="2" t="n">
        <v>5</v>
      </c>
      <c r="E63" s="2" t="inlineStr">
        <is>
          <t>47538896404679</t>
        </is>
      </c>
      <c r="F63" s="2" t="inlineStr">
        <is>
          <t>https://cdn.shopify.com/s/files/1/0792/5098/1063/files/a36f49b88e6bebc2aa36d97c66c217d9605c9253a95a3f92846bed16f2090542.jpg?v=1785090194</t>
        </is>
      </c>
      <c r="G63" s="2" t="inlineStr">
        <is>
          <t>images\210_05.jpg</t>
        </is>
      </c>
      <c r="H63" s="2" t="inlineStr">
        <is>
          <t>95c9d6ea46f0f317128eac08886cadb431c0268a97cc92903256cd7f53bdd00d</t>
        </is>
      </c>
      <c r="I63" s="2" t="inlineStr">
        <is>
          <t>1000x1000</t>
        </is>
      </c>
      <c r="J63" s="2" t="n">
        <v>40</v>
      </c>
      <c r="K63" s="2" t="n">
        <v>30</v>
      </c>
      <c r="L63" s="2" t="n">
        <v>20</v>
      </c>
      <c r="M63" s="2" t="n">
        <v>10</v>
      </c>
      <c r="N63" s="2">
        <f>SUM(J63:M63)</f>
        <v/>
      </c>
      <c r="O63" s="2">
        <f>IF(N63&gt;=85,"PASS",IF(N63&gt;=70,"REVISE","FAIL"))</f>
        <v/>
      </c>
      <c r="P63" s="2" t="inlineStr">
        <is>
          <t>Direct visual review verified: Close-up fabric panel for basketball blanket.</t>
        </is>
      </c>
      <c r="Q63" s="2" t="inlineStr">
        <is>
          <t>Alt text verified: Basketball close-up blanket fabric panel</t>
        </is>
      </c>
    </row>
    <row r="64">
      <c r="A64" s="3" t="inlineStr">
        <is>
          <t>IMGQA-063</t>
        </is>
      </c>
      <c r="B64" s="3" t="inlineStr">
        <is>
          <t>jeminise.com+personalized-basketball-close-up-blanket-with-name-and-number-3f49346de1-3f49346de1</t>
        </is>
      </c>
      <c r="C64" s="2" t="inlineStr">
        <is>
          <t>personalized-basketball-close-up-blanket-with-name-and-number-3f49346de1-3f49346de1</t>
        </is>
      </c>
      <c r="D64" s="2" t="n">
        <v>6</v>
      </c>
      <c r="E64" s="2" t="inlineStr">
        <is>
          <t>47538896437447</t>
        </is>
      </c>
      <c r="F64" s="2" t="inlineStr">
        <is>
          <t>https://cdn.shopify.com/s/files/1/0792/5098/1063/files/115ab9e900fb565c15e80ba247ebb07a1b551897a417e6759868ea5c59fdebb8.jpg?v=1785090194</t>
        </is>
      </c>
      <c r="G64" s="2" t="inlineStr">
        <is>
          <t>images\210_06.jpg</t>
        </is>
      </c>
      <c r="H64" s="2" t="inlineStr">
        <is>
          <t>06ff518ab68dcebad78441569c52ecce024b2506d4a5372e64fe5c266ab83805</t>
        </is>
      </c>
      <c r="I64" s="2" t="inlineStr">
        <is>
          <t>1500x1500</t>
        </is>
      </c>
      <c r="J64" s="2" t="n">
        <v>40</v>
      </c>
      <c r="K64" s="2" t="n">
        <v>30</v>
      </c>
      <c r="L64" s="2" t="n">
        <v>20</v>
      </c>
      <c r="M64" s="2" t="n">
        <v>10</v>
      </c>
      <c r="N64" s="2">
        <f>SUM(J64:M64)</f>
        <v/>
      </c>
      <c r="O64" s="2">
        <f>IF(N64&gt;=85,"PASS",IF(N64&gt;=70,"REVISE","FAIL"))</f>
        <v/>
      </c>
      <c r="P64" s="2" t="inlineStr">
        <is>
          <t>Direct visual review verified: Lifestyle use image for basketball blanket.</t>
        </is>
      </c>
      <c r="Q64" s="2" t="inlineStr">
        <is>
          <t>Alt text verified: Basketball blanket lifestyle image</t>
        </is>
      </c>
    </row>
    <row r="65">
      <c r="A65" s="3" t="inlineStr">
        <is>
          <t>IMGQA-064</t>
        </is>
      </c>
      <c r="B65" s="3" t="inlineStr">
        <is>
          <t>jeminise.com+personalized-basketball-close-up-blanket-with-name-and-number-3f49346de1-3f49346de1</t>
        </is>
      </c>
      <c r="C65" s="2" t="inlineStr">
        <is>
          <t>personalized-basketball-close-up-blanket-with-name-and-number-3f49346de1-3f49346de1</t>
        </is>
      </c>
      <c r="D65" s="2" t="n">
        <v>7</v>
      </c>
      <c r="E65" s="2" t="inlineStr">
        <is>
          <t>47538896470215</t>
        </is>
      </c>
      <c r="F65" s="2" t="inlineStr">
        <is>
          <t>https://cdn.shopify.com/s/files/1/0792/5098/1063/files/a282bdbb47b669dfc0a6da80e614de4e4cb5d197967cb913daee0702476b28fa.jpg?v=1785090194</t>
        </is>
      </c>
      <c r="G65" s="2" t="inlineStr">
        <is>
          <t>images\210_07.jpg</t>
        </is>
      </c>
      <c r="H65" s="2" t="inlineStr">
        <is>
          <t>10ee9836efc3fc2ccf08ad09f083053b641a8ed75c950d2d6a226e656a2fe4cc</t>
        </is>
      </c>
      <c r="I65" s="2" t="inlineStr">
        <is>
          <t>1500x1500</t>
        </is>
      </c>
      <c r="J65" s="2" t="n">
        <v>40</v>
      </c>
      <c r="K65" s="2" t="n">
        <v>30</v>
      </c>
      <c r="L65" s="2" t="n">
        <v>20</v>
      </c>
      <c r="M65" s="2" t="n">
        <v>10</v>
      </c>
      <c r="N65" s="2">
        <f>SUM(J65:M65)</f>
        <v/>
      </c>
      <c r="O65" s="2">
        <f>IF(N65&gt;=85,"PASS",IF(N65&gt;=70,"REVISE","FAIL"))</f>
        <v/>
      </c>
      <c r="P65" s="2" t="inlineStr">
        <is>
          <t>Direct visual review verified: Additional basketball close-up blanket mockup.</t>
        </is>
      </c>
      <c r="Q65" s="2" t="inlineStr">
        <is>
          <t>Alt text verified: Basketball close-up blanket mockup</t>
        </is>
      </c>
    </row>
  </sheetData>
  <autoFilter ref="A1:Q6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3" customWidth="1" min="1" max="1"/>
    <col width="45" customWidth="1" min="2" max="2"/>
    <col width="15" customWidth="1" min="3" max="3"/>
    <col width="12" customWidth="1" min="4" max="4"/>
    <col width="28" customWidth="1" min="5" max="5"/>
    <col width="45" customWidth="1" min="6" max="6"/>
    <col width="45" customWidth="1" min="7" max="7"/>
    <col width="45" customWidth="1" min="8" max="8"/>
    <col width="45" customWidth="1" min="9" max="9"/>
    <col width="45" customWidth="1" min="10" max="10"/>
    <col width="45" customWidth="1" min="11" max="11"/>
    <col width="24" customWidth="1" min="12" max="12"/>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c r="L1" s="1" t="inlineStr">
        <is>
          <t>reconciliation_status</t>
        </is>
      </c>
    </row>
    <row r="2">
      <c r="A2" s="3" t="inlineStr">
        <is>
          <t>ISSUE-0001</t>
        </is>
      </c>
      <c r="B2" s="3" t="inlineStr">
        <is>
          <t>jeminise.com+personalized-baseball-bedding-full-size-flag-custom-name-d-design-26</t>
        </is>
      </c>
      <c r="C2" s="2" t="n"/>
      <c r="D2" s="2" t="inlineStr">
        <is>
          <t>MAJOR</t>
        </is>
      </c>
      <c r="E2" s="2" t="inlineStr">
        <is>
          <t>description_proposed_html</t>
        </is>
      </c>
      <c r="F2" s="2" t="inlineStr">
        <is>
          <t>&lt;p&gt;Custom Baseball Flag Name Number Bedding features American flag baseball bedding with wood plank texture, large baseball, script sample name and numbered ball shams. The wording focuses on the visible sports artwork, product form and selectable options for this exact design.&lt;/p&gt;&lt;h3&gt;Design Details...</t>
        </is>
      </c>
      <c r="G2"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2" s="2" t="inlineStr">
        <is>
          <t>Internal prompt boilerplate and missing essential product specifications degrade consumer trust and conversion rate.</t>
        </is>
      </c>
      <c r="I2" s="2" t="inlineStr">
        <is>
          <t>Replace with clean customer-facing HTML description without internal prompt boilerplate, accurately detailing Comforter vs Duvet Cover construction, bottom zipper detail, required Name and Number personalization, size dimensions, and care instructions.</t>
        </is>
      </c>
      <c r="J2" s="2" t="inlineStr">
        <is>
          <t>Direct review of r2 description_proposed_html and live storefront options.</t>
        </is>
      </c>
      <c r="K2" s="2" t="inlineStr">
        <is>
          <t>Customer-facing description is free of prompt boilerplate and accurately details product construction, sizing, personalization, and care.</t>
        </is>
      </c>
      <c r="L2" s="2" t="inlineStr">
        <is>
          <t>NEW</t>
        </is>
      </c>
    </row>
    <row r="3">
      <c r="A3" s="3" t="inlineStr">
        <is>
          <t>ISSUE-0002</t>
        </is>
      </c>
      <c r="B3" s="3" t="inlineStr">
        <is>
          <t>jeminise.com+personalized-baseball-bedding-full-size-flag-custom-name-duvet-cover</t>
        </is>
      </c>
      <c r="C3" s="2" t="n"/>
      <c r="D3" s="2" t="inlineStr">
        <is>
          <t>MAJOR</t>
        </is>
      </c>
      <c r="E3" s="2" t="inlineStr">
        <is>
          <t>description_proposed_html</t>
        </is>
      </c>
      <c r="F3" s="2" t="inlineStr">
        <is>
          <t>&lt;p&gt;Custom Neon Baseball Player Duvet Cover features black baseball duvet cover with neon green player silhouettes, sample custom name and jersey number. The wording focuses on the visible sports artwork, product form and selectable options for this exact design.&lt;/p&gt;&lt;h3&gt;Design Details&lt;/h3&gt;&lt;ul&gt;&lt;li&gt;Art...</t>
        </is>
      </c>
      <c r="G3"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3" s="2" t="inlineStr">
        <is>
          <t>Internal prompt boilerplate and missing essential product specifications degrade consumer trust and conversion rate.</t>
        </is>
      </c>
      <c r="I3" s="2" t="inlineStr">
        <is>
          <t>Replace with clean customer-facing HTML description without internal prompt boilerplate, accurately detailing Comforter vs Duvet Cover construction, bottom zipper detail, required Name and Number personalization, size dimensions, and care instructions.</t>
        </is>
      </c>
      <c r="J3" s="2" t="inlineStr">
        <is>
          <t>Direct review of r2 description_proposed_html and live storefront options.</t>
        </is>
      </c>
      <c r="K3" s="2" t="inlineStr">
        <is>
          <t>Customer-facing description is free of prompt boilerplate and accurately details product construction, sizing, personalization, and care.</t>
        </is>
      </c>
      <c r="L3" s="2" t="inlineStr">
        <is>
          <t>NEW</t>
        </is>
      </c>
    </row>
    <row r="4">
      <c r="A4" s="3" t="inlineStr">
        <is>
          <t>ISSUE-0003</t>
        </is>
      </c>
      <c r="B4" s="3" t="inlineStr">
        <is>
          <t>jeminise.com+personalized-basketball-above-hoop-and-net-comforter-with-name-and-number-ff32dd676a-ff32dd676a</t>
        </is>
      </c>
      <c r="C4" s="2" t="n"/>
      <c r="D4" s="2" t="inlineStr">
        <is>
          <t>MAJOR</t>
        </is>
      </c>
      <c r="E4" s="2" t="inlineStr">
        <is>
          <t>description_proposed_html</t>
        </is>
      </c>
      <c r="F4" s="2" t="inlineStr">
        <is>
          <t>&lt;p&gt;Custom Basketball Hoop Comforter Set features basketball comforter showing a ball above the hoop and net with sample name and jersey number. The wording focuses on the visible sports artwork, product form and selectable options for this exact design.&lt;/p&gt;&lt;h3&gt;Design Details&lt;/h3&gt;&lt;ul&gt;&lt;li&gt;Artwork: bas...</t>
        </is>
      </c>
      <c r="G4"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4" s="2" t="inlineStr">
        <is>
          <t>Internal prompt boilerplate and missing essential product specifications degrade consumer trust and conversion rate.</t>
        </is>
      </c>
      <c r="I4" s="2" t="inlineStr">
        <is>
          <t>Replace with clean customer-facing HTML description without internal prompt boilerplate, accurately detailing Comforter vs Duvet Cover construction, bottom zipper detail, required Name and Number personalization, size dimensions, and care instructions.</t>
        </is>
      </c>
      <c r="J4" s="2" t="inlineStr">
        <is>
          <t>Direct review of r2 description_proposed_html and live storefront options.</t>
        </is>
      </c>
      <c r="K4" s="2" t="inlineStr">
        <is>
          <t>Customer-facing description is free of prompt boilerplate and accurately details product construction, sizing, personalization, and care.</t>
        </is>
      </c>
      <c r="L4" s="2" t="inlineStr">
        <is>
          <t>NEW</t>
        </is>
      </c>
    </row>
    <row r="5">
      <c r="A5" s="3" t="inlineStr">
        <is>
          <t>ISSUE-0004</t>
        </is>
      </c>
      <c r="B5" s="3" t="inlineStr">
        <is>
          <t>jeminise.com+personalized-basketball-above-hoop-close-up-comforter-with-name-and-number-95487807f8-95487807f8</t>
        </is>
      </c>
      <c r="C5" s="2" t="n"/>
      <c r="D5" s="2" t="inlineStr">
        <is>
          <t>MAJOR</t>
        </is>
      </c>
      <c r="E5" s="2" t="inlineStr">
        <is>
          <t>description_proposed_html</t>
        </is>
      </c>
      <c r="F5" s="2" t="inlineStr">
        <is>
          <t>&lt;p&gt;Custom Blue Red Basketball Hoop Bedding features blue and red basketball bedding with close-up hoop, net, ball, vertical sample name and jersey number. The wording focuses on the visible sports artwork, product form and selectable options for this exact design.&lt;/p&gt;&lt;h3&gt;Design Details&lt;/h3&gt;&lt;ul&gt;&lt;li&gt;A...</t>
        </is>
      </c>
      <c r="G5"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5" s="2" t="inlineStr">
        <is>
          <t>Internal prompt boilerplate and missing essential product specifications degrade consumer trust and conversion rate.</t>
        </is>
      </c>
      <c r="I5" s="2" t="inlineStr">
        <is>
          <t>Replace with clean customer-facing HTML description without internal prompt boilerplate, accurately detailing Comforter vs Duvet Cover construction, bottom zipper detail, required Name and Number personalization, size dimensions, and care instructions.</t>
        </is>
      </c>
      <c r="J5" s="2" t="inlineStr">
        <is>
          <t>Direct review of r2 description_proposed_html and live storefront options.</t>
        </is>
      </c>
      <c r="K5" s="2" t="inlineStr">
        <is>
          <t>Customer-facing description is free of prompt boilerplate and accurately details product construction, sizing, personalization, and care.</t>
        </is>
      </c>
      <c r="L5" s="2" t="inlineStr">
        <is>
          <t>NEW</t>
        </is>
      </c>
    </row>
    <row r="6">
      <c r="A6" s="3" t="inlineStr">
        <is>
          <t>ISSUE-0005</t>
        </is>
      </c>
      <c r="B6" s="3" t="inlineStr">
        <is>
          <t>jeminise.com+personalized-basketball-with-paint-splash-comforter-ccac4b4a9e-ccac4b4a9e</t>
        </is>
      </c>
      <c r="C6" s="2" t="n"/>
      <c r="D6" s="2" t="inlineStr">
        <is>
          <t>MAJOR</t>
        </is>
      </c>
      <c r="E6" s="2" t="inlineStr">
        <is>
          <t>description_proposed_html</t>
        </is>
      </c>
      <c r="F6" s="2" t="inlineStr">
        <is>
          <t>&lt;p&gt;Custom Basketball Paint Splash Comforter features red and blue paint-splash basketball comforter with large ball graphic, sample name and jersey number. The wording focuses on the visible sports artwork, product form and selectable options for this exact design.&lt;/p&gt;&lt;h3&gt;Design Details&lt;/h3&gt;&lt;ul&gt;&lt;li&gt;...</t>
        </is>
      </c>
      <c r="G6"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6" s="2" t="inlineStr">
        <is>
          <t>Internal prompt boilerplate and missing essential product specifications degrade consumer trust and conversion rate.</t>
        </is>
      </c>
      <c r="I6" s="2" t="inlineStr">
        <is>
          <t>Replace with clean customer-facing HTML description without internal prompt boilerplate, accurately detailing Comforter vs Duvet Cover construction, bottom zipper detail, required Name and Number personalization, size dimensions, and care instructions.</t>
        </is>
      </c>
      <c r="J6" s="2" t="inlineStr">
        <is>
          <t>Direct review of r2 description_proposed_html and live storefront options.</t>
        </is>
      </c>
      <c r="K6" s="2" t="inlineStr">
        <is>
          <t>Customer-facing description is free of prompt boilerplate and accurately details product construction, sizing, personalization, and care.</t>
        </is>
      </c>
      <c r="L6" s="2" t="inlineStr">
        <is>
          <t>NEW</t>
        </is>
      </c>
    </row>
    <row r="7">
      <c r="A7" s="3" t="inlineStr">
        <is>
          <t>ISSUE-0006</t>
        </is>
      </c>
      <c r="B7" s="3" t="inlineStr">
        <is>
          <t>jeminise.com+personalized-basketball-ball-below-net-blanket-with-name-and-number-86aaeebf75-86aaeebf75</t>
        </is>
      </c>
      <c r="C7" s="2" t="n"/>
      <c r="D7" s="2" t="inlineStr">
        <is>
          <t>MAJOR</t>
        </is>
      </c>
      <c r="E7" s="2" t="inlineStr">
        <is>
          <t>description_proposed_html</t>
        </is>
      </c>
      <c r="F7" s="2" t="inlineStr">
        <is>
          <t>&lt;p&gt;Custom Basketball Net Blanket features black basketball blanket with hoop, net, ball under the rim, vertical sample name and jersey number. The wording focuses on the visible sports artwork, product form and selectable options for this exact design.&lt;/p&gt;&lt;h3&gt;Design Details&lt;/h3&gt;&lt;ul&gt;&lt;li&gt;Artwork: blac...</t>
        </is>
      </c>
      <c r="G7"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Includes grammatical error ('uses a optional Custom Name field'). Omits essential blanket specifications: material fabric (plush fleece/flannel), sizing dimensions (Small 40x50, Medium 50x60, Large 60x80 in), and care instructions.</t>
        </is>
      </c>
      <c r="H7" s="2" t="inlineStr">
        <is>
          <t>Internal prompt boilerplate and missing essential product specifications degrade consumer trust and conversion rate.</t>
        </is>
      </c>
      <c r="I7" s="2" t="inlineStr">
        <is>
          <t>Replace with clean customer-facing HTML description without internal prompt boilerplate, correctly explaining blanket form factor, available sizes, optional name and number customization, and fabric care instructions.</t>
        </is>
      </c>
      <c r="J7" s="2" t="inlineStr">
        <is>
          <t>Direct review of r2 description_proposed_html and live storefront options.</t>
        </is>
      </c>
      <c r="K7" s="2" t="inlineStr">
        <is>
          <t>Customer-facing description is free of prompt boilerplate and accurately details product construction, sizing, personalization, and care.</t>
        </is>
      </c>
      <c r="L7" s="2" t="inlineStr">
        <is>
          <t>NEW</t>
        </is>
      </c>
    </row>
    <row r="8">
      <c r="A8" s="3" t="inlineStr">
        <is>
          <t>ISSUE-0007</t>
        </is>
      </c>
      <c r="B8" s="3" t="inlineStr">
        <is>
          <t>jeminise.com+personalized-basketball-below-hoop-comforter-name-number-e8b829a176-e8b829a176</t>
        </is>
      </c>
      <c r="C8" s="2" t="n"/>
      <c r="D8" s="2" t="inlineStr">
        <is>
          <t>MAJOR</t>
        </is>
      </c>
      <c r="E8" s="2" t="inlineStr">
        <is>
          <t>description_proposed_html</t>
        </is>
      </c>
      <c r="F8" s="2" t="inlineStr">
        <is>
          <t>&lt;p&gt;Custom Basketball Court Hoop Comforter features blue-black basketball comforter with court lines, hoop, large ball and sample custom name. The wording focuses on the visible sports artwork, product form and selectable options for this exact design.&lt;/p&gt;&lt;h3&gt;Design Details&lt;/h3&gt;&lt;ul&gt;&lt;li&gt;Artwork: blue-...</t>
        </is>
      </c>
      <c r="G8"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8" s="2" t="inlineStr">
        <is>
          <t>Internal prompt boilerplate and missing essential product specifications degrade consumer trust and conversion rate.</t>
        </is>
      </c>
      <c r="I8" s="2" t="inlineStr">
        <is>
          <t>Replace with clean customer-facing HTML description without internal prompt boilerplate, accurately detailing Comforter vs Duvet Cover construction, bottom zipper detail, required Name and Number personalization, size dimensions, and care instructions.</t>
        </is>
      </c>
      <c r="J8" s="2" t="inlineStr">
        <is>
          <t>Direct review of r2 description_proposed_html and live storefront options.</t>
        </is>
      </c>
      <c r="K8" s="2" t="inlineStr">
        <is>
          <t>Customer-facing description is free of prompt boilerplate and accurately details product construction, sizing, personalization, and care.</t>
        </is>
      </c>
      <c r="L8" s="2" t="inlineStr">
        <is>
          <t>NEW</t>
        </is>
      </c>
    </row>
    <row r="9">
      <c r="A9" s="3" t="inlineStr">
        <is>
          <t>ISSUE-0008</t>
        </is>
      </c>
      <c r="B9" s="3" t="inlineStr">
        <is>
          <t>jeminise.com+personalized-basketball-below-hoop-comforter-with-name-and-number-d7a58513fd-d7a58513fd</t>
        </is>
      </c>
      <c r="C9" s="2" t="n"/>
      <c r="D9" s="2" t="inlineStr">
        <is>
          <t>MAJOR</t>
        </is>
      </c>
      <c r="E9" s="2" t="inlineStr">
        <is>
          <t>description_proposed_html</t>
        </is>
      </c>
      <c r="F9" s="2" t="inlineStr">
        <is>
          <t>&lt;p&gt;Custom Black Basketball Hoop Comforter features black basketball comforter with orange ball under hoop, grid background, vertical sample name and jersey number. The wording focuses on the visible sports artwork, product form and selectable options for this exact design.&lt;/p&gt;&lt;h3&gt;Design Details&lt;/h3&gt;...</t>
        </is>
      </c>
      <c r="G9"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9" s="2" t="inlineStr">
        <is>
          <t>Internal prompt boilerplate and missing essential product specifications degrade consumer trust and conversion rate.</t>
        </is>
      </c>
      <c r="I9" s="2" t="inlineStr">
        <is>
          <t>Replace with clean customer-facing HTML description without internal prompt boilerplate, accurately detailing Comforter vs Duvet Cover construction, bottom zipper detail, required Name and Number personalization, size dimensions, and care instructions.</t>
        </is>
      </c>
      <c r="J9" s="2" t="inlineStr">
        <is>
          <t>Direct review of r2 description_proposed_html and live storefront options.</t>
        </is>
      </c>
      <c r="K9" s="2" t="inlineStr">
        <is>
          <t>Customer-facing description is free of prompt boilerplate and accurately details product construction, sizing, personalization, and care.</t>
        </is>
      </c>
      <c r="L9" s="2" t="inlineStr">
        <is>
          <t>NEW</t>
        </is>
      </c>
    </row>
    <row r="10">
      <c r="A10" s="3" t="inlineStr">
        <is>
          <t>ISSUE-0009</t>
        </is>
      </c>
      <c r="B10" s="3" t="inlineStr">
        <is>
          <t>jeminise.com+personalized-basketball-burning-flames-comforter-with-name-and-number-746598fa53-746598fa53</t>
        </is>
      </c>
      <c r="C10" s="2" t="n"/>
      <c r="D10" s="2" t="inlineStr">
        <is>
          <t>MAJOR</t>
        </is>
      </c>
      <c r="E10" s="2" t="inlineStr">
        <is>
          <t>description_proposed_html</t>
        </is>
      </c>
      <c r="F10" s="2" t="inlineStr">
        <is>
          <t>&lt;p&gt;Custom Flame Basketball Comforter Set features basketball comforter with oversized close-up ball, burning flame background, sample name and jersey number. The wording focuses on the visible sports artwork, product form and selectable options for this exact design.&lt;/p&gt;&lt;h3&gt;Design Details&lt;/h3&gt;&lt;ul&gt;&lt;l...</t>
        </is>
      </c>
      <c r="G10"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Omits essential bedding specifications: Comforter vs Duvet Cover construction breakdown, hidden bottom zipper closure, sizing chart, and fabric care instructions.</t>
        </is>
      </c>
      <c r="H10" s="2" t="inlineStr">
        <is>
          <t>Internal prompt boilerplate and missing essential product specifications degrade consumer trust and conversion rate.</t>
        </is>
      </c>
      <c r="I10" s="2" t="inlineStr">
        <is>
          <t>Replace with clean customer-facing HTML description without internal prompt boilerplate, accurately detailing Comforter vs Duvet Cover construction, bottom zipper detail, required Name and Number personalization, size dimensions, and care instructions.</t>
        </is>
      </c>
      <c r="J10" s="2" t="inlineStr">
        <is>
          <t>Direct review of r2 description_proposed_html and live storefront options.</t>
        </is>
      </c>
      <c r="K10" s="2" t="inlineStr">
        <is>
          <t>Customer-facing description is free of prompt boilerplate and accurately details product construction, sizing, personalization, and care.</t>
        </is>
      </c>
      <c r="L10" s="2" t="inlineStr">
        <is>
          <t>NEW</t>
        </is>
      </c>
    </row>
    <row r="11">
      <c r="A11" s="3" t="inlineStr">
        <is>
          <t>ISSUE-0010</t>
        </is>
      </c>
      <c r="B11" s="3" t="inlineStr">
        <is>
          <t>jeminise.com+personalized-basketball-close-up-blanket-with-name-and-number-3f49346de1-3f49346de1</t>
        </is>
      </c>
      <c r="C11" s="2" t="n"/>
      <c r="D11" s="2" t="inlineStr">
        <is>
          <t>MAJOR</t>
        </is>
      </c>
      <c r="E11" s="2" t="inlineStr">
        <is>
          <t>description_proposed_html</t>
        </is>
      </c>
      <c r="F11" s="2" t="inlineStr">
        <is>
          <t>&lt;p&gt;Custom Basketball Close-Up Blanket features dark basketball blanket with close-up ball, gray player silhouettes, sample name and jersey number. The wording focuses on the visible sports artwork, product form and selectable options for this exact design.&lt;/p&gt;&lt;h3&gt;Design Details&lt;/h3&gt;&lt;ul&gt;&lt;li&gt;Artwork: ...</t>
        </is>
      </c>
      <c r="G11" s="2" t="inlineStr">
        <is>
          <t>Proposed description contains generator prompt boilerplate ('The wording focuses on the visible sports artwork, product form and selectable options for this exact design.' and 'Gallery images show the main bedding or blanket mockup plus feature, care, bedding-type, size or lifestyle panels where present.') in customer-facing copy. Includes grammatical error ('uses a optional Custom Name field'). Omits essential blanket specifications: material fabric (plush fleece/flannel), sizing dimensions (Small 40x50, Medium 50x60, Large 60x80 in), and care instructions.</t>
        </is>
      </c>
      <c r="H11" s="2" t="inlineStr">
        <is>
          <t>Internal prompt boilerplate and missing essential product specifications degrade consumer trust and conversion rate.</t>
        </is>
      </c>
      <c r="I11" s="2" t="inlineStr">
        <is>
          <t>Replace with clean customer-facing HTML description without internal prompt boilerplate, correctly explaining blanket form factor, available sizes, optional name and number customization, and fabric care instructions.</t>
        </is>
      </c>
      <c r="J11" s="2" t="inlineStr">
        <is>
          <t>Direct review of r2 description_proposed_html and live storefront options.</t>
        </is>
      </c>
      <c r="K11" s="2" t="inlineStr">
        <is>
          <t>Customer-facing description is free of prompt boilerplate and accurately details product construction, sizing, personalization, and care.</t>
        </is>
      </c>
      <c r="L11" s="2" t="inlineStr">
        <is>
          <t>NEW</t>
        </is>
      </c>
    </row>
    <row r="12">
      <c r="A12" s="3" t="inlineStr">
        <is>
          <t>ISSUE-0011</t>
        </is>
      </c>
      <c r="B12" s="3" t="inlineStr">
        <is>
          <t>jeminise.com+personalized-baseball-bedding-full-size-flag-custom-name-d-design-26</t>
        </is>
      </c>
      <c r="C12" s="2" t="n"/>
      <c r="D12" s="2" t="inlineStr">
        <is>
          <t>MINOR</t>
        </is>
      </c>
      <c r="E12" s="2" t="inlineStr">
        <is>
          <t>meta_description_seo</t>
        </is>
      </c>
      <c r="F12" s="2" t="inlineStr">
        <is>
          <t xml:space="preserve">Shop custom baseball flag name number bedding with American flag baseball bedding with wood plank texture, large baseball, script sample name and numbered </t>
        </is>
      </c>
      <c r="G12" s="2" t="inlineStr">
        <is>
          <t>Meta description is hard-truncated at exactly 155 characters, cutting off abruptly mid-word or mid-sentence ('...e name and numbered ').</t>
        </is>
      </c>
      <c r="H12" s="2" t="inlineStr">
        <is>
          <t>Abrupt truncation mid-word damages brand professionalism on search engine results pages and harms click-through rate.</t>
        </is>
      </c>
      <c r="I12" s="2" t="inlineStr">
        <is>
          <t>Rewrite meta description into complete, grammatically sound sentences within 100-150 characters with proper ending punctuation.</t>
        </is>
      </c>
      <c r="J12" s="2" t="inlineStr">
        <is>
          <t>Direct character count and sentence boundary audit of meta_description_seo column.</t>
        </is>
      </c>
      <c r="K12" s="2" t="inlineStr">
        <is>
          <t>Meta description concludes with complete words and punctuation within search snippet limits.</t>
        </is>
      </c>
      <c r="L12" s="2" t="inlineStr">
        <is>
          <t>NEW</t>
        </is>
      </c>
    </row>
    <row r="13">
      <c r="A13" s="3" t="inlineStr">
        <is>
          <t>ISSUE-0012</t>
        </is>
      </c>
      <c r="B13" s="3" t="inlineStr">
        <is>
          <t>jeminise.com+personalized-baseball-bedding-full-size-flag-custom-name-duvet-cover</t>
        </is>
      </c>
      <c r="C13" s="2" t="n"/>
      <c r="D13" s="2" t="inlineStr">
        <is>
          <t>MINOR</t>
        </is>
      </c>
      <c r="E13" s="2" t="inlineStr">
        <is>
          <t>meta_description_seo</t>
        </is>
      </c>
      <c r="F13" s="2" t="inlineStr">
        <is>
          <t>Shop custom neon baseball player duvet cover with black baseball duvet cover with neon green player silhouettes, sample custom name and jersey number, sele</t>
        </is>
      </c>
      <c r="G13" s="2" t="inlineStr">
        <is>
          <t>Meta description is hard-truncated at exactly 155 characters, cutting off abruptly mid-word or mid-sentence ('... jersey number, sele').</t>
        </is>
      </c>
      <c r="H13" s="2" t="inlineStr">
        <is>
          <t>Abrupt truncation mid-word damages brand professionalism on search engine results pages and harms click-through rate.</t>
        </is>
      </c>
      <c r="I13" s="2" t="inlineStr">
        <is>
          <t>Rewrite meta description into complete, grammatically sound sentences within 100-150 characters with proper ending punctuation.</t>
        </is>
      </c>
      <c r="J13" s="2" t="inlineStr">
        <is>
          <t>Direct character count and sentence boundary audit of meta_description_seo column.</t>
        </is>
      </c>
      <c r="K13" s="2" t="inlineStr">
        <is>
          <t>Meta description concludes with complete words and punctuation within search snippet limits.</t>
        </is>
      </c>
      <c r="L13" s="2" t="inlineStr">
        <is>
          <t>NEW</t>
        </is>
      </c>
    </row>
    <row r="14">
      <c r="A14" s="3" t="inlineStr">
        <is>
          <t>ISSUE-0013</t>
        </is>
      </c>
      <c r="B14" s="3" t="inlineStr">
        <is>
          <t>jeminise.com+personalized-basketball-above-hoop-and-net-comforter-with-name-and-number-ff32dd676a-ff32dd676a</t>
        </is>
      </c>
      <c r="C14" s="2" t="n"/>
      <c r="D14" s="2" t="inlineStr">
        <is>
          <t>MINOR</t>
        </is>
      </c>
      <c r="E14" s="2" t="inlineStr">
        <is>
          <t>meta_description_seo</t>
        </is>
      </c>
      <c r="F14" s="2" t="inlineStr">
        <is>
          <t>Shop custom basketball hoop comforter set with basketball comforter showing a ball above the hoop and net with sample name and jersey number, selectable si</t>
        </is>
      </c>
      <c r="G14" s="2" t="inlineStr">
        <is>
          <t>Meta description is hard-truncated at exactly 155 characters, cutting off abruptly mid-word or mid-sentence ('...umber, selectable si').</t>
        </is>
      </c>
      <c r="H14" s="2" t="inlineStr">
        <is>
          <t>Abrupt truncation mid-word damages brand professionalism on search engine results pages and harms click-through rate.</t>
        </is>
      </c>
      <c r="I14" s="2" t="inlineStr">
        <is>
          <t>Rewrite meta description into complete, grammatically sound sentences within 100-150 characters with proper ending punctuation.</t>
        </is>
      </c>
      <c r="J14" s="2" t="inlineStr">
        <is>
          <t>Direct character count and sentence boundary audit of meta_description_seo column.</t>
        </is>
      </c>
      <c r="K14" s="2" t="inlineStr">
        <is>
          <t>Meta description concludes with complete words and punctuation within search snippet limits.</t>
        </is>
      </c>
      <c r="L14" s="2" t="inlineStr">
        <is>
          <t>NEW</t>
        </is>
      </c>
    </row>
    <row r="15">
      <c r="A15" s="3" t="inlineStr">
        <is>
          <t>ISSUE-0014</t>
        </is>
      </c>
      <c r="B15" s="3" t="inlineStr">
        <is>
          <t>jeminise.com+personalized-basketball-above-hoop-close-up-comforter-with-name-and-number-95487807f8-95487807f8</t>
        </is>
      </c>
      <c r="C15" s="2" t="n"/>
      <c r="D15" s="2" t="inlineStr">
        <is>
          <t>MINOR</t>
        </is>
      </c>
      <c r="E15" s="2" t="inlineStr">
        <is>
          <t>meta_description_seo</t>
        </is>
      </c>
      <c r="F15" s="2" t="inlineStr">
        <is>
          <t>Shop custom blue red basketball hoop bedding with blue and red basketball bedding with close-up hoop, net, ball, vertical sample name and jersey number, se</t>
        </is>
      </c>
      <c r="G15" s="2" t="inlineStr">
        <is>
          <t>Meta description is hard-truncated at exactly 155 characters, cutting off abruptly mid-word or mid-sentence ('...nd jersey number, se').</t>
        </is>
      </c>
      <c r="H15" s="2" t="inlineStr">
        <is>
          <t>Abrupt truncation mid-word damages brand professionalism on search engine results pages and harms click-through rate.</t>
        </is>
      </c>
      <c r="I15" s="2" t="inlineStr">
        <is>
          <t>Rewrite meta description into complete, grammatically sound sentences within 100-150 characters with proper ending punctuation.</t>
        </is>
      </c>
      <c r="J15" s="2" t="inlineStr">
        <is>
          <t>Direct character count and sentence boundary audit of meta_description_seo column.</t>
        </is>
      </c>
      <c r="K15" s="2" t="inlineStr">
        <is>
          <t>Meta description concludes with complete words and punctuation within search snippet limits.</t>
        </is>
      </c>
      <c r="L15" s="2" t="inlineStr">
        <is>
          <t>NEW</t>
        </is>
      </c>
    </row>
    <row r="16">
      <c r="A16" s="3" t="inlineStr">
        <is>
          <t>ISSUE-0015</t>
        </is>
      </c>
      <c r="B16" s="3" t="inlineStr">
        <is>
          <t>jeminise.com+personalized-basketball-with-paint-splash-comforter-ccac4b4a9e-ccac4b4a9e</t>
        </is>
      </c>
      <c r="C16" s="2" t="n"/>
      <c r="D16" s="2" t="inlineStr">
        <is>
          <t>MINOR</t>
        </is>
      </c>
      <c r="E16" s="2" t="inlineStr">
        <is>
          <t>meta_description_seo</t>
        </is>
      </c>
      <c r="F16" s="2" t="inlineStr">
        <is>
          <t>Shop custom basketball paint splash comforter with red and blue paint-splash basketball comforter with large ball graphic, sample name and jersey number, s</t>
        </is>
      </c>
      <c r="G16" s="2" t="inlineStr">
        <is>
          <t>Meta description is hard-truncated at exactly 155 characters, cutting off abruptly mid-word or mid-sentence ('...and jersey number, s').</t>
        </is>
      </c>
      <c r="H16" s="2" t="inlineStr">
        <is>
          <t>Abrupt truncation mid-word damages brand professionalism on search engine results pages and harms click-through rate.</t>
        </is>
      </c>
      <c r="I16" s="2" t="inlineStr">
        <is>
          <t>Rewrite meta description into complete, grammatically sound sentences within 100-150 characters with proper ending punctuation.</t>
        </is>
      </c>
      <c r="J16" s="2" t="inlineStr">
        <is>
          <t>Direct character count and sentence boundary audit of meta_description_seo column.</t>
        </is>
      </c>
      <c r="K16" s="2" t="inlineStr">
        <is>
          <t>Meta description concludes with complete words and punctuation within search snippet limits.</t>
        </is>
      </c>
      <c r="L16" s="2" t="inlineStr">
        <is>
          <t>NEW</t>
        </is>
      </c>
    </row>
    <row r="17">
      <c r="A17" s="3" t="inlineStr">
        <is>
          <t>ISSUE-0016</t>
        </is>
      </c>
      <c r="B17" s="3" t="inlineStr">
        <is>
          <t>jeminise.com+personalized-basketball-ball-below-net-blanket-with-name-and-number-86aaeebf75-86aaeebf75</t>
        </is>
      </c>
      <c r="C17" s="2" t="n"/>
      <c r="D17" s="2" t="inlineStr">
        <is>
          <t>MINOR</t>
        </is>
      </c>
      <c r="E17" s="2" t="inlineStr">
        <is>
          <t>meta_description_seo</t>
        </is>
      </c>
      <c r="F17" s="2" t="inlineStr">
        <is>
          <t>Shop custom basketball net blanket with black basketball blanket with hoop, net, ball under the rim, vertical sample name and jersey number, selectable siz</t>
        </is>
      </c>
      <c r="G17" s="2" t="inlineStr">
        <is>
          <t>Meta description is hard-truncated at exactly 155 characters, cutting off abruptly mid-word or mid-sentence ('...mber, selectable siz').</t>
        </is>
      </c>
      <c r="H17" s="2" t="inlineStr">
        <is>
          <t>Abrupt truncation mid-word damages brand professionalism on search engine results pages and harms click-through rate.</t>
        </is>
      </c>
      <c r="I17" s="2" t="inlineStr">
        <is>
          <t>Rewrite meta description into complete, grammatically sound sentences within 100-150 characters with proper ending punctuation.</t>
        </is>
      </c>
      <c r="J17" s="2" t="inlineStr">
        <is>
          <t>Direct character count and sentence boundary audit of meta_description_seo column.</t>
        </is>
      </c>
      <c r="K17" s="2" t="inlineStr">
        <is>
          <t>Meta description concludes with complete words and punctuation within search snippet limits.</t>
        </is>
      </c>
      <c r="L17" s="2" t="inlineStr">
        <is>
          <t>NEW</t>
        </is>
      </c>
    </row>
    <row r="18">
      <c r="A18" s="3" t="inlineStr">
        <is>
          <t>ISSUE-0017</t>
        </is>
      </c>
      <c r="B18" s="3" t="inlineStr">
        <is>
          <t>jeminise.com+personalized-basketball-below-hoop-comforter-name-number-e8b829a176-e8b829a176</t>
        </is>
      </c>
      <c r="C18" s="2" t="n"/>
      <c r="D18" s="2" t="inlineStr">
        <is>
          <t>MINOR</t>
        </is>
      </c>
      <c r="E18" s="2" t="inlineStr">
        <is>
          <t>meta_description_seo</t>
        </is>
      </c>
      <c r="F18" s="2" t="inlineStr">
        <is>
          <t>Shop custom basketball court hoop comforter with blue-black basketball comforter with court lines, hoop, large ball and sample custom name, selectable size</t>
        </is>
      </c>
      <c r="G18" s="2" t="inlineStr">
        <is>
          <t>Meta description is hard-truncated at exactly 155 characters, cutting off abruptly mid-word or mid-sentence ('...ame, selectable size').</t>
        </is>
      </c>
      <c r="H18" s="2" t="inlineStr">
        <is>
          <t>Abrupt truncation mid-word damages brand professionalism on search engine results pages and harms click-through rate.</t>
        </is>
      </c>
      <c r="I18" s="2" t="inlineStr">
        <is>
          <t>Rewrite meta description into complete, grammatically sound sentences within 100-150 characters with proper ending punctuation.</t>
        </is>
      </c>
      <c r="J18" s="2" t="inlineStr">
        <is>
          <t>Direct character count and sentence boundary audit of meta_description_seo column.</t>
        </is>
      </c>
      <c r="K18" s="2" t="inlineStr">
        <is>
          <t>Meta description concludes with complete words and punctuation within search snippet limits.</t>
        </is>
      </c>
      <c r="L18" s="2" t="inlineStr">
        <is>
          <t>NEW</t>
        </is>
      </c>
    </row>
    <row r="19">
      <c r="A19" s="3" t="inlineStr">
        <is>
          <t>ISSUE-0018</t>
        </is>
      </c>
      <c r="B19" s="3" t="inlineStr">
        <is>
          <t>jeminise.com+personalized-basketball-below-hoop-comforter-with-name-and-number-d7a58513fd-d7a58513fd</t>
        </is>
      </c>
      <c r="C19" s="2" t="n"/>
      <c r="D19" s="2" t="inlineStr">
        <is>
          <t>MINOR</t>
        </is>
      </c>
      <c r="E19" s="2" t="inlineStr">
        <is>
          <t>meta_description_seo</t>
        </is>
      </c>
      <c r="F19" s="2" t="inlineStr">
        <is>
          <t>Shop custom black basketball hoop comforter with black basketball comforter with orange ball under hoop, grid background, vertical sample name and jersey n</t>
        </is>
      </c>
      <c r="G19" s="2" t="inlineStr">
        <is>
          <t>Meta description is hard-truncated at exactly 155 characters, cutting off abruptly mid-word or mid-sentence ('...le name and jersey n').</t>
        </is>
      </c>
      <c r="H19" s="2" t="inlineStr">
        <is>
          <t>Abrupt truncation mid-word damages brand professionalism on search engine results pages and harms click-through rate.</t>
        </is>
      </c>
      <c r="I19" s="2" t="inlineStr">
        <is>
          <t>Rewrite meta description into complete, grammatically sound sentences within 100-150 characters with proper ending punctuation.</t>
        </is>
      </c>
      <c r="J19" s="2" t="inlineStr">
        <is>
          <t>Direct character count and sentence boundary audit of meta_description_seo column.</t>
        </is>
      </c>
      <c r="K19" s="2" t="inlineStr">
        <is>
          <t>Meta description concludes with complete words and punctuation within search snippet limits.</t>
        </is>
      </c>
      <c r="L19" s="2" t="inlineStr">
        <is>
          <t>NEW</t>
        </is>
      </c>
    </row>
    <row r="20">
      <c r="A20" s="3" t="inlineStr">
        <is>
          <t>ISSUE-0019</t>
        </is>
      </c>
      <c r="B20" s="3" t="inlineStr">
        <is>
          <t>jeminise.com+personalized-basketball-burning-flames-comforter-with-name-and-number-746598fa53-746598fa53</t>
        </is>
      </c>
      <c r="C20" s="2" t="n"/>
      <c r="D20" s="2" t="inlineStr">
        <is>
          <t>MINOR</t>
        </is>
      </c>
      <c r="E20" s="2" t="inlineStr">
        <is>
          <t>meta_description_seo</t>
        </is>
      </c>
      <c r="F20" s="2" t="inlineStr">
        <is>
          <t>Shop custom flame basketball comforter set with basketball comforter with oversized close-up ball, burning flame background, sample name and jersey number,</t>
        </is>
      </c>
      <c r="G20" s="2" t="inlineStr">
        <is>
          <t>Meta description is hard-truncated at exactly 155 characters, cutting off abruptly mid-word or mid-sentence ('...e and jersey number,').</t>
        </is>
      </c>
      <c r="H20" s="2" t="inlineStr">
        <is>
          <t>Abrupt truncation mid-word damages brand professionalism on search engine results pages and harms click-through rate.</t>
        </is>
      </c>
      <c r="I20" s="2" t="inlineStr">
        <is>
          <t>Rewrite meta description into complete, grammatically sound sentences within 100-150 characters with proper ending punctuation.</t>
        </is>
      </c>
      <c r="J20" s="2" t="inlineStr">
        <is>
          <t>Direct character count and sentence boundary audit of meta_description_seo column.</t>
        </is>
      </c>
      <c r="K20" s="2" t="inlineStr">
        <is>
          <t>Meta description concludes with complete words and punctuation within search snippet limits.</t>
        </is>
      </c>
      <c r="L20" s="2" t="inlineStr">
        <is>
          <t>NEW</t>
        </is>
      </c>
    </row>
    <row r="21">
      <c r="A21" s="3" t="inlineStr">
        <is>
          <t>ISSUE-0020</t>
        </is>
      </c>
      <c r="B21" s="3" t="inlineStr">
        <is>
          <t>jeminise.com+personalized-basketball-close-up-blanket-with-name-and-number-3f49346de1-3f49346de1</t>
        </is>
      </c>
      <c r="C21" s="2" t="n"/>
      <c r="D21" s="2" t="inlineStr">
        <is>
          <t>MINOR</t>
        </is>
      </c>
      <c r="E21" s="2" t="inlineStr">
        <is>
          <t>meta_description_seo</t>
        </is>
      </c>
      <c r="F21" s="2" t="inlineStr">
        <is>
          <t>Shop custom basketball close-up blanket with dark basketball blanket with close-up ball, gray player silhouettes, sample name and jersey number, selectable</t>
        </is>
      </c>
      <c r="G21" s="2" t="inlineStr">
        <is>
          <t>Meta description is hard-truncated at exactly 155 characters, cutting off abruptly mid-word or mid-sentence ('...y number, selectable').</t>
        </is>
      </c>
      <c r="H21" s="2" t="inlineStr">
        <is>
          <t>Abrupt truncation mid-word damages brand professionalism on search engine results pages and harms click-through rate.</t>
        </is>
      </c>
      <c r="I21" s="2" t="inlineStr">
        <is>
          <t>Rewrite meta description into complete, grammatically sound sentences within 100-150 characters with proper ending punctuation.</t>
        </is>
      </c>
      <c r="J21" s="2" t="inlineStr">
        <is>
          <t>Direct character count and sentence boundary audit of meta_description_seo column.</t>
        </is>
      </c>
      <c r="K21" s="2" t="inlineStr">
        <is>
          <t>Meta description concludes with complete words and punctuation within search snippet limits.</t>
        </is>
      </c>
      <c r="L21" s="2" t="inlineStr">
        <is>
          <t>NEW</t>
        </is>
      </c>
    </row>
    <row r="22">
      <c r="A22" s="3" t="inlineStr">
        <is>
          <t>ISSUE-0021</t>
        </is>
      </c>
      <c r="B22" s="3" t="inlineStr">
        <is>
          <t>jeminise.com+personalized-baseball-bedding-full-size-flag-custom-name-d-design-26</t>
        </is>
      </c>
      <c r="C22" s="2" t="n"/>
      <c r="D22" s="2" t="inlineStr">
        <is>
          <t>LIMITATION</t>
        </is>
      </c>
      <c r="E22" s="2" t="inlineStr">
        <is>
          <t>keyword_evidence_level</t>
        </is>
      </c>
      <c r="F22" s="2" t="inlineStr">
        <is>
          <t>SERP_ONLY</t>
        </is>
      </c>
      <c r="G22" s="2" t="inlineStr">
        <is>
          <t>Keyword evidence level is SERP_ONLY due to offline QA environment without direct Google Search Console or Analytics API access.</t>
        </is>
      </c>
      <c r="H22" s="2" t="inlineStr">
        <is>
          <t>Standard operational boundary of offline SEO audits.</t>
        </is>
      </c>
      <c r="I22" s="2" t="inlineStr">
        <is>
          <t>Maintain keyword evidence with multi-domain US SERP verification and comparator analysis until live GSC access is integrated.</t>
        </is>
      </c>
      <c r="J22" s="2" t="inlineStr">
        <is>
          <t>Offline QA operational environment; supported by 20 live SERP queries.</t>
        </is>
      </c>
      <c r="K22" s="2" t="inlineStr">
        <is>
          <t>Logged as ongoing limitation; compensated by independent SERP validation.</t>
        </is>
      </c>
      <c r="L22" s="2" t="inlineStr">
        <is>
          <t>NEW</t>
        </is>
      </c>
    </row>
    <row r="23">
      <c r="A23" s="3" t="inlineStr">
        <is>
          <t>ISSUE-0022</t>
        </is>
      </c>
      <c r="B23" s="3" t="inlineStr">
        <is>
          <t>jeminise.com+personalized-baseball-bedding-full-size-flag-custom-name-duvet-cover</t>
        </is>
      </c>
      <c r="C23" s="2" t="n"/>
      <c r="D23" s="2" t="inlineStr">
        <is>
          <t>LIMITATION</t>
        </is>
      </c>
      <c r="E23" s="2" t="inlineStr">
        <is>
          <t>keyword_evidence_level</t>
        </is>
      </c>
      <c r="F23" s="2" t="inlineStr">
        <is>
          <t>SERP_ONLY</t>
        </is>
      </c>
      <c r="G23" s="2" t="inlineStr">
        <is>
          <t>Keyword evidence level is SERP_ONLY due to offline QA environment without direct Google Search Console or Analytics API access.</t>
        </is>
      </c>
      <c r="H23" s="2" t="inlineStr">
        <is>
          <t>Standard operational boundary of offline SEO audits.</t>
        </is>
      </c>
      <c r="I23" s="2" t="inlineStr">
        <is>
          <t>Maintain keyword evidence with multi-domain US SERP verification and comparator analysis until live GSC access is integrated.</t>
        </is>
      </c>
      <c r="J23" s="2" t="inlineStr">
        <is>
          <t>Offline QA operational environment; supported by 20 live SERP queries.</t>
        </is>
      </c>
      <c r="K23" s="2" t="inlineStr">
        <is>
          <t>Logged as ongoing limitation; compensated by independent SERP validation.</t>
        </is>
      </c>
      <c r="L23" s="2" t="inlineStr">
        <is>
          <t>NEW</t>
        </is>
      </c>
    </row>
    <row r="24">
      <c r="A24" s="3" t="inlineStr">
        <is>
          <t>ISSUE-0023</t>
        </is>
      </c>
      <c r="B24" s="3" t="inlineStr">
        <is>
          <t>jeminise.com+personalized-basketball-above-hoop-and-net-comforter-with-name-and-number-ff32dd676a-ff32dd676a</t>
        </is>
      </c>
      <c r="C24" s="2" t="n"/>
      <c r="D24" s="2" t="inlineStr">
        <is>
          <t>LIMITATION</t>
        </is>
      </c>
      <c r="E24" s="2" t="inlineStr">
        <is>
          <t>keyword_evidence_level</t>
        </is>
      </c>
      <c r="F24" s="2" t="inlineStr">
        <is>
          <t>SERP_ONLY</t>
        </is>
      </c>
      <c r="G24" s="2" t="inlineStr">
        <is>
          <t>Keyword evidence level is SERP_ONLY due to offline QA environment without direct Google Search Console or Analytics API access.</t>
        </is>
      </c>
      <c r="H24" s="2" t="inlineStr">
        <is>
          <t>Standard operational boundary of offline SEO audits.</t>
        </is>
      </c>
      <c r="I24" s="2" t="inlineStr">
        <is>
          <t>Maintain keyword evidence with multi-domain US SERP verification and comparator analysis until live GSC access is integrated.</t>
        </is>
      </c>
      <c r="J24" s="2" t="inlineStr">
        <is>
          <t>Offline QA operational environment; supported by 20 live SERP queries.</t>
        </is>
      </c>
      <c r="K24" s="2" t="inlineStr">
        <is>
          <t>Logged as ongoing limitation; compensated by independent SERP validation.</t>
        </is>
      </c>
      <c r="L24" s="2" t="inlineStr">
        <is>
          <t>NEW</t>
        </is>
      </c>
    </row>
    <row r="25">
      <c r="A25" s="3" t="inlineStr">
        <is>
          <t>ISSUE-0024</t>
        </is>
      </c>
      <c r="B25" s="3" t="inlineStr">
        <is>
          <t>jeminise.com+personalized-basketball-above-hoop-close-up-comforter-with-name-and-number-95487807f8-95487807f8</t>
        </is>
      </c>
      <c r="C25" s="2" t="n"/>
      <c r="D25" s="2" t="inlineStr">
        <is>
          <t>LIMITATION</t>
        </is>
      </c>
      <c r="E25" s="2" t="inlineStr">
        <is>
          <t>keyword_evidence_level</t>
        </is>
      </c>
      <c r="F25" s="2" t="inlineStr">
        <is>
          <t>SERP_ONLY</t>
        </is>
      </c>
      <c r="G25" s="2" t="inlineStr">
        <is>
          <t>Keyword evidence level is SERP_ONLY due to offline QA environment without direct Google Search Console or Analytics API access.</t>
        </is>
      </c>
      <c r="H25" s="2" t="inlineStr">
        <is>
          <t>Standard operational boundary of offline SEO audits.</t>
        </is>
      </c>
      <c r="I25" s="2" t="inlineStr">
        <is>
          <t>Maintain keyword evidence with multi-domain US SERP verification and comparator analysis until live GSC access is integrated.</t>
        </is>
      </c>
      <c r="J25" s="2" t="inlineStr">
        <is>
          <t>Offline QA operational environment; supported by 20 live SERP queries.</t>
        </is>
      </c>
      <c r="K25" s="2" t="inlineStr">
        <is>
          <t>Logged as ongoing limitation; compensated by independent SERP validation.</t>
        </is>
      </c>
      <c r="L25" s="2" t="inlineStr">
        <is>
          <t>NEW</t>
        </is>
      </c>
    </row>
    <row r="26">
      <c r="A26" s="3" t="inlineStr">
        <is>
          <t>ISSUE-0025</t>
        </is>
      </c>
      <c r="B26" s="3" t="inlineStr">
        <is>
          <t>jeminise.com+personalized-basketball-with-paint-splash-comforter-ccac4b4a9e-ccac4b4a9e</t>
        </is>
      </c>
      <c r="C26" s="2" t="n"/>
      <c r="D26" s="2" t="inlineStr">
        <is>
          <t>LIMITATION</t>
        </is>
      </c>
      <c r="E26" s="2" t="inlineStr">
        <is>
          <t>keyword_evidence_level</t>
        </is>
      </c>
      <c r="F26" s="2" t="inlineStr">
        <is>
          <t>SERP_ONLY</t>
        </is>
      </c>
      <c r="G26" s="2" t="inlineStr">
        <is>
          <t>Keyword evidence level is SERP_ONLY due to offline QA environment without direct Google Search Console or Analytics API access.</t>
        </is>
      </c>
      <c r="H26" s="2" t="inlineStr">
        <is>
          <t>Standard operational boundary of offline SEO audits.</t>
        </is>
      </c>
      <c r="I26" s="2" t="inlineStr">
        <is>
          <t>Maintain keyword evidence with multi-domain US SERP verification and comparator analysis until live GSC access is integrated.</t>
        </is>
      </c>
      <c r="J26" s="2" t="inlineStr">
        <is>
          <t>Offline QA operational environment; supported by 20 live SERP queries.</t>
        </is>
      </c>
      <c r="K26" s="2" t="inlineStr">
        <is>
          <t>Logged as ongoing limitation; compensated by independent SERP validation.</t>
        </is>
      </c>
      <c r="L26" s="2" t="inlineStr">
        <is>
          <t>NEW</t>
        </is>
      </c>
    </row>
    <row r="27">
      <c r="A27" s="3" t="inlineStr">
        <is>
          <t>ISSUE-0026</t>
        </is>
      </c>
      <c r="B27" s="3" t="inlineStr">
        <is>
          <t>jeminise.com+personalized-basketball-ball-below-net-blanket-with-name-and-number-86aaeebf75-86aaeebf75</t>
        </is>
      </c>
      <c r="C27" s="2" t="n"/>
      <c r="D27" s="2" t="inlineStr">
        <is>
          <t>LIMITATION</t>
        </is>
      </c>
      <c r="E27" s="2" t="inlineStr">
        <is>
          <t>keyword_evidence_level</t>
        </is>
      </c>
      <c r="F27" s="2" t="inlineStr">
        <is>
          <t>SERP_ONLY</t>
        </is>
      </c>
      <c r="G27" s="2" t="inlineStr">
        <is>
          <t>Keyword evidence level is SERP_ONLY due to offline QA environment without direct Google Search Console or Analytics API access.</t>
        </is>
      </c>
      <c r="H27" s="2" t="inlineStr">
        <is>
          <t>Standard operational boundary of offline SEO audits.</t>
        </is>
      </c>
      <c r="I27" s="2" t="inlineStr">
        <is>
          <t>Maintain keyword evidence with multi-domain US SERP verification and comparator analysis until live GSC access is integrated.</t>
        </is>
      </c>
      <c r="J27" s="2" t="inlineStr">
        <is>
          <t>Offline QA operational environment; supported by 20 live SERP queries.</t>
        </is>
      </c>
      <c r="K27" s="2" t="inlineStr">
        <is>
          <t>Logged as ongoing limitation; compensated by independent SERP validation.</t>
        </is>
      </c>
      <c r="L27" s="2" t="inlineStr">
        <is>
          <t>NEW</t>
        </is>
      </c>
    </row>
    <row r="28">
      <c r="A28" s="3" t="inlineStr">
        <is>
          <t>ISSUE-0027</t>
        </is>
      </c>
      <c r="B28" s="3" t="inlineStr">
        <is>
          <t>jeminise.com+personalized-basketball-below-hoop-comforter-name-number-e8b829a176-e8b829a176</t>
        </is>
      </c>
      <c r="C28" s="2" t="n"/>
      <c r="D28" s="2" t="inlineStr">
        <is>
          <t>LIMITATION</t>
        </is>
      </c>
      <c r="E28" s="2" t="inlineStr">
        <is>
          <t>keyword_evidence_level</t>
        </is>
      </c>
      <c r="F28" s="2" t="inlineStr">
        <is>
          <t>SERP_ONLY</t>
        </is>
      </c>
      <c r="G28" s="2" t="inlineStr">
        <is>
          <t>Keyword evidence level is SERP_ONLY due to offline QA environment without direct Google Search Console or Analytics API access.</t>
        </is>
      </c>
      <c r="H28" s="2" t="inlineStr">
        <is>
          <t>Standard operational boundary of offline SEO audits.</t>
        </is>
      </c>
      <c r="I28" s="2" t="inlineStr">
        <is>
          <t>Maintain keyword evidence with multi-domain US SERP verification and comparator analysis until live GSC access is integrated.</t>
        </is>
      </c>
      <c r="J28" s="2" t="inlineStr">
        <is>
          <t>Offline QA operational environment; supported by 20 live SERP queries.</t>
        </is>
      </c>
      <c r="K28" s="2" t="inlineStr">
        <is>
          <t>Logged as ongoing limitation; compensated by independent SERP validation.</t>
        </is>
      </c>
      <c r="L28" s="2" t="inlineStr">
        <is>
          <t>NEW</t>
        </is>
      </c>
    </row>
    <row r="29">
      <c r="A29" s="3" t="inlineStr">
        <is>
          <t>ISSUE-0028</t>
        </is>
      </c>
      <c r="B29" s="3" t="inlineStr">
        <is>
          <t>jeminise.com+personalized-basketball-below-hoop-comforter-with-name-and-number-d7a58513fd-d7a58513fd</t>
        </is>
      </c>
      <c r="C29" s="2" t="n"/>
      <c r="D29" s="2" t="inlineStr">
        <is>
          <t>LIMITATION</t>
        </is>
      </c>
      <c r="E29" s="2" t="inlineStr">
        <is>
          <t>keyword_evidence_level</t>
        </is>
      </c>
      <c r="F29" s="2" t="inlineStr">
        <is>
          <t>SERP_ONLY</t>
        </is>
      </c>
      <c r="G29" s="2" t="inlineStr">
        <is>
          <t>Keyword evidence level is SERP_ONLY due to offline QA environment without direct Google Search Console or Analytics API access.</t>
        </is>
      </c>
      <c r="H29" s="2" t="inlineStr">
        <is>
          <t>Standard operational boundary of offline SEO audits.</t>
        </is>
      </c>
      <c r="I29" s="2" t="inlineStr">
        <is>
          <t>Maintain keyword evidence with multi-domain US SERP verification and comparator analysis until live GSC access is integrated.</t>
        </is>
      </c>
      <c r="J29" s="2" t="inlineStr">
        <is>
          <t>Offline QA operational environment; supported by 20 live SERP queries.</t>
        </is>
      </c>
      <c r="K29" s="2" t="inlineStr">
        <is>
          <t>Logged as ongoing limitation; compensated by independent SERP validation.</t>
        </is>
      </c>
      <c r="L29" s="2" t="inlineStr">
        <is>
          <t>NEW</t>
        </is>
      </c>
    </row>
    <row r="30">
      <c r="A30" s="3" t="inlineStr">
        <is>
          <t>ISSUE-0029</t>
        </is>
      </c>
      <c r="B30" s="3" t="inlineStr">
        <is>
          <t>jeminise.com+personalized-basketball-burning-flames-comforter-with-name-and-number-746598fa53-746598fa53</t>
        </is>
      </c>
      <c r="C30" s="2" t="n"/>
      <c r="D30" s="2" t="inlineStr">
        <is>
          <t>LIMITATION</t>
        </is>
      </c>
      <c r="E30" s="2" t="inlineStr">
        <is>
          <t>keyword_evidence_level</t>
        </is>
      </c>
      <c r="F30" s="2" t="inlineStr">
        <is>
          <t>SERP_ONLY</t>
        </is>
      </c>
      <c r="G30" s="2" t="inlineStr">
        <is>
          <t>Keyword evidence level is SERP_ONLY due to offline QA environment without direct Google Search Console or Analytics API access.</t>
        </is>
      </c>
      <c r="H30" s="2" t="inlineStr">
        <is>
          <t>Standard operational boundary of offline SEO audits.</t>
        </is>
      </c>
      <c r="I30" s="2" t="inlineStr">
        <is>
          <t>Maintain keyword evidence with multi-domain US SERP verification and comparator analysis until live GSC access is integrated.</t>
        </is>
      </c>
      <c r="J30" s="2" t="inlineStr">
        <is>
          <t>Offline QA operational environment; supported by 20 live SERP queries.</t>
        </is>
      </c>
      <c r="K30" s="2" t="inlineStr">
        <is>
          <t>Logged as ongoing limitation; compensated by independent SERP validation.</t>
        </is>
      </c>
      <c r="L30" s="2" t="inlineStr">
        <is>
          <t>NEW</t>
        </is>
      </c>
    </row>
    <row r="31">
      <c r="A31" s="3" t="inlineStr">
        <is>
          <t>ISSUE-0030</t>
        </is>
      </c>
      <c r="B31" s="3" t="inlineStr">
        <is>
          <t>jeminise.com+personalized-basketball-close-up-blanket-with-name-and-number-3f49346de1-3f49346de1</t>
        </is>
      </c>
      <c r="C31" s="2" t="n"/>
      <c r="D31" s="2" t="inlineStr">
        <is>
          <t>LIMITATION</t>
        </is>
      </c>
      <c r="E31" s="2" t="inlineStr">
        <is>
          <t>keyword_evidence_level</t>
        </is>
      </c>
      <c r="F31" s="2" t="inlineStr">
        <is>
          <t>SERP_ONLY</t>
        </is>
      </c>
      <c r="G31" s="2" t="inlineStr">
        <is>
          <t>Keyword evidence level is SERP_ONLY due to offline QA environment without direct Google Search Console or Analytics API access.</t>
        </is>
      </c>
      <c r="H31" s="2" t="inlineStr">
        <is>
          <t>Standard operational boundary of offline SEO audits.</t>
        </is>
      </c>
      <c r="I31" s="2" t="inlineStr">
        <is>
          <t>Maintain keyword evidence with multi-domain US SERP verification and comparator analysis until live GSC access is integrated.</t>
        </is>
      </c>
      <c r="J31" s="2" t="inlineStr">
        <is>
          <t>Offline QA operational environment; supported by 20 live SERP queries.</t>
        </is>
      </c>
      <c r="K31" s="2" t="inlineStr">
        <is>
          <t>Logged as ongoing limitation; compensated by independent SERP validation.</t>
        </is>
      </c>
      <c r="L31" s="2" t="inlineStr">
        <is>
          <t>NEW</t>
        </is>
      </c>
    </row>
  </sheetData>
  <autoFilter ref="A1:L3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2026-09-08T06:35:17Z</dcterms:created>
  <dcterms:modified xmlns:dcterms="http://purl.org/dc/terms/" xmlns:xsi="http://www.w3.org/2001/XMLSchema-instance" xsi:type="dcterms:W3CDTF">2026-09-08T06:35:17Z</dcterms:modified>
</cp:coreProperties>
</file>