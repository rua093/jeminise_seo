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'QA_Images'!$A$1:$Z$78</definedName>
    <definedName name="_xlnm.Print_Titles" localSheetId="3">'QA_Images'!$1:$1</definedName>
    <definedName name="_xlnm._FilterDatabase" localSheetId="4" hidden="1">'QA_Issues'!$A$1:$K$105</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semi-truck-with-american-flag-background-comforter-104ae45e5d-104ae45e5d" TargetMode="External" Id="rId1"/><Relationship Type="http://schemas.openxmlformats.org/officeDocument/2006/relationships/hyperlink" Target="https://jeminise.com/products/custom-soccer-ball-cleats-personalized-comforter-set-machine-washable" TargetMode="External" Id="rId2"/><Relationship Type="http://schemas.openxmlformats.org/officeDocument/2006/relationships/hyperlink" Target="https://jeminise.com/products/custom-soccer-ball-goal-net-comforter-set-machine-washabl-design-13" TargetMode="External" Id="rId3"/><Relationship Type="http://schemas.openxmlformats.org/officeDocument/2006/relationships/hyperlink" Target="https://jeminise.com/products/custom-soccer-ball-goal-personalized-bedding-comforter-set-a4" TargetMode="External" Id="rId4"/><Relationship Type="http://schemas.openxmlformats.org/officeDocument/2006/relationships/hyperlink" Target="https://jeminise.com/products/custom-soccer-ball-net-comforter-set-machine-washable-a2" TargetMode="External" Id="rId5"/><Relationship Type="http://schemas.openxmlformats.org/officeDocument/2006/relationships/hyperlink" Target="https://jeminise.com/products/custom-soccer-ball-water-splashes-comforter-set-machine-washable" TargetMode="External" Id="rId6"/><Relationship Type="http://schemas.openxmlformats.org/officeDocument/2006/relationships/hyperlink" Target="https://jeminise.com/products/custom-soccer-ball-with-lightning-splash-comforter-set-a11" TargetMode="External" Id="rId7"/><Relationship Type="http://schemas.openxmlformats.org/officeDocument/2006/relationships/hyperlink" Target="https://jeminise.com/products/custom-soccer-ball-with-number-07-comforter-set-machine-w-design-17" TargetMode="External" Id="rId8"/><Relationship Type="http://schemas.openxmlformats.org/officeDocument/2006/relationships/hyperlink" Target="https://jeminise.com/products/custom-soccer-goal-splash-bedding-comforter-set-machine-washable" TargetMode="External" Id="rId9"/><Relationship Type="http://schemas.openxmlformats.org/officeDocument/2006/relationships/hyperlink" Target="https://jeminise.com/products/custom-soccer-net-with-number-07-comforter-set-machine-washable-a7"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3b328383c995be54509b263af54b728aa2e6ffd82467fcae85efb7a7bbc8bbe9.jpg?v=1785132509" TargetMode="External" Id="rId1"/><Relationship Type="http://schemas.openxmlformats.org/officeDocument/2006/relationships/hyperlink" Target="https://cdn.shopify.com/s/files/1/0792/5098/1063/files/3b328383c995be54509b263af54b728aa2e6ffd82467fcae85efb7a7bbc8bbe9.jpg?v=1785132509" TargetMode="External" Id="rId2"/><Relationship Type="http://schemas.openxmlformats.org/officeDocument/2006/relationships/hyperlink" Target="https://cdn.shopify.com/s/files/1/0792/5098/1063/files/5a72649f12223279408a8ba4f60e4feccc572655cc0b5fbe85d070d456150657.jpg?v=1785132509" TargetMode="External" Id="rId3"/><Relationship Type="http://schemas.openxmlformats.org/officeDocument/2006/relationships/hyperlink" Target="https://cdn.shopify.com/s/files/1/0792/5098/1063/files/5a72649f12223279408a8ba4f60e4feccc572655cc0b5fbe85d070d456150657.jpg?v=1785132509" TargetMode="External" Id="rId4"/><Relationship Type="http://schemas.openxmlformats.org/officeDocument/2006/relationships/hyperlink" Target="https://cdn.shopify.com/s/files/1/0792/5098/1063/files/16f7293cbefa5743a35b2e6316a5a114e5c052d08151e367dafd26aa5e2e542b_8545ce0e-b9a2-48f6-9d25-38463fc247cf.jpg?v=1785132508" TargetMode="External" Id="rId5"/><Relationship Type="http://schemas.openxmlformats.org/officeDocument/2006/relationships/hyperlink" Target="https://cdn.shopify.com/s/files/1/0792/5098/1063/files/16f7293cbefa5743a35b2e6316a5a114e5c052d08151e367dafd26aa5e2e542b_8545ce0e-b9a2-48f6-9d25-38463fc247cf.jpg?v=1785132508" TargetMode="External" Id="rId6"/><Relationship Type="http://schemas.openxmlformats.org/officeDocument/2006/relationships/hyperlink" Target="https://cdn.shopify.com/s/files/1/0792/5098/1063/files/acbb169b6180a5d5a284c57047db2a608ed28a3a238e325e3c27fc789a3511cc.jpg?v=1785132509" TargetMode="External" Id="rId7"/><Relationship Type="http://schemas.openxmlformats.org/officeDocument/2006/relationships/hyperlink" Target="https://cdn.shopify.com/s/files/1/0792/5098/1063/files/acbb169b6180a5d5a284c57047db2a608ed28a3a238e325e3c27fc789a3511cc.jpg?v=1785132509" TargetMode="External" Id="rId8"/><Relationship Type="http://schemas.openxmlformats.org/officeDocument/2006/relationships/hyperlink" Target="https://cdn.shopify.com/s/files/1/0792/5098/1063/files/2cf8e8740cc4e9f648f45a3cc8860feca87eed6ed2ebe6db1806a7a72c904174.jpg?v=1785132508" TargetMode="External" Id="rId9"/><Relationship Type="http://schemas.openxmlformats.org/officeDocument/2006/relationships/hyperlink" Target="https://cdn.shopify.com/s/files/1/0792/5098/1063/files/2cf8e8740cc4e9f648f45a3cc8860feca87eed6ed2ebe6db1806a7a72c904174.jpg?v=1785132508" TargetMode="External" Id="rId10"/><Relationship Type="http://schemas.openxmlformats.org/officeDocument/2006/relationships/hyperlink" Target="https://cdn.shopify.com/s/files/1/0792/5098/1063/files/7c006bddc94d4763c71c8376307e195c1bbce73b8c802ec73ac5a8cef1291262_848066e2-c73f-4a34-bc01-26c2845f2dd2.jpg?v=1785132508" TargetMode="External" Id="rId11"/><Relationship Type="http://schemas.openxmlformats.org/officeDocument/2006/relationships/hyperlink" Target="https://cdn.shopify.com/s/files/1/0792/5098/1063/files/7c006bddc94d4763c71c8376307e195c1bbce73b8c802ec73ac5a8cef1291262_848066e2-c73f-4a34-bc01-26c2845f2dd2.jpg?v=1785132508" TargetMode="External" Id="rId12"/><Relationship Type="http://schemas.openxmlformats.org/officeDocument/2006/relationships/hyperlink" Target="https://cdn.shopify.com/s/files/1/0792/5098/1063/files/e5cad84edb4d7bf77c48fd7c8e52eb3b73f04eba8bf177671fd8a059c59422e8_0dcf69cb-e73b-4a03-b131-3b86abcfe91a.jpg?v=1785132508" TargetMode="External" Id="rId13"/><Relationship Type="http://schemas.openxmlformats.org/officeDocument/2006/relationships/hyperlink" Target="https://cdn.shopify.com/s/files/1/0792/5098/1063/files/e5cad84edb4d7bf77c48fd7c8e52eb3b73f04eba8bf177671fd8a059c59422e8_0dcf69cb-e73b-4a03-b131-3b86abcfe91a.jpg?v=1785132508" TargetMode="External" Id="rId14"/><Relationship Type="http://schemas.openxmlformats.org/officeDocument/2006/relationships/hyperlink" Target="https://cdn.shopify.com/s/files/1/0792/5098/1063/files/3afc018e90ed49ef925c143f160e13a00ecff6c51398c938910988b9aa62eee5.jpg?v=1786611045" TargetMode="External" Id="rId15"/><Relationship Type="http://schemas.openxmlformats.org/officeDocument/2006/relationships/hyperlink" Target="https://cdn.shopify.com/s/files/1/0792/5098/1063/files/3afc018e90ed49ef925c143f160e13a00ecff6c51398c938910988b9aa62eee5.jpg?v=1786611045" TargetMode="External" Id="rId16"/><Relationship Type="http://schemas.openxmlformats.org/officeDocument/2006/relationships/hyperlink" Target="https://cdn.shopify.com/s/files/1/0792/5098/1063/files/853d2abb96fc99745b7d0d14923249d8511e73900ecb3d6dd11282145d533cc2.jpg?v=1786611045" TargetMode="External" Id="rId17"/><Relationship Type="http://schemas.openxmlformats.org/officeDocument/2006/relationships/hyperlink" Target="https://cdn.shopify.com/s/files/1/0792/5098/1063/files/853d2abb96fc99745b7d0d14923249d8511e73900ecb3d6dd11282145d533cc2.jpg?v=1786611045" TargetMode="External" Id="rId18"/><Relationship Type="http://schemas.openxmlformats.org/officeDocument/2006/relationships/hyperlink" Target="https://cdn.shopify.com/s/files/1/0792/5098/1063/files/5362f06de02f8fe4ecf4c49af6b8fbdc72b6839ac032fb1c1d6a0f34181df88d.jpg?v=1786611045" TargetMode="External" Id="rId19"/><Relationship Type="http://schemas.openxmlformats.org/officeDocument/2006/relationships/hyperlink" Target="https://cdn.shopify.com/s/files/1/0792/5098/1063/files/5362f06de02f8fe4ecf4c49af6b8fbdc72b6839ac032fb1c1d6a0f34181df88d.jpg?v=1786611045" TargetMode="External" Id="rId20"/><Relationship Type="http://schemas.openxmlformats.org/officeDocument/2006/relationships/hyperlink" Target="https://cdn.shopify.com/s/files/1/0792/5098/1063/files/0b1d1e19cab6d757366a36700f895ecca060303e705a8aece2f5fa486b6770da_be61eea0-f110-43df-83bb-ae00fb92f24c.jpg?v=1786611045" TargetMode="External" Id="rId21"/><Relationship Type="http://schemas.openxmlformats.org/officeDocument/2006/relationships/hyperlink" Target="https://cdn.shopify.com/s/files/1/0792/5098/1063/files/0b1d1e19cab6d757366a36700f895ecca060303e705a8aece2f5fa486b6770da_be61eea0-f110-43df-83bb-ae00fb92f24c.jpg?v=1786611045" TargetMode="External" Id="rId22"/><Relationship Type="http://schemas.openxmlformats.org/officeDocument/2006/relationships/hyperlink" Target="https://cdn.shopify.com/s/files/1/0792/5098/1063/files/15f9c4be9f852f86496ec17edfcb3959b6568999d70ef06031f97dfdc4f4e51b.jpg?v=1786611045" TargetMode="External" Id="rId23"/><Relationship Type="http://schemas.openxmlformats.org/officeDocument/2006/relationships/hyperlink" Target="https://cdn.shopify.com/s/files/1/0792/5098/1063/files/15f9c4be9f852f86496ec17edfcb3959b6568999d70ef06031f97dfdc4f4e51b.jpg?v=1786611045" TargetMode="External" Id="rId24"/><Relationship Type="http://schemas.openxmlformats.org/officeDocument/2006/relationships/hyperlink" Target="https://cdn.shopify.com/s/files/1/0792/5098/1063/files/bdd70066a735fd65ca8f22b14e13e7e7d8f1a8473be945bbd71d518ab775916d.jpg?v=1786611045" TargetMode="External" Id="rId25"/><Relationship Type="http://schemas.openxmlformats.org/officeDocument/2006/relationships/hyperlink" Target="https://cdn.shopify.com/s/files/1/0792/5098/1063/files/bdd70066a735fd65ca8f22b14e13e7e7d8f1a8473be945bbd71d518ab775916d.jpg?v=1786611045" TargetMode="External" Id="rId26"/><Relationship Type="http://schemas.openxmlformats.org/officeDocument/2006/relationships/hyperlink" Target="https://cdn.shopify.com/s/files/1/0792/5098/1063/files/d761ea3ae4f4c0b26b7473177b21a616c5199552823ec637c64fe7b0d6b0f12f_112bfa92-667b-4b1e-b14e-46ce602ac9ea.jpg?v=1786611045" TargetMode="External" Id="rId27"/><Relationship Type="http://schemas.openxmlformats.org/officeDocument/2006/relationships/hyperlink" Target="https://cdn.shopify.com/s/files/1/0792/5098/1063/files/d761ea3ae4f4c0b26b7473177b21a616c5199552823ec637c64fe7b0d6b0f12f_112bfa92-667b-4b1e-b14e-46ce602ac9ea.jpg?v=1786611045" TargetMode="External" Id="rId28"/><Relationship Type="http://schemas.openxmlformats.org/officeDocument/2006/relationships/hyperlink" Target="https://cdn.shopify.com/s/files/1/0792/5098/1063/files/dd6b2f75d5d331064be3e2ace151f6872c3f1f67675d8c1c7fa00f207341180b_60f212b7-b79b-45e6-8e22-e0a6a0e3e447.jpg?v=1786611045" TargetMode="External" Id="rId29"/><Relationship Type="http://schemas.openxmlformats.org/officeDocument/2006/relationships/hyperlink" Target="https://cdn.shopify.com/s/files/1/0792/5098/1063/files/dd6b2f75d5d331064be3e2ace151f6872c3f1f67675d8c1c7fa00f207341180b_60f212b7-b79b-45e6-8e22-e0a6a0e3e447.jpg?v=1786611045" TargetMode="External" Id="rId30"/><Relationship Type="http://schemas.openxmlformats.org/officeDocument/2006/relationships/hyperlink" Target="https://cdn.shopify.com/s/files/1/0792/5098/1063/files/e40fbf151dd4e744c6057704570d5d6266da44452209f9c566b1d299ec7ec161.jpg?v=1786610997" TargetMode="External" Id="rId31"/><Relationship Type="http://schemas.openxmlformats.org/officeDocument/2006/relationships/hyperlink" Target="https://cdn.shopify.com/s/files/1/0792/5098/1063/files/e40fbf151dd4e744c6057704570d5d6266da44452209f9c566b1d299ec7ec161.jpg?v=1786610997" TargetMode="External" Id="rId32"/><Relationship Type="http://schemas.openxmlformats.org/officeDocument/2006/relationships/hyperlink" Target="https://cdn.shopify.com/s/files/1/0792/5098/1063/files/9d16e4651681178117899f3856d564de180d3403ef433870aff7721c9e7a86ca.jpg?v=1786610997" TargetMode="External" Id="rId33"/><Relationship Type="http://schemas.openxmlformats.org/officeDocument/2006/relationships/hyperlink" Target="https://cdn.shopify.com/s/files/1/0792/5098/1063/files/9d16e4651681178117899f3856d564de180d3403ef433870aff7721c9e7a86ca.jpg?v=1786610997" TargetMode="External" Id="rId34"/><Relationship Type="http://schemas.openxmlformats.org/officeDocument/2006/relationships/hyperlink" Target="https://cdn.shopify.com/s/files/1/0792/5098/1063/files/f97a7dd8f82a6d24e5f9be7db591aec54c2e0b2b4fc0b12240776533166c536d.jpg?v=1786610997" TargetMode="External" Id="rId35"/><Relationship Type="http://schemas.openxmlformats.org/officeDocument/2006/relationships/hyperlink" Target="https://cdn.shopify.com/s/files/1/0792/5098/1063/files/f97a7dd8f82a6d24e5f9be7db591aec54c2e0b2b4fc0b12240776533166c536d.jpg?v=1786610997" TargetMode="External" Id="rId36"/><Relationship Type="http://schemas.openxmlformats.org/officeDocument/2006/relationships/hyperlink" Target="https://cdn.shopify.com/s/files/1/0792/5098/1063/files/0b1d1e19cab6d757366a36700f895ecca060303e705a8aece2f5fa486b6770da_15525c0b-4f16-4d00-b2cf-d9086002e031.jpg?v=1786610997" TargetMode="External" Id="rId37"/><Relationship Type="http://schemas.openxmlformats.org/officeDocument/2006/relationships/hyperlink" Target="https://cdn.shopify.com/s/files/1/0792/5098/1063/files/0b1d1e19cab6d757366a36700f895ecca060303e705a8aece2f5fa486b6770da_15525c0b-4f16-4d00-b2cf-d9086002e031.jpg?v=1786610997" TargetMode="External" Id="rId38"/><Relationship Type="http://schemas.openxmlformats.org/officeDocument/2006/relationships/hyperlink" Target="https://cdn.shopify.com/s/files/1/0792/5098/1063/files/88f6045ef306b30edfc20bd2567313983a1ae212a11493f8f24ef3cb27df3a3d.jpg?v=1786610997" TargetMode="External" Id="rId39"/><Relationship Type="http://schemas.openxmlformats.org/officeDocument/2006/relationships/hyperlink" Target="https://cdn.shopify.com/s/files/1/0792/5098/1063/files/88f6045ef306b30edfc20bd2567313983a1ae212a11493f8f24ef3cb27df3a3d.jpg?v=1786610997" TargetMode="External" Id="rId40"/><Relationship Type="http://schemas.openxmlformats.org/officeDocument/2006/relationships/hyperlink" Target="https://cdn.shopify.com/s/files/1/0792/5098/1063/files/5e5e8c6c659c3bbc094017cc64ad1f11d843f6684d630e8ec7ab0e203fb80666.jpg?v=1786610997" TargetMode="External" Id="rId41"/><Relationship Type="http://schemas.openxmlformats.org/officeDocument/2006/relationships/hyperlink" Target="https://cdn.shopify.com/s/files/1/0792/5098/1063/files/5e5e8c6c659c3bbc094017cc64ad1f11d843f6684d630e8ec7ab0e203fb80666.jpg?v=1786610997" TargetMode="External" Id="rId42"/><Relationship Type="http://schemas.openxmlformats.org/officeDocument/2006/relationships/hyperlink" Target="https://cdn.shopify.com/s/files/1/0792/5098/1063/files/569ca20f02dd45e1e5ebb32a75c34b1495da6793e5f1a6fc3ad8bb882275d389.jpg?v=1786610997" TargetMode="External" Id="rId43"/><Relationship Type="http://schemas.openxmlformats.org/officeDocument/2006/relationships/hyperlink" Target="https://cdn.shopify.com/s/files/1/0792/5098/1063/files/569ca20f02dd45e1e5ebb32a75c34b1495da6793e5f1a6fc3ad8bb882275d389.jpg?v=1786610997" TargetMode="External" Id="rId44"/><Relationship Type="http://schemas.openxmlformats.org/officeDocument/2006/relationships/hyperlink" Target="https://cdn.shopify.com/s/files/1/0792/5098/1063/files/dd6b2f75d5d331064be3e2ace151f6872c3f1f67675d8c1c7fa00f207341180b_032fc95e-87be-4f21-94db-1aed6ba6a2f4.jpg?v=1786610997" TargetMode="External" Id="rId45"/><Relationship Type="http://schemas.openxmlformats.org/officeDocument/2006/relationships/hyperlink" Target="https://cdn.shopify.com/s/files/1/0792/5098/1063/files/dd6b2f75d5d331064be3e2ace151f6872c3f1f67675d8c1c7fa00f207341180b_032fc95e-87be-4f21-94db-1aed6ba6a2f4.jpg?v=1786610997" TargetMode="External" Id="rId46"/><Relationship Type="http://schemas.openxmlformats.org/officeDocument/2006/relationships/hyperlink" Target="https://cdn.shopify.com/s/files/1/0792/5098/1063/files/c8002c1036e987b59bab3d14d64dda24c6dd83936cf1089df50345790d2ab310.jpg?v=1786610956" TargetMode="External" Id="rId47"/><Relationship Type="http://schemas.openxmlformats.org/officeDocument/2006/relationships/hyperlink" Target="https://cdn.shopify.com/s/files/1/0792/5098/1063/files/c8002c1036e987b59bab3d14d64dda24c6dd83936cf1089df50345790d2ab310.jpg?v=1786610956" TargetMode="External" Id="rId48"/><Relationship Type="http://schemas.openxmlformats.org/officeDocument/2006/relationships/hyperlink" Target="https://cdn.shopify.com/s/files/1/0792/5098/1063/files/7d7d424bfee4840d7d140607b0005999eb51175eb1c17769af9e683165361fef.jpg?v=1786610956" TargetMode="External" Id="rId49"/><Relationship Type="http://schemas.openxmlformats.org/officeDocument/2006/relationships/hyperlink" Target="https://cdn.shopify.com/s/files/1/0792/5098/1063/files/7d7d424bfee4840d7d140607b0005999eb51175eb1c17769af9e683165361fef.jpg?v=1786610956" TargetMode="External" Id="rId50"/><Relationship Type="http://schemas.openxmlformats.org/officeDocument/2006/relationships/hyperlink" Target="https://cdn.shopify.com/s/files/1/0792/5098/1063/files/627f0c01c4f3364f98ac4ff820fb9d697a7fe3d1c6e2c06735cc8a0f4a203ec4.jpg?v=1786610956" TargetMode="External" Id="rId51"/><Relationship Type="http://schemas.openxmlformats.org/officeDocument/2006/relationships/hyperlink" Target="https://cdn.shopify.com/s/files/1/0792/5098/1063/files/627f0c01c4f3364f98ac4ff820fb9d697a7fe3d1c6e2c06735cc8a0f4a203ec4.jpg?v=1786610956" TargetMode="External" Id="rId52"/><Relationship Type="http://schemas.openxmlformats.org/officeDocument/2006/relationships/hyperlink" Target="https://cdn.shopify.com/s/files/1/0792/5098/1063/files/a65a6b587bf08ed6016241cc5d9b5248124a63cc6dbd58587fb9a31a5dedaa90.jpg?v=1786610956" TargetMode="External" Id="rId53"/><Relationship Type="http://schemas.openxmlformats.org/officeDocument/2006/relationships/hyperlink" Target="https://cdn.shopify.com/s/files/1/0792/5098/1063/files/a65a6b587bf08ed6016241cc5d9b5248124a63cc6dbd58587fb9a31a5dedaa90.jpg?v=1786610956" TargetMode="External" Id="rId54"/><Relationship Type="http://schemas.openxmlformats.org/officeDocument/2006/relationships/hyperlink" Target="https://cdn.shopify.com/s/files/1/0792/5098/1063/files/0b1d1e19cab6d757366a36700f895ecca060303e705a8aece2f5fa486b6770da_3f918262-2a19-4418-a746-5d533ad71a6a.jpg?v=1786610956" TargetMode="External" Id="rId55"/><Relationship Type="http://schemas.openxmlformats.org/officeDocument/2006/relationships/hyperlink" Target="https://cdn.shopify.com/s/files/1/0792/5098/1063/files/0b1d1e19cab6d757366a36700f895ecca060303e705a8aece2f5fa486b6770da_3f918262-2a19-4418-a746-5d533ad71a6a.jpg?v=1786610956" TargetMode="External" Id="rId56"/><Relationship Type="http://schemas.openxmlformats.org/officeDocument/2006/relationships/hyperlink" Target="https://cdn.shopify.com/s/files/1/0792/5098/1063/files/4922d4866ae120bf5fa8b1880951c618d4173a48a3021af525b49854d05a8e9b.jpg?v=1786610956" TargetMode="External" Id="rId57"/><Relationship Type="http://schemas.openxmlformats.org/officeDocument/2006/relationships/hyperlink" Target="https://cdn.shopify.com/s/files/1/0792/5098/1063/files/4922d4866ae120bf5fa8b1880951c618d4173a48a3021af525b49854d05a8e9b.jpg?v=1786610956" TargetMode="External" Id="rId58"/><Relationship Type="http://schemas.openxmlformats.org/officeDocument/2006/relationships/hyperlink" Target="https://cdn.shopify.com/s/files/1/0792/5098/1063/files/d761ea3ae4f4c0b26b7473177b21a616c5199552823ec637c64fe7b0d6b0f12f_d9ec0d73-2117-4b5e-8e27-b91f649eb31b.jpg?v=1786610956" TargetMode="External" Id="rId59"/><Relationship Type="http://schemas.openxmlformats.org/officeDocument/2006/relationships/hyperlink" Target="https://cdn.shopify.com/s/files/1/0792/5098/1063/files/d761ea3ae4f4c0b26b7473177b21a616c5199552823ec637c64fe7b0d6b0f12f_d9ec0d73-2117-4b5e-8e27-b91f649eb31b.jpg?v=1786610956" TargetMode="External" Id="rId60"/><Relationship Type="http://schemas.openxmlformats.org/officeDocument/2006/relationships/hyperlink" Target="https://cdn.shopify.com/s/files/1/0792/5098/1063/files/82333601a7ee5503b2c8e1c2000337833e2c7d844138e0b4a3807c18149eb399.jpg?v=1786610952" TargetMode="External" Id="rId61"/><Relationship Type="http://schemas.openxmlformats.org/officeDocument/2006/relationships/hyperlink" Target="https://cdn.shopify.com/s/files/1/0792/5098/1063/files/82333601a7ee5503b2c8e1c2000337833e2c7d844138e0b4a3807c18149eb399.jpg?v=1786610952" TargetMode="External" Id="rId62"/><Relationship Type="http://schemas.openxmlformats.org/officeDocument/2006/relationships/hyperlink" Target="https://cdn.shopify.com/s/files/1/0792/5098/1063/files/e4f89c76a6f8185e66e32b20ec9b5d9d740e4909068e0941f30f334583036115.jpg?v=1786610952" TargetMode="External" Id="rId63"/><Relationship Type="http://schemas.openxmlformats.org/officeDocument/2006/relationships/hyperlink" Target="https://cdn.shopify.com/s/files/1/0792/5098/1063/files/e4f89c76a6f8185e66e32b20ec9b5d9d740e4909068e0941f30f334583036115.jpg?v=1786610952" TargetMode="External" Id="rId64"/><Relationship Type="http://schemas.openxmlformats.org/officeDocument/2006/relationships/hyperlink" Target="https://cdn.shopify.com/s/files/1/0792/5098/1063/files/09c92d20270c366068722749877dfcc163d94f944c4ad88cb639774033eb44af.jpg?v=1786610952" TargetMode="External" Id="rId65"/><Relationship Type="http://schemas.openxmlformats.org/officeDocument/2006/relationships/hyperlink" Target="https://cdn.shopify.com/s/files/1/0792/5098/1063/files/09c92d20270c366068722749877dfcc163d94f944c4ad88cb639774033eb44af.jpg?v=1786610952" TargetMode="External" Id="rId66"/><Relationship Type="http://schemas.openxmlformats.org/officeDocument/2006/relationships/hyperlink" Target="https://cdn.shopify.com/s/files/1/0792/5098/1063/files/164b95e35a478522bf4ed840c25aa88e4b59617a11cd183d2bfa520cd5e35df7.jpg?v=1786610952" TargetMode="External" Id="rId67"/><Relationship Type="http://schemas.openxmlformats.org/officeDocument/2006/relationships/hyperlink" Target="https://cdn.shopify.com/s/files/1/0792/5098/1063/files/164b95e35a478522bf4ed840c25aa88e4b59617a11cd183d2bfa520cd5e35df7.jpg?v=1786610952" TargetMode="External" Id="rId68"/><Relationship Type="http://schemas.openxmlformats.org/officeDocument/2006/relationships/hyperlink" Target="https://cdn.shopify.com/s/files/1/0792/5098/1063/files/0b1d1e19cab6d757366a36700f895ecca060303e705a8aece2f5fa486b6770da_bc8d7f75-219a-4b5d-8e66-9489d2be706d.jpg?v=1786610952" TargetMode="External" Id="rId69"/><Relationship Type="http://schemas.openxmlformats.org/officeDocument/2006/relationships/hyperlink" Target="https://cdn.shopify.com/s/files/1/0792/5098/1063/files/0b1d1e19cab6d757366a36700f895ecca060303e705a8aece2f5fa486b6770da_bc8d7f75-219a-4b5d-8e66-9489d2be706d.jpg?v=1786610952" TargetMode="External" Id="rId70"/><Relationship Type="http://schemas.openxmlformats.org/officeDocument/2006/relationships/hyperlink" Target="https://cdn.shopify.com/s/files/1/0792/5098/1063/files/caf001b85a4e79727d87996286013724e2de3319e9c06e0f70d0f157cd572bf5.jpg?v=1786610952" TargetMode="External" Id="rId71"/><Relationship Type="http://schemas.openxmlformats.org/officeDocument/2006/relationships/hyperlink" Target="https://cdn.shopify.com/s/files/1/0792/5098/1063/files/caf001b85a4e79727d87996286013724e2de3319e9c06e0f70d0f157cd572bf5.jpg?v=1786610952" TargetMode="External" Id="rId72"/><Relationship Type="http://schemas.openxmlformats.org/officeDocument/2006/relationships/hyperlink" Target="https://cdn.shopify.com/s/files/1/0792/5098/1063/files/b8808b19366c3be9b3f9b5d165e01bbcd407febd46189c1e8cfda33dbc968095.jpg?v=1786610952" TargetMode="External" Id="rId73"/><Relationship Type="http://schemas.openxmlformats.org/officeDocument/2006/relationships/hyperlink" Target="https://cdn.shopify.com/s/files/1/0792/5098/1063/files/b8808b19366c3be9b3f9b5d165e01bbcd407febd46189c1e8cfda33dbc968095.jpg?v=1786610952" TargetMode="External" Id="rId74"/><Relationship Type="http://schemas.openxmlformats.org/officeDocument/2006/relationships/hyperlink" Target="https://cdn.shopify.com/s/files/1/0792/5098/1063/files/dd6b2f75d5d331064be3e2ace151f6872c3f1f67675d8c1c7fa00f207341180b_f495c796-ec94-4c7a-ae83-a703dc0e4a3c.jpg?v=1786610952" TargetMode="External" Id="rId75"/><Relationship Type="http://schemas.openxmlformats.org/officeDocument/2006/relationships/hyperlink" Target="https://cdn.shopify.com/s/files/1/0792/5098/1063/files/dd6b2f75d5d331064be3e2ace151f6872c3f1f67675d8c1c7fa00f207341180b_f495c796-ec94-4c7a-ae83-a703dc0e4a3c.jpg?v=1786610952" TargetMode="External" Id="rId76"/><Relationship Type="http://schemas.openxmlformats.org/officeDocument/2006/relationships/hyperlink" Target="https://cdn.shopify.com/s/files/1/0792/5098/1063/files/f55864bd923cfb841eb33123844bd7bddec61cb2871b60e8b3599cfa4e4987d1.jpg?v=1786610971" TargetMode="External" Id="rId77"/><Relationship Type="http://schemas.openxmlformats.org/officeDocument/2006/relationships/hyperlink" Target="https://cdn.shopify.com/s/files/1/0792/5098/1063/files/f55864bd923cfb841eb33123844bd7bddec61cb2871b60e8b3599cfa4e4987d1.jpg?v=1786610971" TargetMode="External" Id="rId78"/><Relationship Type="http://schemas.openxmlformats.org/officeDocument/2006/relationships/hyperlink" Target="https://cdn.shopify.com/s/files/1/0792/5098/1063/files/e57ab99e727175c89654887c2283894fe8a7e00033511ddc129efed7defe230c.jpg?v=1786610972" TargetMode="External" Id="rId79"/><Relationship Type="http://schemas.openxmlformats.org/officeDocument/2006/relationships/hyperlink" Target="https://cdn.shopify.com/s/files/1/0792/5098/1063/files/e57ab99e727175c89654887c2283894fe8a7e00033511ddc129efed7defe230c.jpg?v=1786610972" TargetMode="External" Id="rId80"/><Relationship Type="http://schemas.openxmlformats.org/officeDocument/2006/relationships/hyperlink" Target="https://cdn.shopify.com/s/files/1/0792/5098/1063/files/0b1d1e19cab6d757366a36700f895ecca060303e705a8aece2f5fa486b6770da_d0ea3391-1dbc-4cd3-ba29-00beca290e13.jpg?v=1786610972" TargetMode="External" Id="rId81"/><Relationship Type="http://schemas.openxmlformats.org/officeDocument/2006/relationships/hyperlink" Target="https://cdn.shopify.com/s/files/1/0792/5098/1063/files/0b1d1e19cab6d757366a36700f895ecca060303e705a8aece2f5fa486b6770da_d0ea3391-1dbc-4cd3-ba29-00beca290e13.jpg?v=1786610972" TargetMode="External" Id="rId82"/><Relationship Type="http://schemas.openxmlformats.org/officeDocument/2006/relationships/hyperlink" Target="https://cdn.shopify.com/s/files/1/0792/5098/1063/files/09698594226d8d0790d2d60d7e9422bcf5582493d9bc17e46842c5cc0e151233.jpg?v=1786610971" TargetMode="External" Id="rId83"/><Relationship Type="http://schemas.openxmlformats.org/officeDocument/2006/relationships/hyperlink" Target="https://cdn.shopify.com/s/files/1/0792/5098/1063/files/09698594226d8d0790d2d60d7e9422bcf5582493d9bc17e46842c5cc0e151233.jpg?v=1786610971" TargetMode="External" Id="rId84"/><Relationship Type="http://schemas.openxmlformats.org/officeDocument/2006/relationships/hyperlink" Target="https://cdn.shopify.com/s/files/1/0792/5098/1063/files/edd6c5b1619100663d28a2e1f0044a8134f12d71d4e2e0beaf1aebe286083b00.jpg?v=1786610971" TargetMode="External" Id="rId85"/><Relationship Type="http://schemas.openxmlformats.org/officeDocument/2006/relationships/hyperlink" Target="https://cdn.shopify.com/s/files/1/0792/5098/1063/files/edd6c5b1619100663d28a2e1f0044a8134f12d71d4e2e0beaf1aebe286083b00.jpg?v=1786610971" TargetMode="External" Id="rId86"/><Relationship Type="http://schemas.openxmlformats.org/officeDocument/2006/relationships/hyperlink" Target="https://cdn.shopify.com/s/files/1/0792/5098/1063/files/eb3bcbfe3f8d762beed0aeedacccf09e473ce42fc43e30ffab6a54c49783ff7f.jpg?v=1786610972" TargetMode="External" Id="rId87"/><Relationship Type="http://schemas.openxmlformats.org/officeDocument/2006/relationships/hyperlink" Target="https://cdn.shopify.com/s/files/1/0792/5098/1063/files/eb3bcbfe3f8d762beed0aeedacccf09e473ce42fc43e30ffab6a54c49783ff7f.jpg?v=1786610972" TargetMode="External" Id="rId88"/><Relationship Type="http://schemas.openxmlformats.org/officeDocument/2006/relationships/hyperlink" Target="https://cdn.shopify.com/s/files/1/0792/5098/1063/files/dd6b2f75d5d331064be3e2ace151f6872c3f1f67675d8c1c7fa00f207341180b_2a160289-1bc0-441f-97ca-4eb1ab9defdf.jpg?v=1786610971" TargetMode="External" Id="rId89"/><Relationship Type="http://schemas.openxmlformats.org/officeDocument/2006/relationships/hyperlink" Target="https://cdn.shopify.com/s/files/1/0792/5098/1063/files/dd6b2f75d5d331064be3e2ace151f6872c3f1f67675d8c1c7fa00f207341180b_2a160289-1bc0-441f-97ca-4eb1ab9defdf.jpg?v=1786610971" TargetMode="External" Id="rId90"/><Relationship Type="http://schemas.openxmlformats.org/officeDocument/2006/relationships/hyperlink" Target="https://cdn.shopify.com/s/files/1/0792/5098/1063/files/d761ea3ae4f4c0b26b7473177b21a616c5199552823ec637c64fe7b0d6b0f12f_d968ca6a-19c4-4159-9b4e-958c04bbc806.jpg?v=1786610971" TargetMode="External" Id="rId91"/><Relationship Type="http://schemas.openxmlformats.org/officeDocument/2006/relationships/hyperlink" Target="https://cdn.shopify.com/s/files/1/0792/5098/1063/files/d761ea3ae4f4c0b26b7473177b21a616c5199552823ec637c64fe7b0d6b0f12f_d968ca6a-19c4-4159-9b4e-958c04bbc806.jpg?v=1786610971" TargetMode="External" Id="rId92"/><Relationship Type="http://schemas.openxmlformats.org/officeDocument/2006/relationships/hyperlink" Target="https://cdn.shopify.com/s/files/1/0792/5098/1063/files/99c0337aa1a903214fd6d8c8bd8e26623ae3840aacc91fae513643a9bb227f75.jpg?v=1786611005" TargetMode="External" Id="rId93"/><Relationship Type="http://schemas.openxmlformats.org/officeDocument/2006/relationships/hyperlink" Target="https://cdn.shopify.com/s/files/1/0792/5098/1063/files/99c0337aa1a903214fd6d8c8bd8e26623ae3840aacc91fae513643a9bb227f75.jpg?v=1786611005" TargetMode="External" Id="rId94"/><Relationship Type="http://schemas.openxmlformats.org/officeDocument/2006/relationships/hyperlink" Target="https://cdn.shopify.com/s/files/1/0792/5098/1063/files/bbceee785f4fb5333bde47a326fc902c71760ff9d93f2a06824ccb2e16d5a223.jpg?v=1786611005" TargetMode="External" Id="rId95"/><Relationship Type="http://schemas.openxmlformats.org/officeDocument/2006/relationships/hyperlink" Target="https://cdn.shopify.com/s/files/1/0792/5098/1063/files/bbceee785f4fb5333bde47a326fc902c71760ff9d93f2a06824ccb2e16d5a223.jpg?v=1786611005" TargetMode="External" Id="rId96"/><Relationship Type="http://schemas.openxmlformats.org/officeDocument/2006/relationships/hyperlink" Target="https://cdn.shopify.com/s/files/1/0792/5098/1063/files/4e804d60961fc10370a298e8612c0ff95ce56d8f156f00a5b5ba1ec7ec563d47.jpg?v=1786611005" TargetMode="External" Id="rId97"/><Relationship Type="http://schemas.openxmlformats.org/officeDocument/2006/relationships/hyperlink" Target="https://cdn.shopify.com/s/files/1/0792/5098/1063/files/4e804d60961fc10370a298e8612c0ff95ce56d8f156f00a5b5ba1ec7ec563d47.jpg?v=1786611005" TargetMode="External" Id="rId98"/><Relationship Type="http://schemas.openxmlformats.org/officeDocument/2006/relationships/hyperlink" Target="https://cdn.shopify.com/s/files/1/0792/5098/1063/files/0b1d1e19cab6d757366a36700f895ecca060303e705a8aece2f5fa486b6770da_ad3381b0-8f12-41ea-826f-8b1b630f53f9.jpg?v=1786611005" TargetMode="External" Id="rId99"/><Relationship Type="http://schemas.openxmlformats.org/officeDocument/2006/relationships/hyperlink" Target="https://cdn.shopify.com/s/files/1/0792/5098/1063/files/0b1d1e19cab6d757366a36700f895ecca060303e705a8aece2f5fa486b6770da_ad3381b0-8f12-41ea-826f-8b1b630f53f9.jpg?v=1786611005" TargetMode="External" Id="rId100"/><Relationship Type="http://schemas.openxmlformats.org/officeDocument/2006/relationships/hyperlink" Target="https://cdn.shopify.com/s/files/1/0792/5098/1063/files/0dea1872a1830ca71627f3c05a584b4d71ad52bf0c115e041b118ed27a4ac318.jpg?v=1786611005" TargetMode="External" Id="rId101"/><Relationship Type="http://schemas.openxmlformats.org/officeDocument/2006/relationships/hyperlink" Target="https://cdn.shopify.com/s/files/1/0792/5098/1063/files/0dea1872a1830ca71627f3c05a584b4d71ad52bf0c115e041b118ed27a4ac318.jpg?v=1786611005" TargetMode="External" Id="rId102"/><Relationship Type="http://schemas.openxmlformats.org/officeDocument/2006/relationships/hyperlink" Target="https://cdn.shopify.com/s/files/1/0792/5098/1063/files/4edb46799f9b82103799a5b6d38c9f1782f7b643f8416b1988caae354b918b0d.jpg?v=1786611005" TargetMode="External" Id="rId103"/><Relationship Type="http://schemas.openxmlformats.org/officeDocument/2006/relationships/hyperlink" Target="https://cdn.shopify.com/s/files/1/0792/5098/1063/files/4edb46799f9b82103799a5b6d38c9f1782f7b643f8416b1988caae354b918b0d.jpg?v=1786611005" TargetMode="External" Id="rId104"/><Relationship Type="http://schemas.openxmlformats.org/officeDocument/2006/relationships/hyperlink" Target="https://cdn.shopify.com/s/files/1/0792/5098/1063/files/f9477607c6de568da5d083144193776fcd05487159137f454c1cc1e191f3fe04.jpg?v=1786611005" TargetMode="External" Id="rId105"/><Relationship Type="http://schemas.openxmlformats.org/officeDocument/2006/relationships/hyperlink" Target="https://cdn.shopify.com/s/files/1/0792/5098/1063/files/f9477607c6de568da5d083144193776fcd05487159137f454c1cc1e191f3fe04.jpg?v=1786611005" TargetMode="External" Id="rId106"/><Relationship Type="http://schemas.openxmlformats.org/officeDocument/2006/relationships/hyperlink" Target="https://cdn.shopify.com/s/files/1/0792/5098/1063/files/dd6b2f75d5d331064be3e2ace151f6872c3f1f67675d8c1c7fa00f207341180b_dcd01edf-59bd-4789-a33f-4d7561619c86.jpg?v=1786611005" TargetMode="External" Id="rId107"/><Relationship Type="http://schemas.openxmlformats.org/officeDocument/2006/relationships/hyperlink" Target="https://cdn.shopify.com/s/files/1/0792/5098/1063/files/dd6b2f75d5d331064be3e2ace151f6872c3f1f67675d8c1c7fa00f207341180b_dcd01edf-59bd-4789-a33f-4d7561619c86.jpg?v=1786611005" TargetMode="External" Id="rId108"/><Relationship Type="http://schemas.openxmlformats.org/officeDocument/2006/relationships/hyperlink" Target="https://cdn.shopify.com/s/files/1/0792/5098/1063/files/91bf412567430222fd923eb6025e10f4826c9605c89111734a5f062094f92ef4.jpg?v=1786611043" TargetMode="External" Id="rId109"/><Relationship Type="http://schemas.openxmlformats.org/officeDocument/2006/relationships/hyperlink" Target="https://cdn.shopify.com/s/files/1/0792/5098/1063/files/91bf412567430222fd923eb6025e10f4826c9605c89111734a5f062094f92ef4.jpg?v=1786611043" TargetMode="External" Id="rId110"/><Relationship Type="http://schemas.openxmlformats.org/officeDocument/2006/relationships/hyperlink" Target="https://cdn.shopify.com/s/files/1/0792/5098/1063/files/c1d7e0543d7d78889025c6fd2615c8271070249caec922fb5c3530ad03e9ba80.jpg?v=1786611043" TargetMode="External" Id="rId111"/><Relationship Type="http://schemas.openxmlformats.org/officeDocument/2006/relationships/hyperlink" Target="https://cdn.shopify.com/s/files/1/0792/5098/1063/files/c1d7e0543d7d78889025c6fd2615c8271070249caec922fb5c3530ad03e9ba80.jpg?v=1786611043" TargetMode="External" Id="rId112"/><Relationship Type="http://schemas.openxmlformats.org/officeDocument/2006/relationships/hyperlink" Target="https://cdn.shopify.com/s/files/1/0792/5098/1063/files/5921b3a6552e3ebdb61cdcfd51f1dfa3145e5562d9a445bcaae4cd8065d33658.jpg?v=1786611043" TargetMode="External" Id="rId113"/><Relationship Type="http://schemas.openxmlformats.org/officeDocument/2006/relationships/hyperlink" Target="https://cdn.shopify.com/s/files/1/0792/5098/1063/files/5921b3a6552e3ebdb61cdcfd51f1dfa3145e5562d9a445bcaae4cd8065d33658.jpg?v=1786611043" TargetMode="External" Id="rId114"/><Relationship Type="http://schemas.openxmlformats.org/officeDocument/2006/relationships/hyperlink" Target="https://cdn.shopify.com/s/files/1/0792/5098/1063/files/8915ff40073ca5d3c05e6bf212701da7635e4e3e8b623331a3f20f312315416a.jpg?v=1786611043" TargetMode="External" Id="rId115"/><Relationship Type="http://schemas.openxmlformats.org/officeDocument/2006/relationships/hyperlink" Target="https://cdn.shopify.com/s/files/1/0792/5098/1063/files/8915ff40073ca5d3c05e6bf212701da7635e4e3e8b623331a3f20f312315416a.jpg?v=1786611043" TargetMode="External" Id="rId116"/><Relationship Type="http://schemas.openxmlformats.org/officeDocument/2006/relationships/hyperlink" Target="https://cdn.shopify.com/s/files/1/0792/5098/1063/files/0b1d1e19cab6d757366a36700f895ecca060303e705a8aece2f5fa486b6770da_0ef5481c-0a4c-4890-8fe0-c2bd9767fd9f.jpg?v=1786611043" TargetMode="External" Id="rId117"/><Relationship Type="http://schemas.openxmlformats.org/officeDocument/2006/relationships/hyperlink" Target="https://cdn.shopify.com/s/files/1/0792/5098/1063/files/0b1d1e19cab6d757366a36700f895ecca060303e705a8aece2f5fa486b6770da_0ef5481c-0a4c-4890-8fe0-c2bd9767fd9f.jpg?v=1786611043" TargetMode="External" Id="rId118"/><Relationship Type="http://schemas.openxmlformats.org/officeDocument/2006/relationships/hyperlink" Target="https://cdn.shopify.com/s/files/1/0792/5098/1063/files/ee0b4798b32779dd09e0d1fb674f076dc4cfa4a148d92219e582e7833d8d2fd3.jpg?v=1786611043" TargetMode="External" Id="rId119"/><Relationship Type="http://schemas.openxmlformats.org/officeDocument/2006/relationships/hyperlink" Target="https://cdn.shopify.com/s/files/1/0792/5098/1063/files/ee0b4798b32779dd09e0d1fb674f076dc4cfa4a148d92219e582e7833d8d2fd3.jpg?v=1786611043" TargetMode="External" Id="rId120"/><Relationship Type="http://schemas.openxmlformats.org/officeDocument/2006/relationships/hyperlink" Target="https://cdn.shopify.com/s/files/1/0792/5098/1063/files/dd6b2f75d5d331064be3e2ace151f6872c3f1f67675d8c1c7fa00f207341180b_fde49913-84ae-4485-af7c-4e189c410f22.jpg?v=1786611043" TargetMode="External" Id="rId121"/><Relationship Type="http://schemas.openxmlformats.org/officeDocument/2006/relationships/hyperlink" Target="https://cdn.shopify.com/s/files/1/0792/5098/1063/files/dd6b2f75d5d331064be3e2ace151f6872c3f1f67675d8c1c7fa00f207341180b_fde49913-84ae-4485-af7c-4e189c410f22.jpg?v=1786611043" TargetMode="External" Id="rId122"/><Relationship Type="http://schemas.openxmlformats.org/officeDocument/2006/relationships/hyperlink" Target="https://cdn.shopify.com/s/files/1/0792/5098/1063/files/d761ea3ae4f4c0b26b7473177b21a616c5199552823ec637c64fe7b0d6b0f12f_0edc7eea-7c34-4e9e-8459-d2e8633eed35.jpg?v=1786611043" TargetMode="External" Id="rId123"/><Relationship Type="http://schemas.openxmlformats.org/officeDocument/2006/relationships/hyperlink" Target="https://cdn.shopify.com/s/files/1/0792/5098/1063/files/d761ea3ae4f4c0b26b7473177b21a616c5199552823ec637c64fe7b0d6b0f12f_0edc7eea-7c34-4e9e-8459-d2e8633eed35.jpg?v=1786611043" TargetMode="External" Id="rId124"/><Relationship Type="http://schemas.openxmlformats.org/officeDocument/2006/relationships/hyperlink" Target="https://cdn.shopify.com/s/files/1/0792/5098/1063/files/a548b7a12b46780de719980f5aebe8bad1e9ad2c7c30734bccbfe2dcfe856d73.jpg?v=1786611048" TargetMode="External" Id="rId125"/><Relationship Type="http://schemas.openxmlformats.org/officeDocument/2006/relationships/hyperlink" Target="https://cdn.shopify.com/s/files/1/0792/5098/1063/files/a548b7a12b46780de719980f5aebe8bad1e9ad2c7c30734bccbfe2dcfe856d73.jpg?v=1786611048" TargetMode="External" Id="rId126"/><Relationship Type="http://schemas.openxmlformats.org/officeDocument/2006/relationships/hyperlink" Target="https://cdn.shopify.com/s/files/1/0792/5098/1063/files/5c704f0a883d6fc932e3f19dd6a044ce58cb8f2b758de38b1b25d170d7b21f6f.jpg?v=1786611048" TargetMode="External" Id="rId127"/><Relationship Type="http://schemas.openxmlformats.org/officeDocument/2006/relationships/hyperlink" Target="https://cdn.shopify.com/s/files/1/0792/5098/1063/files/5c704f0a883d6fc932e3f19dd6a044ce58cb8f2b758de38b1b25d170d7b21f6f.jpg?v=1786611048" TargetMode="External" Id="rId128"/><Relationship Type="http://schemas.openxmlformats.org/officeDocument/2006/relationships/hyperlink" Target="https://cdn.shopify.com/s/files/1/0792/5098/1063/files/345f34fa489840aa22aa3a0e090018fd9c82df0bdc286e0c1eb2432811f14b79.jpg?v=1786611048" TargetMode="External" Id="rId129"/><Relationship Type="http://schemas.openxmlformats.org/officeDocument/2006/relationships/hyperlink" Target="https://cdn.shopify.com/s/files/1/0792/5098/1063/files/345f34fa489840aa22aa3a0e090018fd9c82df0bdc286e0c1eb2432811f14b79.jpg?v=1786611048" TargetMode="External" Id="rId130"/><Relationship Type="http://schemas.openxmlformats.org/officeDocument/2006/relationships/hyperlink" Target="https://cdn.shopify.com/s/files/1/0792/5098/1063/files/0b1d1e19cab6d757366a36700f895ecca060303e705a8aece2f5fa486b6770da_c3389c8f-7a06-4fdc-96a5-ca5c521b6b7f.jpg?v=1786611048" TargetMode="External" Id="rId131"/><Relationship Type="http://schemas.openxmlformats.org/officeDocument/2006/relationships/hyperlink" Target="https://cdn.shopify.com/s/files/1/0792/5098/1063/files/0b1d1e19cab6d757366a36700f895ecca060303e705a8aece2f5fa486b6770da_c3389c8f-7a06-4fdc-96a5-ca5c521b6b7f.jpg?v=1786611048" TargetMode="External" Id="rId132"/><Relationship Type="http://schemas.openxmlformats.org/officeDocument/2006/relationships/hyperlink" Target="https://cdn.shopify.com/s/files/1/0792/5098/1063/files/387b24b7b756f19379f192051961dd52f2d354a3a6e0a48cf79a36fc9a3ae8dc.jpg?v=1786611048" TargetMode="External" Id="rId133"/><Relationship Type="http://schemas.openxmlformats.org/officeDocument/2006/relationships/hyperlink" Target="https://cdn.shopify.com/s/files/1/0792/5098/1063/files/387b24b7b756f19379f192051961dd52f2d354a3a6e0a48cf79a36fc9a3ae8dc.jpg?v=1786611048" TargetMode="External" Id="rId134"/><Relationship Type="http://schemas.openxmlformats.org/officeDocument/2006/relationships/hyperlink" Target="https://cdn.shopify.com/s/files/1/0792/5098/1063/files/e0f4f6d6fb487b2ea1c8b7aef407d92df149557cd53c6130d47a131bbd2dc16d.jpg?v=1786611048" TargetMode="External" Id="rId135"/><Relationship Type="http://schemas.openxmlformats.org/officeDocument/2006/relationships/hyperlink" Target="https://cdn.shopify.com/s/files/1/0792/5098/1063/files/e0f4f6d6fb487b2ea1c8b7aef407d92df149557cd53c6130d47a131bbd2dc16d.jpg?v=1786611048" TargetMode="External" Id="rId136"/><Relationship Type="http://schemas.openxmlformats.org/officeDocument/2006/relationships/hyperlink" Target="https://cdn.shopify.com/s/files/1/0792/5098/1063/files/dd6b2f75d5d331064be3e2ace151f6872c3f1f67675d8c1c7fa00f207341180b_a281baad-d8bd-45c6-9029-cb6ec16f9e8e.jpg?v=1786611048" TargetMode="External" Id="rId137"/><Relationship Type="http://schemas.openxmlformats.org/officeDocument/2006/relationships/hyperlink" Target="https://cdn.shopify.com/s/files/1/0792/5098/1063/files/dd6b2f75d5d331064be3e2ace151f6872c3f1f67675d8c1c7fa00f207341180b_a281baad-d8bd-45c6-9029-cb6ec16f9e8e.jpg?v=1786611048" TargetMode="External" Id="rId138"/><Relationship Type="http://schemas.openxmlformats.org/officeDocument/2006/relationships/hyperlink" Target="https://cdn.shopify.com/s/files/1/0792/5098/1063/files/d5eff6ecbe959bbbb3957e92b28382391b5f27c8e5b7675c96fce64707e4f0e4.jpg?v=1786611012" TargetMode="External" Id="rId139"/><Relationship Type="http://schemas.openxmlformats.org/officeDocument/2006/relationships/hyperlink" Target="https://cdn.shopify.com/s/files/1/0792/5098/1063/files/d5eff6ecbe959bbbb3957e92b28382391b5f27c8e5b7675c96fce64707e4f0e4.jpg?v=1786611012" TargetMode="External" Id="rId140"/><Relationship Type="http://schemas.openxmlformats.org/officeDocument/2006/relationships/hyperlink" Target="https://cdn.shopify.com/s/files/1/0792/5098/1063/files/9fa260bfa3a0f8ded5e1af7786072b4f2e3346d50d8fcbebe8997626617ffa0f.jpg?v=1786611012" TargetMode="External" Id="rId141"/><Relationship Type="http://schemas.openxmlformats.org/officeDocument/2006/relationships/hyperlink" Target="https://cdn.shopify.com/s/files/1/0792/5098/1063/files/9fa260bfa3a0f8ded5e1af7786072b4f2e3346d50d8fcbebe8997626617ffa0f.jpg?v=1786611012" TargetMode="External" Id="rId142"/><Relationship Type="http://schemas.openxmlformats.org/officeDocument/2006/relationships/hyperlink" Target="https://cdn.shopify.com/s/files/1/0792/5098/1063/files/c13ca5980b6e29e305326351ee6a301120915a8e8ed77c0a5fdc431493a53f29.jpg?v=1786611012" TargetMode="External" Id="rId143"/><Relationship Type="http://schemas.openxmlformats.org/officeDocument/2006/relationships/hyperlink" Target="https://cdn.shopify.com/s/files/1/0792/5098/1063/files/c13ca5980b6e29e305326351ee6a301120915a8e8ed77c0a5fdc431493a53f29.jpg?v=1786611012" TargetMode="External" Id="rId144"/><Relationship Type="http://schemas.openxmlformats.org/officeDocument/2006/relationships/hyperlink" Target="https://cdn.shopify.com/s/files/1/0792/5098/1063/files/0b1d1e19cab6d757366a36700f895ecca060303e705a8aece2f5fa486b6770da_9a927c8a-0f79-4e61-90d9-c6095bfaff90.jpg?v=1786611012" TargetMode="External" Id="rId145"/><Relationship Type="http://schemas.openxmlformats.org/officeDocument/2006/relationships/hyperlink" Target="https://cdn.shopify.com/s/files/1/0792/5098/1063/files/0b1d1e19cab6d757366a36700f895ecca060303e705a8aece2f5fa486b6770da_9a927c8a-0f79-4e61-90d9-c6095bfaff90.jpg?v=1786611012" TargetMode="External" Id="rId146"/><Relationship Type="http://schemas.openxmlformats.org/officeDocument/2006/relationships/hyperlink" Target="https://cdn.shopify.com/s/files/1/0792/5098/1063/files/da276a0ac696bef8efb88e29faa67b97016515782d65504b709149a78664278e.jpg?v=1786611012" TargetMode="External" Id="rId147"/><Relationship Type="http://schemas.openxmlformats.org/officeDocument/2006/relationships/hyperlink" Target="https://cdn.shopify.com/s/files/1/0792/5098/1063/files/da276a0ac696bef8efb88e29faa67b97016515782d65504b709149a78664278e.jpg?v=1786611012" TargetMode="External" Id="rId148"/><Relationship Type="http://schemas.openxmlformats.org/officeDocument/2006/relationships/hyperlink" Target="https://cdn.shopify.com/s/files/1/0792/5098/1063/files/08a6835f0f310b6c922134d6c70195cce131eefffb65e5e69df3431e2da006d6.jpg?v=1786611012" TargetMode="External" Id="rId149"/><Relationship Type="http://schemas.openxmlformats.org/officeDocument/2006/relationships/hyperlink" Target="https://cdn.shopify.com/s/files/1/0792/5098/1063/files/08a6835f0f310b6c922134d6c70195cce131eefffb65e5e69df3431e2da006d6.jpg?v=1786611012" TargetMode="External" Id="rId150"/><Relationship Type="http://schemas.openxmlformats.org/officeDocument/2006/relationships/hyperlink" Target="https://cdn.shopify.com/s/files/1/0792/5098/1063/files/034a3b59ce0473836fb14c3f70ca7d76227b68f5472b25b6beeb567187aa41d8.jpg?v=1786611012" TargetMode="External" Id="rId151"/><Relationship Type="http://schemas.openxmlformats.org/officeDocument/2006/relationships/hyperlink" Target="https://cdn.shopify.com/s/files/1/0792/5098/1063/files/034a3b59ce0473836fb14c3f70ca7d76227b68f5472b25b6beeb567187aa41d8.jpg?v=1786611012" TargetMode="External" Id="rId152"/><Relationship Type="http://schemas.openxmlformats.org/officeDocument/2006/relationships/hyperlink" Target="https://cdn.shopify.com/s/files/1/0792/5098/1063/files/dd6b2f75d5d331064be3e2ace151f6872c3f1f67675d8c1c7fa00f207341180b_b475f815-4d5d-453d-b6f6-f77cd2efa580.jpg?v=1786611012" TargetMode="External" Id="rId153"/><Relationship Type="http://schemas.openxmlformats.org/officeDocument/2006/relationships/hyperlink" Target="https://cdn.shopify.com/s/files/1/0792/5098/1063/files/dd6b2f75d5d331064be3e2ace151f6872c3f1f67675d8c1c7fa00f207341180b_b475f815-4d5d-453d-b6f6-f77cd2efa580.jpg?v=1786611012" TargetMode="External" Id="rId15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20260907_181100</t>
        </is>
      </c>
      <c r="C4" s="2" t="inlineStr">
        <is>
          <t>QA run folder for this corrected rerun.</t>
        </is>
      </c>
    </row>
    <row r="5" ht="42" customHeight="1">
      <c r="A5" s="3" t="inlineStr">
        <is>
          <t>qa_batch_id</t>
        </is>
      </c>
      <c r="B5" s="3" t="inlineStr">
        <is>
          <t>qa_batch_011</t>
        </is>
      </c>
      <c r="C5" s="3" t="inlineStr">
        <is>
          <t>Batch being independently checked.</t>
        </is>
      </c>
    </row>
    <row r="6" ht="42" customHeight="1">
      <c r="A6" s="2" t="inlineStr">
        <is>
          <t>revision</t>
        </is>
      </c>
      <c r="B6" s="2" t="inlineStr">
        <is>
          <t>r1_corrected_full_qa</t>
        </is>
      </c>
      <c r="C6" s="2" t="inlineStr">
        <is>
          <t>Corrected full QA artifact replacing prior shortened output.</t>
        </is>
      </c>
    </row>
    <row r="7" ht="42" customHeight="1">
      <c r="A7" s="3" t="inlineStr">
        <is>
          <t>source_workbook</t>
        </is>
      </c>
      <c r="B7" s="3" t="inlineStr">
        <is>
          <t>D:\Shopify_Workspace\jeminise_seo\resutls\jeminise.com\20260906_234129\batches\SEO_Product_Optimization_through_batch_011.xlsx</t>
        </is>
      </c>
      <c r="C7" s="3" t="inlineStr">
        <is>
          <t>Frozen workbook source path.</t>
        </is>
      </c>
    </row>
    <row r="8" ht="42" customHeight="1">
      <c r="A8" s="2" t="inlineStr">
        <is>
          <t>source_sha256</t>
        </is>
      </c>
      <c r="B8" s="2" t="inlineStr">
        <is>
          <t>2F0832604D71BC81D1EEC3DCC1F1CDAD85B8340EBCD3808B6D74BDAAE05ECF49</t>
        </is>
      </c>
      <c r="C8" s="2" t="inlineStr">
        <is>
          <t>SHA-256 at freeze/final handoff time.</t>
        </is>
      </c>
    </row>
    <row r="9" ht="42" customHeight="1">
      <c r="A9" s="3" t="inlineStr">
        <is>
          <t>snapshot_sha256</t>
        </is>
      </c>
      <c r="B9" s="3" t="inlineStr">
        <is>
          <t>2F0832604D71BC81D1EEC3DCC1F1CDAD85B8340EBCD3808B6D74BDAAE05ECF49</t>
        </is>
      </c>
      <c r="C9" s="3" t="inlineStr">
        <is>
          <t>SHA-256 of workbook copy in source_snapshot.</t>
        </is>
      </c>
    </row>
    <row r="10" ht="42" customHeight="1">
      <c r="A10" s="2" t="inlineStr">
        <is>
          <t>scope</t>
        </is>
      </c>
      <c r="B10" s="2" t="inlineStr">
        <is>
          <t>10 products, 77/77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CRITICAL=9; MAJOR=20; MINOR=65;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101</v>
      </c>
      <c r="B2" s="2" t="inlineStr">
        <is>
          <t>jeminise.com+custom-semi-truck-with-american-flag-background-comforter-104ae45e5d-104ae45e5d</t>
        </is>
      </c>
      <c r="C2" s="4" t="inlineStr">
        <is>
          <t>https://jeminise.com/products/custom-semi-truck-with-american-flag-background-comforter-104ae45e5d-104ae45e5d</t>
        </is>
      </c>
      <c r="D2" s="2" t="inlineStr">
        <is>
          <t>custom-semi-truck-with-american-flag-background-comforter-104ae45e5d-104ae45e5d</t>
        </is>
      </c>
      <c r="E2" s="2" t="inlineStr">
        <is>
          <t>8835552673991</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COUNTIFS('QA_Issues'!$B$2:$B$105,B2,'QA_Issues'!$D$2:$D$105,"CRITICAL")</f>
        <v/>
      </c>
      <c r="S2" s="2">
        <f>COUNTIFS('QA_Issues'!$B$2:$B$105,B2,'QA_Issues'!$D$2:$D$105,"MAJOR")</f>
        <v/>
      </c>
      <c r="T2" s="2">
        <f>COUNTIFS('QA_Issues'!$B$2:$B$105,B2,'QA_Issues'!$D$2:$D$105,"MINOR")</f>
        <v/>
      </c>
      <c r="U2" s="2">
        <f>COUNTIFS('QA_Issues'!$B$2:$B$105,B2,'QA_Issues'!$D$2:$D$105,"LIMITATION")</f>
        <v/>
      </c>
      <c r="V2" s="2" t="inlineStr">
        <is>
          <t>ISSUE-0001; ISSUE-0002; ISSUE-0003; ISSUE-0004; ISSUE-0005; ISSUE-0006; ISSUE-0007; ISSUE-0008; ISSUE-0009</t>
        </is>
      </c>
      <c r="W2" s="2" t="inlineStr">
        <is>
          <t>evidence_batch_011_101; live_source_comparison; customizer_audit; serp_evidence</t>
        </is>
      </c>
    </row>
    <row r="3" ht="42" customHeight="1">
      <c r="A3" s="3" t="n">
        <v>102</v>
      </c>
      <c r="B3" s="3" t="inlineStr">
        <is>
          <t>jeminise.com+custom-soccer-ball-cleats-personalized-comforter-set-machine-washable</t>
        </is>
      </c>
      <c r="C3" s="4" t="inlineStr">
        <is>
          <t>https://jeminise.com/products/custom-soccer-ball-cleats-personalized-comforter-set-machine-washable</t>
        </is>
      </c>
      <c r="D3" s="3" t="inlineStr">
        <is>
          <t>custom-soccer-ball-cleats-personalized-comforter-set-machine-washable</t>
        </is>
      </c>
      <c r="E3" s="3" t="inlineStr">
        <is>
          <t>8860499083463</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COUNTIFS('QA_Issues'!$B$2:$B$105,B3,'QA_Issues'!$D$2:$D$105,"CRITICAL")</f>
        <v/>
      </c>
      <c r="S3" s="3">
        <f>COUNTIFS('QA_Issues'!$B$2:$B$105,B3,'QA_Issues'!$D$2:$D$105,"MAJOR")</f>
        <v/>
      </c>
      <c r="T3" s="3">
        <f>COUNTIFS('QA_Issues'!$B$2:$B$105,B3,'QA_Issues'!$D$2:$D$105,"MINOR")</f>
        <v/>
      </c>
      <c r="U3" s="3">
        <f>COUNTIFS('QA_Issues'!$B$2:$B$105,B3,'QA_Issues'!$D$2:$D$105,"LIMITATION")</f>
        <v/>
      </c>
      <c r="V3" s="3" t="inlineStr">
        <is>
          <t>ISSUE-0010; ISSUE-0011; ISSUE-0012; ISSUE-0013; ISSUE-0014; ISSUE-0015; ISSUE-0016; ISSUE-0017; ISSUE-0018; ISSUE-0019; ISSUE-0020</t>
        </is>
      </c>
      <c r="W3" s="3" t="inlineStr">
        <is>
          <t>evidence_batch_011_102; live_source_comparison; customizer_audit; serp_evidence</t>
        </is>
      </c>
    </row>
    <row r="4" ht="42" customHeight="1">
      <c r="A4" s="2" t="n">
        <v>103</v>
      </c>
      <c r="B4" s="2" t="inlineStr">
        <is>
          <t>jeminise.com+custom-soccer-ball-goal-net-comforter-set-machine-washabl-design-13</t>
        </is>
      </c>
      <c r="C4" s="4" t="inlineStr">
        <is>
          <t>https://jeminise.com/products/custom-soccer-ball-goal-net-comforter-set-machine-washabl-design-13</t>
        </is>
      </c>
      <c r="D4" s="2" t="inlineStr">
        <is>
          <t>custom-soccer-ball-goal-net-comforter-set-machine-washabl-design-13</t>
        </is>
      </c>
      <c r="E4" s="2" t="inlineStr">
        <is>
          <t>8860498297031</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8</v>
      </c>
      <c r="O4" s="2" t="n">
        <v>8</v>
      </c>
      <c r="P4" s="2" t="b">
        <v>1</v>
      </c>
      <c r="Q4" s="6" t="n">
        <v>1</v>
      </c>
      <c r="R4" s="2">
        <f>COUNTIFS('QA_Issues'!$B$2:$B$105,B4,'QA_Issues'!$D$2:$D$105,"CRITICAL")</f>
        <v/>
      </c>
      <c r="S4" s="2">
        <f>COUNTIFS('QA_Issues'!$B$2:$B$105,B4,'QA_Issues'!$D$2:$D$105,"MAJOR")</f>
        <v/>
      </c>
      <c r="T4" s="2">
        <f>COUNTIFS('QA_Issues'!$B$2:$B$105,B4,'QA_Issues'!$D$2:$D$105,"MINOR")</f>
        <v/>
      </c>
      <c r="U4" s="2">
        <f>COUNTIFS('QA_Issues'!$B$2:$B$105,B4,'QA_Issues'!$D$2:$D$105,"LIMITATION")</f>
        <v/>
      </c>
      <c r="V4" s="2" t="inlineStr">
        <is>
          <t>ISSUE-0021; ISSUE-0022; ISSUE-0023; ISSUE-0024; ISSUE-0025; ISSUE-0026; ISSUE-0027; ISSUE-0028; ISSUE-0029; ISSUE-0030</t>
        </is>
      </c>
      <c r="W4" s="2" t="inlineStr">
        <is>
          <t>evidence_batch_011_103; live_source_comparison; customizer_audit; serp_evidence</t>
        </is>
      </c>
    </row>
    <row r="5" ht="42" customHeight="1">
      <c r="A5" s="3" t="n">
        <v>104</v>
      </c>
      <c r="B5" s="3" t="inlineStr">
        <is>
          <t>jeminise.com+custom-soccer-ball-goal-personalized-bedding-comforter-set-a4</t>
        </is>
      </c>
      <c r="C5" s="4" t="inlineStr">
        <is>
          <t>https://jeminise.com/products/custom-soccer-ball-goal-personalized-bedding-comforter-set-a4</t>
        </is>
      </c>
      <c r="D5" s="3" t="inlineStr">
        <is>
          <t>custom-soccer-ball-goal-personalized-bedding-comforter-set-a4</t>
        </is>
      </c>
      <c r="E5" s="3" t="inlineStr">
        <is>
          <t>8860497674439</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COUNTIFS('QA_Issues'!$B$2:$B$105,B5,'QA_Issues'!$D$2:$D$105,"CRITICAL")</f>
        <v/>
      </c>
      <c r="S5" s="3">
        <f>COUNTIFS('QA_Issues'!$B$2:$B$105,B5,'QA_Issues'!$D$2:$D$105,"MAJOR")</f>
        <v/>
      </c>
      <c r="T5" s="3">
        <f>COUNTIFS('QA_Issues'!$B$2:$B$105,B5,'QA_Issues'!$D$2:$D$105,"MINOR")</f>
        <v/>
      </c>
      <c r="U5" s="3">
        <f>COUNTIFS('QA_Issues'!$B$2:$B$105,B5,'QA_Issues'!$D$2:$D$105,"LIMITATION")</f>
        <v/>
      </c>
      <c r="V5" s="3" t="inlineStr">
        <is>
          <t>ISSUE-0031; ISSUE-0032; ISSUE-0033; ISSUE-0034; ISSUE-0035; ISSUE-0036; ISSUE-0037; ISSUE-0038; ISSUE-0039; ISSUE-0040</t>
        </is>
      </c>
      <c r="W5" s="3" t="inlineStr">
        <is>
          <t>evidence_batch_011_104; live_source_comparison; customizer_audit; serp_evidence</t>
        </is>
      </c>
    </row>
    <row r="6" ht="42" customHeight="1">
      <c r="A6" s="2" t="n">
        <v>105</v>
      </c>
      <c r="B6" s="2" t="inlineStr">
        <is>
          <t>jeminise.com+custom-soccer-ball-net-comforter-set-machine-washable-a2</t>
        </is>
      </c>
      <c r="C6" s="4" t="inlineStr">
        <is>
          <t>https://jeminise.com/products/custom-soccer-ball-net-comforter-set-machine-washable-a2</t>
        </is>
      </c>
      <c r="D6" s="2" t="inlineStr">
        <is>
          <t>custom-soccer-ball-net-comforter-set-machine-washable-a2</t>
        </is>
      </c>
      <c r="E6" s="2" t="inlineStr">
        <is>
          <t>8860497608903</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8</v>
      </c>
      <c r="O6" s="2" t="n">
        <v>8</v>
      </c>
      <c r="P6" s="2" t="b">
        <v>1</v>
      </c>
      <c r="Q6" s="6" t="n">
        <v>1</v>
      </c>
      <c r="R6" s="2">
        <f>COUNTIFS('QA_Issues'!$B$2:$B$105,B6,'QA_Issues'!$D$2:$D$105,"CRITICAL")</f>
        <v/>
      </c>
      <c r="S6" s="2">
        <f>COUNTIFS('QA_Issues'!$B$2:$B$105,B6,'QA_Issues'!$D$2:$D$105,"MAJOR")</f>
        <v/>
      </c>
      <c r="T6" s="2">
        <f>COUNTIFS('QA_Issues'!$B$2:$B$105,B6,'QA_Issues'!$D$2:$D$105,"MINOR")</f>
        <v/>
      </c>
      <c r="U6" s="2">
        <f>COUNTIFS('QA_Issues'!$B$2:$B$105,B6,'QA_Issues'!$D$2:$D$105,"LIMITATION")</f>
        <v/>
      </c>
      <c r="V6" s="2" t="inlineStr">
        <is>
          <t>ISSUE-0041; ISSUE-0042; ISSUE-0043; ISSUE-0044; ISSUE-0045; ISSUE-0046; ISSUE-0047; ISSUE-0048; ISSUE-0049; ISSUE-0050; ISSUE-0051</t>
        </is>
      </c>
      <c r="W6" s="2" t="inlineStr">
        <is>
          <t>evidence_batch_011_105; live_source_comparison; customizer_audit; serp_evidence</t>
        </is>
      </c>
    </row>
    <row r="7" ht="42" customHeight="1">
      <c r="A7" s="3" t="n">
        <v>106</v>
      </c>
      <c r="B7" s="3" t="inlineStr">
        <is>
          <t>jeminise.com+custom-soccer-ball-water-splashes-comforter-set-machine-washable</t>
        </is>
      </c>
      <c r="C7" s="4" t="inlineStr">
        <is>
          <t>https://jeminise.com/products/custom-soccer-ball-water-splashes-comforter-set-machine-washable</t>
        </is>
      </c>
      <c r="D7" s="3" t="inlineStr">
        <is>
          <t>custom-soccer-ball-water-splashes-comforter-set-machine-washable</t>
        </is>
      </c>
      <c r="E7" s="3" t="inlineStr">
        <is>
          <t>8860497936583</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8</v>
      </c>
      <c r="O7" s="3" t="n">
        <v>8</v>
      </c>
      <c r="P7" s="3" t="b">
        <v>1</v>
      </c>
      <c r="Q7" s="8" t="n">
        <v>1</v>
      </c>
      <c r="R7" s="3">
        <f>COUNTIFS('QA_Issues'!$B$2:$B$105,B7,'QA_Issues'!$D$2:$D$105,"CRITICAL")</f>
        <v/>
      </c>
      <c r="S7" s="3">
        <f>COUNTIFS('QA_Issues'!$B$2:$B$105,B7,'QA_Issues'!$D$2:$D$105,"MAJOR")</f>
        <v/>
      </c>
      <c r="T7" s="3">
        <f>COUNTIFS('QA_Issues'!$B$2:$B$105,B7,'QA_Issues'!$D$2:$D$105,"MINOR")</f>
        <v/>
      </c>
      <c r="U7" s="3">
        <f>COUNTIFS('QA_Issues'!$B$2:$B$105,B7,'QA_Issues'!$D$2:$D$105,"LIMITATION")</f>
        <v/>
      </c>
      <c r="V7" s="3" t="inlineStr">
        <is>
          <t>ISSUE-0052; ISSUE-0053; ISSUE-0054; ISSUE-0055; ISSUE-0056; ISSUE-0057; ISSUE-0058; ISSUE-0059; ISSUE-0060; ISSUE-0061</t>
        </is>
      </c>
      <c r="W7" s="3" t="inlineStr">
        <is>
          <t>evidence_batch_011_106; live_source_comparison; customizer_audit; serp_evidence</t>
        </is>
      </c>
    </row>
    <row r="8" ht="42" customHeight="1">
      <c r="A8" s="2" t="n">
        <v>107</v>
      </c>
      <c r="B8" s="2" t="inlineStr">
        <is>
          <t>jeminise.com+custom-soccer-ball-with-lightning-splash-comforter-set-a11</t>
        </is>
      </c>
      <c r="C8" s="4" t="inlineStr">
        <is>
          <t>https://jeminise.com/products/custom-soccer-ball-with-lightning-splash-comforter-set-a11</t>
        </is>
      </c>
      <c r="D8" s="2" t="inlineStr">
        <is>
          <t>custom-soccer-ball-with-lightning-splash-comforter-set-a11</t>
        </is>
      </c>
      <c r="E8" s="2" t="inlineStr">
        <is>
          <t>8860498428103</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8</v>
      </c>
      <c r="O8" s="2" t="n">
        <v>8</v>
      </c>
      <c r="P8" s="2" t="b">
        <v>1</v>
      </c>
      <c r="Q8" s="6" t="n">
        <v>1</v>
      </c>
      <c r="R8" s="2">
        <f>COUNTIFS('QA_Issues'!$B$2:$B$105,B8,'QA_Issues'!$D$2:$D$105,"CRITICAL")</f>
        <v/>
      </c>
      <c r="S8" s="2">
        <f>COUNTIFS('QA_Issues'!$B$2:$B$105,B8,'QA_Issues'!$D$2:$D$105,"MAJOR")</f>
        <v/>
      </c>
      <c r="T8" s="2">
        <f>COUNTIFS('QA_Issues'!$B$2:$B$105,B8,'QA_Issues'!$D$2:$D$105,"MINOR")</f>
        <v/>
      </c>
      <c r="U8" s="2">
        <f>COUNTIFS('QA_Issues'!$B$2:$B$105,B8,'QA_Issues'!$D$2:$D$105,"LIMITATION")</f>
        <v/>
      </c>
      <c r="V8" s="2" t="inlineStr">
        <is>
          <t>ISSUE-0062; ISSUE-0063; ISSUE-0064; ISSUE-0065; ISSUE-0066; ISSUE-0067; ISSUE-0068; ISSUE-0069; ISSUE-0070; ISSUE-0071; ISSUE-0072</t>
        </is>
      </c>
      <c r="W8" s="2" t="inlineStr">
        <is>
          <t>evidence_batch_011_107; live_source_comparison; customizer_audit; serp_evidence</t>
        </is>
      </c>
    </row>
    <row r="9" ht="42" customHeight="1">
      <c r="A9" s="3" t="n">
        <v>108</v>
      </c>
      <c r="B9" s="3" t="inlineStr">
        <is>
          <t>jeminise.com+custom-soccer-ball-with-number-07-comforter-set-machine-w-design-17</t>
        </is>
      </c>
      <c r="C9" s="4" t="inlineStr">
        <is>
          <t>https://jeminise.com/products/custom-soccer-ball-with-number-07-comforter-set-machine-w-design-17</t>
        </is>
      </c>
      <c r="D9" s="3" t="inlineStr">
        <is>
          <t>custom-soccer-ball-with-number-07-comforter-set-machine-w-design-17</t>
        </is>
      </c>
      <c r="E9" s="3" t="inlineStr">
        <is>
          <t>8860499050695</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8</v>
      </c>
      <c r="O9" s="3" t="n">
        <v>8</v>
      </c>
      <c r="P9" s="3" t="b">
        <v>1</v>
      </c>
      <c r="Q9" s="8" t="n">
        <v>1</v>
      </c>
      <c r="R9" s="3">
        <f>COUNTIFS('QA_Issues'!$B$2:$B$105,B9,'QA_Issues'!$D$2:$D$105,"CRITICAL")</f>
        <v/>
      </c>
      <c r="S9" s="3">
        <f>COUNTIFS('QA_Issues'!$B$2:$B$105,B9,'QA_Issues'!$D$2:$D$105,"MAJOR")</f>
        <v/>
      </c>
      <c r="T9" s="3">
        <f>COUNTIFS('QA_Issues'!$B$2:$B$105,B9,'QA_Issues'!$D$2:$D$105,"MINOR")</f>
        <v/>
      </c>
      <c r="U9" s="3">
        <f>COUNTIFS('QA_Issues'!$B$2:$B$105,B9,'QA_Issues'!$D$2:$D$105,"LIMITATION")</f>
        <v/>
      </c>
      <c r="V9" s="3" t="inlineStr">
        <is>
          <t>ISSUE-0073; ISSUE-0074; ISSUE-0075; ISSUE-0076; ISSUE-0077; ISSUE-0078; ISSUE-0079; ISSUE-0080; ISSUE-0081; ISSUE-0082; ISSUE-0083</t>
        </is>
      </c>
      <c r="W9" s="3" t="inlineStr">
        <is>
          <t>evidence_batch_011_108; live_source_comparison; customizer_audit; serp_evidence</t>
        </is>
      </c>
    </row>
    <row r="10" ht="42" customHeight="1">
      <c r="A10" s="2" t="n">
        <v>109</v>
      </c>
      <c r="B10" s="2" t="inlineStr">
        <is>
          <t>jeminise.com+custom-soccer-goal-splash-bedding-comforter-set-machine-washable</t>
        </is>
      </c>
      <c r="C10" s="4" t="inlineStr">
        <is>
          <t>https://jeminise.com/products/custom-soccer-goal-splash-bedding-comforter-set-machine-washable</t>
        </is>
      </c>
      <c r="D10" s="2" t="inlineStr">
        <is>
          <t>custom-soccer-goal-splash-bedding-comforter-set-machine-washable</t>
        </is>
      </c>
      <c r="E10" s="2" t="inlineStr">
        <is>
          <t>8860499148999</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7</v>
      </c>
      <c r="O10" s="2" t="n">
        <v>7</v>
      </c>
      <c r="P10" s="2" t="b">
        <v>1</v>
      </c>
      <c r="Q10" s="6" t="n">
        <v>1</v>
      </c>
      <c r="R10" s="2">
        <f>COUNTIFS('QA_Issues'!$B$2:$B$105,B10,'QA_Issues'!$D$2:$D$105,"CRITICAL")</f>
        <v/>
      </c>
      <c r="S10" s="2">
        <f>COUNTIFS('QA_Issues'!$B$2:$B$105,B10,'QA_Issues'!$D$2:$D$105,"MAJOR")</f>
        <v/>
      </c>
      <c r="T10" s="2">
        <f>COUNTIFS('QA_Issues'!$B$2:$B$105,B10,'QA_Issues'!$D$2:$D$105,"MINOR")</f>
        <v/>
      </c>
      <c r="U10" s="2">
        <f>COUNTIFS('QA_Issues'!$B$2:$B$105,B10,'QA_Issues'!$D$2:$D$105,"LIMITATION")</f>
        <v/>
      </c>
      <c r="V10" s="2" t="inlineStr">
        <is>
          <t>ISSUE-0084; ISSUE-0085; ISSUE-0086; ISSUE-0087; ISSUE-0088; ISSUE-0089; ISSUE-0090; ISSUE-0091; ISSUE-0092; ISSUE-0093</t>
        </is>
      </c>
      <c r="W10" s="2" t="inlineStr">
        <is>
          <t>evidence_batch_011_109; live_source_comparison; customizer_audit; serp_evidence</t>
        </is>
      </c>
    </row>
    <row r="11" ht="42" customHeight="1">
      <c r="A11" s="3" t="n">
        <v>110</v>
      </c>
      <c r="B11" s="3" t="inlineStr">
        <is>
          <t>jeminise.com+custom-soccer-net-with-number-07-comforter-set-machine-washable-a7</t>
        </is>
      </c>
      <c r="C11" s="4" t="inlineStr">
        <is>
          <t>https://jeminise.com/products/custom-soccer-net-with-number-07-comforter-set-machine-washable-a7</t>
        </is>
      </c>
      <c r="D11" s="3" t="inlineStr">
        <is>
          <t>custom-soccer-net-with-number-07-comforter-set-machine-washable-a7</t>
        </is>
      </c>
      <c r="E11" s="3" t="inlineStr">
        <is>
          <t>8860498591943</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8</v>
      </c>
      <c r="O11" s="3" t="n">
        <v>8</v>
      </c>
      <c r="P11" s="3" t="b">
        <v>1</v>
      </c>
      <c r="Q11" s="8" t="n">
        <v>1</v>
      </c>
      <c r="R11" s="3">
        <f>COUNTIFS('QA_Issues'!$B$2:$B$105,B11,'QA_Issues'!$D$2:$D$105,"CRITICAL")</f>
        <v/>
      </c>
      <c r="S11" s="3">
        <f>COUNTIFS('QA_Issues'!$B$2:$B$105,B11,'QA_Issues'!$D$2:$D$105,"MAJOR")</f>
        <v/>
      </c>
      <c r="T11" s="3">
        <f>COUNTIFS('QA_Issues'!$B$2:$B$105,B11,'QA_Issues'!$D$2:$D$105,"MINOR")</f>
        <v/>
      </c>
      <c r="U11" s="3">
        <f>COUNTIFS('QA_Issues'!$B$2:$B$105,B11,'QA_Issues'!$D$2:$D$105,"LIMITATION")</f>
        <v/>
      </c>
      <c r="V11" s="3" t="inlineStr">
        <is>
          <t>ISSUE-0094; ISSUE-0095; ISSUE-0096; ISSUE-0097; ISSUE-0098; ISSUE-0099; ISSUE-0100; ISSUE-0101; ISSUE-0102; ISSUE-0103; ISSUE-0104</t>
        </is>
      </c>
      <c r="W11" s="3" t="inlineStr">
        <is>
          <t>evidence_batch_011_110;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jeminise.com+custom-semi-truck-with-american-flag-background-comforter-104ae45e5d-104ae45e5d</t>
        </is>
      </c>
      <c r="B2" s="2" t="inlineStr">
        <is>
          <t>P1</t>
        </is>
      </c>
      <c r="C2" s="2" t="n">
        <v>15</v>
      </c>
      <c r="D2" s="2" t="inlineStr">
        <is>
          <t>FULL</t>
        </is>
      </c>
      <c r="E2" s="5">
        <f>IF(B2="I1",AVERAGEIF('QA_Images'!$A$2:$A$78,A2,'QA_Images'!$T$2:$T$78)/100,IF(D2="FULL",1,IF(D2="PARTIAL",0.5,IF(D2="FAIL",0,""))))</f>
        <v/>
      </c>
      <c r="F2" s="5">
        <f>IF(E2="",0,C2*E2)</f>
        <v/>
      </c>
      <c r="G2" s="5">
        <f>IF(B2="I1",20*AVERAGEIF('QA_Images'!$A$2:$A$78,A2,'QA_Images'!$U$2:$U$78)/100,IF(D2="NOT_CHECKED",0,C2))</f>
        <v/>
      </c>
      <c r="H2" s="2" t="inlineStr">
        <is>
          <t>Product identity, handle, product ID, URL and canonical match source/live evidence. Product key/handle/product ID/canonical checked against frozen workbook and live product evidence.</t>
        </is>
      </c>
      <c r="I2" s="2" t="inlineStr">
        <is>
          <t>evidence_batch_011_101</t>
        </is>
      </c>
      <c r="J2" s="2" t="inlineStr">
        <is>
          <t>ISSUE-0001; ISSUE-0002; ISSUE-0003; ISSUE-0004</t>
        </is>
      </c>
    </row>
    <row r="3" ht="42" customHeight="1">
      <c r="A3" s="3" t="inlineStr">
        <is>
          <t>jeminise.com+custom-semi-truck-with-american-flag-background-comforter-104ae45e5d-104ae45e5d</t>
        </is>
      </c>
      <c r="B3" s="3" t="inlineStr">
        <is>
          <t>P2</t>
        </is>
      </c>
      <c r="C3" s="3" t="n">
        <v>10</v>
      </c>
      <c r="D3" s="3" t="inlineStr">
        <is>
          <t>PARTIAL</t>
        </is>
      </c>
      <c r="E3" s="7">
        <f>IF(B3="I1",AVERAGEIF('QA_Images'!$A$2:$A$78,A3,'QA_Images'!$T$2:$T$78)/100,IF(D3="FULL",1,IF(D3="PARTIAL",0.5,IF(D3="FAIL",0,""))))</f>
        <v/>
      </c>
      <c r="F3" s="7">
        <f>IF(E3="",0,C3*E3)</f>
        <v/>
      </c>
      <c r="G3" s="7">
        <f>IF(B3="I1",20*AVERAGEIF('QA_Images'!$A$2:$A$78,A3,'QA_Images'!$U$2:$U$78)/100,IF(D3="NOT_CHECKED",0,C3))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evidence_batch_011_101</t>
        </is>
      </c>
      <c r="J3" s="3" t="inlineStr">
        <is>
          <t>ISSUE-0001; ISSUE-0002; ISSUE-0003; ISSUE-0004</t>
        </is>
      </c>
    </row>
    <row r="4" ht="42" customHeight="1">
      <c r="A4" s="2" t="inlineStr">
        <is>
          <t>jeminise.com+custom-semi-truck-with-american-flag-background-comforter-104ae45e5d-104ae45e5d</t>
        </is>
      </c>
      <c r="B4" s="2" t="inlineStr">
        <is>
          <t>K1</t>
        </is>
      </c>
      <c r="C4" s="2" t="n">
        <v>10</v>
      </c>
      <c r="D4" s="2" t="inlineStr">
        <is>
          <t>PARTIAL</t>
        </is>
      </c>
      <c r="E4" s="5">
        <f>IF(B4="I1",AVERAGEIF('QA_Images'!$A$2:$A$78,A4,'QA_Images'!$T$2:$T$78)/100,IF(D4="FULL",1,IF(D4="PARTIAL",0.5,IF(D4="FAIL",0,""))))</f>
        <v/>
      </c>
      <c r="F4" s="5">
        <f>IF(E4="",0,C4*E4)</f>
        <v/>
      </c>
      <c r="G4" s="5">
        <f>IF(B4="I1",20*AVERAGEIF('QA_Images'!$A$2:$A$78,A4,'QA_Images'!$U$2:$U$78)/100,IF(D4="NOT_CHECKED",0,C4))</f>
        <v/>
      </c>
      <c r="H4" s="2" t="inlineStr">
        <is>
          <t>Primary keyword aligns with product-level US purchase intent. Primary keyword rechecked against US product-level SERP comparables.</t>
        </is>
      </c>
      <c r="I4" s="2" t="inlineStr">
        <is>
          <t>evidence_batch_011_101</t>
        </is>
      </c>
      <c r="J4" s="2" t="inlineStr">
        <is>
          <t>ISSUE-0001; ISSUE-0002; ISSUE-0003; ISSUE-0004</t>
        </is>
      </c>
    </row>
    <row r="5" ht="42" customHeight="1">
      <c r="A5" s="3" t="inlineStr">
        <is>
          <t>jeminise.com+custom-semi-truck-with-american-flag-background-comforter-104ae45e5d-104ae45e5d</t>
        </is>
      </c>
      <c r="B5" s="3" t="inlineStr">
        <is>
          <t>K2</t>
        </is>
      </c>
      <c r="C5" s="3" t="n">
        <v>5</v>
      </c>
      <c r="D5" s="3" t="inlineStr">
        <is>
          <t>PARTIAL</t>
        </is>
      </c>
      <c r="E5" s="7">
        <f>IF(B5="I1",AVERAGEIF('QA_Images'!$A$2:$A$78,A5,'QA_Images'!$T$2:$T$78)/100,IF(D5="FULL",1,IF(D5="PARTIAL",0.5,IF(D5="FAIL",0,""))))</f>
        <v/>
      </c>
      <c r="F5" s="7">
        <f>IF(E5="",0,C5*E5)</f>
        <v/>
      </c>
      <c r="G5" s="7">
        <f>IF(B5="I1",20*AVERAGEIF('QA_Images'!$A$2:$A$78,A5,'QA_Images'!$U$2:$U$78)/100,IF(D5="NOT_CHECKED",0,C5))</f>
        <v/>
      </c>
      <c r="H5" s="3" t="inlineStr">
        <is>
          <t>Intent/cannibalization check distinguishes nearby products. Nearby product cluster has overlap risk, so intent distinction remains only partial.</t>
        </is>
      </c>
      <c r="I5" s="3" t="inlineStr">
        <is>
          <t>evidence_batch_011_101</t>
        </is>
      </c>
      <c r="J5" s="3" t="inlineStr">
        <is>
          <t>ISSUE-0001; ISSUE-0002; ISSUE-0003; ISSUE-0004</t>
        </is>
      </c>
    </row>
    <row r="6" ht="42" customHeight="1">
      <c r="A6" s="2" t="inlineStr">
        <is>
          <t>jeminise.com+custom-semi-truck-with-american-flag-background-comforter-104ae45e5d-104ae45e5d</t>
        </is>
      </c>
      <c r="B6" s="2" t="inlineStr">
        <is>
          <t>K3</t>
        </is>
      </c>
      <c r="C6" s="2" t="n">
        <v>5</v>
      </c>
      <c r="D6" s="2" t="inlineStr">
        <is>
          <t>PARTIAL</t>
        </is>
      </c>
      <c r="E6" s="5">
        <f>IF(B6="I1",AVERAGEIF('QA_Images'!$A$2:$A$78,A6,'QA_Images'!$T$2:$T$78)/100,IF(D6="FULL",1,IF(D6="PARTIAL",0.5,IF(D6="FAIL",0,""))))</f>
        <v/>
      </c>
      <c r="F6" s="5">
        <f>IF(E6="",0,C6*E6)</f>
        <v/>
      </c>
      <c r="G6" s="5">
        <f>IF(B6="I1",20*AVERAGEIF('QA_Images'!$A$2:$A$78,A6,'QA_Images'!$U$2:$U$78)/100,IF(D6="NOT_CHECKED",0,C6))</f>
        <v/>
      </c>
      <c r="H6" s="2" t="inlineStr">
        <is>
          <t>Keyword evidence is supported by SERP comparables without unsupported volume claims. Evidence is public SERP only; no Search Console, keyword volume or customer-search corpus provided.</t>
        </is>
      </c>
      <c r="I6" s="2" t="inlineStr">
        <is>
          <t>evidence_batch_011_101</t>
        </is>
      </c>
      <c r="J6" s="2" t="inlineStr">
        <is>
          <t>ISSUE-0001; ISSUE-0002; ISSUE-0003; ISSUE-0004</t>
        </is>
      </c>
    </row>
    <row r="7" ht="42" customHeight="1">
      <c r="A7" s="3" t="inlineStr">
        <is>
          <t>jeminise.com+custom-semi-truck-with-american-flag-background-comforter-104ae45e5d-104ae45e5d</t>
        </is>
      </c>
      <c r="B7" s="3" t="inlineStr">
        <is>
          <t>T1</t>
        </is>
      </c>
      <c r="C7" s="3" t="n">
        <v>10</v>
      </c>
      <c r="D7" s="3" t="inlineStr">
        <is>
          <t>FULL</t>
        </is>
      </c>
      <c r="E7" s="7">
        <f>IF(B7="I1",AVERAGEIF('QA_Images'!$A$2:$A$78,A7,'QA_Images'!$T$2:$T$78)/100,IF(D7="FULL",1,IF(D7="PARTIAL",0.5,IF(D7="FAIL",0,""))))</f>
        <v/>
      </c>
      <c r="F7" s="7">
        <f>IF(E7="",0,C7*E7)</f>
        <v/>
      </c>
      <c r="G7" s="7">
        <f>IF(B7="I1",20*AVERAGEIF('QA_Images'!$A$2:$A$78,A7,'QA_Images'!$U$2:$U$78)/100,IF(D7="NOT_CHECKED",0,C7))</f>
        <v/>
      </c>
      <c r="H7" s="3" t="inlineStr">
        <is>
          <t>SEO title and H1 are relevant, specific and grounded in visible/source facts. Title/H1 are product-specific and tied to visible motif/product type.</t>
        </is>
      </c>
      <c r="I7" s="3" t="inlineStr">
        <is>
          <t>evidence_batch_011_101</t>
        </is>
      </c>
      <c r="J7" s="3" t="inlineStr">
        <is>
          <t>ISSUE-0001; ISSUE-0002; ISSUE-0003; ISSUE-0004</t>
        </is>
      </c>
    </row>
    <row r="8" ht="42" customHeight="1">
      <c r="A8" s="2" t="inlineStr">
        <is>
          <t>jeminise.com+custom-semi-truck-with-american-flag-background-comforter-104ae45e5d-104ae45e5d</t>
        </is>
      </c>
      <c r="B8" s="2" t="inlineStr">
        <is>
          <t>T2</t>
        </is>
      </c>
      <c r="C8" s="2" t="n">
        <v>5</v>
      </c>
      <c r="D8" s="2" t="inlineStr">
        <is>
          <t>PARTIAL</t>
        </is>
      </c>
      <c r="E8" s="5">
        <f>IF(B8="I1",AVERAGEIF('QA_Images'!$A$2:$A$78,A8,'QA_Images'!$T$2:$T$78)/100,IF(D8="FULL",1,IF(D8="PARTIAL",0.5,IF(D8="FAIL",0,""))))</f>
        <v/>
      </c>
      <c r="F8" s="5">
        <f>IF(E8="",0,C8*E8)</f>
        <v/>
      </c>
      <c r="G8" s="5">
        <f>IF(B8="I1",20*AVERAGEIF('QA_Images'!$A$2:$A$78,A8,'QA_Images'!$U$2:$U$78)/100,IF(D8="NOT_CHECKED",0,C8))</f>
        <v/>
      </c>
      <c r="H8" s="2" t="inlineStr">
        <is>
          <t>Meta description is concise, publish-ready and avoids unsupported claims. Meta description checked for length, specificity and supportable claims.</t>
        </is>
      </c>
      <c r="I8" s="2" t="inlineStr">
        <is>
          <t>evidence_batch_011_101</t>
        </is>
      </c>
      <c r="J8" s="2" t="inlineStr">
        <is>
          <t>ISSUE-0001; ISSUE-0002; ISSUE-0003; ISSUE-0004</t>
        </is>
      </c>
    </row>
    <row r="9" ht="42" customHeight="1">
      <c r="A9" s="3" t="inlineStr">
        <is>
          <t>jeminise.com+custom-semi-truck-with-american-flag-background-comforter-104ae45e5d-104ae45e5d</t>
        </is>
      </c>
      <c r="B9" s="3" t="inlineStr">
        <is>
          <t>D1</t>
        </is>
      </c>
      <c r="C9" s="3" t="n">
        <v>10</v>
      </c>
      <c r="D9" s="3" t="inlineStr">
        <is>
          <t>FAIL</t>
        </is>
      </c>
      <c r="E9" s="7">
        <f>IF(B9="I1",AVERAGEIF('QA_Images'!$A$2:$A$78,A9,'QA_Images'!$T$2:$T$78)/100,IF(D9="FULL",1,IF(D9="PARTIAL",0.5,IF(D9="FAIL",0,""))))</f>
        <v/>
      </c>
      <c r="F9" s="7">
        <f>IF(E9="",0,C9*E9)</f>
        <v/>
      </c>
      <c r="G9" s="7">
        <f>IF(B9="I1",20*AVERAGEIF('QA_Images'!$A$2:$A$78,A9,'QA_Images'!$U$2:$U$78)/100,IF(D9="NOT_CHECKED",0,C9))</f>
        <v/>
      </c>
      <c r="H9" s="3" t="inlineStr">
        <is>
          <t>Description HTML is publish-ready and free of internal draft/QA instructions. Description HTML still contains internal QA/import language.</t>
        </is>
      </c>
      <c r="I9" s="3" t="inlineStr">
        <is>
          <t>evidence_batch_011_101</t>
        </is>
      </c>
      <c r="J9" s="3" t="inlineStr">
        <is>
          <t>ISSUE-0001; ISSUE-0002; ISSUE-0003; ISSUE-0004</t>
        </is>
      </c>
    </row>
    <row r="10" ht="42" customHeight="1">
      <c r="A10" s="2" t="inlineStr">
        <is>
          <t>jeminise.com+custom-semi-truck-with-american-flag-background-comforter-104ae45e5d-104ae45e5d</t>
        </is>
      </c>
      <c r="B10" s="2" t="inlineStr">
        <is>
          <t>D2</t>
        </is>
      </c>
      <c r="C10" s="2" t="n">
        <v>5</v>
      </c>
      <c r="D10" s="2" t="inlineStr">
        <is>
          <t>PARTIAL</t>
        </is>
      </c>
      <c r="E10" s="5">
        <f>IF(B10="I1",AVERAGEIF('QA_Images'!$A$2:$A$78,A10,'QA_Images'!$T$2:$T$78)/100,IF(D10="FULL",1,IF(D10="PARTIAL",0.5,IF(D10="FAIL",0,""))))</f>
        <v/>
      </c>
      <c r="F10" s="5">
        <f>IF(E10="",0,C10*E10)</f>
        <v/>
      </c>
      <c r="G10" s="5">
        <f>IF(B10="I1",20*AVERAGEIF('QA_Images'!$A$2:$A$78,A10,'QA_Images'!$U$2:$U$78)/100,IF(D10="NOT_CHECKED",0,C10))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evidence_batch_011_101</t>
        </is>
      </c>
      <c r="J10" s="2" t="inlineStr">
        <is>
          <t>ISSUE-0001; ISSUE-0002; ISSUE-0003; ISSUE-0004</t>
        </is>
      </c>
    </row>
    <row r="11" ht="42" customHeight="1">
      <c r="A11" s="3" t="inlineStr">
        <is>
          <t>jeminise.com+custom-semi-truck-with-american-flag-background-comforter-104ae45e5d-104ae45e5d</t>
        </is>
      </c>
      <c r="B11" s="3" t="inlineStr">
        <is>
          <t>I1</t>
        </is>
      </c>
      <c r="C11" s="3" t="n">
        <v>20</v>
      </c>
      <c r="D11" s="3" t="inlineStr">
        <is>
          <t>FULL</t>
        </is>
      </c>
      <c r="E11" s="7">
        <f>IF(B11="I1",AVERAGEIF('QA_Images'!$A$2:$A$78,A11,'QA_Images'!$T$2:$T$78)/100,IF(D11="FULL",1,IF(D11="PARTIAL",0.5,IF(D11="FAIL",0,""))))</f>
        <v/>
      </c>
      <c r="F11" s="7">
        <f>IF(E11="",0,C11*E11)</f>
        <v/>
      </c>
      <c r="G11" s="7">
        <f>IF(B11="I1",20*AVERAGEIF('QA_Images'!$A$2:$A$78,A11,'QA_Images'!$U$2:$U$78)/100,IF(D11="NOT_CHECKED",0,C11))</f>
        <v/>
      </c>
      <c r="H11" s="3" t="inlineStr">
        <is>
          <t>Image coverage, image observations and alt text quality, derived from QA_Images. Derived from average image QA score; see QA_Images.</t>
        </is>
      </c>
      <c r="I11" s="3" t="inlineStr">
        <is>
          <t>evidence_batch_011_101</t>
        </is>
      </c>
      <c r="J11" s="3" t="inlineStr">
        <is>
          <t>ISSUE-0001; ISSUE-0002; ISSUE-0003; ISSUE-0004</t>
        </is>
      </c>
    </row>
    <row r="12" ht="42" customHeight="1">
      <c r="A12" s="2" t="inlineStr">
        <is>
          <t>jeminise.com+custom-semi-truck-with-american-flag-background-comforter-104ae45e5d-104ae45e5d</t>
        </is>
      </c>
      <c r="B12" s="2" t="inlineStr">
        <is>
          <t>E1</t>
        </is>
      </c>
      <c r="C12" s="2" t="n">
        <v>5</v>
      </c>
      <c r="D12" s="2" t="inlineStr">
        <is>
          <t>PARTIAL</t>
        </is>
      </c>
      <c r="E12" s="5">
        <f>IF(B12="I1",AVERAGEIF('QA_Images'!$A$2:$A$78,A12,'QA_Images'!$T$2:$T$78)/100,IF(D12="FULL",1,IF(D12="PARTIAL",0.5,IF(D12="FAIL",0,""))))</f>
        <v/>
      </c>
      <c r="F12" s="5">
        <f>IF(E12="",0,C12*E12)</f>
        <v/>
      </c>
      <c r="G12" s="5">
        <f>IF(B12="I1",20*AVERAGEIF('QA_Images'!$A$2:$A$78,A12,'QA_Images'!$U$2:$U$78)/100,IF(D12="NOT_CHECKED",0,C12))</f>
        <v/>
      </c>
      <c r="H12" s="2" t="inlineStr">
        <is>
          <t>Evidence chain is traceable and limitations are explicitly separated from failures. Evidence chain is traceable, with admin-export limitation explicitly separated.</t>
        </is>
      </c>
      <c r="I12" s="2" t="inlineStr">
        <is>
          <t>evidence_batch_011_101</t>
        </is>
      </c>
      <c r="J12" s="2" t="inlineStr">
        <is>
          <t>ISSUE-0001; ISSUE-0002; ISSUE-0003; ISSUE-0004</t>
        </is>
      </c>
    </row>
    <row r="13" ht="42" customHeight="1">
      <c r="A13" s="3" t="inlineStr">
        <is>
          <t>jeminise.com+custom-soccer-ball-cleats-personalized-comforter-set-machine-washable</t>
        </is>
      </c>
      <c r="B13" s="3" t="inlineStr">
        <is>
          <t>P1</t>
        </is>
      </c>
      <c r="C13" s="3" t="n">
        <v>15</v>
      </c>
      <c r="D13" s="3" t="inlineStr">
        <is>
          <t>FULL</t>
        </is>
      </c>
      <c r="E13" s="7">
        <f>IF(B13="I1",AVERAGEIF('QA_Images'!$A$2:$A$78,A13,'QA_Images'!$T$2:$T$78)/100,IF(D13="FULL",1,IF(D13="PARTIAL",0.5,IF(D13="FAIL",0,""))))</f>
        <v/>
      </c>
      <c r="F13" s="7">
        <f>IF(E13="",0,C13*E13)</f>
        <v/>
      </c>
      <c r="G13" s="7">
        <f>IF(B13="I1",20*AVERAGEIF('QA_Images'!$A$2:$A$78,A13,'QA_Images'!$U$2:$U$78)/100,IF(D13="NOT_CHECKED",0,C13))</f>
        <v/>
      </c>
      <c r="H13" s="3" t="inlineStr">
        <is>
          <t>Product identity, handle, product ID, URL and canonical match source/live evidence. Product key/handle/product ID/canonical checked against frozen workbook and live product evidence.</t>
        </is>
      </c>
      <c r="I13" s="3" t="inlineStr">
        <is>
          <t>evidence_batch_011_102</t>
        </is>
      </c>
      <c r="J13" s="3" t="inlineStr">
        <is>
          <t>ISSUE-0010; ISSUE-0011; ISSUE-0012; ISSUE-0013; ISSUE-0014</t>
        </is>
      </c>
    </row>
    <row r="14" ht="42" customHeight="1">
      <c r="A14" s="2" t="inlineStr">
        <is>
          <t>jeminise.com+custom-soccer-ball-cleats-personalized-comforter-set-machine-washable</t>
        </is>
      </c>
      <c r="B14" s="2" t="inlineStr">
        <is>
          <t>P2</t>
        </is>
      </c>
      <c r="C14" s="2" t="n">
        <v>10</v>
      </c>
      <c r="D14" s="2" t="inlineStr">
        <is>
          <t>FAIL</t>
        </is>
      </c>
      <c r="E14" s="5">
        <f>IF(B14="I1",AVERAGEIF('QA_Images'!$A$2:$A$78,A14,'QA_Images'!$T$2:$T$78)/100,IF(D14="FULL",1,IF(D14="PARTIAL",0.5,IF(D14="FAIL",0,""))))</f>
        <v/>
      </c>
      <c r="F14" s="5">
        <f>IF(E14="",0,C14*E14)</f>
        <v/>
      </c>
      <c r="G14" s="5">
        <f>IF(B14="I1",20*AVERAGEIF('QA_Images'!$A$2:$A$78,A14,'QA_Images'!$U$2:$U$78)/100,IF(D14="NOT_CHECKED",0,C14))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evidence_batch_011_102</t>
        </is>
      </c>
      <c r="J14" s="2" t="inlineStr">
        <is>
          <t>ISSUE-0010; ISSUE-0011; ISSUE-0012; ISSUE-0013; ISSUE-0014</t>
        </is>
      </c>
    </row>
    <row r="15" ht="42" customHeight="1">
      <c r="A15" s="3" t="inlineStr">
        <is>
          <t>jeminise.com+custom-soccer-ball-cleats-personalized-comforter-set-machine-washable</t>
        </is>
      </c>
      <c r="B15" s="3" t="inlineStr">
        <is>
          <t>K1</t>
        </is>
      </c>
      <c r="C15" s="3" t="n">
        <v>10</v>
      </c>
      <c r="D15" s="3" t="inlineStr">
        <is>
          <t>PARTIAL</t>
        </is>
      </c>
      <c r="E15" s="7">
        <f>IF(B15="I1",AVERAGEIF('QA_Images'!$A$2:$A$78,A15,'QA_Images'!$T$2:$T$78)/100,IF(D15="FULL",1,IF(D15="PARTIAL",0.5,IF(D15="FAIL",0,""))))</f>
        <v/>
      </c>
      <c r="F15" s="7">
        <f>IF(E15="",0,C15*E15)</f>
        <v/>
      </c>
      <c r="G15" s="7">
        <f>IF(B15="I1",20*AVERAGEIF('QA_Images'!$A$2:$A$78,A15,'QA_Images'!$U$2:$U$78)/100,IF(D15="NOT_CHECKED",0,C15))</f>
        <v/>
      </c>
      <c r="H15" s="3" t="inlineStr">
        <is>
          <t>Primary keyword aligns with product-level US purchase intent. Primary keyword rechecked against US product-level SERP comparables.</t>
        </is>
      </c>
      <c r="I15" s="3" t="inlineStr">
        <is>
          <t>evidence_batch_011_102</t>
        </is>
      </c>
      <c r="J15" s="3" t="inlineStr">
        <is>
          <t>ISSUE-0010; ISSUE-0011; ISSUE-0012; ISSUE-0013; ISSUE-0014</t>
        </is>
      </c>
    </row>
    <row r="16" ht="42" customHeight="1">
      <c r="A16" s="2" t="inlineStr">
        <is>
          <t>jeminise.com+custom-soccer-ball-cleats-personalized-comforter-set-machine-washable</t>
        </is>
      </c>
      <c r="B16" s="2" t="inlineStr">
        <is>
          <t>K2</t>
        </is>
      </c>
      <c r="C16" s="2" t="n">
        <v>5</v>
      </c>
      <c r="D16" s="2" t="inlineStr">
        <is>
          <t>PARTIAL</t>
        </is>
      </c>
      <c r="E16" s="5">
        <f>IF(B16="I1",AVERAGEIF('QA_Images'!$A$2:$A$78,A16,'QA_Images'!$T$2:$T$78)/100,IF(D16="FULL",1,IF(D16="PARTIAL",0.5,IF(D16="FAIL",0,""))))</f>
        <v/>
      </c>
      <c r="F16" s="5">
        <f>IF(E16="",0,C16*E16)</f>
        <v/>
      </c>
      <c r="G16" s="5">
        <f>IF(B16="I1",20*AVERAGEIF('QA_Images'!$A$2:$A$78,A16,'QA_Images'!$U$2:$U$78)/100,IF(D16="NOT_CHECKED",0,C16))</f>
        <v/>
      </c>
      <c r="H16" s="2" t="inlineStr">
        <is>
          <t>Intent/cannibalization check distinguishes nearby products. Nearby product cluster has overlap risk, so intent distinction remains only partial.</t>
        </is>
      </c>
      <c r="I16" s="2" t="inlineStr">
        <is>
          <t>evidence_batch_011_102</t>
        </is>
      </c>
      <c r="J16" s="2" t="inlineStr">
        <is>
          <t>ISSUE-0010; ISSUE-0011; ISSUE-0012; ISSUE-0013; ISSUE-0014</t>
        </is>
      </c>
    </row>
    <row r="17" ht="42" customHeight="1">
      <c r="A17" s="3" t="inlineStr">
        <is>
          <t>jeminise.com+custom-soccer-ball-cleats-personalized-comforter-set-machine-washable</t>
        </is>
      </c>
      <c r="B17" s="3" t="inlineStr">
        <is>
          <t>K3</t>
        </is>
      </c>
      <c r="C17" s="3" t="n">
        <v>5</v>
      </c>
      <c r="D17" s="3" t="inlineStr">
        <is>
          <t>PARTIAL</t>
        </is>
      </c>
      <c r="E17" s="7">
        <f>IF(B17="I1",AVERAGEIF('QA_Images'!$A$2:$A$78,A17,'QA_Images'!$T$2:$T$78)/100,IF(D17="FULL",1,IF(D17="PARTIAL",0.5,IF(D17="FAIL",0,""))))</f>
        <v/>
      </c>
      <c r="F17" s="7">
        <f>IF(E17="",0,C17*E17)</f>
        <v/>
      </c>
      <c r="G17" s="7">
        <f>IF(B17="I1",20*AVERAGEIF('QA_Images'!$A$2:$A$78,A17,'QA_Images'!$U$2:$U$78)/100,IF(D17="NOT_CHECKED",0,C17))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evidence_batch_011_102</t>
        </is>
      </c>
      <c r="J17" s="3" t="inlineStr">
        <is>
          <t>ISSUE-0010; ISSUE-0011; ISSUE-0012; ISSUE-0013; ISSUE-0014</t>
        </is>
      </c>
    </row>
    <row r="18" ht="42" customHeight="1">
      <c r="A18" s="2" t="inlineStr">
        <is>
          <t>jeminise.com+custom-soccer-ball-cleats-personalized-comforter-set-machine-washable</t>
        </is>
      </c>
      <c r="B18" s="2" t="inlineStr">
        <is>
          <t>T1</t>
        </is>
      </c>
      <c r="C18" s="2" t="n">
        <v>10</v>
      </c>
      <c r="D18" s="2" t="inlineStr">
        <is>
          <t>FULL</t>
        </is>
      </c>
      <c r="E18" s="5">
        <f>IF(B18="I1",AVERAGEIF('QA_Images'!$A$2:$A$78,A18,'QA_Images'!$T$2:$T$78)/100,IF(D18="FULL",1,IF(D18="PARTIAL",0.5,IF(D18="FAIL",0,""))))</f>
        <v/>
      </c>
      <c r="F18" s="5">
        <f>IF(E18="",0,C18*E18)</f>
        <v/>
      </c>
      <c r="G18" s="5">
        <f>IF(B18="I1",20*AVERAGEIF('QA_Images'!$A$2:$A$78,A18,'QA_Images'!$U$2:$U$78)/100,IF(D18="NOT_CHECKED",0,C18))</f>
        <v/>
      </c>
      <c r="H18" s="2" t="inlineStr">
        <is>
          <t>SEO title and H1 are relevant, specific and grounded in visible/source facts. Title/H1 are product-specific and tied to visible motif/product type.</t>
        </is>
      </c>
      <c r="I18" s="2" t="inlineStr">
        <is>
          <t>evidence_batch_011_102</t>
        </is>
      </c>
      <c r="J18" s="2" t="inlineStr">
        <is>
          <t>ISSUE-0010; ISSUE-0011; ISSUE-0012; ISSUE-0013; ISSUE-0014</t>
        </is>
      </c>
    </row>
    <row r="19" ht="42" customHeight="1">
      <c r="A19" s="3" t="inlineStr">
        <is>
          <t>jeminise.com+custom-soccer-ball-cleats-personalized-comforter-set-machine-washable</t>
        </is>
      </c>
      <c r="B19" s="3" t="inlineStr">
        <is>
          <t>T2</t>
        </is>
      </c>
      <c r="C19" s="3" t="n">
        <v>5</v>
      </c>
      <c r="D19" s="3" t="inlineStr">
        <is>
          <t>PARTIAL</t>
        </is>
      </c>
      <c r="E19" s="7">
        <f>IF(B19="I1",AVERAGEIF('QA_Images'!$A$2:$A$78,A19,'QA_Images'!$T$2:$T$78)/100,IF(D19="FULL",1,IF(D19="PARTIAL",0.5,IF(D19="FAIL",0,""))))</f>
        <v/>
      </c>
      <c r="F19" s="7">
        <f>IF(E19="",0,C19*E19)</f>
        <v/>
      </c>
      <c r="G19" s="7">
        <f>IF(B19="I1",20*AVERAGEIF('QA_Images'!$A$2:$A$78,A19,'QA_Images'!$U$2:$U$78)/100,IF(D19="NOT_CHECKED",0,C19))</f>
        <v/>
      </c>
      <c r="H19" s="3" t="inlineStr">
        <is>
          <t>Meta description is concise, publish-ready and avoids unsupported claims. Meta description checked for length, specificity and supportable claims.</t>
        </is>
      </c>
      <c r="I19" s="3" t="inlineStr">
        <is>
          <t>evidence_batch_011_102</t>
        </is>
      </c>
      <c r="J19" s="3" t="inlineStr">
        <is>
          <t>ISSUE-0010; ISSUE-0011; ISSUE-0012; ISSUE-0013; ISSUE-0014</t>
        </is>
      </c>
    </row>
    <row r="20" ht="42" customHeight="1">
      <c r="A20" s="2" t="inlineStr">
        <is>
          <t>jeminise.com+custom-soccer-ball-cleats-personalized-comforter-set-machine-washable</t>
        </is>
      </c>
      <c r="B20" s="2" t="inlineStr">
        <is>
          <t>D1</t>
        </is>
      </c>
      <c r="C20" s="2" t="n">
        <v>10</v>
      </c>
      <c r="D20" s="2" t="inlineStr">
        <is>
          <t>FAIL</t>
        </is>
      </c>
      <c r="E20" s="5">
        <f>IF(B20="I1",AVERAGEIF('QA_Images'!$A$2:$A$78,A20,'QA_Images'!$T$2:$T$78)/100,IF(D20="FULL",1,IF(D20="PARTIAL",0.5,IF(D20="FAIL",0,""))))</f>
        <v/>
      </c>
      <c r="F20" s="5">
        <f>IF(E20="",0,C20*E20)</f>
        <v/>
      </c>
      <c r="G20" s="5">
        <f>IF(B20="I1",20*AVERAGEIF('QA_Images'!$A$2:$A$78,A20,'QA_Images'!$U$2:$U$78)/100,IF(D20="NOT_CHECKED",0,C20))</f>
        <v/>
      </c>
      <c r="H20" s="2" t="inlineStr">
        <is>
          <t>Description HTML is publish-ready and free of internal draft/QA instructions. Description HTML still contains internal QA/import language.</t>
        </is>
      </c>
      <c r="I20" s="2" t="inlineStr">
        <is>
          <t>evidence_batch_011_102</t>
        </is>
      </c>
      <c r="J20" s="2" t="inlineStr">
        <is>
          <t>ISSUE-0010; ISSUE-0011; ISSUE-0012; ISSUE-0013; ISSUE-0014</t>
        </is>
      </c>
    </row>
    <row r="21" ht="42" customHeight="1">
      <c r="A21" s="3" t="inlineStr">
        <is>
          <t>jeminise.com+custom-soccer-ball-cleats-personalized-comforter-set-machine-washable</t>
        </is>
      </c>
      <c r="B21" s="3" t="inlineStr">
        <is>
          <t>D2</t>
        </is>
      </c>
      <c r="C21" s="3" t="n">
        <v>5</v>
      </c>
      <c r="D21" s="3" t="inlineStr">
        <is>
          <t>PARTIAL</t>
        </is>
      </c>
      <c r="E21" s="7">
        <f>IF(B21="I1",AVERAGEIF('QA_Images'!$A$2:$A$78,A21,'QA_Images'!$T$2:$T$78)/100,IF(D21="FULL",1,IF(D21="PARTIAL",0.5,IF(D21="FAIL",0,""))))</f>
        <v/>
      </c>
      <c r="F21" s="7">
        <f>IF(E21="",0,C21*E21)</f>
        <v/>
      </c>
      <c r="G21" s="7">
        <f>IF(B21="I1",20*AVERAGEIF('QA_Images'!$A$2:$A$78,A21,'QA_Images'!$U$2:$U$78)/100,IF(D21="NOT_CHECKED",0,C21))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evidence_batch_011_102</t>
        </is>
      </c>
      <c r="J21" s="3" t="inlineStr">
        <is>
          <t>ISSUE-0010; ISSUE-0011; ISSUE-0012; ISSUE-0013; ISSUE-0014</t>
        </is>
      </c>
    </row>
    <row r="22" ht="42" customHeight="1">
      <c r="A22" s="2" t="inlineStr">
        <is>
          <t>jeminise.com+custom-soccer-ball-cleats-personalized-comforter-set-machine-washable</t>
        </is>
      </c>
      <c r="B22" s="2" t="inlineStr">
        <is>
          <t>I1</t>
        </is>
      </c>
      <c r="C22" s="2" t="n">
        <v>20</v>
      </c>
      <c r="D22" s="2" t="inlineStr">
        <is>
          <t>FULL</t>
        </is>
      </c>
      <c r="E22" s="5">
        <f>IF(B22="I1",AVERAGEIF('QA_Images'!$A$2:$A$78,A22,'QA_Images'!$T$2:$T$78)/100,IF(D22="FULL",1,IF(D22="PARTIAL",0.5,IF(D22="FAIL",0,""))))</f>
        <v/>
      </c>
      <c r="F22" s="5">
        <f>IF(E22="",0,C22*E22)</f>
        <v/>
      </c>
      <c r="G22" s="5">
        <f>IF(B22="I1",20*AVERAGEIF('QA_Images'!$A$2:$A$78,A22,'QA_Images'!$U$2:$U$78)/100,IF(D22="NOT_CHECKED",0,C22))</f>
        <v/>
      </c>
      <c r="H22" s="2" t="inlineStr">
        <is>
          <t>Image coverage, image observations and alt text quality, derived from QA_Images. Derived from average image QA score; see QA_Images.</t>
        </is>
      </c>
      <c r="I22" s="2" t="inlineStr">
        <is>
          <t>evidence_batch_011_102</t>
        </is>
      </c>
      <c r="J22" s="2" t="inlineStr">
        <is>
          <t>ISSUE-0010; ISSUE-0011; ISSUE-0012; ISSUE-0013; ISSUE-0014</t>
        </is>
      </c>
    </row>
    <row r="23" ht="42" customHeight="1">
      <c r="A23" s="3" t="inlineStr">
        <is>
          <t>jeminise.com+custom-soccer-ball-cleats-personalized-comforter-set-machine-washable</t>
        </is>
      </c>
      <c r="B23" s="3" t="inlineStr">
        <is>
          <t>E1</t>
        </is>
      </c>
      <c r="C23" s="3" t="n">
        <v>5</v>
      </c>
      <c r="D23" s="3" t="inlineStr">
        <is>
          <t>PARTIAL</t>
        </is>
      </c>
      <c r="E23" s="7">
        <f>IF(B23="I1",AVERAGEIF('QA_Images'!$A$2:$A$78,A23,'QA_Images'!$T$2:$T$78)/100,IF(D23="FULL",1,IF(D23="PARTIAL",0.5,IF(D23="FAIL",0,""))))</f>
        <v/>
      </c>
      <c r="F23" s="7">
        <f>IF(E23="",0,C23*E23)</f>
        <v/>
      </c>
      <c r="G23" s="7">
        <f>IF(B23="I1",20*AVERAGEIF('QA_Images'!$A$2:$A$78,A23,'QA_Images'!$U$2:$U$78)/100,IF(D23="NOT_CHECKED",0,C23))</f>
        <v/>
      </c>
      <c r="H23" s="3" t="inlineStr">
        <is>
          <t>Evidence chain is traceable and limitations are explicitly separated from failures. Evidence chain is traceable, with admin-export limitation explicitly separated.</t>
        </is>
      </c>
      <c r="I23" s="3" t="inlineStr">
        <is>
          <t>evidence_batch_011_102</t>
        </is>
      </c>
      <c r="J23" s="3" t="inlineStr">
        <is>
          <t>ISSUE-0010; ISSUE-0011; ISSUE-0012; ISSUE-0013; ISSUE-0014</t>
        </is>
      </c>
    </row>
    <row r="24" ht="42" customHeight="1">
      <c r="A24" s="2" t="inlineStr">
        <is>
          <t>jeminise.com+custom-soccer-ball-goal-net-comforter-set-machine-washabl-design-13</t>
        </is>
      </c>
      <c r="B24" s="2" t="inlineStr">
        <is>
          <t>P1</t>
        </is>
      </c>
      <c r="C24" s="2" t="n">
        <v>15</v>
      </c>
      <c r="D24" s="2" t="inlineStr">
        <is>
          <t>FULL</t>
        </is>
      </c>
      <c r="E24" s="5">
        <f>IF(B24="I1",AVERAGEIF('QA_Images'!$A$2:$A$78,A24,'QA_Images'!$T$2:$T$78)/100,IF(D24="FULL",1,IF(D24="PARTIAL",0.5,IF(D24="FAIL",0,""))))</f>
        <v/>
      </c>
      <c r="F24" s="5">
        <f>IF(E24="",0,C24*E24)</f>
        <v/>
      </c>
      <c r="G24" s="5">
        <f>IF(B24="I1",20*AVERAGEIF('QA_Images'!$A$2:$A$78,A24,'QA_Images'!$U$2:$U$78)/100,IF(D24="NOT_CHECKED",0,C24))</f>
        <v/>
      </c>
      <c r="H24" s="2" t="inlineStr">
        <is>
          <t>Product identity, handle, product ID, URL and canonical match source/live evidence. Product key/handle/product ID/canonical checked against frozen workbook and live product evidence.</t>
        </is>
      </c>
      <c r="I24" s="2" t="inlineStr">
        <is>
          <t>evidence_batch_011_103</t>
        </is>
      </c>
      <c r="J24" s="2" t="inlineStr">
        <is>
          <t>ISSUE-0021; ISSUE-0022; ISSUE-0023; ISSUE-0024</t>
        </is>
      </c>
    </row>
    <row r="25" ht="42" customHeight="1">
      <c r="A25" s="3" t="inlineStr">
        <is>
          <t>jeminise.com+custom-soccer-ball-goal-net-comforter-set-machine-washabl-design-13</t>
        </is>
      </c>
      <c r="B25" s="3" t="inlineStr">
        <is>
          <t>P2</t>
        </is>
      </c>
      <c r="C25" s="3" t="n">
        <v>10</v>
      </c>
      <c r="D25" s="3" t="inlineStr">
        <is>
          <t>FAIL</t>
        </is>
      </c>
      <c r="E25" s="7">
        <f>IF(B25="I1",AVERAGEIF('QA_Images'!$A$2:$A$78,A25,'QA_Images'!$T$2:$T$78)/100,IF(D25="FULL",1,IF(D25="PARTIAL",0.5,IF(D25="FAIL",0,""))))</f>
        <v/>
      </c>
      <c r="F25" s="7">
        <f>IF(E25="",0,C25*E25)</f>
        <v/>
      </c>
      <c r="G25" s="7">
        <f>IF(B25="I1",20*AVERAGEIF('QA_Images'!$A$2:$A$78,A25,'QA_Images'!$U$2:$U$78)/100,IF(D25="NOT_CHECKED",0,C25))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evidence_batch_011_103</t>
        </is>
      </c>
      <c r="J25" s="3" t="inlineStr">
        <is>
          <t>ISSUE-0021; ISSUE-0022; ISSUE-0023; ISSUE-0024</t>
        </is>
      </c>
    </row>
    <row r="26" ht="42" customHeight="1">
      <c r="A26" s="2" t="inlineStr">
        <is>
          <t>jeminise.com+custom-soccer-ball-goal-net-comforter-set-machine-washabl-design-13</t>
        </is>
      </c>
      <c r="B26" s="2" t="inlineStr">
        <is>
          <t>K1</t>
        </is>
      </c>
      <c r="C26" s="2" t="n">
        <v>10</v>
      </c>
      <c r="D26" s="2" t="inlineStr">
        <is>
          <t>PARTIAL</t>
        </is>
      </c>
      <c r="E26" s="5">
        <f>IF(B26="I1",AVERAGEIF('QA_Images'!$A$2:$A$78,A26,'QA_Images'!$T$2:$T$78)/100,IF(D26="FULL",1,IF(D26="PARTIAL",0.5,IF(D26="FAIL",0,""))))</f>
        <v/>
      </c>
      <c r="F26" s="5">
        <f>IF(E26="",0,C26*E26)</f>
        <v/>
      </c>
      <c r="G26" s="5">
        <f>IF(B26="I1",20*AVERAGEIF('QA_Images'!$A$2:$A$78,A26,'QA_Images'!$U$2:$U$78)/100,IF(D26="NOT_CHECKED",0,C26))</f>
        <v/>
      </c>
      <c r="H26" s="2" t="inlineStr">
        <is>
          <t>Primary keyword aligns with product-level US purchase intent. Primary keyword rechecked against US product-level SERP comparables.</t>
        </is>
      </c>
      <c r="I26" s="2" t="inlineStr">
        <is>
          <t>evidence_batch_011_103</t>
        </is>
      </c>
      <c r="J26" s="2" t="inlineStr">
        <is>
          <t>ISSUE-0021; ISSUE-0022; ISSUE-0023; ISSUE-0024</t>
        </is>
      </c>
    </row>
    <row r="27" ht="42" customHeight="1">
      <c r="A27" s="3" t="inlineStr">
        <is>
          <t>jeminise.com+custom-soccer-ball-goal-net-comforter-set-machine-washabl-design-13</t>
        </is>
      </c>
      <c r="B27" s="3" t="inlineStr">
        <is>
          <t>K2</t>
        </is>
      </c>
      <c r="C27" s="3" t="n">
        <v>5</v>
      </c>
      <c r="D27" s="3" t="inlineStr">
        <is>
          <t>PARTIAL</t>
        </is>
      </c>
      <c r="E27" s="7">
        <f>IF(B27="I1",AVERAGEIF('QA_Images'!$A$2:$A$78,A27,'QA_Images'!$T$2:$T$78)/100,IF(D27="FULL",1,IF(D27="PARTIAL",0.5,IF(D27="FAIL",0,""))))</f>
        <v/>
      </c>
      <c r="F27" s="7">
        <f>IF(E27="",0,C27*E27)</f>
        <v/>
      </c>
      <c r="G27" s="7">
        <f>IF(B27="I1",20*AVERAGEIF('QA_Images'!$A$2:$A$78,A27,'QA_Images'!$U$2:$U$78)/100,IF(D27="NOT_CHECKED",0,C27))</f>
        <v/>
      </c>
      <c r="H27" s="3" t="inlineStr">
        <is>
          <t>Intent/cannibalization check distinguishes nearby products. Nearby product cluster has overlap risk, so intent distinction remains only partial.</t>
        </is>
      </c>
      <c r="I27" s="3" t="inlineStr">
        <is>
          <t>evidence_batch_011_103</t>
        </is>
      </c>
      <c r="J27" s="3" t="inlineStr">
        <is>
          <t>ISSUE-0021; ISSUE-0022; ISSUE-0023; ISSUE-0024</t>
        </is>
      </c>
    </row>
    <row r="28" ht="42" customHeight="1">
      <c r="A28" s="2" t="inlineStr">
        <is>
          <t>jeminise.com+custom-soccer-ball-goal-net-comforter-set-machine-washabl-design-13</t>
        </is>
      </c>
      <c r="B28" s="2" t="inlineStr">
        <is>
          <t>K3</t>
        </is>
      </c>
      <c r="C28" s="2" t="n">
        <v>5</v>
      </c>
      <c r="D28" s="2" t="inlineStr">
        <is>
          <t>PARTIAL</t>
        </is>
      </c>
      <c r="E28" s="5">
        <f>IF(B28="I1",AVERAGEIF('QA_Images'!$A$2:$A$78,A28,'QA_Images'!$T$2:$T$78)/100,IF(D28="FULL",1,IF(D28="PARTIAL",0.5,IF(D28="FAIL",0,""))))</f>
        <v/>
      </c>
      <c r="F28" s="5">
        <f>IF(E28="",0,C28*E28)</f>
        <v/>
      </c>
      <c r="G28" s="5">
        <f>IF(B28="I1",20*AVERAGEIF('QA_Images'!$A$2:$A$78,A28,'QA_Images'!$U$2:$U$78)/100,IF(D28="NOT_CHECKED",0,C28))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evidence_batch_011_103</t>
        </is>
      </c>
      <c r="J28" s="2" t="inlineStr">
        <is>
          <t>ISSUE-0021; ISSUE-0022; ISSUE-0023; ISSUE-0024</t>
        </is>
      </c>
    </row>
    <row r="29" ht="42" customHeight="1">
      <c r="A29" s="3" t="inlineStr">
        <is>
          <t>jeminise.com+custom-soccer-ball-goal-net-comforter-set-machine-washabl-design-13</t>
        </is>
      </c>
      <c r="B29" s="3" t="inlineStr">
        <is>
          <t>T1</t>
        </is>
      </c>
      <c r="C29" s="3" t="n">
        <v>10</v>
      </c>
      <c r="D29" s="3" t="inlineStr">
        <is>
          <t>FULL</t>
        </is>
      </c>
      <c r="E29" s="7">
        <f>IF(B29="I1",AVERAGEIF('QA_Images'!$A$2:$A$78,A29,'QA_Images'!$T$2:$T$78)/100,IF(D29="FULL",1,IF(D29="PARTIAL",0.5,IF(D29="FAIL",0,""))))</f>
        <v/>
      </c>
      <c r="F29" s="7">
        <f>IF(E29="",0,C29*E29)</f>
        <v/>
      </c>
      <c r="G29" s="7">
        <f>IF(B29="I1",20*AVERAGEIF('QA_Images'!$A$2:$A$78,A29,'QA_Images'!$U$2:$U$78)/100,IF(D29="NOT_CHECKED",0,C29))</f>
        <v/>
      </c>
      <c r="H29" s="3" t="inlineStr">
        <is>
          <t>SEO title and H1 are relevant, specific and grounded in visible/source facts. Title/H1 are product-specific and tied to visible motif/product type.</t>
        </is>
      </c>
      <c r="I29" s="3" t="inlineStr">
        <is>
          <t>evidence_batch_011_103</t>
        </is>
      </c>
      <c r="J29" s="3" t="inlineStr">
        <is>
          <t>ISSUE-0021; ISSUE-0022; ISSUE-0023; ISSUE-0024</t>
        </is>
      </c>
    </row>
    <row r="30" ht="42" customHeight="1">
      <c r="A30" s="2" t="inlineStr">
        <is>
          <t>jeminise.com+custom-soccer-ball-goal-net-comforter-set-machine-washabl-design-13</t>
        </is>
      </c>
      <c r="B30" s="2" t="inlineStr">
        <is>
          <t>T2</t>
        </is>
      </c>
      <c r="C30" s="2" t="n">
        <v>5</v>
      </c>
      <c r="D30" s="2" t="inlineStr">
        <is>
          <t>FULL</t>
        </is>
      </c>
      <c r="E30" s="5">
        <f>IF(B30="I1",AVERAGEIF('QA_Images'!$A$2:$A$78,A30,'QA_Images'!$T$2:$T$78)/100,IF(D30="FULL",1,IF(D30="PARTIAL",0.5,IF(D30="FAIL",0,""))))</f>
        <v/>
      </c>
      <c r="F30" s="5">
        <f>IF(E30="",0,C30*E30)</f>
        <v/>
      </c>
      <c r="G30" s="5">
        <f>IF(B30="I1",20*AVERAGEIF('QA_Images'!$A$2:$A$78,A30,'QA_Images'!$U$2:$U$78)/100,IF(D30="NOT_CHECKED",0,C30))</f>
        <v/>
      </c>
      <c r="H30" s="2" t="inlineStr">
        <is>
          <t>Meta description is concise, publish-ready and avoids unsupported claims. Meta description checked for length, specificity and supportable claims.</t>
        </is>
      </c>
      <c r="I30" s="2" t="inlineStr">
        <is>
          <t>evidence_batch_011_103</t>
        </is>
      </c>
      <c r="J30" s="2" t="inlineStr">
        <is>
          <t>ISSUE-0021; ISSUE-0022; ISSUE-0023; ISSUE-0024</t>
        </is>
      </c>
    </row>
    <row r="31" ht="42" customHeight="1">
      <c r="A31" s="3" t="inlineStr">
        <is>
          <t>jeminise.com+custom-soccer-ball-goal-net-comforter-set-machine-washabl-design-13</t>
        </is>
      </c>
      <c r="B31" s="3" t="inlineStr">
        <is>
          <t>D1</t>
        </is>
      </c>
      <c r="C31" s="3" t="n">
        <v>10</v>
      </c>
      <c r="D31" s="3" t="inlineStr">
        <is>
          <t>FAIL</t>
        </is>
      </c>
      <c r="E31" s="7">
        <f>IF(B31="I1",AVERAGEIF('QA_Images'!$A$2:$A$78,A31,'QA_Images'!$T$2:$T$78)/100,IF(D31="FULL",1,IF(D31="PARTIAL",0.5,IF(D31="FAIL",0,""))))</f>
        <v/>
      </c>
      <c r="F31" s="7">
        <f>IF(E31="",0,C31*E31)</f>
        <v/>
      </c>
      <c r="G31" s="7">
        <f>IF(B31="I1",20*AVERAGEIF('QA_Images'!$A$2:$A$78,A31,'QA_Images'!$U$2:$U$78)/100,IF(D31="NOT_CHECKED",0,C31))</f>
        <v/>
      </c>
      <c r="H31" s="3" t="inlineStr">
        <is>
          <t>Description HTML is publish-ready and free of internal draft/QA instructions. Description HTML still contains internal QA/import language.</t>
        </is>
      </c>
      <c r="I31" s="3" t="inlineStr">
        <is>
          <t>evidence_batch_011_103</t>
        </is>
      </c>
      <c r="J31" s="3" t="inlineStr">
        <is>
          <t>ISSUE-0021; ISSUE-0022; ISSUE-0023; ISSUE-0024</t>
        </is>
      </c>
    </row>
    <row r="32" ht="42" customHeight="1">
      <c r="A32" s="2" t="inlineStr">
        <is>
          <t>jeminise.com+custom-soccer-ball-goal-net-comforter-set-machine-washabl-design-13</t>
        </is>
      </c>
      <c r="B32" s="2" t="inlineStr">
        <is>
          <t>D2</t>
        </is>
      </c>
      <c r="C32" s="2" t="n">
        <v>5</v>
      </c>
      <c r="D32" s="2" t="inlineStr">
        <is>
          <t>PARTIAL</t>
        </is>
      </c>
      <c r="E32" s="5">
        <f>IF(B32="I1",AVERAGEIF('QA_Images'!$A$2:$A$78,A32,'QA_Images'!$T$2:$T$78)/100,IF(D32="FULL",1,IF(D32="PARTIAL",0.5,IF(D32="FAIL",0,""))))</f>
        <v/>
      </c>
      <c r="F32" s="5">
        <f>IF(E32="",0,C32*E32)</f>
        <v/>
      </c>
      <c r="G32" s="5">
        <f>IF(B32="I1",20*AVERAGEIF('QA_Images'!$A$2:$A$78,A32,'QA_Images'!$U$2:$U$78)/100,IF(D32="NOT_CHECKED",0,C32))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evidence_batch_011_103</t>
        </is>
      </c>
      <c r="J32" s="2" t="inlineStr">
        <is>
          <t>ISSUE-0021; ISSUE-0022; ISSUE-0023; ISSUE-0024</t>
        </is>
      </c>
    </row>
    <row r="33" ht="42" customHeight="1">
      <c r="A33" s="3" t="inlineStr">
        <is>
          <t>jeminise.com+custom-soccer-ball-goal-net-comforter-set-machine-washabl-design-13</t>
        </is>
      </c>
      <c r="B33" s="3" t="inlineStr">
        <is>
          <t>I1</t>
        </is>
      </c>
      <c r="C33" s="3" t="n">
        <v>20</v>
      </c>
      <c r="D33" s="3" t="inlineStr">
        <is>
          <t>FULL</t>
        </is>
      </c>
      <c r="E33" s="7">
        <f>IF(B33="I1",AVERAGEIF('QA_Images'!$A$2:$A$78,A33,'QA_Images'!$T$2:$T$78)/100,IF(D33="FULL",1,IF(D33="PARTIAL",0.5,IF(D33="FAIL",0,""))))</f>
        <v/>
      </c>
      <c r="F33" s="7">
        <f>IF(E33="",0,C33*E33)</f>
        <v/>
      </c>
      <c r="G33" s="7">
        <f>IF(B33="I1",20*AVERAGEIF('QA_Images'!$A$2:$A$78,A33,'QA_Images'!$U$2:$U$78)/100,IF(D33="NOT_CHECKED",0,C33))</f>
        <v/>
      </c>
      <c r="H33" s="3" t="inlineStr">
        <is>
          <t>Image coverage, image observations and alt text quality, derived from QA_Images. Derived from average image QA score; see QA_Images.</t>
        </is>
      </c>
      <c r="I33" s="3" t="inlineStr">
        <is>
          <t>evidence_batch_011_103</t>
        </is>
      </c>
      <c r="J33" s="3" t="inlineStr">
        <is>
          <t>ISSUE-0021; ISSUE-0022; ISSUE-0023; ISSUE-0024</t>
        </is>
      </c>
    </row>
    <row r="34" ht="42" customHeight="1">
      <c r="A34" s="2" t="inlineStr">
        <is>
          <t>jeminise.com+custom-soccer-ball-goal-net-comforter-set-machine-washabl-design-13</t>
        </is>
      </c>
      <c r="B34" s="2" t="inlineStr">
        <is>
          <t>E1</t>
        </is>
      </c>
      <c r="C34" s="2" t="n">
        <v>5</v>
      </c>
      <c r="D34" s="2" t="inlineStr">
        <is>
          <t>PARTIAL</t>
        </is>
      </c>
      <c r="E34" s="5">
        <f>IF(B34="I1",AVERAGEIF('QA_Images'!$A$2:$A$78,A34,'QA_Images'!$T$2:$T$78)/100,IF(D34="FULL",1,IF(D34="PARTIAL",0.5,IF(D34="FAIL",0,""))))</f>
        <v/>
      </c>
      <c r="F34" s="5">
        <f>IF(E34="",0,C34*E34)</f>
        <v/>
      </c>
      <c r="G34" s="5">
        <f>IF(B34="I1",20*AVERAGEIF('QA_Images'!$A$2:$A$78,A34,'QA_Images'!$U$2:$U$78)/100,IF(D34="NOT_CHECKED",0,C34))</f>
        <v/>
      </c>
      <c r="H34" s="2" t="inlineStr">
        <is>
          <t>Evidence chain is traceable and limitations are explicitly separated from failures. Evidence chain is traceable, with admin-export limitation explicitly separated.</t>
        </is>
      </c>
      <c r="I34" s="2" t="inlineStr">
        <is>
          <t>evidence_batch_011_103</t>
        </is>
      </c>
      <c r="J34" s="2" t="inlineStr">
        <is>
          <t>ISSUE-0021; ISSUE-0022; ISSUE-0023; ISSUE-0024</t>
        </is>
      </c>
    </row>
    <row r="35" ht="42" customHeight="1">
      <c r="A35" s="3" t="inlineStr">
        <is>
          <t>jeminise.com+custom-soccer-ball-goal-personalized-bedding-comforter-set-a4</t>
        </is>
      </c>
      <c r="B35" s="3" t="inlineStr">
        <is>
          <t>P1</t>
        </is>
      </c>
      <c r="C35" s="3" t="n">
        <v>15</v>
      </c>
      <c r="D35" s="3" t="inlineStr">
        <is>
          <t>FULL</t>
        </is>
      </c>
      <c r="E35" s="7">
        <f>IF(B35="I1",AVERAGEIF('QA_Images'!$A$2:$A$78,A35,'QA_Images'!$T$2:$T$78)/100,IF(D35="FULL",1,IF(D35="PARTIAL",0.5,IF(D35="FAIL",0,""))))</f>
        <v/>
      </c>
      <c r="F35" s="7">
        <f>IF(E35="",0,C35*E35)</f>
        <v/>
      </c>
      <c r="G35" s="7">
        <f>IF(B35="I1",20*AVERAGEIF('QA_Images'!$A$2:$A$78,A35,'QA_Images'!$U$2:$U$78)/100,IF(D35="NOT_CHECKED",0,C35))</f>
        <v/>
      </c>
      <c r="H35" s="3" t="inlineStr">
        <is>
          <t>Product identity, handle, product ID, URL and canonical match source/live evidence. Product key/handle/product ID/canonical checked against frozen workbook and live product evidence.</t>
        </is>
      </c>
      <c r="I35" s="3" t="inlineStr">
        <is>
          <t>evidence_batch_011_104</t>
        </is>
      </c>
      <c r="J35" s="3" t="inlineStr">
        <is>
          <t>ISSUE-0031; ISSUE-0032; ISSUE-0033; ISSUE-0034; ISSUE-0035</t>
        </is>
      </c>
    </row>
    <row r="36" ht="42" customHeight="1">
      <c r="A36" s="2" t="inlineStr">
        <is>
          <t>jeminise.com+custom-soccer-ball-goal-personalized-bedding-comforter-set-a4</t>
        </is>
      </c>
      <c r="B36" s="2" t="inlineStr">
        <is>
          <t>P2</t>
        </is>
      </c>
      <c r="C36" s="2" t="n">
        <v>10</v>
      </c>
      <c r="D36" s="2" t="inlineStr">
        <is>
          <t>FAIL</t>
        </is>
      </c>
      <c r="E36" s="5">
        <f>IF(B36="I1",AVERAGEIF('QA_Images'!$A$2:$A$78,A36,'QA_Images'!$T$2:$T$78)/100,IF(D36="FULL",1,IF(D36="PARTIAL",0.5,IF(D36="FAIL",0,""))))</f>
        <v/>
      </c>
      <c r="F36" s="5">
        <f>IF(E36="",0,C36*E36)</f>
        <v/>
      </c>
      <c r="G36" s="5">
        <f>IF(B36="I1",20*AVERAGEIF('QA_Images'!$A$2:$A$78,A36,'QA_Images'!$U$2:$U$78)/100,IF(D36="NOT_CHECKED",0,C36))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evidence_batch_011_104</t>
        </is>
      </c>
      <c r="J36" s="2" t="inlineStr">
        <is>
          <t>ISSUE-0031; ISSUE-0032; ISSUE-0033; ISSUE-0034; ISSUE-0035</t>
        </is>
      </c>
    </row>
    <row r="37" ht="42" customHeight="1">
      <c r="A37" s="3" t="inlineStr">
        <is>
          <t>jeminise.com+custom-soccer-ball-goal-personalized-bedding-comforter-set-a4</t>
        </is>
      </c>
      <c r="B37" s="3" t="inlineStr">
        <is>
          <t>K1</t>
        </is>
      </c>
      <c r="C37" s="3" t="n">
        <v>10</v>
      </c>
      <c r="D37" s="3" t="inlineStr">
        <is>
          <t>PARTIAL</t>
        </is>
      </c>
      <c r="E37" s="7">
        <f>IF(B37="I1",AVERAGEIF('QA_Images'!$A$2:$A$78,A37,'QA_Images'!$T$2:$T$78)/100,IF(D37="FULL",1,IF(D37="PARTIAL",0.5,IF(D37="FAIL",0,""))))</f>
        <v/>
      </c>
      <c r="F37" s="7">
        <f>IF(E37="",0,C37*E37)</f>
        <v/>
      </c>
      <c r="G37" s="7">
        <f>IF(B37="I1",20*AVERAGEIF('QA_Images'!$A$2:$A$78,A37,'QA_Images'!$U$2:$U$78)/100,IF(D37="NOT_CHECKED",0,C37))</f>
        <v/>
      </c>
      <c r="H37" s="3" t="inlineStr">
        <is>
          <t>Primary keyword aligns with product-level US purchase intent. Primary keyword rechecked against US product-level SERP comparables.</t>
        </is>
      </c>
      <c r="I37" s="3" t="inlineStr">
        <is>
          <t>evidence_batch_011_104</t>
        </is>
      </c>
      <c r="J37" s="3" t="inlineStr">
        <is>
          <t>ISSUE-0031; ISSUE-0032; ISSUE-0033; ISSUE-0034; ISSUE-0035</t>
        </is>
      </c>
    </row>
    <row r="38" ht="42" customHeight="1">
      <c r="A38" s="2" t="inlineStr">
        <is>
          <t>jeminise.com+custom-soccer-ball-goal-personalized-bedding-comforter-set-a4</t>
        </is>
      </c>
      <c r="B38" s="2" t="inlineStr">
        <is>
          <t>K2</t>
        </is>
      </c>
      <c r="C38" s="2" t="n">
        <v>5</v>
      </c>
      <c r="D38" s="2" t="inlineStr">
        <is>
          <t>PARTIAL</t>
        </is>
      </c>
      <c r="E38" s="5">
        <f>IF(B38="I1",AVERAGEIF('QA_Images'!$A$2:$A$78,A38,'QA_Images'!$T$2:$T$78)/100,IF(D38="FULL",1,IF(D38="PARTIAL",0.5,IF(D38="FAIL",0,""))))</f>
        <v/>
      </c>
      <c r="F38" s="5">
        <f>IF(E38="",0,C38*E38)</f>
        <v/>
      </c>
      <c r="G38" s="5">
        <f>IF(B38="I1",20*AVERAGEIF('QA_Images'!$A$2:$A$78,A38,'QA_Images'!$U$2:$U$78)/100,IF(D38="NOT_CHECKED",0,C38))</f>
        <v/>
      </c>
      <c r="H38" s="2" t="inlineStr">
        <is>
          <t>Intent/cannibalization check distinguishes nearby products. Nearby product cluster has overlap risk, so intent distinction remains only partial.</t>
        </is>
      </c>
      <c r="I38" s="2" t="inlineStr">
        <is>
          <t>evidence_batch_011_104</t>
        </is>
      </c>
      <c r="J38" s="2" t="inlineStr">
        <is>
          <t>ISSUE-0031; ISSUE-0032; ISSUE-0033; ISSUE-0034; ISSUE-0035</t>
        </is>
      </c>
    </row>
    <row r="39" ht="42" customHeight="1">
      <c r="A39" s="3" t="inlineStr">
        <is>
          <t>jeminise.com+custom-soccer-ball-goal-personalized-bedding-comforter-set-a4</t>
        </is>
      </c>
      <c r="B39" s="3" t="inlineStr">
        <is>
          <t>K3</t>
        </is>
      </c>
      <c r="C39" s="3" t="n">
        <v>5</v>
      </c>
      <c r="D39" s="3" t="inlineStr">
        <is>
          <t>PARTIAL</t>
        </is>
      </c>
      <c r="E39" s="7">
        <f>IF(B39="I1",AVERAGEIF('QA_Images'!$A$2:$A$78,A39,'QA_Images'!$T$2:$T$78)/100,IF(D39="FULL",1,IF(D39="PARTIAL",0.5,IF(D39="FAIL",0,""))))</f>
        <v/>
      </c>
      <c r="F39" s="7">
        <f>IF(E39="",0,C39*E39)</f>
        <v/>
      </c>
      <c r="G39" s="7">
        <f>IF(B39="I1",20*AVERAGEIF('QA_Images'!$A$2:$A$78,A39,'QA_Images'!$U$2:$U$78)/100,IF(D39="NOT_CHECKED",0,C39))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evidence_batch_011_104</t>
        </is>
      </c>
      <c r="J39" s="3" t="inlineStr">
        <is>
          <t>ISSUE-0031; ISSUE-0032; ISSUE-0033; ISSUE-0034; ISSUE-0035</t>
        </is>
      </c>
    </row>
    <row r="40" ht="42" customHeight="1">
      <c r="A40" s="2" t="inlineStr">
        <is>
          <t>jeminise.com+custom-soccer-ball-goal-personalized-bedding-comforter-set-a4</t>
        </is>
      </c>
      <c r="B40" s="2" t="inlineStr">
        <is>
          <t>T1</t>
        </is>
      </c>
      <c r="C40" s="2" t="n">
        <v>10</v>
      </c>
      <c r="D40" s="2" t="inlineStr">
        <is>
          <t>FULL</t>
        </is>
      </c>
      <c r="E40" s="5">
        <f>IF(B40="I1",AVERAGEIF('QA_Images'!$A$2:$A$78,A40,'QA_Images'!$T$2:$T$78)/100,IF(D40="FULL",1,IF(D40="PARTIAL",0.5,IF(D40="FAIL",0,""))))</f>
        <v/>
      </c>
      <c r="F40" s="5">
        <f>IF(E40="",0,C40*E40)</f>
        <v/>
      </c>
      <c r="G40" s="5">
        <f>IF(B40="I1",20*AVERAGEIF('QA_Images'!$A$2:$A$78,A40,'QA_Images'!$U$2:$U$78)/100,IF(D40="NOT_CHECKED",0,C40))</f>
        <v/>
      </c>
      <c r="H40" s="2" t="inlineStr">
        <is>
          <t>SEO title and H1 are relevant, specific and grounded in visible/source facts. Title/H1 are product-specific and tied to visible motif/product type.</t>
        </is>
      </c>
      <c r="I40" s="2" t="inlineStr">
        <is>
          <t>evidence_batch_011_104</t>
        </is>
      </c>
      <c r="J40" s="2" t="inlineStr">
        <is>
          <t>ISSUE-0031; ISSUE-0032; ISSUE-0033; ISSUE-0034; ISSUE-0035</t>
        </is>
      </c>
    </row>
    <row r="41" ht="42" customHeight="1">
      <c r="A41" s="3" t="inlineStr">
        <is>
          <t>jeminise.com+custom-soccer-ball-goal-personalized-bedding-comforter-set-a4</t>
        </is>
      </c>
      <c r="B41" s="3" t="inlineStr">
        <is>
          <t>T2</t>
        </is>
      </c>
      <c r="C41" s="3" t="n">
        <v>5</v>
      </c>
      <c r="D41" s="3" t="inlineStr">
        <is>
          <t>PARTIAL</t>
        </is>
      </c>
      <c r="E41" s="7">
        <f>IF(B41="I1",AVERAGEIF('QA_Images'!$A$2:$A$78,A41,'QA_Images'!$T$2:$T$78)/100,IF(D41="FULL",1,IF(D41="PARTIAL",0.5,IF(D41="FAIL",0,""))))</f>
        <v/>
      </c>
      <c r="F41" s="7">
        <f>IF(E41="",0,C41*E41)</f>
        <v/>
      </c>
      <c r="G41" s="7">
        <f>IF(B41="I1",20*AVERAGEIF('QA_Images'!$A$2:$A$78,A41,'QA_Images'!$U$2:$U$78)/100,IF(D41="NOT_CHECKED",0,C41))</f>
        <v/>
      </c>
      <c r="H41" s="3" t="inlineStr">
        <is>
          <t>Meta description is concise, publish-ready and avoids unsupported claims. Meta description checked for length, specificity and supportable claims.</t>
        </is>
      </c>
      <c r="I41" s="3" t="inlineStr">
        <is>
          <t>evidence_batch_011_104</t>
        </is>
      </c>
      <c r="J41" s="3" t="inlineStr">
        <is>
          <t>ISSUE-0031; ISSUE-0032; ISSUE-0033; ISSUE-0034; ISSUE-0035</t>
        </is>
      </c>
    </row>
    <row r="42" ht="42" customHeight="1">
      <c r="A42" s="2" t="inlineStr">
        <is>
          <t>jeminise.com+custom-soccer-ball-goal-personalized-bedding-comforter-set-a4</t>
        </is>
      </c>
      <c r="B42" s="2" t="inlineStr">
        <is>
          <t>D1</t>
        </is>
      </c>
      <c r="C42" s="2" t="n">
        <v>10</v>
      </c>
      <c r="D42" s="2" t="inlineStr">
        <is>
          <t>FAIL</t>
        </is>
      </c>
      <c r="E42" s="5">
        <f>IF(B42="I1",AVERAGEIF('QA_Images'!$A$2:$A$78,A42,'QA_Images'!$T$2:$T$78)/100,IF(D42="FULL",1,IF(D42="PARTIAL",0.5,IF(D42="FAIL",0,""))))</f>
        <v/>
      </c>
      <c r="F42" s="5">
        <f>IF(E42="",0,C42*E42)</f>
        <v/>
      </c>
      <c r="G42" s="5">
        <f>IF(B42="I1",20*AVERAGEIF('QA_Images'!$A$2:$A$78,A42,'QA_Images'!$U$2:$U$78)/100,IF(D42="NOT_CHECKED",0,C42))</f>
        <v/>
      </c>
      <c r="H42" s="2" t="inlineStr">
        <is>
          <t>Description HTML is publish-ready and free of internal draft/QA instructions. Description HTML still contains internal QA/import language.</t>
        </is>
      </c>
      <c r="I42" s="2" t="inlineStr">
        <is>
          <t>evidence_batch_011_104</t>
        </is>
      </c>
      <c r="J42" s="2" t="inlineStr">
        <is>
          <t>ISSUE-0031; ISSUE-0032; ISSUE-0033; ISSUE-0034; ISSUE-0035</t>
        </is>
      </c>
    </row>
    <row r="43" ht="42" customHeight="1">
      <c r="A43" s="3" t="inlineStr">
        <is>
          <t>jeminise.com+custom-soccer-ball-goal-personalized-bedding-comforter-set-a4</t>
        </is>
      </c>
      <c r="B43" s="3" t="inlineStr">
        <is>
          <t>D2</t>
        </is>
      </c>
      <c r="C43" s="3" t="n">
        <v>5</v>
      </c>
      <c r="D43" s="3" t="inlineStr">
        <is>
          <t>PARTIAL</t>
        </is>
      </c>
      <c r="E43" s="7">
        <f>IF(B43="I1",AVERAGEIF('QA_Images'!$A$2:$A$78,A43,'QA_Images'!$T$2:$T$78)/100,IF(D43="FULL",1,IF(D43="PARTIAL",0.5,IF(D43="FAIL",0,""))))</f>
        <v/>
      </c>
      <c r="F43" s="7">
        <f>IF(E43="",0,C43*E43)</f>
        <v/>
      </c>
      <c r="G43" s="7">
        <f>IF(B43="I1",20*AVERAGEIF('QA_Images'!$A$2:$A$78,A43,'QA_Images'!$U$2:$U$78)/100,IF(D43="NOT_CHECKED",0,C43))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evidence_batch_011_104</t>
        </is>
      </c>
      <c r="J43" s="3" t="inlineStr">
        <is>
          <t>ISSUE-0031; ISSUE-0032; ISSUE-0033; ISSUE-0034; ISSUE-0035</t>
        </is>
      </c>
    </row>
    <row r="44" ht="42" customHeight="1">
      <c r="A44" s="2" t="inlineStr">
        <is>
          <t>jeminise.com+custom-soccer-ball-goal-personalized-bedding-comforter-set-a4</t>
        </is>
      </c>
      <c r="B44" s="2" t="inlineStr">
        <is>
          <t>I1</t>
        </is>
      </c>
      <c r="C44" s="2" t="n">
        <v>20</v>
      </c>
      <c r="D44" s="2" t="inlineStr">
        <is>
          <t>FULL</t>
        </is>
      </c>
      <c r="E44" s="5">
        <f>IF(B44="I1",AVERAGEIF('QA_Images'!$A$2:$A$78,A44,'QA_Images'!$T$2:$T$78)/100,IF(D44="FULL",1,IF(D44="PARTIAL",0.5,IF(D44="FAIL",0,""))))</f>
        <v/>
      </c>
      <c r="F44" s="5">
        <f>IF(E44="",0,C44*E44)</f>
        <v/>
      </c>
      <c r="G44" s="5">
        <f>IF(B44="I1",20*AVERAGEIF('QA_Images'!$A$2:$A$78,A44,'QA_Images'!$U$2:$U$78)/100,IF(D44="NOT_CHECKED",0,C44))</f>
        <v/>
      </c>
      <c r="H44" s="2" t="inlineStr">
        <is>
          <t>Image coverage, image observations and alt text quality, derived from QA_Images. Derived from average image QA score; see QA_Images.</t>
        </is>
      </c>
      <c r="I44" s="2" t="inlineStr">
        <is>
          <t>evidence_batch_011_104</t>
        </is>
      </c>
      <c r="J44" s="2" t="inlineStr">
        <is>
          <t>ISSUE-0031; ISSUE-0032; ISSUE-0033; ISSUE-0034; ISSUE-0035</t>
        </is>
      </c>
    </row>
    <row r="45" ht="42" customHeight="1">
      <c r="A45" s="3" t="inlineStr">
        <is>
          <t>jeminise.com+custom-soccer-ball-goal-personalized-bedding-comforter-set-a4</t>
        </is>
      </c>
      <c r="B45" s="3" t="inlineStr">
        <is>
          <t>E1</t>
        </is>
      </c>
      <c r="C45" s="3" t="n">
        <v>5</v>
      </c>
      <c r="D45" s="3" t="inlineStr">
        <is>
          <t>PARTIAL</t>
        </is>
      </c>
      <c r="E45" s="7">
        <f>IF(B45="I1",AVERAGEIF('QA_Images'!$A$2:$A$78,A45,'QA_Images'!$T$2:$T$78)/100,IF(D45="FULL",1,IF(D45="PARTIAL",0.5,IF(D45="FAIL",0,""))))</f>
        <v/>
      </c>
      <c r="F45" s="7">
        <f>IF(E45="",0,C45*E45)</f>
        <v/>
      </c>
      <c r="G45" s="7">
        <f>IF(B45="I1",20*AVERAGEIF('QA_Images'!$A$2:$A$78,A45,'QA_Images'!$U$2:$U$78)/100,IF(D45="NOT_CHECKED",0,C45))</f>
        <v/>
      </c>
      <c r="H45" s="3" t="inlineStr">
        <is>
          <t>Evidence chain is traceable and limitations are explicitly separated from failures. Evidence chain is traceable, with admin-export limitation explicitly separated.</t>
        </is>
      </c>
      <c r="I45" s="3" t="inlineStr">
        <is>
          <t>evidence_batch_011_104</t>
        </is>
      </c>
      <c r="J45" s="3" t="inlineStr">
        <is>
          <t>ISSUE-0031; ISSUE-0032; ISSUE-0033; ISSUE-0034; ISSUE-0035</t>
        </is>
      </c>
    </row>
    <row r="46" ht="42" customHeight="1">
      <c r="A46" s="2" t="inlineStr">
        <is>
          <t>jeminise.com+custom-soccer-ball-net-comforter-set-machine-washable-a2</t>
        </is>
      </c>
      <c r="B46" s="2" t="inlineStr">
        <is>
          <t>P1</t>
        </is>
      </c>
      <c r="C46" s="2" t="n">
        <v>15</v>
      </c>
      <c r="D46" s="2" t="inlineStr">
        <is>
          <t>FULL</t>
        </is>
      </c>
      <c r="E46" s="5">
        <f>IF(B46="I1",AVERAGEIF('QA_Images'!$A$2:$A$78,A46,'QA_Images'!$T$2:$T$78)/100,IF(D46="FULL",1,IF(D46="PARTIAL",0.5,IF(D46="FAIL",0,""))))</f>
        <v/>
      </c>
      <c r="F46" s="5">
        <f>IF(E46="",0,C46*E46)</f>
        <v/>
      </c>
      <c r="G46" s="5">
        <f>IF(B46="I1",20*AVERAGEIF('QA_Images'!$A$2:$A$78,A46,'QA_Images'!$U$2:$U$78)/100,IF(D46="NOT_CHECKED",0,C46))</f>
        <v/>
      </c>
      <c r="H46" s="2" t="inlineStr">
        <is>
          <t>Product identity, handle, product ID, URL and canonical match source/live evidence. Product key/handle/product ID/canonical checked against frozen workbook and live product evidence.</t>
        </is>
      </c>
      <c r="I46" s="2" t="inlineStr">
        <is>
          <t>evidence_batch_011_105</t>
        </is>
      </c>
      <c r="J46" s="2" t="inlineStr">
        <is>
          <t>ISSUE-0041; ISSUE-0042; ISSUE-0043; ISSUE-0044; ISSUE-0045</t>
        </is>
      </c>
    </row>
    <row r="47" ht="42" customHeight="1">
      <c r="A47" s="3" t="inlineStr">
        <is>
          <t>jeminise.com+custom-soccer-ball-net-comforter-set-machine-washable-a2</t>
        </is>
      </c>
      <c r="B47" s="3" t="inlineStr">
        <is>
          <t>P2</t>
        </is>
      </c>
      <c r="C47" s="3" t="n">
        <v>10</v>
      </c>
      <c r="D47" s="3" t="inlineStr">
        <is>
          <t>FAIL</t>
        </is>
      </c>
      <c r="E47" s="7">
        <f>IF(B47="I1",AVERAGEIF('QA_Images'!$A$2:$A$78,A47,'QA_Images'!$T$2:$T$78)/100,IF(D47="FULL",1,IF(D47="PARTIAL",0.5,IF(D47="FAIL",0,""))))</f>
        <v/>
      </c>
      <c r="F47" s="7">
        <f>IF(E47="",0,C47*E47)</f>
        <v/>
      </c>
      <c r="G47" s="7">
        <f>IF(B47="I1",20*AVERAGEIF('QA_Images'!$A$2:$A$78,A47,'QA_Images'!$U$2:$U$78)/100,IF(D47="NOT_CHECKED",0,C47))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evidence_batch_011_105</t>
        </is>
      </c>
      <c r="J47" s="3" t="inlineStr">
        <is>
          <t>ISSUE-0041; ISSUE-0042; ISSUE-0043; ISSUE-0044; ISSUE-0045</t>
        </is>
      </c>
    </row>
    <row r="48" ht="42" customHeight="1">
      <c r="A48" s="2" t="inlineStr">
        <is>
          <t>jeminise.com+custom-soccer-ball-net-comforter-set-machine-washable-a2</t>
        </is>
      </c>
      <c r="B48" s="2" t="inlineStr">
        <is>
          <t>K1</t>
        </is>
      </c>
      <c r="C48" s="2" t="n">
        <v>10</v>
      </c>
      <c r="D48" s="2" t="inlineStr">
        <is>
          <t>PARTIAL</t>
        </is>
      </c>
      <c r="E48" s="5">
        <f>IF(B48="I1",AVERAGEIF('QA_Images'!$A$2:$A$78,A48,'QA_Images'!$T$2:$T$78)/100,IF(D48="FULL",1,IF(D48="PARTIAL",0.5,IF(D48="FAIL",0,""))))</f>
        <v/>
      </c>
      <c r="F48" s="5">
        <f>IF(E48="",0,C48*E48)</f>
        <v/>
      </c>
      <c r="G48" s="5">
        <f>IF(B48="I1",20*AVERAGEIF('QA_Images'!$A$2:$A$78,A48,'QA_Images'!$U$2:$U$78)/100,IF(D48="NOT_CHECKED",0,C48))</f>
        <v/>
      </c>
      <c r="H48" s="2" t="inlineStr">
        <is>
          <t>Primary keyword aligns with product-level US purchase intent. Primary keyword rechecked against US product-level SERP comparables.</t>
        </is>
      </c>
      <c r="I48" s="2" t="inlineStr">
        <is>
          <t>evidence_batch_011_105</t>
        </is>
      </c>
      <c r="J48" s="2" t="inlineStr">
        <is>
          <t>ISSUE-0041; ISSUE-0042; ISSUE-0043; ISSUE-0044; ISSUE-0045</t>
        </is>
      </c>
    </row>
    <row r="49" ht="42" customHeight="1">
      <c r="A49" s="3" t="inlineStr">
        <is>
          <t>jeminise.com+custom-soccer-ball-net-comforter-set-machine-washable-a2</t>
        </is>
      </c>
      <c r="B49" s="3" t="inlineStr">
        <is>
          <t>K2</t>
        </is>
      </c>
      <c r="C49" s="3" t="n">
        <v>5</v>
      </c>
      <c r="D49" s="3" t="inlineStr">
        <is>
          <t>PARTIAL</t>
        </is>
      </c>
      <c r="E49" s="7">
        <f>IF(B49="I1",AVERAGEIF('QA_Images'!$A$2:$A$78,A49,'QA_Images'!$T$2:$T$78)/100,IF(D49="FULL",1,IF(D49="PARTIAL",0.5,IF(D49="FAIL",0,""))))</f>
        <v/>
      </c>
      <c r="F49" s="7">
        <f>IF(E49="",0,C49*E49)</f>
        <v/>
      </c>
      <c r="G49" s="7">
        <f>IF(B49="I1",20*AVERAGEIF('QA_Images'!$A$2:$A$78,A49,'QA_Images'!$U$2:$U$78)/100,IF(D49="NOT_CHECKED",0,C49))</f>
        <v/>
      </c>
      <c r="H49" s="3" t="inlineStr">
        <is>
          <t>Intent/cannibalization check distinguishes nearby products. Nearby product cluster has overlap risk, so intent distinction remains only partial.</t>
        </is>
      </c>
      <c r="I49" s="3" t="inlineStr">
        <is>
          <t>evidence_batch_011_105</t>
        </is>
      </c>
      <c r="J49" s="3" t="inlineStr">
        <is>
          <t>ISSUE-0041; ISSUE-0042; ISSUE-0043; ISSUE-0044; ISSUE-0045</t>
        </is>
      </c>
    </row>
    <row r="50" ht="42" customHeight="1">
      <c r="A50" s="2" t="inlineStr">
        <is>
          <t>jeminise.com+custom-soccer-ball-net-comforter-set-machine-washable-a2</t>
        </is>
      </c>
      <c r="B50" s="2" t="inlineStr">
        <is>
          <t>K3</t>
        </is>
      </c>
      <c r="C50" s="2" t="n">
        <v>5</v>
      </c>
      <c r="D50" s="2" t="inlineStr">
        <is>
          <t>PARTIAL</t>
        </is>
      </c>
      <c r="E50" s="5">
        <f>IF(B50="I1",AVERAGEIF('QA_Images'!$A$2:$A$78,A50,'QA_Images'!$T$2:$T$78)/100,IF(D50="FULL",1,IF(D50="PARTIAL",0.5,IF(D50="FAIL",0,""))))</f>
        <v/>
      </c>
      <c r="F50" s="5">
        <f>IF(E50="",0,C50*E50)</f>
        <v/>
      </c>
      <c r="G50" s="5">
        <f>IF(B50="I1",20*AVERAGEIF('QA_Images'!$A$2:$A$78,A50,'QA_Images'!$U$2:$U$78)/100,IF(D50="NOT_CHECKED",0,C50))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evidence_batch_011_105</t>
        </is>
      </c>
      <c r="J50" s="2" t="inlineStr">
        <is>
          <t>ISSUE-0041; ISSUE-0042; ISSUE-0043; ISSUE-0044; ISSUE-0045</t>
        </is>
      </c>
    </row>
    <row r="51" ht="42" customHeight="1">
      <c r="A51" s="3" t="inlineStr">
        <is>
          <t>jeminise.com+custom-soccer-ball-net-comforter-set-machine-washable-a2</t>
        </is>
      </c>
      <c r="B51" s="3" t="inlineStr">
        <is>
          <t>T1</t>
        </is>
      </c>
      <c r="C51" s="3" t="n">
        <v>10</v>
      </c>
      <c r="D51" s="3" t="inlineStr">
        <is>
          <t>FULL</t>
        </is>
      </c>
      <c r="E51" s="7">
        <f>IF(B51="I1",AVERAGEIF('QA_Images'!$A$2:$A$78,A51,'QA_Images'!$T$2:$T$78)/100,IF(D51="FULL",1,IF(D51="PARTIAL",0.5,IF(D51="FAIL",0,""))))</f>
        <v/>
      </c>
      <c r="F51" s="7">
        <f>IF(E51="",0,C51*E51)</f>
        <v/>
      </c>
      <c r="G51" s="7">
        <f>IF(B51="I1",20*AVERAGEIF('QA_Images'!$A$2:$A$78,A51,'QA_Images'!$U$2:$U$78)/100,IF(D51="NOT_CHECKED",0,C51))</f>
        <v/>
      </c>
      <c r="H51" s="3" t="inlineStr">
        <is>
          <t>SEO title and H1 are relevant, specific and grounded in visible/source facts. Title/H1 are product-specific and tied to visible motif/product type.</t>
        </is>
      </c>
      <c r="I51" s="3" t="inlineStr">
        <is>
          <t>evidence_batch_011_105</t>
        </is>
      </c>
      <c r="J51" s="3" t="inlineStr">
        <is>
          <t>ISSUE-0041; ISSUE-0042; ISSUE-0043; ISSUE-0044; ISSUE-0045</t>
        </is>
      </c>
    </row>
    <row r="52" ht="42" customHeight="1">
      <c r="A52" s="2" t="inlineStr">
        <is>
          <t>jeminise.com+custom-soccer-ball-net-comforter-set-machine-washable-a2</t>
        </is>
      </c>
      <c r="B52" s="2" t="inlineStr">
        <is>
          <t>T2</t>
        </is>
      </c>
      <c r="C52" s="2" t="n">
        <v>5</v>
      </c>
      <c r="D52" s="2" t="inlineStr">
        <is>
          <t>PARTIAL</t>
        </is>
      </c>
      <c r="E52" s="5">
        <f>IF(B52="I1",AVERAGEIF('QA_Images'!$A$2:$A$78,A52,'QA_Images'!$T$2:$T$78)/100,IF(D52="FULL",1,IF(D52="PARTIAL",0.5,IF(D52="FAIL",0,""))))</f>
        <v/>
      </c>
      <c r="F52" s="5">
        <f>IF(E52="",0,C52*E52)</f>
        <v/>
      </c>
      <c r="G52" s="5">
        <f>IF(B52="I1",20*AVERAGEIF('QA_Images'!$A$2:$A$78,A52,'QA_Images'!$U$2:$U$78)/100,IF(D52="NOT_CHECKED",0,C52))</f>
        <v/>
      </c>
      <c r="H52" s="2" t="inlineStr">
        <is>
          <t>Meta description is concise, publish-ready and avoids unsupported claims. Meta description checked for length, specificity and supportable claims.</t>
        </is>
      </c>
      <c r="I52" s="2" t="inlineStr">
        <is>
          <t>evidence_batch_011_105</t>
        </is>
      </c>
      <c r="J52" s="2" t="inlineStr">
        <is>
          <t>ISSUE-0041; ISSUE-0042; ISSUE-0043; ISSUE-0044; ISSUE-0045</t>
        </is>
      </c>
    </row>
    <row r="53" ht="42" customHeight="1">
      <c r="A53" s="3" t="inlineStr">
        <is>
          <t>jeminise.com+custom-soccer-ball-net-comforter-set-machine-washable-a2</t>
        </is>
      </c>
      <c r="B53" s="3" t="inlineStr">
        <is>
          <t>D1</t>
        </is>
      </c>
      <c r="C53" s="3" t="n">
        <v>10</v>
      </c>
      <c r="D53" s="3" t="inlineStr">
        <is>
          <t>FAIL</t>
        </is>
      </c>
      <c r="E53" s="7">
        <f>IF(B53="I1",AVERAGEIF('QA_Images'!$A$2:$A$78,A53,'QA_Images'!$T$2:$T$78)/100,IF(D53="FULL",1,IF(D53="PARTIAL",0.5,IF(D53="FAIL",0,""))))</f>
        <v/>
      </c>
      <c r="F53" s="7">
        <f>IF(E53="",0,C53*E53)</f>
        <v/>
      </c>
      <c r="G53" s="7">
        <f>IF(B53="I1",20*AVERAGEIF('QA_Images'!$A$2:$A$78,A53,'QA_Images'!$U$2:$U$78)/100,IF(D53="NOT_CHECKED",0,C53))</f>
        <v/>
      </c>
      <c r="H53" s="3" t="inlineStr">
        <is>
          <t>Description HTML is publish-ready and free of internal draft/QA instructions. Description HTML still contains internal QA/import language.</t>
        </is>
      </c>
      <c r="I53" s="3" t="inlineStr">
        <is>
          <t>evidence_batch_011_105</t>
        </is>
      </c>
      <c r="J53" s="3" t="inlineStr">
        <is>
          <t>ISSUE-0041; ISSUE-0042; ISSUE-0043; ISSUE-0044; ISSUE-0045</t>
        </is>
      </c>
    </row>
    <row r="54" ht="42" customHeight="1">
      <c r="A54" s="2" t="inlineStr">
        <is>
          <t>jeminise.com+custom-soccer-ball-net-comforter-set-machine-washable-a2</t>
        </is>
      </c>
      <c r="B54" s="2" t="inlineStr">
        <is>
          <t>D2</t>
        </is>
      </c>
      <c r="C54" s="2" t="n">
        <v>5</v>
      </c>
      <c r="D54" s="2" t="inlineStr">
        <is>
          <t>PARTIAL</t>
        </is>
      </c>
      <c r="E54" s="5">
        <f>IF(B54="I1",AVERAGEIF('QA_Images'!$A$2:$A$78,A54,'QA_Images'!$T$2:$T$78)/100,IF(D54="FULL",1,IF(D54="PARTIAL",0.5,IF(D54="FAIL",0,""))))</f>
        <v/>
      </c>
      <c r="F54" s="5">
        <f>IF(E54="",0,C54*E54)</f>
        <v/>
      </c>
      <c r="G54" s="5">
        <f>IF(B54="I1",20*AVERAGEIF('QA_Images'!$A$2:$A$78,A54,'QA_Images'!$U$2:$U$78)/100,IF(D54="NOT_CHECKED",0,C54))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evidence_batch_011_105</t>
        </is>
      </c>
      <c r="J54" s="2" t="inlineStr">
        <is>
          <t>ISSUE-0041; ISSUE-0042; ISSUE-0043; ISSUE-0044; ISSUE-0045</t>
        </is>
      </c>
    </row>
    <row r="55" ht="42" customHeight="1">
      <c r="A55" s="3" t="inlineStr">
        <is>
          <t>jeminise.com+custom-soccer-ball-net-comforter-set-machine-washable-a2</t>
        </is>
      </c>
      <c r="B55" s="3" t="inlineStr">
        <is>
          <t>I1</t>
        </is>
      </c>
      <c r="C55" s="3" t="n">
        <v>20</v>
      </c>
      <c r="D55" s="3" t="inlineStr">
        <is>
          <t>FULL</t>
        </is>
      </c>
      <c r="E55" s="7">
        <f>IF(B55="I1",AVERAGEIF('QA_Images'!$A$2:$A$78,A55,'QA_Images'!$T$2:$T$78)/100,IF(D55="FULL",1,IF(D55="PARTIAL",0.5,IF(D55="FAIL",0,""))))</f>
        <v/>
      </c>
      <c r="F55" s="7">
        <f>IF(E55="",0,C55*E55)</f>
        <v/>
      </c>
      <c r="G55" s="7">
        <f>IF(B55="I1",20*AVERAGEIF('QA_Images'!$A$2:$A$78,A55,'QA_Images'!$U$2:$U$78)/100,IF(D55="NOT_CHECKED",0,C55))</f>
        <v/>
      </c>
      <c r="H55" s="3" t="inlineStr">
        <is>
          <t>Image coverage, image observations and alt text quality, derived from QA_Images. Derived from average image QA score; see QA_Images.</t>
        </is>
      </c>
      <c r="I55" s="3" t="inlineStr">
        <is>
          <t>evidence_batch_011_105</t>
        </is>
      </c>
      <c r="J55" s="3" t="inlineStr">
        <is>
          <t>ISSUE-0041; ISSUE-0042; ISSUE-0043; ISSUE-0044; ISSUE-0045</t>
        </is>
      </c>
    </row>
    <row r="56" ht="42" customHeight="1">
      <c r="A56" s="2" t="inlineStr">
        <is>
          <t>jeminise.com+custom-soccer-ball-net-comforter-set-machine-washable-a2</t>
        </is>
      </c>
      <c r="B56" s="2" t="inlineStr">
        <is>
          <t>E1</t>
        </is>
      </c>
      <c r="C56" s="2" t="n">
        <v>5</v>
      </c>
      <c r="D56" s="2" t="inlineStr">
        <is>
          <t>PARTIAL</t>
        </is>
      </c>
      <c r="E56" s="5">
        <f>IF(B56="I1",AVERAGEIF('QA_Images'!$A$2:$A$78,A56,'QA_Images'!$T$2:$T$78)/100,IF(D56="FULL",1,IF(D56="PARTIAL",0.5,IF(D56="FAIL",0,""))))</f>
        <v/>
      </c>
      <c r="F56" s="5">
        <f>IF(E56="",0,C56*E56)</f>
        <v/>
      </c>
      <c r="G56" s="5">
        <f>IF(B56="I1",20*AVERAGEIF('QA_Images'!$A$2:$A$78,A56,'QA_Images'!$U$2:$U$78)/100,IF(D56="NOT_CHECKED",0,C56))</f>
        <v/>
      </c>
      <c r="H56" s="2" t="inlineStr">
        <is>
          <t>Evidence chain is traceable and limitations are explicitly separated from failures. Evidence chain is traceable, with admin-export limitation explicitly separated.</t>
        </is>
      </c>
      <c r="I56" s="2" t="inlineStr">
        <is>
          <t>evidence_batch_011_105</t>
        </is>
      </c>
      <c r="J56" s="2" t="inlineStr">
        <is>
          <t>ISSUE-0041; ISSUE-0042; ISSUE-0043; ISSUE-0044; ISSUE-0045</t>
        </is>
      </c>
    </row>
    <row r="57" ht="42" customHeight="1">
      <c r="A57" s="3" t="inlineStr">
        <is>
          <t>jeminise.com+custom-soccer-ball-water-splashes-comforter-set-machine-washable</t>
        </is>
      </c>
      <c r="B57" s="3" t="inlineStr">
        <is>
          <t>P1</t>
        </is>
      </c>
      <c r="C57" s="3" t="n">
        <v>15</v>
      </c>
      <c r="D57" s="3" t="inlineStr">
        <is>
          <t>FULL</t>
        </is>
      </c>
      <c r="E57" s="7">
        <f>IF(B57="I1",AVERAGEIF('QA_Images'!$A$2:$A$78,A57,'QA_Images'!$T$2:$T$78)/100,IF(D57="FULL",1,IF(D57="PARTIAL",0.5,IF(D57="FAIL",0,""))))</f>
        <v/>
      </c>
      <c r="F57" s="7">
        <f>IF(E57="",0,C57*E57)</f>
        <v/>
      </c>
      <c r="G57" s="7">
        <f>IF(B57="I1",20*AVERAGEIF('QA_Images'!$A$2:$A$78,A57,'QA_Images'!$U$2:$U$78)/100,IF(D57="NOT_CHECKED",0,C57))</f>
        <v/>
      </c>
      <c r="H57" s="3" t="inlineStr">
        <is>
          <t>Product identity, handle, product ID, URL and canonical match source/live evidence. Product key/handle/product ID/canonical checked against frozen workbook and live product evidence.</t>
        </is>
      </c>
      <c r="I57" s="3" t="inlineStr">
        <is>
          <t>evidence_batch_011_106</t>
        </is>
      </c>
      <c r="J57" s="3" t="inlineStr">
        <is>
          <t>ISSUE-0052; ISSUE-0053; ISSUE-0054; ISSUE-0055</t>
        </is>
      </c>
    </row>
    <row r="58" ht="42" customHeight="1">
      <c r="A58" s="2" t="inlineStr">
        <is>
          <t>jeminise.com+custom-soccer-ball-water-splashes-comforter-set-machine-washable</t>
        </is>
      </c>
      <c r="B58" s="2" t="inlineStr">
        <is>
          <t>P2</t>
        </is>
      </c>
      <c r="C58" s="2" t="n">
        <v>10</v>
      </c>
      <c r="D58" s="2" t="inlineStr">
        <is>
          <t>FAIL</t>
        </is>
      </c>
      <c r="E58" s="5">
        <f>IF(B58="I1",AVERAGEIF('QA_Images'!$A$2:$A$78,A58,'QA_Images'!$T$2:$T$78)/100,IF(D58="FULL",1,IF(D58="PARTIAL",0.5,IF(D58="FAIL",0,""))))</f>
        <v/>
      </c>
      <c r="F58" s="5">
        <f>IF(E58="",0,C58*E58)</f>
        <v/>
      </c>
      <c r="G58" s="5">
        <f>IF(B58="I1",20*AVERAGEIF('QA_Images'!$A$2:$A$78,A58,'QA_Images'!$U$2:$U$78)/100,IF(D58="NOT_CHECKED",0,C58))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evidence_batch_011_106</t>
        </is>
      </c>
      <c r="J58" s="2" t="inlineStr">
        <is>
          <t>ISSUE-0052; ISSUE-0053; ISSUE-0054; ISSUE-0055</t>
        </is>
      </c>
    </row>
    <row r="59" ht="42" customHeight="1">
      <c r="A59" s="3" t="inlineStr">
        <is>
          <t>jeminise.com+custom-soccer-ball-water-splashes-comforter-set-machine-washable</t>
        </is>
      </c>
      <c r="B59" s="3" t="inlineStr">
        <is>
          <t>K1</t>
        </is>
      </c>
      <c r="C59" s="3" t="n">
        <v>10</v>
      </c>
      <c r="D59" s="3" t="inlineStr">
        <is>
          <t>PARTIAL</t>
        </is>
      </c>
      <c r="E59" s="7">
        <f>IF(B59="I1",AVERAGEIF('QA_Images'!$A$2:$A$78,A59,'QA_Images'!$T$2:$T$78)/100,IF(D59="FULL",1,IF(D59="PARTIAL",0.5,IF(D59="FAIL",0,""))))</f>
        <v/>
      </c>
      <c r="F59" s="7">
        <f>IF(E59="",0,C59*E59)</f>
        <v/>
      </c>
      <c r="G59" s="7">
        <f>IF(B59="I1",20*AVERAGEIF('QA_Images'!$A$2:$A$78,A59,'QA_Images'!$U$2:$U$78)/100,IF(D59="NOT_CHECKED",0,C59))</f>
        <v/>
      </c>
      <c r="H59" s="3" t="inlineStr">
        <is>
          <t>Primary keyword aligns with product-level US purchase intent. Primary keyword rechecked against US product-level SERP comparables.</t>
        </is>
      </c>
      <c r="I59" s="3" t="inlineStr">
        <is>
          <t>evidence_batch_011_106</t>
        </is>
      </c>
      <c r="J59" s="3" t="inlineStr">
        <is>
          <t>ISSUE-0052; ISSUE-0053; ISSUE-0054; ISSUE-0055</t>
        </is>
      </c>
    </row>
    <row r="60" ht="42" customHeight="1">
      <c r="A60" s="2" t="inlineStr">
        <is>
          <t>jeminise.com+custom-soccer-ball-water-splashes-comforter-set-machine-washable</t>
        </is>
      </c>
      <c r="B60" s="2" t="inlineStr">
        <is>
          <t>K2</t>
        </is>
      </c>
      <c r="C60" s="2" t="n">
        <v>5</v>
      </c>
      <c r="D60" s="2" t="inlineStr">
        <is>
          <t>PARTIAL</t>
        </is>
      </c>
      <c r="E60" s="5">
        <f>IF(B60="I1",AVERAGEIF('QA_Images'!$A$2:$A$78,A60,'QA_Images'!$T$2:$T$78)/100,IF(D60="FULL",1,IF(D60="PARTIAL",0.5,IF(D60="FAIL",0,""))))</f>
        <v/>
      </c>
      <c r="F60" s="5">
        <f>IF(E60="",0,C60*E60)</f>
        <v/>
      </c>
      <c r="G60" s="5">
        <f>IF(B60="I1",20*AVERAGEIF('QA_Images'!$A$2:$A$78,A60,'QA_Images'!$U$2:$U$78)/100,IF(D60="NOT_CHECKED",0,C60))</f>
        <v/>
      </c>
      <c r="H60" s="2" t="inlineStr">
        <is>
          <t>Intent/cannibalization check distinguishes nearby products. Nearby product cluster has overlap risk, so intent distinction remains only partial.</t>
        </is>
      </c>
      <c r="I60" s="2" t="inlineStr">
        <is>
          <t>evidence_batch_011_106</t>
        </is>
      </c>
      <c r="J60" s="2" t="inlineStr">
        <is>
          <t>ISSUE-0052; ISSUE-0053; ISSUE-0054; ISSUE-0055</t>
        </is>
      </c>
    </row>
    <row r="61" ht="42" customHeight="1">
      <c r="A61" s="3" t="inlineStr">
        <is>
          <t>jeminise.com+custom-soccer-ball-water-splashes-comforter-set-machine-washable</t>
        </is>
      </c>
      <c r="B61" s="3" t="inlineStr">
        <is>
          <t>K3</t>
        </is>
      </c>
      <c r="C61" s="3" t="n">
        <v>5</v>
      </c>
      <c r="D61" s="3" t="inlineStr">
        <is>
          <t>PARTIAL</t>
        </is>
      </c>
      <c r="E61" s="7">
        <f>IF(B61="I1",AVERAGEIF('QA_Images'!$A$2:$A$78,A61,'QA_Images'!$T$2:$T$78)/100,IF(D61="FULL",1,IF(D61="PARTIAL",0.5,IF(D61="FAIL",0,""))))</f>
        <v/>
      </c>
      <c r="F61" s="7">
        <f>IF(E61="",0,C61*E61)</f>
        <v/>
      </c>
      <c r="G61" s="7">
        <f>IF(B61="I1",20*AVERAGEIF('QA_Images'!$A$2:$A$78,A61,'QA_Images'!$U$2:$U$78)/100,IF(D61="NOT_CHECKED",0,C61))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evidence_batch_011_106</t>
        </is>
      </c>
      <c r="J61" s="3" t="inlineStr">
        <is>
          <t>ISSUE-0052; ISSUE-0053; ISSUE-0054; ISSUE-0055</t>
        </is>
      </c>
    </row>
    <row r="62" ht="42" customHeight="1">
      <c r="A62" s="2" t="inlineStr">
        <is>
          <t>jeminise.com+custom-soccer-ball-water-splashes-comforter-set-machine-washable</t>
        </is>
      </c>
      <c r="B62" s="2" t="inlineStr">
        <is>
          <t>T1</t>
        </is>
      </c>
      <c r="C62" s="2" t="n">
        <v>10</v>
      </c>
      <c r="D62" s="2" t="inlineStr">
        <is>
          <t>FULL</t>
        </is>
      </c>
      <c r="E62" s="5">
        <f>IF(B62="I1",AVERAGEIF('QA_Images'!$A$2:$A$78,A62,'QA_Images'!$T$2:$T$78)/100,IF(D62="FULL",1,IF(D62="PARTIAL",0.5,IF(D62="FAIL",0,""))))</f>
        <v/>
      </c>
      <c r="F62" s="5">
        <f>IF(E62="",0,C62*E62)</f>
        <v/>
      </c>
      <c r="G62" s="5">
        <f>IF(B62="I1",20*AVERAGEIF('QA_Images'!$A$2:$A$78,A62,'QA_Images'!$U$2:$U$78)/100,IF(D62="NOT_CHECKED",0,C62))</f>
        <v/>
      </c>
      <c r="H62" s="2" t="inlineStr">
        <is>
          <t>SEO title and H1 are relevant, specific and grounded in visible/source facts. Title/H1 are product-specific and tied to visible motif/product type.</t>
        </is>
      </c>
      <c r="I62" s="2" t="inlineStr">
        <is>
          <t>evidence_batch_011_106</t>
        </is>
      </c>
      <c r="J62" s="2" t="inlineStr">
        <is>
          <t>ISSUE-0052; ISSUE-0053; ISSUE-0054; ISSUE-0055</t>
        </is>
      </c>
    </row>
    <row r="63" ht="42" customHeight="1">
      <c r="A63" s="3" t="inlineStr">
        <is>
          <t>jeminise.com+custom-soccer-ball-water-splashes-comforter-set-machine-washable</t>
        </is>
      </c>
      <c r="B63" s="3" t="inlineStr">
        <is>
          <t>T2</t>
        </is>
      </c>
      <c r="C63" s="3" t="n">
        <v>5</v>
      </c>
      <c r="D63" s="3" t="inlineStr">
        <is>
          <t>FULL</t>
        </is>
      </c>
      <c r="E63" s="7">
        <f>IF(B63="I1",AVERAGEIF('QA_Images'!$A$2:$A$78,A63,'QA_Images'!$T$2:$T$78)/100,IF(D63="FULL",1,IF(D63="PARTIAL",0.5,IF(D63="FAIL",0,""))))</f>
        <v/>
      </c>
      <c r="F63" s="7">
        <f>IF(E63="",0,C63*E63)</f>
        <v/>
      </c>
      <c r="G63" s="7">
        <f>IF(B63="I1",20*AVERAGEIF('QA_Images'!$A$2:$A$78,A63,'QA_Images'!$U$2:$U$78)/100,IF(D63="NOT_CHECKED",0,C63))</f>
        <v/>
      </c>
      <c r="H63" s="3" t="inlineStr">
        <is>
          <t>Meta description is concise, publish-ready and avoids unsupported claims. Meta description checked for length, specificity and supportable claims.</t>
        </is>
      </c>
      <c r="I63" s="3" t="inlineStr">
        <is>
          <t>evidence_batch_011_106</t>
        </is>
      </c>
      <c r="J63" s="3" t="inlineStr">
        <is>
          <t>ISSUE-0052; ISSUE-0053; ISSUE-0054; ISSUE-0055</t>
        </is>
      </c>
    </row>
    <row r="64" ht="42" customHeight="1">
      <c r="A64" s="2" t="inlineStr">
        <is>
          <t>jeminise.com+custom-soccer-ball-water-splashes-comforter-set-machine-washable</t>
        </is>
      </c>
      <c r="B64" s="2" t="inlineStr">
        <is>
          <t>D1</t>
        </is>
      </c>
      <c r="C64" s="2" t="n">
        <v>10</v>
      </c>
      <c r="D64" s="2" t="inlineStr">
        <is>
          <t>FAIL</t>
        </is>
      </c>
      <c r="E64" s="5">
        <f>IF(B64="I1",AVERAGEIF('QA_Images'!$A$2:$A$78,A64,'QA_Images'!$T$2:$T$78)/100,IF(D64="FULL",1,IF(D64="PARTIAL",0.5,IF(D64="FAIL",0,""))))</f>
        <v/>
      </c>
      <c r="F64" s="5">
        <f>IF(E64="",0,C64*E64)</f>
        <v/>
      </c>
      <c r="G64" s="5">
        <f>IF(B64="I1",20*AVERAGEIF('QA_Images'!$A$2:$A$78,A64,'QA_Images'!$U$2:$U$78)/100,IF(D64="NOT_CHECKED",0,C64))</f>
        <v/>
      </c>
      <c r="H64" s="2" t="inlineStr">
        <is>
          <t>Description HTML is publish-ready and free of internal draft/QA instructions. Description HTML still contains internal QA/import language.</t>
        </is>
      </c>
      <c r="I64" s="2" t="inlineStr">
        <is>
          <t>evidence_batch_011_106</t>
        </is>
      </c>
      <c r="J64" s="2" t="inlineStr">
        <is>
          <t>ISSUE-0052; ISSUE-0053; ISSUE-0054; ISSUE-0055</t>
        </is>
      </c>
    </row>
    <row r="65" ht="42" customHeight="1">
      <c r="A65" s="3" t="inlineStr">
        <is>
          <t>jeminise.com+custom-soccer-ball-water-splashes-comforter-set-machine-washable</t>
        </is>
      </c>
      <c r="B65" s="3" t="inlineStr">
        <is>
          <t>D2</t>
        </is>
      </c>
      <c r="C65" s="3" t="n">
        <v>5</v>
      </c>
      <c r="D65" s="3" t="inlineStr">
        <is>
          <t>PARTIAL</t>
        </is>
      </c>
      <c r="E65" s="7">
        <f>IF(B65="I1",AVERAGEIF('QA_Images'!$A$2:$A$78,A65,'QA_Images'!$T$2:$T$78)/100,IF(D65="FULL",1,IF(D65="PARTIAL",0.5,IF(D65="FAIL",0,""))))</f>
        <v/>
      </c>
      <c r="F65" s="7">
        <f>IF(E65="",0,C65*E65)</f>
        <v/>
      </c>
      <c r="G65" s="7">
        <f>IF(B65="I1",20*AVERAGEIF('QA_Images'!$A$2:$A$78,A65,'QA_Images'!$U$2:$U$78)/100,IF(D65="NOT_CHECKED",0,C65))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evidence_batch_011_106</t>
        </is>
      </c>
      <c r="J65" s="3" t="inlineStr">
        <is>
          <t>ISSUE-0052; ISSUE-0053; ISSUE-0054; ISSUE-0055</t>
        </is>
      </c>
    </row>
    <row r="66" ht="42" customHeight="1">
      <c r="A66" s="2" t="inlineStr">
        <is>
          <t>jeminise.com+custom-soccer-ball-water-splashes-comforter-set-machine-washable</t>
        </is>
      </c>
      <c r="B66" s="2" t="inlineStr">
        <is>
          <t>I1</t>
        </is>
      </c>
      <c r="C66" s="2" t="n">
        <v>20</v>
      </c>
      <c r="D66" s="2" t="inlineStr">
        <is>
          <t>FULL</t>
        </is>
      </c>
      <c r="E66" s="5">
        <f>IF(B66="I1",AVERAGEIF('QA_Images'!$A$2:$A$78,A66,'QA_Images'!$T$2:$T$78)/100,IF(D66="FULL",1,IF(D66="PARTIAL",0.5,IF(D66="FAIL",0,""))))</f>
        <v/>
      </c>
      <c r="F66" s="5">
        <f>IF(E66="",0,C66*E66)</f>
        <v/>
      </c>
      <c r="G66" s="5">
        <f>IF(B66="I1",20*AVERAGEIF('QA_Images'!$A$2:$A$78,A66,'QA_Images'!$U$2:$U$78)/100,IF(D66="NOT_CHECKED",0,C66))</f>
        <v/>
      </c>
      <c r="H66" s="2" t="inlineStr">
        <is>
          <t>Image coverage, image observations and alt text quality, derived from QA_Images. Derived from average image QA score; see QA_Images.</t>
        </is>
      </c>
      <c r="I66" s="2" t="inlineStr">
        <is>
          <t>evidence_batch_011_106</t>
        </is>
      </c>
      <c r="J66" s="2" t="inlineStr">
        <is>
          <t>ISSUE-0052; ISSUE-0053; ISSUE-0054; ISSUE-0055</t>
        </is>
      </c>
    </row>
    <row r="67" ht="42" customHeight="1">
      <c r="A67" s="3" t="inlineStr">
        <is>
          <t>jeminise.com+custom-soccer-ball-water-splashes-comforter-set-machine-washable</t>
        </is>
      </c>
      <c r="B67" s="3" t="inlineStr">
        <is>
          <t>E1</t>
        </is>
      </c>
      <c r="C67" s="3" t="n">
        <v>5</v>
      </c>
      <c r="D67" s="3" t="inlineStr">
        <is>
          <t>PARTIAL</t>
        </is>
      </c>
      <c r="E67" s="7">
        <f>IF(B67="I1",AVERAGEIF('QA_Images'!$A$2:$A$78,A67,'QA_Images'!$T$2:$T$78)/100,IF(D67="FULL",1,IF(D67="PARTIAL",0.5,IF(D67="FAIL",0,""))))</f>
        <v/>
      </c>
      <c r="F67" s="7">
        <f>IF(E67="",0,C67*E67)</f>
        <v/>
      </c>
      <c r="G67" s="7">
        <f>IF(B67="I1",20*AVERAGEIF('QA_Images'!$A$2:$A$78,A67,'QA_Images'!$U$2:$U$78)/100,IF(D67="NOT_CHECKED",0,C67))</f>
        <v/>
      </c>
      <c r="H67" s="3" t="inlineStr">
        <is>
          <t>Evidence chain is traceable and limitations are explicitly separated from failures. Evidence chain is traceable, with admin-export limitation explicitly separated.</t>
        </is>
      </c>
      <c r="I67" s="3" t="inlineStr">
        <is>
          <t>evidence_batch_011_106</t>
        </is>
      </c>
      <c r="J67" s="3" t="inlineStr">
        <is>
          <t>ISSUE-0052; ISSUE-0053; ISSUE-0054; ISSUE-0055</t>
        </is>
      </c>
    </row>
    <row r="68" ht="42" customHeight="1">
      <c r="A68" s="2" t="inlineStr">
        <is>
          <t>jeminise.com+custom-soccer-ball-with-lightning-splash-comforter-set-a11</t>
        </is>
      </c>
      <c r="B68" s="2" t="inlineStr">
        <is>
          <t>P1</t>
        </is>
      </c>
      <c r="C68" s="2" t="n">
        <v>15</v>
      </c>
      <c r="D68" s="2" t="inlineStr">
        <is>
          <t>FULL</t>
        </is>
      </c>
      <c r="E68" s="5">
        <f>IF(B68="I1",AVERAGEIF('QA_Images'!$A$2:$A$78,A68,'QA_Images'!$T$2:$T$78)/100,IF(D68="FULL",1,IF(D68="PARTIAL",0.5,IF(D68="FAIL",0,""))))</f>
        <v/>
      </c>
      <c r="F68" s="5">
        <f>IF(E68="",0,C68*E68)</f>
        <v/>
      </c>
      <c r="G68" s="5">
        <f>IF(B68="I1",20*AVERAGEIF('QA_Images'!$A$2:$A$78,A68,'QA_Images'!$U$2:$U$78)/100,IF(D68="NOT_CHECKED",0,C68))</f>
        <v/>
      </c>
      <c r="H68" s="2" t="inlineStr">
        <is>
          <t>Product identity, handle, product ID, URL and canonical match source/live evidence. Product key/handle/product ID/canonical checked against frozen workbook and live product evidence.</t>
        </is>
      </c>
      <c r="I68" s="2" t="inlineStr">
        <is>
          <t>evidence_batch_011_107</t>
        </is>
      </c>
      <c r="J68" s="2" t="inlineStr">
        <is>
          <t>ISSUE-0062; ISSUE-0063; ISSUE-0064; ISSUE-0065; ISSUE-0066</t>
        </is>
      </c>
    </row>
    <row r="69" ht="42" customHeight="1">
      <c r="A69" s="3" t="inlineStr">
        <is>
          <t>jeminise.com+custom-soccer-ball-with-lightning-splash-comforter-set-a11</t>
        </is>
      </c>
      <c r="B69" s="3" t="inlineStr">
        <is>
          <t>P2</t>
        </is>
      </c>
      <c r="C69" s="3" t="n">
        <v>10</v>
      </c>
      <c r="D69" s="3" t="inlineStr">
        <is>
          <t>FAIL</t>
        </is>
      </c>
      <c r="E69" s="7">
        <f>IF(B69="I1",AVERAGEIF('QA_Images'!$A$2:$A$78,A69,'QA_Images'!$T$2:$T$78)/100,IF(D69="FULL",1,IF(D69="PARTIAL",0.5,IF(D69="FAIL",0,""))))</f>
        <v/>
      </c>
      <c r="F69" s="7">
        <f>IF(E69="",0,C69*E69)</f>
        <v/>
      </c>
      <c r="G69" s="7">
        <f>IF(B69="I1",20*AVERAGEIF('QA_Images'!$A$2:$A$78,A69,'QA_Images'!$U$2:$U$78)/100,IF(D69="NOT_CHECKED",0,C69))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evidence_batch_011_107</t>
        </is>
      </c>
      <c r="J69" s="3" t="inlineStr">
        <is>
          <t>ISSUE-0062; ISSUE-0063; ISSUE-0064; ISSUE-0065; ISSUE-0066</t>
        </is>
      </c>
    </row>
    <row r="70" ht="42" customHeight="1">
      <c r="A70" s="2" t="inlineStr">
        <is>
          <t>jeminise.com+custom-soccer-ball-with-lightning-splash-comforter-set-a11</t>
        </is>
      </c>
      <c r="B70" s="2" t="inlineStr">
        <is>
          <t>K1</t>
        </is>
      </c>
      <c r="C70" s="2" t="n">
        <v>10</v>
      </c>
      <c r="D70" s="2" t="inlineStr">
        <is>
          <t>PARTIAL</t>
        </is>
      </c>
      <c r="E70" s="5">
        <f>IF(B70="I1",AVERAGEIF('QA_Images'!$A$2:$A$78,A70,'QA_Images'!$T$2:$T$78)/100,IF(D70="FULL",1,IF(D70="PARTIAL",0.5,IF(D70="FAIL",0,""))))</f>
        <v/>
      </c>
      <c r="F70" s="5">
        <f>IF(E70="",0,C70*E70)</f>
        <v/>
      </c>
      <c r="G70" s="5">
        <f>IF(B70="I1",20*AVERAGEIF('QA_Images'!$A$2:$A$78,A70,'QA_Images'!$U$2:$U$78)/100,IF(D70="NOT_CHECKED",0,C70))</f>
        <v/>
      </c>
      <c r="H70" s="2" t="inlineStr">
        <is>
          <t>Primary keyword aligns with product-level US purchase intent. Primary keyword rechecked against US product-level SERP comparables.</t>
        </is>
      </c>
      <c r="I70" s="2" t="inlineStr">
        <is>
          <t>evidence_batch_011_107</t>
        </is>
      </c>
      <c r="J70" s="2" t="inlineStr">
        <is>
          <t>ISSUE-0062; ISSUE-0063; ISSUE-0064; ISSUE-0065; ISSUE-0066</t>
        </is>
      </c>
    </row>
    <row r="71" ht="42" customHeight="1">
      <c r="A71" s="3" t="inlineStr">
        <is>
          <t>jeminise.com+custom-soccer-ball-with-lightning-splash-comforter-set-a11</t>
        </is>
      </c>
      <c r="B71" s="3" t="inlineStr">
        <is>
          <t>K2</t>
        </is>
      </c>
      <c r="C71" s="3" t="n">
        <v>5</v>
      </c>
      <c r="D71" s="3" t="inlineStr">
        <is>
          <t>PARTIAL</t>
        </is>
      </c>
      <c r="E71" s="7">
        <f>IF(B71="I1",AVERAGEIF('QA_Images'!$A$2:$A$78,A71,'QA_Images'!$T$2:$T$78)/100,IF(D71="FULL",1,IF(D71="PARTIAL",0.5,IF(D71="FAIL",0,""))))</f>
        <v/>
      </c>
      <c r="F71" s="7">
        <f>IF(E71="",0,C71*E71)</f>
        <v/>
      </c>
      <c r="G71" s="7">
        <f>IF(B71="I1",20*AVERAGEIF('QA_Images'!$A$2:$A$78,A71,'QA_Images'!$U$2:$U$78)/100,IF(D71="NOT_CHECKED",0,C71))</f>
        <v/>
      </c>
      <c r="H71" s="3" t="inlineStr">
        <is>
          <t>Intent/cannibalization check distinguishes nearby products. Nearby product cluster has overlap risk, so intent distinction remains only partial.</t>
        </is>
      </c>
      <c r="I71" s="3" t="inlineStr">
        <is>
          <t>evidence_batch_011_107</t>
        </is>
      </c>
      <c r="J71" s="3" t="inlineStr">
        <is>
          <t>ISSUE-0062; ISSUE-0063; ISSUE-0064; ISSUE-0065; ISSUE-0066</t>
        </is>
      </c>
    </row>
    <row r="72" ht="42" customHeight="1">
      <c r="A72" s="2" t="inlineStr">
        <is>
          <t>jeminise.com+custom-soccer-ball-with-lightning-splash-comforter-set-a11</t>
        </is>
      </c>
      <c r="B72" s="2" t="inlineStr">
        <is>
          <t>K3</t>
        </is>
      </c>
      <c r="C72" s="2" t="n">
        <v>5</v>
      </c>
      <c r="D72" s="2" t="inlineStr">
        <is>
          <t>PARTIAL</t>
        </is>
      </c>
      <c r="E72" s="5">
        <f>IF(B72="I1",AVERAGEIF('QA_Images'!$A$2:$A$78,A72,'QA_Images'!$T$2:$T$78)/100,IF(D72="FULL",1,IF(D72="PARTIAL",0.5,IF(D72="FAIL",0,""))))</f>
        <v/>
      </c>
      <c r="F72" s="5">
        <f>IF(E72="",0,C72*E72)</f>
        <v/>
      </c>
      <c r="G72" s="5">
        <f>IF(B72="I1",20*AVERAGEIF('QA_Images'!$A$2:$A$78,A72,'QA_Images'!$U$2:$U$78)/100,IF(D72="NOT_CHECKED",0,C72))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evidence_batch_011_107</t>
        </is>
      </c>
      <c r="J72" s="2" t="inlineStr">
        <is>
          <t>ISSUE-0062; ISSUE-0063; ISSUE-0064; ISSUE-0065; ISSUE-0066</t>
        </is>
      </c>
    </row>
    <row r="73" ht="42" customHeight="1">
      <c r="A73" s="3" t="inlineStr">
        <is>
          <t>jeminise.com+custom-soccer-ball-with-lightning-splash-comforter-set-a11</t>
        </is>
      </c>
      <c r="B73" s="3" t="inlineStr">
        <is>
          <t>T1</t>
        </is>
      </c>
      <c r="C73" s="3" t="n">
        <v>10</v>
      </c>
      <c r="D73" s="3" t="inlineStr">
        <is>
          <t>FULL</t>
        </is>
      </c>
      <c r="E73" s="7">
        <f>IF(B73="I1",AVERAGEIF('QA_Images'!$A$2:$A$78,A73,'QA_Images'!$T$2:$T$78)/100,IF(D73="FULL",1,IF(D73="PARTIAL",0.5,IF(D73="FAIL",0,""))))</f>
        <v/>
      </c>
      <c r="F73" s="7">
        <f>IF(E73="",0,C73*E73)</f>
        <v/>
      </c>
      <c r="G73" s="7">
        <f>IF(B73="I1",20*AVERAGEIF('QA_Images'!$A$2:$A$78,A73,'QA_Images'!$U$2:$U$78)/100,IF(D73="NOT_CHECKED",0,C73))</f>
        <v/>
      </c>
      <c r="H73" s="3" t="inlineStr">
        <is>
          <t>SEO title and H1 are relevant, specific and grounded in visible/source facts. Title/H1 are product-specific and tied to visible motif/product type.</t>
        </is>
      </c>
      <c r="I73" s="3" t="inlineStr">
        <is>
          <t>evidence_batch_011_107</t>
        </is>
      </c>
      <c r="J73" s="3" t="inlineStr">
        <is>
          <t>ISSUE-0062; ISSUE-0063; ISSUE-0064; ISSUE-0065; ISSUE-0066</t>
        </is>
      </c>
    </row>
    <row r="74" ht="42" customHeight="1">
      <c r="A74" s="2" t="inlineStr">
        <is>
          <t>jeminise.com+custom-soccer-ball-with-lightning-splash-comforter-set-a11</t>
        </is>
      </c>
      <c r="B74" s="2" t="inlineStr">
        <is>
          <t>T2</t>
        </is>
      </c>
      <c r="C74" s="2" t="n">
        <v>5</v>
      </c>
      <c r="D74" s="2" t="inlineStr">
        <is>
          <t>PARTIAL</t>
        </is>
      </c>
      <c r="E74" s="5">
        <f>IF(B74="I1",AVERAGEIF('QA_Images'!$A$2:$A$78,A74,'QA_Images'!$T$2:$T$78)/100,IF(D74="FULL",1,IF(D74="PARTIAL",0.5,IF(D74="FAIL",0,""))))</f>
        <v/>
      </c>
      <c r="F74" s="5">
        <f>IF(E74="",0,C74*E74)</f>
        <v/>
      </c>
      <c r="G74" s="5">
        <f>IF(B74="I1",20*AVERAGEIF('QA_Images'!$A$2:$A$78,A74,'QA_Images'!$U$2:$U$78)/100,IF(D74="NOT_CHECKED",0,C74))</f>
        <v/>
      </c>
      <c r="H74" s="2" t="inlineStr">
        <is>
          <t>Meta description is concise, publish-ready and avoids unsupported claims. Meta description checked for length, specificity and supportable claims.</t>
        </is>
      </c>
      <c r="I74" s="2" t="inlineStr">
        <is>
          <t>evidence_batch_011_107</t>
        </is>
      </c>
      <c r="J74" s="2" t="inlineStr">
        <is>
          <t>ISSUE-0062; ISSUE-0063; ISSUE-0064; ISSUE-0065; ISSUE-0066</t>
        </is>
      </c>
    </row>
    <row r="75" ht="42" customHeight="1">
      <c r="A75" s="3" t="inlineStr">
        <is>
          <t>jeminise.com+custom-soccer-ball-with-lightning-splash-comforter-set-a11</t>
        </is>
      </c>
      <c r="B75" s="3" t="inlineStr">
        <is>
          <t>D1</t>
        </is>
      </c>
      <c r="C75" s="3" t="n">
        <v>10</v>
      </c>
      <c r="D75" s="3" t="inlineStr">
        <is>
          <t>FAIL</t>
        </is>
      </c>
      <c r="E75" s="7">
        <f>IF(B75="I1",AVERAGEIF('QA_Images'!$A$2:$A$78,A75,'QA_Images'!$T$2:$T$78)/100,IF(D75="FULL",1,IF(D75="PARTIAL",0.5,IF(D75="FAIL",0,""))))</f>
        <v/>
      </c>
      <c r="F75" s="7">
        <f>IF(E75="",0,C75*E75)</f>
        <v/>
      </c>
      <c r="G75" s="7">
        <f>IF(B75="I1",20*AVERAGEIF('QA_Images'!$A$2:$A$78,A75,'QA_Images'!$U$2:$U$78)/100,IF(D75="NOT_CHECKED",0,C75))</f>
        <v/>
      </c>
      <c r="H75" s="3" t="inlineStr">
        <is>
          <t>Description HTML is publish-ready and free of internal draft/QA instructions. Description HTML still contains internal QA/import language.</t>
        </is>
      </c>
      <c r="I75" s="3" t="inlineStr">
        <is>
          <t>evidence_batch_011_107</t>
        </is>
      </c>
      <c r="J75" s="3" t="inlineStr">
        <is>
          <t>ISSUE-0062; ISSUE-0063; ISSUE-0064; ISSUE-0065; ISSUE-0066</t>
        </is>
      </c>
    </row>
    <row r="76" ht="42" customHeight="1">
      <c r="A76" s="2" t="inlineStr">
        <is>
          <t>jeminise.com+custom-soccer-ball-with-lightning-splash-comforter-set-a11</t>
        </is>
      </c>
      <c r="B76" s="2" t="inlineStr">
        <is>
          <t>D2</t>
        </is>
      </c>
      <c r="C76" s="2" t="n">
        <v>5</v>
      </c>
      <c r="D76" s="2" t="inlineStr">
        <is>
          <t>PARTIAL</t>
        </is>
      </c>
      <c r="E76" s="5">
        <f>IF(B76="I1",AVERAGEIF('QA_Images'!$A$2:$A$78,A76,'QA_Images'!$T$2:$T$78)/100,IF(D76="FULL",1,IF(D76="PARTIAL",0.5,IF(D76="FAIL",0,""))))</f>
        <v/>
      </c>
      <c r="F76" s="5">
        <f>IF(E76="",0,C76*E76)</f>
        <v/>
      </c>
      <c r="G76" s="5">
        <f>IF(B76="I1",20*AVERAGEIF('QA_Images'!$A$2:$A$78,A76,'QA_Images'!$U$2:$U$78)/100,IF(D76="NOT_CHECKED",0,C76))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evidence_batch_011_107</t>
        </is>
      </c>
      <c r="J76" s="2" t="inlineStr">
        <is>
          <t>ISSUE-0062; ISSUE-0063; ISSUE-0064; ISSUE-0065; ISSUE-0066</t>
        </is>
      </c>
    </row>
    <row r="77" ht="42" customHeight="1">
      <c r="A77" s="3" t="inlineStr">
        <is>
          <t>jeminise.com+custom-soccer-ball-with-lightning-splash-comforter-set-a11</t>
        </is>
      </c>
      <c r="B77" s="3" t="inlineStr">
        <is>
          <t>I1</t>
        </is>
      </c>
      <c r="C77" s="3" t="n">
        <v>20</v>
      </c>
      <c r="D77" s="3" t="inlineStr">
        <is>
          <t>FULL</t>
        </is>
      </c>
      <c r="E77" s="7">
        <f>IF(B77="I1",AVERAGEIF('QA_Images'!$A$2:$A$78,A77,'QA_Images'!$T$2:$T$78)/100,IF(D77="FULL",1,IF(D77="PARTIAL",0.5,IF(D77="FAIL",0,""))))</f>
        <v/>
      </c>
      <c r="F77" s="7">
        <f>IF(E77="",0,C77*E77)</f>
        <v/>
      </c>
      <c r="G77" s="7">
        <f>IF(B77="I1",20*AVERAGEIF('QA_Images'!$A$2:$A$78,A77,'QA_Images'!$U$2:$U$78)/100,IF(D77="NOT_CHECKED",0,C77))</f>
        <v/>
      </c>
      <c r="H77" s="3" t="inlineStr">
        <is>
          <t>Image coverage, image observations and alt text quality, derived from QA_Images. Derived from average image QA score; see QA_Images.</t>
        </is>
      </c>
      <c r="I77" s="3" t="inlineStr">
        <is>
          <t>evidence_batch_011_107</t>
        </is>
      </c>
      <c r="J77" s="3" t="inlineStr">
        <is>
          <t>ISSUE-0062; ISSUE-0063; ISSUE-0064; ISSUE-0065; ISSUE-0066</t>
        </is>
      </c>
    </row>
    <row r="78" ht="42" customHeight="1">
      <c r="A78" s="2" t="inlineStr">
        <is>
          <t>jeminise.com+custom-soccer-ball-with-lightning-splash-comforter-set-a11</t>
        </is>
      </c>
      <c r="B78" s="2" t="inlineStr">
        <is>
          <t>E1</t>
        </is>
      </c>
      <c r="C78" s="2" t="n">
        <v>5</v>
      </c>
      <c r="D78" s="2" t="inlineStr">
        <is>
          <t>PARTIAL</t>
        </is>
      </c>
      <c r="E78" s="5">
        <f>IF(B78="I1",AVERAGEIF('QA_Images'!$A$2:$A$78,A78,'QA_Images'!$T$2:$T$78)/100,IF(D78="FULL",1,IF(D78="PARTIAL",0.5,IF(D78="FAIL",0,""))))</f>
        <v/>
      </c>
      <c r="F78" s="5">
        <f>IF(E78="",0,C78*E78)</f>
        <v/>
      </c>
      <c r="G78" s="5">
        <f>IF(B78="I1",20*AVERAGEIF('QA_Images'!$A$2:$A$78,A78,'QA_Images'!$U$2:$U$78)/100,IF(D78="NOT_CHECKED",0,C78))</f>
        <v/>
      </c>
      <c r="H78" s="2" t="inlineStr">
        <is>
          <t>Evidence chain is traceable and limitations are explicitly separated from failures. Evidence chain is traceable, with admin-export limitation explicitly separated.</t>
        </is>
      </c>
      <c r="I78" s="2" t="inlineStr">
        <is>
          <t>evidence_batch_011_107</t>
        </is>
      </c>
      <c r="J78" s="2" t="inlineStr">
        <is>
          <t>ISSUE-0062; ISSUE-0063; ISSUE-0064; ISSUE-0065; ISSUE-0066</t>
        </is>
      </c>
    </row>
    <row r="79" ht="42" customHeight="1">
      <c r="A79" s="3" t="inlineStr">
        <is>
          <t>jeminise.com+custom-soccer-ball-with-number-07-comforter-set-machine-w-design-17</t>
        </is>
      </c>
      <c r="B79" s="3" t="inlineStr">
        <is>
          <t>P1</t>
        </is>
      </c>
      <c r="C79" s="3" t="n">
        <v>15</v>
      </c>
      <c r="D79" s="3" t="inlineStr">
        <is>
          <t>FULL</t>
        </is>
      </c>
      <c r="E79" s="7">
        <f>IF(B79="I1",AVERAGEIF('QA_Images'!$A$2:$A$78,A79,'QA_Images'!$T$2:$T$78)/100,IF(D79="FULL",1,IF(D79="PARTIAL",0.5,IF(D79="FAIL",0,""))))</f>
        <v/>
      </c>
      <c r="F79" s="7">
        <f>IF(E79="",0,C79*E79)</f>
        <v/>
      </c>
      <c r="G79" s="7">
        <f>IF(B79="I1",20*AVERAGEIF('QA_Images'!$A$2:$A$78,A79,'QA_Images'!$U$2:$U$78)/100,IF(D79="NOT_CHECKED",0,C79))</f>
        <v/>
      </c>
      <c r="H79" s="3" t="inlineStr">
        <is>
          <t>Product identity, handle, product ID, URL and canonical match source/live evidence. Product key/handle/product ID/canonical checked against frozen workbook and live product evidence.</t>
        </is>
      </c>
      <c r="I79" s="3" t="inlineStr">
        <is>
          <t>evidence_batch_011_108</t>
        </is>
      </c>
      <c r="J79" s="3" t="inlineStr">
        <is>
          <t>ISSUE-0073; ISSUE-0074; ISSUE-0075; ISSUE-0076; ISSUE-0077</t>
        </is>
      </c>
    </row>
    <row r="80" ht="42" customHeight="1">
      <c r="A80" s="2" t="inlineStr">
        <is>
          <t>jeminise.com+custom-soccer-ball-with-number-07-comforter-set-machine-w-design-17</t>
        </is>
      </c>
      <c r="B80" s="2" t="inlineStr">
        <is>
          <t>P2</t>
        </is>
      </c>
      <c r="C80" s="2" t="n">
        <v>10</v>
      </c>
      <c r="D80" s="2" t="inlineStr">
        <is>
          <t>FAIL</t>
        </is>
      </c>
      <c r="E80" s="5">
        <f>IF(B80="I1",AVERAGEIF('QA_Images'!$A$2:$A$78,A80,'QA_Images'!$T$2:$T$78)/100,IF(D80="FULL",1,IF(D80="PARTIAL",0.5,IF(D80="FAIL",0,""))))</f>
        <v/>
      </c>
      <c r="F80" s="5">
        <f>IF(E80="",0,C80*E80)</f>
        <v/>
      </c>
      <c r="G80" s="5">
        <f>IF(B80="I1",20*AVERAGEIF('QA_Images'!$A$2:$A$78,A80,'QA_Images'!$U$2:$U$78)/100,IF(D80="NOT_CHECKED",0,C80))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evidence_batch_011_108</t>
        </is>
      </c>
      <c r="J80" s="2" t="inlineStr">
        <is>
          <t>ISSUE-0073; ISSUE-0074; ISSUE-0075; ISSUE-0076; ISSUE-0077</t>
        </is>
      </c>
    </row>
    <row r="81" ht="42" customHeight="1">
      <c r="A81" s="3" t="inlineStr">
        <is>
          <t>jeminise.com+custom-soccer-ball-with-number-07-comforter-set-machine-w-design-17</t>
        </is>
      </c>
      <c r="B81" s="3" t="inlineStr">
        <is>
          <t>K1</t>
        </is>
      </c>
      <c r="C81" s="3" t="n">
        <v>10</v>
      </c>
      <c r="D81" s="3" t="inlineStr">
        <is>
          <t>PARTIAL</t>
        </is>
      </c>
      <c r="E81" s="7">
        <f>IF(B81="I1",AVERAGEIF('QA_Images'!$A$2:$A$78,A81,'QA_Images'!$T$2:$T$78)/100,IF(D81="FULL",1,IF(D81="PARTIAL",0.5,IF(D81="FAIL",0,""))))</f>
        <v/>
      </c>
      <c r="F81" s="7">
        <f>IF(E81="",0,C81*E81)</f>
        <v/>
      </c>
      <c r="G81" s="7">
        <f>IF(B81="I1",20*AVERAGEIF('QA_Images'!$A$2:$A$78,A81,'QA_Images'!$U$2:$U$78)/100,IF(D81="NOT_CHECKED",0,C81))</f>
        <v/>
      </c>
      <c r="H81" s="3" t="inlineStr">
        <is>
          <t>Primary keyword aligns with product-level US purchase intent. Primary keyword rechecked against US product-level SERP comparables.</t>
        </is>
      </c>
      <c r="I81" s="3" t="inlineStr">
        <is>
          <t>evidence_batch_011_108</t>
        </is>
      </c>
      <c r="J81" s="3" t="inlineStr">
        <is>
          <t>ISSUE-0073; ISSUE-0074; ISSUE-0075; ISSUE-0076; ISSUE-0077</t>
        </is>
      </c>
    </row>
    <row r="82" ht="42" customHeight="1">
      <c r="A82" s="2" t="inlineStr">
        <is>
          <t>jeminise.com+custom-soccer-ball-with-number-07-comforter-set-machine-w-design-17</t>
        </is>
      </c>
      <c r="B82" s="2" t="inlineStr">
        <is>
          <t>K2</t>
        </is>
      </c>
      <c r="C82" s="2" t="n">
        <v>5</v>
      </c>
      <c r="D82" s="2" t="inlineStr">
        <is>
          <t>PARTIAL</t>
        </is>
      </c>
      <c r="E82" s="5">
        <f>IF(B82="I1",AVERAGEIF('QA_Images'!$A$2:$A$78,A82,'QA_Images'!$T$2:$T$78)/100,IF(D82="FULL",1,IF(D82="PARTIAL",0.5,IF(D82="FAIL",0,""))))</f>
        <v/>
      </c>
      <c r="F82" s="5">
        <f>IF(E82="",0,C82*E82)</f>
        <v/>
      </c>
      <c r="G82" s="5">
        <f>IF(B82="I1",20*AVERAGEIF('QA_Images'!$A$2:$A$78,A82,'QA_Images'!$U$2:$U$78)/100,IF(D82="NOT_CHECKED",0,C82))</f>
        <v/>
      </c>
      <c r="H82" s="2" t="inlineStr">
        <is>
          <t>Intent/cannibalization check distinguishes nearby products. Nearby product cluster has overlap risk, so intent distinction remains only partial.</t>
        </is>
      </c>
      <c r="I82" s="2" t="inlineStr">
        <is>
          <t>evidence_batch_011_108</t>
        </is>
      </c>
      <c r="J82" s="2" t="inlineStr">
        <is>
          <t>ISSUE-0073; ISSUE-0074; ISSUE-0075; ISSUE-0076; ISSUE-0077</t>
        </is>
      </c>
    </row>
    <row r="83" ht="42" customHeight="1">
      <c r="A83" s="3" t="inlineStr">
        <is>
          <t>jeminise.com+custom-soccer-ball-with-number-07-comforter-set-machine-w-design-17</t>
        </is>
      </c>
      <c r="B83" s="3" t="inlineStr">
        <is>
          <t>K3</t>
        </is>
      </c>
      <c r="C83" s="3" t="n">
        <v>5</v>
      </c>
      <c r="D83" s="3" t="inlineStr">
        <is>
          <t>PARTIAL</t>
        </is>
      </c>
      <c r="E83" s="7">
        <f>IF(B83="I1",AVERAGEIF('QA_Images'!$A$2:$A$78,A83,'QA_Images'!$T$2:$T$78)/100,IF(D83="FULL",1,IF(D83="PARTIAL",0.5,IF(D83="FAIL",0,""))))</f>
        <v/>
      </c>
      <c r="F83" s="7">
        <f>IF(E83="",0,C83*E83)</f>
        <v/>
      </c>
      <c r="G83" s="7">
        <f>IF(B83="I1",20*AVERAGEIF('QA_Images'!$A$2:$A$78,A83,'QA_Images'!$U$2:$U$78)/100,IF(D83="NOT_CHECKED",0,C83))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evidence_batch_011_108</t>
        </is>
      </c>
      <c r="J83" s="3" t="inlineStr">
        <is>
          <t>ISSUE-0073; ISSUE-0074; ISSUE-0075; ISSUE-0076; ISSUE-0077</t>
        </is>
      </c>
    </row>
    <row r="84" ht="42" customHeight="1">
      <c r="A84" s="2" t="inlineStr">
        <is>
          <t>jeminise.com+custom-soccer-ball-with-number-07-comforter-set-machine-w-design-17</t>
        </is>
      </c>
      <c r="B84" s="2" t="inlineStr">
        <is>
          <t>T1</t>
        </is>
      </c>
      <c r="C84" s="2" t="n">
        <v>10</v>
      </c>
      <c r="D84" s="2" t="inlineStr">
        <is>
          <t>FULL</t>
        </is>
      </c>
      <c r="E84" s="5">
        <f>IF(B84="I1",AVERAGEIF('QA_Images'!$A$2:$A$78,A84,'QA_Images'!$T$2:$T$78)/100,IF(D84="FULL",1,IF(D84="PARTIAL",0.5,IF(D84="FAIL",0,""))))</f>
        <v/>
      </c>
      <c r="F84" s="5">
        <f>IF(E84="",0,C84*E84)</f>
        <v/>
      </c>
      <c r="G84" s="5">
        <f>IF(B84="I1",20*AVERAGEIF('QA_Images'!$A$2:$A$78,A84,'QA_Images'!$U$2:$U$78)/100,IF(D84="NOT_CHECKED",0,C84))</f>
        <v/>
      </c>
      <c r="H84" s="2" t="inlineStr">
        <is>
          <t>SEO title and H1 are relevant, specific and grounded in visible/source facts. Title/H1 are product-specific and tied to visible motif/product type.</t>
        </is>
      </c>
      <c r="I84" s="2" t="inlineStr">
        <is>
          <t>evidence_batch_011_108</t>
        </is>
      </c>
      <c r="J84" s="2" t="inlineStr">
        <is>
          <t>ISSUE-0073; ISSUE-0074; ISSUE-0075; ISSUE-0076; ISSUE-0077</t>
        </is>
      </c>
    </row>
    <row r="85" ht="42" customHeight="1">
      <c r="A85" s="3" t="inlineStr">
        <is>
          <t>jeminise.com+custom-soccer-ball-with-number-07-comforter-set-machine-w-design-17</t>
        </is>
      </c>
      <c r="B85" s="3" t="inlineStr">
        <is>
          <t>T2</t>
        </is>
      </c>
      <c r="C85" s="3" t="n">
        <v>5</v>
      </c>
      <c r="D85" s="3" t="inlineStr">
        <is>
          <t>PARTIAL</t>
        </is>
      </c>
      <c r="E85" s="7">
        <f>IF(B85="I1",AVERAGEIF('QA_Images'!$A$2:$A$78,A85,'QA_Images'!$T$2:$T$78)/100,IF(D85="FULL",1,IF(D85="PARTIAL",0.5,IF(D85="FAIL",0,""))))</f>
        <v/>
      </c>
      <c r="F85" s="7">
        <f>IF(E85="",0,C85*E85)</f>
        <v/>
      </c>
      <c r="G85" s="7">
        <f>IF(B85="I1",20*AVERAGEIF('QA_Images'!$A$2:$A$78,A85,'QA_Images'!$U$2:$U$78)/100,IF(D85="NOT_CHECKED",0,C85))</f>
        <v/>
      </c>
      <c r="H85" s="3" t="inlineStr">
        <is>
          <t>Meta description is concise, publish-ready and avoids unsupported claims. Meta description checked for length, specificity and supportable claims.</t>
        </is>
      </c>
      <c r="I85" s="3" t="inlineStr">
        <is>
          <t>evidence_batch_011_108</t>
        </is>
      </c>
      <c r="J85" s="3" t="inlineStr">
        <is>
          <t>ISSUE-0073; ISSUE-0074; ISSUE-0075; ISSUE-0076; ISSUE-0077</t>
        </is>
      </c>
    </row>
    <row r="86" ht="42" customHeight="1">
      <c r="A86" s="2" t="inlineStr">
        <is>
          <t>jeminise.com+custom-soccer-ball-with-number-07-comforter-set-machine-w-design-17</t>
        </is>
      </c>
      <c r="B86" s="2" t="inlineStr">
        <is>
          <t>D1</t>
        </is>
      </c>
      <c r="C86" s="2" t="n">
        <v>10</v>
      </c>
      <c r="D86" s="2" t="inlineStr">
        <is>
          <t>FAIL</t>
        </is>
      </c>
      <c r="E86" s="5">
        <f>IF(B86="I1",AVERAGEIF('QA_Images'!$A$2:$A$78,A86,'QA_Images'!$T$2:$T$78)/100,IF(D86="FULL",1,IF(D86="PARTIAL",0.5,IF(D86="FAIL",0,""))))</f>
        <v/>
      </c>
      <c r="F86" s="5">
        <f>IF(E86="",0,C86*E86)</f>
        <v/>
      </c>
      <c r="G86" s="5">
        <f>IF(B86="I1",20*AVERAGEIF('QA_Images'!$A$2:$A$78,A86,'QA_Images'!$U$2:$U$78)/100,IF(D86="NOT_CHECKED",0,C86))</f>
        <v/>
      </c>
      <c r="H86" s="2" t="inlineStr">
        <is>
          <t>Description HTML is publish-ready and free of internal draft/QA instructions. Description HTML still contains internal QA/import language.</t>
        </is>
      </c>
      <c r="I86" s="2" t="inlineStr">
        <is>
          <t>evidence_batch_011_108</t>
        </is>
      </c>
      <c r="J86" s="2" t="inlineStr">
        <is>
          <t>ISSUE-0073; ISSUE-0074; ISSUE-0075; ISSUE-0076; ISSUE-0077</t>
        </is>
      </c>
    </row>
    <row r="87" ht="42" customHeight="1">
      <c r="A87" s="3" t="inlineStr">
        <is>
          <t>jeminise.com+custom-soccer-ball-with-number-07-comforter-set-machine-w-design-17</t>
        </is>
      </c>
      <c r="B87" s="3" t="inlineStr">
        <is>
          <t>D2</t>
        </is>
      </c>
      <c r="C87" s="3" t="n">
        <v>5</v>
      </c>
      <c r="D87" s="3" t="inlineStr">
        <is>
          <t>PARTIAL</t>
        </is>
      </c>
      <c r="E87" s="7">
        <f>IF(B87="I1",AVERAGEIF('QA_Images'!$A$2:$A$78,A87,'QA_Images'!$T$2:$T$78)/100,IF(D87="FULL",1,IF(D87="PARTIAL",0.5,IF(D87="FAIL",0,""))))</f>
        <v/>
      </c>
      <c r="F87" s="7">
        <f>IF(E87="",0,C87*E87)</f>
        <v/>
      </c>
      <c r="G87" s="7">
        <f>IF(B87="I1",20*AVERAGEIF('QA_Images'!$A$2:$A$78,A87,'QA_Images'!$U$2:$U$78)/100,IF(D87="NOT_CHECKED",0,C87))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evidence_batch_011_108</t>
        </is>
      </c>
      <c r="J87" s="3" t="inlineStr">
        <is>
          <t>ISSUE-0073; ISSUE-0074; ISSUE-0075; ISSUE-0076; ISSUE-0077</t>
        </is>
      </c>
    </row>
    <row r="88" ht="42" customHeight="1">
      <c r="A88" s="2" t="inlineStr">
        <is>
          <t>jeminise.com+custom-soccer-ball-with-number-07-comforter-set-machine-w-design-17</t>
        </is>
      </c>
      <c r="B88" s="2" t="inlineStr">
        <is>
          <t>I1</t>
        </is>
      </c>
      <c r="C88" s="2" t="n">
        <v>20</v>
      </c>
      <c r="D88" s="2" t="inlineStr">
        <is>
          <t>FULL</t>
        </is>
      </c>
      <c r="E88" s="5">
        <f>IF(B88="I1",AVERAGEIF('QA_Images'!$A$2:$A$78,A88,'QA_Images'!$T$2:$T$78)/100,IF(D88="FULL",1,IF(D88="PARTIAL",0.5,IF(D88="FAIL",0,""))))</f>
        <v/>
      </c>
      <c r="F88" s="5">
        <f>IF(E88="",0,C88*E88)</f>
        <v/>
      </c>
      <c r="G88" s="5">
        <f>IF(B88="I1",20*AVERAGEIF('QA_Images'!$A$2:$A$78,A88,'QA_Images'!$U$2:$U$78)/100,IF(D88="NOT_CHECKED",0,C88))</f>
        <v/>
      </c>
      <c r="H88" s="2" t="inlineStr">
        <is>
          <t>Image coverage, image observations and alt text quality, derived from QA_Images. Derived from average image QA score; see QA_Images.</t>
        </is>
      </c>
      <c r="I88" s="2" t="inlineStr">
        <is>
          <t>evidence_batch_011_108</t>
        </is>
      </c>
      <c r="J88" s="2" t="inlineStr">
        <is>
          <t>ISSUE-0073; ISSUE-0074; ISSUE-0075; ISSUE-0076; ISSUE-0077</t>
        </is>
      </c>
    </row>
    <row r="89" ht="42" customHeight="1">
      <c r="A89" s="3" t="inlineStr">
        <is>
          <t>jeminise.com+custom-soccer-ball-with-number-07-comforter-set-machine-w-design-17</t>
        </is>
      </c>
      <c r="B89" s="3" t="inlineStr">
        <is>
          <t>E1</t>
        </is>
      </c>
      <c r="C89" s="3" t="n">
        <v>5</v>
      </c>
      <c r="D89" s="3" t="inlineStr">
        <is>
          <t>PARTIAL</t>
        </is>
      </c>
      <c r="E89" s="7">
        <f>IF(B89="I1",AVERAGEIF('QA_Images'!$A$2:$A$78,A89,'QA_Images'!$T$2:$T$78)/100,IF(D89="FULL",1,IF(D89="PARTIAL",0.5,IF(D89="FAIL",0,""))))</f>
        <v/>
      </c>
      <c r="F89" s="7">
        <f>IF(E89="",0,C89*E89)</f>
        <v/>
      </c>
      <c r="G89" s="7">
        <f>IF(B89="I1",20*AVERAGEIF('QA_Images'!$A$2:$A$78,A89,'QA_Images'!$U$2:$U$78)/100,IF(D89="NOT_CHECKED",0,C89))</f>
        <v/>
      </c>
      <c r="H89" s="3" t="inlineStr">
        <is>
          <t>Evidence chain is traceable and limitations are explicitly separated from failures. Evidence chain is traceable, with admin-export limitation explicitly separated.</t>
        </is>
      </c>
      <c r="I89" s="3" t="inlineStr">
        <is>
          <t>evidence_batch_011_108</t>
        </is>
      </c>
      <c r="J89" s="3" t="inlineStr">
        <is>
          <t>ISSUE-0073; ISSUE-0074; ISSUE-0075; ISSUE-0076; ISSUE-0077</t>
        </is>
      </c>
    </row>
    <row r="90" ht="42" customHeight="1">
      <c r="A90" s="2" t="inlineStr">
        <is>
          <t>jeminise.com+custom-soccer-goal-splash-bedding-comforter-set-machine-washable</t>
        </is>
      </c>
      <c r="B90" s="2" t="inlineStr">
        <is>
          <t>P1</t>
        </is>
      </c>
      <c r="C90" s="2" t="n">
        <v>15</v>
      </c>
      <c r="D90" s="2" t="inlineStr">
        <is>
          <t>FULL</t>
        </is>
      </c>
      <c r="E90" s="5">
        <f>IF(B90="I1",AVERAGEIF('QA_Images'!$A$2:$A$78,A90,'QA_Images'!$T$2:$T$78)/100,IF(D90="FULL",1,IF(D90="PARTIAL",0.5,IF(D90="FAIL",0,""))))</f>
        <v/>
      </c>
      <c r="F90" s="5">
        <f>IF(E90="",0,C90*E90)</f>
        <v/>
      </c>
      <c r="G90" s="5">
        <f>IF(B90="I1",20*AVERAGEIF('QA_Images'!$A$2:$A$78,A90,'QA_Images'!$U$2:$U$78)/100,IF(D90="NOT_CHECKED",0,C90))</f>
        <v/>
      </c>
      <c r="H90" s="2" t="inlineStr">
        <is>
          <t>Product identity, handle, product ID, URL and canonical match source/live evidence. Product key/handle/product ID/canonical checked against frozen workbook and live product evidence.</t>
        </is>
      </c>
      <c r="I90" s="2" t="inlineStr">
        <is>
          <t>evidence_batch_011_109</t>
        </is>
      </c>
      <c r="J90" s="2" t="inlineStr">
        <is>
          <t>ISSUE-0084; ISSUE-0085; ISSUE-0086; ISSUE-0087; ISSUE-0088</t>
        </is>
      </c>
    </row>
    <row r="91" ht="42" customHeight="1">
      <c r="A91" s="3" t="inlineStr">
        <is>
          <t>jeminise.com+custom-soccer-goal-splash-bedding-comforter-set-machine-washable</t>
        </is>
      </c>
      <c r="B91" s="3" t="inlineStr">
        <is>
          <t>P2</t>
        </is>
      </c>
      <c r="C91" s="3" t="n">
        <v>10</v>
      </c>
      <c r="D91" s="3" t="inlineStr">
        <is>
          <t>FAIL</t>
        </is>
      </c>
      <c r="E91" s="7">
        <f>IF(B91="I1",AVERAGEIF('QA_Images'!$A$2:$A$78,A91,'QA_Images'!$T$2:$T$78)/100,IF(D91="FULL",1,IF(D91="PARTIAL",0.5,IF(D91="FAIL",0,""))))</f>
        <v/>
      </c>
      <c r="F91" s="7">
        <f>IF(E91="",0,C91*E91)</f>
        <v/>
      </c>
      <c r="G91" s="7">
        <f>IF(B91="I1",20*AVERAGEIF('QA_Images'!$A$2:$A$78,A91,'QA_Images'!$U$2:$U$78)/100,IF(D91="NOT_CHECKED",0,C91))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evidence_batch_011_109</t>
        </is>
      </c>
      <c r="J91" s="3" t="inlineStr">
        <is>
          <t>ISSUE-0084; ISSUE-0085; ISSUE-0086; ISSUE-0087; ISSUE-0088</t>
        </is>
      </c>
    </row>
    <row r="92" ht="42" customHeight="1">
      <c r="A92" s="2" t="inlineStr">
        <is>
          <t>jeminise.com+custom-soccer-goal-splash-bedding-comforter-set-machine-washable</t>
        </is>
      </c>
      <c r="B92" s="2" t="inlineStr">
        <is>
          <t>K1</t>
        </is>
      </c>
      <c r="C92" s="2" t="n">
        <v>10</v>
      </c>
      <c r="D92" s="2" t="inlineStr">
        <is>
          <t>PARTIAL</t>
        </is>
      </c>
      <c r="E92" s="5">
        <f>IF(B92="I1",AVERAGEIF('QA_Images'!$A$2:$A$78,A92,'QA_Images'!$T$2:$T$78)/100,IF(D92="FULL",1,IF(D92="PARTIAL",0.5,IF(D92="FAIL",0,""))))</f>
        <v/>
      </c>
      <c r="F92" s="5">
        <f>IF(E92="",0,C92*E92)</f>
        <v/>
      </c>
      <c r="G92" s="5">
        <f>IF(B92="I1",20*AVERAGEIF('QA_Images'!$A$2:$A$78,A92,'QA_Images'!$U$2:$U$78)/100,IF(D92="NOT_CHECKED",0,C92))</f>
        <v/>
      </c>
      <c r="H92" s="2" t="inlineStr">
        <is>
          <t>Primary keyword aligns with product-level US purchase intent. Primary keyword rechecked against US product-level SERP comparables.</t>
        </is>
      </c>
      <c r="I92" s="2" t="inlineStr">
        <is>
          <t>evidence_batch_011_109</t>
        </is>
      </c>
      <c r="J92" s="2" t="inlineStr">
        <is>
          <t>ISSUE-0084; ISSUE-0085; ISSUE-0086; ISSUE-0087; ISSUE-0088</t>
        </is>
      </c>
    </row>
    <row r="93" ht="42" customHeight="1">
      <c r="A93" s="3" t="inlineStr">
        <is>
          <t>jeminise.com+custom-soccer-goal-splash-bedding-comforter-set-machine-washable</t>
        </is>
      </c>
      <c r="B93" s="3" t="inlineStr">
        <is>
          <t>K2</t>
        </is>
      </c>
      <c r="C93" s="3" t="n">
        <v>5</v>
      </c>
      <c r="D93" s="3" t="inlineStr">
        <is>
          <t>PARTIAL</t>
        </is>
      </c>
      <c r="E93" s="7">
        <f>IF(B93="I1",AVERAGEIF('QA_Images'!$A$2:$A$78,A93,'QA_Images'!$T$2:$T$78)/100,IF(D93="FULL",1,IF(D93="PARTIAL",0.5,IF(D93="FAIL",0,""))))</f>
        <v/>
      </c>
      <c r="F93" s="7">
        <f>IF(E93="",0,C93*E93)</f>
        <v/>
      </c>
      <c r="G93" s="7">
        <f>IF(B93="I1",20*AVERAGEIF('QA_Images'!$A$2:$A$78,A93,'QA_Images'!$U$2:$U$78)/100,IF(D93="NOT_CHECKED",0,C93))</f>
        <v/>
      </c>
      <c r="H93" s="3" t="inlineStr">
        <is>
          <t>Intent/cannibalization check distinguishes nearby products. Nearby product cluster has overlap risk, so intent distinction remains only partial.</t>
        </is>
      </c>
      <c r="I93" s="3" t="inlineStr">
        <is>
          <t>evidence_batch_011_109</t>
        </is>
      </c>
      <c r="J93" s="3" t="inlineStr">
        <is>
          <t>ISSUE-0084; ISSUE-0085; ISSUE-0086; ISSUE-0087; ISSUE-0088</t>
        </is>
      </c>
    </row>
    <row r="94" ht="42" customHeight="1">
      <c r="A94" s="2" t="inlineStr">
        <is>
          <t>jeminise.com+custom-soccer-goal-splash-bedding-comforter-set-machine-washable</t>
        </is>
      </c>
      <c r="B94" s="2" t="inlineStr">
        <is>
          <t>K3</t>
        </is>
      </c>
      <c r="C94" s="2" t="n">
        <v>5</v>
      </c>
      <c r="D94" s="2" t="inlineStr">
        <is>
          <t>PARTIAL</t>
        </is>
      </c>
      <c r="E94" s="5">
        <f>IF(B94="I1",AVERAGEIF('QA_Images'!$A$2:$A$78,A94,'QA_Images'!$T$2:$T$78)/100,IF(D94="FULL",1,IF(D94="PARTIAL",0.5,IF(D94="FAIL",0,""))))</f>
        <v/>
      </c>
      <c r="F94" s="5">
        <f>IF(E94="",0,C94*E94)</f>
        <v/>
      </c>
      <c r="G94" s="5">
        <f>IF(B94="I1",20*AVERAGEIF('QA_Images'!$A$2:$A$78,A94,'QA_Images'!$U$2:$U$78)/100,IF(D94="NOT_CHECKED",0,C94))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evidence_batch_011_109</t>
        </is>
      </c>
      <c r="J94" s="2" t="inlineStr">
        <is>
          <t>ISSUE-0084; ISSUE-0085; ISSUE-0086; ISSUE-0087; ISSUE-0088</t>
        </is>
      </c>
    </row>
    <row r="95" ht="42" customHeight="1">
      <c r="A95" s="3" t="inlineStr">
        <is>
          <t>jeminise.com+custom-soccer-goal-splash-bedding-comforter-set-machine-washable</t>
        </is>
      </c>
      <c r="B95" s="3" t="inlineStr">
        <is>
          <t>T1</t>
        </is>
      </c>
      <c r="C95" s="3" t="n">
        <v>10</v>
      </c>
      <c r="D95" s="3" t="inlineStr">
        <is>
          <t>FULL</t>
        </is>
      </c>
      <c r="E95" s="7">
        <f>IF(B95="I1",AVERAGEIF('QA_Images'!$A$2:$A$78,A95,'QA_Images'!$T$2:$T$78)/100,IF(D95="FULL",1,IF(D95="PARTIAL",0.5,IF(D95="FAIL",0,""))))</f>
        <v/>
      </c>
      <c r="F95" s="7">
        <f>IF(E95="",0,C95*E95)</f>
        <v/>
      </c>
      <c r="G95" s="7">
        <f>IF(B95="I1",20*AVERAGEIF('QA_Images'!$A$2:$A$78,A95,'QA_Images'!$U$2:$U$78)/100,IF(D95="NOT_CHECKED",0,C95))</f>
        <v/>
      </c>
      <c r="H95" s="3" t="inlineStr">
        <is>
          <t>SEO title and H1 are relevant, specific and grounded in visible/source facts. Title/H1 are product-specific and tied to visible motif/product type.</t>
        </is>
      </c>
      <c r="I95" s="3" t="inlineStr">
        <is>
          <t>evidence_batch_011_109</t>
        </is>
      </c>
      <c r="J95" s="3" t="inlineStr">
        <is>
          <t>ISSUE-0084; ISSUE-0085; ISSUE-0086; ISSUE-0087; ISSUE-0088</t>
        </is>
      </c>
    </row>
    <row r="96" ht="42" customHeight="1">
      <c r="A96" s="2" t="inlineStr">
        <is>
          <t>jeminise.com+custom-soccer-goal-splash-bedding-comforter-set-machine-washable</t>
        </is>
      </c>
      <c r="B96" s="2" t="inlineStr">
        <is>
          <t>T2</t>
        </is>
      </c>
      <c r="C96" s="2" t="n">
        <v>5</v>
      </c>
      <c r="D96" s="2" t="inlineStr">
        <is>
          <t>PARTIAL</t>
        </is>
      </c>
      <c r="E96" s="5">
        <f>IF(B96="I1",AVERAGEIF('QA_Images'!$A$2:$A$78,A96,'QA_Images'!$T$2:$T$78)/100,IF(D96="FULL",1,IF(D96="PARTIAL",0.5,IF(D96="FAIL",0,""))))</f>
        <v/>
      </c>
      <c r="F96" s="5">
        <f>IF(E96="",0,C96*E96)</f>
        <v/>
      </c>
      <c r="G96" s="5">
        <f>IF(B96="I1",20*AVERAGEIF('QA_Images'!$A$2:$A$78,A96,'QA_Images'!$U$2:$U$78)/100,IF(D96="NOT_CHECKED",0,C96))</f>
        <v/>
      </c>
      <c r="H96" s="2" t="inlineStr">
        <is>
          <t>Meta description is concise, publish-ready and avoids unsupported claims. Meta description checked for length, specificity and supportable claims.</t>
        </is>
      </c>
      <c r="I96" s="2" t="inlineStr">
        <is>
          <t>evidence_batch_011_109</t>
        </is>
      </c>
      <c r="J96" s="2" t="inlineStr">
        <is>
          <t>ISSUE-0084; ISSUE-0085; ISSUE-0086; ISSUE-0087; ISSUE-0088</t>
        </is>
      </c>
    </row>
    <row r="97" ht="42" customHeight="1">
      <c r="A97" s="3" t="inlineStr">
        <is>
          <t>jeminise.com+custom-soccer-goal-splash-bedding-comforter-set-machine-washable</t>
        </is>
      </c>
      <c r="B97" s="3" t="inlineStr">
        <is>
          <t>D1</t>
        </is>
      </c>
      <c r="C97" s="3" t="n">
        <v>10</v>
      </c>
      <c r="D97" s="3" t="inlineStr">
        <is>
          <t>FAIL</t>
        </is>
      </c>
      <c r="E97" s="7">
        <f>IF(B97="I1",AVERAGEIF('QA_Images'!$A$2:$A$78,A97,'QA_Images'!$T$2:$T$78)/100,IF(D97="FULL",1,IF(D97="PARTIAL",0.5,IF(D97="FAIL",0,""))))</f>
        <v/>
      </c>
      <c r="F97" s="7">
        <f>IF(E97="",0,C97*E97)</f>
        <v/>
      </c>
      <c r="G97" s="7">
        <f>IF(B97="I1",20*AVERAGEIF('QA_Images'!$A$2:$A$78,A97,'QA_Images'!$U$2:$U$78)/100,IF(D97="NOT_CHECKED",0,C97))</f>
        <v/>
      </c>
      <c r="H97" s="3" t="inlineStr">
        <is>
          <t>Description HTML is publish-ready and free of internal draft/QA instructions. Description HTML still contains internal QA/import language.</t>
        </is>
      </c>
      <c r="I97" s="3" t="inlineStr">
        <is>
          <t>evidence_batch_011_109</t>
        </is>
      </c>
      <c r="J97" s="3" t="inlineStr">
        <is>
          <t>ISSUE-0084; ISSUE-0085; ISSUE-0086; ISSUE-0087; ISSUE-0088</t>
        </is>
      </c>
    </row>
    <row r="98" ht="42" customHeight="1">
      <c r="A98" s="2" t="inlineStr">
        <is>
          <t>jeminise.com+custom-soccer-goal-splash-bedding-comforter-set-machine-washable</t>
        </is>
      </c>
      <c r="B98" s="2" t="inlineStr">
        <is>
          <t>D2</t>
        </is>
      </c>
      <c r="C98" s="2" t="n">
        <v>5</v>
      </c>
      <c r="D98" s="2" t="inlineStr">
        <is>
          <t>PARTIAL</t>
        </is>
      </c>
      <c r="E98" s="5">
        <f>IF(B98="I1",AVERAGEIF('QA_Images'!$A$2:$A$78,A98,'QA_Images'!$T$2:$T$78)/100,IF(D98="FULL",1,IF(D98="PARTIAL",0.5,IF(D98="FAIL",0,""))))</f>
        <v/>
      </c>
      <c r="F98" s="5">
        <f>IF(E98="",0,C98*E98)</f>
        <v/>
      </c>
      <c r="G98" s="5">
        <f>IF(B98="I1",20*AVERAGEIF('QA_Images'!$A$2:$A$78,A98,'QA_Images'!$U$2:$U$78)/100,IF(D98="NOT_CHECKED",0,C98))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evidence_batch_011_109</t>
        </is>
      </c>
      <c r="J98" s="2" t="inlineStr">
        <is>
          <t>ISSUE-0084; ISSUE-0085; ISSUE-0086; ISSUE-0087; ISSUE-0088</t>
        </is>
      </c>
    </row>
    <row r="99" ht="42" customHeight="1">
      <c r="A99" s="3" t="inlineStr">
        <is>
          <t>jeminise.com+custom-soccer-goal-splash-bedding-comforter-set-machine-washable</t>
        </is>
      </c>
      <c r="B99" s="3" t="inlineStr">
        <is>
          <t>I1</t>
        </is>
      </c>
      <c r="C99" s="3" t="n">
        <v>20</v>
      </c>
      <c r="D99" s="3" t="inlineStr">
        <is>
          <t>FULL</t>
        </is>
      </c>
      <c r="E99" s="7">
        <f>IF(B99="I1",AVERAGEIF('QA_Images'!$A$2:$A$78,A99,'QA_Images'!$T$2:$T$78)/100,IF(D99="FULL",1,IF(D99="PARTIAL",0.5,IF(D99="FAIL",0,""))))</f>
        <v/>
      </c>
      <c r="F99" s="7">
        <f>IF(E99="",0,C99*E99)</f>
        <v/>
      </c>
      <c r="G99" s="7">
        <f>IF(B99="I1",20*AVERAGEIF('QA_Images'!$A$2:$A$78,A99,'QA_Images'!$U$2:$U$78)/100,IF(D99="NOT_CHECKED",0,C99))</f>
        <v/>
      </c>
      <c r="H99" s="3" t="inlineStr">
        <is>
          <t>Image coverage, image observations and alt text quality, derived from QA_Images. Derived from average image QA score; see QA_Images.</t>
        </is>
      </c>
      <c r="I99" s="3" t="inlineStr">
        <is>
          <t>evidence_batch_011_109</t>
        </is>
      </c>
      <c r="J99" s="3" t="inlineStr">
        <is>
          <t>ISSUE-0084; ISSUE-0085; ISSUE-0086; ISSUE-0087; ISSUE-0088</t>
        </is>
      </c>
    </row>
    <row r="100" ht="42" customHeight="1">
      <c r="A100" s="2" t="inlineStr">
        <is>
          <t>jeminise.com+custom-soccer-goal-splash-bedding-comforter-set-machine-washable</t>
        </is>
      </c>
      <c r="B100" s="2" t="inlineStr">
        <is>
          <t>E1</t>
        </is>
      </c>
      <c r="C100" s="2" t="n">
        <v>5</v>
      </c>
      <c r="D100" s="2" t="inlineStr">
        <is>
          <t>PARTIAL</t>
        </is>
      </c>
      <c r="E100" s="5">
        <f>IF(B100="I1",AVERAGEIF('QA_Images'!$A$2:$A$78,A100,'QA_Images'!$T$2:$T$78)/100,IF(D100="FULL",1,IF(D100="PARTIAL",0.5,IF(D100="FAIL",0,""))))</f>
        <v/>
      </c>
      <c r="F100" s="5">
        <f>IF(E100="",0,C100*E100)</f>
        <v/>
      </c>
      <c r="G100" s="5">
        <f>IF(B100="I1",20*AVERAGEIF('QA_Images'!$A$2:$A$78,A100,'QA_Images'!$U$2:$U$78)/100,IF(D100="NOT_CHECKED",0,C100))</f>
        <v/>
      </c>
      <c r="H100" s="2" t="inlineStr">
        <is>
          <t>Evidence chain is traceable and limitations are explicitly separated from failures. Evidence chain is traceable, with admin-export limitation explicitly separated.</t>
        </is>
      </c>
      <c r="I100" s="2" t="inlineStr">
        <is>
          <t>evidence_batch_011_109</t>
        </is>
      </c>
      <c r="J100" s="2" t="inlineStr">
        <is>
          <t>ISSUE-0084; ISSUE-0085; ISSUE-0086; ISSUE-0087; ISSUE-0088</t>
        </is>
      </c>
    </row>
    <row r="101" ht="42" customHeight="1">
      <c r="A101" s="3" t="inlineStr">
        <is>
          <t>jeminise.com+custom-soccer-net-with-number-07-comforter-set-machine-washable-a7</t>
        </is>
      </c>
      <c r="B101" s="3" t="inlineStr">
        <is>
          <t>P1</t>
        </is>
      </c>
      <c r="C101" s="3" t="n">
        <v>15</v>
      </c>
      <c r="D101" s="3" t="inlineStr">
        <is>
          <t>FULL</t>
        </is>
      </c>
      <c r="E101" s="7">
        <f>IF(B101="I1",AVERAGEIF('QA_Images'!$A$2:$A$78,A101,'QA_Images'!$T$2:$T$78)/100,IF(D101="FULL",1,IF(D101="PARTIAL",0.5,IF(D101="FAIL",0,""))))</f>
        <v/>
      </c>
      <c r="F101" s="7">
        <f>IF(E101="",0,C101*E101)</f>
        <v/>
      </c>
      <c r="G101" s="7">
        <f>IF(B101="I1",20*AVERAGEIF('QA_Images'!$A$2:$A$78,A101,'QA_Images'!$U$2:$U$78)/100,IF(D101="NOT_CHECKED",0,C101))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evidence_batch_011_110</t>
        </is>
      </c>
      <c r="J101" s="3" t="inlineStr">
        <is>
          <t>ISSUE-0094; ISSUE-0095; ISSUE-0096; ISSUE-0097; ISSUE-0098</t>
        </is>
      </c>
    </row>
    <row r="102" ht="42" customHeight="1">
      <c r="A102" s="2" t="inlineStr">
        <is>
          <t>jeminise.com+custom-soccer-net-with-number-07-comforter-set-machine-washable-a7</t>
        </is>
      </c>
      <c r="B102" s="2" t="inlineStr">
        <is>
          <t>P2</t>
        </is>
      </c>
      <c r="C102" s="2" t="n">
        <v>10</v>
      </c>
      <c r="D102" s="2" t="inlineStr">
        <is>
          <t>FAIL</t>
        </is>
      </c>
      <c r="E102" s="5">
        <f>IF(B102="I1",AVERAGEIF('QA_Images'!$A$2:$A$78,A102,'QA_Images'!$T$2:$T$78)/100,IF(D102="FULL",1,IF(D102="PARTIAL",0.5,IF(D102="FAIL",0,""))))</f>
        <v/>
      </c>
      <c r="F102" s="5">
        <f>IF(E102="",0,C102*E102)</f>
        <v/>
      </c>
      <c r="G102" s="5">
        <f>IF(B102="I1",20*AVERAGEIF('QA_Images'!$A$2:$A$78,A102,'QA_Images'!$U$2:$U$78)/100,IF(D102="NOT_CHECKED",0,C102))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evidence_batch_011_110</t>
        </is>
      </c>
      <c r="J102" s="2" t="inlineStr">
        <is>
          <t>ISSUE-0094; ISSUE-0095; ISSUE-0096; ISSUE-0097; ISSUE-0098</t>
        </is>
      </c>
    </row>
    <row r="103" ht="42" customHeight="1">
      <c r="A103" s="3" t="inlineStr">
        <is>
          <t>jeminise.com+custom-soccer-net-with-number-07-comforter-set-machine-washable-a7</t>
        </is>
      </c>
      <c r="B103" s="3" t="inlineStr">
        <is>
          <t>K1</t>
        </is>
      </c>
      <c r="C103" s="3" t="n">
        <v>10</v>
      </c>
      <c r="D103" s="3" t="inlineStr">
        <is>
          <t>PARTIAL</t>
        </is>
      </c>
      <c r="E103" s="7">
        <f>IF(B103="I1",AVERAGEIF('QA_Images'!$A$2:$A$78,A103,'QA_Images'!$T$2:$T$78)/100,IF(D103="FULL",1,IF(D103="PARTIAL",0.5,IF(D103="FAIL",0,""))))</f>
        <v/>
      </c>
      <c r="F103" s="7">
        <f>IF(E103="",0,C103*E103)</f>
        <v/>
      </c>
      <c r="G103" s="7">
        <f>IF(B103="I1",20*AVERAGEIF('QA_Images'!$A$2:$A$78,A103,'QA_Images'!$U$2:$U$78)/100,IF(D103="NOT_CHECKED",0,C103))</f>
        <v/>
      </c>
      <c r="H103" s="3" t="inlineStr">
        <is>
          <t>Primary keyword aligns with product-level US purchase intent. Primary keyword rechecked against US product-level SERP comparables.</t>
        </is>
      </c>
      <c r="I103" s="3" t="inlineStr">
        <is>
          <t>evidence_batch_011_110</t>
        </is>
      </c>
      <c r="J103" s="3" t="inlineStr">
        <is>
          <t>ISSUE-0094; ISSUE-0095; ISSUE-0096; ISSUE-0097; ISSUE-0098</t>
        </is>
      </c>
    </row>
    <row r="104" ht="42" customHeight="1">
      <c r="A104" s="2" t="inlineStr">
        <is>
          <t>jeminise.com+custom-soccer-net-with-number-07-comforter-set-machine-washable-a7</t>
        </is>
      </c>
      <c r="B104" s="2" t="inlineStr">
        <is>
          <t>K2</t>
        </is>
      </c>
      <c r="C104" s="2" t="n">
        <v>5</v>
      </c>
      <c r="D104" s="2" t="inlineStr">
        <is>
          <t>PARTIAL</t>
        </is>
      </c>
      <c r="E104" s="5">
        <f>IF(B104="I1",AVERAGEIF('QA_Images'!$A$2:$A$78,A104,'QA_Images'!$T$2:$T$78)/100,IF(D104="FULL",1,IF(D104="PARTIAL",0.5,IF(D104="FAIL",0,""))))</f>
        <v/>
      </c>
      <c r="F104" s="5">
        <f>IF(E104="",0,C104*E104)</f>
        <v/>
      </c>
      <c r="G104" s="5">
        <f>IF(B104="I1",20*AVERAGEIF('QA_Images'!$A$2:$A$78,A104,'QA_Images'!$U$2:$U$78)/100,IF(D104="NOT_CHECKED",0,C104))</f>
        <v/>
      </c>
      <c r="H104" s="2" t="inlineStr">
        <is>
          <t>Intent/cannibalization check distinguishes nearby products. Nearby product cluster has overlap risk, so intent distinction remains only partial.</t>
        </is>
      </c>
      <c r="I104" s="2" t="inlineStr">
        <is>
          <t>evidence_batch_011_110</t>
        </is>
      </c>
      <c r="J104" s="2" t="inlineStr">
        <is>
          <t>ISSUE-0094; ISSUE-0095; ISSUE-0096; ISSUE-0097; ISSUE-0098</t>
        </is>
      </c>
    </row>
    <row r="105" ht="42" customHeight="1">
      <c r="A105" s="3" t="inlineStr">
        <is>
          <t>jeminise.com+custom-soccer-net-with-number-07-comforter-set-machine-washable-a7</t>
        </is>
      </c>
      <c r="B105" s="3" t="inlineStr">
        <is>
          <t>K3</t>
        </is>
      </c>
      <c r="C105" s="3" t="n">
        <v>5</v>
      </c>
      <c r="D105" s="3" t="inlineStr">
        <is>
          <t>PARTIAL</t>
        </is>
      </c>
      <c r="E105" s="7">
        <f>IF(B105="I1",AVERAGEIF('QA_Images'!$A$2:$A$78,A105,'QA_Images'!$T$2:$T$78)/100,IF(D105="FULL",1,IF(D105="PARTIAL",0.5,IF(D105="FAIL",0,""))))</f>
        <v/>
      </c>
      <c r="F105" s="7">
        <f>IF(E105="",0,C105*E105)</f>
        <v/>
      </c>
      <c r="G105" s="7">
        <f>IF(B105="I1",20*AVERAGEIF('QA_Images'!$A$2:$A$78,A105,'QA_Images'!$U$2:$U$78)/100,IF(D105="NOT_CHECKED",0,C105))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evidence_batch_011_110</t>
        </is>
      </c>
      <c r="J105" s="3" t="inlineStr">
        <is>
          <t>ISSUE-0094; ISSUE-0095; ISSUE-0096; ISSUE-0097; ISSUE-0098</t>
        </is>
      </c>
    </row>
    <row r="106" ht="42" customHeight="1">
      <c r="A106" s="2" t="inlineStr">
        <is>
          <t>jeminise.com+custom-soccer-net-with-number-07-comforter-set-machine-washable-a7</t>
        </is>
      </c>
      <c r="B106" s="2" t="inlineStr">
        <is>
          <t>T1</t>
        </is>
      </c>
      <c r="C106" s="2" t="n">
        <v>10</v>
      </c>
      <c r="D106" s="2" t="inlineStr">
        <is>
          <t>FULL</t>
        </is>
      </c>
      <c r="E106" s="5">
        <f>IF(B106="I1",AVERAGEIF('QA_Images'!$A$2:$A$78,A106,'QA_Images'!$T$2:$T$78)/100,IF(D106="FULL",1,IF(D106="PARTIAL",0.5,IF(D106="FAIL",0,""))))</f>
        <v/>
      </c>
      <c r="F106" s="5">
        <f>IF(E106="",0,C106*E106)</f>
        <v/>
      </c>
      <c r="G106" s="5">
        <f>IF(B106="I1",20*AVERAGEIF('QA_Images'!$A$2:$A$78,A106,'QA_Images'!$U$2:$U$78)/100,IF(D106="NOT_CHECKED",0,C106))</f>
        <v/>
      </c>
      <c r="H106" s="2" t="inlineStr">
        <is>
          <t>SEO title and H1 are relevant, specific and grounded in visible/source facts. Title/H1 are product-specific and tied to visible motif/product type.</t>
        </is>
      </c>
      <c r="I106" s="2" t="inlineStr">
        <is>
          <t>evidence_batch_011_110</t>
        </is>
      </c>
      <c r="J106" s="2" t="inlineStr">
        <is>
          <t>ISSUE-0094; ISSUE-0095; ISSUE-0096; ISSUE-0097; ISSUE-0098</t>
        </is>
      </c>
    </row>
    <row r="107" ht="42" customHeight="1">
      <c r="A107" s="3" t="inlineStr">
        <is>
          <t>jeminise.com+custom-soccer-net-with-number-07-comforter-set-machine-washable-a7</t>
        </is>
      </c>
      <c r="B107" s="3" t="inlineStr">
        <is>
          <t>T2</t>
        </is>
      </c>
      <c r="C107" s="3" t="n">
        <v>5</v>
      </c>
      <c r="D107" s="3" t="inlineStr">
        <is>
          <t>PARTIAL</t>
        </is>
      </c>
      <c r="E107" s="7">
        <f>IF(B107="I1",AVERAGEIF('QA_Images'!$A$2:$A$78,A107,'QA_Images'!$T$2:$T$78)/100,IF(D107="FULL",1,IF(D107="PARTIAL",0.5,IF(D107="FAIL",0,""))))</f>
        <v/>
      </c>
      <c r="F107" s="7">
        <f>IF(E107="",0,C107*E107)</f>
        <v/>
      </c>
      <c r="G107" s="7">
        <f>IF(B107="I1",20*AVERAGEIF('QA_Images'!$A$2:$A$78,A107,'QA_Images'!$U$2:$U$78)/100,IF(D107="NOT_CHECKED",0,C107))</f>
        <v/>
      </c>
      <c r="H107" s="3" t="inlineStr">
        <is>
          <t>Meta description is concise, publish-ready and avoids unsupported claims. Meta description checked for length, specificity and supportable claims.</t>
        </is>
      </c>
      <c r="I107" s="3" t="inlineStr">
        <is>
          <t>evidence_batch_011_110</t>
        </is>
      </c>
      <c r="J107" s="3" t="inlineStr">
        <is>
          <t>ISSUE-0094; ISSUE-0095; ISSUE-0096; ISSUE-0097; ISSUE-0098</t>
        </is>
      </c>
    </row>
    <row r="108" ht="42" customHeight="1">
      <c r="A108" s="2" t="inlineStr">
        <is>
          <t>jeminise.com+custom-soccer-net-with-number-07-comforter-set-machine-washable-a7</t>
        </is>
      </c>
      <c r="B108" s="2" t="inlineStr">
        <is>
          <t>D1</t>
        </is>
      </c>
      <c r="C108" s="2" t="n">
        <v>10</v>
      </c>
      <c r="D108" s="2" t="inlineStr">
        <is>
          <t>FAIL</t>
        </is>
      </c>
      <c r="E108" s="5">
        <f>IF(B108="I1",AVERAGEIF('QA_Images'!$A$2:$A$78,A108,'QA_Images'!$T$2:$T$78)/100,IF(D108="FULL",1,IF(D108="PARTIAL",0.5,IF(D108="FAIL",0,""))))</f>
        <v/>
      </c>
      <c r="F108" s="5">
        <f>IF(E108="",0,C108*E108)</f>
        <v/>
      </c>
      <c r="G108" s="5">
        <f>IF(B108="I1",20*AVERAGEIF('QA_Images'!$A$2:$A$78,A108,'QA_Images'!$U$2:$U$78)/100,IF(D108="NOT_CHECKED",0,C108))</f>
        <v/>
      </c>
      <c r="H108" s="2" t="inlineStr">
        <is>
          <t>Description HTML is publish-ready and free of internal draft/QA instructions. Description HTML still contains internal QA/import language.</t>
        </is>
      </c>
      <c r="I108" s="2" t="inlineStr">
        <is>
          <t>evidence_batch_011_110</t>
        </is>
      </c>
      <c r="J108" s="2" t="inlineStr">
        <is>
          <t>ISSUE-0094; ISSUE-0095; ISSUE-0096; ISSUE-0097; ISSUE-0098</t>
        </is>
      </c>
    </row>
    <row r="109" ht="42" customHeight="1">
      <c r="A109" s="3" t="inlineStr">
        <is>
          <t>jeminise.com+custom-soccer-net-with-number-07-comforter-set-machine-washable-a7</t>
        </is>
      </c>
      <c r="B109" s="3" t="inlineStr">
        <is>
          <t>D2</t>
        </is>
      </c>
      <c r="C109" s="3" t="n">
        <v>5</v>
      </c>
      <c r="D109" s="3" t="inlineStr">
        <is>
          <t>PARTIAL</t>
        </is>
      </c>
      <c r="E109" s="7">
        <f>IF(B109="I1",AVERAGEIF('QA_Images'!$A$2:$A$78,A109,'QA_Images'!$T$2:$T$78)/100,IF(D109="FULL",1,IF(D109="PARTIAL",0.5,IF(D109="FAIL",0,""))))</f>
        <v/>
      </c>
      <c r="F109" s="7">
        <f>IF(E109="",0,C109*E109)</f>
        <v/>
      </c>
      <c r="G109" s="7">
        <f>IF(B109="I1",20*AVERAGEIF('QA_Images'!$A$2:$A$78,A109,'QA_Images'!$U$2:$U$78)/100,IF(D109="NOT_CHECKED",0,C109))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evidence_batch_011_110</t>
        </is>
      </c>
      <c r="J109" s="3" t="inlineStr">
        <is>
          <t>ISSUE-0094; ISSUE-0095; ISSUE-0096; ISSUE-0097; ISSUE-0098</t>
        </is>
      </c>
    </row>
    <row r="110" ht="42" customHeight="1">
      <c r="A110" s="2" t="inlineStr">
        <is>
          <t>jeminise.com+custom-soccer-net-with-number-07-comforter-set-machine-washable-a7</t>
        </is>
      </c>
      <c r="B110" s="2" t="inlineStr">
        <is>
          <t>I1</t>
        </is>
      </c>
      <c r="C110" s="2" t="n">
        <v>20</v>
      </c>
      <c r="D110" s="2" t="inlineStr">
        <is>
          <t>FULL</t>
        </is>
      </c>
      <c r="E110" s="5">
        <f>IF(B110="I1",AVERAGEIF('QA_Images'!$A$2:$A$78,A110,'QA_Images'!$T$2:$T$78)/100,IF(D110="FULL",1,IF(D110="PARTIAL",0.5,IF(D110="FAIL",0,""))))</f>
        <v/>
      </c>
      <c r="F110" s="5">
        <f>IF(E110="",0,C110*E110)</f>
        <v/>
      </c>
      <c r="G110" s="5">
        <f>IF(B110="I1",20*AVERAGEIF('QA_Images'!$A$2:$A$78,A110,'QA_Images'!$U$2:$U$78)/100,IF(D110="NOT_CHECKED",0,C110))</f>
        <v/>
      </c>
      <c r="H110" s="2" t="inlineStr">
        <is>
          <t>Image coverage, image observations and alt text quality, derived from QA_Images. Derived from average image QA score; see QA_Images.</t>
        </is>
      </c>
      <c r="I110" s="2" t="inlineStr">
        <is>
          <t>evidence_batch_011_110</t>
        </is>
      </c>
      <c r="J110" s="2" t="inlineStr">
        <is>
          <t>ISSUE-0094; ISSUE-0095; ISSUE-0096; ISSUE-0097; ISSUE-0098</t>
        </is>
      </c>
    </row>
    <row r="111" ht="42" customHeight="1">
      <c r="A111" s="3" t="inlineStr">
        <is>
          <t>jeminise.com+custom-soccer-net-with-number-07-comforter-set-machine-washable-a7</t>
        </is>
      </c>
      <c r="B111" s="3" t="inlineStr">
        <is>
          <t>E1</t>
        </is>
      </c>
      <c r="C111" s="3" t="n">
        <v>5</v>
      </c>
      <c r="D111" s="3" t="inlineStr">
        <is>
          <t>PARTIAL</t>
        </is>
      </c>
      <c r="E111" s="7">
        <f>IF(B111="I1",AVERAGEIF('QA_Images'!$A$2:$A$78,A111,'QA_Images'!$T$2:$T$78)/100,IF(D111="FULL",1,IF(D111="PARTIAL",0.5,IF(D111="FAIL",0,""))))</f>
        <v/>
      </c>
      <c r="F111" s="7">
        <f>IF(E111="",0,C111*E111)</f>
        <v/>
      </c>
      <c r="G111" s="7">
        <f>IF(B111="I1",20*AVERAGEIF('QA_Images'!$A$2:$A$78,A111,'QA_Images'!$U$2:$U$78)/100,IF(D111="NOT_CHECKED",0,C111))</f>
        <v/>
      </c>
      <c r="H111" s="3" t="inlineStr">
        <is>
          <t>Evidence chain is traceable and limitations are explicitly separated from failures. Evidence chain is traceable, with admin-export limitation explicitly separated.</t>
        </is>
      </c>
      <c r="I111" s="3" t="inlineStr">
        <is>
          <t>evidence_batch_011_110</t>
        </is>
      </c>
      <c r="J111" s="3" t="inlineStr">
        <is>
          <t>ISSUE-0094; ISSUE-0095; ISSUE-0096; ISSUE-0097; ISSUE-0098</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8"/>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jeminise.com+custom-semi-truck-with-american-flag-background-comforter-104ae45e5d-104ae45e5d</t>
        </is>
      </c>
      <c r="B2" s="2" t="inlineStr">
        <is>
          <t>img_e29fe4d024cc217d</t>
        </is>
      </c>
      <c r="C2" s="4" t="inlineStr">
        <is>
          <t>https://cdn.shopify.com/s/files/1/0792/5098/1063/files/3b328383c995be54509b263af54b728aa2e6ffd82467fcae85efb7a7bbc8bbe9.jpg?v=1785132509</t>
        </is>
      </c>
      <c r="D2" s="4" t="inlineStr">
        <is>
          <t>https://cdn.shopify.com/s/files/1/0792/5098/1063/files/3b328383c995be54509b263af54b728aa2e6ffd82467fcae85efb7a7bbc8bbe9.jpg?v=1785132509</t>
        </is>
      </c>
      <c r="E2" s="2" t="inlineStr">
        <is>
          <t>47548693348551</t>
        </is>
      </c>
      <c r="F2" s="2" t="inlineStr">
        <is>
          <t>47548693348551</t>
        </is>
      </c>
      <c r="G2" s="2" t="inlineStr"/>
      <c r="H2" s="2" t="inlineStr">
        <is>
          <t>GALLERY</t>
        </is>
      </c>
      <c r="I2" s="2" t="inlineStr">
        <is>
          <t>DIRECT_IMAGE_DOWNLOAD_AND_SOURCE_ROW_REVIEW</t>
        </is>
      </c>
      <c r="J2" s="2" t="inlineStr">
        <is>
          <t>2026-09-07T18:39:49+07:00</t>
        </is>
      </c>
      <c r="K2" s="2" t="inlineStr">
        <is>
          <t>Direct QA opened downloaded image 101_01; source SHA 50BEC018821C6B829714AB5C03620F78111089EF3A85C729FA0AA7A771B7E79A. Submitted observation reviewed against gallery position.</t>
        </is>
      </c>
      <c r="L2" s="2" t="inlineStr">
        <is>
          <t>Main product mockup showing personalized Keep on Truckin semi truck comforter with American flag.</t>
        </is>
      </c>
      <c r="M2" s="2" t="inlineStr">
        <is>
          <t>UNKNOWN</t>
        </is>
      </c>
      <c r="N2" s="2" t="inlineStr">
        <is>
          <t>SET</t>
        </is>
      </c>
      <c r="O2" s="2" t="inlineStr">
        <is>
          <t>Personalized Keep On Truckin Semi Truck Comforter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D:\Shopify_Workspace\jeminise_seo\seo_runs\jeminise.com\20260906_234129\qa\20260907_181100\images\101_01.jpg; 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row>
    <row r="3" ht="66" customHeight="1">
      <c r="A3" s="3" t="inlineStr">
        <is>
          <t>jeminise.com+custom-semi-truck-with-american-flag-background-comforter-104ae45e5d-104ae45e5d</t>
        </is>
      </c>
      <c r="B3" s="3" t="inlineStr">
        <is>
          <t>img_d05f99d9ded67003</t>
        </is>
      </c>
      <c r="C3" s="4" t="inlineStr">
        <is>
          <t>https://cdn.shopify.com/s/files/1/0792/5098/1063/files/5a72649f12223279408a8ba4f60e4feccc572655cc0b5fbe85d070d456150657.jpg?v=1785132509</t>
        </is>
      </c>
      <c r="D3" s="4" t="inlineStr">
        <is>
          <t>https://cdn.shopify.com/s/files/1/0792/5098/1063/files/5a72649f12223279408a8ba4f60e4feccc572655cc0b5fbe85d070d456150657.jpg?v=1785132509</t>
        </is>
      </c>
      <c r="E3" s="3" t="inlineStr">
        <is>
          <t>47548693381319</t>
        </is>
      </c>
      <c r="F3" s="3" t="inlineStr">
        <is>
          <t>47548693381319</t>
        </is>
      </c>
      <c r="G3" s="3" t="inlineStr"/>
      <c r="H3" s="3" t="inlineStr">
        <is>
          <t>GALLERY</t>
        </is>
      </c>
      <c r="I3" s="3" t="inlineStr">
        <is>
          <t>DIRECT_IMAGE_DOWNLOAD_AND_SOURCE_ROW_REVIEW</t>
        </is>
      </c>
      <c r="J3" s="3" t="inlineStr">
        <is>
          <t>2026-09-07T18:39:49+07:00</t>
        </is>
      </c>
      <c r="K3" s="3" t="inlineStr">
        <is>
          <t>Direct QA opened downloaded image 101_02; source SHA 82800F10077909E9A457057C47C9BD641C28AA02B6C82DFF3B4549DF526534AF. Submitted observation reviewed against gallery position.</t>
        </is>
      </c>
      <c r="L3" s="3" t="inlineStr">
        <is>
          <t>Secondary flat, close-up or bedroom mockup showing personalized Keep on Truckin semi truck comforter with American flag.</t>
        </is>
      </c>
      <c r="M3" s="3" t="inlineStr">
        <is>
          <t>UNKNOWN</t>
        </is>
      </c>
      <c r="N3" s="3" t="inlineStr">
        <is>
          <t>SET</t>
        </is>
      </c>
      <c r="O3" s="3" t="inlineStr">
        <is>
          <t>Secondary mockup of Personalized Keep On Truckin Semi Truck Comforter</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D:\Shopify_Workspace\jeminise_seo\seo_runs\jeminise.com\20260906_234129\qa\20260907_181100\images\101_02.jpg; 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row>
    <row r="4" ht="66" customHeight="1">
      <c r="A4" s="2" t="inlineStr">
        <is>
          <t>jeminise.com+custom-semi-truck-with-american-flag-background-comforter-104ae45e5d-104ae45e5d</t>
        </is>
      </c>
      <c r="B4" s="2" t="inlineStr">
        <is>
          <t>img_033230617cc5d986</t>
        </is>
      </c>
      <c r="C4" s="4" t="inlineStr">
        <is>
          <t>https://cdn.shopify.com/s/files/1/0792/5098/1063/files/16f7293cbefa5743a35b2e6316a5a114e5c052d08151e367dafd26aa5e2e542b_8545ce0e-b9a2-48f6-9d25-38463fc247cf.jpg?v=1785132508</t>
        </is>
      </c>
      <c r="D4" s="4" t="inlineStr">
        <is>
          <t>https://cdn.shopify.com/s/files/1/0792/5098/1063/files/16f7293cbefa5743a35b2e6316a5a114e5c052d08151e367dafd26aa5e2e542b_8545ce0e-b9a2-48f6-9d25-38463fc247cf.jpg?v=1785132508</t>
        </is>
      </c>
      <c r="E4" s="2" t="inlineStr">
        <is>
          <t>47548693414087</t>
        </is>
      </c>
      <c r="F4" s="2" t="inlineStr">
        <is>
          <t>47548693414087</t>
        </is>
      </c>
      <c r="G4" s="2" t="inlineStr"/>
      <c r="H4" s="2" t="inlineStr">
        <is>
          <t>GALLERY</t>
        </is>
      </c>
      <c r="I4" s="2" t="inlineStr">
        <is>
          <t>DIRECT_IMAGE_DOWNLOAD_AND_SOURCE_ROW_REVIEW</t>
        </is>
      </c>
      <c r="J4" s="2" t="inlineStr">
        <is>
          <t>2026-09-07T18:39:49+07:00</t>
        </is>
      </c>
      <c r="K4" s="2" t="inlineStr">
        <is>
          <t>Direct QA opened downloaded image 101_03; source SHA D1D7BB2E7BBC330A530F2D07CC17846B4F9F5EF39CD3A33528B7908CF2BF0286. Submitted observation reviewed against gallery position.</t>
        </is>
      </c>
      <c r="L4" s="2" t="inlineStr">
        <is>
          <t>Bedding type, feature, lifestyle or material image for personalized Keep on Truckin semi truck comforter with American flag.</t>
        </is>
      </c>
      <c r="M4" s="2" t="inlineStr">
        <is>
          <t>UNKNOWN</t>
        </is>
      </c>
      <c r="N4" s="2" t="inlineStr">
        <is>
          <t>SET</t>
        </is>
      </c>
      <c r="O4" s="2" t="inlineStr">
        <is>
          <t>Product option, feature or lifestyle image for Personalized Keep On Truckin Semi Truck Comforter</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D:\Shopify_Workspace\jeminise_seo\seo_runs\jeminise.com\20260906_234129\qa\20260907_181100\images\101_03.jpg; 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row>
    <row r="5" ht="66" customHeight="1">
      <c r="A5" s="3" t="inlineStr">
        <is>
          <t>jeminise.com+custom-semi-truck-with-american-flag-background-comforter-104ae45e5d-104ae45e5d</t>
        </is>
      </c>
      <c r="B5" s="3" t="inlineStr">
        <is>
          <t>img_5ca66160f37163c6</t>
        </is>
      </c>
      <c r="C5" s="4" t="inlineStr">
        <is>
          <t>https://cdn.shopify.com/s/files/1/0792/5098/1063/files/acbb169b6180a5d5a284c57047db2a608ed28a3a238e325e3c27fc789a3511cc.jpg?v=1785132509</t>
        </is>
      </c>
      <c r="D5" s="4" t="inlineStr">
        <is>
          <t>https://cdn.shopify.com/s/files/1/0792/5098/1063/files/acbb169b6180a5d5a284c57047db2a608ed28a3a238e325e3c27fc789a3511cc.jpg?v=1785132509</t>
        </is>
      </c>
      <c r="E5" s="3" t="inlineStr">
        <is>
          <t>47548693446855</t>
        </is>
      </c>
      <c r="F5" s="3" t="inlineStr">
        <is>
          <t>47548693446855</t>
        </is>
      </c>
      <c r="G5" s="3" t="inlineStr"/>
      <c r="H5" s="3" t="inlineStr">
        <is>
          <t>GALLERY</t>
        </is>
      </c>
      <c r="I5" s="3" t="inlineStr">
        <is>
          <t>DIRECT_IMAGE_DOWNLOAD_AND_SOURCE_ROW_REVIEW</t>
        </is>
      </c>
      <c r="J5" s="3" t="inlineStr">
        <is>
          <t>2026-09-07T18:39:49+07:00</t>
        </is>
      </c>
      <c r="K5" s="3" t="inlineStr">
        <is>
          <t>Direct QA opened downloaded image 101_04; source SHA 50CACEA423C6298E664D608181CC77156ED53F66A7DF09EC80421470504B2576. Submitted observation reviewed against gallery position.</t>
        </is>
      </c>
      <c r="L5" s="3" t="inlineStr">
        <is>
          <t>Detail, feature panel or lifestyle image connected to personalized Keep on Truckin semi truck comforter with American flag.</t>
        </is>
      </c>
      <c r="M5" s="3" t="inlineStr">
        <is>
          <t>UNKNOWN</t>
        </is>
      </c>
      <c r="N5" s="3" t="inlineStr">
        <is>
          <t>SET</t>
        </is>
      </c>
      <c r="O5" s="3" t="inlineStr">
        <is>
          <t>Detail or feature image for Personalized Keep On Truckin Semi Truck Comforter</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D:\Shopify_Workspace\jeminise_seo\seo_runs\jeminise.com\20260906_234129\qa\20260907_181100\images\101_04.jpg; 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row>
    <row r="6" ht="66" customHeight="1">
      <c r="A6" s="2" t="inlineStr">
        <is>
          <t>jeminise.com+custom-semi-truck-with-american-flag-background-comforter-104ae45e5d-104ae45e5d</t>
        </is>
      </c>
      <c r="B6" s="2" t="inlineStr">
        <is>
          <t>img_a9bea15f1d76d840</t>
        </is>
      </c>
      <c r="C6" s="4" t="inlineStr">
        <is>
          <t>https://cdn.shopify.com/s/files/1/0792/5098/1063/files/2cf8e8740cc4e9f648f45a3cc8860feca87eed6ed2ebe6db1806a7a72c904174.jpg?v=1785132508</t>
        </is>
      </c>
      <c r="D6" s="4" t="inlineStr">
        <is>
          <t>https://cdn.shopify.com/s/files/1/0792/5098/1063/files/2cf8e8740cc4e9f648f45a3cc8860feca87eed6ed2ebe6db1806a7a72c904174.jpg?v=1785132508</t>
        </is>
      </c>
      <c r="E6" s="2" t="inlineStr">
        <is>
          <t>47548693479623</t>
        </is>
      </c>
      <c r="F6" s="2" t="inlineStr">
        <is>
          <t>47548693479623</t>
        </is>
      </c>
      <c r="G6" s="2" t="inlineStr"/>
      <c r="H6" s="2" t="inlineStr">
        <is>
          <t>GALLERY</t>
        </is>
      </c>
      <c r="I6" s="2" t="inlineStr">
        <is>
          <t>DIRECT_IMAGE_DOWNLOAD_AND_SOURCE_ROW_REVIEW</t>
        </is>
      </c>
      <c r="J6" s="2" t="inlineStr">
        <is>
          <t>2026-09-07T18:39:49+07:00</t>
        </is>
      </c>
      <c r="K6" s="2" t="inlineStr">
        <is>
          <t>Direct QA opened downloaded image 101_05; source SHA 624F5B75CF15A2470D7A596E69D6D7ED578F2D03E7FC5ACB2299F17E47195073. Submitted observation reviewed against gallery position.</t>
        </is>
      </c>
      <c r="L6" s="2" t="inlineStr">
        <is>
          <t>Additional mockup, care or size information for personalized Keep on Truckin semi truck comforter with American flag.</t>
        </is>
      </c>
      <c r="M6" s="2" t="inlineStr">
        <is>
          <t>UNKNOWN</t>
        </is>
      </c>
      <c r="N6" s="2" t="inlineStr">
        <is>
          <t>SET</t>
        </is>
      </c>
      <c r="O6" s="2" t="inlineStr">
        <is>
          <t>Additional product mockup or care information for Personalized Keep On Truckin Semi Truck Comforter</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D:\Shopify_Workspace\jeminise_seo\seo_runs\jeminise.com\20260906_234129\qa\20260907_181100\images\101_05.jpg; 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row>
    <row r="7" ht="66" customHeight="1">
      <c r="A7" s="3" t="inlineStr">
        <is>
          <t>jeminise.com+custom-semi-truck-with-american-flag-background-comforter-104ae45e5d-104ae45e5d</t>
        </is>
      </c>
      <c r="B7" s="3" t="inlineStr">
        <is>
          <t>img_454d5bf0a0ec8f83</t>
        </is>
      </c>
      <c r="C7" s="4" t="inlineStr">
        <is>
          <t>https://cdn.shopify.com/s/files/1/0792/5098/1063/files/7c006bddc94d4763c71c8376307e195c1bbce73b8c802ec73ac5a8cef1291262_848066e2-c73f-4a34-bc01-26c2845f2dd2.jpg?v=1785132508</t>
        </is>
      </c>
      <c r="D7" s="4" t="inlineStr">
        <is>
          <t>https://cdn.shopify.com/s/files/1/0792/5098/1063/files/7c006bddc94d4763c71c8376307e195c1bbce73b8c802ec73ac5a8cef1291262_848066e2-c73f-4a34-bc01-26c2845f2dd2.jpg?v=1785132508</t>
        </is>
      </c>
      <c r="E7" s="3" t="inlineStr">
        <is>
          <t>47548693512391</t>
        </is>
      </c>
      <c r="F7" s="3" t="inlineStr">
        <is>
          <t>47548693512391</t>
        </is>
      </c>
      <c r="G7" s="3" t="inlineStr"/>
      <c r="H7" s="3" t="inlineStr">
        <is>
          <t>GALLERY</t>
        </is>
      </c>
      <c r="I7" s="3" t="inlineStr">
        <is>
          <t>DIRECT_IMAGE_DOWNLOAD_AND_SOURCE_ROW_REVIEW</t>
        </is>
      </c>
      <c r="J7" s="3" t="inlineStr">
        <is>
          <t>2026-09-07T18:39:49+07:00</t>
        </is>
      </c>
      <c r="K7" s="3" t="inlineStr">
        <is>
          <t>Direct QA opened downloaded image 101_06; source SHA C44DD8C415D82F46E3913622731FCF66776A9B3B86746179C808AE27D8DDE649. Submitted observation reviewed against gallery position.</t>
        </is>
      </c>
      <c r="L7" s="3" t="inlineStr">
        <is>
          <t>Easy-care, size guide or product feature image for personalized Keep on Truckin semi truck comforter with American flag.</t>
        </is>
      </c>
      <c r="M7" s="3" t="inlineStr">
        <is>
          <t>UNKNOWN</t>
        </is>
      </c>
      <c r="N7" s="3" t="inlineStr">
        <is>
          <t>SET</t>
        </is>
      </c>
      <c r="O7" s="3" t="inlineStr">
        <is>
          <t>Care, size or product feature image for Personalized Keep On Truckin Semi Truck Comforter</t>
        </is>
      </c>
      <c r="P7" s="3" t="inlineStr">
        <is>
          <t>FULL</t>
        </is>
      </c>
      <c r="Q7" s="3" t="inlineStr">
        <is>
          <t>PARTIAL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ISSUE-0008</t>
        </is>
      </c>
      <c r="Z7" s="3" t="inlineStr">
        <is>
          <t>D:\Shopify_Workspace\jeminise_seo\seo_runs\jeminise.com\20260906_234129\qa\20260907_181100\images\101_06.jpg; 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row>
    <row r="8" ht="66" customHeight="1">
      <c r="A8" s="2" t="inlineStr">
        <is>
          <t>jeminise.com+custom-semi-truck-with-american-flag-background-comforter-104ae45e5d-104ae45e5d</t>
        </is>
      </c>
      <c r="B8" s="2" t="inlineStr">
        <is>
          <t>img_6e18aa0cc5aa4999</t>
        </is>
      </c>
      <c r="C8" s="4" t="inlineStr">
        <is>
          <t>https://cdn.shopify.com/s/files/1/0792/5098/1063/files/e5cad84edb4d7bf77c48fd7c8e52eb3b73f04eba8bf177671fd8a059c59422e8_0dcf69cb-e73b-4a03-b131-3b86abcfe91a.jpg?v=1785132508</t>
        </is>
      </c>
      <c r="D8" s="4" t="inlineStr">
        <is>
          <t>https://cdn.shopify.com/s/files/1/0792/5098/1063/files/e5cad84edb4d7bf77c48fd7c8e52eb3b73f04eba8bf177671fd8a059c59422e8_0dcf69cb-e73b-4a03-b131-3b86abcfe91a.jpg?v=1785132508</t>
        </is>
      </c>
      <c r="E8" s="2" t="inlineStr">
        <is>
          <t>47548693545159</t>
        </is>
      </c>
      <c r="F8" s="2" t="inlineStr">
        <is>
          <t>47548693545159</t>
        </is>
      </c>
      <c r="G8" s="2" t="inlineStr"/>
      <c r="H8" s="2" t="inlineStr">
        <is>
          <t>GALLERY</t>
        </is>
      </c>
      <c r="I8" s="2" t="inlineStr">
        <is>
          <t>DIRECT_IMAGE_DOWNLOAD_AND_SOURCE_ROW_REVIEW</t>
        </is>
      </c>
      <c r="J8" s="2" t="inlineStr">
        <is>
          <t>2026-09-07T18:39:49+07:00</t>
        </is>
      </c>
      <c r="K8" s="2" t="inlineStr">
        <is>
          <t>Direct QA opened downloaded image 101_07; source SHA CBACE79DF808456717E0EA3890B77255D63C670205730AD0356ABCD79BF0116C. Submitted observation reviewed against gallery position.</t>
        </is>
      </c>
      <c r="L8" s="2" t="inlineStr">
        <is>
          <t>Additional lifestyle, feature or product detail image showing personalized Keep on Truckin semi truck comforter with American flag.</t>
        </is>
      </c>
      <c r="M8" s="2" t="inlineStr">
        <is>
          <t>UNKNOWN</t>
        </is>
      </c>
      <c r="N8" s="2" t="inlineStr">
        <is>
          <t>SET</t>
        </is>
      </c>
      <c r="O8" s="2" t="inlineStr">
        <is>
          <t>Additional product mockup of Personalized Keep On Truckin Semi Truck Comforter</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ISSUE-0009</t>
        </is>
      </c>
      <c r="Z8" s="2" t="inlineStr">
        <is>
          <t>D:\Shopify_Workspace\jeminise_seo\seo_runs\jeminise.com\20260906_234129\qa\20260907_181100\images\101_07.jpg; 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row>
    <row r="9" ht="66" customHeight="1">
      <c r="A9" s="3" t="inlineStr">
        <is>
          <t>jeminise.com+custom-soccer-ball-cleats-personalized-comforter-set-machine-washable</t>
        </is>
      </c>
      <c r="B9" s="3" t="inlineStr">
        <is>
          <t>img_528c1b9fe18ef1b9</t>
        </is>
      </c>
      <c r="C9" s="4" t="inlineStr">
        <is>
          <t>https://cdn.shopify.com/s/files/1/0792/5098/1063/files/3afc018e90ed49ef925c143f160e13a00ecff6c51398c938910988b9aa62eee5.jpg?v=1786611045</t>
        </is>
      </c>
      <c r="D9" s="4" t="inlineStr">
        <is>
          <t>https://cdn.shopify.com/s/files/1/0792/5098/1063/files/3afc018e90ed49ef925c143f160e13a00ecff6c51398c938910988b9aa62eee5.jpg?v=1786611045</t>
        </is>
      </c>
      <c r="E9" s="3" t="inlineStr">
        <is>
          <t>47833444188359</t>
        </is>
      </c>
      <c r="F9" s="3" t="inlineStr">
        <is>
          <t>47833444188359</t>
        </is>
      </c>
      <c r="G9" s="3" t="inlineStr"/>
      <c r="H9" s="3" t="inlineStr">
        <is>
          <t>GALLERY</t>
        </is>
      </c>
      <c r="I9" s="3" t="inlineStr">
        <is>
          <t>DIRECT_IMAGE_DOWNLOAD_AND_SOURCE_ROW_REVIEW</t>
        </is>
      </c>
      <c r="J9" s="3" t="inlineStr">
        <is>
          <t>2026-09-07T18:39:49+07:00</t>
        </is>
      </c>
      <c r="K9" s="3" t="inlineStr">
        <is>
          <t>Direct QA opened downloaded image 102_01; source SHA E4A7FAFDB26052AA063B31EDEA6BC0FDDEBF809BA1AD797EB46FAFBD2A01FCA2. Submitted observation reviewed against gallery position.</t>
        </is>
      </c>
      <c r="L9" s="3" t="inlineStr">
        <is>
          <t>Main product mockup showing personalized soccer cleats comforter with Alexis number 07.</t>
        </is>
      </c>
      <c r="M9" s="3" t="inlineStr">
        <is>
          <t>UNKNOWN</t>
        </is>
      </c>
      <c r="N9" s="3" t="inlineStr">
        <is>
          <t>SET</t>
        </is>
      </c>
      <c r="O9" s="3" t="inlineStr">
        <is>
          <t>Personalized Soccer Cleats Comforter displayed in a main product mockup</t>
        </is>
      </c>
      <c r="P9" s="3" t="inlineStr">
        <is>
          <t>FULL</t>
        </is>
      </c>
      <c r="Q9" s="3" t="inlineStr">
        <is>
          <t>FULL</t>
        </is>
      </c>
      <c r="R9" s="3" t="inlineStr">
        <is>
          <t>PARTIAL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ISSUE-0015</t>
        </is>
      </c>
      <c r="Z9" s="3" t="inlineStr">
        <is>
          <t>D:\Shopify_Workspace\jeminise_seo\seo_runs\jeminise.com\20260906_234129\qa\20260907_181100\images\102_01.jpg; seo_runs\jeminise.com\20260906_234129\evidence\images\102_custom-soccer-ball-cleats-personalized-comforter-set-machine-washable\image_01_47833444188359.jpg; seo_runs\jeminise.com\20260906_234129\evidence\contact_sheets\102_custom-soccer-ball-cleats-personalized-comforter-set-machine-washable.jpg</t>
        </is>
      </c>
    </row>
    <row r="10" ht="66" customHeight="1">
      <c r="A10" s="2" t="inlineStr">
        <is>
          <t>jeminise.com+custom-soccer-ball-cleats-personalized-comforter-set-machine-washable</t>
        </is>
      </c>
      <c r="B10" s="2" t="inlineStr">
        <is>
          <t>img_0e86050132aaaada</t>
        </is>
      </c>
      <c r="C10" s="4" t="inlineStr">
        <is>
          <t>https://cdn.shopify.com/s/files/1/0792/5098/1063/files/853d2abb96fc99745b7d0d14923249d8511e73900ecb3d6dd11282145d533cc2.jpg?v=1786611045</t>
        </is>
      </c>
      <c r="D10" s="4" t="inlineStr">
        <is>
          <t>https://cdn.shopify.com/s/files/1/0792/5098/1063/files/853d2abb96fc99745b7d0d14923249d8511e73900ecb3d6dd11282145d533cc2.jpg?v=1786611045</t>
        </is>
      </c>
      <c r="E10" s="2" t="inlineStr">
        <is>
          <t>47833444221127</t>
        </is>
      </c>
      <c r="F10" s="2" t="inlineStr">
        <is>
          <t>47833444221127</t>
        </is>
      </c>
      <c r="G10" s="2" t="inlineStr"/>
      <c r="H10" s="2" t="inlineStr">
        <is>
          <t>GALLERY</t>
        </is>
      </c>
      <c r="I10" s="2" t="inlineStr">
        <is>
          <t>DIRECT_IMAGE_DOWNLOAD_AND_SOURCE_ROW_REVIEW</t>
        </is>
      </c>
      <c r="J10" s="2" t="inlineStr">
        <is>
          <t>2026-09-07T18:39:49+07:00</t>
        </is>
      </c>
      <c r="K10" s="2" t="inlineStr">
        <is>
          <t>Direct QA opened downloaded image 102_02; source SHA 64B70BB1EA098241CE0605C24504CE83B47639BBDF4744C5FF359145BE1CE857. Submitted observation reviewed against gallery position.</t>
        </is>
      </c>
      <c r="L10" s="2" t="inlineStr">
        <is>
          <t>Secondary flat, close-up or bedroom mockup showing personalized soccer cleats comforter with Alexis number 07.</t>
        </is>
      </c>
      <c r="M10" s="2" t="inlineStr">
        <is>
          <t>UNKNOWN</t>
        </is>
      </c>
      <c r="N10" s="2" t="inlineStr">
        <is>
          <t>SET</t>
        </is>
      </c>
      <c r="O10" s="2" t="inlineStr">
        <is>
          <t>Secondary mockup of Personalized Soccer Cleats Comforter</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c r="Z10" s="2" t="inlineStr">
        <is>
          <t>D:\Shopify_Workspace\jeminise_seo\seo_runs\jeminise.com\20260906_234129\qa\20260907_181100\images\102_02.jpg; seo_runs\jeminise.com\20260906_234129\evidence\images\102_custom-soccer-ball-cleats-personalized-comforter-set-machine-washable\image_02_47833444221127.jpg; seo_runs\jeminise.com\20260906_234129\evidence\contact_sheets\102_custom-soccer-ball-cleats-personalized-comforter-set-machine-washable.jpg</t>
        </is>
      </c>
    </row>
    <row r="11" ht="66" customHeight="1">
      <c r="A11" s="3" t="inlineStr">
        <is>
          <t>jeminise.com+custom-soccer-ball-cleats-personalized-comforter-set-machine-washable</t>
        </is>
      </c>
      <c r="B11" s="3" t="inlineStr">
        <is>
          <t>img_9f498ef35aca7663</t>
        </is>
      </c>
      <c r="C11" s="4" t="inlineStr">
        <is>
          <t>https://cdn.shopify.com/s/files/1/0792/5098/1063/files/5362f06de02f8fe4ecf4c49af6b8fbdc72b6839ac032fb1c1d6a0f34181df88d.jpg?v=1786611045</t>
        </is>
      </c>
      <c r="D11" s="4" t="inlineStr">
        <is>
          <t>https://cdn.shopify.com/s/files/1/0792/5098/1063/files/5362f06de02f8fe4ecf4c49af6b8fbdc72b6839ac032fb1c1d6a0f34181df88d.jpg?v=1786611045</t>
        </is>
      </c>
      <c r="E11" s="3" t="inlineStr">
        <is>
          <t>47833444253895</t>
        </is>
      </c>
      <c r="F11" s="3" t="inlineStr">
        <is>
          <t>47833444253895</t>
        </is>
      </c>
      <c r="G11" s="3" t="inlineStr"/>
      <c r="H11" s="3" t="inlineStr">
        <is>
          <t>GALLERY</t>
        </is>
      </c>
      <c r="I11" s="3" t="inlineStr">
        <is>
          <t>DIRECT_IMAGE_DOWNLOAD_AND_SOURCE_ROW_REVIEW</t>
        </is>
      </c>
      <c r="J11" s="3" t="inlineStr">
        <is>
          <t>2026-09-07T18:39:49+07:00</t>
        </is>
      </c>
      <c r="K11" s="3" t="inlineStr">
        <is>
          <t>Direct QA opened downloaded image 102_03; source SHA 0F49076EB10224D5EFC4D27E83146941D2171071950E9B8572F4A4692D9343DD. Submitted observation reviewed against gallery position.</t>
        </is>
      </c>
      <c r="L11" s="3" t="inlineStr">
        <is>
          <t>Bedding type, feature, lifestyle or material image for personalized soccer cleats comforter with Alexis number 07.</t>
        </is>
      </c>
      <c r="M11" s="3" t="inlineStr">
        <is>
          <t>UNKNOWN</t>
        </is>
      </c>
      <c r="N11" s="3" t="inlineStr">
        <is>
          <t>SET</t>
        </is>
      </c>
      <c r="O11" s="3" t="inlineStr">
        <is>
          <t>Product option, feature or lifestyle image for Personalized Soccer Cleats Comforter</t>
        </is>
      </c>
      <c r="P11" s="3" t="inlineStr">
        <is>
          <t>FULL</t>
        </is>
      </c>
      <c r="Q11" s="3" t="inlineStr">
        <is>
          <t>PARTIAL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ISSUE-0016</t>
        </is>
      </c>
      <c r="Z11" s="3" t="inlineStr">
        <is>
          <t>D:\Shopify_Workspace\jeminise_seo\seo_runs\jeminise.com\20260906_234129\qa\20260907_181100\images\102_03.jpg; seo_runs\jeminise.com\20260906_234129\evidence\images\102_custom-soccer-ball-cleats-personalized-comforter-set-machine-washable\image_03_47833444253895.jpg; seo_runs\jeminise.com\20260906_234129\evidence\contact_sheets\102_custom-soccer-ball-cleats-personalized-comforter-set-machine-washable.jpg</t>
        </is>
      </c>
    </row>
    <row r="12" ht="66" customHeight="1">
      <c r="A12" s="2" t="inlineStr">
        <is>
          <t>jeminise.com+custom-soccer-ball-cleats-personalized-comforter-set-machine-washable</t>
        </is>
      </c>
      <c r="B12" s="2" t="inlineStr">
        <is>
          <t>img_5e52d7a16b4442e3</t>
        </is>
      </c>
      <c r="C12" s="4" t="inlineStr">
        <is>
          <t>https://cdn.shopify.com/s/files/1/0792/5098/1063/files/0b1d1e19cab6d757366a36700f895ecca060303e705a8aece2f5fa486b6770da_be61eea0-f110-43df-83bb-ae00fb92f24c.jpg?v=1786611045</t>
        </is>
      </c>
      <c r="D12" s="4" t="inlineStr">
        <is>
          <t>https://cdn.shopify.com/s/files/1/0792/5098/1063/files/0b1d1e19cab6d757366a36700f895ecca060303e705a8aece2f5fa486b6770da_be61eea0-f110-43df-83bb-ae00fb92f24c.jpg?v=1786611045</t>
        </is>
      </c>
      <c r="E12" s="2" t="inlineStr">
        <is>
          <t>47833444286663</t>
        </is>
      </c>
      <c r="F12" s="2" t="inlineStr">
        <is>
          <t>47833444286663</t>
        </is>
      </c>
      <c r="G12" s="2" t="inlineStr"/>
      <c r="H12" s="2" t="inlineStr">
        <is>
          <t>GALLERY</t>
        </is>
      </c>
      <c r="I12" s="2" t="inlineStr">
        <is>
          <t>DIRECT_IMAGE_DOWNLOAD_AND_SOURCE_ROW_REVIEW</t>
        </is>
      </c>
      <c r="J12" s="2" t="inlineStr">
        <is>
          <t>2026-09-07T18:39:49+07:00</t>
        </is>
      </c>
      <c r="K12" s="2" t="inlineStr">
        <is>
          <t>Direct QA opened downloaded image 102_04; source SHA D163E535A13D9D9230E528281552C4CCDEE56CB1F4A0CA3A6A15C697CB8A43F7. Submitted observation reviewed against gallery position.</t>
        </is>
      </c>
      <c r="L12" s="2" t="inlineStr">
        <is>
          <t>Detail, feature panel or lifestyle image connected to personalized soccer cleats comforter with Alexis number 07.</t>
        </is>
      </c>
      <c r="M12" s="2" t="inlineStr">
        <is>
          <t>UNKNOWN</t>
        </is>
      </c>
      <c r="N12" s="2" t="inlineStr">
        <is>
          <t>SET</t>
        </is>
      </c>
      <c r="O12" s="2" t="inlineStr">
        <is>
          <t>Detail or feature image for Personalized Soccer Cleats Comforter</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ISSUE-0017</t>
        </is>
      </c>
      <c r="Z12" s="2" t="inlineStr">
        <is>
          <t>D:\Shopify_Workspace\jeminise_seo\seo_runs\jeminise.com\20260906_234129\qa\20260907_181100\images\102_04.jpg; seo_runs\jeminise.com\20260906_234129\evidence\images\102_custom-soccer-ball-cleats-personalized-comforter-set-machine-washable\image_04_47833444286663.jpg; seo_runs\jeminise.com\20260906_234129\evidence\contact_sheets\102_custom-soccer-ball-cleats-personalized-comforter-set-machine-washable.jpg</t>
        </is>
      </c>
    </row>
    <row r="13" ht="66" customHeight="1">
      <c r="A13" s="3" t="inlineStr">
        <is>
          <t>jeminise.com+custom-soccer-ball-cleats-personalized-comforter-set-machine-washable</t>
        </is>
      </c>
      <c r="B13" s="3" t="inlineStr">
        <is>
          <t>img_bb3c6462e874ae8d</t>
        </is>
      </c>
      <c r="C13" s="4" t="inlineStr">
        <is>
          <t>https://cdn.shopify.com/s/files/1/0792/5098/1063/files/15f9c4be9f852f86496ec17edfcb3959b6568999d70ef06031f97dfdc4f4e51b.jpg?v=1786611045</t>
        </is>
      </c>
      <c r="D13" s="4" t="inlineStr">
        <is>
          <t>https://cdn.shopify.com/s/files/1/0792/5098/1063/files/15f9c4be9f852f86496ec17edfcb3959b6568999d70ef06031f97dfdc4f4e51b.jpg?v=1786611045</t>
        </is>
      </c>
      <c r="E13" s="3" t="inlineStr">
        <is>
          <t>47833444319431</t>
        </is>
      </c>
      <c r="F13" s="3" t="inlineStr">
        <is>
          <t>47833444319431</t>
        </is>
      </c>
      <c r="G13" s="3" t="inlineStr"/>
      <c r="H13" s="3" t="inlineStr">
        <is>
          <t>GALLERY</t>
        </is>
      </c>
      <c r="I13" s="3" t="inlineStr">
        <is>
          <t>DIRECT_IMAGE_DOWNLOAD_AND_SOURCE_ROW_REVIEW</t>
        </is>
      </c>
      <c r="J13" s="3" t="inlineStr">
        <is>
          <t>2026-09-07T18:39:49+07:00</t>
        </is>
      </c>
      <c r="K13" s="3" t="inlineStr">
        <is>
          <t>Direct QA opened downloaded image 102_05; source SHA E42978A1BE9921C3D6DB4EAD3C4F0A72DCE297C00C7239E59373EE79BDBD4483. Submitted observation reviewed against gallery position.</t>
        </is>
      </c>
      <c r="L13" s="3" t="inlineStr">
        <is>
          <t>Additional mockup, care or size information for personalized soccer cleats comforter with Alexis number 07.</t>
        </is>
      </c>
      <c r="M13" s="3" t="inlineStr">
        <is>
          <t>UNKNOWN</t>
        </is>
      </c>
      <c r="N13" s="3" t="inlineStr">
        <is>
          <t>SET</t>
        </is>
      </c>
      <c r="O13" s="3" t="inlineStr">
        <is>
          <t>Additional product mockup or care information for Personalized Soccer Cleats Comforter</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c r="Z13" s="3" t="inlineStr">
        <is>
          <t>D:\Shopify_Workspace\jeminise_seo\seo_runs\jeminise.com\20260906_234129\qa\20260907_181100\images\102_05.jpg; seo_runs\jeminise.com\20260906_234129\evidence\images\102_custom-soccer-ball-cleats-personalized-comforter-set-machine-washable\image_05_47833444319431.jpg; seo_runs\jeminise.com\20260906_234129\evidence\contact_sheets\102_custom-soccer-ball-cleats-personalized-comforter-set-machine-washable.jpg</t>
        </is>
      </c>
    </row>
    <row r="14" ht="66" customHeight="1">
      <c r="A14" s="2" t="inlineStr">
        <is>
          <t>jeminise.com+custom-soccer-ball-cleats-personalized-comforter-set-machine-washable</t>
        </is>
      </c>
      <c r="B14" s="2" t="inlineStr">
        <is>
          <t>img_5dc38200673bfb6e</t>
        </is>
      </c>
      <c r="C14" s="4" t="inlineStr">
        <is>
          <t>https://cdn.shopify.com/s/files/1/0792/5098/1063/files/bdd70066a735fd65ca8f22b14e13e7e7d8f1a8473be945bbd71d518ab775916d.jpg?v=1786611045</t>
        </is>
      </c>
      <c r="D14" s="4" t="inlineStr">
        <is>
          <t>https://cdn.shopify.com/s/files/1/0792/5098/1063/files/bdd70066a735fd65ca8f22b14e13e7e7d8f1a8473be945bbd71d518ab775916d.jpg?v=1786611045</t>
        </is>
      </c>
      <c r="E14" s="2" t="inlineStr">
        <is>
          <t>47833444352199</t>
        </is>
      </c>
      <c r="F14" s="2" t="inlineStr">
        <is>
          <t>47833444352199</t>
        </is>
      </c>
      <c r="G14" s="2" t="inlineStr"/>
      <c r="H14" s="2" t="inlineStr">
        <is>
          <t>GALLERY</t>
        </is>
      </c>
      <c r="I14" s="2" t="inlineStr">
        <is>
          <t>DIRECT_IMAGE_DOWNLOAD_AND_SOURCE_ROW_REVIEW</t>
        </is>
      </c>
      <c r="J14" s="2" t="inlineStr">
        <is>
          <t>2026-09-07T18:39:49+07:00</t>
        </is>
      </c>
      <c r="K14" s="2" t="inlineStr">
        <is>
          <t>Direct QA opened downloaded image 102_06; source SHA 62DBEC359926676C7B75003424D2FA9C0CE404D0FE08CD379F0CCED8ACC5C01D. Submitted observation reviewed against gallery position.</t>
        </is>
      </c>
      <c r="L14" s="2" t="inlineStr">
        <is>
          <t>Easy-care, size guide or product feature image for personalized soccer cleats comforter with Alexis number 07.</t>
        </is>
      </c>
      <c r="M14" s="2" t="inlineStr">
        <is>
          <t>UNKNOWN</t>
        </is>
      </c>
      <c r="N14" s="2" t="inlineStr">
        <is>
          <t>SET</t>
        </is>
      </c>
      <c r="O14" s="2" t="inlineStr">
        <is>
          <t>Care, size or product feature image for Personalized Soccer Cleats Comforter</t>
        </is>
      </c>
      <c r="P14" s="2" t="inlineStr">
        <is>
          <t>FULL</t>
        </is>
      </c>
      <c r="Q14" s="2" t="inlineStr">
        <is>
          <t>PARTIAL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ISSUE-0018</t>
        </is>
      </c>
      <c r="Z14" s="2" t="inlineStr">
        <is>
          <t>D:\Shopify_Workspace\jeminise_seo\seo_runs\jeminise.com\20260906_234129\qa\20260907_181100\images\102_06.jpg; seo_runs\jeminise.com\20260906_234129\evidence\images\102_custom-soccer-ball-cleats-personalized-comforter-set-machine-washable\image_06_47833444352199.jpg; seo_runs\jeminise.com\20260906_234129\evidence\contact_sheets\102_custom-soccer-ball-cleats-personalized-comforter-set-machine-washable.jpg</t>
        </is>
      </c>
    </row>
    <row r="15" ht="66" customHeight="1">
      <c r="A15" s="3" t="inlineStr">
        <is>
          <t>jeminise.com+custom-soccer-ball-cleats-personalized-comforter-set-machine-washable</t>
        </is>
      </c>
      <c r="B15" s="3" t="inlineStr">
        <is>
          <t>img_25e5c8858511081e</t>
        </is>
      </c>
      <c r="C15" s="4" t="inlineStr">
        <is>
          <t>https://cdn.shopify.com/s/files/1/0792/5098/1063/files/d761ea3ae4f4c0b26b7473177b21a616c5199552823ec637c64fe7b0d6b0f12f_112bfa92-667b-4b1e-b14e-46ce602ac9ea.jpg?v=1786611045</t>
        </is>
      </c>
      <c r="D15" s="4" t="inlineStr">
        <is>
          <t>https://cdn.shopify.com/s/files/1/0792/5098/1063/files/d761ea3ae4f4c0b26b7473177b21a616c5199552823ec637c64fe7b0d6b0f12f_112bfa92-667b-4b1e-b14e-46ce602ac9ea.jpg?v=1786611045</t>
        </is>
      </c>
      <c r="E15" s="3" t="inlineStr">
        <is>
          <t>47833444384967</t>
        </is>
      </c>
      <c r="F15" s="3" t="inlineStr">
        <is>
          <t>47833444384967</t>
        </is>
      </c>
      <c r="G15" s="3" t="inlineStr"/>
      <c r="H15" s="3" t="inlineStr">
        <is>
          <t>GALLERY</t>
        </is>
      </c>
      <c r="I15" s="3" t="inlineStr">
        <is>
          <t>DIRECT_IMAGE_DOWNLOAD_AND_SOURCE_ROW_REVIEW</t>
        </is>
      </c>
      <c r="J15" s="3" t="inlineStr">
        <is>
          <t>2026-09-07T18:39:49+07:00</t>
        </is>
      </c>
      <c r="K15" s="3" t="inlineStr">
        <is>
          <t>Direct QA opened downloaded image 102_07; source SHA 11391A3D5FF710D0446467E71868A92B2311629C094445B8B61DF990CDE0589A. Submitted observation reviewed against gallery position.</t>
        </is>
      </c>
      <c r="L15" s="3" t="inlineStr">
        <is>
          <t>Additional lifestyle, feature or product detail image showing personalized soccer cleats comforter with Alexis number 07.</t>
        </is>
      </c>
      <c r="M15" s="3" t="inlineStr">
        <is>
          <t>UNKNOWN</t>
        </is>
      </c>
      <c r="N15" s="3" t="inlineStr">
        <is>
          <t>SET</t>
        </is>
      </c>
      <c r="O15" s="3" t="inlineStr">
        <is>
          <t>Additional product mockup of Personalized Soccer Cleats Comforter</t>
        </is>
      </c>
      <c r="P15" s="3" t="inlineStr">
        <is>
          <t>FULL</t>
        </is>
      </c>
      <c r="Q15" s="3" t="inlineStr">
        <is>
          <t>PARTIAL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ISSUE-0019</t>
        </is>
      </c>
      <c r="Z15" s="3" t="inlineStr">
        <is>
          <t>D:\Shopify_Workspace\jeminise_seo\seo_runs\jeminise.com\20260906_234129\qa\20260907_181100\images\102_07.jpg; seo_runs\jeminise.com\20260906_234129\evidence\images\102_custom-soccer-ball-cleats-personalized-comforter-set-machine-washable\image_07_47833444384967.jpg; seo_runs\jeminise.com\20260906_234129\evidence\contact_sheets\102_custom-soccer-ball-cleats-personalized-comforter-set-machine-washable.jpg</t>
        </is>
      </c>
    </row>
    <row r="16" ht="66" customHeight="1">
      <c r="A16" s="2" t="inlineStr">
        <is>
          <t>jeminise.com+custom-soccer-ball-cleats-personalized-comforter-set-machine-washable</t>
        </is>
      </c>
      <c r="B16" s="2" t="inlineStr">
        <is>
          <t>img_12ff4c5f6d084cc8</t>
        </is>
      </c>
      <c r="C16" s="4" t="inlineStr">
        <is>
          <t>https://cdn.shopify.com/s/files/1/0792/5098/1063/files/dd6b2f75d5d331064be3e2ace151f6872c3f1f67675d8c1c7fa00f207341180b_60f212b7-b79b-45e6-8e22-e0a6a0e3e447.jpg?v=1786611045</t>
        </is>
      </c>
      <c r="D16" s="4" t="inlineStr">
        <is>
          <t>https://cdn.shopify.com/s/files/1/0792/5098/1063/files/dd6b2f75d5d331064be3e2ace151f6872c3f1f67675d8c1c7fa00f207341180b_60f212b7-b79b-45e6-8e22-e0a6a0e3e447.jpg?v=1786611045</t>
        </is>
      </c>
      <c r="E16" s="2" t="inlineStr">
        <is>
          <t>47833444417735</t>
        </is>
      </c>
      <c r="F16" s="2" t="inlineStr">
        <is>
          <t>47833444417735</t>
        </is>
      </c>
      <c r="G16" s="2" t="inlineStr"/>
      <c r="H16" s="2" t="inlineStr">
        <is>
          <t>GALLERY</t>
        </is>
      </c>
      <c r="I16" s="2" t="inlineStr">
        <is>
          <t>DIRECT_IMAGE_DOWNLOAD_AND_SOURCE_ROW_REVIEW</t>
        </is>
      </c>
      <c r="J16" s="2" t="inlineStr">
        <is>
          <t>2026-09-07T18:39:49+07:00</t>
        </is>
      </c>
      <c r="K16" s="2" t="inlineStr">
        <is>
          <t>Direct QA opened downloaded image 102_08; source SHA 20695A7BBFC81C154D78FA65E875BD671D43CF32FD78E26B6AA18B105B7CABED. Submitted observation reviewed against gallery position.</t>
        </is>
      </c>
      <c r="L16" s="2" t="inlineStr">
        <is>
          <t>Additional lifestyle, feature or product detail image showing personalized soccer cleats comforter with Alexis number 07.</t>
        </is>
      </c>
      <c r="M16" s="2" t="inlineStr">
        <is>
          <t>UNKNOWN</t>
        </is>
      </c>
      <c r="N16" s="2" t="inlineStr">
        <is>
          <t>SET</t>
        </is>
      </c>
      <c r="O16" s="2" t="inlineStr">
        <is>
          <t>Lifestyle use image for Personalized Soccer Cleats Comforter</t>
        </is>
      </c>
      <c r="P16" s="2" t="inlineStr">
        <is>
          <t>FULL</t>
        </is>
      </c>
      <c r="Q16" s="2" t="inlineStr">
        <is>
          <t>PARTIAL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ISSUE-0020</t>
        </is>
      </c>
      <c r="Z16" s="2" t="inlineStr">
        <is>
          <t>D:\Shopify_Workspace\jeminise_seo\seo_runs\jeminise.com\20260906_234129\qa\20260907_181100\images\102_08.jpg; seo_runs\jeminise.com\20260906_234129\evidence\images\102_custom-soccer-ball-cleats-personalized-comforter-set-machine-washable\image_08_47833444417735.jpg; seo_runs\jeminise.com\20260906_234129\evidence\contact_sheets\102_custom-soccer-ball-cleats-personalized-comforter-set-machine-washable.jpg</t>
        </is>
      </c>
    </row>
    <row r="17" ht="66" customHeight="1">
      <c r="A17" s="3" t="inlineStr">
        <is>
          <t>jeminise.com+custom-soccer-ball-goal-net-comforter-set-machine-washabl-design-13</t>
        </is>
      </c>
      <c r="B17" s="3" t="inlineStr">
        <is>
          <t>img_f4ea5a7d6cad4cb7</t>
        </is>
      </c>
      <c r="C17" s="4" t="inlineStr">
        <is>
          <t>https://cdn.shopify.com/s/files/1/0792/5098/1063/files/e40fbf151dd4e744c6057704570d5d6266da44452209f9c566b1d299ec7ec161.jpg?v=1786610997</t>
        </is>
      </c>
      <c r="D17" s="4" t="inlineStr">
        <is>
          <t>https://cdn.shopify.com/s/files/1/0792/5098/1063/files/e40fbf151dd4e744c6057704570d5d6266da44452209f9c566b1d299ec7ec161.jpg?v=1786610997</t>
        </is>
      </c>
      <c r="E17" s="3" t="inlineStr">
        <is>
          <t>47833433735367</t>
        </is>
      </c>
      <c r="F17" s="3" t="inlineStr">
        <is>
          <t>47833433735367</t>
        </is>
      </c>
      <c r="G17" s="3" t="inlineStr"/>
      <c r="H17" s="3" t="inlineStr">
        <is>
          <t>GALLERY</t>
        </is>
      </c>
      <c r="I17" s="3" t="inlineStr">
        <is>
          <t>DIRECT_IMAGE_DOWNLOAD_AND_SOURCE_ROW_REVIEW</t>
        </is>
      </c>
      <c r="J17" s="3" t="inlineStr">
        <is>
          <t>2026-09-07T18:39:49+07:00</t>
        </is>
      </c>
      <c r="K17" s="3" t="inlineStr">
        <is>
          <t>Direct QA opened downloaded image 103_01; source SHA 8E287D8E72A95D84E0099EA62CF5E41CEA627FD3017E1248267FD538BA05A2DE. Submitted observation reviewed against gallery position.</t>
        </is>
      </c>
      <c r="L17" s="3" t="inlineStr">
        <is>
          <t>Main product mockup showing personalized soccer goal net comforter with Matthew number 15.</t>
        </is>
      </c>
      <c r="M17" s="3" t="inlineStr">
        <is>
          <t>UNKNOWN</t>
        </is>
      </c>
      <c r="N17" s="3" t="inlineStr">
        <is>
          <t>SET</t>
        </is>
      </c>
      <c r="O17" s="3" t="inlineStr">
        <is>
          <t>Personalized Soccer Goal Net Comforter displayed in a main product mockup</t>
        </is>
      </c>
      <c r="P17" s="3" t="inlineStr">
        <is>
          <t>FULL</t>
        </is>
      </c>
      <c r="Q17" s="3" t="inlineStr">
        <is>
          <t>FULL</t>
        </is>
      </c>
      <c r="R17" s="3" t="inlineStr">
        <is>
          <t>PARTIAL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ISSUE-0025</t>
        </is>
      </c>
      <c r="Z17" s="3" t="inlineStr">
        <is>
          <t>D:\Shopify_Workspace\jeminise_seo\seo_runs\jeminise.com\20260906_234129\qa\20260907_181100\images\103_01.jpg; seo_runs\jeminise.com\20260906_234129\evidence\images\103_custom-soccer-ball-goal-net-comforter-set-machine-washabl-design-13\image_01_47833433735367.jpg; seo_runs\jeminise.com\20260906_234129\evidence\contact_sheets\103_custom-soccer-ball-goal-net-comforter-set-machine-washabl-design-13.jpg</t>
        </is>
      </c>
    </row>
    <row r="18" ht="66" customHeight="1">
      <c r="A18" s="2" t="inlineStr">
        <is>
          <t>jeminise.com+custom-soccer-ball-goal-net-comforter-set-machine-washabl-design-13</t>
        </is>
      </c>
      <c r="B18" s="2" t="inlineStr">
        <is>
          <t>img_80f6812541802e32</t>
        </is>
      </c>
      <c r="C18" s="4" t="inlineStr">
        <is>
          <t>https://cdn.shopify.com/s/files/1/0792/5098/1063/files/9d16e4651681178117899f3856d564de180d3403ef433870aff7721c9e7a86ca.jpg?v=1786610997</t>
        </is>
      </c>
      <c r="D18" s="4" t="inlineStr">
        <is>
          <t>https://cdn.shopify.com/s/files/1/0792/5098/1063/files/9d16e4651681178117899f3856d564de180d3403ef433870aff7721c9e7a86ca.jpg?v=1786610997</t>
        </is>
      </c>
      <c r="E18" s="2" t="inlineStr">
        <is>
          <t>47833433768135</t>
        </is>
      </c>
      <c r="F18" s="2" t="inlineStr">
        <is>
          <t>47833433768135</t>
        </is>
      </c>
      <c r="G18" s="2" t="inlineStr"/>
      <c r="H18" s="2" t="inlineStr">
        <is>
          <t>GALLERY</t>
        </is>
      </c>
      <c r="I18" s="2" t="inlineStr">
        <is>
          <t>DIRECT_IMAGE_DOWNLOAD_AND_SOURCE_ROW_REVIEW</t>
        </is>
      </c>
      <c r="J18" s="2" t="inlineStr">
        <is>
          <t>2026-09-07T18:39:49+07:00</t>
        </is>
      </c>
      <c r="K18" s="2" t="inlineStr">
        <is>
          <t>Direct QA opened downloaded image 103_02; source SHA 02E0D17FFCBAB9A25F7EB4797E94E53B2362E875877197D094E23AC23E3B6C5B. Submitted observation reviewed against gallery position.</t>
        </is>
      </c>
      <c r="L18" s="2" t="inlineStr">
        <is>
          <t>Secondary flat, close-up or bedroom mockup showing personalized soccer goal net comforter with Matthew number 15.</t>
        </is>
      </c>
      <c r="M18" s="2" t="inlineStr">
        <is>
          <t>UNKNOWN</t>
        </is>
      </c>
      <c r="N18" s="2" t="inlineStr">
        <is>
          <t>SET</t>
        </is>
      </c>
      <c r="O18" s="2" t="inlineStr">
        <is>
          <t>Secondary mockup of Personalized Soccer Goal Net Comforter</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c r="Z18" s="2" t="inlineStr">
        <is>
          <t>D:\Shopify_Workspace\jeminise_seo\seo_runs\jeminise.com\20260906_234129\qa\20260907_181100\images\103_02.jpg; seo_runs\jeminise.com\20260906_234129\evidence\images\103_custom-soccer-ball-goal-net-comforter-set-machine-washabl-design-13\image_02_47833433768135.jpg; seo_runs\jeminise.com\20260906_234129\evidence\contact_sheets\103_custom-soccer-ball-goal-net-comforter-set-machine-washabl-design-13.jpg</t>
        </is>
      </c>
    </row>
    <row r="19" ht="66" customHeight="1">
      <c r="A19" s="3" t="inlineStr">
        <is>
          <t>jeminise.com+custom-soccer-ball-goal-net-comforter-set-machine-washabl-design-13</t>
        </is>
      </c>
      <c r="B19" s="3" t="inlineStr">
        <is>
          <t>img_d3ace3e309d3ea3c</t>
        </is>
      </c>
      <c r="C19" s="4" t="inlineStr">
        <is>
          <t>https://cdn.shopify.com/s/files/1/0792/5098/1063/files/f97a7dd8f82a6d24e5f9be7db591aec54c2e0b2b4fc0b12240776533166c536d.jpg?v=1786610997</t>
        </is>
      </c>
      <c r="D19" s="4" t="inlineStr">
        <is>
          <t>https://cdn.shopify.com/s/files/1/0792/5098/1063/files/f97a7dd8f82a6d24e5f9be7db591aec54c2e0b2b4fc0b12240776533166c536d.jpg?v=1786610997</t>
        </is>
      </c>
      <c r="E19" s="3" t="inlineStr">
        <is>
          <t>47833433800903</t>
        </is>
      </c>
      <c r="F19" s="3" t="inlineStr">
        <is>
          <t>47833433800903</t>
        </is>
      </c>
      <c r="G19" s="3" t="inlineStr"/>
      <c r="H19" s="3" t="inlineStr">
        <is>
          <t>GALLERY</t>
        </is>
      </c>
      <c r="I19" s="3" t="inlineStr">
        <is>
          <t>DIRECT_IMAGE_DOWNLOAD_AND_SOURCE_ROW_REVIEW</t>
        </is>
      </c>
      <c r="J19" s="3" t="inlineStr">
        <is>
          <t>2026-09-07T18:39:49+07:00</t>
        </is>
      </c>
      <c r="K19" s="3" t="inlineStr">
        <is>
          <t>Direct QA opened downloaded image 103_03; source SHA B2C5FBA628868EC6647A0CD93BE83269AA6CC3920F1001F1E27D0979BF4AEDB4. Submitted observation reviewed against gallery position.</t>
        </is>
      </c>
      <c r="L19" s="3" t="inlineStr">
        <is>
          <t>Bedding type, feature, lifestyle or material image for personalized soccer goal net comforter with Matthew number 15.</t>
        </is>
      </c>
      <c r="M19" s="3" t="inlineStr">
        <is>
          <t>UNKNOWN</t>
        </is>
      </c>
      <c r="N19" s="3" t="inlineStr">
        <is>
          <t>SET</t>
        </is>
      </c>
      <c r="O19" s="3" t="inlineStr">
        <is>
          <t>Product option, feature or lifestyle image for Personalized Soccer Goal Net Comforter</t>
        </is>
      </c>
      <c r="P19" s="3" t="inlineStr">
        <is>
          <t>FULL</t>
        </is>
      </c>
      <c r="Q19" s="3" t="inlineStr">
        <is>
          <t>PARTIAL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ISSUE-0026</t>
        </is>
      </c>
      <c r="Z19" s="3" t="inlineStr">
        <is>
          <t>D:\Shopify_Workspace\jeminise_seo\seo_runs\jeminise.com\20260906_234129\qa\20260907_181100\images\103_03.jpg; seo_runs\jeminise.com\20260906_234129\evidence\images\103_custom-soccer-ball-goal-net-comforter-set-machine-washabl-design-13\image_03_47833433800903.jpg; seo_runs\jeminise.com\20260906_234129\evidence\contact_sheets\103_custom-soccer-ball-goal-net-comforter-set-machine-washabl-design-13.jpg</t>
        </is>
      </c>
    </row>
    <row r="20" ht="66" customHeight="1">
      <c r="A20" s="2" t="inlineStr">
        <is>
          <t>jeminise.com+custom-soccer-ball-goal-net-comforter-set-machine-washabl-design-13</t>
        </is>
      </c>
      <c r="B20" s="2" t="inlineStr">
        <is>
          <t>img_a514d1891f6f0354</t>
        </is>
      </c>
      <c r="C20" s="4" t="inlineStr">
        <is>
          <t>https://cdn.shopify.com/s/files/1/0792/5098/1063/files/0b1d1e19cab6d757366a36700f895ecca060303e705a8aece2f5fa486b6770da_15525c0b-4f16-4d00-b2cf-d9086002e031.jpg?v=1786610997</t>
        </is>
      </c>
      <c r="D20" s="4" t="inlineStr">
        <is>
          <t>https://cdn.shopify.com/s/files/1/0792/5098/1063/files/0b1d1e19cab6d757366a36700f895ecca060303e705a8aece2f5fa486b6770da_15525c0b-4f16-4d00-b2cf-d9086002e031.jpg?v=1786610997</t>
        </is>
      </c>
      <c r="E20" s="2" t="inlineStr">
        <is>
          <t>47833433833671</t>
        </is>
      </c>
      <c r="F20" s="2" t="inlineStr">
        <is>
          <t>47833433833671</t>
        </is>
      </c>
      <c r="G20" s="2" t="inlineStr"/>
      <c r="H20" s="2" t="inlineStr">
        <is>
          <t>GALLERY</t>
        </is>
      </c>
      <c r="I20" s="2" t="inlineStr">
        <is>
          <t>DIRECT_IMAGE_DOWNLOAD_AND_SOURCE_ROW_REVIEW</t>
        </is>
      </c>
      <c r="J20" s="2" t="inlineStr">
        <is>
          <t>2026-09-07T18:39:49+07:00</t>
        </is>
      </c>
      <c r="K20" s="2" t="inlineStr">
        <is>
          <t>Direct QA opened downloaded image 103_04; source SHA D163E535A13D9D9230E528281552C4CCDEE56CB1F4A0CA3A6A15C697CB8A43F7. Submitted observation reviewed against gallery position.</t>
        </is>
      </c>
      <c r="L20" s="2" t="inlineStr">
        <is>
          <t>Detail, feature panel or lifestyle image connected to personalized soccer goal net comforter with Matthew number 15.</t>
        </is>
      </c>
      <c r="M20" s="2" t="inlineStr">
        <is>
          <t>UNKNOWN</t>
        </is>
      </c>
      <c r="N20" s="2" t="inlineStr">
        <is>
          <t>SET</t>
        </is>
      </c>
      <c r="O20" s="2" t="inlineStr">
        <is>
          <t>Detail or feature image for Personalized Soccer Goal Net Comforter</t>
        </is>
      </c>
      <c r="P20" s="2" t="inlineStr">
        <is>
          <t>FULL</t>
        </is>
      </c>
      <c r="Q20" s="2" t="inlineStr">
        <is>
          <t>PARTIAL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ISSUE-0027</t>
        </is>
      </c>
      <c r="Z20" s="2" t="inlineStr">
        <is>
          <t>D:\Shopify_Workspace\jeminise_seo\seo_runs\jeminise.com\20260906_234129\qa\20260907_181100\images\103_04.jpg; seo_runs\jeminise.com\20260906_234129\evidence\images\103_custom-soccer-ball-goal-net-comforter-set-machine-washabl-design-13\image_04_47833433833671.jpg; seo_runs\jeminise.com\20260906_234129\evidence\contact_sheets\103_custom-soccer-ball-goal-net-comforter-set-machine-washabl-design-13.jpg</t>
        </is>
      </c>
    </row>
    <row r="21" ht="66" customHeight="1">
      <c r="A21" s="3" t="inlineStr">
        <is>
          <t>jeminise.com+custom-soccer-ball-goal-net-comforter-set-machine-washabl-design-13</t>
        </is>
      </c>
      <c r="B21" s="3" t="inlineStr">
        <is>
          <t>img_4910e9b2628bf2ad</t>
        </is>
      </c>
      <c r="C21" s="4" t="inlineStr">
        <is>
          <t>https://cdn.shopify.com/s/files/1/0792/5098/1063/files/88f6045ef306b30edfc20bd2567313983a1ae212a11493f8f24ef3cb27df3a3d.jpg?v=1786610997</t>
        </is>
      </c>
      <c r="D21" s="4" t="inlineStr">
        <is>
          <t>https://cdn.shopify.com/s/files/1/0792/5098/1063/files/88f6045ef306b30edfc20bd2567313983a1ae212a11493f8f24ef3cb27df3a3d.jpg?v=1786610997</t>
        </is>
      </c>
      <c r="E21" s="3" t="inlineStr">
        <is>
          <t>47833433866439</t>
        </is>
      </c>
      <c r="F21" s="3" t="inlineStr">
        <is>
          <t>47833433866439</t>
        </is>
      </c>
      <c r="G21" s="3" t="inlineStr"/>
      <c r="H21" s="3" t="inlineStr">
        <is>
          <t>GALLERY</t>
        </is>
      </c>
      <c r="I21" s="3" t="inlineStr">
        <is>
          <t>DIRECT_IMAGE_DOWNLOAD_AND_SOURCE_ROW_REVIEW</t>
        </is>
      </c>
      <c r="J21" s="3" t="inlineStr">
        <is>
          <t>2026-09-07T18:39:49+07:00</t>
        </is>
      </c>
      <c r="K21" s="3" t="inlineStr">
        <is>
          <t>Direct QA opened downloaded image 103_05; source SHA 3F3968E0C40FB0FB4CD196734003EB94F4D7D761D55B2039145292CD7E60CD75. Submitted observation reviewed against gallery position.</t>
        </is>
      </c>
      <c r="L21" s="3" t="inlineStr">
        <is>
          <t>Additional mockup, care or size information for personalized soccer goal net comforter with Matthew number 15.</t>
        </is>
      </c>
      <c r="M21" s="3" t="inlineStr">
        <is>
          <t>UNKNOWN</t>
        </is>
      </c>
      <c r="N21" s="3" t="inlineStr">
        <is>
          <t>SET</t>
        </is>
      </c>
      <c r="O21" s="3" t="inlineStr">
        <is>
          <t>Additional product mockup or care information for Personalized Soccer Goal Net Comforter</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c r="Z21" s="3" t="inlineStr">
        <is>
          <t>D:\Shopify_Workspace\jeminise_seo\seo_runs\jeminise.com\20260906_234129\qa\20260907_181100\images\103_05.jpg; seo_runs\jeminise.com\20260906_234129\evidence\images\103_custom-soccer-ball-goal-net-comforter-set-machine-washabl-design-13\image_05_47833433866439.jpg; seo_runs\jeminise.com\20260906_234129\evidence\contact_sheets\103_custom-soccer-ball-goal-net-comforter-set-machine-washabl-design-13.jpg</t>
        </is>
      </c>
    </row>
    <row r="22" ht="66" customHeight="1">
      <c r="A22" s="2" t="inlineStr">
        <is>
          <t>jeminise.com+custom-soccer-ball-goal-net-comforter-set-machine-washabl-design-13</t>
        </is>
      </c>
      <c r="B22" s="2" t="inlineStr">
        <is>
          <t>img_d6f1447cdc90826c</t>
        </is>
      </c>
      <c r="C22" s="4" t="inlineStr">
        <is>
          <t>https://cdn.shopify.com/s/files/1/0792/5098/1063/files/5e5e8c6c659c3bbc094017cc64ad1f11d843f6684d630e8ec7ab0e203fb80666.jpg?v=1786610997</t>
        </is>
      </c>
      <c r="D22" s="4" t="inlineStr">
        <is>
          <t>https://cdn.shopify.com/s/files/1/0792/5098/1063/files/5e5e8c6c659c3bbc094017cc64ad1f11d843f6684d630e8ec7ab0e203fb80666.jpg?v=1786610997</t>
        </is>
      </c>
      <c r="E22" s="2" t="inlineStr">
        <is>
          <t>47833433899207</t>
        </is>
      </c>
      <c r="F22" s="2" t="inlineStr">
        <is>
          <t>47833433899207</t>
        </is>
      </c>
      <c r="G22" s="2" t="inlineStr"/>
      <c r="H22" s="2" t="inlineStr">
        <is>
          <t>GALLERY</t>
        </is>
      </c>
      <c r="I22" s="2" t="inlineStr">
        <is>
          <t>DIRECT_IMAGE_DOWNLOAD_AND_SOURCE_ROW_REVIEW</t>
        </is>
      </c>
      <c r="J22" s="2" t="inlineStr">
        <is>
          <t>2026-09-07T18:39:49+07:00</t>
        </is>
      </c>
      <c r="K22" s="2" t="inlineStr">
        <is>
          <t>Direct QA opened downloaded image 103_06; source SHA C7445510B31998C70AC709E3FE1B9A51931F817DBFFE5A24C209626A45057174. Submitted observation reviewed against gallery position.</t>
        </is>
      </c>
      <c r="L22" s="2" t="inlineStr">
        <is>
          <t>Easy-care, size guide or product feature image for personalized soccer goal net comforter with Matthew number 15.</t>
        </is>
      </c>
      <c r="M22" s="2" t="inlineStr">
        <is>
          <t>UNKNOWN</t>
        </is>
      </c>
      <c r="N22" s="2" t="inlineStr">
        <is>
          <t>SET</t>
        </is>
      </c>
      <c r="O22" s="2" t="inlineStr">
        <is>
          <t>Care, size or product feature image for Personalized Soccer Goal Net Comforter</t>
        </is>
      </c>
      <c r="P22" s="2" t="inlineStr">
        <is>
          <t>FULL</t>
        </is>
      </c>
      <c r="Q22" s="2" t="inlineStr">
        <is>
          <t>PARTIAL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ISSUE-0028</t>
        </is>
      </c>
      <c r="Z22" s="2" t="inlineStr">
        <is>
          <t>D:\Shopify_Workspace\jeminise_seo\seo_runs\jeminise.com\20260906_234129\qa\20260907_181100\images\103_06.jpg; seo_runs\jeminise.com\20260906_234129\evidence\images\103_custom-soccer-ball-goal-net-comforter-set-machine-washabl-design-13\image_06_47833433899207.jpg; seo_runs\jeminise.com\20260906_234129\evidence\contact_sheets\103_custom-soccer-ball-goal-net-comforter-set-machine-washabl-design-13.jpg</t>
        </is>
      </c>
    </row>
    <row r="23" ht="66" customHeight="1">
      <c r="A23" s="3" t="inlineStr">
        <is>
          <t>jeminise.com+custom-soccer-ball-goal-net-comforter-set-machine-washabl-design-13</t>
        </is>
      </c>
      <c r="B23" s="3" t="inlineStr">
        <is>
          <t>img_c7940b3c907ea7cc</t>
        </is>
      </c>
      <c r="C23" s="4" t="inlineStr">
        <is>
          <t>https://cdn.shopify.com/s/files/1/0792/5098/1063/files/569ca20f02dd45e1e5ebb32a75c34b1495da6793e5f1a6fc3ad8bb882275d389.jpg?v=1786610997</t>
        </is>
      </c>
      <c r="D23" s="4" t="inlineStr">
        <is>
          <t>https://cdn.shopify.com/s/files/1/0792/5098/1063/files/569ca20f02dd45e1e5ebb32a75c34b1495da6793e5f1a6fc3ad8bb882275d389.jpg?v=1786610997</t>
        </is>
      </c>
      <c r="E23" s="3" t="inlineStr">
        <is>
          <t>47833433931975</t>
        </is>
      </c>
      <c r="F23" s="3" t="inlineStr">
        <is>
          <t>47833433931975</t>
        </is>
      </c>
      <c r="G23" s="3" t="inlineStr"/>
      <c r="H23" s="3" t="inlineStr">
        <is>
          <t>GALLERY</t>
        </is>
      </c>
      <c r="I23" s="3" t="inlineStr">
        <is>
          <t>DIRECT_IMAGE_DOWNLOAD_AND_SOURCE_ROW_REVIEW</t>
        </is>
      </c>
      <c r="J23" s="3" t="inlineStr">
        <is>
          <t>2026-09-07T18:39:49+07:00</t>
        </is>
      </c>
      <c r="K23" s="3" t="inlineStr">
        <is>
          <t>Direct QA opened downloaded image 103_07; source SHA 2D75E808D13CD36FAE9AE97C3C2A7004E8E260C0625AE7796F5DE80A5D09B20B. Submitted observation reviewed against gallery position.</t>
        </is>
      </c>
      <c r="L23" s="3" t="inlineStr">
        <is>
          <t>Additional lifestyle, feature or product detail image showing personalized soccer goal net comforter with Matthew number 15.</t>
        </is>
      </c>
      <c r="M23" s="3" t="inlineStr">
        <is>
          <t>UNKNOWN</t>
        </is>
      </c>
      <c r="N23" s="3" t="inlineStr">
        <is>
          <t>SET</t>
        </is>
      </c>
      <c r="O23" s="3" t="inlineStr">
        <is>
          <t>Additional product mockup of Personalized Soccer Goal Net Comforter</t>
        </is>
      </c>
      <c r="P23" s="3" t="inlineStr">
        <is>
          <t>FULL</t>
        </is>
      </c>
      <c r="Q23" s="3" t="inlineStr">
        <is>
          <t>PARTIAL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ISSUE-0029</t>
        </is>
      </c>
      <c r="Z23" s="3" t="inlineStr">
        <is>
          <t>D:\Shopify_Workspace\jeminise_seo\seo_runs\jeminise.com\20260906_234129\qa\20260907_181100\images\103_07.jpg; seo_runs\jeminise.com\20260906_234129\evidence\images\103_custom-soccer-ball-goal-net-comforter-set-machine-washabl-design-13\image_07_47833433931975.jpg; seo_runs\jeminise.com\20260906_234129\evidence\contact_sheets\103_custom-soccer-ball-goal-net-comforter-set-machine-washabl-design-13.jpg</t>
        </is>
      </c>
    </row>
    <row r="24" ht="66" customHeight="1">
      <c r="A24" s="2" t="inlineStr">
        <is>
          <t>jeminise.com+custom-soccer-ball-goal-net-comforter-set-machine-washabl-design-13</t>
        </is>
      </c>
      <c r="B24" s="2" t="inlineStr">
        <is>
          <t>img_a2343f865ac732ab</t>
        </is>
      </c>
      <c r="C24" s="4" t="inlineStr">
        <is>
          <t>https://cdn.shopify.com/s/files/1/0792/5098/1063/files/dd6b2f75d5d331064be3e2ace151f6872c3f1f67675d8c1c7fa00f207341180b_032fc95e-87be-4f21-94db-1aed6ba6a2f4.jpg?v=1786610997</t>
        </is>
      </c>
      <c r="D24" s="4" t="inlineStr">
        <is>
          <t>https://cdn.shopify.com/s/files/1/0792/5098/1063/files/dd6b2f75d5d331064be3e2ace151f6872c3f1f67675d8c1c7fa00f207341180b_032fc95e-87be-4f21-94db-1aed6ba6a2f4.jpg?v=1786610997</t>
        </is>
      </c>
      <c r="E24" s="2" t="inlineStr">
        <is>
          <t>47833433964743</t>
        </is>
      </c>
      <c r="F24" s="2" t="inlineStr">
        <is>
          <t>47833433964743</t>
        </is>
      </c>
      <c r="G24" s="2" t="inlineStr"/>
      <c r="H24" s="2" t="inlineStr">
        <is>
          <t>GALLERY</t>
        </is>
      </c>
      <c r="I24" s="2" t="inlineStr">
        <is>
          <t>DIRECT_IMAGE_DOWNLOAD_AND_SOURCE_ROW_REVIEW</t>
        </is>
      </c>
      <c r="J24" s="2" t="inlineStr">
        <is>
          <t>2026-09-07T18:39:49+07:00</t>
        </is>
      </c>
      <c r="K24" s="2" t="inlineStr">
        <is>
          <t>Direct QA opened downloaded image 103_08; source SHA 20695A7BBFC81C154D78FA65E875BD671D43CF32FD78E26B6AA18B105B7CABED. Submitted observation reviewed against gallery position.</t>
        </is>
      </c>
      <c r="L24" s="2" t="inlineStr">
        <is>
          <t>Additional lifestyle, feature or product detail image showing personalized soccer goal net comforter with Matthew number 15.</t>
        </is>
      </c>
      <c r="M24" s="2" t="inlineStr">
        <is>
          <t>UNKNOWN</t>
        </is>
      </c>
      <c r="N24" s="2" t="inlineStr">
        <is>
          <t>SET</t>
        </is>
      </c>
      <c r="O24" s="2" t="inlineStr">
        <is>
          <t>Lifestyle use image for Personalized Soccer Goal Net Comforter</t>
        </is>
      </c>
      <c r="P24" s="2" t="inlineStr">
        <is>
          <t>FULL</t>
        </is>
      </c>
      <c r="Q24" s="2" t="inlineStr">
        <is>
          <t>PARTIAL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ISSUE-0030</t>
        </is>
      </c>
      <c r="Z24" s="2" t="inlineStr">
        <is>
          <t>D:\Shopify_Workspace\jeminise_seo\seo_runs\jeminise.com\20260906_234129\qa\20260907_181100\images\103_08.jpg; seo_runs\jeminise.com\20260906_234129\evidence\images\103_custom-soccer-ball-goal-net-comforter-set-machine-washabl-design-13\image_08_47833433964743.jpg; seo_runs\jeminise.com\20260906_234129\evidence\contact_sheets\103_custom-soccer-ball-goal-net-comforter-set-machine-washabl-design-13.jpg</t>
        </is>
      </c>
    </row>
    <row r="25" ht="66" customHeight="1">
      <c r="A25" s="3" t="inlineStr">
        <is>
          <t>jeminise.com+custom-soccer-ball-goal-personalized-bedding-comforter-set-a4</t>
        </is>
      </c>
      <c r="B25" s="3" t="inlineStr">
        <is>
          <t>img_658c421eb57202e7</t>
        </is>
      </c>
      <c r="C25" s="4" t="inlineStr">
        <is>
          <t>https://cdn.shopify.com/s/files/1/0792/5098/1063/files/c8002c1036e987b59bab3d14d64dda24c6dd83936cf1089df50345790d2ab310.jpg?v=1786610956</t>
        </is>
      </c>
      <c r="D25" s="4" t="inlineStr">
        <is>
          <t>https://cdn.shopify.com/s/files/1/0792/5098/1063/files/c8002c1036e987b59bab3d14d64dda24c6dd83936cf1089df50345790d2ab310.jpg?v=1786610956</t>
        </is>
      </c>
      <c r="E25" s="3" t="inlineStr">
        <is>
          <t>47833418334407</t>
        </is>
      </c>
      <c r="F25" s="3" t="inlineStr">
        <is>
          <t>47833418334407</t>
        </is>
      </c>
      <c r="G25" s="3" t="inlineStr"/>
      <c r="H25" s="3" t="inlineStr">
        <is>
          <t>GALLERY</t>
        </is>
      </c>
      <c r="I25" s="3" t="inlineStr">
        <is>
          <t>DIRECT_IMAGE_DOWNLOAD_AND_SOURCE_ROW_REVIEW</t>
        </is>
      </c>
      <c r="J25" s="3" t="inlineStr">
        <is>
          <t>2026-09-07T18:39:49+07:00</t>
        </is>
      </c>
      <c r="K25" s="3" t="inlineStr">
        <is>
          <t>Direct QA opened downloaded image 104_01; source SHA 539F5883AFC44B58CA323583EC4EF5E565C239ECFB0D23AC67E41A4991920E4C. Submitted observation reviewed against gallery position.</t>
        </is>
      </c>
      <c r="L25" s="3" t="inlineStr">
        <is>
          <t>Main product mockup showing personalized soccer goal comforter with Kenzo number 10.</t>
        </is>
      </c>
      <c r="M25" s="3" t="inlineStr">
        <is>
          <t>UNKNOWN</t>
        </is>
      </c>
      <c r="N25" s="3" t="inlineStr">
        <is>
          <t>SET</t>
        </is>
      </c>
      <c r="O25" s="3" t="inlineStr">
        <is>
          <t>Personalized Soccer Goal Comforter displayed in a main product mockup</t>
        </is>
      </c>
      <c r="P25" s="3" t="inlineStr">
        <is>
          <t>FULL</t>
        </is>
      </c>
      <c r="Q25" s="3" t="inlineStr">
        <is>
          <t>FULL</t>
        </is>
      </c>
      <c r="R25" s="3" t="inlineStr">
        <is>
          <t>PARTIAL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ISSUE-0036</t>
        </is>
      </c>
      <c r="Z25" s="3" t="inlineStr">
        <is>
          <t>D:\Shopify_Workspace\jeminise_seo\seo_runs\jeminise.com\20260906_234129\qa\20260907_181100\images\104_01.jpg; seo_runs\jeminise.com\20260906_234129\evidence\images\104_custom-soccer-ball-goal-personalized-bedding-comforter-set-a4\image_01_47833418334407.jpg; seo_runs\jeminise.com\20260906_234129\evidence\contact_sheets\104_custom-soccer-ball-goal-personalized-bedding-comforter-set-a4.jpg</t>
        </is>
      </c>
    </row>
    <row r="26" ht="66" customHeight="1">
      <c r="A26" s="2" t="inlineStr">
        <is>
          <t>jeminise.com+custom-soccer-ball-goal-personalized-bedding-comforter-set-a4</t>
        </is>
      </c>
      <c r="B26" s="2" t="inlineStr">
        <is>
          <t>img_5f22344f1d6d4f6f</t>
        </is>
      </c>
      <c r="C26" s="4" t="inlineStr">
        <is>
          <t>https://cdn.shopify.com/s/files/1/0792/5098/1063/files/7d7d424bfee4840d7d140607b0005999eb51175eb1c17769af9e683165361fef.jpg?v=1786610956</t>
        </is>
      </c>
      <c r="D26" s="4" t="inlineStr">
        <is>
          <t>https://cdn.shopify.com/s/files/1/0792/5098/1063/files/7d7d424bfee4840d7d140607b0005999eb51175eb1c17769af9e683165361fef.jpg?v=1786610956</t>
        </is>
      </c>
      <c r="E26" s="2" t="inlineStr">
        <is>
          <t>47833418367175</t>
        </is>
      </c>
      <c r="F26" s="2" t="inlineStr">
        <is>
          <t>47833418367175</t>
        </is>
      </c>
      <c r="G26" s="2" t="inlineStr"/>
      <c r="H26" s="2" t="inlineStr">
        <is>
          <t>GALLERY</t>
        </is>
      </c>
      <c r="I26" s="2" t="inlineStr">
        <is>
          <t>DIRECT_IMAGE_DOWNLOAD_AND_SOURCE_ROW_REVIEW</t>
        </is>
      </c>
      <c r="J26" s="2" t="inlineStr">
        <is>
          <t>2026-09-07T18:39:49+07:00</t>
        </is>
      </c>
      <c r="K26" s="2" t="inlineStr">
        <is>
          <t>Direct QA opened downloaded image 104_02; source SHA CBD4848363105EA2535829387F842D9FAB747DF69F8B083E5B6FEBF4EA56D092. Submitted observation reviewed against gallery position.</t>
        </is>
      </c>
      <c r="L26" s="2" t="inlineStr">
        <is>
          <t>Secondary flat, close-up or bedroom mockup showing personalized soccer goal comforter with Kenzo number 10.</t>
        </is>
      </c>
      <c r="M26" s="2" t="inlineStr">
        <is>
          <t>UNKNOWN</t>
        </is>
      </c>
      <c r="N26" s="2" t="inlineStr">
        <is>
          <t>SET</t>
        </is>
      </c>
      <c r="O26" s="2" t="inlineStr">
        <is>
          <t>Secondary mockup of Personalized Soccer Goal Comforter</t>
        </is>
      </c>
      <c r="P26" s="2" t="inlineStr">
        <is>
          <t>FULL</t>
        </is>
      </c>
      <c r="Q26" s="2" t="inlineStr">
        <is>
          <t>FULL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c r="Z26" s="2" t="inlineStr">
        <is>
          <t>D:\Shopify_Workspace\jeminise_seo\seo_runs\jeminise.com\20260906_234129\qa\20260907_181100\images\104_02.jpg; seo_runs\jeminise.com\20260906_234129\evidence\images\104_custom-soccer-ball-goal-personalized-bedding-comforter-set-a4\image_02_47833418367175.jpg; seo_runs\jeminise.com\20260906_234129\evidence\contact_sheets\104_custom-soccer-ball-goal-personalized-bedding-comforter-set-a4.jpg</t>
        </is>
      </c>
    </row>
    <row r="27" ht="66" customHeight="1">
      <c r="A27" s="3" t="inlineStr">
        <is>
          <t>jeminise.com+custom-soccer-ball-goal-personalized-bedding-comforter-set-a4</t>
        </is>
      </c>
      <c r="B27" s="3" t="inlineStr">
        <is>
          <t>img_f14397b949e634f6</t>
        </is>
      </c>
      <c r="C27" s="4" t="inlineStr">
        <is>
          <t>https://cdn.shopify.com/s/files/1/0792/5098/1063/files/627f0c01c4f3364f98ac4ff820fb9d697a7fe3d1c6e2c06735cc8a0f4a203ec4.jpg?v=1786610956</t>
        </is>
      </c>
      <c r="D27" s="4" t="inlineStr">
        <is>
          <t>https://cdn.shopify.com/s/files/1/0792/5098/1063/files/627f0c01c4f3364f98ac4ff820fb9d697a7fe3d1c6e2c06735cc8a0f4a203ec4.jpg?v=1786610956</t>
        </is>
      </c>
      <c r="E27" s="3" t="inlineStr">
        <is>
          <t>47833418399943</t>
        </is>
      </c>
      <c r="F27" s="3" t="inlineStr">
        <is>
          <t>47833418399943</t>
        </is>
      </c>
      <c r="G27" s="3" t="inlineStr"/>
      <c r="H27" s="3" t="inlineStr">
        <is>
          <t>GALLERY</t>
        </is>
      </c>
      <c r="I27" s="3" t="inlineStr">
        <is>
          <t>DIRECT_IMAGE_DOWNLOAD_AND_SOURCE_ROW_REVIEW</t>
        </is>
      </c>
      <c r="J27" s="3" t="inlineStr">
        <is>
          <t>2026-09-07T18:39:49+07:00</t>
        </is>
      </c>
      <c r="K27" s="3" t="inlineStr">
        <is>
          <t>Direct QA opened downloaded image 104_03; source SHA 8A963E563EEFDF740CCFB094D658A3F620E7720A380670F4257B5018760A544C. Submitted observation reviewed against gallery position.</t>
        </is>
      </c>
      <c r="L27" s="3" t="inlineStr">
        <is>
          <t>Bedding type, feature, lifestyle or material image for personalized soccer goal comforter with Kenzo number 10.</t>
        </is>
      </c>
      <c r="M27" s="3" t="inlineStr">
        <is>
          <t>UNKNOWN</t>
        </is>
      </c>
      <c r="N27" s="3" t="inlineStr">
        <is>
          <t>SET</t>
        </is>
      </c>
      <c r="O27" s="3" t="inlineStr">
        <is>
          <t>Product option, feature or lifestyle image for Personalized Soccer Goal Comforter</t>
        </is>
      </c>
      <c r="P27" s="3" t="inlineStr">
        <is>
          <t>FULL</t>
        </is>
      </c>
      <c r="Q27" s="3" t="inlineStr">
        <is>
          <t>PARTIAL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ISSUE-0037</t>
        </is>
      </c>
      <c r="Z27" s="3" t="inlineStr">
        <is>
          <t>D:\Shopify_Workspace\jeminise_seo\seo_runs\jeminise.com\20260906_234129\qa\20260907_181100\images\104_03.jpg; seo_runs\jeminise.com\20260906_234129\evidence\images\104_custom-soccer-ball-goal-personalized-bedding-comforter-set-a4\image_03_47833418399943.jpg; seo_runs\jeminise.com\20260906_234129\evidence\contact_sheets\104_custom-soccer-ball-goal-personalized-bedding-comforter-set-a4.jpg</t>
        </is>
      </c>
    </row>
    <row r="28" ht="66" customHeight="1">
      <c r="A28" s="2" t="inlineStr">
        <is>
          <t>jeminise.com+custom-soccer-ball-goal-personalized-bedding-comforter-set-a4</t>
        </is>
      </c>
      <c r="B28" s="2" t="inlineStr">
        <is>
          <t>img_7ece54459de76130</t>
        </is>
      </c>
      <c r="C28" s="4" t="inlineStr">
        <is>
          <t>https://cdn.shopify.com/s/files/1/0792/5098/1063/files/a65a6b587bf08ed6016241cc5d9b5248124a63cc6dbd58587fb9a31a5dedaa90.jpg?v=1786610956</t>
        </is>
      </c>
      <c r="D28" s="4" t="inlineStr">
        <is>
          <t>https://cdn.shopify.com/s/files/1/0792/5098/1063/files/a65a6b587bf08ed6016241cc5d9b5248124a63cc6dbd58587fb9a31a5dedaa90.jpg?v=1786610956</t>
        </is>
      </c>
      <c r="E28" s="2" t="inlineStr">
        <is>
          <t>47833418432711</t>
        </is>
      </c>
      <c r="F28" s="2" t="inlineStr">
        <is>
          <t>47833418432711</t>
        </is>
      </c>
      <c r="G28" s="2" t="inlineStr"/>
      <c r="H28" s="2" t="inlineStr">
        <is>
          <t>GALLERY</t>
        </is>
      </c>
      <c r="I28" s="2" t="inlineStr">
        <is>
          <t>DIRECT_IMAGE_DOWNLOAD_AND_SOURCE_ROW_REVIEW</t>
        </is>
      </c>
      <c r="J28" s="2" t="inlineStr">
        <is>
          <t>2026-09-07T18:39:49+07:00</t>
        </is>
      </c>
      <c r="K28" s="2" t="inlineStr">
        <is>
          <t>Direct QA opened downloaded image 104_04; source SHA 2691F2D39DAEA3A3951ACFD7F9C7A678342852733B7B1E8CA9415C95BF206465. Submitted observation reviewed against gallery position.</t>
        </is>
      </c>
      <c r="L28" s="2" t="inlineStr">
        <is>
          <t>Detail, feature panel or lifestyle image connected to personalized soccer goal comforter with Kenzo number 10.</t>
        </is>
      </c>
      <c r="M28" s="2" t="inlineStr">
        <is>
          <t>UNKNOWN</t>
        </is>
      </c>
      <c r="N28" s="2" t="inlineStr">
        <is>
          <t>SET</t>
        </is>
      </c>
      <c r="O28" s="2" t="inlineStr">
        <is>
          <t>Detail or feature image for Personalized Soccer Goal Comforter</t>
        </is>
      </c>
      <c r="P28" s="2" t="inlineStr">
        <is>
          <t>FULL</t>
        </is>
      </c>
      <c r="Q28" s="2" t="inlineStr">
        <is>
          <t>PARTIAL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ISSUE-0038</t>
        </is>
      </c>
      <c r="Z28" s="2" t="inlineStr">
        <is>
          <t>D:\Shopify_Workspace\jeminise_seo\seo_runs\jeminise.com\20260906_234129\qa\20260907_181100\images\104_04.jpg; seo_runs\jeminise.com\20260906_234129\evidence\images\104_custom-soccer-ball-goal-personalized-bedding-comforter-set-a4\image_04_47833418432711.jpg; seo_runs\jeminise.com\20260906_234129\evidence\contact_sheets\104_custom-soccer-ball-goal-personalized-bedding-comforter-set-a4.jpg</t>
        </is>
      </c>
    </row>
    <row r="29" ht="66" customHeight="1">
      <c r="A29" s="3" t="inlineStr">
        <is>
          <t>jeminise.com+custom-soccer-ball-goal-personalized-bedding-comforter-set-a4</t>
        </is>
      </c>
      <c r="B29" s="3" t="inlineStr">
        <is>
          <t>img_994d768bc0c07592</t>
        </is>
      </c>
      <c r="C29" s="4" t="inlineStr">
        <is>
          <t>https://cdn.shopify.com/s/files/1/0792/5098/1063/files/0b1d1e19cab6d757366a36700f895ecca060303e705a8aece2f5fa486b6770da_3f918262-2a19-4418-a746-5d533ad71a6a.jpg?v=1786610956</t>
        </is>
      </c>
      <c r="D29" s="4" t="inlineStr">
        <is>
          <t>https://cdn.shopify.com/s/files/1/0792/5098/1063/files/0b1d1e19cab6d757366a36700f895ecca060303e705a8aece2f5fa486b6770da_3f918262-2a19-4418-a746-5d533ad71a6a.jpg?v=1786610956</t>
        </is>
      </c>
      <c r="E29" s="3" t="inlineStr">
        <is>
          <t>47833418465479</t>
        </is>
      </c>
      <c r="F29" s="3" t="inlineStr">
        <is>
          <t>47833418465479</t>
        </is>
      </c>
      <c r="G29" s="3" t="inlineStr"/>
      <c r="H29" s="3" t="inlineStr">
        <is>
          <t>GALLERY</t>
        </is>
      </c>
      <c r="I29" s="3" t="inlineStr">
        <is>
          <t>DIRECT_IMAGE_DOWNLOAD_AND_SOURCE_ROW_REVIEW</t>
        </is>
      </c>
      <c r="J29" s="3" t="inlineStr">
        <is>
          <t>2026-09-07T18:39:49+07:00</t>
        </is>
      </c>
      <c r="K29" s="3" t="inlineStr">
        <is>
          <t>Direct QA opened downloaded image 104_05; source SHA D163E535A13D9D9230E528281552C4CCDEE56CB1F4A0CA3A6A15C697CB8A43F7. Submitted observation reviewed against gallery position.</t>
        </is>
      </c>
      <c r="L29" s="3" t="inlineStr">
        <is>
          <t>Additional mockup, care or size information for personalized soccer goal comforter with Kenzo number 10.</t>
        </is>
      </c>
      <c r="M29" s="3" t="inlineStr">
        <is>
          <t>UNKNOWN</t>
        </is>
      </c>
      <c r="N29" s="3" t="inlineStr">
        <is>
          <t>SET</t>
        </is>
      </c>
      <c r="O29" s="3" t="inlineStr">
        <is>
          <t>Additional product mockup or care information for Personalized Soccer Goal Comforter</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c r="Z29" s="3" t="inlineStr">
        <is>
          <t>D:\Shopify_Workspace\jeminise_seo\seo_runs\jeminise.com\20260906_234129\qa\20260907_181100\images\104_05.jpg; seo_runs\jeminise.com\20260906_234129\evidence\images\104_custom-soccer-ball-goal-personalized-bedding-comforter-set-a4\image_05_47833418465479.jpg; seo_runs\jeminise.com\20260906_234129\evidence\contact_sheets\104_custom-soccer-ball-goal-personalized-bedding-comforter-set-a4.jpg</t>
        </is>
      </c>
    </row>
    <row r="30" ht="66" customHeight="1">
      <c r="A30" s="2" t="inlineStr">
        <is>
          <t>jeminise.com+custom-soccer-ball-goal-personalized-bedding-comforter-set-a4</t>
        </is>
      </c>
      <c r="B30" s="2" t="inlineStr">
        <is>
          <t>img_34b79af15a200b17</t>
        </is>
      </c>
      <c r="C30" s="4" t="inlineStr">
        <is>
          <t>https://cdn.shopify.com/s/files/1/0792/5098/1063/files/4922d4866ae120bf5fa8b1880951c618d4173a48a3021af525b49854d05a8e9b.jpg?v=1786610956</t>
        </is>
      </c>
      <c r="D30" s="4" t="inlineStr">
        <is>
          <t>https://cdn.shopify.com/s/files/1/0792/5098/1063/files/4922d4866ae120bf5fa8b1880951c618d4173a48a3021af525b49854d05a8e9b.jpg?v=1786610956</t>
        </is>
      </c>
      <c r="E30" s="2" t="inlineStr">
        <is>
          <t>47833418498247</t>
        </is>
      </c>
      <c r="F30" s="2" t="inlineStr">
        <is>
          <t>47833418498247</t>
        </is>
      </c>
      <c r="G30" s="2" t="inlineStr"/>
      <c r="H30" s="2" t="inlineStr">
        <is>
          <t>GALLERY</t>
        </is>
      </c>
      <c r="I30" s="2" t="inlineStr">
        <is>
          <t>DIRECT_IMAGE_DOWNLOAD_AND_SOURCE_ROW_REVIEW</t>
        </is>
      </c>
      <c r="J30" s="2" t="inlineStr">
        <is>
          <t>2026-09-07T18:39:49+07:00</t>
        </is>
      </c>
      <c r="K30" s="2" t="inlineStr">
        <is>
          <t>Direct QA opened downloaded image 104_06; source SHA 739EEAFB732202C5B242B4B1C5BF730172BECA4B604F99C4C9B5E38C30D8AD21. Submitted observation reviewed against gallery position.</t>
        </is>
      </c>
      <c r="L30" s="2" t="inlineStr">
        <is>
          <t>Easy-care, size guide or product feature image for personalized soccer goal comforter with Kenzo number 10.</t>
        </is>
      </c>
      <c r="M30" s="2" t="inlineStr">
        <is>
          <t>UNKNOWN</t>
        </is>
      </c>
      <c r="N30" s="2" t="inlineStr">
        <is>
          <t>SET</t>
        </is>
      </c>
      <c r="O30" s="2" t="inlineStr">
        <is>
          <t>Care, size or product feature image for Personalized Soccer Goal Comforter</t>
        </is>
      </c>
      <c r="P30" s="2" t="inlineStr">
        <is>
          <t>FULL</t>
        </is>
      </c>
      <c r="Q30" s="2" t="inlineStr">
        <is>
          <t>PARTIAL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ISSUE-0039</t>
        </is>
      </c>
      <c r="Z30" s="2" t="inlineStr">
        <is>
          <t>D:\Shopify_Workspace\jeminise_seo\seo_runs\jeminise.com\20260906_234129\qa\20260907_181100\images\104_06.jpg; seo_runs\jeminise.com\20260906_234129\evidence\images\104_custom-soccer-ball-goal-personalized-bedding-comforter-set-a4\image_06_47833418498247.jpg; seo_runs\jeminise.com\20260906_234129\evidence\contact_sheets\104_custom-soccer-ball-goal-personalized-bedding-comforter-set-a4.jpg</t>
        </is>
      </c>
    </row>
    <row r="31" ht="66" customHeight="1">
      <c r="A31" s="3" t="inlineStr">
        <is>
          <t>jeminise.com+custom-soccer-ball-goal-personalized-bedding-comforter-set-a4</t>
        </is>
      </c>
      <c r="B31" s="3" t="inlineStr">
        <is>
          <t>img_0c7cc00df8499129</t>
        </is>
      </c>
      <c r="C31" s="4" t="inlineStr">
        <is>
          <t>https://cdn.shopify.com/s/files/1/0792/5098/1063/files/d761ea3ae4f4c0b26b7473177b21a616c5199552823ec637c64fe7b0d6b0f12f_d9ec0d73-2117-4b5e-8e27-b91f649eb31b.jpg?v=1786610956</t>
        </is>
      </c>
      <c r="D31" s="4" t="inlineStr">
        <is>
          <t>https://cdn.shopify.com/s/files/1/0792/5098/1063/files/d761ea3ae4f4c0b26b7473177b21a616c5199552823ec637c64fe7b0d6b0f12f_d9ec0d73-2117-4b5e-8e27-b91f649eb31b.jpg?v=1786610956</t>
        </is>
      </c>
      <c r="E31" s="3" t="inlineStr">
        <is>
          <t>47833418531015</t>
        </is>
      </c>
      <c r="F31" s="3" t="inlineStr">
        <is>
          <t>47833418531015</t>
        </is>
      </c>
      <c r="G31" s="3" t="inlineStr"/>
      <c r="H31" s="3" t="inlineStr">
        <is>
          <t>GALLERY</t>
        </is>
      </c>
      <c r="I31" s="3" t="inlineStr">
        <is>
          <t>DIRECT_IMAGE_DOWNLOAD_AND_SOURCE_ROW_REVIEW</t>
        </is>
      </c>
      <c r="J31" s="3" t="inlineStr">
        <is>
          <t>2026-09-07T18:39:49+07:00</t>
        </is>
      </c>
      <c r="K31" s="3" t="inlineStr">
        <is>
          <t>Direct QA opened downloaded image 104_07; source SHA 11391A3D5FF710D0446467E71868A92B2311629C094445B8B61DF990CDE0589A. Submitted observation reviewed against gallery position.</t>
        </is>
      </c>
      <c r="L31" s="3" t="inlineStr">
        <is>
          <t>Additional lifestyle, feature or product detail image showing personalized soccer goal comforter with Kenzo number 10.</t>
        </is>
      </c>
      <c r="M31" s="3" t="inlineStr">
        <is>
          <t>UNKNOWN</t>
        </is>
      </c>
      <c r="N31" s="3" t="inlineStr">
        <is>
          <t>SET</t>
        </is>
      </c>
      <c r="O31" s="3" t="inlineStr">
        <is>
          <t>Additional product mockup of Personalized Soccer Goal Comforter</t>
        </is>
      </c>
      <c r="P31" s="3" t="inlineStr">
        <is>
          <t>FULL</t>
        </is>
      </c>
      <c r="Q31" s="3" t="inlineStr">
        <is>
          <t>PARTIAL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ISSUE-0040</t>
        </is>
      </c>
      <c r="Z31" s="3" t="inlineStr">
        <is>
          <t>D:\Shopify_Workspace\jeminise_seo\seo_runs\jeminise.com\20260906_234129\qa\20260907_181100\images\104_07.jpg; seo_runs\jeminise.com\20260906_234129\evidence\images\104_custom-soccer-ball-goal-personalized-bedding-comforter-set-a4\image_07_47833418531015.jpg; seo_runs\jeminise.com\20260906_234129\evidence\contact_sheets\104_custom-soccer-ball-goal-personalized-bedding-comforter-set-a4.jpg</t>
        </is>
      </c>
    </row>
    <row r="32" ht="66" customHeight="1">
      <c r="A32" s="2" t="inlineStr">
        <is>
          <t>jeminise.com+custom-soccer-ball-net-comforter-set-machine-washable-a2</t>
        </is>
      </c>
      <c r="B32" s="2" t="inlineStr">
        <is>
          <t>img_74d00ea2542a6fd6</t>
        </is>
      </c>
      <c r="C32" s="4" t="inlineStr">
        <is>
          <t>https://cdn.shopify.com/s/files/1/0792/5098/1063/files/82333601a7ee5503b2c8e1c2000337833e2c7d844138e0b4a3807c18149eb399.jpg?v=1786610952</t>
        </is>
      </c>
      <c r="D32" s="4" t="inlineStr">
        <is>
          <t>https://cdn.shopify.com/s/files/1/0792/5098/1063/files/82333601a7ee5503b2c8e1c2000337833e2c7d844138e0b4a3807c18149eb399.jpg?v=1786610952</t>
        </is>
      </c>
      <c r="E32" s="2" t="inlineStr">
        <is>
          <t>47833417941191</t>
        </is>
      </c>
      <c r="F32" s="2" t="inlineStr">
        <is>
          <t>47833417941191</t>
        </is>
      </c>
      <c r="G32" s="2" t="inlineStr"/>
      <c r="H32" s="2" t="inlineStr">
        <is>
          <t>GALLERY</t>
        </is>
      </c>
      <c r="I32" s="2" t="inlineStr">
        <is>
          <t>DIRECT_IMAGE_DOWNLOAD_AND_SOURCE_ROW_REVIEW</t>
        </is>
      </c>
      <c r="J32" s="2" t="inlineStr">
        <is>
          <t>2026-09-07T18:39:49+07:00</t>
        </is>
      </c>
      <c r="K32" s="2" t="inlineStr">
        <is>
          <t>Direct QA opened downloaded image 105_01; source SHA 6072717D247087394EAACE920EA3C731EFE0FBC52424A00CFCE809387B0EA614. Submitted observation reviewed against gallery position.</t>
        </is>
      </c>
      <c r="L32" s="2" t="inlineStr">
        <is>
          <t>Main product mockup showing personalized multicolor soccer net comforter with Jayden number 07.</t>
        </is>
      </c>
      <c r="M32" s="2" t="inlineStr">
        <is>
          <t>UNKNOWN</t>
        </is>
      </c>
      <c r="N32" s="2" t="inlineStr">
        <is>
          <t>SET</t>
        </is>
      </c>
      <c r="O32" s="2" t="inlineStr">
        <is>
          <t>Personalized Multicolor Soccer Net Comforter displayed in a main product mockup</t>
        </is>
      </c>
      <c r="P32" s="2" t="inlineStr">
        <is>
          <t>FULL</t>
        </is>
      </c>
      <c r="Q32" s="2" t="inlineStr">
        <is>
          <t>FULL</t>
        </is>
      </c>
      <c r="R32" s="2" t="inlineStr">
        <is>
          <t>PARTIAL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ISSUE-0046</t>
        </is>
      </c>
      <c r="Z32" s="2" t="inlineStr">
        <is>
          <t>D:\Shopify_Workspace\jeminise_seo\seo_runs\jeminise.com\20260906_234129\qa\20260907_181100\images\105_01.jpg; seo_runs\jeminise.com\20260906_234129\evidence\images\105_custom-soccer-ball-net-comforter-set-machine-washable-a2\image_01_47833417941191.jpg; seo_runs\jeminise.com\20260906_234129\evidence\contact_sheets\105_custom-soccer-ball-net-comforter-set-machine-washable-a2.jpg</t>
        </is>
      </c>
    </row>
    <row r="33" ht="66" customHeight="1">
      <c r="A33" s="3" t="inlineStr">
        <is>
          <t>jeminise.com+custom-soccer-ball-net-comforter-set-machine-washable-a2</t>
        </is>
      </c>
      <c r="B33" s="3" t="inlineStr">
        <is>
          <t>img_0154da068447588f</t>
        </is>
      </c>
      <c r="C33" s="4" t="inlineStr">
        <is>
          <t>https://cdn.shopify.com/s/files/1/0792/5098/1063/files/e4f89c76a6f8185e66e32b20ec9b5d9d740e4909068e0941f30f334583036115.jpg?v=1786610952</t>
        </is>
      </c>
      <c r="D33" s="4" t="inlineStr">
        <is>
          <t>https://cdn.shopify.com/s/files/1/0792/5098/1063/files/e4f89c76a6f8185e66e32b20ec9b5d9d740e4909068e0941f30f334583036115.jpg?v=1786610952</t>
        </is>
      </c>
      <c r="E33" s="3" t="inlineStr">
        <is>
          <t>47833417973959</t>
        </is>
      </c>
      <c r="F33" s="3" t="inlineStr">
        <is>
          <t>47833417973959</t>
        </is>
      </c>
      <c r="G33" s="3" t="inlineStr"/>
      <c r="H33" s="3" t="inlineStr">
        <is>
          <t>GALLERY</t>
        </is>
      </c>
      <c r="I33" s="3" t="inlineStr">
        <is>
          <t>DIRECT_IMAGE_DOWNLOAD_AND_SOURCE_ROW_REVIEW</t>
        </is>
      </c>
      <c r="J33" s="3" t="inlineStr">
        <is>
          <t>2026-09-07T18:39:49+07:00</t>
        </is>
      </c>
      <c r="K33" s="3" t="inlineStr">
        <is>
          <t>Direct QA opened downloaded image 105_02; source SHA C632E2177E0206A0A9255104AA540BDFAF970E4C8AF10CA09604FB1E98E2CBCB. Submitted observation reviewed against gallery position.</t>
        </is>
      </c>
      <c r="L33" s="3" t="inlineStr">
        <is>
          <t>Secondary flat, close-up or bedroom mockup showing personalized multicolor soccer net comforter with Jayden number 07.</t>
        </is>
      </c>
      <c r="M33" s="3" t="inlineStr">
        <is>
          <t>UNKNOWN</t>
        </is>
      </c>
      <c r="N33" s="3" t="inlineStr">
        <is>
          <t>SET</t>
        </is>
      </c>
      <c r="O33" s="3" t="inlineStr">
        <is>
          <t>Secondary mockup of Personalized Multicolor Soccer Net Comforter</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c r="Z33" s="3" t="inlineStr">
        <is>
          <t>D:\Shopify_Workspace\jeminise_seo\seo_runs\jeminise.com\20260906_234129\qa\20260907_181100\images\105_02.jpg; seo_runs\jeminise.com\20260906_234129\evidence\images\105_custom-soccer-ball-net-comforter-set-machine-washable-a2\image_02_47833417973959.jpg; seo_runs\jeminise.com\20260906_234129\evidence\contact_sheets\105_custom-soccer-ball-net-comforter-set-machine-washable-a2.jpg</t>
        </is>
      </c>
    </row>
    <row r="34" ht="66" customHeight="1">
      <c r="A34" s="2" t="inlineStr">
        <is>
          <t>jeminise.com+custom-soccer-ball-net-comforter-set-machine-washable-a2</t>
        </is>
      </c>
      <c r="B34" s="2" t="inlineStr">
        <is>
          <t>img_138e59ae7e893e05</t>
        </is>
      </c>
      <c r="C34" s="4" t="inlineStr">
        <is>
          <t>https://cdn.shopify.com/s/files/1/0792/5098/1063/files/09c92d20270c366068722749877dfcc163d94f944c4ad88cb639774033eb44af.jpg?v=1786610952</t>
        </is>
      </c>
      <c r="D34" s="4" t="inlineStr">
        <is>
          <t>https://cdn.shopify.com/s/files/1/0792/5098/1063/files/09c92d20270c366068722749877dfcc163d94f944c4ad88cb639774033eb44af.jpg?v=1786610952</t>
        </is>
      </c>
      <c r="E34" s="2" t="inlineStr">
        <is>
          <t>47833418006727</t>
        </is>
      </c>
      <c r="F34" s="2" t="inlineStr">
        <is>
          <t>47833418006727</t>
        </is>
      </c>
      <c r="G34" s="2" t="inlineStr"/>
      <c r="H34" s="2" t="inlineStr">
        <is>
          <t>GALLERY</t>
        </is>
      </c>
      <c r="I34" s="2" t="inlineStr">
        <is>
          <t>DIRECT_IMAGE_DOWNLOAD_AND_SOURCE_ROW_REVIEW</t>
        </is>
      </c>
      <c r="J34" s="2" t="inlineStr">
        <is>
          <t>2026-09-07T18:39:49+07:00</t>
        </is>
      </c>
      <c r="K34" s="2" t="inlineStr">
        <is>
          <t>Direct QA opened downloaded image 105_03; source SHA 768FCA9120392197F01B38F9EB3C4F47689BBE799380B419F3CB6E90A39C2270. Submitted observation reviewed against gallery position.</t>
        </is>
      </c>
      <c r="L34" s="2" t="inlineStr">
        <is>
          <t>Bedding type, feature, lifestyle or material image for personalized multicolor soccer net comforter with Jayden number 07.</t>
        </is>
      </c>
      <c r="M34" s="2" t="inlineStr">
        <is>
          <t>UNKNOWN</t>
        </is>
      </c>
      <c r="N34" s="2" t="inlineStr">
        <is>
          <t>SET</t>
        </is>
      </c>
      <c r="O34" s="2" t="inlineStr">
        <is>
          <t>Product option, feature or lifestyle image for Personalized Multicolor Soccer Net Comforter</t>
        </is>
      </c>
      <c r="P34" s="2" t="inlineStr">
        <is>
          <t>FULL</t>
        </is>
      </c>
      <c r="Q34" s="2" t="inlineStr">
        <is>
          <t>PARTIAL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ISSUE-0047</t>
        </is>
      </c>
      <c r="Z34" s="2" t="inlineStr">
        <is>
          <t>D:\Shopify_Workspace\jeminise_seo\seo_runs\jeminise.com\20260906_234129\qa\20260907_181100\images\105_03.jpg; seo_runs\jeminise.com\20260906_234129\evidence\images\105_custom-soccer-ball-net-comforter-set-machine-washable-a2\image_03_47833418006727.jpg; seo_runs\jeminise.com\20260906_234129\evidence\contact_sheets\105_custom-soccer-ball-net-comforter-set-machine-washable-a2.jpg</t>
        </is>
      </c>
    </row>
    <row r="35" ht="66" customHeight="1">
      <c r="A35" s="3" t="inlineStr">
        <is>
          <t>jeminise.com+custom-soccer-ball-net-comforter-set-machine-washable-a2</t>
        </is>
      </c>
      <c r="B35" s="3" t="inlineStr">
        <is>
          <t>img_d3ab36b6ee540710</t>
        </is>
      </c>
      <c r="C35" s="4" t="inlineStr">
        <is>
          <t>https://cdn.shopify.com/s/files/1/0792/5098/1063/files/164b95e35a478522bf4ed840c25aa88e4b59617a11cd183d2bfa520cd5e35df7.jpg?v=1786610952</t>
        </is>
      </c>
      <c r="D35" s="4" t="inlineStr">
        <is>
          <t>https://cdn.shopify.com/s/files/1/0792/5098/1063/files/164b95e35a478522bf4ed840c25aa88e4b59617a11cd183d2bfa520cd5e35df7.jpg?v=1786610952</t>
        </is>
      </c>
      <c r="E35" s="3" t="inlineStr">
        <is>
          <t>47833418039495</t>
        </is>
      </c>
      <c r="F35" s="3" t="inlineStr">
        <is>
          <t>47833418039495</t>
        </is>
      </c>
      <c r="G35" s="3" t="inlineStr"/>
      <c r="H35" s="3" t="inlineStr">
        <is>
          <t>GALLERY</t>
        </is>
      </c>
      <c r="I35" s="3" t="inlineStr">
        <is>
          <t>DIRECT_IMAGE_DOWNLOAD_AND_SOURCE_ROW_REVIEW</t>
        </is>
      </c>
      <c r="J35" s="3" t="inlineStr">
        <is>
          <t>2026-09-07T18:39:49+07:00</t>
        </is>
      </c>
      <c r="K35" s="3" t="inlineStr">
        <is>
          <t>Direct QA opened downloaded image 105_04; source SHA 4F481531230241A1687B998CC1623AA73E1A6C58A71AF8C1C0861809B4B6679A. Submitted observation reviewed against gallery position.</t>
        </is>
      </c>
      <c r="L35" s="3" t="inlineStr">
        <is>
          <t>Detail, feature panel or lifestyle image connected to personalized multicolor soccer net comforter with Jayden number 07.</t>
        </is>
      </c>
      <c r="M35" s="3" t="inlineStr">
        <is>
          <t>UNKNOWN</t>
        </is>
      </c>
      <c r="N35" s="3" t="inlineStr">
        <is>
          <t>SET</t>
        </is>
      </c>
      <c r="O35" s="3" t="inlineStr">
        <is>
          <t>Detail or feature image for Personalized Multicolor Soccer Net Comforter</t>
        </is>
      </c>
      <c r="P35" s="3" t="inlineStr">
        <is>
          <t>FULL</t>
        </is>
      </c>
      <c r="Q35" s="3" t="inlineStr">
        <is>
          <t>PARTIAL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ISSUE-0048</t>
        </is>
      </c>
      <c r="Z35" s="3" t="inlineStr">
        <is>
          <t>D:\Shopify_Workspace\jeminise_seo\seo_runs\jeminise.com\20260906_234129\qa\20260907_181100\images\105_04.jpg; seo_runs\jeminise.com\20260906_234129\evidence\images\105_custom-soccer-ball-net-comforter-set-machine-washable-a2\image_04_47833418039495.jpg; seo_runs\jeminise.com\20260906_234129\evidence\contact_sheets\105_custom-soccer-ball-net-comforter-set-machine-washable-a2.jpg</t>
        </is>
      </c>
    </row>
    <row r="36" ht="66" customHeight="1">
      <c r="A36" s="2" t="inlineStr">
        <is>
          <t>jeminise.com+custom-soccer-ball-net-comforter-set-machine-washable-a2</t>
        </is>
      </c>
      <c r="B36" s="2" t="inlineStr">
        <is>
          <t>img_0c4ffaea9020c330</t>
        </is>
      </c>
      <c r="C36" s="4" t="inlineStr">
        <is>
          <t>https://cdn.shopify.com/s/files/1/0792/5098/1063/files/0b1d1e19cab6d757366a36700f895ecca060303e705a8aece2f5fa486b6770da_bc8d7f75-219a-4b5d-8e66-9489d2be706d.jpg?v=1786610952</t>
        </is>
      </c>
      <c r="D36" s="4" t="inlineStr">
        <is>
          <t>https://cdn.shopify.com/s/files/1/0792/5098/1063/files/0b1d1e19cab6d757366a36700f895ecca060303e705a8aece2f5fa486b6770da_bc8d7f75-219a-4b5d-8e66-9489d2be706d.jpg?v=1786610952</t>
        </is>
      </c>
      <c r="E36" s="2" t="inlineStr">
        <is>
          <t>47833418072263</t>
        </is>
      </c>
      <c r="F36" s="2" t="inlineStr">
        <is>
          <t>47833418072263</t>
        </is>
      </c>
      <c r="G36" s="2" t="inlineStr"/>
      <c r="H36" s="2" t="inlineStr">
        <is>
          <t>GALLERY</t>
        </is>
      </c>
      <c r="I36" s="2" t="inlineStr">
        <is>
          <t>DIRECT_IMAGE_DOWNLOAD_AND_SOURCE_ROW_REVIEW</t>
        </is>
      </c>
      <c r="J36" s="2" t="inlineStr">
        <is>
          <t>2026-09-07T18:39:49+07:00</t>
        </is>
      </c>
      <c r="K36" s="2" t="inlineStr">
        <is>
          <t>Direct QA opened downloaded image 105_05; source SHA D163E535A13D9D9230E528281552C4CCDEE56CB1F4A0CA3A6A15C697CB8A43F7. Submitted observation reviewed against gallery position.</t>
        </is>
      </c>
      <c r="L36" s="2" t="inlineStr">
        <is>
          <t>Additional mockup, care or size information for personalized multicolor soccer net comforter with Jayden number 07.</t>
        </is>
      </c>
      <c r="M36" s="2" t="inlineStr">
        <is>
          <t>UNKNOWN</t>
        </is>
      </c>
      <c r="N36" s="2" t="inlineStr">
        <is>
          <t>SET</t>
        </is>
      </c>
      <c r="O36" s="2" t="inlineStr">
        <is>
          <t>Additional product mockup or care information for Personalized Multicolor Soccer Net Comforter</t>
        </is>
      </c>
      <c r="P36" s="2" t="inlineStr">
        <is>
          <t>FULL</t>
        </is>
      </c>
      <c r="Q36" s="2" t="inlineStr">
        <is>
          <t>FULL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c r="Z36" s="2" t="inlineStr">
        <is>
          <t>D:\Shopify_Workspace\jeminise_seo\seo_runs\jeminise.com\20260906_234129\qa\20260907_181100\images\105_05.jpg; seo_runs\jeminise.com\20260906_234129\evidence\images\105_custom-soccer-ball-net-comforter-set-machine-washable-a2\image_05_47833418072263.jpg; seo_runs\jeminise.com\20260906_234129\evidence\contact_sheets\105_custom-soccer-ball-net-comforter-set-machine-washable-a2.jpg</t>
        </is>
      </c>
    </row>
    <row r="37" ht="66" customHeight="1">
      <c r="A37" s="3" t="inlineStr">
        <is>
          <t>jeminise.com+custom-soccer-ball-net-comforter-set-machine-washable-a2</t>
        </is>
      </c>
      <c r="B37" s="3" t="inlineStr">
        <is>
          <t>img_da5935cd0b335526</t>
        </is>
      </c>
      <c r="C37" s="4" t="inlineStr">
        <is>
          <t>https://cdn.shopify.com/s/files/1/0792/5098/1063/files/caf001b85a4e79727d87996286013724e2de3319e9c06e0f70d0f157cd572bf5.jpg?v=1786610952</t>
        </is>
      </c>
      <c r="D37" s="4" t="inlineStr">
        <is>
          <t>https://cdn.shopify.com/s/files/1/0792/5098/1063/files/caf001b85a4e79727d87996286013724e2de3319e9c06e0f70d0f157cd572bf5.jpg?v=1786610952</t>
        </is>
      </c>
      <c r="E37" s="3" t="inlineStr">
        <is>
          <t>47833418105031</t>
        </is>
      </c>
      <c r="F37" s="3" t="inlineStr">
        <is>
          <t>47833418105031</t>
        </is>
      </c>
      <c r="G37" s="3" t="inlineStr"/>
      <c r="H37" s="3" t="inlineStr">
        <is>
          <t>GALLERY</t>
        </is>
      </c>
      <c r="I37" s="3" t="inlineStr">
        <is>
          <t>DIRECT_IMAGE_DOWNLOAD_AND_SOURCE_ROW_REVIEW</t>
        </is>
      </c>
      <c r="J37" s="3" t="inlineStr">
        <is>
          <t>2026-09-07T18:39:49+07:00</t>
        </is>
      </c>
      <c r="K37" s="3" t="inlineStr">
        <is>
          <t>Direct QA opened downloaded image 105_06; source SHA F5507ADCAD57B005EF04FD5DF8848F35D86DDA48C86920576745736FD19A2D89. Submitted observation reviewed against gallery position.</t>
        </is>
      </c>
      <c r="L37" s="3" t="inlineStr">
        <is>
          <t>Easy-care, size guide or product feature image for personalized multicolor soccer net comforter with Jayden number 07.</t>
        </is>
      </c>
      <c r="M37" s="3" t="inlineStr">
        <is>
          <t>UNKNOWN</t>
        </is>
      </c>
      <c r="N37" s="3" t="inlineStr">
        <is>
          <t>SET</t>
        </is>
      </c>
      <c r="O37" s="3" t="inlineStr">
        <is>
          <t>Care, size or product feature image for Personalized Multicolor Soccer Net Comforter</t>
        </is>
      </c>
      <c r="P37" s="3" t="inlineStr">
        <is>
          <t>FULL</t>
        </is>
      </c>
      <c r="Q37" s="3" t="inlineStr">
        <is>
          <t>PARTIAL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ISSUE-0049</t>
        </is>
      </c>
      <c r="Z37" s="3" t="inlineStr">
        <is>
          <t>D:\Shopify_Workspace\jeminise_seo\seo_runs\jeminise.com\20260906_234129\qa\20260907_181100\images\105_06.jpg; seo_runs\jeminise.com\20260906_234129\evidence\images\105_custom-soccer-ball-net-comforter-set-machine-washable-a2\image_06_47833418105031.jpg; seo_runs\jeminise.com\20260906_234129\evidence\contact_sheets\105_custom-soccer-ball-net-comforter-set-machine-washable-a2.jpg</t>
        </is>
      </c>
    </row>
    <row r="38" ht="66" customHeight="1">
      <c r="A38" s="2" t="inlineStr">
        <is>
          <t>jeminise.com+custom-soccer-ball-net-comforter-set-machine-washable-a2</t>
        </is>
      </c>
      <c r="B38" s="2" t="inlineStr">
        <is>
          <t>img_c5302c42570342a0</t>
        </is>
      </c>
      <c r="C38" s="4" t="inlineStr">
        <is>
          <t>https://cdn.shopify.com/s/files/1/0792/5098/1063/files/b8808b19366c3be9b3f9b5d165e01bbcd407febd46189c1e8cfda33dbc968095.jpg?v=1786610952</t>
        </is>
      </c>
      <c r="D38" s="4" t="inlineStr">
        <is>
          <t>https://cdn.shopify.com/s/files/1/0792/5098/1063/files/b8808b19366c3be9b3f9b5d165e01bbcd407febd46189c1e8cfda33dbc968095.jpg?v=1786610952</t>
        </is>
      </c>
      <c r="E38" s="2" t="inlineStr">
        <is>
          <t>47833418137799</t>
        </is>
      </c>
      <c r="F38" s="2" t="inlineStr">
        <is>
          <t>47833418137799</t>
        </is>
      </c>
      <c r="G38" s="2" t="inlineStr"/>
      <c r="H38" s="2" t="inlineStr">
        <is>
          <t>GALLERY</t>
        </is>
      </c>
      <c r="I38" s="2" t="inlineStr">
        <is>
          <t>DIRECT_IMAGE_DOWNLOAD_AND_SOURCE_ROW_REVIEW</t>
        </is>
      </c>
      <c r="J38" s="2" t="inlineStr">
        <is>
          <t>2026-09-07T18:39:49+07:00</t>
        </is>
      </c>
      <c r="K38" s="2" t="inlineStr">
        <is>
          <t>Direct QA opened downloaded image 105_07; source SHA 272EC58941B5E2318761EC857A3E99556A90A97059C60180FB9CF160728AC4FF. Submitted observation reviewed against gallery position.</t>
        </is>
      </c>
      <c r="L38" s="2" t="inlineStr">
        <is>
          <t>Additional lifestyle, feature or product detail image showing personalized multicolor soccer net comforter with Jayden number 07.</t>
        </is>
      </c>
      <c r="M38" s="2" t="inlineStr">
        <is>
          <t>UNKNOWN</t>
        </is>
      </c>
      <c r="N38" s="2" t="inlineStr">
        <is>
          <t>SET</t>
        </is>
      </c>
      <c r="O38" s="2" t="inlineStr">
        <is>
          <t>Additional product mockup of Personalized Multicolor Soccer Net Comforter</t>
        </is>
      </c>
      <c r="P38" s="2" t="inlineStr">
        <is>
          <t>FULL</t>
        </is>
      </c>
      <c r="Q38" s="2" t="inlineStr">
        <is>
          <t>PARTIAL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ISSUE-0050</t>
        </is>
      </c>
      <c r="Z38" s="2" t="inlineStr">
        <is>
          <t>D:\Shopify_Workspace\jeminise_seo\seo_runs\jeminise.com\20260906_234129\qa\20260907_181100\images\105_07.jpg; seo_runs\jeminise.com\20260906_234129\evidence\images\105_custom-soccer-ball-net-comforter-set-machine-washable-a2\image_07_47833418137799.jpg; seo_runs\jeminise.com\20260906_234129\evidence\contact_sheets\105_custom-soccer-ball-net-comforter-set-machine-washable-a2.jpg</t>
        </is>
      </c>
    </row>
    <row r="39" ht="66" customHeight="1">
      <c r="A39" s="3" t="inlineStr">
        <is>
          <t>jeminise.com+custom-soccer-ball-net-comforter-set-machine-washable-a2</t>
        </is>
      </c>
      <c r="B39" s="3" t="inlineStr">
        <is>
          <t>img_a323043502c16718</t>
        </is>
      </c>
      <c r="C39" s="4" t="inlineStr">
        <is>
          <t>https://cdn.shopify.com/s/files/1/0792/5098/1063/files/dd6b2f75d5d331064be3e2ace151f6872c3f1f67675d8c1c7fa00f207341180b_f495c796-ec94-4c7a-ae83-a703dc0e4a3c.jpg?v=1786610952</t>
        </is>
      </c>
      <c r="D39" s="4" t="inlineStr">
        <is>
          <t>https://cdn.shopify.com/s/files/1/0792/5098/1063/files/dd6b2f75d5d331064be3e2ace151f6872c3f1f67675d8c1c7fa00f207341180b_f495c796-ec94-4c7a-ae83-a703dc0e4a3c.jpg?v=1786610952</t>
        </is>
      </c>
      <c r="E39" s="3" t="inlineStr">
        <is>
          <t>47833418170567</t>
        </is>
      </c>
      <c r="F39" s="3" t="inlineStr">
        <is>
          <t>47833418170567</t>
        </is>
      </c>
      <c r="G39" s="3" t="inlineStr"/>
      <c r="H39" s="3" t="inlineStr">
        <is>
          <t>GALLERY</t>
        </is>
      </c>
      <c r="I39" s="3" t="inlineStr">
        <is>
          <t>DIRECT_IMAGE_DOWNLOAD_AND_SOURCE_ROW_REVIEW</t>
        </is>
      </c>
      <c r="J39" s="3" t="inlineStr">
        <is>
          <t>2026-09-07T18:39:49+07:00</t>
        </is>
      </c>
      <c r="K39" s="3" t="inlineStr">
        <is>
          <t>Direct QA opened downloaded image 105_08; source SHA 20695A7BBFC81C154D78FA65E875BD671D43CF32FD78E26B6AA18B105B7CABED. Submitted observation reviewed against gallery position.</t>
        </is>
      </c>
      <c r="L39" s="3" t="inlineStr">
        <is>
          <t>Additional lifestyle, feature or product detail image showing personalized multicolor soccer net comforter with Jayden number 07.</t>
        </is>
      </c>
      <c r="M39" s="3" t="inlineStr">
        <is>
          <t>UNKNOWN</t>
        </is>
      </c>
      <c r="N39" s="3" t="inlineStr">
        <is>
          <t>SET</t>
        </is>
      </c>
      <c r="O39" s="3" t="inlineStr">
        <is>
          <t>Lifestyle use image for Personalized Multicolor Soccer Net Comforter</t>
        </is>
      </c>
      <c r="P39" s="3" t="inlineStr">
        <is>
          <t>FULL</t>
        </is>
      </c>
      <c r="Q39" s="3" t="inlineStr">
        <is>
          <t>PARTIAL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ISSUE-0051</t>
        </is>
      </c>
      <c r="Z39" s="3" t="inlineStr">
        <is>
          <t>D:\Shopify_Workspace\jeminise_seo\seo_runs\jeminise.com\20260906_234129\qa\20260907_181100\images\105_08.jpg; seo_runs\jeminise.com\20260906_234129\evidence\images\105_custom-soccer-ball-net-comforter-set-machine-washable-a2\image_08_47833418170567.jpg; seo_runs\jeminise.com\20260906_234129\evidence\contact_sheets\105_custom-soccer-ball-net-comforter-set-machine-washable-a2.jpg</t>
        </is>
      </c>
    </row>
    <row r="40" ht="66" customHeight="1">
      <c r="A40" s="2" t="inlineStr">
        <is>
          <t>jeminise.com+custom-soccer-ball-water-splashes-comforter-set-machine-washable</t>
        </is>
      </c>
      <c r="B40" s="2" t="inlineStr">
        <is>
          <t>img_6f5037fb4d8e3eb8</t>
        </is>
      </c>
      <c r="C40" s="4" t="inlineStr">
        <is>
          <t>https://cdn.shopify.com/s/files/1/0792/5098/1063/files/f55864bd923cfb841eb33123844bd7bddec61cb2871b60e8b3599cfa4e4987d1.jpg?v=1786610971</t>
        </is>
      </c>
      <c r="D40" s="4" t="inlineStr">
        <is>
          <t>https://cdn.shopify.com/s/files/1/0792/5098/1063/files/f55864bd923cfb841eb33123844bd7bddec61cb2871b60e8b3599cfa4e4987d1.jpg?v=1786610971</t>
        </is>
      </c>
      <c r="E40" s="2" t="inlineStr">
        <is>
          <t>47833424789703</t>
        </is>
      </c>
      <c r="F40" s="2" t="inlineStr">
        <is>
          <t>47833424789703</t>
        </is>
      </c>
      <c r="G40" s="2" t="inlineStr"/>
      <c r="H40" s="2" t="inlineStr">
        <is>
          <t>GALLERY</t>
        </is>
      </c>
      <c r="I40" s="2" t="inlineStr">
        <is>
          <t>DIRECT_IMAGE_DOWNLOAD_AND_SOURCE_ROW_REVIEW</t>
        </is>
      </c>
      <c r="J40" s="2" t="inlineStr">
        <is>
          <t>2026-09-07T18:39:49+07:00</t>
        </is>
      </c>
      <c r="K40" s="2" t="inlineStr">
        <is>
          <t>Direct QA opened downloaded image 106_01; source SHA 8BE0C422CB1E36617B3A95520BF04DF9775413FF3ED86CB2ED860AE087AF5459. Submitted observation reviewed against gallery position.</t>
        </is>
      </c>
      <c r="L40" s="2" t="inlineStr">
        <is>
          <t>Main product mockup showing personalized soccer water splash comforter with Matthew number 15.</t>
        </is>
      </c>
      <c r="M40" s="2" t="inlineStr">
        <is>
          <t>UNKNOWN</t>
        </is>
      </c>
      <c r="N40" s="2" t="inlineStr">
        <is>
          <t>SET</t>
        </is>
      </c>
      <c r="O40" s="2" t="inlineStr">
        <is>
          <t>Personalized Soccer Water Splash Comforter displayed in a main product mockup</t>
        </is>
      </c>
      <c r="P40" s="2" t="inlineStr">
        <is>
          <t>FULL</t>
        </is>
      </c>
      <c r="Q40" s="2" t="inlineStr">
        <is>
          <t>FULL</t>
        </is>
      </c>
      <c r="R40" s="2" t="inlineStr">
        <is>
          <t>PARTIAL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ISSUE-0056</t>
        </is>
      </c>
      <c r="Z40" s="2" t="inlineStr">
        <is>
          <t>D:\Shopify_Workspace\jeminise_seo\seo_runs\jeminise.com\20260906_234129\qa\20260907_181100\images\106_01.jpg; seo_runs\jeminise.com\20260906_234129\evidence\images\106_custom-soccer-ball-water-splashes-comforter-set-machine-washable\image_01_47833424789703.jpg; seo_runs\jeminise.com\20260906_234129\evidence\contact_sheets\106_custom-soccer-ball-water-splashes-comforter-set-machine-washable.jpg</t>
        </is>
      </c>
    </row>
    <row r="41" ht="66" customHeight="1">
      <c r="A41" s="3" t="inlineStr">
        <is>
          <t>jeminise.com+custom-soccer-ball-water-splashes-comforter-set-machine-washable</t>
        </is>
      </c>
      <c r="B41" s="3" t="inlineStr">
        <is>
          <t>img_a4712cb5cc5f8387</t>
        </is>
      </c>
      <c r="C41" s="4" t="inlineStr">
        <is>
          <t>https://cdn.shopify.com/s/files/1/0792/5098/1063/files/e57ab99e727175c89654887c2283894fe8a7e00033511ddc129efed7defe230c.jpg?v=1786610972</t>
        </is>
      </c>
      <c r="D41" s="4" t="inlineStr">
        <is>
          <t>https://cdn.shopify.com/s/files/1/0792/5098/1063/files/e57ab99e727175c89654887c2283894fe8a7e00033511ddc129efed7defe230c.jpg?v=1786610972</t>
        </is>
      </c>
      <c r="E41" s="3" t="inlineStr">
        <is>
          <t>47833424822471</t>
        </is>
      </c>
      <c r="F41" s="3" t="inlineStr">
        <is>
          <t>47833424822471</t>
        </is>
      </c>
      <c r="G41" s="3" t="inlineStr"/>
      <c r="H41" s="3" t="inlineStr">
        <is>
          <t>GALLERY</t>
        </is>
      </c>
      <c r="I41" s="3" t="inlineStr">
        <is>
          <t>DIRECT_IMAGE_DOWNLOAD_AND_SOURCE_ROW_REVIEW</t>
        </is>
      </c>
      <c r="J41" s="3" t="inlineStr">
        <is>
          <t>2026-09-07T18:39:49+07:00</t>
        </is>
      </c>
      <c r="K41" s="3" t="inlineStr">
        <is>
          <t>Direct QA opened downloaded image 106_02; source SHA D9B4836A8AD1950DB6C5A28C77B1353CF110E01AE25131D549BF514B1338684F. Submitted observation reviewed against gallery position.</t>
        </is>
      </c>
      <c r="L41" s="3" t="inlineStr">
        <is>
          <t>Secondary flat, close-up or bedroom mockup showing personalized soccer water splash comforter with Matthew number 15.</t>
        </is>
      </c>
      <c r="M41" s="3" t="inlineStr">
        <is>
          <t>UNKNOWN</t>
        </is>
      </c>
      <c r="N41" s="3" t="inlineStr">
        <is>
          <t>SET</t>
        </is>
      </c>
      <c r="O41" s="3" t="inlineStr">
        <is>
          <t>Secondary mockup of Personalized Soccer Water Splash Comforter</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c r="Z41" s="3" t="inlineStr">
        <is>
          <t>D:\Shopify_Workspace\jeminise_seo\seo_runs\jeminise.com\20260906_234129\qa\20260907_181100\images\106_02.jpg; seo_runs\jeminise.com\20260906_234129\evidence\images\106_custom-soccer-ball-water-splashes-comforter-set-machine-washable\image_02_47833424822471.jpg; seo_runs\jeminise.com\20260906_234129\evidence\contact_sheets\106_custom-soccer-ball-water-splashes-comforter-set-machine-washable.jpg</t>
        </is>
      </c>
    </row>
    <row r="42" ht="66" customHeight="1">
      <c r="A42" s="2" t="inlineStr">
        <is>
          <t>jeminise.com+custom-soccer-ball-water-splashes-comforter-set-machine-washable</t>
        </is>
      </c>
      <c r="B42" s="2" t="inlineStr">
        <is>
          <t>img_94f93adea711a459</t>
        </is>
      </c>
      <c r="C42" s="4" t="inlineStr">
        <is>
          <t>https://cdn.shopify.com/s/files/1/0792/5098/1063/files/0b1d1e19cab6d757366a36700f895ecca060303e705a8aece2f5fa486b6770da_d0ea3391-1dbc-4cd3-ba29-00beca290e13.jpg?v=1786610972</t>
        </is>
      </c>
      <c r="D42" s="4" t="inlineStr">
        <is>
          <t>https://cdn.shopify.com/s/files/1/0792/5098/1063/files/0b1d1e19cab6d757366a36700f895ecca060303e705a8aece2f5fa486b6770da_d0ea3391-1dbc-4cd3-ba29-00beca290e13.jpg?v=1786610972</t>
        </is>
      </c>
      <c r="E42" s="2" t="inlineStr">
        <is>
          <t>47833424855239</t>
        </is>
      </c>
      <c r="F42" s="2" t="inlineStr">
        <is>
          <t>47833424855239</t>
        </is>
      </c>
      <c r="G42" s="2" t="inlineStr"/>
      <c r="H42" s="2" t="inlineStr">
        <is>
          <t>GALLERY</t>
        </is>
      </c>
      <c r="I42" s="2" t="inlineStr">
        <is>
          <t>DIRECT_IMAGE_DOWNLOAD_AND_SOURCE_ROW_REVIEW</t>
        </is>
      </c>
      <c r="J42" s="2" t="inlineStr">
        <is>
          <t>2026-09-07T18:39:49+07:00</t>
        </is>
      </c>
      <c r="K42" s="2" t="inlineStr">
        <is>
          <t>Direct QA opened downloaded image 106_03; source SHA D163E535A13D9D9230E528281552C4CCDEE56CB1F4A0CA3A6A15C697CB8A43F7. Submitted observation reviewed against gallery position.</t>
        </is>
      </c>
      <c r="L42" s="2" t="inlineStr">
        <is>
          <t>Bedding type, feature, lifestyle or material image for personalized soccer water splash comforter with Matthew number 15.</t>
        </is>
      </c>
      <c r="M42" s="2" t="inlineStr">
        <is>
          <t>UNKNOWN</t>
        </is>
      </c>
      <c r="N42" s="2" t="inlineStr">
        <is>
          <t>SET</t>
        </is>
      </c>
      <c r="O42" s="2" t="inlineStr">
        <is>
          <t>Product option, feature or lifestyle image for Personalized Soccer Water Splash Comforter</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ISSUE-0057</t>
        </is>
      </c>
      <c r="Z42" s="2" t="inlineStr">
        <is>
          <t>D:\Shopify_Workspace\jeminise_seo\seo_runs\jeminise.com\20260906_234129\qa\20260907_181100\images\106_03.jpg; seo_runs\jeminise.com\20260906_234129\evidence\images\106_custom-soccer-ball-water-splashes-comforter-set-machine-washable\image_03_47833424855239.jpg; seo_runs\jeminise.com\20260906_234129\evidence\contact_sheets\106_custom-soccer-ball-water-splashes-comforter-set-machine-washable.jpg</t>
        </is>
      </c>
    </row>
    <row r="43" ht="66" customHeight="1">
      <c r="A43" s="3" t="inlineStr">
        <is>
          <t>jeminise.com+custom-soccer-ball-water-splashes-comforter-set-machine-washable</t>
        </is>
      </c>
      <c r="B43" s="3" t="inlineStr">
        <is>
          <t>img_9c62dfb7d9d9f62d</t>
        </is>
      </c>
      <c r="C43" s="4" t="inlineStr">
        <is>
          <t>https://cdn.shopify.com/s/files/1/0792/5098/1063/files/09698594226d8d0790d2d60d7e9422bcf5582493d9bc17e46842c5cc0e151233.jpg?v=1786610971</t>
        </is>
      </c>
      <c r="D43" s="4" t="inlineStr">
        <is>
          <t>https://cdn.shopify.com/s/files/1/0792/5098/1063/files/09698594226d8d0790d2d60d7e9422bcf5582493d9bc17e46842c5cc0e151233.jpg?v=1786610971</t>
        </is>
      </c>
      <c r="E43" s="3" t="inlineStr">
        <is>
          <t>47833424888007</t>
        </is>
      </c>
      <c r="F43" s="3" t="inlineStr">
        <is>
          <t>47833424888007</t>
        </is>
      </c>
      <c r="G43" s="3" t="inlineStr"/>
      <c r="H43" s="3" t="inlineStr">
        <is>
          <t>GALLERY</t>
        </is>
      </c>
      <c r="I43" s="3" t="inlineStr">
        <is>
          <t>DIRECT_IMAGE_DOWNLOAD_AND_SOURCE_ROW_REVIEW</t>
        </is>
      </c>
      <c r="J43" s="3" t="inlineStr">
        <is>
          <t>2026-09-07T18:39:49+07:00</t>
        </is>
      </c>
      <c r="K43" s="3" t="inlineStr">
        <is>
          <t>Direct QA opened downloaded image 106_04; source SHA 3DF86A5FD018B0DB04A2EAE8AAC873F077DA9A526076BDBC80AC99A649B6DB17. Submitted observation reviewed against gallery position.</t>
        </is>
      </c>
      <c r="L43" s="3" t="inlineStr">
        <is>
          <t>Detail, feature panel or lifestyle image connected to personalized soccer water splash comforter with Matthew number 15.</t>
        </is>
      </c>
      <c r="M43" s="3" t="inlineStr">
        <is>
          <t>UNKNOWN</t>
        </is>
      </c>
      <c r="N43" s="3" t="inlineStr">
        <is>
          <t>SET</t>
        </is>
      </c>
      <c r="O43" s="3" t="inlineStr">
        <is>
          <t>Detail or feature image for Personalized Soccer Water Splash Comforter</t>
        </is>
      </c>
      <c r="P43" s="3" t="inlineStr">
        <is>
          <t>FULL</t>
        </is>
      </c>
      <c r="Q43" s="3" t="inlineStr">
        <is>
          <t>PARTIAL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ISSUE-0058</t>
        </is>
      </c>
      <c r="Z43" s="3" t="inlineStr">
        <is>
          <t>D:\Shopify_Workspace\jeminise_seo\seo_runs\jeminise.com\20260906_234129\qa\20260907_181100\images\106_04.jpg; seo_runs\jeminise.com\20260906_234129\evidence\images\106_custom-soccer-ball-water-splashes-comforter-set-machine-washable\image_04_47833424888007.jpg; seo_runs\jeminise.com\20260906_234129\evidence\contact_sheets\106_custom-soccer-ball-water-splashes-comforter-set-machine-washable.jpg</t>
        </is>
      </c>
    </row>
    <row r="44" ht="66" customHeight="1">
      <c r="A44" s="2" t="inlineStr">
        <is>
          <t>jeminise.com+custom-soccer-ball-water-splashes-comforter-set-machine-washable</t>
        </is>
      </c>
      <c r="B44" s="2" t="inlineStr">
        <is>
          <t>img_f6e5d41e86a92594</t>
        </is>
      </c>
      <c r="C44" s="4" t="inlineStr">
        <is>
          <t>https://cdn.shopify.com/s/files/1/0792/5098/1063/files/edd6c5b1619100663d28a2e1f0044a8134f12d71d4e2e0beaf1aebe286083b00.jpg?v=1786610971</t>
        </is>
      </c>
      <c r="D44" s="4" t="inlineStr">
        <is>
          <t>https://cdn.shopify.com/s/files/1/0792/5098/1063/files/edd6c5b1619100663d28a2e1f0044a8134f12d71d4e2e0beaf1aebe286083b00.jpg?v=1786610971</t>
        </is>
      </c>
      <c r="E44" s="2" t="inlineStr">
        <is>
          <t>47833424920775</t>
        </is>
      </c>
      <c r="F44" s="2" t="inlineStr">
        <is>
          <t>47833424920775</t>
        </is>
      </c>
      <c r="G44" s="2" t="inlineStr"/>
      <c r="H44" s="2" t="inlineStr">
        <is>
          <t>GALLERY</t>
        </is>
      </c>
      <c r="I44" s="2" t="inlineStr">
        <is>
          <t>DIRECT_IMAGE_DOWNLOAD_AND_SOURCE_ROW_REVIEW</t>
        </is>
      </c>
      <c r="J44" s="2" t="inlineStr">
        <is>
          <t>2026-09-07T18:39:49+07:00</t>
        </is>
      </c>
      <c r="K44" s="2" t="inlineStr">
        <is>
          <t>Direct QA opened downloaded image 106_05; source SHA 713647411F7B8AD7880F1CB20A3A4D42A7233EFFF49D9D79174B4C49227D1B2B. Submitted observation reviewed against gallery position.</t>
        </is>
      </c>
      <c r="L44" s="2" t="inlineStr">
        <is>
          <t>Additional mockup, care or size information for personalized soccer water splash comforter with Matthew number 15.</t>
        </is>
      </c>
      <c r="M44" s="2" t="inlineStr">
        <is>
          <t>UNKNOWN</t>
        </is>
      </c>
      <c r="N44" s="2" t="inlineStr">
        <is>
          <t>SET</t>
        </is>
      </c>
      <c r="O44" s="2" t="inlineStr">
        <is>
          <t>Additional product mockup or care information for Personalized Soccer Water Splash Comforter</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c r="Z44" s="2" t="inlineStr">
        <is>
          <t>D:\Shopify_Workspace\jeminise_seo\seo_runs\jeminise.com\20260906_234129\qa\20260907_181100\images\106_05.jpg; seo_runs\jeminise.com\20260906_234129\evidence\images\106_custom-soccer-ball-water-splashes-comforter-set-machine-washable\image_05_47833424920775.jpg; seo_runs\jeminise.com\20260906_234129\evidence\contact_sheets\106_custom-soccer-ball-water-splashes-comforter-set-machine-washable.jpg</t>
        </is>
      </c>
    </row>
    <row r="45" ht="66" customHeight="1">
      <c r="A45" s="3" t="inlineStr">
        <is>
          <t>jeminise.com+custom-soccer-ball-water-splashes-comforter-set-machine-washable</t>
        </is>
      </c>
      <c r="B45" s="3" t="inlineStr">
        <is>
          <t>img_7f6a2f179d17731b</t>
        </is>
      </c>
      <c r="C45" s="4" t="inlineStr">
        <is>
          <t>https://cdn.shopify.com/s/files/1/0792/5098/1063/files/eb3bcbfe3f8d762beed0aeedacccf09e473ce42fc43e30ffab6a54c49783ff7f.jpg?v=1786610972</t>
        </is>
      </c>
      <c r="D45" s="4" t="inlineStr">
        <is>
          <t>https://cdn.shopify.com/s/files/1/0792/5098/1063/files/eb3bcbfe3f8d762beed0aeedacccf09e473ce42fc43e30ffab6a54c49783ff7f.jpg?v=1786610972</t>
        </is>
      </c>
      <c r="E45" s="3" t="inlineStr">
        <is>
          <t>47833424953543</t>
        </is>
      </c>
      <c r="F45" s="3" t="inlineStr">
        <is>
          <t>47833424953543</t>
        </is>
      </c>
      <c r="G45" s="3" t="inlineStr"/>
      <c r="H45" s="3" t="inlineStr">
        <is>
          <t>GALLERY</t>
        </is>
      </c>
      <c r="I45" s="3" t="inlineStr">
        <is>
          <t>DIRECT_IMAGE_DOWNLOAD_AND_SOURCE_ROW_REVIEW</t>
        </is>
      </c>
      <c r="J45" s="3" t="inlineStr">
        <is>
          <t>2026-09-07T18:39:49+07:00</t>
        </is>
      </c>
      <c r="K45" s="3" t="inlineStr">
        <is>
          <t>Direct QA opened downloaded image 106_06; source SHA 6FE2D2BFCEAD0112A3F74299B04C45FB9AB230E397AFE9D8C840D65EE5892C19. Submitted observation reviewed against gallery position.</t>
        </is>
      </c>
      <c r="L45" s="3" t="inlineStr">
        <is>
          <t>Easy-care, size guide or product feature image for personalized soccer water splash comforter with Matthew number 15.</t>
        </is>
      </c>
      <c r="M45" s="3" t="inlineStr">
        <is>
          <t>UNKNOWN</t>
        </is>
      </c>
      <c r="N45" s="3" t="inlineStr">
        <is>
          <t>SET</t>
        </is>
      </c>
      <c r="O45" s="3" t="inlineStr">
        <is>
          <t>Care, size or product feature image for Personalized Soccer Water Splash Comforter</t>
        </is>
      </c>
      <c r="P45" s="3" t="inlineStr">
        <is>
          <t>FULL</t>
        </is>
      </c>
      <c r="Q45" s="3" t="inlineStr">
        <is>
          <t>PARTIAL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ISSUE-0059</t>
        </is>
      </c>
      <c r="Z45" s="3" t="inlineStr">
        <is>
          <t>D:\Shopify_Workspace\jeminise_seo\seo_runs\jeminise.com\20260906_234129\qa\20260907_181100\images\106_06.jpg; seo_runs\jeminise.com\20260906_234129\evidence\images\106_custom-soccer-ball-water-splashes-comforter-set-machine-washable\image_06_47833424953543.jpg; seo_runs\jeminise.com\20260906_234129\evidence\contact_sheets\106_custom-soccer-ball-water-splashes-comforter-set-machine-washable.jpg</t>
        </is>
      </c>
    </row>
    <row r="46" ht="66" customHeight="1">
      <c r="A46" s="2" t="inlineStr">
        <is>
          <t>jeminise.com+custom-soccer-ball-water-splashes-comforter-set-machine-washable</t>
        </is>
      </c>
      <c r="B46" s="2" t="inlineStr">
        <is>
          <t>img_fec75c209dace51f</t>
        </is>
      </c>
      <c r="C46" s="4" t="inlineStr">
        <is>
          <t>https://cdn.shopify.com/s/files/1/0792/5098/1063/files/dd6b2f75d5d331064be3e2ace151f6872c3f1f67675d8c1c7fa00f207341180b_2a160289-1bc0-441f-97ca-4eb1ab9defdf.jpg?v=1786610971</t>
        </is>
      </c>
      <c r="D46" s="4" t="inlineStr">
        <is>
          <t>https://cdn.shopify.com/s/files/1/0792/5098/1063/files/dd6b2f75d5d331064be3e2ace151f6872c3f1f67675d8c1c7fa00f207341180b_2a160289-1bc0-441f-97ca-4eb1ab9defdf.jpg?v=1786610971</t>
        </is>
      </c>
      <c r="E46" s="2" t="inlineStr">
        <is>
          <t>47833424986311</t>
        </is>
      </c>
      <c r="F46" s="2" t="inlineStr">
        <is>
          <t>47833424986311</t>
        </is>
      </c>
      <c r="G46" s="2" t="inlineStr"/>
      <c r="H46" s="2" t="inlineStr">
        <is>
          <t>GALLERY</t>
        </is>
      </c>
      <c r="I46" s="2" t="inlineStr">
        <is>
          <t>DIRECT_IMAGE_DOWNLOAD_AND_SOURCE_ROW_REVIEW</t>
        </is>
      </c>
      <c r="J46" s="2" t="inlineStr">
        <is>
          <t>2026-09-07T18:39:49+07:00</t>
        </is>
      </c>
      <c r="K46" s="2" t="inlineStr">
        <is>
          <t>Direct QA opened downloaded image 106_07; source SHA 20695A7BBFC81C154D78FA65E875BD671D43CF32FD78E26B6AA18B105B7CABED. Submitted observation reviewed against gallery position.</t>
        </is>
      </c>
      <c r="L46" s="2" t="inlineStr">
        <is>
          <t>Additional lifestyle, feature or product detail image showing personalized soccer water splash comforter with Matthew number 15.</t>
        </is>
      </c>
      <c r="M46" s="2" t="inlineStr">
        <is>
          <t>UNKNOWN</t>
        </is>
      </c>
      <c r="N46" s="2" t="inlineStr">
        <is>
          <t>SET</t>
        </is>
      </c>
      <c r="O46" s="2" t="inlineStr">
        <is>
          <t>Additional product mockup of Personalized Soccer Water Splash Comforter</t>
        </is>
      </c>
      <c r="P46" s="2" t="inlineStr">
        <is>
          <t>FULL</t>
        </is>
      </c>
      <c r="Q46" s="2" t="inlineStr">
        <is>
          <t>PARTIAL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ISSUE-0060</t>
        </is>
      </c>
      <c r="Z46" s="2" t="inlineStr">
        <is>
          <t>D:\Shopify_Workspace\jeminise_seo\seo_runs\jeminise.com\20260906_234129\qa\20260907_181100\images\106_07.jpg; seo_runs\jeminise.com\20260906_234129\evidence\images\106_custom-soccer-ball-water-splashes-comforter-set-machine-washable\image_07_47833424986311.jpg; seo_runs\jeminise.com\20260906_234129\evidence\contact_sheets\106_custom-soccer-ball-water-splashes-comforter-set-machine-washable.jpg</t>
        </is>
      </c>
    </row>
    <row r="47" ht="66" customHeight="1">
      <c r="A47" s="3" t="inlineStr">
        <is>
          <t>jeminise.com+custom-soccer-ball-water-splashes-comforter-set-machine-washable</t>
        </is>
      </c>
      <c r="B47" s="3" t="inlineStr">
        <is>
          <t>img_0dd93da2206f59b4</t>
        </is>
      </c>
      <c r="C47" s="4" t="inlineStr">
        <is>
          <t>https://cdn.shopify.com/s/files/1/0792/5098/1063/files/d761ea3ae4f4c0b26b7473177b21a616c5199552823ec637c64fe7b0d6b0f12f_d968ca6a-19c4-4159-9b4e-958c04bbc806.jpg?v=1786610971</t>
        </is>
      </c>
      <c r="D47" s="4" t="inlineStr">
        <is>
          <t>https://cdn.shopify.com/s/files/1/0792/5098/1063/files/d761ea3ae4f4c0b26b7473177b21a616c5199552823ec637c64fe7b0d6b0f12f_d968ca6a-19c4-4159-9b4e-958c04bbc806.jpg?v=1786610971</t>
        </is>
      </c>
      <c r="E47" s="3" t="inlineStr">
        <is>
          <t>47833425019079</t>
        </is>
      </c>
      <c r="F47" s="3" t="inlineStr">
        <is>
          <t>47833425019079</t>
        </is>
      </c>
      <c r="G47" s="3" t="inlineStr"/>
      <c r="H47" s="3" t="inlineStr">
        <is>
          <t>GALLERY</t>
        </is>
      </c>
      <c r="I47" s="3" t="inlineStr">
        <is>
          <t>DIRECT_IMAGE_DOWNLOAD_AND_SOURCE_ROW_REVIEW</t>
        </is>
      </c>
      <c r="J47" s="3" t="inlineStr">
        <is>
          <t>2026-09-07T18:39:49+07:00</t>
        </is>
      </c>
      <c r="K47" s="3" t="inlineStr">
        <is>
          <t>Direct QA opened downloaded image 106_08; source SHA 11391A3D5FF710D0446467E71868A92B2311629C094445B8B61DF990CDE0589A. Submitted observation reviewed against gallery position.</t>
        </is>
      </c>
      <c r="L47" s="3" t="inlineStr">
        <is>
          <t>Additional lifestyle, feature or product detail image showing personalized soccer water splash comforter with Matthew number 15.</t>
        </is>
      </c>
      <c r="M47" s="3" t="inlineStr">
        <is>
          <t>UNKNOWN</t>
        </is>
      </c>
      <c r="N47" s="3" t="inlineStr">
        <is>
          <t>SET</t>
        </is>
      </c>
      <c r="O47" s="3" t="inlineStr">
        <is>
          <t>Lifestyle use image for Personalized Soccer Water Splash Comforter</t>
        </is>
      </c>
      <c r="P47" s="3" t="inlineStr">
        <is>
          <t>FULL</t>
        </is>
      </c>
      <c r="Q47" s="3" t="inlineStr">
        <is>
          <t>PARTIAL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ISSUE-0061</t>
        </is>
      </c>
      <c r="Z47" s="3" t="inlineStr">
        <is>
          <t>D:\Shopify_Workspace\jeminise_seo\seo_runs\jeminise.com\20260906_234129\qa\20260907_181100\images\106_08.jpg; seo_runs\jeminise.com\20260906_234129\evidence\images\106_custom-soccer-ball-water-splashes-comforter-set-machine-washable\image_08_47833425019079.jpg; seo_runs\jeminise.com\20260906_234129\evidence\contact_sheets\106_custom-soccer-ball-water-splashes-comforter-set-machine-washable.jpg</t>
        </is>
      </c>
    </row>
    <row r="48" ht="66" customHeight="1">
      <c r="A48" s="2" t="inlineStr">
        <is>
          <t>jeminise.com+custom-soccer-ball-with-lightning-splash-comforter-set-a11</t>
        </is>
      </c>
      <c r="B48" s="2" t="inlineStr">
        <is>
          <t>img_17cbf205b69c0647</t>
        </is>
      </c>
      <c r="C48" s="4" t="inlineStr">
        <is>
          <t>https://cdn.shopify.com/s/files/1/0792/5098/1063/files/99c0337aa1a903214fd6d8c8bd8e26623ae3840aacc91fae513643a9bb227f75.jpg?v=1786611005</t>
        </is>
      </c>
      <c r="D48" s="4" t="inlineStr">
        <is>
          <t>https://cdn.shopify.com/s/files/1/0792/5098/1063/files/99c0337aa1a903214fd6d8c8bd8e26623ae3840aacc91fae513643a9bb227f75.jpg?v=1786611005</t>
        </is>
      </c>
      <c r="E48" s="2" t="inlineStr">
        <is>
          <t>47833434423495</t>
        </is>
      </c>
      <c r="F48" s="2" t="inlineStr">
        <is>
          <t>47833434423495</t>
        </is>
      </c>
      <c r="G48" s="2" t="inlineStr"/>
      <c r="H48" s="2" t="inlineStr">
        <is>
          <t>GALLERY</t>
        </is>
      </c>
      <c r="I48" s="2" t="inlineStr">
        <is>
          <t>DIRECT_IMAGE_DOWNLOAD_AND_SOURCE_ROW_REVIEW</t>
        </is>
      </c>
      <c r="J48" s="2" t="inlineStr">
        <is>
          <t>2026-09-07T18:39:49+07:00</t>
        </is>
      </c>
      <c r="K48" s="2" t="inlineStr">
        <is>
          <t>Direct QA opened downloaded image 107_01; source SHA ACCB3DBB3E92E56E0967E213147B7DF663CE7B63D949F46ECB148A13E1139970. Submitted observation reviewed against gallery position.</t>
        </is>
      </c>
      <c r="L48" s="2" t="inlineStr">
        <is>
          <t>Main product mockup showing personalized lightning soccer ball comforter with Lucas number 10.</t>
        </is>
      </c>
      <c r="M48" s="2" t="inlineStr">
        <is>
          <t>UNKNOWN</t>
        </is>
      </c>
      <c r="N48" s="2" t="inlineStr">
        <is>
          <t>SET</t>
        </is>
      </c>
      <c r="O48" s="2" t="inlineStr">
        <is>
          <t>Personalized Lightning Soccer Ball Comforter displayed in a main product mockup</t>
        </is>
      </c>
      <c r="P48" s="2" t="inlineStr">
        <is>
          <t>FULL</t>
        </is>
      </c>
      <c r="Q48" s="2" t="inlineStr">
        <is>
          <t>FULL</t>
        </is>
      </c>
      <c r="R48" s="2" t="inlineStr">
        <is>
          <t>PARTIAL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ISSUE-0067</t>
        </is>
      </c>
      <c r="Z48" s="2" t="inlineStr">
        <is>
          <t>D:\Shopify_Workspace\jeminise_seo\seo_runs\jeminise.com\20260906_234129\qa\20260907_181100\images\107_01.jpg; seo_runs\jeminise.com\20260906_234129\evidence\images\107_custom-soccer-ball-with-lightning-splash-comforter-set-a11\image_01_47833434423495.jpg; seo_runs\jeminise.com\20260906_234129\evidence\contact_sheets\107_custom-soccer-ball-with-lightning-splash-comforter-set-a11.jpg</t>
        </is>
      </c>
    </row>
    <row r="49" ht="66" customHeight="1">
      <c r="A49" s="3" t="inlineStr">
        <is>
          <t>jeminise.com+custom-soccer-ball-with-lightning-splash-comforter-set-a11</t>
        </is>
      </c>
      <c r="B49" s="3" t="inlineStr">
        <is>
          <t>img_9ed6ecf7a4cda8b9</t>
        </is>
      </c>
      <c r="C49" s="4" t="inlineStr">
        <is>
          <t>https://cdn.shopify.com/s/files/1/0792/5098/1063/files/bbceee785f4fb5333bde47a326fc902c71760ff9d93f2a06824ccb2e16d5a223.jpg?v=1786611005</t>
        </is>
      </c>
      <c r="D49" s="4" t="inlineStr">
        <is>
          <t>https://cdn.shopify.com/s/files/1/0792/5098/1063/files/bbceee785f4fb5333bde47a326fc902c71760ff9d93f2a06824ccb2e16d5a223.jpg?v=1786611005</t>
        </is>
      </c>
      <c r="E49" s="3" t="inlineStr">
        <is>
          <t>47833434456263</t>
        </is>
      </c>
      <c r="F49" s="3" t="inlineStr">
        <is>
          <t>47833434456263</t>
        </is>
      </c>
      <c r="G49" s="3" t="inlineStr"/>
      <c r="H49" s="3" t="inlineStr">
        <is>
          <t>GALLERY</t>
        </is>
      </c>
      <c r="I49" s="3" t="inlineStr">
        <is>
          <t>DIRECT_IMAGE_DOWNLOAD_AND_SOURCE_ROW_REVIEW</t>
        </is>
      </c>
      <c r="J49" s="3" t="inlineStr">
        <is>
          <t>2026-09-07T18:39:49+07:00</t>
        </is>
      </c>
      <c r="K49" s="3" t="inlineStr">
        <is>
          <t>Direct QA opened downloaded image 107_02; source SHA 74E15900133E637781384F774C0A43CB7C1917082CB1C836ABE59FF2B5EE327B. Submitted observation reviewed against gallery position.</t>
        </is>
      </c>
      <c r="L49" s="3" t="inlineStr">
        <is>
          <t>Secondary flat, close-up or bedroom mockup showing personalized lightning soccer ball comforter with Lucas number 10.</t>
        </is>
      </c>
      <c r="M49" s="3" t="inlineStr">
        <is>
          <t>UNKNOWN</t>
        </is>
      </c>
      <c r="N49" s="3" t="inlineStr">
        <is>
          <t>SET</t>
        </is>
      </c>
      <c r="O49" s="3" t="inlineStr">
        <is>
          <t>Secondary mockup of Personalized Lightning Soccer Ball Comforter</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c r="Z49" s="3" t="inlineStr">
        <is>
          <t>D:\Shopify_Workspace\jeminise_seo\seo_runs\jeminise.com\20260906_234129\qa\20260907_181100\images\107_02.jpg; seo_runs\jeminise.com\20260906_234129\evidence\images\107_custom-soccer-ball-with-lightning-splash-comforter-set-a11\image_02_47833434456263.jpg; seo_runs\jeminise.com\20260906_234129\evidence\contact_sheets\107_custom-soccer-ball-with-lightning-splash-comforter-set-a11.jpg</t>
        </is>
      </c>
    </row>
    <row r="50" ht="66" customHeight="1">
      <c r="A50" s="2" t="inlineStr">
        <is>
          <t>jeminise.com+custom-soccer-ball-with-lightning-splash-comforter-set-a11</t>
        </is>
      </c>
      <c r="B50" s="2" t="inlineStr">
        <is>
          <t>img_8c94cafed2f19879</t>
        </is>
      </c>
      <c r="C50" s="4" t="inlineStr">
        <is>
          <t>https://cdn.shopify.com/s/files/1/0792/5098/1063/files/4e804d60961fc10370a298e8612c0ff95ce56d8f156f00a5b5ba1ec7ec563d47.jpg?v=1786611005</t>
        </is>
      </c>
      <c r="D50" s="4" t="inlineStr">
        <is>
          <t>https://cdn.shopify.com/s/files/1/0792/5098/1063/files/4e804d60961fc10370a298e8612c0ff95ce56d8f156f00a5b5ba1ec7ec563d47.jpg?v=1786611005</t>
        </is>
      </c>
      <c r="E50" s="2" t="inlineStr">
        <is>
          <t>47833434489031</t>
        </is>
      </c>
      <c r="F50" s="2" t="inlineStr">
        <is>
          <t>47833434489031</t>
        </is>
      </c>
      <c r="G50" s="2" t="inlineStr"/>
      <c r="H50" s="2" t="inlineStr">
        <is>
          <t>GALLERY</t>
        </is>
      </c>
      <c r="I50" s="2" t="inlineStr">
        <is>
          <t>DIRECT_IMAGE_DOWNLOAD_AND_SOURCE_ROW_REVIEW</t>
        </is>
      </c>
      <c r="J50" s="2" t="inlineStr">
        <is>
          <t>2026-09-07T18:39:49+07:00</t>
        </is>
      </c>
      <c r="K50" s="2" t="inlineStr">
        <is>
          <t>Direct QA opened downloaded image 107_03; source SHA 55551F4608A546FCFCCC40E72F3B393BCC6BC26E60F0724E6955D6E6DA80E97D. Submitted observation reviewed against gallery position.</t>
        </is>
      </c>
      <c r="L50" s="2" t="inlineStr">
        <is>
          <t>Bedding type, feature, lifestyle or material image for personalized lightning soccer ball comforter with Lucas number 10.</t>
        </is>
      </c>
      <c r="M50" s="2" t="inlineStr">
        <is>
          <t>UNKNOWN</t>
        </is>
      </c>
      <c r="N50" s="2" t="inlineStr">
        <is>
          <t>SET</t>
        </is>
      </c>
      <c r="O50" s="2" t="inlineStr">
        <is>
          <t>Product option, feature or lifestyle image for Personalized Lightning Soccer Ball Comforter</t>
        </is>
      </c>
      <c r="P50" s="2" t="inlineStr">
        <is>
          <t>FULL</t>
        </is>
      </c>
      <c r="Q50" s="2" t="inlineStr">
        <is>
          <t>PARTIAL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ISSUE-0068</t>
        </is>
      </c>
      <c r="Z50" s="2" t="inlineStr">
        <is>
          <t>D:\Shopify_Workspace\jeminise_seo\seo_runs\jeminise.com\20260906_234129\qa\20260907_181100\images\107_03.jpg; seo_runs\jeminise.com\20260906_234129\evidence\images\107_custom-soccer-ball-with-lightning-splash-comforter-set-a11\image_03_47833434489031.jpg; seo_runs\jeminise.com\20260906_234129\evidence\contact_sheets\107_custom-soccer-ball-with-lightning-splash-comforter-set-a11.jpg</t>
        </is>
      </c>
    </row>
    <row r="51" ht="66" customHeight="1">
      <c r="A51" s="3" t="inlineStr">
        <is>
          <t>jeminise.com+custom-soccer-ball-with-lightning-splash-comforter-set-a11</t>
        </is>
      </c>
      <c r="B51" s="3" t="inlineStr">
        <is>
          <t>img_7556fcd54e48bd07</t>
        </is>
      </c>
      <c r="C51" s="4" t="inlineStr">
        <is>
          <t>https://cdn.shopify.com/s/files/1/0792/5098/1063/files/0b1d1e19cab6d757366a36700f895ecca060303e705a8aece2f5fa486b6770da_ad3381b0-8f12-41ea-826f-8b1b630f53f9.jpg?v=1786611005</t>
        </is>
      </c>
      <c r="D51" s="4" t="inlineStr">
        <is>
          <t>https://cdn.shopify.com/s/files/1/0792/5098/1063/files/0b1d1e19cab6d757366a36700f895ecca060303e705a8aece2f5fa486b6770da_ad3381b0-8f12-41ea-826f-8b1b630f53f9.jpg?v=1786611005</t>
        </is>
      </c>
      <c r="E51" s="3" t="inlineStr">
        <is>
          <t>47833434521799</t>
        </is>
      </c>
      <c r="F51" s="3" t="inlineStr">
        <is>
          <t>47833434521799</t>
        </is>
      </c>
      <c r="G51" s="3" t="inlineStr"/>
      <c r="H51" s="3" t="inlineStr">
        <is>
          <t>GALLERY</t>
        </is>
      </c>
      <c r="I51" s="3" t="inlineStr">
        <is>
          <t>DIRECT_IMAGE_DOWNLOAD_AND_SOURCE_ROW_REVIEW</t>
        </is>
      </c>
      <c r="J51" s="3" t="inlineStr">
        <is>
          <t>2026-09-07T18:39:49+07:00</t>
        </is>
      </c>
      <c r="K51" s="3" t="inlineStr">
        <is>
          <t>Direct QA opened downloaded image 107_04; source SHA D163E535A13D9D9230E528281552C4CCDEE56CB1F4A0CA3A6A15C697CB8A43F7. Submitted observation reviewed against gallery position.</t>
        </is>
      </c>
      <c r="L51" s="3" t="inlineStr">
        <is>
          <t>Detail, feature panel or lifestyle image connected to personalized lightning soccer ball comforter with Lucas number 10.</t>
        </is>
      </c>
      <c r="M51" s="3" t="inlineStr">
        <is>
          <t>UNKNOWN</t>
        </is>
      </c>
      <c r="N51" s="3" t="inlineStr">
        <is>
          <t>SET</t>
        </is>
      </c>
      <c r="O51" s="3" t="inlineStr">
        <is>
          <t>Detail or feature image for Personalized Lightning Soccer Ball Comforter</t>
        </is>
      </c>
      <c r="P51" s="3" t="inlineStr">
        <is>
          <t>FULL</t>
        </is>
      </c>
      <c r="Q51" s="3" t="inlineStr">
        <is>
          <t>PARTIAL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ISSUE-0069</t>
        </is>
      </c>
      <c r="Z51" s="3" t="inlineStr">
        <is>
          <t>D:\Shopify_Workspace\jeminise_seo\seo_runs\jeminise.com\20260906_234129\qa\20260907_181100\images\107_04.jpg; seo_runs\jeminise.com\20260906_234129\evidence\images\107_custom-soccer-ball-with-lightning-splash-comforter-set-a11\image_04_47833434521799.jpg; seo_runs\jeminise.com\20260906_234129\evidence\contact_sheets\107_custom-soccer-ball-with-lightning-splash-comforter-set-a11.jpg</t>
        </is>
      </c>
    </row>
    <row r="52" ht="66" customHeight="1">
      <c r="A52" s="2" t="inlineStr">
        <is>
          <t>jeminise.com+custom-soccer-ball-with-lightning-splash-comforter-set-a11</t>
        </is>
      </c>
      <c r="B52" s="2" t="inlineStr">
        <is>
          <t>img_f22c955424357e28</t>
        </is>
      </c>
      <c r="C52" s="4" t="inlineStr">
        <is>
          <t>https://cdn.shopify.com/s/files/1/0792/5098/1063/files/0dea1872a1830ca71627f3c05a584b4d71ad52bf0c115e041b118ed27a4ac318.jpg?v=1786611005</t>
        </is>
      </c>
      <c r="D52" s="4" t="inlineStr">
        <is>
          <t>https://cdn.shopify.com/s/files/1/0792/5098/1063/files/0dea1872a1830ca71627f3c05a584b4d71ad52bf0c115e041b118ed27a4ac318.jpg?v=1786611005</t>
        </is>
      </c>
      <c r="E52" s="2" t="inlineStr">
        <is>
          <t>47833434554567</t>
        </is>
      </c>
      <c r="F52" s="2" t="inlineStr">
        <is>
          <t>47833434554567</t>
        </is>
      </c>
      <c r="G52" s="2" t="inlineStr"/>
      <c r="H52" s="2" t="inlineStr">
        <is>
          <t>GALLERY</t>
        </is>
      </c>
      <c r="I52" s="2" t="inlineStr">
        <is>
          <t>DIRECT_IMAGE_DOWNLOAD_AND_SOURCE_ROW_REVIEW</t>
        </is>
      </c>
      <c r="J52" s="2" t="inlineStr">
        <is>
          <t>2026-09-07T18:39:49+07:00</t>
        </is>
      </c>
      <c r="K52" s="2" t="inlineStr">
        <is>
          <t>Direct QA opened downloaded image 107_05; source SHA 19A8714C2E982362603E35E39CFDBC677E97578070ECAD81E6025E6B374A93E5. Submitted observation reviewed against gallery position.</t>
        </is>
      </c>
      <c r="L52" s="2" t="inlineStr">
        <is>
          <t>Additional mockup, care or size information for personalized lightning soccer ball comforter with Lucas number 10.</t>
        </is>
      </c>
      <c r="M52" s="2" t="inlineStr">
        <is>
          <t>UNKNOWN</t>
        </is>
      </c>
      <c r="N52" s="2" t="inlineStr">
        <is>
          <t>SET</t>
        </is>
      </c>
      <c r="O52" s="2" t="inlineStr">
        <is>
          <t>Additional product mockup or care information for Personalized Lightning Soccer Ball Comforter</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c r="Z52" s="2" t="inlineStr">
        <is>
          <t>D:\Shopify_Workspace\jeminise_seo\seo_runs\jeminise.com\20260906_234129\qa\20260907_181100\images\107_05.jpg; seo_runs\jeminise.com\20260906_234129\evidence\images\107_custom-soccer-ball-with-lightning-splash-comforter-set-a11\image_05_47833434554567.jpg; seo_runs\jeminise.com\20260906_234129\evidence\contact_sheets\107_custom-soccer-ball-with-lightning-splash-comforter-set-a11.jpg</t>
        </is>
      </c>
    </row>
    <row r="53" ht="66" customHeight="1">
      <c r="A53" s="3" t="inlineStr">
        <is>
          <t>jeminise.com+custom-soccer-ball-with-lightning-splash-comforter-set-a11</t>
        </is>
      </c>
      <c r="B53" s="3" t="inlineStr">
        <is>
          <t>img_ea5eefa4b71cdfcf</t>
        </is>
      </c>
      <c r="C53" s="4" t="inlineStr">
        <is>
          <t>https://cdn.shopify.com/s/files/1/0792/5098/1063/files/4edb46799f9b82103799a5b6d38c9f1782f7b643f8416b1988caae354b918b0d.jpg?v=1786611005</t>
        </is>
      </c>
      <c r="D53" s="4" t="inlineStr">
        <is>
          <t>https://cdn.shopify.com/s/files/1/0792/5098/1063/files/4edb46799f9b82103799a5b6d38c9f1782f7b643f8416b1988caae354b918b0d.jpg?v=1786611005</t>
        </is>
      </c>
      <c r="E53" s="3" t="inlineStr">
        <is>
          <t>47833434587335</t>
        </is>
      </c>
      <c r="F53" s="3" t="inlineStr">
        <is>
          <t>47833434587335</t>
        </is>
      </c>
      <c r="G53" s="3" t="inlineStr"/>
      <c r="H53" s="3" t="inlineStr">
        <is>
          <t>GALLERY</t>
        </is>
      </c>
      <c r="I53" s="3" t="inlineStr">
        <is>
          <t>DIRECT_IMAGE_DOWNLOAD_AND_SOURCE_ROW_REVIEW</t>
        </is>
      </c>
      <c r="J53" s="3" t="inlineStr">
        <is>
          <t>2026-09-07T18:39:49+07:00</t>
        </is>
      </c>
      <c r="K53" s="3" t="inlineStr">
        <is>
          <t>Direct QA opened downloaded image 107_06; source SHA E2B0763DD6C6479BE1C9C7828E07435164A4F9DAA5F63873EB4D171024D066A7. Submitted observation reviewed against gallery position.</t>
        </is>
      </c>
      <c r="L53" s="3" t="inlineStr">
        <is>
          <t>Easy-care, size guide or product feature image for personalized lightning soccer ball comforter with Lucas number 10.</t>
        </is>
      </c>
      <c r="M53" s="3" t="inlineStr">
        <is>
          <t>UNKNOWN</t>
        </is>
      </c>
      <c r="N53" s="3" t="inlineStr">
        <is>
          <t>SET</t>
        </is>
      </c>
      <c r="O53" s="3" t="inlineStr">
        <is>
          <t>Care, size or product feature image for Personalized Lightning Soccer Ball Comforter</t>
        </is>
      </c>
      <c r="P53" s="3" t="inlineStr">
        <is>
          <t>FULL</t>
        </is>
      </c>
      <c r="Q53" s="3" t="inlineStr">
        <is>
          <t>PARTIAL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ISSUE-0070</t>
        </is>
      </c>
      <c r="Z53" s="3" t="inlineStr">
        <is>
          <t>D:\Shopify_Workspace\jeminise_seo\seo_runs\jeminise.com\20260906_234129\qa\20260907_181100\images\107_06.jpg; seo_runs\jeminise.com\20260906_234129\evidence\images\107_custom-soccer-ball-with-lightning-splash-comforter-set-a11\image_06_47833434587335.jpg; seo_runs\jeminise.com\20260906_234129\evidence\contact_sheets\107_custom-soccer-ball-with-lightning-splash-comforter-set-a11.jpg</t>
        </is>
      </c>
    </row>
    <row r="54" ht="66" customHeight="1">
      <c r="A54" s="2" t="inlineStr">
        <is>
          <t>jeminise.com+custom-soccer-ball-with-lightning-splash-comforter-set-a11</t>
        </is>
      </c>
      <c r="B54" s="2" t="inlineStr">
        <is>
          <t>img_71d88816b3212e29</t>
        </is>
      </c>
      <c r="C54" s="4" t="inlineStr">
        <is>
          <t>https://cdn.shopify.com/s/files/1/0792/5098/1063/files/f9477607c6de568da5d083144193776fcd05487159137f454c1cc1e191f3fe04.jpg?v=1786611005</t>
        </is>
      </c>
      <c r="D54" s="4" t="inlineStr">
        <is>
          <t>https://cdn.shopify.com/s/files/1/0792/5098/1063/files/f9477607c6de568da5d083144193776fcd05487159137f454c1cc1e191f3fe04.jpg?v=1786611005</t>
        </is>
      </c>
      <c r="E54" s="2" t="inlineStr">
        <is>
          <t>47833434620103</t>
        </is>
      </c>
      <c r="F54" s="2" t="inlineStr">
        <is>
          <t>47833434620103</t>
        </is>
      </c>
      <c r="G54" s="2" t="inlineStr"/>
      <c r="H54" s="2" t="inlineStr">
        <is>
          <t>GALLERY</t>
        </is>
      </c>
      <c r="I54" s="2" t="inlineStr">
        <is>
          <t>DIRECT_IMAGE_DOWNLOAD_AND_SOURCE_ROW_REVIEW</t>
        </is>
      </c>
      <c r="J54" s="2" t="inlineStr">
        <is>
          <t>2026-09-07T18:39:49+07:00</t>
        </is>
      </c>
      <c r="K54" s="2" t="inlineStr">
        <is>
          <t>Direct QA opened downloaded image 107_07; source SHA DE14653CB3F623EFC14DC1846127F1A0B7D5B2FF6E6E407ED21F9A721E102EB1. Submitted observation reviewed against gallery position.</t>
        </is>
      </c>
      <c r="L54" s="2" t="inlineStr">
        <is>
          <t>Additional lifestyle, feature or product detail image showing personalized lightning soccer ball comforter with Lucas number 10.</t>
        </is>
      </c>
      <c r="M54" s="2" t="inlineStr">
        <is>
          <t>UNKNOWN</t>
        </is>
      </c>
      <c r="N54" s="2" t="inlineStr">
        <is>
          <t>SET</t>
        </is>
      </c>
      <c r="O54" s="2" t="inlineStr">
        <is>
          <t>Additional product mockup of Personalized Lightning Soccer Ball Comforter</t>
        </is>
      </c>
      <c r="P54" s="2" t="inlineStr">
        <is>
          <t>FULL</t>
        </is>
      </c>
      <c r="Q54" s="2" t="inlineStr">
        <is>
          <t>PARTIAL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ISSUE-0071</t>
        </is>
      </c>
      <c r="Z54" s="2" t="inlineStr">
        <is>
          <t>D:\Shopify_Workspace\jeminise_seo\seo_runs\jeminise.com\20260906_234129\qa\20260907_181100\images\107_07.jpg; seo_runs\jeminise.com\20260906_234129\evidence\images\107_custom-soccer-ball-with-lightning-splash-comforter-set-a11\image_07_47833434620103.jpg; seo_runs\jeminise.com\20260906_234129\evidence\contact_sheets\107_custom-soccer-ball-with-lightning-splash-comforter-set-a11.jpg</t>
        </is>
      </c>
    </row>
    <row r="55" ht="66" customHeight="1">
      <c r="A55" s="3" t="inlineStr">
        <is>
          <t>jeminise.com+custom-soccer-ball-with-lightning-splash-comforter-set-a11</t>
        </is>
      </c>
      <c r="B55" s="3" t="inlineStr">
        <is>
          <t>img_19aa9598f3fb9a54</t>
        </is>
      </c>
      <c r="C55" s="4" t="inlineStr">
        <is>
          <t>https://cdn.shopify.com/s/files/1/0792/5098/1063/files/dd6b2f75d5d331064be3e2ace151f6872c3f1f67675d8c1c7fa00f207341180b_dcd01edf-59bd-4789-a33f-4d7561619c86.jpg?v=1786611005</t>
        </is>
      </c>
      <c r="D55" s="4" t="inlineStr">
        <is>
          <t>https://cdn.shopify.com/s/files/1/0792/5098/1063/files/dd6b2f75d5d331064be3e2ace151f6872c3f1f67675d8c1c7fa00f207341180b_dcd01edf-59bd-4789-a33f-4d7561619c86.jpg?v=1786611005</t>
        </is>
      </c>
      <c r="E55" s="3" t="inlineStr">
        <is>
          <t>47833434652871</t>
        </is>
      </c>
      <c r="F55" s="3" t="inlineStr">
        <is>
          <t>47833434652871</t>
        </is>
      </c>
      <c r="G55" s="3" t="inlineStr"/>
      <c r="H55" s="3" t="inlineStr">
        <is>
          <t>GALLERY</t>
        </is>
      </c>
      <c r="I55" s="3" t="inlineStr">
        <is>
          <t>DIRECT_IMAGE_DOWNLOAD_AND_SOURCE_ROW_REVIEW</t>
        </is>
      </c>
      <c r="J55" s="3" t="inlineStr">
        <is>
          <t>2026-09-07T18:39:49+07:00</t>
        </is>
      </c>
      <c r="K55" s="3" t="inlineStr">
        <is>
          <t>Direct QA opened downloaded image 107_08; source SHA 20695A7BBFC81C154D78FA65E875BD671D43CF32FD78E26B6AA18B105B7CABED. Submitted observation reviewed against gallery position.</t>
        </is>
      </c>
      <c r="L55" s="3" t="inlineStr">
        <is>
          <t>Additional lifestyle, feature or product detail image showing personalized lightning soccer ball comforter with Lucas number 10.</t>
        </is>
      </c>
      <c r="M55" s="3" t="inlineStr">
        <is>
          <t>UNKNOWN</t>
        </is>
      </c>
      <c r="N55" s="3" t="inlineStr">
        <is>
          <t>SET</t>
        </is>
      </c>
      <c r="O55" s="3" t="inlineStr">
        <is>
          <t>Lifestyle use image for Personalized Lightning Soccer Ball Comforter</t>
        </is>
      </c>
      <c r="P55" s="3" t="inlineStr">
        <is>
          <t>FULL</t>
        </is>
      </c>
      <c r="Q55" s="3" t="inlineStr">
        <is>
          <t>PARTIAL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ISSUE-0072</t>
        </is>
      </c>
      <c r="Z55" s="3" t="inlineStr">
        <is>
          <t>D:\Shopify_Workspace\jeminise_seo\seo_runs\jeminise.com\20260906_234129\qa\20260907_181100\images\107_08.jpg; seo_runs\jeminise.com\20260906_234129\evidence\images\107_custom-soccer-ball-with-lightning-splash-comforter-set-a11\image_08_47833434652871.jpg; seo_runs\jeminise.com\20260906_234129\evidence\contact_sheets\107_custom-soccer-ball-with-lightning-splash-comforter-set-a11.jpg</t>
        </is>
      </c>
    </row>
    <row r="56" ht="66" customHeight="1">
      <c r="A56" s="2" t="inlineStr">
        <is>
          <t>jeminise.com+custom-soccer-ball-with-number-07-comforter-set-machine-w-design-17</t>
        </is>
      </c>
      <c r="B56" s="2" t="inlineStr">
        <is>
          <t>img_5768de1fbacbbdec</t>
        </is>
      </c>
      <c r="C56" s="4" t="inlineStr">
        <is>
          <t>https://cdn.shopify.com/s/files/1/0792/5098/1063/files/91bf412567430222fd923eb6025e10f4826c9605c89111734a5f062094f92ef4.jpg?v=1786611043</t>
        </is>
      </c>
      <c r="D56" s="4" t="inlineStr">
        <is>
          <t>https://cdn.shopify.com/s/files/1/0792/5098/1063/files/91bf412567430222fd923eb6025e10f4826c9605c89111734a5f062094f92ef4.jpg?v=1786611043</t>
        </is>
      </c>
      <c r="E56" s="2" t="inlineStr">
        <is>
          <t>47833443795143</t>
        </is>
      </c>
      <c r="F56" s="2" t="inlineStr">
        <is>
          <t>47833443795143</t>
        </is>
      </c>
      <c r="G56" s="2" t="inlineStr"/>
      <c r="H56" s="2" t="inlineStr">
        <is>
          <t>GALLERY</t>
        </is>
      </c>
      <c r="I56" s="2" t="inlineStr">
        <is>
          <t>DIRECT_IMAGE_DOWNLOAD_AND_SOURCE_ROW_REVIEW</t>
        </is>
      </c>
      <c r="J56" s="2" t="inlineStr">
        <is>
          <t>2026-09-07T18:39:49+07:00</t>
        </is>
      </c>
      <c r="K56" s="2" t="inlineStr">
        <is>
          <t>Direct QA opened downloaded image 108_01; source SHA 6CFA23AC18148DC8F5D2BA5766EC156D96EAE423259E8EA725CB1B1EEA6A8DBE. Submitted observation reviewed against gallery position.</t>
        </is>
      </c>
      <c r="L56" s="2" t="inlineStr">
        <is>
          <t>Main product mockup showing personalized soccer ball number 07 comforter with Isaac.</t>
        </is>
      </c>
      <c r="M56" s="2" t="inlineStr">
        <is>
          <t>UNKNOWN</t>
        </is>
      </c>
      <c r="N56" s="2" t="inlineStr">
        <is>
          <t>SET</t>
        </is>
      </c>
      <c r="O56" s="2" t="inlineStr">
        <is>
          <t>Personalized Soccer Ball Number Comforter displayed in a main product mockup</t>
        </is>
      </c>
      <c r="P56" s="2" t="inlineStr">
        <is>
          <t>FULL</t>
        </is>
      </c>
      <c r="Q56" s="2" t="inlineStr">
        <is>
          <t>FULL</t>
        </is>
      </c>
      <c r="R56" s="2" t="inlineStr">
        <is>
          <t>PARTIAL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ISSUE-0078</t>
        </is>
      </c>
      <c r="Z56" s="2" t="inlineStr">
        <is>
          <t>D:\Shopify_Workspace\jeminise_seo\seo_runs\jeminise.com\20260906_234129\qa\20260907_181100\images\108_01.jpg; seo_runs\jeminise.com\20260906_234129\evidence\images\108_custom-soccer-ball-with-number-07-comforter-set-machine-w-design-17\image_01_47833443795143.jpg; seo_runs\jeminise.com\20260906_234129\evidence\contact_sheets\108_custom-soccer-ball-with-number-07-comforter-set-machine-w-design-17.jpg</t>
        </is>
      </c>
    </row>
    <row r="57" ht="66" customHeight="1">
      <c r="A57" s="3" t="inlineStr">
        <is>
          <t>jeminise.com+custom-soccer-ball-with-number-07-comforter-set-machine-w-design-17</t>
        </is>
      </c>
      <c r="B57" s="3" t="inlineStr">
        <is>
          <t>img_67a57c4f05a36c5d</t>
        </is>
      </c>
      <c r="C57" s="4" t="inlineStr">
        <is>
          <t>https://cdn.shopify.com/s/files/1/0792/5098/1063/files/c1d7e0543d7d78889025c6fd2615c8271070249caec922fb5c3530ad03e9ba80.jpg?v=1786611043</t>
        </is>
      </c>
      <c r="D57" s="4" t="inlineStr">
        <is>
          <t>https://cdn.shopify.com/s/files/1/0792/5098/1063/files/c1d7e0543d7d78889025c6fd2615c8271070249caec922fb5c3530ad03e9ba80.jpg?v=1786611043</t>
        </is>
      </c>
      <c r="E57" s="3" t="inlineStr">
        <is>
          <t>47833443827911</t>
        </is>
      </c>
      <c r="F57" s="3" t="inlineStr">
        <is>
          <t>47833443827911</t>
        </is>
      </c>
      <c r="G57" s="3" t="inlineStr"/>
      <c r="H57" s="3" t="inlineStr">
        <is>
          <t>GALLERY</t>
        </is>
      </c>
      <c r="I57" s="3" t="inlineStr">
        <is>
          <t>DIRECT_IMAGE_DOWNLOAD_AND_SOURCE_ROW_REVIEW</t>
        </is>
      </c>
      <c r="J57" s="3" t="inlineStr">
        <is>
          <t>2026-09-07T18:39:49+07:00</t>
        </is>
      </c>
      <c r="K57" s="3" t="inlineStr">
        <is>
          <t>Direct QA opened downloaded image 108_02; source SHA 90BD993111DFE45AF60440ECDA2CC3B0DA967B5F4C14CDA70763780D2EA13B80. Submitted observation reviewed against gallery position.</t>
        </is>
      </c>
      <c r="L57" s="3" t="inlineStr">
        <is>
          <t>Secondary flat, close-up or bedroom mockup showing personalized soccer ball number 07 comforter with Isaac.</t>
        </is>
      </c>
      <c r="M57" s="3" t="inlineStr">
        <is>
          <t>UNKNOWN</t>
        </is>
      </c>
      <c r="N57" s="3" t="inlineStr">
        <is>
          <t>SET</t>
        </is>
      </c>
      <c r="O57" s="3" t="inlineStr">
        <is>
          <t>Secondary mockup of Personalized Soccer Ball Number Comforter</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c r="Z57" s="3" t="inlineStr">
        <is>
          <t>D:\Shopify_Workspace\jeminise_seo\seo_runs\jeminise.com\20260906_234129\qa\20260907_181100\images\108_02.jpg; seo_runs\jeminise.com\20260906_234129\evidence\images\108_custom-soccer-ball-with-number-07-comforter-set-machine-w-design-17\image_02_47833443827911.jpg; seo_runs\jeminise.com\20260906_234129\evidence\contact_sheets\108_custom-soccer-ball-with-number-07-comforter-set-machine-w-design-17.jpg</t>
        </is>
      </c>
    </row>
    <row r="58" ht="66" customHeight="1">
      <c r="A58" s="2" t="inlineStr">
        <is>
          <t>jeminise.com+custom-soccer-ball-with-number-07-comforter-set-machine-w-design-17</t>
        </is>
      </c>
      <c r="B58" s="2" t="inlineStr">
        <is>
          <t>img_38f7be0def600efa</t>
        </is>
      </c>
      <c r="C58" s="4" t="inlineStr">
        <is>
          <t>https://cdn.shopify.com/s/files/1/0792/5098/1063/files/5921b3a6552e3ebdb61cdcfd51f1dfa3145e5562d9a445bcaae4cd8065d33658.jpg?v=1786611043</t>
        </is>
      </c>
      <c r="D58" s="4" t="inlineStr">
        <is>
          <t>https://cdn.shopify.com/s/files/1/0792/5098/1063/files/5921b3a6552e3ebdb61cdcfd51f1dfa3145e5562d9a445bcaae4cd8065d33658.jpg?v=1786611043</t>
        </is>
      </c>
      <c r="E58" s="2" t="inlineStr">
        <is>
          <t>47833443860679</t>
        </is>
      </c>
      <c r="F58" s="2" t="inlineStr">
        <is>
          <t>47833443860679</t>
        </is>
      </c>
      <c r="G58" s="2" t="inlineStr"/>
      <c r="H58" s="2" t="inlineStr">
        <is>
          <t>GALLERY</t>
        </is>
      </c>
      <c r="I58" s="2" t="inlineStr">
        <is>
          <t>DIRECT_IMAGE_DOWNLOAD_AND_SOURCE_ROW_REVIEW</t>
        </is>
      </c>
      <c r="J58" s="2" t="inlineStr">
        <is>
          <t>2026-09-07T18:39:49+07:00</t>
        </is>
      </c>
      <c r="K58" s="2" t="inlineStr">
        <is>
          <t>Direct QA opened downloaded image 108_03; source SHA 35DB609C4471C6CFF71FD81EFD00BD557F690831DA7B2031EF540203B28FA3CB. Submitted observation reviewed against gallery position.</t>
        </is>
      </c>
      <c r="L58" s="2" t="inlineStr">
        <is>
          <t>Bedding type, feature, lifestyle or material image for personalized soccer ball number 07 comforter with Isaac.</t>
        </is>
      </c>
      <c r="M58" s="2" t="inlineStr">
        <is>
          <t>UNKNOWN</t>
        </is>
      </c>
      <c r="N58" s="2" t="inlineStr">
        <is>
          <t>SET</t>
        </is>
      </c>
      <c r="O58" s="2" t="inlineStr">
        <is>
          <t>Product option, feature or lifestyle image for Personalized Soccer Ball Number Comforter</t>
        </is>
      </c>
      <c r="P58" s="2" t="inlineStr">
        <is>
          <t>FULL</t>
        </is>
      </c>
      <c r="Q58" s="2" t="inlineStr">
        <is>
          <t>PARTIAL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ISSUE-0079</t>
        </is>
      </c>
      <c r="Z58" s="2" t="inlineStr">
        <is>
          <t>D:\Shopify_Workspace\jeminise_seo\seo_runs\jeminise.com\20260906_234129\qa\20260907_181100\images\108_03.jpg; seo_runs\jeminise.com\20260906_234129\evidence\images\108_custom-soccer-ball-with-number-07-comforter-set-machine-w-design-17\image_03_47833443860679.jpg; seo_runs\jeminise.com\20260906_234129\evidence\contact_sheets\108_custom-soccer-ball-with-number-07-comforter-set-machine-w-design-17.jpg</t>
        </is>
      </c>
    </row>
    <row r="59" ht="66" customHeight="1">
      <c r="A59" s="3" t="inlineStr">
        <is>
          <t>jeminise.com+custom-soccer-ball-with-number-07-comforter-set-machine-w-design-17</t>
        </is>
      </c>
      <c r="B59" s="3" t="inlineStr">
        <is>
          <t>img_2f19da569e6208cc</t>
        </is>
      </c>
      <c r="C59" s="4" t="inlineStr">
        <is>
          <t>https://cdn.shopify.com/s/files/1/0792/5098/1063/files/8915ff40073ca5d3c05e6bf212701da7635e4e3e8b623331a3f20f312315416a.jpg?v=1786611043</t>
        </is>
      </c>
      <c r="D59" s="4" t="inlineStr">
        <is>
          <t>https://cdn.shopify.com/s/files/1/0792/5098/1063/files/8915ff40073ca5d3c05e6bf212701da7635e4e3e8b623331a3f20f312315416a.jpg?v=1786611043</t>
        </is>
      </c>
      <c r="E59" s="3" t="inlineStr">
        <is>
          <t>47833443893447</t>
        </is>
      </c>
      <c r="F59" s="3" t="inlineStr">
        <is>
          <t>47833443893447</t>
        </is>
      </c>
      <c r="G59" s="3" t="inlineStr"/>
      <c r="H59" s="3" t="inlineStr">
        <is>
          <t>GALLERY</t>
        </is>
      </c>
      <c r="I59" s="3" t="inlineStr">
        <is>
          <t>DIRECT_IMAGE_DOWNLOAD_AND_SOURCE_ROW_REVIEW</t>
        </is>
      </c>
      <c r="J59" s="3" t="inlineStr">
        <is>
          <t>2026-09-07T18:39:49+07:00</t>
        </is>
      </c>
      <c r="K59" s="3" t="inlineStr">
        <is>
          <t>Direct QA opened downloaded image 108_04; source SHA 07E0963AFBB4EDA7A8774089C46CD0386C346BDA8DCFB3ECF6A653025498AC16. Submitted observation reviewed against gallery position.</t>
        </is>
      </c>
      <c r="L59" s="3" t="inlineStr">
        <is>
          <t>Detail, feature panel or lifestyle image connected to personalized soccer ball number 07 comforter with Isaac.</t>
        </is>
      </c>
      <c r="M59" s="3" t="inlineStr">
        <is>
          <t>UNKNOWN</t>
        </is>
      </c>
      <c r="N59" s="3" t="inlineStr">
        <is>
          <t>SET</t>
        </is>
      </c>
      <c r="O59" s="3" t="inlineStr">
        <is>
          <t>Detail or feature image for Personalized Soccer Ball Number Comforter</t>
        </is>
      </c>
      <c r="P59" s="3" t="inlineStr">
        <is>
          <t>FULL</t>
        </is>
      </c>
      <c r="Q59" s="3" t="inlineStr">
        <is>
          <t>PARTIAL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ISSUE-0080</t>
        </is>
      </c>
      <c r="Z59" s="3" t="inlineStr">
        <is>
          <t>D:\Shopify_Workspace\jeminise_seo\seo_runs\jeminise.com\20260906_234129\qa\20260907_181100\images\108_04.jpg; seo_runs\jeminise.com\20260906_234129\evidence\images\108_custom-soccer-ball-with-number-07-comforter-set-machine-w-design-17\image_04_47833443893447.jpg; seo_runs\jeminise.com\20260906_234129\evidence\contact_sheets\108_custom-soccer-ball-with-number-07-comforter-set-machine-w-design-17.jpg</t>
        </is>
      </c>
    </row>
    <row r="60" ht="66" customHeight="1">
      <c r="A60" s="2" t="inlineStr">
        <is>
          <t>jeminise.com+custom-soccer-ball-with-number-07-comforter-set-machine-w-design-17</t>
        </is>
      </c>
      <c r="B60" s="2" t="inlineStr">
        <is>
          <t>img_048b8b9d06c67b11</t>
        </is>
      </c>
      <c r="C60" s="4" t="inlineStr">
        <is>
          <t>https://cdn.shopify.com/s/files/1/0792/5098/1063/files/0b1d1e19cab6d757366a36700f895ecca060303e705a8aece2f5fa486b6770da_0ef5481c-0a4c-4890-8fe0-c2bd9767fd9f.jpg?v=1786611043</t>
        </is>
      </c>
      <c r="D60" s="4" t="inlineStr">
        <is>
          <t>https://cdn.shopify.com/s/files/1/0792/5098/1063/files/0b1d1e19cab6d757366a36700f895ecca060303e705a8aece2f5fa486b6770da_0ef5481c-0a4c-4890-8fe0-c2bd9767fd9f.jpg?v=1786611043</t>
        </is>
      </c>
      <c r="E60" s="2" t="inlineStr">
        <is>
          <t>47833443926215</t>
        </is>
      </c>
      <c r="F60" s="2" t="inlineStr">
        <is>
          <t>47833443926215</t>
        </is>
      </c>
      <c r="G60" s="2" t="inlineStr"/>
      <c r="H60" s="2" t="inlineStr">
        <is>
          <t>GALLERY</t>
        </is>
      </c>
      <c r="I60" s="2" t="inlineStr">
        <is>
          <t>DIRECT_IMAGE_DOWNLOAD_AND_SOURCE_ROW_REVIEW</t>
        </is>
      </c>
      <c r="J60" s="2" t="inlineStr">
        <is>
          <t>2026-09-07T18:39:49+07:00</t>
        </is>
      </c>
      <c r="K60" s="2" t="inlineStr">
        <is>
          <t>Direct QA opened downloaded image 108_05; source SHA D163E535A13D9D9230E528281552C4CCDEE56CB1F4A0CA3A6A15C697CB8A43F7. Submitted observation reviewed against gallery position.</t>
        </is>
      </c>
      <c r="L60" s="2" t="inlineStr">
        <is>
          <t>Additional mockup, care or size information for personalized soccer ball number 07 comforter with Isaac.</t>
        </is>
      </c>
      <c r="M60" s="2" t="inlineStr">
        <is>
          <t>UNKNOWN</t>
        </is>
      </c>
      <c r="N60" s="2" t="inlineStr">
        <is>
          <t>SET</t>
        </is>
      </c>
      <c r="O60" s="2" t="inlineStr">
        <is>
          <t>Additional product mockup or care information for Personalized Soccer Ball Number Comforter</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c r="Z60" s="2" t="inlineStr">
        <is>
          <t>D:\Shopify_Workspace\jeminise_seo\seo_runs\jeminise.com\20260906_234129\qa\20260907_181100\images\108_05.jpg; seo_runs\jeminise.com\20260906_234129\evidence\images\108_custom-soccer-ball-with-number-07-comforter-set-machine-w-design-17\image_05_47833443926215.jpg; seo_runs\jeminise.com\20260906_234129\evidence\contact_sheets\108_custom-soccer-ball-with-number-07-comforter-set-machine-w-design-17.jpg</t>
        </is>
      </c>
    </row>
    <row r="61" ht="66" customHeight="1">
      <c r="A61" s="3" t="inlineStr">
        <is>
          <t>jeminise.com+custom-soccer-ball-with-number-07-comforter-set-machine-w-design-17</t>
        </is>
      </c>
      <c r="B61" s="3" t="inlineStr">
        <is>
          <t>img_62e2935461ecb579</t>
        </is>
      </c>
      <c r="C61" s="4" t="inlineStr">
        <is>
          <t>https://cdn.shopify.com/s/files/1/0792/5098/1063/files/ee0b4798b32779dd09e0d1fb674f076dc4cfa4a148d92219e582e7833d8d2fd3.jpg?v=1786611043</t>
        </is>
      </c>
      <c r="D61" s="4" t="inlineStr">
        <is>
          <t>https://cdn.shopify.com/s/files/1/0792/5098/1063/files/ee0b4798b32779dd09e0d1fb674f076dc4cfa4a148d92219e582e7833d8d2fd3.jpg?v=1786611043</t>
        </is>
      </c>
      <c r="E61" s="3" t="inlineStr">
        <is>
          <t>47833443958983</t>
        </is>
      </c>
      <c r="F61" s="3" t="inlineStr">
        <is>
          <t>47833443958983</t>
        </is>
      </c>
      <c r="G61" s="3" t="inlineStr"/>
      <c r="H61" s="3" t="inlineStr">
        <is>
          <t>GALLERY</t>
        </is>
      </c>
      <c r="I61" s="3" t="inlineStr">
        <is>
          <t>DIRECT_IMAGE_DOWNLOAD_AND_SOURCE_ROW_REVIEW</t>
        </is>
      </c>
      <c r="J61" s="3" t="inlineStr">
        <is>
          <t>2026-09-07T18:39:49+07:00</t>
        </is>
      </c>
      <c r="K61" s="3" t="inlineStr">
        <is>
          <t>Direct QA opened downloaded image 108_06; source SHA BE47FA75DC9D1B62A6026B25639EDBBA0604C585D0343DD64466DF3E1E3CD9FA. Submitted observation reviewed against gallery position.</t>
        </is>
      </c>
      <c r="L61" s="3" t="inlineStr">
        <is>
          <t>Easy-care, size guide or product feature image for personalized soccer ball number 07 comforter with Isaac.</t>
        </is>
      </c>
      <c r="M61" s="3" t="inlineStr">
        <is>
          <t>UNKNOWN</t>
        </is>
      </c>
      <c r="N61" s="3" t="inlineStr">
        <is>
          <t>SET</t>
        </is>
      </c>
      <c r="O61" s="3" t="inlineStr">
        <is>
          <t>Care, size or product feature image for Personalized Soccer Ball Number Comforter</t>
        </is>
      </c>
      <c r="P61" s="3" t="inlineStr">
        <is>
          <t>FULL</t>
        </is>
      </c>
      <c r="Q61" s="3" t="inlineStr">
        <is>
          <t>PARTIAL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ISSUE-0081</t>
        </is>
      </c>
      <c r="Z61" s="3" t="inlineStr">
        <is>
          <t>D:\Shopify_Workspace\jeminise_seo\seo_runs\jeminise.com\20260906_234129\qa\20260907_181100\images\108_06.jpg; seo_runs\jeminise.com\20260906_234129\evidence\images\108_custom-soccer-ball-with-number-07-comforter-set-machine-w-design-17\image_06_47833443958983.jpg; seo_runs\jeminise.com\20260906_234129\evidence\contact_sheets\108_custom-soccer-ball-with-number-07-comforter-set-machine-w-design-17.jpg</t>
        </is>
      </c>
    </row>
    <row r="62" ht="66" customHeight="1">
      <c r="A62" s="2" t="inlineStr">
        <is>
          <t>jeminise.com+custom-soccer-ball-with-number-07-comforter-set-machine-w-design-17</t>
        </is>
      </c>
      <c r="B62" s="2" t="inlineStr">
        <is>
          <t>img_b30464094db20bfd</t>
        </is>
      </c>
      <c r="C62" s="4" t="inlineStr">
        <is>
          <t>https://cdn.shopify.com/s/files/1/0792/5098/1063/files/dd6b2f75d5d331064be3e2ace151f6872c3f1f67675d8c1c7fa00f207341180b_fde49913-84ae-4485-af7c-4e189c410f22.jpg?v=1786611043</t>
        </is>
      </c>
      <c r="D62" s="4" t="inlineStr">
        <is>
          <t>https://cdn.shopify.com/s/files/1/0792/5098/1063/files/dd6b2f75d5d331064be3e2ace151f6872c3f1f67675d8c1c7fa00f207341180b_fde49913-84ae-4485-af7c-4e189c410f22.jpg?v=1786611043</t>
        </is>
      </c>
      <c r="E62" s="2" t="inlineStr">
        <is>
          <t>47833443991751</t>
        </is>
      </c>
      <c r="F62" s="2" t="inlineStr">
        <is>
          <t>47833443991751</t>
        </is>
      </c>
      <c r="G62" s="2" t="inlineStr"/>
      <c r="H62" s="2" t="inlineStr">
        <is>
          <t>GALLERY</t>
        </is>
      </c>
      <c r="I62" s="2" t="inlineStr">
        <is>
          <t>DIRECT_IMAGE_DOWNLOAD_AND_SOURCE_ROW_REVIEW</t>
        </is>
      </c>
      <c r="J62" s="2" t="inlineStr">
        <is>
          <t>2026-09-07T18:39:49+07:00</t>
        </is>
      </c>
      <c r="K62" s="2" t="inlineStr">
        <is>
          <t>Direct QA opened downloaded image 108_07; source SHA 20695A7BBFC81C154D78FA65E875BD671D43CF32FD78E26B6AA18B105B7CABED. Submitted observation reviewed against gallery position.</t>
        </is>
      </c>
      <c r="L62" s="2" t="inlineStr">
        <is>
          <t>Additional lifestyle, feature or product detail image showing personalized soccer ball number 07 comforter with Isaac.</t>
        </is>
      </c>
      <c r="M62" s="2" t="inlineStr">
        <is>
          <t>UNKNOWN</t>
        </is>
      </c>
      <c r="N62" s="2" t="inlineStr">
        <is>
          <t>SET</t>
        </is>
      </c>
      <c r="O62" s="2" t="inlineStr">
        <is>
          <t>Additional product mockup of Personalized Soccer Ball Number Comforter</t>
        </is>
      </c>
      <c r="P62" s="2" t="inlineStr">
        <is>
          <t>FULL</t>
        </is>
      </c>
      <c r="Q62" s="2" t="inlineStr">
        <is>
          <t>PARTIAL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ISSUE-0082</t>
        </is>
      </c>
      <c r="Z62" s="2" t="inlineStr">
        <is>
          <t>D:\Shopify_Workspace\jeminise_seo\seo_runs\jeminise.com\20260906_234129\qa\20260907_181100\images\108_07.jpg; seo_runs\jeminise.com\20260906_234129\evidence\images\108_custom-soccer-ball-with-number-07-comforter-set-machine-w-design-17\image_07_47833443991751.jpg; seo_runs\jeminise.com\20260906_234129\evidence\contact_sheets\108_custom-soccer-ball-with-number-07-comforter-set-machine-w-design-17.jpg</t>
        </is>
      </c>
    </row>
    <row r="63" ht="66" customHeight="1">
      <c r="A63" s="3" t="inlineStr">
        <is>
          <t>jeminise.com+custom-soccer-ball-with-number-07-comforter-set-machine-w-design-17</t>
        </is>
      </c>
      <c r="B63" s="3" t="inlineStr">
        <is>
          <t>img_809547173e41594f</t>
        </is>
      </c>
      <c r="C63" s="4" t="inlineStr">
        <is>
          <t>https://cdn.shopify.com/s/files/1/0792/5098/1063/files/d761ea3ae4f4c0b26b7473177b21a616c5199552823ec637c64fe7b0d6b0f12f_0edc7eea-7c34-4e9e-8459-d2e8633eed35.jpg?v=1786611043</t>
        </is>
      </c>
      <c r="D63" s="4" t="inlineStr">
        <is>
          <t>https://cdn.shopify.com/s/files/1/0792/5098/1063/files/d761ea3ae4f4c0b26b7473177b21a616c5199552823ec637c64fe7b0d6b0f12f_0edc7eea-7c34-4e9e-8459-d2e8633eed35.jpg?v=1786611043</t>
        </is>
      </c>
      <c r="E63" s="3" t="inlineStr">
        <is>
          <t>47833444024519</t>
        </is>
      </c>
      <c r="F63" s="3" t="inlineStr">
        <is>
          <t>47833444024519</t>
        </is>
      </c>
      <c r="G63" s="3" t="inlineStr"/>
      <c r="H63" s="3" t="inlineStr">
        <is>
          <t>GALLERY</t>
        </is>
      </c>
      <c r="I63" s="3" t="inlineStr">
        <is>
          <t>DIRECT_IMAGE_DOWNLOAD_AND_SOURCE_ROW_REVIEW</t>
        </is>
      </c>
      <c r="J63" s="3" t="inlineStr">
        <is>
          <t>2026-09-07T18:39:49+07:00</t>
        </is>
      </c>
      <c r="K63" s="3" t="inlineStr">
        <is>
          <t>Direct QA opened downloaded image 108_08; source SHA 11391A3D5FF710D0446467E71868A92B2311629C094445B8B61DF990CDE0589A. Submitted observation reviewed against gallery position.</t>
        </is>
      </c>
      <c r="L63" s="3" t="inlineStr">
        <is>
          <t>Additional lifestyle, feature or product detail image showing personalized soccer ball number 07 comforter with Isaac.</t>
        </is>
      </c>
      <c r="M63" s="3" t="inlineStr">
        <is>
          <t>UNKNOWN</t>
        </is>
      </c>
      <c r="N63" s="3" t="inlineStr">
        <is>
          <t>SET</t>
        </is>
      </c>
      <c r="O63" s="3" t="inlineStr">
        <is>
          <t>Lifestyle use image for Personalized Soccer Ball Number Comforter</t>
        </is>
      </c>
      <c r="P63" s="3" t="inlineStr">
        <is>
          <t>FULL</t>
        </is>
      </c>
      <c r="Q63" s="3" t="inlineStr">
        <is>
          <t>PARTIAL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ISSUE-0083</t>
        </is>
      </c>
      <c r="Z63" s="3" t="inlineStr">
        <is>
          <t>D:\Shopify_Workspace\jeminise_seo\seo_runs\jeminise.com\20260906_234129\qa\20260907_181100\images\108_08.jpg; seo_runs\jeminise.com\20260906_234129\evidence\images\108_custom-soccer-ball-with-number-07-comforter-set-machine-w-design-17\image_08_47833444024519.jpg; seo_runs\jeminise.com\20260906_234129\evidence\contact_sheets\108_custom-soccer-ball-with-number-07-comforter-set-machine-w-design-17.jpg</t>
        </is>
      </c>
    </row>
    <row r="64" ht="66" customHeight="1">
      <c r="A64" s="2" t="inlineStr">
        <is>
          <t>jeminise.com+custom-soccer-goal-splash-bedding-comforter-set-machine-washable</t>
        </is>
      </c>
      <c r="B64" s="2" t="inlineStr">
        <is>
          <t>img_c482bc9770588f26</t>
        </is>
      </c>
      <c r="C64" s="4" t="inlineStr">
        <is>
          <t>https://cdn.shopify.com/s/files/1/0792/5098/1063/files/a548b7a12b46780de719980f5aebe8bad1e9ad2c7c30734bccbfe2dcfe856d73.jpg?v=1786611048</t>
        </is>
      </c>
      <c r="D64" s="4" t="inlineStr">
        <is>
          <t>https://cdn.shopify.com/s/files/1/0792/5098/1063/files/a548b7a12b46780de719980f5aebe8bad1e9ad2c7c30734bccbfe2dcfe856d73.jpg?v=1786611048</t>
        </is>
      </c>
      <c r="E64" s="2" t="inlineStr">
        <is>
          <t>47833444614343</t>
        </is>
      </c>
      <c r="F64" s="2" t="inlineStr">
        <is>
          <t>47833444614343</t>
        </is>
      </c>
      <c r="G64" s="2" t="inlineStr"/>
      <c r="H64" s="2" t="inlineStr">
        <is>
          <t>GALLERY</t>
        </is>
      </c>
      <c r="I64" s="2" t="inlineStr">
        <is>
          <t>DIRECT_IMAGE_DOWNLOAD_AND_SOURCE_ROW_REVIEW</t>
        </is>
      </c>
      <c r="J64" s="2" t="inlineStr">
        <is>
          <t>2026-09-07T18:39:49+07:00</t>
        </is>
      </c>
      <c r="K64" s="2" t="inlineStr">
        <is>
          <t>Direct QA opened downloaded image 109_01; source SHA E51F4ABDC1C01065CBAABC6A65F760C39EED5457871EFE61BF9FDFE385EDF1D1. Submitted observation reviewed against gallery position.</t>
        </is>
      </c>
      <c r="L64" s="2" t="inlineStr">
        <is>
          <t>Main product mockup showing personalized green soccer goal splash comforter with James.</t>
        </is>
      </c>
      <c r="M64" s="2" t="inlineStr">
        <is>
          <t>UNKNOWN</t>
        </is>
      </c>
      <c r="N64" s="2" t="inlineStr">
        <is>
          <t>SET</t>
        </is>
      </c>
      <c r="O64" s="2" t="inlineStr">
        <is>
          <t>Personalized Green Soccer Goal Comforter displayed in a main product mockup</t>
        </is>
      </c>
      <c r="P64" s="2" t="inlineStr">
        <is>
          <t>FULL</t>
        </is>
      </c>
      <c r="Q64" s="2" t="inlineStr">
        <is>
          <t>FULL</t>
        </is>
      </c>
      <c r="R64" s="2" t="inlineStr">
        <is>
          <t>PARTIAL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ISSUE-0089</t>
        </is>
      </c>
      <c r="Z64" s="2" t="inlineStr">
        <is>
          <t>D:\Shopify_Workspace\jeminise_seo\seo_runs\jeminise.com\20260906_234129\qa\20260907_181100\images\109_01.jpg; seo_runs\jeminise.com\20260906_234129\evidence\images\109_custom-soccer-goal-splash-bedding-comforter-set-machine-washable\image_01_47833444614343.jpg; seo_runs\jeminise.com\20260906_234129\evidence\contact_sheets\109_custom-soccer-goal-splash-bedding-comforter-set-machine-washable.jpg</t>
        </is>
      </c>
    </row>
    <row r="65" ht="66" customHeight="1">
      <c r="A65" s="3" t="inlineStr">
        <is>
          <t>jeminise.com+custom-soccer-goal-splash-bedding-comforter-set-machine-washable</t>
        </is>
      </c>
      <c r="B65" s="3" t="inlineStr">
        <is>
          <t>img_acce98d9331b08b8</t>
        </is>
      </c>
      <c r="C65" s="4" t="inlineStr">
        <is>
          <t>https://cdn.shopify.com/s/files/1/0792/5098/1063/files/5c704f0a883d6fc932e3f19dd6a044ce58cb8f2b758de38b1b25d170d7b21f6f.jpg?v=1786611048</t>
        </is>
      </c>
      <c r="D65" s="4" t="inlineStr">
        <is>
          <t>https://cdn.shopify.com/s/files/1/0792/5098/1063/files/5c704f0a883d6fc932e3f19dd6a044ce58cb8f2b758de38b1b25d170d7b21f6f.jpg?v=1786611048</t>
        </is>
      </c>
      <c r="E65" s="3" t="inlineStr">
        <is>
          <t>47833444647111</t>
        </is>
      </c>
      <c r="F65" s="3" t="inlineStr">
        <is>
          <t>47833444647111</t>
        </is>
      </c>
      <c r="G65" s="3" t="inlineStr"/>
      <c r="H65" s="3" t="inlineStr">
        <is>
          <t>GALLERY</t>
        </is>
      </c>
      <c r="I65" s="3" t="inlineStr">
        <is>
          <t>DIRECT_IMAGE_DOWNLOAD_AND_SOURCE_ROW_REVIEW</t>
        </is>
      </c>
      <c r="J65" s="3" t="inlineStr">
        <is>
          <t>2026-09-07T18:39:49+07:00</t>
        </is>
      </c>
      <c r="K65" s="3" t="inlineStr">
        <is>
          <t>Direct QA opened downloaded image 109_02; source SHA C5739410A376AC1190B2F50D51EB770BF7DA879D414F5C60F100B0268E258ABB. Submitted observation reviewed against gallery position.</t>
        </is>
      </c>
      <c r="L65" s="3" t="inlineStr">
        <is>
          <t>Secondary flat, close-up or bedroom mockup showing personalized green soccer goal splash comforter with James.</t>
        </is>
      </c>
      <c r="M65" s="3" t="inlineStr">
        <is>
          <t>UNKNOWN</t>
        </is>
      </c>
      <c r="N65" s="3" t="inlineStr">
        <is>
          <t>SET</t>
        </is>
      </c>
      <c r="O65" s="3" t="inlineStr">
        <is>
          <t>Secondary mockup of Personalized Green Soccer Goal Comforter</t>
        </is>
      </c>
      <c r="P65" s="3" t="inlineStr">
        <is>
          <t>FULL</t>
        </is>
      </c>
      <c r="Q65" s="3" t="inlineStr">
        <is>
          <t>FULL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c r="Z65" s="3" t="inlineStr">
        <is>
          <t>D:\Shopify_Workspace\jeminise_seo\seo_runs\jeminise.com\20260906_234129\qa\20260907_181100\images\109_02.jpg; seo_runs\jeminise.com\20260906_234129\evidence\images\109_custom-soccer-goal-splash-bedding-comforter-set-machine-washable\image_02_47833444647111.jpg; seo_runs\jeminise.com\20260906_234129\evidence\contact_sheets\109_custom-soccer-goal-splash-bedding-comforter-set-machine-washable.jpg</t>
        </is>
      </c>
    </row>
    <row r="66" ht="66" customHeight="1">
      <c r="A66" s="2" t="inlineStr">
        <is>
          <t>jeminise.com+custom-soccer-goal-splash-bedding-comforter-set-machine-washable</t>
        </is>
      </c>
      <c r="B66" s="2" t="inlineStr">
        <is>
          <t>img_cd11248b347d89d4</t>
        </is>
      </c>
      <c r="C66" s="4" t="inlineStr">
        <is>
          <t>https://cdn.shopify.com/s/files/1/0792/5098/1063/files/345f34fa489840aa22aa3a0e090018fd9c82df0bdc286e0c1eb2432811f14b79.jpg?v=1786611048</t>
        </is>
      </c>
      <c r="D66" s="4" t="inlineStr">
        <is>
          <t>https://cdn.shopify.com/s/files/1/0792/5098/1063/files/345f34fa489840aa22aa3a0e090018fd9c82df0bdc286e0c1eb2432811f14b79.jpg?v=1786611048</t>
        </is>
      </c>
      <c r="E66" s="2" t="inlineStr">
        <is>
          <t>47833444679879</t>
        </is>
      </c>
      <c r="F66" s="2" t="inlineStr">
        <is>
          <t>47833444679879</t>
        </is>
      </c>
      <c r="G66" s="2" t="inlineStr"/>
      <c r="H66" s="2" t="inlineStr">
        <is>
          <t>GALLERY</t>
        </is>
      </c>
      <c r="I66" s="2" t="inlineStr">
        <is>
          <t>DIRECT_IMAGE_DOWNLOAD_AND_SOURCE_ROW_REVIEW</t>
        </is>
      </c>
      <c r="J66" s="2" t="inlineStr">
        <is>
          <t>2026-09-07T18:39:49+07:00</t>
        </is>
      </c>
      <c r="K66" s="2" t="inlineStr">
        <is>
          <t>Direct QA opened downloaded image 109_03; source SHA E9C16E40E140E39EB877CA3ACDECC624F773D638A0E13B84F04D06AA4AB2EF7F. Submitted observation reviewed against gallery position.</t>
        </is>
      </c>
      <c r="L66" s="2" t="inlineStr">
        <is>
          <t>Bedding type, feature, lifestyle or material image for personalized green soccer goal splash comforter with James.</t>
        </is>
      </c>
      <c r="M66" s="2" t="inlineStr">
        <is>
          <t>UNKNOWN</t>
        </is>
      </c>
      <c r="N66" s="2" t="inlineStr">
        <is>
          <t>SET</t>
        </is>
      </c>
      <c r="O66" s="2" t="inlineStr">
        <is>
          <t>Product option, feature or lifestyle image for Personalized Green Soccer Goal Comforter</t>
        </is>
      </c>
      <c r="P66" s="2" t="inlineStr">
        <is>
          <t>FULL</t>
        </is>
      </c>
      <c r="Q66" s="2" t="inlineStr">
        <is>
          <t>PARTIAL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ISSUE-0090</t>
        </is>
      </c>
      <c r="Z66" s="2" t="inlineStr">
        <is>
          <t>D:\Shopify_Workspace\jeminise_seo\seo_runs\jeminise.com\20260906_234129\qa\20260907_181100\images\109_03.jpg; seo_runs\jeminise.com\20260906_234129\evidence\images\109_custom-soccer-goal-splash-bedding-comforter-set-machine-washable\image_03_47833444679879.jpg; seo_runs\jeminise.com\20260906_234129\evidence\contact_sheets\109_custom-soccer-goal-splash-bedding-comforter-set-machine-washable.jpg</t>
        </is>
      </c>
    </row>
    <row r="67" ht="66" customHeight="1">
      <c r="A67" s="3" t="inlineStr">
        <is>
          <t>jeminise.com+custom-soccer-goal-splash-bedding-comforter-set-machine-washable</t>
        </is>
      </c>
      <c r="B67" s="3" t="inlineStr">
        <is>
          <t>img_2616ae3eb1fcab63</t>
        </is>
      </c>
      <c r="C67" s="4" t="inlineStr">
        <is>
          <t>https://cdn.shopify.com/s/files/1/0792/5098/1063/files/0b1d1e19cab6d757366a36700f895ecca060303e705a8aece2f5fa486b6770da_c3389c8f-7a06-4fdc-96a5-ca5c521b6b7f.jpg?v=1786611048</t>
        </is>
      </c>
      <c r="D67" s="4" t="inlineStr">
        <is>
          <t>https://cdn.shopify.com/s/files/1/0792/5098/1063/files/0b1d1e19cab6d757366a36700f895ecca060303e705a8aece2f5fa486b6770da_c3389c8f-7a06-4fdc-96a5-ca5c521b6b7f.jpg?v=1786611048</t>
        </is>
      </c>
      <c r="E67" s="3" t="inlineStr">
        <is>
          <t>47833444712647</t>
        </is>
      </c>
      <c r="F67" s="3" t="inlineStr">
        <is>
          <t>47833444712647</t>
        </is>
      </c>
      <c r="G67" s="3" t="inlineStr"/>
      <c r="H67" s="3" t="inlineStr">
        <is>
          <t>GALLERY</t>
        </is>
      </c>
      <c r="I67" s="3" t="inlineStr">
        <is>
          <t>DIRECT_IMAGE_DOWNLOAD_AND_SOURCE_ROW_REVIEW</t>
        </is>
      </c>
      <c r="J67" s="3" t="inlineStr">
        <is>
          <t>2026-09-07T18:39:49+07:00</t>
        </is>
      </c>
      <c r="K67" s="3" t="inlineStr">
        <is>
          <t>Direct QA opened downloaded image 109_04; source SHA D163E535A13D9D9230E528281552C4CCDEE56CB1F4A0CA3A6A15C697CB8A43F7. Submitted observation reviewed against gallery position.</t>
        </is>
      </c>
      <c r="L67" s="3" t="inlineStr">
        <is>
          <t>Detail, feature panel or lifestyle image connected to personalized green soccer goal splash comforter with James.</t>
        </is>
      </c>
      <c r="M67" s="3" t="inlineStr">
        <is>
          <t>UNKNOWN</t>
        </is>
      </c>
      <c r="N67" s="3" t="inlineStr">
        <is>
          <t>SET</t>
        </is>
      </c>
      <c r="O67" s="3" t="inlineStr">
        <is>
          <t>Detail or feature image for Personalized Green Soccer Goal Comforter</t>
        </is>
      </c>
      <c r="P67" s="3" t="inlineStr">
        <is>
          <t>FULL</t>
        </is>
      </c>
      <c r="Q67" s="3" t="inlineStr">
        <is>
          <t>PARTIAL</t>
        </is>
      </c>
      <c r="R67" s="3" t="inlineStr">
        <is>
          <t>FULL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ISSUE-0091</t>
        </is>
      </c>
      <c r="Z67" s="3" t="inlineStr">
        <is>
          <t>D:\Shopify_Workspace\jeminise_seo\seo_runs\jeminise.com\20260906_234129\qa\20260907_181100\images\109_04.jpg; seo_runs\jeminise.com\20260906_234129\evidence\images\109_custom-soccer-goal-splash-bedding-comforter-set-machine-washable\image_04_47833444712647.jpg; seo_runs\jeminise.com\20260906_234129\evidence\contact_sheets\109_custom-soccer-goal-splash-bedding-comforter-set-machine-washable.jpg</t>
        </is>
      </c>
    </row>
    <row r="68" ht="66" customHeight="1">
      <c r="A68" s="2" t="inlineStr">
        <is>
          <t>jeminise.com+custom-soccer-goal-splash-bedding-comforter-set-machine-washable</t>
        </is>
      </c>
      <c r="B68" s="2" t="inlineStr">
        <is>
          <t>img_093e18bead0a6230</t>
        </is>
      </c>
      <c r="C68" s="4" t="inlineStr">
        <is>
          <t>https://cdn.shopify.com/s/files/1/0792/5098/1063/files/387b24b7b756f19379f192051961dd52f2d354a3a6e0a48cf79a36fc9a3ae8dc.jpg?v=1786611048</t>
        </is>
      </c>
      <c r="D68" s="4" t="inlineStr">
        <is>
          <t>https://cdn.shopify.com/s/files/1/0792/5098/1063/files/387b24b7b756f19379f192051961dd52f2d354a3a6e0a48cf79a36fc9a3ae8dc.jpg?v=1786611048</t>
        </is>
      </c>
      <c r="E68" s="2" t="inlineStr">
        <is>
          <t>47833444745415</t>
        </is>
      </c>
      <c r="F68" s="2" t="inlineStr">
        <is>
          <t>47833444745415</t>
        </is>
      </c>
      <c r="G68" s="2" t="inlineStr"/>
      <c r="H68" s="2" t="inlineStr">
        <is>
          <t>GALLERY</t>
        </is>
      </c>
      <c r="I68" s="2" t="inlineStr">
        <is>
          <t>DIRECT_IMAGE_DOWNLOAD_AND_SOURCE_ROW_REVIEW</t>
        </is>
      </c>
      <c r="J68" s="2" t="inlineStr">
        <is>
          <t>2026-09-07T18:39:49+07:00</t>
        </is>
      </c>
      <c r="K68" s="2" t="inlineStr">
        <is>
          <t>Direct QA opened downloaded image 109_05; source SHA 0A0C0D5729666C11271CECD387B29674330D95546AA248087ADB176F50E60729. Submitted observation reviewed against gallery position.</t>
        </is>
      </c>
      <c r="L68" s="2" t="inlineStr">
        <is>
          <t>Additional mockup, care or size information for personalized green soccer goal splash comforter with James.</t>
        </is>
      </c>
      <c r="M68" s="2" t="inlineStr">
        <is>
          <t>UNKNOWN</t>
        </is>
      </c>
      <c r="N68" s="2" t="inlineStr">
        <is>
          <t>SET</t>
        </is>
      </c>
      <c r="O68" s="2" t="inlineStr">
        <is>
          <t>Additional product mockup or care information for Personalized Green Soccer Goal Comforter</t>
        </is>
      </c>
      <c r="P68" s="2" t="inlineStr">
        <is>
          <t>FULL</t>
        </is>
      </c>
      <c r="Q68" s="2" t="inlineStr">
        <is>
          <t>FULL</t>
        </is>
      </c>
      <c r="R68" s="2" t="inlineStr">
        <is>
          <t>FULL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c r="Z68" s="2" t="inlineStr">
        <is>
          <t>D:\Shopify_Workspace\jeminise_seo\seo_runs\jeminise.com\20260906_234129\qa\20260907_181100\images\109_05.jpg; seo_runs\jeminise.com\20260906_234129\evidence\images\109_custom-soccer-goal-splash-bedding-comforter-set-machine-washable\image_05_47833444745415.jpg; seo_runs\jeminise.com\20260906_234129\evidence\contact_sheets\109_custom-soccer-goal-splash-bedding-comforter-set-machine-washable.jpg</t>
        </is>
      </c>
    </row>
    <row r="69" ht="66" customHeight="1">
      <c r="A69" s="3" t="inlineStr">
        <is>
          <t>jeminise.com+custom-soccer-goal-splash-bedding-comforter-set-machine-washable</t>
        </is>
      </c>
      <c r="B69" s="3" t="inlineStr">
        <is>
          <t>img_2f889cea2a968d7e</t>
        </is>
      </c>
      <c r="C69" s="4" t="inlineStr">
        <is>
          <t>https://cdn.shopify.com/s/files/1/0792/5098/1063/files/e0f4f6d6fb487b2ea1c8b7aef407d92df149557cd53c6130d47a131bbd2dc16d.jpg?v=1786611048</t>
        </is>
      </c>
      <c r="D69" s="4" t="inlineStr">
        <is>
          <t>https://cdn.shopify.com/s/files/1/0792/5098/1063/files/e0f4f6d6fb487b2ea1c8b7aef407d92df149557cd53c6130d47a131bbd2dc16d.jpg?v=1786611048</t>
        </is>
      </c>
      <c r="E69" s="3" t="inlineStr">
        <is>
          <t>47833444778183</t>
        </is>
      </c>
      <c r="F69" s="3" t="inlineStr">
        <is>
          <t>47833444778183</t>
        </is>
      </c>
      <c r="G69" s="3" t="inlineStr"/>
      <c r="H69" s="3" t="inlineStr">
        <is>
          <t>GALLERY</t>
        </is>
      </c>
      <c r="I69" s="3" t="inlineStr">
        <is>
          <t>DIRECT_IMAGE_DOWNLOAD_AND_SOURCE_ROW_REVIEW</t>
        </is>
      </c>
      <c r="J69" s="3" t="inlineStr">
        <is>
          <t>2026-09-07T18:39:49+07:00</t>
        </is>
      </c>
      <c r="K69" s="3" t="inlineStr">
        <is>
          <t>Direct QA opened downloaded image 109_06; source SHA BAA9DC6F9B2E627252AE0D07538EDCC033206E1E415494BBC2442CF0007187C7. Submitted observation reviewed against gallery position.</t>
        </is>
      </c>
      <c r="L69" s="3" t="inlineStr">
        <is>
          <t>Easy-care, size guide or product feature image for personalized green soccer goal splash comforter with James.</t>
        </is>
      </c>
      <c r="M69" s="3" t="inlineStr">
        <is>
          <t>UNKNOWN</t>
        </is>
      </c>
      <c r="N69" s="3" t="inlineStr">
        <is>
          <t>SET</t>
        </is>
      </c>
      <c r="O69" s="3" t="inlineStr">
        <is>
          <t>Care, size or product feature image for Personalized Green Soccer Goal Comforter</t>
        </is>
      </c>
      <c r="P69" s="3" t="inlineStr">
        <is>
          <t>FULL</t>
        </is>
      </c>
      <c r="Q69" s="3" t="inlineStr">
        <is>
          <t>PARTIAL</t>
        </is>
      </c>
      <c r="R69" s="3" t="inlineStr">
        <is>
          <t>FULL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ISSUE-0092</t>
        </is>
      </c>
      <c r="Z69" s="3" t="inlineStr">
        <is>
          <t>D:\Shopify_Workspace\jeminise_seo\seo_runs\jeminise.com\20260906_234129\qa\20260907_181100\images\109_06.jpg; seo_runs\jeminise.com\20260906_234129\evidence\images\109_custom-soccer-goal-splash-bedding-comforter-set-machine-washable\image_06_47833444778183.jpg; seo_runs\jeminise.com\20260906_234129\evidence\contact_sheets\109_custom-soccer-goal-splash-bedding-comforter-set-machine-washable.jpg</t>
        </is>
      </c>
    </row>
    <row r="70" ht="66" customHeight="1">
      <c r="A70" s="2" t="inlineStr">
        <is>
          <t>jeminise.com+custom-soccer-goal-splash-bedding-comforter-set-machine-washable</t>
        </is>
      </c>
      <c r="B70" s="2" t="inlineStr">
        <is>
          <t>img_3fb9928d2ff910da</t>
        </is>
      </c>
      <c r="C70" s="4" t="inlineStr">
        <is>
          <t>https://cdn.shopify.com/s/files/1/0792/5098/1063/files/dd6b2f75d5d331064be3e2ace151f6872c3f1f67675d8c1c7fa00f207341180b_a281baad-d8bd-45c6-9029-cb6ec16f9e8e.jpg?v=1786611048</t>
        </is>
      </c>
      <c r="D70" s="4" t="inlineStr">
        <is>
          <t>https://cdn.shopify.com/s/files/1/0792/5098/1063/files/dd6b2f75d5d331064be3e2ace151f6872c3f1f67675d8c1c7fa00f207341180b_a281baad-d8bd-45c6-9029-cb6ec16f9e8e.jpg?v=1786611048</t>
        </is>
      </c>
      <c r="E70" s="2" t="inlineStr">
        <is>
          <t>47833444810951</t>
        </is>
      </c>
      <c r="F70" s="2" t="inlineStr">
        <is>
          <t>47833444810951</t>
        </is>
      </c>
      <c r="G70" s="2" t="inlineStr"/>
      <c r="H70" s="2" t="inlineStr">
        <is>
          <t>GALLERY</t>
        </is>
      </c>
      <c r="I70" s="2" t="inlineStr">
        <is>
          <t>DIRECT_IMAGE_DOWNLOAD_AND_SOURCE_ROW_REVIEW</t>
        </is>
      </c>
      <c r="J70" s="2" t="inlineStr">
        <is>
          <t>2026-09-07T18:39:49+07:00</t>
        </is>
      </c>
      <c r="K70" s="2" t="inlineStr">
        <is>
          <t>Direct QA opened downloaded image 109_07; source SHA 20695A7BBFC81C154D78FA65E875BD671D43CF32FD78E26B6AA18B105B7CABED. Submitted observation reviewed against gallery position.</t>
        </is>
      </c>
      <c r="L70" s="2" t="inlineStr">
        <is>
          <t>Additional lifestyle, feature or product detail image showing personalized green soccer goal splash comforter with James.</t>
        </is>
      </c>
      <c r="M70" s="2" t="inlineStr">
        <is>
          <t>UNKNOWN</t>
        </is>
      </c>
      <c r="N70" s="2" t="inlineStr">
        <is>
          <t>SET</t>
        </is>
      </c>
      <c r="O70" s="2" t="inlineStr">
        <is>
          <t>Additional product mockup of Personalized Green Soccer Goal Comforter</t>
        </is>
      </c>
      <c r="P70" s="2" t="inlineStr">
        <is>
          <t>FULL</t>
        </is>
      </c>
      <c r="Q70" s="2" t="inlineStr">
        <is>
          <t>PARTIAL</t>
        </is>
      </c>
      <c r="R70" s="2" t="inlineStr">
        <is>
          <t>FULL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ISSUE-0093</t>
        </is>
      </c>
      <c r="Z70" s="2" t="inlineStr">
        <is>
          <t>D:\Shopify_Workspace\jeminise_seo\seo_runs\jeminise.com\20260906_234129\qa\20260907_181100\images\109_07.jpg; seo_runs\jeminise.com\20260906_234129\evidence\images\109_custom-soccer-goal-splash-bedding-comforter-set-machine-washable\image_07_47833444810951.jpg; seo_runs\jeminise.com\20260906_234129\evidence\contact_sheets\109_custom-soccer-goal-splash-bedding-comforter-set-machine-washable.jpg</t>
        </is>
      </c>
    </row>
    <row r="71" ht="66" customHeight="1">
      <c r="A71" s="3" t="inlineStr">
        <is>
          <t>jeminise.com+custom-soccer-net-with-number-07-comforter-set-machine-washable-a7</t>
        </is>
      </c>
      <c r="B71" s="3" t="inlineStr">
        <is>
          <t>img_34ba5726d77b8760</t>
        </is>
      </c>
      <c r="C71" s="4" t="inlineStr">
        <is>
          <t>https://cdn.shopify.com/s/files/1/0792/5098/1063/files/d5eff6ecbe959bbbb3957e92b28382391b5f27c8e5b7675c96fce64707e4f0e4.jpg?v=1786611012</t>
        </is>
      </c>
      <c r="D71" s="4" t="inlineStr">
        <is>
          <t>https://cdn.shopify.com/s/files/1/0792/5098/1063/files/d5eff6ecbe959bbbb3957e92b28382391b5f27c8e5b7675c96fce64707e4f0e4.jpg?v=1786611012</t>
        </is>
      </c>
      <c r="E71" s="3" t="inlineStr">
        <is>
          <t>47833435734215</t>
        </is>
      </c>
      <c r="F71" s="3" t="inlineStr">
        <is>
          <t>47833435734215</t>
        </is>
      </c>
      <c r="G71" s="3" t="inlineStr"/>
      <c r="H71" s="3" t="inlineStr">
        <is>
          <t>GALLERY</t>
        </is>
      </c>
      <c r="I71" s="3" t="inlineStr">
        <is>
          <t>DIRECT_IMAGE_DOWNLOAD_AND_SOURCE_ROW_REVIEW</t>
        </is>
      </c>
      <c r="J71" s="3" t="inlineStr">
        <is>
          <t>2026-09-07T18:39:49+07:00</t>
        </is>
      </c>
      <c r="K71" s="3" t="inlineStr">
        <is>
          <t>Direct QA opened downloaded image 110_01; source SHA 28C2A2F706AA2CE7955858868000086B92C0E180C0A60F446D978981EE0823F6. Submitted observation reviewed against gallery position.</t>
        </is>
      </c>
      <c r="L71" s="3" t="inlineStr">
        <is>
          <t>Main product mockup showing personalized black and white soccer net comforter with Kenzo number 07.</t>
        </is>
      </c>
      <c r="M71" s="3" t="inlineStr">
        <is>
          <t>UNKNOWN</t>
        </is>
      </c>
      <c r="N71" s="3" t="inlineStr">
        <is>
          <t>SET</t>
        </is>
      </c>
      <c r="O71" s="3" t="inlineStr">
        <is>
          <t>Personalized Black Soccer Net Comforter displayed in a main product mockup</t>
        </is>
      </c>
      <c r="P71" s="3" t="inlineStr">
        <is>
          <t>FULL</t>
        </is>
      </c>
      <c r="Q71" s="3" t="inlineStr">
        <is>
          <t>FULL</t>
        </is>
      </c>
      <c r="R71" s="3" t="inlineStr">
        <is>
          <t>PARTIAL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is>
          <t>ISSUE-0099</t>
        </is>
      </c>
      <c r="Z71" s="3" t="inlineStr">
        <is>
          <t>D:\Shopify_Workspace\jeminise_seo\seo_runs\jeminise.com\20260906_234129\qa\20260907_181100\images\110_01.jpg; seo_runs\jeminise.com\20260906_234129\evidence\images\110_custom-soccer-net-with-number-07-comforter-set-machine-washable-a7\image_01_47833435734215.jpg; seo_runs\jeminise.com\20260906_234129\evidence\contact_sheets\110_custom-soccer-net-with-number-07-comforter-set-machine-washable-a7.jpg</t>
        </is>
      </c>
    </row>
    <row r="72" ht="66" customHeight="1">
      <c r="A72" s="2" t="inlineStr">
        <is>
          <t>jeminise.com+custom-soccer-net-with-number-07-comforter-set-machine-washable-a7</t>
        </is>
      </c>
      <c r="B72" s="2" t="inlineStr">
        <is>
          <t>img_0e9d3d615b3c4354</t>
        </is>
      </c>
      <c r="C72" s="4" t="inlineStr">
        <is>
          <t>https://cdn.shopify.com/s/files/1/0792/5098/1063/files/9fa260bfa3a0f8ded5e1af7786072b4f2e3346d50d8fcbebe8997626617ffa0f.jpg?v=1786611012</t>
        </is>
      </c>
      <c r="D72" s="4" t="inlineStr">
        <is>
          <t>https://cdn.shopify.com/s/files/1/0792/5098/1063/files/9fa260bfa3a0f8ded5e1af7786072b4f2e3346d50d8fcbebe8997626617ffa0f.jpg?v=1786611012</t>
        </is>
      </c>
      <c r="E72" s="2" t="inlineStr">
        <is>
          <t>47833435766983</t>
        </is>
      </c>
      <c r="F72" s="2" t="inlineStr">
        <is>
          <t>47833435766983</t>
        </is>
      </c>
      <c r="G72" s="2" t="inlineStr"/>
      <c r="H72" s="2" t="inlineStr">
        <is>
          <t>GALLERY</t>
        </is>
      </c>
      <c r="I72" s="2" t="inlineStr">
        <is>
          <t>DIRECT_IMAGE_DOWNLOAD_AND_SOURCE_ROW_REVIEW</t>
        </is>
      </c>
      <c r="J72" s="2" t="inlineStr">
        <is>
          <t>2026-09-07T18:39:49+07:00</t>
        </is>
      </c>
      <c r="K72" s="2" t="inlineStr">
        <is>
          <t>Direct QA opened downloaded image 110_02; source SHA 5E7E451904C70632A1F5F36BDF9344921C88DF96C7E307F162825DD677B3E125. Submitted observation reviewed against gallery position.</t>
        </is>
      </c>
      <c r="L72" s="2" t="inlineStr">
        <is>
          <t>Secondary flat, close-up or bedroom mockup showing personalized black and white soccer net comforter with Kenzo number 07.</t>
        </is>
      </c>
      <c r="M72" s="2" t="inlineStr">
        <is>
          <t>UNKNOWN</t>
        </is>
      </c>
      <c r="N72" s="2" t="inlineStr">
        <is>
          <t>SET</t>
        </is>
      </c>
      <c r="O72" s="2" t="inlineStr">
        <is>
          <t>Secondary mockup of Personalized Black Soccer Net Comforter</t>
        </is>
      </c>
      <c r="P72" s="2" t="inlineStr">
        <is>
          <t>FULL</t>
        </is>
      </c>
      <c r="Q72" s="2" t="inlineStr">
        <is>
          <t>FULL</t>
        </is>
      </c>
      <c r="R72" s="2" t="inlineStr">
        <is>
          <t>FULL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c r="Z72" s="2" t="inlineStr">
        <is>
          <t>D:\Shopify_Workspace\jeminise_seo\seo_runs\jeminise.com\20260906_234129\qa\20260907_181100\images\110_02.jpg; seo_runs\jeminise.com\20260906_234129\evidence\images\110_custom-soccer-net-with-number-07-comforter-set-machine-washable-a7\image_02_47833435766983.jpg; seo_runs\jeminise.com\20260906_234129\evidence\contact_sheets\110_custom-soccer-net-with-number-07-comforter-set-machine-washable-a7.jpg</t>
        </is>
      </c>
    </row>
    <row r="73" ht="66" customHeight="1">
      <c r="A73" s="3" t="inlineStr">
        <is>
          <t>jeminise.com+custom-soccer-net-with-number-07-comforter-set-machine-washable-a7</t>
        </is>
      </c>
      <c r="B73" s="3" t="inlineStr">
        <is>
          <t>img_036dec50af184d35</t>
        </is>
      </c>
      <c r="C73" s="4" t="inlineStr">
        <is>
          <t>https://cdn.shopify.com/s/files/1/0792/5098/1063/files/c13ca5980b6e29e305326351ee6a301120915a8e8ed77c0a5fdc431493a53f29.jpg?v=1786611012</t>
        </is>
      </c>
      <c r="D73" s="4" t="inlineStr">
        <is>
          <t>https://cdn.shopify.com/s/files/1/0792/5098/1063/files/c13ca5980b6e29e305326351ee6a301120915a8e8ed77c0a5fdc431493a53f29.jpg?v=1786611012</t>
        </is>
      </c>
      <c r="E73" s="3" t="inlineStr">
        <is>
          <t>47833435799751</t>
        </is>
      </c>
      <c r="F73" s="3" t="inlineStr">
        <is>
          <t>47833435799751</t>
        </is>
      </c>
      <c r="G73" s="3" t="inlineStr"/>
      <c r="H73" s="3" t="inlineStr">
        <is>
          <t>GALLERY</t>
        </is>
      </c>
      <c r="I73" s="3" t="inlineStr">
        <is>
          <t>DIRECT_IMAGE_DOWNLOAD_AND_SOURCE_ROW_REVIEW</t>
        </is>
      </c>
      <c r="J73" s="3" t="inlineStr">
        <is>
          <t>2026-09-07T18:39:49+07:00</t>
        </is>
      </c>
      <c r="K73" s="3" t="inlineStr">
        <is>
          <t>Direct QA opened downloaded image 110_03; source SHA AD4022161A48B459108A70EA41D94DF7B83B613127C3185D78CE5F06293F12AE. Submitted observation reviewed against gallery position.</t>
        </is>
      </c>
      <c r="L73" s="3" t="inlineStr">
        <is>
          <t>Bedding type, feature, lifestyle or material image for personalized black and white soccer net comforter with Kenzo number 07.</t>
        </is>
      </c>
      <c r="M73" s="3" t="inlineStr">
        <is>
          <t>UNKNOWN</t>
        </is>
      </c>
      <c r="N73" s="3" t="inlineStr">
        <is>
          <t>SET</t>
        </is>
      </c>
      <c r="O73" s="3" t="inlineStr">
        <is>
          <t>Product option, feature or lifestyle image for Personalized Black Soccer Net Comforter</t>
        </is>
      </c>
      <c r="P73" s="3" t="inlineStr">
        <is>
          <t>FULL</t>
        </is>
      </c>
      <c r="Q73" s="3" t="inlineStr">
        <is>
          <t>PARTIAL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ISSUE-0100</t>
        </is>
      </c>
      <c r="Z73" s="3" t="inlineStr">
        <is>
          <t>D:\Shopify_Workspace\jeminise_seo\seo_runs\jeminise.com\20260906_234129\qa\20260907_181100\images\110_03.jpg; seo_runs\jeminise.com\20260906_234129\evidence\images\110_custom-soccer-net-with-number-07-comforter-set-machine-washable-a7\image_03_47833435799751.jpg; seo_runs\jeminise.com\20260906_234129\evidence\contact_sheets\110_custom-soccer-net-with-number-07-comforter-set-machine-washable-a7.jpg</t>
        </is>
      </c>
    </row>
    <row r="74" ht="66" customHeight="1">
      <c r="A74" s="2" t="inlineStr">
        <is>
          <t>jeminise.com+custom-soccer-net-with-number-07-comforter-set-machine-washable-a7</t>
        </is>
      </c>
      <c r="B74" s="2" t="inlineStr">
        <is>
          <t>img_250ef351a796834e</t>
        </is>
      </c>
      <c r="C74" s="4" t="inlineStr">
        <is>
          <t>https://cdn.shopify.com/s/files/1/0792/5098/1063/files/0b1d1e19cab6d757366a36700f895ecca060303e705a8aece2f5fa486b6770da_9a927c8a-0f79-4e61-90d9-c6095bfaff90.jpg?v=1786611012</t>
        </is>
      </c>
      <c r="D74" s="4" t="inlineStr">
        <is>
          <t>https://cdn.shopify.com/s/files/1/0792/5098/1063/files/0b1d1e19cab6d757366a36700f895ecca060303e705a8aece2f5fa486b6770da_9a927c8a-0f79-4e61-90d9-c6095bfaff90.jpg?v=1786611012</t>
        </is>
      </c>
      <c r="E74" s="2" t="inlineStr">
        <is>
          <t>47833435832519</t>
        </is>
      </c>
      <c r="F74" s="2" t="inlineStr">
        <is>
          <t>47833435832519</t>
        </is>
      </c>
      <c r="G74" s="2" t="inlineStr"/>
      <c r="H74" s="2" t="inlineStr">
        <is>
          <t>GALLERY</t>
        </is>
      </c>
      <c r="I74" s="2" t="inlineStr">
        <is>
          <t>DIRECT_IMAGE_DOWNLOAD_AND_SOURCE_ROW_REVIEW</t>
        </is>
      </c>
      <c r="J74" s="2" t="inlineStr">
        <is>
          <t>2026-09-07T18:39:49+07:00</t>
        </is>
      </c>
      <c r="K74" s="2" t="inlineStr">
        <is>
          <t>Direct QA opened downloaded image 110_04; source SHA D163E535A13D9D9230E528281552C4CCDEE56CB1F4A0CA3A6A15C697CB8A43F7. Submitted observation reviewed against gallery position.</t>
        </is>
      </c>
      <c r="L74" s="2" t="inlineStr">
        <is>
          <t>Detail, feature panel or lifestyle image connected to personalized black and white soccer net comforter with Kenzo number 07.</t>
        </is>
      </c>
      <c r="M74" s="2" t="inlineStr">
        <is>
          <t>UNKNOWN</t>
        </is>
      </c>
      <c r="N74" s="2" t="inlineStr">
        <is>
          <t>SET</t>
        </is>
      </c>
      <c r="O74" s="2" t="inlineStr">
        <is>
          <t>Detail or feature image for Personalized Black Soccer Net Comforter</t>
        </is>
      </c>
      <c r="P74" s="2" t="inlineStr">
        <is>
          <t>FULL</t>
        </is>
      </c>
      <c r="Q74" s="2" t="inlineStr">
        <is>
          <t>PARTIAL</t>
        </is>
      </c>
      <c r="R74" s="2" t="inlineStr">
        <is>
          <t>FULL</t>
        </is>
      </c>
      <c r="S74" s="2" t="inlineStr">
        <is>
          <t>FULL</t>
        </is>
      </c>
      <c r="T74" s="5">
        <f>IF(P74="FULL",40,IF(P74="PARTIAL",40/2,0))+IF(Q74="FULL",30,IF(Q74="PARTIAL",30/2,0))+IF(R74="FULL",20,IF(R74="PARTIAL",20/2,0))+IF(S74="FULL",10,IF(S74="PARTIAL",10/2,0))</f>
        <v/>
      </c>
      <c r="U74" s="5">
        <f>IF(P74="NOT_CHECKED",0,40)+IF(Q74="NOT_CHECKED",0,30)+IF(R74="NOT_CHECKED",0,20)+IF(S74="NOT_CHECKED",0,10)</f>
        <v/>
      </c>
      <c r="V74" s="5">
        <f>IF(U74=100,T74,"")</f>
        <v/>
      </c>
      <c r="W74" s="5">
        <f>T74</f>
        <v/>
      </c>
      <c r="X74" s="5">
        <f>T74+(100-U74)</f>
        <v/>
      </c>
      <c r="Y74" s="2" t="inlineStr">
        <is>
          <t>ISSUE-0101</t>
        </is>
      </c>
      <c r="Z74" s="2" t="inlineStr">
        <is>
          <t>D:\Shopify_Workspace\jeminise_seo\seo_runs\jeminise.com\20260906_234129\qa\20260907_181100\images\110_04.jpg; seo_runs\jeminise.com\20260906_234129\evidence\images\110_custom-soccer-net-with-number-07-comforter-set-machine-washable-a7\image_04_47833435832519.jpg; seo_runs\jeminise.com\20260906_234129\evidence\contact_sheets\110_custom-soccer-net-with-number-07-comforter-set-machine-washable-a7.jpg</t>
        </is>
      </c>
    </row>
    <row r="75" ht="66" customHeight="1">
      <c r="A75" s="3" t="inlineStr">
        <is>
          <t>jeminise.com+custom-soccer-net-with-number-07-comforter-set-machine-washable-a7</t>
        </is>
      </c>
      <c r="B75" s="3" t="inlineStr">
        <is>
          <t>img_c1521171ebe8c51d</t>
        </is>
      </c>
      <c r="C75" s="4" t="inlineStr">
        <is>
          <t>https://cdn.shopify.com/s/files/1/0792/5098/1063/files/da276a0ac696bef8efb88e29faa67b97016515782d65504b709149a78664278e.jpg?v=1786611012</t>
        </is>
      </c>
      <c r="D75" s="4" t="inlineStr">
        <is>
          <t>https://cdn.shopify.com/s/files/1/0792/5098/1063/files/da276a0ac696bef8efb88e29faa67b97016515782d65504b709149a78664278e.jpg?v=1786611012</t>
        </is>
      </c>
      <c r="E75" s="3" t="inlineStr">
        <is>
          <t>47833435865287</t>
        </is>
      </c>
      <c r="F75" s="3" t="inlineStr">
        <is>
          <t>47833435865287</t>
        </is>
      </c>
      <c r="G75" s="3" t="inlineStr"/>
      <c r="H75" s="3" t="inlineStr">
        <is>
          <t>GALLERY</t>
        </is>
      </c>
      <c r="I75" s="3" t="inlineStr">
        <is>
          <t>DIRECT_IMAGE_DOWNLOAD_AND_SOURCE_ROW_REVIEW</t>
        </is>
      </c>
      <c r="J75" s="3" t="inlineStr">
        <is>
          <t>2026-09-07T18:39:49+07:00</t>
        </is>
      </c>
      <c r="K75" s="3" t="inlineStr">
        <is>
          <t>Direct QA opened downloaded image 110_05; source SHA 199492B588936A4061001A4517EA28E6649A53C8AE00388BDA73E2664C65C6B9. Submitted observation reviewed against gallery position.</t>
        </is>
      </c>
      <c r="L75" s="3" t="inlineStr">
        <is>
          <t>Additional mockup, care or size information for personalized black and white soccer net comforter with Kenzo number 07.</t>
        </is>
      </c>
      <c r="M75" s="3" t="inlineStr">
        <is>
          <t>UNKNOWN</t>
        </is>
      </c>
      <c r="N75" s="3" t="inlineStr">
        <is>
          <t>SET</t>
        </is>
      </c>
      <c r="O75" s="3" t="inlineStr">
        <is>
          <t>Additional product mockup or care information for Personalized Black Soccer Net Comforter</t>
        </is>
      </c>
      <c r="P75" s="3" t="inlineStr">
        <is>
          <t>FULL</t>
        </is>
      </c>
      <c r="Q75" s="3" t="inlineStr">
        <is>
          <t>FULL</t>
        </is>
      </c>
      <c r="R75" s="3" t="inlineStr">
        <is>
          <t>FULL</t>
        </is>
      </c>
      <c r="S75" s="3" t="inlineStr">
        <is>
          <t>FULL</t>
        </is>
      </c>
      <c r="T75" s="7">
        <f>IF(P75="FULL",40,IF(P75="PARTIAL",40/2,0))+IF(Q75="FULL",30,IF(Q75="PARTIAL",30/2,0))+IF(R75="FULL",20,IF(R75="PARTIAL",20/2,0))+IF(S75="FULL",10,IF(S75="PARTIAL",10/2,0))</f>
        <v/>
      </c>
      <c r="U75" s="7">
        <f>IF(P75="NOT_CHECKED",0,40)+IF(Q75="NOT_CHECKED",0,30)+IF(R75="NOT_CHECKED",0,20)+IF(S75="NOT_CHECKED",0,10)</f>
        <v/>
      </c>
      <c r="V75" s="7">
        <f>IF(U75=100,T75,"")</f>
        <v/>
      </c>
      <c r="W75" s="7">
        <f>T75</f>
        <v/>
      </c>
      <c r="X75" s="7">
        <f>T75+(100-U75)</f>
        <v/>
      </c>
      <c r="Y75" s="3" t="inlineStr"/>
      <c r="Z75" s="3" t="inlineStr">
        <is>
          <t>D:\Shopify_Workspace\jeminise_seo\seo_runs\jeminise.com\20260906_234129\qa\20260907_181100\images\110_05.jpg; seo_runs\jeminise.com\20260906_234129\evidence\images\110_custom-soccer-net-with-number-07-comforter-set-machine-washable-a7\image_05_47833435865287.jpg; seo_runs\jeminise.com\20260906_234129\evidence\contact_sheets\110_custom-soccer-net-with-number-07-comforter-set-machine-washable-a7.jpg</t>
        </is>
      </c>
    </row>
    <row r="76" ht="66" customHeight="1">
      <c r="A76" s="2" t="inlineStr">
        <is>
          <t>jeminise.com+custom-soccer-net-with-number-07-comforter-set-machine-washable-a7</t>
        </is>
      </c>
      <c r="B76" s="2" t="inlineStr">
        <is>
          <t>img_974c59f296a46fba</t>
        </is>
      </c>
      <c r="C76" s="4" t="inlineStr">
        <is>
          <t>https://cdn.shopify.com/s/files/1/0792/5098/1063/files/08a6835f0f310b6c922134d6c70195cce131eefffb65e5e69df3431e2da006d6.jpg?v=1786611012</t>
        </is>
      </c>
      <c r="D76" s="4" t="inlineStr">
        <is>
          <t>https://cdn.shopify.com/s/files/1/0792/5098/1063/files/08a6835f0f310b6c922134d6c70195cce131eefffb65e5e69df3431e2da006d6.jpg?v=1786611012</t>
        </is>
      </c>
      <c r="E76" s="2" t="inlineStr">
        <is>
          <t>47833435898055</t>
        </is>
      </c>
      <c r="F76" s="2" t="inlineStr">
        <is>
          <t>47833435898055</t>
        </is>
      </c>
      <c r="G76" s="2" t="inlineStr"/>
      <c r="H76" s="2" t="inlineStr">
        <is>
          <t>GALLERY</t>
        </is>
      </c>
      <c r="I76" s="2" t="inlineStr">
        <is>
          <t>DIRECT_IMAGE_DOWNLOAD_AND_SOURCE_ROW_REVIEW</t>
        </is>
      </c>
      <c r="J76" s="2" t="inlineStr">
        <is>
          <t>2026-09-07T18:39:49+07:00</t>
        </is>
      </c>
      <c r="K76" s="2" t="inlineStr">
        <is>
          <t>Direct QA opened downloaded image 110_06; source SHA 63E81312F0CF99D3297BBD1ECBEEE94E820CBF92C161CBFF6855E7D83FB1F42F. Submitted observation reviewed against gallery position.</t>
        </is>
      </c>
      <c r="L76" s="2" t="inlineStr">
        <is>
          <t>Easy-care, size guide or product feature image for personalized black and white soccer net comforter with Kenzo number 07.</t>
        </is>
      </c>
      <c r="M76" s="2" t="inlineStr">
        <is>
          <t>UNKNOWN</t>
        </is>
      </c>
      <c r="N76" s="2" t="inlineStr">
        <is>
          <t>SET</t>
        </is>
      </c>
      <c r="O76" s="2" t="inlineStr">
        <is>
          <t>Care, size or product feature image for Personalized Black Soccer Net Comforter</t>
        </is>
      </c>
      <c r="P76" s="2" t="inlineStr">
        <is>
          <t>FULL</t>
        </is>
      </c>
      <c r="Q76" s="2" t="inlineStr">
        <is>
          <t>PARTIAL</t>
        </is>
      </c>
      <c r="R76" s="2" t="inlineStr">
        <is>
          <t>FULL</t>
        </is>
      </c>
      <c r="S76" s="2" t="inlineStr">
        <is>
          <t>FULL</t>
        </is>
      </c>
      <c r="T76" s="5">
        <f>IF(P76="FULL",40,IF(P76="PARTIAL",40/2,0))+IF(Q76="FULL",30,IF(Q76="PARTIAL",30/2,0))+IF(R76="FULL",20,IF(R76="PARTIAL",20/2,0))+IF(S76="FULL",10,IF(S76="PARTIAL",10/2,0))</f>
        <v/>
      </c>
      <c r="U76" s="5">
        <f>IF(P76="NOT_CHECKED",0,40)+IF(Q76="NOT_CHECKED",0,30)+IF(R76="NOT_CHECKED",0,20)+IF(S76="NOT_CHECKED",0,10)</f>
        <v/>
      </c>
      <c r="V76" s="5">
        <f>IF(U76=100,T76,"")</f>
        <v/>
      </c>
      <c r="W76" s="5">
        <f>T76</f>
        <v/>
      </c>
      <c r="X76" s="5">
        <f>T76+(100-U76)</f>
        <v/>
      </c>
      <c r="Y76" s="2" t="inlineStr">
        <is>
          <t>ISSUE-0102</t>
        </is>
      </c>
      <c r="Z76" s="2" t="inlineStr">
        <is>
          <t>D:\Shopify_Workspace\jeminise_seo\seo_runs\jeminise.com\20260906_234129\qa\20260907_181100\images\110_06.jpg; seo_runs\jeminise.com\20260906_234129\evidence\images\110_custom-soccer-net-with-number-07-comforter-set-machine-washable-a7\image_06_47833435898055.jpg; seo_runs\jeminise.com\20260906_234129\evidence\contact_sheets\110_custom-soccer-net-with-number-07-comforter-set-machine-washable-a7.jpg</t>
        </is>
      </c>
    </row>
    <row r="77" ht="66" customHeight="1">
      <c r="A77" s="3" t="inlineStr">
        <is>
          <t>jeminise.com+custom-soccer-net-with-number-07-comforter-set-machine-washable-a7</t>
        </is>
      </c>
      <c r="B77" s="3" t="inlineStr">
        <is>
          <t>img_8d25a295ba9fa552</t>
        </is>
      </c>
      <c r="C77" s="4" t="inlineStr">
        <is>
          <t>https://cdn.shopify.com/s/files/1/0792/5098/1063/files/034a3b59ce0473836fb14c3f70ca7d76227b68f5472b25b6beeb567187aa41d8.jpg?v=1786611012</t>
        </is>
      </c>
      <c r="D77" s="4" t="inlineStr">
        <is>
          <t>https://cdn.shopify.com/s/files/1/0792/5098/1063/files/034a3b59ce0473836fb14c3f70ca7d76227b68f5472b25b6beeb567187aa41d8.jpg?v=1786611012</t>
        </is>
      </c>
      <c r="E77" s="3" t="inlineStr">
        <is>
          <t>47833435930823</t>
        </is>
      </c>
      <c r="F77" s="3" t="inlineStr">
        <is>
          <t>47833435930823</t>
        </is>
      </c>
      <c r="G77" s="3" t="inlineStr"/>
      <c r="H77" s="3" t="inlineStr">
        <is>
          <t>GALLERY</t>
        </is>
      </c>
      <c r="I77" s="3" t="inlineStr">
        <is>
          <t>DIRECT_IMAGE_DOWNLOAD_AND_SOURCE_ROW_REVIEW</t>
        </is>
      </c>
      <c r="J77" s="3" t="inlineStr">
        <is>
          <t>2026-09-07T18:39:49+07:00</t>
        </is>
      </c>
      <c r="K77" s="3" t="inlineStr">
        <is>
          <t>Direct QA opened downloaded image 110_07; source SHA 73733BE86D881A2066AE7362224BE3AE04588B277D38D370369DC4AC9F3D592E. Submitted observation reviewed against gallery position.</t>
        </is>
      </c>
      <c r="L77" s="3" t="inlineStr">
        <is>
          <t>Additional lifestyle, feature or product detail image showing personalized black and white soccer net comforter with Kenzo number 07.</t>
        </is>
      </c>
      <c r="M77" s="3" t="inlineStr">
        <is>
          <t>UNKNOWN</t>
        </is>
      </c>
      <c r="N77" s="3" t="inlineStr">
        <is>
          <t>SET</t>
        </is>
      </c>
      <c r="O77" s="3" t="inlineStr">
        <is>
          <t>Additional product mockup of Personalized Black Soccer Net Comforter</t>
        </is>
      </c>
      <c r="P77" s="3" t="inlineStr">
        <is>
          <t>FULL</t>
        </is>
      </c>
      <c r="Q77" s="3" t="inlineStr">
        <is>
          <t>PARTIAL</t>
        </is>
      </c>
      <c r="R77" s="3" t="inlineStr">
        <is>
          <t>FULL</t>
        </is>
      </c>
      <c r="S77" s="3" t="inlineStr">
        <is>
          <t>FULL</t>
        </is>
      </c>
      <c r="T77" s="7">
        <f>IF(P77="FULL",40,IF(P77="PARTIAL",40/2,0))+IF(Q77="FULL",30,IF(Q77="PARTIAL",30/2,0))+IF(R77="FULL",20,IF(R77="PARTIAL",20/2,0))+IF(S77="FULL",10,IF(S77="PARTIAL",10/2,0))</f>
        <v/>
      </c>
      <c r="U77" s="7">
        <f>IF(P77="NOT_CHECKED",0,40)+IF(Q77="NOT_CHECKED",0,30)+IF(R77="NOT_CHECKED",0,20)+IF(S77="NOT_CHECKED",0,10)</f>
        <v/>
      </c>
      <c r="V77" s="7">
        <f>IF(U77=100,T77,"")</f>
        <v/>
      </c>
      <c r="W77" s="7">
        <f>T77</f>
        <v/>
      </c>
      <c r="X77" s="7">
        <f>T77+(100-U77)</f>
        <v/>
      </c>
      <c r="Y77" s="3" t="inlineStr">
        <is>
          <t>ISSUE-0103</t>
        </is>
      </c>
      <c r="Z77" s="3" t="inlineStr">
        <is>
          <t>D:\Shopify_Workspace\jeminise_seo\seo_runs\jeminise.com\20260906_234129\qa\20260907_181100\images\110_07.jpg; seo_runs\jeminise.com\20260906_234129\evidence\images\110_custom-soccer-net-with-number-07-comforter-set-machine-washable-a7\image_07_47833435930823.jpg; seo_runs\jeminise.com\20260906_234129\evidence\contact_sheets\110_custom-soccer-net-with-number-07-comforter-set-machine-washable-a7.jpg</t>
        </is>
      </c>
    </row>
    <row r="78" ht="66" customHeight="1">
      <c r="A78" s="2" t="inlineStr">
        <is>
          <t>jeminise.com+custom-soccer-net-with-number-07-comforter-set-machine-washable-a7</t>
        </is>
      </c>
      <c r="B78" s="2" t="inlineStr">
        <is>
          <t>img_2ca5b5486ce963c5</t>
        </is>
      </c>
      <c r="C78" s="4" t="inlineStr">
        <is>
          <t>https://cdn.shopify.com/s/files/1/0792/5098/1063/files/dd6b2f75d5d331064be3e2ace151f6872c3f1f67675d8c1c7fa00f207341180b_b475f815-4d5d-453d-b6f6-f77cd2efa580.jpg?v=1786611012</t>
        </is>
      </c>
      <c r="D78" s="4" t="inlineStr">
        <is>
          <t>https://cdn.shopify.com/s/files/1/0792/5098/1063/files/dd6b2f75d5d331064be3e2ace151f6872c3f1f67675d8c1c7fa00f207341180b_b475f815-4d5d-453d-b6f6-f77cd2efa580.jpg?v=1786611012</t>
        </is>
      </c>
      <c r="E78" s="2" t="inlineStr">
        <is>
          <t>47833435963591</t>
        </is>
      </c>
      <c r="F78" s="2" t="inlineStr">
        <is>
          <t>47833435963591</t>
        </is>
      </c>
      <c r="G78" s="2" t="inlineStr"/>
      <c r="H78" s="2" t="inlineStr">
        <is>
          <t>GALLERY</t>
        </is>
      </c>
      <c r="I78" s="2" t="inlineStr">
        <is>
          <t>DIRECT_IMAGE_DOWNLOAD_AND_SOURCE_ROW_REVIEW</t>
        </is>
      </c>
      <c r="J78" s="2" t="inlineStr">
        <is>
          <t>2026-09-07T18:39:49+07:00</t>
        </is>
      </c>
      <c r="K78" s="2" t="inlineStr">
        <is>
          <t>Direct QA opened downloaded image 110_08; source SHA 20695A7BBFC81C154D78FA65E875BD671D43CF32FD78E26B6AA18B105B7CABED. Submitted observation reviewed against gallery position.</t>
        </is>
      </c>
      <c r="L78" s="2" t="inlineStr">
        <is>
          <t>Additional lifestyle, feature or product detail image showing personalized black and white soccer net comforter with Kenzo number 07.</t>
        </is>
      </c>
      <c r="M78" s="2" t="inlineStr">
        <is>
          <t>UNKNOWN</t>
        </is>
      </c>
      <c r="N78" s="2" t="inlineStr">
        <is>
          <t>SET</t>
        </is>
      </c>
      <c r="O78" s="2" t="inlineStr">
        <is>
          <t>Lifestyle use image for Personalized Black Soccer Net Comforter</t>
        </is>
      </c>
      <c r="P78" s="2" t="inlineStr">
        <is>
          <t>FULL</t>
        </is>
      </c>
      <c r="Q78" s="2" t="inlineStr">
        <is>
          <t>PARTIAL</t>
        </is>
      </c>
      <c r="R78" s="2" t="inlineStr">
        <is>
          <t>FULL</t>
        </is>
      </c>
      <c r="S78" s="2" t="inlineStr">
        <is>
          <t>FULL</t>
        </is>
      </c>
      <c r="T78" s="5">
        <f>IF(P78="FULL",40,IF(P78="PARTIAL",40/2,0))+IF(Q78="FULL",30,IF(Q78="PARTIAL",30/2,0))+IF(R78="FULL",20,IF(R78="PARTIAL",20/2,0))+IF(S78="FULL",10,IF(S78="PARTIAL",10/2,0))</f>
        <v/>
      </c>
      <c r="U78" s="5">
        <f>IF(P78="NOT_CHECKED",0,40)+IF(Q78="NOT_CHECKED",0,30)+IF(R78="NOT_CHECKED",0,20)+IF(S78="NOT_CHECKED",0,10)</f>
        <v/>
      </c>
      <c r="V78" s="5">
        <f>IF(U78=100,T78,"")</f>
        <v/>
      </c>
      <c r="W78" s="5">
        <f>T78</f>
        <v/>
      </c>
      <c r="X78" s="5">
        <f>T78+(100-U78)</f>
        <v/>
      </c>
      <c r="Y78" s="2" t="inlineStr">
        <is>
          <t>ISSUE-0104</t>
        </is>
      </c>
      <c r="Z78" s="2" t="inlineStr">
        <is>
          <t>D:\Shopify_Workspace\jeminise_seo\seo_runs\jeminise.com\20260906_234129\qa\20260907_181100\images\110_08.jpg; seo_runs\jeminise.com\20260906_234129\evidence\images\110_custom-soccer-net-with-number-07-comforter-set-machine-washable-a7\image_08_47833435963591.jpg; seo_runs\jeminise.com\20260906_234129\evidence\contact_sheets\110_custom-soccer-net-with-number-07-comforter-set-machine-washable-a7.jpg</t>
        </is>
      </c>
    </row>
  </sheetData>
  <autoFilter ref="A1:Z78"/>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 xmlns:r="http://schemas.openxmlformats.org/officeDocument/2006/relationships" ref="C74" r:id="rId145"/>
    <hyperlink xmlns:r="http://schemas.openxmlformats.org/officeDocument/2006/relationships" ref="D74" r:id="rId146"/>
    <hyperlink xmlns:r="http://schemas.openxmlformats.org/officeDocument/2006/relationships" ref="C75" r:id="rId147"/>
    <hyperlink xmlns:r="http://schemas.openxmlformats.org/officeDocument/2006/relationships" ref="D75" r:id="rId148"/>
    <hyperlink xmlns:r="http://schemas.openxmlformats.org/officeDocument/2006/relationships" ref="C76" r:id="rId149"/>
    <hyperlink xmlns:r="http://schemas.openxmlformats.org/officeDocument/2006/relationships" ref="D76" r:id="rId150"/>
    <hyperlink xmlns:r="http://schemas.openxmlformats.org/officeDocument/2006/relationships" ref="C77" r:id="rId151"/>
    <hyperlink xmlns:r="http://schemas.openxmlformats.org/officeDocument/2006/relationships" ref="D77" r:id="rId152"/>
    <hyperlink xmlns:r="http://schemas.openxmlformats.org/officeDocument/2006/relationships" ref="C78" r:id="rId153"/>
    <hyperlink xmlns:r="http://schemas.openxmlformats.org/officeDocument/2006/relationships" ref="D78" r:id="rId15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10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jeminise.com+custom-semi-truck-with-american-flag-background-comforter-104ae45e5d-104ae45e5d</t>
        </is>
      </c>
      <c r="C2" s="2" t="inlineStr"/>
      <c r="D2" s="2" t="inlineStr">
        <is>
          <t>MAJOR</t>
        </is>
      </c>
      <c r="E2" s="2" t="inlineStr">
        <is>
          <t>description_proposed_html</t>
        </is>
      </c>
      <c r="F2" s="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jeminise.com+custom-semi-truck-with-american-flag-background-comforter-104ae45e5d-104ae45e5d</t>
        </is>
      </c>
      <c r="C3" s="3" t="inlineStr"/>
      <c r="D3" s="3" t="inlineStr">
        <is>
          <t>MINOR</t>
        </is>
      </c>
      <c r="E3" s="3" t="inlineStr">
        <is>
          <t>meta_description_seo</t>
        </is>
      </c>
      <c r="F3" s="3" t="inlineStr">
        <is>
          <t>Shop a comforter set featuring red semi truck with American flag, Keep on Truckin text and Your Name personalization area. Review size and personalization options before checkout.</t>
        </is>
      </c>
      <c r="G3" s="3" t="inlineStr">
        <is>
          <t>Meta description length is 179 characters.</t>
        </is>
      </c>
      <c r="H3" s="3" t="inlineStr">
        <is>
          <t>Likely to truncate in search results and repeats review/personality wording in several rows.</t>
        </is>
      </c>
      <c r="I3" s="3" t="inlineStr">
        <is>
          <t>Rewrite to roughly 145-155 characters while preserving verified design and product type.</t>
        </is>
      </c>
      <c r="J3" s="3" t="inlineStr">
        <is>
          <t>Meta description length is 179 characters.</t>
        </is>
      </c>
      <c r="K3" s="3" t="inlineStr">
        <is>
          <t>Length check &lt;=160 characters and no unsupported claim remains.</t>
        </is>
      </c>
    </row>
    <row r="4" ht="84" customHeight="1">
      <c r="A4" s="2" t="inlineStr">
        <is>
          <t>ISSUE-0003</t>
        </is>
      </c>
      <c r="B4" s="2" t="inlineStr">
        <is>
          <t>jeminise.com+custom-semi-truck-with-american-flag-background-comforter-104ae45e5d-104ae45e5d</t>
        </is>
      </c>
      <c r="C4" s="2" t="inlineStr"/>
      <c r="D4" s="2" t="inlineStr">
        <is>
          <t>MAJOR</t>
        </is>
      </c>
      <c r="E4" s="2" t="inlineStr">
        <is>
          <t>keyword_map</t>
        </is>
      </c>
      <c r="F4" s="2" t="inlineStr">
        <is>
          <t>personalized semi truck comforter</t>
        </is>
      </c>
      <c r="G4"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 https://jeminise.com/products/custom-patriotic-truck…</t>
        </is>
      </c>
      <c r="H4" s="2" t="inlineStr">
        <is>
          <t>Batch cluster contains several very similar products, so keyword/intent differentiation must be sharper.</t>
        </is>
      </c>
      <c r="I4" s="2" t="inlineStr">
        <is>
          <t>Add unique visible motif modifiers and avoid assigning the same generic product keyword to multiple URLs.</t>
        </is>
      </c>
      <c r="J4"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 https://jeminise.com/products/custom-patriotic-truck…</t>
        </is>
      </c>
      <c r="K4" s="2" t="inlineStr">
        <is>
          <t>SERP notes and title/meta show a distinct product-level query for this exact design.</t>
        </is>
      </c>
    </row>
    <row r="5" ht="84" customHeight="1">
      <c r="A5" s="3" t="inlineStr">
        <is>
          <t>ISSUE-0004</t>
        </is>
      </c>
      <c r="B5" s="3" t="inlineStr">
        <is>
          <t>jeminise.com+custom-semi-truck-with-american-flag-background-comforter-104ae45e5d-104ae45e5d</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jeminise.com+custom-semi-truck-with-american-flag-background-comforter-104ae45e5d-104ae45e5d</t>
        </is>
      </c>
      <c r="C6" s="2" t="inlineStr">
        <is>
          <t>img_e29fe4d024cc217d</t>
        </is>
      </c>
      <c r="D6" s="2" t="inlineStr">
        <is>
          <t>MINOR</t>
        </is>
      </c>
      <c r="E6" s="2" t="inlineStr">
        <is>
          <t>alt text</t>
        </is>
      </c>
      <c r="F6" s="2" t="inlineStr">
        <is>
          <t>Personalized Keep On Truckin Semi Truck Comforter displayed in a main product mockup</t>
        </is>
      </c>
      <c r="G6" s="2" t="inlineStr">
        <is>
          <t>Fresh image file: D:\Shopify_Workspace\jeminise_seo\seo_runs\jeminise.com\20260906_234129\qa\20260907_181100\images\101_01.jpg; source URL: https://cdn.shopify.com/s/files/1/0792/5098/1063/files/3b328383c995be54509b263af54b728aa2e6ffd82467fcae85efb7a7bbc8bbe9.jpg?v=1785132509</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D:\Shopify_Workspace\jeminise_seo\seo_runs\jeminise.com\20260906_234129\qa\20260907_181100\images\101_01.jpg; source URL: https://cdn.shopify.com/s/files/1/0792/5098/1063/files/3b328383c995be54509b263af54b728aa2e6ffd82467fcae85efb7a7bbc8bbe9.jpg?v=1785132509</t>
        </is>
      </c>
      <c r="K6" s="2" t="inlineStr">
        <is>
          <t>The image row accurately describes the actual media at this gallery position.</t>
        </is>
      </c>
    </row>
    <row r="7" ht="84" customHeight="1">
      <c r="A7" s="3" t="inlineStr">
        <is>
          <t>ISSUE-0006</t>
        </is>
      </c>
      <c r="B7" s="3" t="inlineStr">
        <is>
          <t>jeminise.com+custom-semi-truck-with-american-flag-background-comforter-104ae45e5d-104ae45e5d</t>
        </is>
      </c>
      <c r="C7" s="3" t="inlineStr">
        <is>
          <t>img_033230617cc5d986</t>
        </is>
      </c>
      <c r="D7" s="3" t="inlineStr">
        <is>
          <t>MINOR</t>
        </is>
      </c>
      <c r="E7" s="3" t="inlineStr">
        <is>
          <t>image observation</t>
        </is>
      </c>
      <c r="F7" s="3" t="inlineStr">
        <is>
          <t>Bedding type, feature, lifestyle or material image for personalized Keep on Truckin semi truck comforter with American flag.</t>
        </is>
      </c>
      <c r="G7" s="3" t="inlineStr">
        <is>
          <t>Fresh image file: D:\Shopify_Workspace\jeminise_seo\seo_runs\jeminise.com\20260906_234129\qa\20260907_181100\images\101_03.jpg; source URL: https://cdn.shopify.com/s/files/1/0792/5098/1063/files/16f7293cbefa5743a35b2e6316a5a114e5c052d08151e367dafd26aa5e2e542b_8545ce0e-b9a2-48f6-9d25-38463fc247cf.jpg?v=1785132508</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D:\Shopify_Workspace\jeminise_seo\seo_runs\jeminise.com\20260906_234129\qa\20260907_181100\images\101_03.jpg; source URL: https://cdn.shopify.com/s/files/1/0792/5098/1063/files/16f7293cbefa5743a35b2e6316a5a114e5c052d08151e367dafd26aa5e2e542b_8545ce0e-b9a2-48f6-9d25-38463fc247cf.jpg?v=1785132508</t>
        </is>
      </c>
      <c r="K7" s="3" t="inlineStr">
        <is>
          <t>The image row accurately describes the actual media at this gallery position.</t>
        </is>
      </c>
    </row>
    <row r="8" ht="84" customHeight="1">
      <c r="A8" s="2" t="inlineStr">
        <is>
          <t>ISSUE-0007</t>
        </is>
      </c>
      <c r="B8" s="2" t="inlineStr">
        <is>
          <t>jeminise.com+custom-semi-truck-with-american-flag-background-comforter-104ae45e5d-104ae45e5d</t>
        </is>
      </c>
      <c r="C8" s="2" t="inlineStr">
        <is>
          <t>img_5ca66160f37163c6</t>
        </is>
      </c>
      <c r="D8" s="2" t="inlineStr">
        <is>
          <t>MINOR</t>
        </is>
      </c>
      <c r="E8" s="2" t="inlineStr">
        <is>
          <t>image observation</t>
        </is>
      </c>
      <c r="F8" s="2" t="inlineStr">
        <is>
          <t>Detail, feature panel or lifestyle image connected to personalized Keep on Truckin semi truck comforter with American flag.</t>
        </is>
      </c>
      <c r="G8" s="2" t="inlineStr">
        <is>
          <t>Fresh image file: D:\Shopify_Workspace\jeminise_seo\seo_runs\jeminise.com\20260906_234129\qa\20260907_181100\images\101_04.jpg; source URL: https://cdn.shopify.com/s/files/1/0792/5098/1063/files/acbb169b6180a5d5a284c57047db2a608ed28a3a238e325e3c27fc789a3511cc.jpg?v=1785132509</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D:\Shopify_Workspace\jeminise_seo\seo_runs\jeminise.com\20260906_234129\qa\20260907_181100\images\101_04.jpg; source URL: https://cdn.shopify.com/s/files/1/0792/5098/1063/files/acbb169b6180a5d5a284c57047db2a608ed28a3a238e325e3c27fc789a3511cc.jpg?v=1785132509</t>
        </is>
      </c>
      <c r="K8" s="2" t="inlineStr">
        <is>
          <t>The image row accurately describes the actual media at this gallery position.</t>
        </is>
      </c>
    </row>
    <row r="9" ht="84" customHeight="1">
      <c r="A9" s="3" t="inlineStr">
        <is>
          <t>ISSUE-0008</t>
        </is>
      </c>
      <c r="B9" s="3" t="inlineStr">
        <is>
          <t>jeminise.com+custom-semi-truck-with-american-flag-background-comforter-104ae45e5d-104ae45e5d</t>
        </is>
      </c>
      <c r="C9" s="3" t="inlineStr">
        <is>
          <t>img_454d5bf0a0ec8f83</t>
        </is>
      </c>
      <c r="D9" s="3" t="inlineStr">
        <is>
          <t>MINOR</t>
        </is>
      </c>
      <c r="E9" s="3" t="inlineStr">
        <is>
          <t>image observation</t>
        </is>
      </c>
      <c r="F9" s="3" t="inlineStr">
        <is>
          <t>Easy-care, size guide or product feature image for personalized Keep on Truckin semi truck comforter with American flag.</t>
        </is>
      </c>
      <c r="G9" s="3" t="inlineStr">
        <is>
          <t>Fresh image file: D:\Shopify_Workspace\jeminise_seo\seo_runs\jeminise.com\20260906_234129\qa\20260907_181100\images\101_06.jpg; source URL: https://cdn.shopify.com/s/files/1/0792/5098/1063/files/7c006bddc94d4763c71c8376307e195c1bbce73b8c802ec73ac5a8cef1291262_848066e2-c73f-4a34-bc01-26c2845f2dd2.jpg?v=1785132508</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D:\Shopify_Workspace\jeminise_seo\seo_runs\jeminise.com\20260906_234129\qa\20260907_181100\images\101_06.jpg; source URL: https://cdn.shopify.com/s/files/1/0792/5098/1063/files/7c006bddc94d4763c71c8376307e195c1bbce73b8c802ec73ac5a8cef1291262_848066e2-c73f-4a34-bc01-26c2845f2dd2.jpg?v=1785132508</t>
        </is>
      </c>
      <c r="K9" s="3" t="inlineStr">
        <is>
          <t>The image row accurately describes the actual media at this gallery position.</t>
        </is>
      </c>
    </row>
    <row r="10" ht="84" customHeight="1">
      <c r="A10" s="2" t="inlineStr">
        <is>
          <t>ISSUE-0009</t>
        </is>
      </c>
      <c r="B10" s="2" t="inlineStr">
        <is>
          <t>jeminise.com+custom-semi-truck-with-american-flag-background-comforter-104ae45e5d-104ae45e5d</t>
        </is>
      </c>
      <c r="C10" s="2" t="inlineStr">
        <is>
          <t>img_6e18aa0cc5aa4999</t>
        </is>
      </c>
      <c r="D10" s="2" t="inlineStr">
        <is>
          <t>MINOR</t>
        </is>
      </c>
      <c r="E10" s="2" t="inlineStr">
        <is>
          <t>image observation</t>
        </is>
      </c>
      <c r="F10" s="2" t="inlineStr">
        <is>
          <t>Additional lifestyle, feature or product detail image showing personalized Keep on Truckin semi truck comforter with American flag.</t>
        </is>
      </c>
      <c r="G10" s="2" t="inlineStr">
        <is>
          <t>Fresh image file: D:\Shopify_Workspace\jeminise_seo\seo_runs\jeminise.com\20260906_234129\qa\20260907_181100\images\101_07.jpg; source URL: https://cdn.shopify.com/s/files/1/0792/5098/1063/files/e5cad84edb4d7bf77c48fd7c8e52eb3b73f04eba8bf177671fd8a059c59422e8_0dcf69cb-e73b-4a03-b131-3b86abcfe91a.jpg?v=1785132508</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D:\Shopify_Workspace\jeminise_seo\seo_runs\jeminise.com\20260906_234129\qa\20260907_181100\images\101_07.jpg; source URL: https://cdn.shopify.com/s/files/1/0792/5098/1063/files/e5cad84edb4d7bf77c48fd7c8e52eb3b73f04eba8bf177671fd8a059c59422e8_0dcf69cb-e73b-4a03-b131-3b86abcfe91a.jpg?v=1785132508</t>
        </is>
      </c>
      <c r="K10" s="2" t="inlineStr">
        <is>
          <t>The image row accurately describes the actual media at this gallery position.</t>
        </is>
      </c>
    </row>
    <row r="11" ht="84" customHeight="1">
      <c r="A11" s="3" t="inlineStr">
        <is>
          <t>ISSUE-0010</t>
        </is>
      </c>
      <c r="B11" s="3" t="inlineStr">
        <is>
          <t>jeminise.com+custom-soccer-ball-cleats-personalized-comforter-set-machine-washable</t>
        </is>
      </c>
      <c r="C11" s="3" t="inlineStr"/>
      <c r="D11" s="3" t="inlineStr">
        <is>
          <t>CRITICAL</t>
        </is>
      </c>
      <c r="E11" s="3" t="inlineStr">
        <is>
          <t>personalization/customizer</t>
        </is>
      </c>
      <c r="F11" s="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t>
        </is>
      </c>
      <c r="G11" s="3" t="inlineStr">
        <is>
          <t>Draft claims name, number personalization but static customizer config does not expose matching input(s).</t>
        </is>
      </c>
      <c r="H11" s="3" t="inlineStr">
        <is>
          <t>Claim is materially unsafe until the live purchase flow exposes matching input controls.</t>
        </is>
      </c>
      <c r="I11" s="3" t="inlineStr">
        <is>
          <t>Remove/soften unsupported personalization claim, or provide admin/live proof that matching controls work.</t>
        </is>
      </c>
      <c r="J11" s="3" t="inlineStr">
        <is>
          <t>Draft claims name, number personalization but static customizer config does not expose matching input(s).</t>
        </is>
      </c>
      <c r="K11" s="3" t="inlineStr">
        <is>
          <t>Re-open live product and verify the exact name/number/photo input is present and mapped to fulfillment.</t>
        </is>
      </c>
    </row>
    <row r="12" ht="84" customHeight="1">
      <c r="A12" s="2" t="inlineStr">
        <is>
          <t>ISSUE-0011</t>
        </is>
      </c>
      <c r="B12" s="2" t="inlineStr">
        <is>
          <t>jeminise.com+custom-soccer-ball-cleats-personalized-comforter-set-machine-washable</t>
        </is>
      </c>
      <c r="C12" s="2" t="inlineStr"/>
      <c r="D12" s="2" t="inlineStr">
        <is>
          <t>MAJOR</t>
        </is>
      </c>
      <c r="E12" s="2" t="inlineStr">
        <is>
          <t>description_proposed_html</t>
        </is>
      </c>
      <c r="F12" s="2"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t>
        </is>
      </c>
      <c r="G12" s="2" t="inlineStr">
        <is>
          <t>Draft contains SEO Use / QA approval wording.</t>
        </is>
      </c>
      <c r="H12" s="2" t="inlineStr">
        <is>
          <t>Internal workflow language is not publish-ready storefront copy.</t>
        </is>
      </c>
      <c r="I12" s="2" t="inlineStr">
        <is>
          <t>Remove internal QA/import block and replace with customer-facing verified copy.</t>
        </is>
      </c>
      <c r="J12" s="2" t="inlineStr">
        <is>
          <t>Draft contains SEO Use / QA approval wording.</t>
        </is>
      </c>
      <c r="K12" s="2" t="inlineStr">
        <is>
          <t>Description HTML no longer contains SEO Use, QA, approval, import or draft language.</t>
        </is>
      </c>
    </row>
    <row r="13" ht="84" customHeight="1">
      <c r="A13" s="3" t="inlineStr">
        <is>
          <t>ISSUE-0012</t>
        </is>
      </c>
      <c r="B13" s="3" t="inlineStr">
        <is>
          <t>jeminise.com+custom-soccer-ball-cleats-personalized-comforter-set-machine-washable</t>
        </is>
      </c>
      <c r="C13" s="3" t="inlineStr"/>
      <c r="D13" s="3" t="inlineStr">
        <is>
          <t>MINOR</t>
        </is>
      </c>
      <c r="E13" s="3" t="inlineStr">
        <is>
          <t>meta_description_seo</t>
        </is>
      </c>
      <c r="F13" s="3" t="inlineStr">
        <is>
          <t>Shop a comforter set featuring black and white soccer cleats over a soccer ball with Alexis name and number 07. Review size and personalization options before checkout.</t>
        </is>
      </c>
      <c r="G13" s="3" t="inlineStr">
        <is>
          <t>Meta description length is 168 characters.</t>
        </is>
      </c>
      <c r="H13" s="3" t="inlineStr">
        <is>
          <t>Likely to truncate in search results and repeats review/personality wording in several rows.</t>
        </is>
      </c>
      <c r="I13" s="3" t="inlineStr">
        <is>
          <t>Rewrite to roughly 145-155 characters while preserving verified design and product type.</t>
        </is>
      </c>
      <c r="J13" s="3" t="inlineStr">
        <is>
          <t>Meta description length is 168 characters.</t>
        </is>
      </c>
      <c r="K13" s="3" t="inlineStr">
        <is>
          <t>Length check &lt;=160 characters and no unsupported claim remains.</t>
        </is>
      </c>
    </row>
    <row r="14" ht="84" customHeight="1">
      <c r="A14" s="2" t="inlineStr">
        <is>
          <t>ISSUE-0013</t>
        </is>
      </c>
      <c r="B14" s="2" t="inlineStr">
        <is>
          <t>jeminise.com+custom-soccer-ball-cleats-personalized-comforter-set-machine-washable</t>
        </is>
      </c>
      <c r="C14" s="2" t="inlineStr"/>
      <c r="D14" s="2" t="inlineStr">
        <is>
          <t>MAJOR</t>
        </is>
      </c>
      <c r="E14" s="2" t="inlineStr">
        <is>
          <t>keyword_map</t>
        </is>
      </c>
      <c r="F14" s="2" t="inlineStr">
        <is>
          <t>personalized soccer cleats comforter</t>
        </is>
      </c>
      <c r="G14" s="2" t="inlineStr">
        <is>
          <t>https://www.authenticsoccer.com/; https://www.nike.com/w/nike-by-you-soccer-shoes-1gdj0z6ealhzy7ok; https://www.amazon.com/; https://www.authenticsoccer.com/; https://www.nike.com/w/nike-by-you-soccer-shoes-1gdj0z6ealhzy7ok; https://www.amazon.com/</t>
        </is>
      </c>
      <c r="H14" s="2" t="inlineStr">
        <is>
          <t>Batch cluster contains several very similar products, so keyword/intent differentiation must be sharper.</t>
        </is>
      </c>
      <c r="I14" s="2" t="inlineStr">
        <is>
          <t>Add unique visible motif modifiers and avoid assigning the same generic product keyword to multiple URLs.</t>
        </is>
      </c>
      <c r="J14" s="2" t="inlineStr">
        <is>
          <t>https://www.authenticsoccer.com/; https://www.nike.com/w/nike-by-you-soccer-shoes-1gdj0z6ealhzy7ok; https://www.amazon.com/; https://www.authenticsoccer.com/; https://www.nike.com/w/nike-by-you-soccer-shoes-1gdj0z6ealhzy7ok; https://www.amazon.com/</t>
        </is>
      </c>
      <c r="K14" s="2" t="inlineStr">
        <is>
          <t>SERP notes and title/meta show a distinct product-level query for this exact design.</t>
        </is>
      </c>
    </row>
    <row r="15" ht="84" customHeight="1">
      <c r="A15" s="3" t="inlineStr">
        <is>
          <t>ISSUE-0014</t>
        </is>
      </c>
      <c r="B15" s="3" t="inlineStr">
        <is>
          <t>jeminise.com+custom-soccer-ball-cleats-personalized-comforter-set-machine-washable</t>
        </is>
      </c>
      <c r="C15" s="3" t="inlineStr"/>
      <c r="D15" s="3" t="inlineStr">
        <is>
          <t>LIMITATION</t>
        </is>
      </c>
      <c r="E15" s="3" t="inlineStr">
        <is>
          <t>keyword_evidence_level</t>
        </is>
      </c>
      <c r="F15" s="3" t="inlineStr">
        <is>
          <t>SERP_ONLY</t>
        </is>
      </c>
      <c r="G15" s="3" t="inlineStr">
        <is>
          <t>Only public SERP comparables are available.</t>
        </is>
      </c>
      <c r="H15" s="3" t="inlineStr">
        <is>
          <t>No Search Console, paid keyword volume or internal site search export was supplied.</t>
        </is>
      </c>
      <c r="I15" s="3" t="inlineStr">
        <is>
          <t>Keep demand statements qualitative; do not claim volume or ranking potential.</t>
        </is>
      </c>
      <c r="J15" s="3" t="inlineStr">
        <is>
          <t>Only public SERP comparables are available.</t>
        </is>
      </c>
      <c r="K15" s="3" t="inlineStr">
        <is>
          <t>Additional first-party or paid keyword evidence is attached, or limitation remains documented.</t>
        </is>
      </c>
    </row>
    <row r="16" ht="84" customHeight="1">
      <c r="A16" s="2" t="inlineStr">
        <is>
          <t>ISSUE-0015</t>
        </is>
      </c>
      <c r="B16" s="2" t="inlineStr">
        <is>
          <t>jeminise.com+custom-soccer-ball-cleats-personalized-comforter-set-machine-washable</t>
        </is>
      </c>
      <c r="C16" s="2" t="inlineStr">
        <is>
          <t>img_528c1b9fe18ef1b9</t>
        </is>
      </c>
      <c r="D16" s="2" t="inlineStr">
        <is>
          <t>MINOR</t>
        </is>
      </c>
      <c r="E16" s="2" t="inlineStr">
        <is>
          <t>alt text</t>
        </is>
      </c>
      <c r="F16" s="2" t="inlineStr">
        <is>
          <t>Personalized Soccer Cleats Comforter displayed in a main product mockup</t>
        </is>
      </c>
      <c r="G16" s="2" t="inlineStr">
        <is>
          <t>Fresh image file: D:\Shopify_Workspace\jeminise_seo\seo_runs\jeminise.com\20260906_234129\qa\20260907_181100\images\102_01.jpg; source URL: https://cdn.shopify.com/s/files/1/0792/5098/1063/files/3afc018e90ed49ef925c143f160e13a00ecff6c51398c938910988b9aa62eee5.jpg?v=1786611045</t>
        </is>
      </c>
      <c r="H16" s="2" t="inlineStr">
        <is>
          <t>Alt text is too generic or describes placement more than visible content.</t>
        </is>
      </c>
      <c r="I16" s="2" t="inlineStr">
        <is>
          <t>Rewrite observation/alt from the directly opened image, naming the visible motif and use context.</t>
        </is>
      </c>
      <c r="J16" s="2" t="inlineStr">
        <is>
          <t>Fresh image file: D:\Shopify_Workspace\jeminise_seo\seo_runs\jeminise.com\20260906_234129\qa\20260907_181100\images\102_01.jpg; source URL: https://cdn.shopify.com/s/files/1/0792/5098/1063/files/3afc018e90ed49ef925c143f160e13a00ecff6c51398c938910988b9aa62eee5.jpg?v=1786611045</t>
        </is>
      </c>
      <c r="K16" s="2" t="inlineStr">
        <is>
          <t>The image row accurately describes the actual media at this gallery position.</t>
        </is>
      </c>
    </row>
    <row r="17" ht="84" customHeight="1">
      <c r="A17" s="3" t="inlineStr">
        <is>
          <t>ISSUE-0016</t>
        </is>
      </c>
      <c r="B17" s="3" t="inlineStr">
        <is>
          <t>jeminise.com+custom-soccer-ball-cleats-personalized-comforter-set-machine-washable</t>
        </is>
      </c>
      <c r="C17" s="3" t="inlineStr">
        <is>
          <t>img_9f498ef35aca7663</t>
        </is>
      </c>
      <c r="D17" s="3" t="inlineStr">
        <is>
          <t>MINOR</t>
        </is>
      </c>
      <c r="E17" s="3" t="inlineStr">
        <is>
          <t>image observation</t>
        </is>
      </c>
      <c r="F17" s="3" t="inlineStr">
        <is>
          <t>Bedding type, feature, lifestyle or material image for personalized soccer cleats comforter with Alexis number 07.</t>
        </is>
      </c>
      <c r="G17" s="3" t="inlineStr">
        <is>
          <t>Fresh image file: D:\Shopify_Workspace\jeminise_seo\seo_runs\jeminise.com\20260906_234129\qa\20260907_181100\images\102_03.jpg; source URL: https://cdn.shopify.com/s/files/1/0792/5098/1063/files/5362f06de02f8fe4ecf4c49af6b8fbdc72b6839ac032fb1c1d6a0f34181df88d.jpg?v=1786611045</t>
        </is>
      </c>
      <c r="H17" s="3" t="inlineStr">
        <is>
          <t>Observation is generic or position-based; rewrite from the actual image content.</t>
        </is>
      </c>
      <c r="I17" s="3" t="inlineStr">
        <is>
          <t>Rewrite observation/alt from the directly opened image, naming the visible motif and use context.</t>
        </is>
      </c>
      <c r="J17" s="3" t="inlineStr">
        <is>
          <t>Fresh image file: D:\Shopify_Workspace\jeminise_seo\seo_runs\jeminise.com\20260906_234129\qa\20260907_181100\images\102_03.jpg; source URL: https://cdn.shopify.com/s/files/1/0792/5098/1063/files/5362f06de02f8fe4ecf4c49af6b8fbdc72b6839ac032fb1c1d6a0f34181df88d.jpg?v=1786611045</t>
        </is>
      </c>
      <c r="K17" s="3" t="inlineStr">
        <is>
          <t>The image row accurately describes the actual media at this gallery position.</t>
        </is>
      </c>
    </row>
    <row r="18" ht="84" customHeight="1">
      <c r="A18" s="2" t="inlineStr">
        <is>
          <t>ISSUE-0017</t>
        </is>
      </c>
      <c r="B18" s="2" t="inlineStr">
        <is>
          <t>jeminise.com+custom-soccer-ball-cleats-personalized-comforter-set-machine-washable</t>
        </is>
      </c>
      <c r="C18" s="2" t="inlineStr">
        <is>
          <t>img_5e52d7a16b4442e3</t>
        </is>
      </c>
      <c r="D18" s="2" t="inlineStr">
        <is>
          <t>MINOR</t>
        </is>
      </c>
      <c r="E18" s="2" t="inlineStr">
        <is>
          <t>image observation</t>
        </is>
      </c>
      <c r="F18" s="2" t="inlineStr">
        <is>
          <t>Detail, feature panel or lifestyle image connected to personalized soccer cleats comforter with Alexis number 07.</t>
        </is>
      </c>
      <c r="G18" s="2" t="inlineStr">
        <is>
          <t>Fresh image file: D:\Shopify_Workspace\jeminise_seo\seo_runs\jeminise.com\20260906_234129\qa\20260907_181100\images\102_04.jpg; source URL: https://cdn.shopify.com/s/files/1/0792/5098/1063/files/0b1d1e19cab6d757366a36700f895ecca060303e705a8aece2f5fa486b6770da_be61eea0-f110-43df-83bb-ae00fb92f24c.jpg?v=1786611045</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D:\Shopify_Workspace\jeminise_seo\seo_runs\jeminise.com\20260906_234129\qa\20260907_181100\images\102_04.jpg; source URL: https://cdn.shopify.com/s/files/1/0792/5098/1063/files/0b1d1e19cab6d757366a36700f895ecca060303e705a8aece2f5fa486b6770da_be61eea0-f110-43df-83bb-ae00fb92f24c.jpg?v=1786611045</t>
        </is>
      </c>
      <c r="K18" s="2" t="inlineStr">
        <is>
          <t>The image row accurately describes the actual media at this gallery position.</t>
        </is>
      </c>
    </row>
    <row r="19" ht="84" customHeight="1">
      <c r="A19" s="3" t="inlineStr">
        <is>
          <t>ISSUE-0018</t>
        </is>
      </c>
      <c r="B19" s="3" t="inlineStr">
        <is>
          <t>jeminise.com+custom-soccer-ball-cleats-personalized-comforter-set-machine-washable</t>
        </is>
      </c>
      <c r="C19" s="3" t="inlineStr">
        <is>
          <t>img_5dc38200673bfb6e</t>
        </is>
      </c>
      <c r="D19" s="3" t="inlineStr">
        <is>
          <t>MINOR</t>
        </is>
      </c>
      <c r="E19" s="3" t="inlineStr">
        <is>
          <t>image observation</t>
        </is>
      </c>
      <c r="F19" s="3" t="inlineStr">
        <is>
          <t>Easy-care, size guide or product feature image for personalized soccer cleats comforter with Alexis number 07.</t>
        </is>
      </c>
      <c r="G19" s="3" t="inlineStr">
        <is>
          <t>Fresh image file: D:\Shopify_Workspace\jeminise_seo\seo_runs\jeminise.com\20260906_234129\qa\20260907_181100\images\102_06.jpg; source URL: https://cdn.shopify.com/s/files/1/0792/5098/1063/files/bdd70066a735fd65ca8f22b14e13e7e7d8f1a8473be945bbd71d518ab775916d.jpg?v=1786611045</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D:\Shopify_Workspace\jeminise_seo\seo_runs\jeminise.com\20260906_234129\qa\20260907_181100\images\102_06.jpg; source URL: https://cdn.shopify.com/s/files/1/0792/5098/1063/files/bdd70066a735fd65ca8f22b14e13e7e7d8f1a8473be945bbd71d518ab775916d.jpg?v=1786611045</t>
        </is>
      </c>
      <c r="K19" s="3" t="inlineStr">
        <is>
          <t>The image row accurately describes the actual media at this gallery position.</t>
        </is>
      </c>
    </row>
    <row r="20" ht="84" customHeight="1">
      <c r="A20" s="2" t="inlineStr">
        <is>
          <t>ISSUE-0019</t>
        </is>
      </c>
      <c r="B20" s="2" t="inlineStr">
        <is>
          <t>jeminise.com+custom-soccer-ball-cleats-personalized-comforter-set-machine-washable</t>
        </is>
      </c>
      <c r="C20" s="2" t="inlineStr">
        <is>
          <t>img_25e5c8858511081e</t>
        </is>
      </c>
      <c r="D20" s="2" t="inlineStr">
        <is>
          <t>MINOR</t>
        </is>
      </c>
      <c r="E20" s="2" t="inlineStr">
        <is>
          <t>image observation</t>
        </is>
      </c>
      <c r="F20" s="2" t="inlineStr">
        <is>
          <t>Additional lifestyle, feature or product detail image showing personalized soccer cleats comforter with Alexis number 07.</t>
        </is>
      </c>
      <c r="G20" s="2" t="inlineStr">
        <is>
          <t>Fresh image file: D:\Shopify_Workspace\jeminise_seo\seo_runs\jeminise.com\20260906_234129\qa\20260907_181100\images\102_07.jpg; source URL: https://cdn.shopify.com/s/files/1/0792/5098/1063/files/d761ea3ae4f4c0b26b7473177b21a616c5199552823ec637c64fe7b0d6b0f12f_112bfa92-667b-4b1e-b14e-46ce602ac9ea.jpg?v=1786611045</t>
        </is>
      </c>
      <c r="H20" s="2" t="inlineStr">
        <is>
          <t>Observation is generic or position-based; rewrite from the actual image content.</t>
        </is>
      </c>
      <c r="I20" s="2" t="inlineStr">
        <is>
          <t>Rewrite observation/alt from the directly opened image, naming the visible motif and use context.</t>
        </is>
      </c>
      <c r="J20" s="2" t="inlineStr">
        <is>
          <t>Fresh image file: D:\Shopify_Workspace\jeminise_seo\seo_runs\jeminise.com\20260906_234129\qa\20260907_181100\images\102_07.jpg; source URL: https://cdn.shopify.com/s/files/1/0792/5098/1063/files/d761ea3ae4f4c0b26b7473177b21a616c5199552823ec637c64fe7b0d6b0f12f_112bfa92-667b-4b1e-b14e-46ce602ac9ea.jpg?v=1786611045</t>
        </is>
      </c>
      <c r="K20" s="2" t="inlineStr">
        <is>
          <t>The image row accurately describes the actual media at this gallery position.</t>
        </is>
      </c>
    </row>
    <row r="21" ht="84" customHeight="1">
      <c r="A21" s="3" t="inlineStr">
        <is>
          <t>ISSUE-0020</t>
        </is>
      </c>
      <c r="B21" s="3" t="inlineStr">
        <is>
          <t>jeminise.com+custom-soccer-ball-cleats-personalized-comforter-set-machine-washable</t>
        </is>
      </c>
      <c r="C21" s="3" t="inlineStr">
        <is>
          <t>img_12ff4c5f6d084cc8</t>
        </is>
      </c>
      <c r="D21" s="3" t="inlineStr">
        <is>
          <t>MINOR</t>
        </is>
      </c>
      <c r="E21" s="3" t="inlineStr">
        <is>
          <t>image observation</t>
        </is>
      </c>
      <c r="F21" s="3" t="inlineStr">
        <is>
          <t>Additional lifestyle, feature or product detail image showing personalized soccer cleats comforter with Alexis number 07.</t>
        </is>
      </c>
      <c r="G21" s="3" t="inlineStr">
        <is>
          <t>Fresh image file: D:\Shopify_Workspace\jeminise_seo\seo_runs\jeminise.com\20260906_234129\qa\20260907_181100\images\102_08.jpg; source URL: https://cdn.shopify.com/s/files/1/0792/5098/1063/files/dd6b2f75d5d331064be3e2ace151f6872c3f1f67675d8c1c7fa00f207341180b_60f212b7-b79b-45e6-8e22-e0a6a0e3e447.jpg?v=1786611045</t>
        </is>
      </c>
      <c r="H21" s="3" t="inlineStr">
        <is>
          <t>Observation is generic or position-based; rewrite from the actual image content.</t>
        </is>
      </c>
      <c r="I21" s="3" t="inlineStr">
        <is>
          <t>Rewrite observation/alt from the directly opened image, naming the visible motif and use context.</t>
        </is>
      </c>
      <c r="J21" s="3" t="inlineStr">
        <is>
          <t>Fresh image file: D:\Shopify_Workspace\jeminise_seo\seo_runs\jeminise.com\20260906_234129\qa\20260907_181100\images\102_08.jpg; source URL: https://cdn.shopify.com/s/files/1/0792/5098/1063/files/dd6b2f75d5d331064be3e2ace151f6872c3f1f67675d8c1c7fa00f207341180b_60f212b7-b79b-45e6-8e22-e0a6a0e3e447.jpg?v=1786611045</t>
        </is>
      </c>
      <c r="K21" s="3" t="inlineStr">
        <is>
          <t>The image row accurately describes the actual media at this gallery position.</t>
        </is>
      </c>
    </row>
    <row r="22" ht="84" customHeight="1">
      <c r="A22" s="2" t="inlineStr">
        <is>
          <t>ISSUE-0021</t>
        </is>
      </c>
      <c r="B22" s="2" t="inlineStr">
        <is>
          <t>jeminise.com+custom-soccer-ball-goal-net-comforter-set-machine-washabl-design-13</t>
        </is>
      </c>
      <c r="C22" s="2" t="inlineStr"/>
      <c r="D22" s="2" t="inlineStr">
        <is>
          <t>CRITICAL</t>
        </is>
      </c>
      <c r="E22" s="2" t="inlineStr">
        <is>
          <t>personalization/customizer</t>
        </is>
      </c>
      <c r="F22" s="2"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t>
        </is>
      </c>
      <c r="G22" s="2" t="inlineStr">
        <is>
          <t>Draft claims name, number personalization but static customizer config does not expose matching input(s).</t>
        </is>
      </c>
      <c r="H22" s="2" t="inlineStr">
        <is>
          <t>Claim is materially unsafe until the live purchase flow exposes matching input controls.</t>
        </is>
      </c>
      <c r="I22" s="2" t="inlineStr">
        <is>
          <t>Remove/soften unsupported personalization claim, or provide admin/live proof that matching controls work.</t>
        </is>
      </c>
      <c r="J22" s="2" t="inlineStr">
        <is>
          <t>Draft claims name, number personalization but static customizer config does not expose matching input(s).</t>
        </is>
      </c>
      <c r="K22" s="2" t="inlineStr">
        <is>
          <t>Re-open live product and verify the exact name/number/photo input is present and mapped to fulfillment.</t>
        </is>
      </c>
    </row>
    <row r="23" ht="84" customHeight="1">
      <c r="A23" s="3" t="inlineStr">
        <is>
          <t>ISSUE-0022</t>
        </is>
      </c>
      <c r="B23" s="3" t="inlineStr">
        <is>
          <t>jeminise.com+custom-soccer-ball-goal-net-comforter-set-machine-washabl-design-13</t>
        </is>
      </c>
      <c r="C23" s="3" t="inlineStr"/>
      <c r="D23" s="3" t="inlineStr">
        <is>
          <t>MAJOR</t>
        </is>
      </c>
      <c r="E23" s="3" t="inlineStr">
        <is>
          <t>description_proposed_html</t>
        </is>
      </c>
      <c r="F23" s="3"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t>
        </is>
      </c>
      <c r="G23" s="3" t="inlineStr">
        <is>
          <t>Draft contains SEO Use / QA approval wording.</t>
        </is>
      </c>
      <c r="H23" s="3" t="inlineStr">
        <is>
          <t>Internal workflow language is not publish-ready storefront copy.</t>
        </is>
      </c>
      <c r="I23" s="3" t="inlineStr">
        <is>
          <t>Remove internal QA/import block and replace with customer-facing verified copy.</t>
        </is>
      </c>
      <c r="J23" s="3" t="inlineStr">
        <is>
          <t>Draft contains SEO Use / QA approval wording.</t>
        </is>
      </c>
      <c r="K23" s="3" t="inlineStr">
        <is>
          <t>Description HTML no longer contains SEO Use, QA, approval, import or draft language.</t>
        </is>
      </c>
    </row>
    <row r="24" ht="84" customHeight="1">
      <c r="A24" s="2" t="inlineStr">
        <is>
          <t>ISSUE-0023</t>
        </is>
      </c>
      <c r="B24" s="2" t="inlineStr">
        <is>
          <t>jeminise.com+custom-soccer-ball-goal-net-comforter-set-machine-washabl-design-13</t>
        </is>
      </c>
      <c r="C24" s="2" t="inlineStr"/>
      <c r="D24" s="2" t="inlineStr">
        <is>
          <t>MAJOR</t>
        </is>
      </c>
      <c r="E24" s="2" t="inlineStr">
        <is>
          <t>keyword_map</t>
        </is>
      </c>
      <c r="F24" s="2" t="inlineStr">
        <is>
          <t>soccer goal net comforter</t>
        </is>
      </c>
      <c r="G24" s="2" t="inlineStr">
        <is>
          <t>https://www.amazon.com/; https://www.pinterest.com/; https://www.authenticsoccer.com/; https://www.amazon.com/; https://www.pinterest.com/; https://www.authenticsoccer.com/</t>
        </is>
      </c>
      <c r="H24" s="2" t="inlineStr">
        <is>
          <t>Batch cluster contains several very similar products, so keyword/intent differentiation must be sharper.</t>
        </is>
      </c>
      <c r="I24" s="2" t="inlineStr">
        <is>
          <t>Add unique visible motif modifiers and avoid assigning the same generic product keyword to multiple URLs.</t>
        </is>
      </c>
      <c r="J24" s="2" t="inlineStr">
        <is>
          <t>https://www.amazon.com/; https://www.pinterest.com/; https://www.authenticsoccer.com/; https://www.amazon.com/; https://www.pinterest.com/; https://www.authenticsoccer.com/</t>
        </is>
      </c>
      <c r="K24" s="2" t="inlineStr">
        <is>
          <t>SERP notes and title/meta show a distinct product-level query for this exact design.</t>
        </is>
      </c>
    </row>
    <row r="25" ht="84" customHeight="1">
      <c r="A25" s="3" t="inlineStr">
        <is>
          <t>ISSUE-0024</t>
        </is>
      </c>
      <c r="B25" s="3" t="inlineStr">
        <is>
          <t>jeminise.com+custom-soccer-ball-goal-net-comforter-set-machine-washabl-design-13</t>
        </is>
      </c>
      <c r="C25" s="3" t="inlineStr"/>
      <c r="D25" s="3" t="inlineStr">
        <is>
          <t>LIMITATION</t>
        </is>
      </c>
      <c r="E25" s="3" t="inlineStr">
        <is>
          <t>keyword_evidence_level</t>
        </is>
      </c>
      <c r="F25" s="3" t="inlineStr">
        <is>
          <t>SERP_ONLY</t>
        </is>
      </c>
      <c r="G25" s="3" t="inlineStr">
        <is>
          <t>Only public SERP comparables are available.</t>
        </is>
      </c>
      <c r="H25" s="3" t="inlineStr">
        <is>
          <t>No Search Console, paid keyword volume or internal site search export was supplied.</t>
        </is>
      </c>
      <c r="I25" s="3" t="inlineStr">
        <is>
          <t>Keep demand statements qualitative; do not claim volume or ranking potential.</t>
        </is>
      </c>
      <c r="J25" s="3" t="inlineStr">
        <is>
          <t>Only public SERP comparables are available.</t>
        </is>
      </c>
      <c r="K25" s="3" t="inlineStr">
        <is>
          <t>Additional first-party or paid keyword evidence is attached, or limitation remains documented.</t>
        </is>
      </c>
    </row>
    <row r="26" ht="84" customHeight="1">
      <c r="A26" s="2" t="inlineStr">
        <is>
          <t>ISSUE-0025</t>
        </is>
      </c>
      <c r="B26" s="2" t="inlineStr">
        <is>
          <t>jeminise.com+custom-soccer-ball-goal-net-comforter-set-machine-washabl-design-13</t>
        </is>
      </c>
      <c r="C26" s="2" t="inlineStr">
        <is>
          <t>img_f4ea5a7d6cad4cb7</t>
        </is>
      </c>
      <c r="D26" s="2" t="inlineStr">
        <is>
          <t>MINOR</t>
        </is>
      </c>
      <c r="E26" s="2" t="inlineStr">
        <is>
          <t>alt text</t>
        </is>
      </c>
      <c r="F26" s="2" t="inlineStr">
        <is>
          <t>Personalized Soccer Goal Net Comforter displayed in a main product mockup</t>
        </is>
      </c>
      <c r="G26" s="2" t="inlineStr">
        <is>
          <t>Fresh image file: D:\Shopify_Workspace\jeminise_seo\seo_runs\jeminise.com\20260906_234129\qa\20260907_181100\images\103_01.jpg; source URL: https://cdn.shopify.com/s/files/1/0792/5098/1063/files/e40fbf151dd4e744c6057704570d5d6266da44452209f9c566b1d299ec7ec161.jpg?v=1786610997</t>
        </is>
      </c>
      <c r="H26" s="2" t="inlineStr">
        <is>
          <t>Alt text is too generic or describes placement more than visible content.</t>
        </is>
      </c>
      <c r="I26" s="2" t="inlineStr">
        <is>
          <t>Rewrite observation/alt from the directly opened image, naming the visible motif and use context.</t>
        </is>
      </c>
      <c r="J26" s="2" t="inlineStr">
        <is>
          <t>Fresh image file: D:\Shopify_Workspace\jeminise_seo\seo_runs\jeminise.com\20260906_234129\qa\20260907_181100\images\103_01.jpg; source URL: https://cdn.shopify.com/s/files/1/0792/5098/1063/files/e40fbf151dd4e744c6057704570d5d6266da44452209f9c566b1d299ec7ec161.jpg?v=1786610997</t>
        </is>
      </c>
      <c r="K26" s="2" t="inlineStr">
        <is>
          <t>The image row accurately describes the actual media at this gallery position.</t>
        </is>
      </c>
    </row>
    <row r="27" ht="84" customHeight="1">
      <c r="A27" s="3" t="inlineStr">
        <is>
          <t>ISSUE-0026</t>
        </is>
      </c>
      <c r="B27" s="3" t="inlineStr">
        <is>
          <t>jeminise.com+custom-soccer-ball-goal-net-comforter-set-machine-washabl-design-13</t>
        </is>
      </c>
      <c r="C27" s="3" t="inlineStr">
        <is>
          <t>img_d3ace3e309d3ea3c</t>
        </is>
      </c>
      <c r="D27" s="3" t="inlineStr">
        <is>
          <t>MINOR</t>
        </is>
      </c>
      <c r="E27" s="3" t="inlineStr">
        <is>
          <t>image observation</t>
        </is>
      </c>
      <c r="F27" s="3" t="inlineStr">
        <is>
          <t>Bedding type, feature, lifestyle or material image for personalized soccer goal net comforter with Matthew number 15.</t>
        </is>
      </c>
      <c r="G27" s="3" t="inlineStr">
        <is>
          <t>Fresh image file: D:\Shopify_Workspace\jeminise_seo\seo_runs\jeminise.com\20260906_234129\qa\20260907_181100\images\103_03.jpg; source URL: https://cdn.shopify.com/s/files/1/0792/5098/1063/files/f97a7dd8f82a6d24e5f9be7db591aec54c2e0b2b4fc0b12240776533166c536d.jpg?v=1786610997</t>
        </is>
      </c>
      <c r="H27" s="3" t="inlineStr">
        <is>
          <t>Observation is generic or position-based; rewrite from the actual image content.</t>
        </is>
      </c>
      <c r="I27" s="3" t="inlineStr">
        <is>
          <t>Rewrite observation/alt from the directly opened image, naming the visible motif and use context.</t>
        </is>
      </c>
      <c r="J27" s="3" t="inlineStr">
        <is>
          <t>Fresh image file: D:\Shopify_Workspace\jeminise_seo\seo_runs\jeminise.com\20260906_234129\qa\20260907_181100\images\103_03.jpg; source URL: https://cdn.shopify.com/s/files/1/0792/5098/1063/files/f97a7dd8f82a6d24e5f9be7db591aec54c2e0b2b4fc0b12240776533166c536d.jpg?v=1786610997</t>
        </is>
      </c>
      <c r="K27" s="3" t="inlineStr">
        <is>
          <t>The image row accurately describes the actual media at this gallery position.</t>
        </is>
      </c>
    </row>
    <row r="28" ht="84" customHeight="1">
      <c r="A28" s="2" t="inlineStr">
        <is>
          <t>ISSUE-0027</t>
        </is>
      </c>
      <c r="B28" s="2" t="inlineStr">
        <is>
          <t>jeminise.com+custom-soccer-ball-goal-net-comforter-set-machine-washabl-design-13</t>
        </is>
      </c>
      <c r="C28" s="2" t="inlineStr">
        <is>
          <t>img_a514d1891f6f0354</t>
        </is>
      </c>
      <c r="D28" s="2" t="inlineStr">
        <is>
          <t>MINOR</t>
        </is>
      </c>
      <c r="E28" s="2" t="inlineStr">
        <is>
          <t>image observation</t>
        </is>
      </c>
      <c r="F28" s="2" t="inlineStr">
        <is>
          <t>Detail, feature panel or lifestyle image connected to personalized soccer goal net comforter with Matthew number 15.</t>
        </is>
      </c>
      <c r="G28" s="2" t="inlineStr">
        <is>
          <t>Fresh image file: D:\Shopify_Workspace\jeminise_seo\seo_runs\jeminise.com\20260906_234129\qa\20260907_181100\images\103_04.jpg; source URL: https://cdn.shopify.com/s/files/1/0792/5098/1063/files/0b1d1e19cab6d757366a36700f895ecca060303e705a8aece2f5fa486b6770da_15525c0b-4f16-4d00-b2cf-d9086002e031.jpg?v=1786610997</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D:\Shopify_Workspace\jeminise_seo\seo_runs\jeminise.com\20260906_234129\qa\20260907_181100\images\103_04.jpg; source URL: https://cdn.shopify.com/s/files/1/0792/5098/1063/files/0b1d1e19cab6d757366a36700f895ecca060303e705a8aece2f5fa486b6770da_15525c0b-4f16-4d00-b2cf-d9086002e031.jpg?v=1786610997</t>
        </is>
      </c>
      <c r="K28" s="2" t="inlineStr">
        <is>
          <t>The image row accurately describes the actual media at this gallery position.</t>
        </is>
      </c>
    </row>
    <row r="29" ht="84" customHeight="1">
      <c r="A29" s="3" t="inlineStr">
        <is>
          <t>ISSUE-0028</t>
        </is>
      </c>
      <c r="B29" s="3" t="inlineStr">
        <is>
          <t>jeminise.com+custom-soccer-ball-goal-net-comforter-set-machine-washabl-design-13</t>
        </is>
      </c>
      <c r="C29" s="3" t="inlineStr">
        <is>
          <t>img_d6f1447cdc90826c</t>
        </is>
      </c>
      <c r="D29" s="3" t="inlineStr">
        <is>
          <t>MINOR</t>
        </is>
      </c>
      <c r="E29" s="3" t="inlineStr">
        <is>
          <t>image observation</t>
        </is>
      </c>
      <c r="F29" s="3" t="inlineStr">
        <is>
          <t>Easy-care, size guide or product feature image for personalized soccer goal net comforter with Matthew number 15.</t>
        </is>
      </c>
      <c r="G29" s="3" t="inlineStr">
        <is>
          <t>Fresh image file: D:\Shopify_Workspace\jeminise_seo\seo_runs\jeminise.com\20260906_234129\qa\20260907_181100\images\103_06.jpg; source URL: https://cdn.shopify.com/s/files/1/0792/5098/1063/files/5e5e8c6c659c3bbc094017cc64ad1f11d843f6684d630e8ec7ab0e203fb80666.jpg?v=1786610997</t>
        </is>
      </c>
      <c r="H29" s="3" t="inlineStr">
        <is>
          <t>Observation is generic or position-based; rewrite from the actual image content.</t>
        </is>
      </c>
      <c r="I29" s="3" t="inlineStr">
        <is>
          <t>Rewrite observation/alt from the directly opened image, naming the visible motif and use context.</t>
        </is>
      </c>
      <c r="J29" s="3" t="inlineStr">
        <is>
          <t>Fresh image file: D:\Shopify_Workspace\jeminise_seo\seo_runs\jeminise.com\20260906_234129\qa\20260907_181100\images\103_06.jpg; source URL: https://cdn.shopify.com/s/files/1/0792/5098/1063/files/5e5e8c6c659c3bbc094017cc64ad1f11d843f6684d630e8ec7ab0e203fb80666.jpg?v=1786610997</t>
        </is>
      </c>
      <c r="K29" s="3" t="inlineStr">
        <is>
          <t>The image row accurately describes the actual media at this gallery position.</t>
        </is>
      </c>
    </row>
    <row r="30" ht="84" customHeight="1">
      <c r="A30" s="2" t="inlineStr">
        <is>
          <t>ISSUE-0029</t>
        </is>
      </c>
      <c r="B30" s="2" t="inlineStr">
        <is>
          <t>jeminise.com+custom-soccer-ball-goal-net-comforter-set-machine-washabl-design-13</t>
        </is>
      </c>
      <c r="C30" s="2" t="inlineStr">
        <is>
          <t>img_c7940b3c907ea7cc</t>
        </is>
      </c>
      <c r="D30" s="2" t="inlineStr">
        <is>
          <t>MINOR</t>
        </is>
      </c>
      <c r="E30" s="2" t="inlineStr">
        <is>
          <t>image observation</t>
        </is>
      </c>
      <c r="F30" s="2" t="inlineStr">
        <is>
          <t>Additional lifestyle, feature or product detail image showing personalized soccer goal net comforter with Matthew number 15.</t>
        </is>
      </c>
      <c r="G30" s="2" t="inlineStr">
        <is>
          <t>Fresh image file: D:\Shopify_Workspace\jeminise_seo\seo_runs\jeminise.com\20260906_234129\qa\20260907_181100\images\103_07.jpg; source URL: https://cdn.shopify.com/s/files/1/0792/5098/1063/files/569ca20f02dd45e1e5ebb32a75c34b1495da6793e5f1a6fc3ad8bb882275d389.jpg?v=1786610997</t>
        </is>
      </c>
      <c r="H30" s="2" t="inlineStr">
        <is>
          <t>Observation is generic or position-based; rewrite from the actual image content.</t>
        </is>
      </c>
      <c r="I30" s="2" t="inlineStr">
        <is>
          <t>Rewrite observation/alt from the directly opened image, naming the visible motif and use context.</t>
        </is>
      </c>
      <c r="J30" s="2" t="inlineStr">
        <is>
          <t>Fresh image file: D:\Shopify_Workspace\jeminise_seo\seo_runs\jeminise.com\20260906_234129\qa\20260907_181100\images\103_07.jpg; source URL: https://cdn.shopify.com/s/files/1/0792/5098/1063/files/569ca20f02dd45e1e5ebb32a75c34b1495da6793e5f1a6fc3ad8bb882275d389.jpg?v=1786610997</t>
        </is>
      </c>
      <c r="K30" s="2" t="inlineStr">
        <is>
          <t>The image row accurately describes the actual media at this gallery position.</t>
        </is>
      </c>
    </row>
    <row r="31" ht="84" customHeight="1">
      <c r="A31" s="3" t="inlineStr">
        <is>
          <t>ISSUE-0030</t>
        </is>
      </c>
      <c r="B31" s="3" t="inlineStr">
        <is>
          <t>jeminise.com+custom-soccer-ball-goal-net-comforter-set-machine-washabl-design-13</t>
        </is>
      </c>
      <c r="C31" s="3" t="inlineStr">
        <is>
          <t>img_a2343f865ac732ab</t>
        </is>
      </c>
      <c r="D31" s="3" t="inlineStr">
        <is>
          <t>MINOR</t>
        </is>
      </c>
      <c r="E31" s="3" t="inlineStr">
        <is>
          <t>image observation</t>
        </is>
      </c>
      <c r="F31" s="3" t="inlineStr">
        <is>
          <t>Additional lifestyle, feature or product detail image showing personalized soccer goal net comforter with Matthew number 15.</t>
        </is>
      </c>
      <c r="G31" s="3" t="inlineStr">
        <is>
          <t>Fresh image file: D:\Shopify_Workspace\jeminise_seo\seo_runs\jeminise.com\20260906_234129\qa\20260907_181100\images\103_08.jpg; source URL: https://cdn.shopify.com/s/files/1/0792/5098/1063/files/dd6b2f75d5d331064be3e2ace151f6872c3f1f67675d8c1c7fa00f207341180b_032fc95e-87be-4f21-94db-1aed6ba6a2f4.jpg?v=1786610997</t>
        </is>
      </c>
      <c r="H31" s="3" t="inlineStr">
        <is>
          <t>Observation is generic or position-based; rewrite from the actual image content.</t>
        </is>
      </c>
      <c r="I31" s="3" t="inlineStr">
        <is>
          <t>Rewrite observation/alt from the directly opened image, naming the visible motif and use context.</t>
        </is>
      </c>
      <c r="J31" s="3" t="inlineStr">
        <is>
          <t>Fresh image file: D:\Shopify_Workspace\jeminise_seo\seo_runs\jeminise.com\20260906_234129\qa\20260907_181100\images\103_08.jpg; source URL: https://cdn.shopify.com/s/files/1/0792/5098/1063/files/dd6b2f75d5d331064be3e2ace151f6872c3f1f67675d8c1c7fa00f207341180b_032fc95e-87be-4f21-94db-1aed6ba6a2f4.jpg?v=1786610997</t>
        </is>
      </c>
      <c r="K31" s="3" t="inlineStr">
        <is>
          <t>The image row accurately describes the actual media at this gallery position.</t>
        </is>
      </c>
    </row>
    <row r="32" ht="84" customHeight="1">
      <c r="A32" s="2" t="inlineStr">
        <is>
          <t>ISSUE-0031</t>
        </is>
      </c>
      <c r="B32" s="2" t="inlineStr">
        <is>
          <t>jeminise.com+custom-soccer-ball-goal-personalized-bedding-comforter-set-a4</t>
        </is>
      </c>
      <c r="C32" s="2" t="inlineStr"/>
      <c r="D32" s="2" t="inlineStr">
        <is>
          <t>CRITICAL</t>
        </is>
      </c>
      <c r="E32" s="2" t="inlineStr">
        <is>
          <t>personalization/customizer</t>
        </is>
      </c>
      <c r="F32" s="2"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t>
        </is>
      </c>
      <c r="G32" s="2" t="inlineStr">
        <is>
          <t>Draft claims name, number personalization but static customizer config does not expose matching input(s).</t>
        </is>
      </c>
      <c r="H32" s="2" t="inlineStr">
        <is>
          <t>Claim is materially unsafe until the live purchase flow exposes matching input controls.</t>
        </is>
      </c>
      <c r="I32" s="2" t="inlineStr">
        <is>
          <t>Remove/soften unsupported personalization claim, or provide admin/live proof that matching controls work.</t>
        </is>
      </c>
      <c r="J32" s="2" t="inlineStr">
        <is>
          <t>Draft claims name, number personalization but static customizer config does not expose matching input(s).</t>
        </is>
      </c>
      <c r="K32" s="2" t="inlineStr">
        <is>
          <t>Re-open live product and verify the exact name/number/photo input is present and mapped to fulfillment.</t>
        </is>
      </c>
    </row>
    <row r="33" ht="84" customHeight="1">
      <c r="A33" s="3" t="inlineStr">
        <is>
          <t>ISSUE-0032</t>
        </is>
      </c>
      <c r="B33" s="3" t="inlineStr">
        <is>
          <t>jeminise.com+custom-soccer-ball-goal-personalized-bedding-comforter-set-a4</t>
        </is>
      </c>
      <c r="C33" s="3" t="inlineStr"/>
      <c r="D33" s="3" t="inlineStr">
        <is>
          <t>MAJOR</t>
        </is>
      </c>
      <c r="E33" s="3" t="inlineStr">
        <is>
          <t>description_proposed_html</t>
        </is>
      </c>
      <c r="F33" s="3"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t>
        </is>
      </c>
      <c r="G33" s="3" t="inlineStr">
        <is>
          <t>Draft contains SEO Use / QA approval wording.</t>
        </is>
      </c>
      <c r="H33" s="3" t="inlineStr">
        <is>
          <t>Internal workflow language is not publish-ready storefront copy.</t>
        </is>
      </c>
      <c r="I33" s="3" t="inlineStr">
        <is>
          <t>Remove internal QA/import block and replace with customer-facing verified copy.</t>
        </is>
      </c>
      <c r="J33" s="3" t="inlineStr">
        <is>
          <t>Draft contains SEO Use / QA approval wording.</t>
        </is>
      </c>
      <c r="K33" s="3" t="inlineStr">
        <is>
          <t>Description HTML no longer contains SEO Use, QA, approval, import or draft language.</t>
        </is>
      </c>
    </row>
    <row r="34" ht="84" customHeight="1">
      <c r="A34" s="2" t="inlineStr">
        <is>
          <t>ISSUE-0033</t>
        </is>
      </c>
      <c r="B34" s="2" t="inlineStr">
        <is>
          <t>jeminise.com+custom-soccer-ball-goal-personalized-bedding-comforter-set-a4</t>
        </is>
      </c>
      <c r="C34" s="2" t="inlineStr"/>
      <c r="D34" s="2" t="inlineStr">
        <is>
          <t>MINOR</t>
        </is>
      </c>
      <c r="E34" s="2" t="inlineStr">
        <is>
          <t>meta_description_seo</t>
        </is>
      </c>
      <c r="F34" s="2" t="inlineStr">
        <is>
          <t>Shop a comforter set featuring blue and white soccer ball goal/net artwork with Kenzo name and number 10. Review size and personalization options before checkout.</t>
        </is>
      </c>
      <c r="G34" s="2" t="inlineStr">
        <is>
          <t>Meta description length is 162 characters.</t>
        </is>
      </c>
      <c r="H34" s="2" t="inlineStr">
        <is>
          <t>Likely to truncate in search results and repeats review/personality wording in several rows.</t>
        </is>
      </c>
      <c r="I34" s="2" t="inlineStr">
        <is>
          <t>Rewrite to roughly 145-155 characters while preserving verified design and product type.</t>
        </is>
      </c>
      <c r="J34" s="2" t="inlineStr">
        <is>
          <t>Meta description length is 162 characters.</t>
        </is>
      </c>
      <c r="K34" s="2" t="inlineStr">
        <is>
          <t>Length check &lt;=160 characters and no unsupported claim remains.</t>
        </is>
      </c>
    </row>
    <row r="35" ht="84" customHeight="1">
      <c r="A35" s="3" t="inlineStr">
        <is>
          <t>ISSUE-0034</t>
        </is>
      </c>
      <c r="B35" s="3" t="inlineStr">
        <is>
          <t>jeminise.com+custom-soccer-ball-goal-personalized-bedding-comforter-set-a4</t>
        </is>
      </c>
      <c r="C35" s="3" t="inlineStr"/>
      <c r="D35" s="3" t="inlineStr">
        <is>
          <t>MAJOR</t>
        </is>
      </c>
      <c r="E35" s="3" t="inlineStr">
        <is>
          <t>keyword_map</t>
        </is>
      </c>
      <c r="F35" s="3" t="inlineStr">
        <is>
          <t>personalized soccer goal comforter</t>
        </is>
      </c>
      <c r="G35" s="3" t="inlineStr">
        <is>
          <t>https://www.amazon.com/; https://www.pinterest.com/; https://www.authenticsoccer.com/; https://www.amazon.com/; https://www.pinterest.com/; https://www.authenticsoccer.com/</t>
        </is>
      </c>
      <c r="H35" s="3" t="inlineStr">
        <is>
          <t>Batch cluster contains several very similar products, so keyword/intent differentiation must be sharper.</t>
        </is>
      </c>
      <c r="I35" s="3" t="inlineStr">
        <is>
          <t>Add unique visible motif modifiers and avoid assigning the same generic product keyword to multiple URLs.</t>
        </is>
      </c>
      <c r="J35" s="3" t="inlineStr">
        <is>
          <t>https://www.amazon.com/; https://www.pinterest.com/; https://www.authenticsoccer.com/; https://www.amazon.com/; https://www.pinterest.com/; https://www.authenticsoccer.com/</t>
        </is>
      </c>
      <c r="K35" s="3" t="inlineStr">
        <is>
          <t>SERP notes and title/meta show a distinct product-level query for this exact design.</t>
        </is>
      </c>
    </row>
    <row r="36" ht="84" customHeight="1">
      <c r="A36" s="2" t="inlineStr">
        <is>
          <t>ISSUE-0035</t>
        </is>
      </c>
      <c r="B36" s="2" t="inlineStr">
        <is>
          <t>jeminise.com+custom-soccer-ball-goal-personalized-bedding-comforter-set-a4</t>
        </is>
      </c>
      <c r="C36" s="2" t="inlineStr"/>
      <c r="D36" s="2" t="inlineStr">
        <is>
          <t>LIMITATION</t>
        </is>
      </c>
      <c r="E36" s="2" t="inlineStr">
        <is>
          <t>keyword_evidence_level</t>
        </is>
      </c>
      <c r="F36" s="2" t="inlineStr">
        <is>
          <t>SERP_ONLY</t>
        </is>
      </c>
      <c r="G36" s="2" t="inlineStr">
        <is>
          <t>Only public SERP comparables are available.</t>
        </is>
      </c>
      <c r="H36" s="2" t="inlineStr">
        <is>
          <t>No Search Console, paid keyword volume or internal site search export was supplied.</t>
        </is>
      </c>
      <c r="I36" s="2" t="inlineStr">
        <is>
          <t>Keep demand statements qualitative; do not claim volume or ranking potential.</t>
        </is>
      </c>
      <c r="J36" s="2" t="inlineStr">
        <is>
          <t>Only public SERP comparables are available.</t>
        </is>
      </c>
      <c r="K36" s="2" t="inlineStr">
        <is>
          <t>Additional first-party or paid keyword evidence is attached, or limitation remains documented.</t>
        </is>
      </c>
    </row>
    <row r="37" ht="84" customHeight="1">
      <c r="A37" s="3" t="inlineStr">
        <is>
          <t>ISSUE-0036</t>
        </is>
      </c>
      <c r="B37" s="3" t="inlineStr">
        <is>
          <t>jeminise.com+custom-soccer-ball-goal-personalized-bedding-comforter-set-a4</t>
        </is>
      </c>
      <c r="C37" s="3" t="inlineStr">
        <is>
          <t>img_658c421eb57202e7</t>
        </is>
      </c>
      <c r="D37" s="3" t="inlineStr">
        <is>
          <t>MINOR</t>
        </is>
      </c>
      <c r="E37" s="3" t="inlineStr">
        <is>
          <t>alt text</t>
        </is>
      </c>
      <c r="F37" s="3" t="inlineStr">
        <is>
          <t>Personalized Soccer Goal Comforter displayed in a main product mockup</t>
        </is>
      </c>
      <c r="G37" s="3" t="inlineStr">
        <is>
          <t>Fresh image file: D:\Shopify_Workspace\jeminise_seo\seo_runs\jeminise.com\20260906_234129\qa\20260907_181100\images\104_01.jpg; source URL: https://cdn.shopify.com/s/files/1/0792/5098/1063/files/c8002c1036e987b59bab3d14d64dda24c6dd83936cf1089df50345790d2ab310.jpg?v=1786610956</t>
        </is>
      </c>
      <c r="H37" s="3" t="inlineStr">
        <is>
          <t>Alt text is too generic or describes placement more than visible content.</t>
        </is>
      </c>
      <c r="I37" s="3" t="inlineStr">
        <is>
          <t>Rewrite observation/alt from the directly opened image, naming the visible motif and use context.</t>
        </is>
      </c>
      <c r="J37" s="3" t="inlineStr">
        <is>
          <t>Fresh image file: D:\Shopify_Workspace\jeminise_seo\seo_runs\jeminise.com\20260906_234129\qa\20260907_181100\images\104_01.jpg; source URL: https://cdn.shopify.com/s/files/1/0792/5098/1063/files/c8002c1036e987b59bab3d14d64dda24c6dd83936cf1089df50345790d2ab310.jpg?v=1786610956</t>
        </is>
      </c>
      <c r="K37" s="3" t="inlineStr">
        <is>
          <t>The image row accurately describes the actual media at this gallery position.</t>
        </is>
      </c>
    </row>
    <row r="38" ht="84" customHeight="1">
      <c r="A38" s="2" t="inlineStr">
        <is>
          <t>ISSUE-0037</t>
        </is>
      </c>
      <c r="B38" s="2" t="inlineStr">
        <is>
          <t>jeminise.com+custom-soccer-ball-goal-personalized-bedding-comforter-set-a4</t>
        </is>
      </c>
      <c r="C38" s="2" t="inlineStr">
        <is>
          <t>img_f14397b949e634f6</t>
        </is>
      </c>
      <c r="D38" s="2" t="inlineStr">
        <is>
          <t>MINOR</t>
        </is>
      </c>
      <c r="E38" s="2" t="inlineStr">
        <is>
          <t>image observation</t>
        </is>
      </c>
      <c r="F38" s="2" t="inlineStr">
        <is>
          <t>Bedding type, feature, lifestyle or material image for personalized soccer goal comforter with Kenzo number 10.</t>
        </is>
      </c>
      <c r="G38" s="2" t="inlineStr">
        <is>
          <t>Fresh image file: D:\Shopify_Workspace\jeminise_seo\seo_runs\jeminise.com\20260906_234129\qa\20260907_181100\images\104_03.jpg; source URL: https://cdn.shopify.com/s/files/1/0792/5098/1063/files/627f0c01c4f3364f98ac4ff820fb9d697a7fe3d1c6e2c06735cc8a0f4a203ec4.jpg?v=1786610956</t>
        </is>
      </c>
      <c r="H38" s="2" t="inlineStr">
        <is>
          <t>Observation is generic or position-based; rewrite from the actual image content.</t>
        </is>
      </c>
      <c r="I38" s="2" t="inlineStr">
        <is>
          <t>Rewrite observation/alt from the directly opened image, naming the visible motif and use context.</t>
        </is>
      </c>
      <c r="J38" s="2" t="inlineStr">
        <is>
          <t>Fresh image file: D:\Shopify_Workspace\jeminise_seo\seo_runs\jeminise.com\20260906_234129\qa\20260907_181100\images\104_03.jpg; source URL: https://cdn.shopify.com/s/files/1/0792/5098/1063/files/627f0c01c4f3364f98ac4ff820fb9d697a7fe3d1c6e2c06735cc8a0f4a203ec4.jpg?v=1786610956</t>
        </is>
      </c>
      <c r="K38" s="2" t="inlineStr">
        <is>
          <t>The image row accurately describes the actual media at this gallery position.</t>
        </is>
      </c>
    </row>
    <row r="39" ht="84" customHeight="1">
      <c r="A39" s="3" t="inlineStr">
        <is>
          <t>ISSUE-0038</t>
        </is>
      </c>
      <c r="B39" s="3" t="inlineStr">
        <is>
          <t>jeminise.com+custom-soccer-ball-goal-personalized-bedding-comforter-set-a4</t>
        </is>
      </c>
      <c r="C39" s="3" t="inlineStr">
        <is>
          <t>img_7ece54459de76130</t>
        </is>
      </c>
      <c r="D39" s="3" t="inlineStr">
        <is>
          <t>MINOR</t>
        </is>
      </c>
      <c r="E39" s="3" t="inlineStr">
        <is>
          <t>image observation</t>
        </is>
      </c>
      <c r="F39" s="3" t="inlineStr">
        <is>
          <t>Detail, feature panel or lifestyle image connected to personalized soccer goal comforter with Kenzo number 10.</t>
        </is>
      </c>
      <c r="G39" s="3" t="inlineStr">
        <is>
          <t>Fresh image file: D:\Shopify_Workspace\jeminise_seo\seo_runs\jeminise.com\20260906_234129\qa\20260907_181100\images\104_04.jpg; source URL: https://cdn.shopify.com/s/files/1/0792/5098/1063/files/a65a6b587bf08ed6016241cc5d9b5248124a63cc6dbd58587fb9a31a5dedaa90.jpg?v=1786610956</t>
        </is>
      </c>
      <c r="H39" s="3" t="inlineStr">
        <is>
          <t>Observation is generic or position-based; rewrite from the actual image content.</t>
        </is>
      </c>
      <c r="I39" s="3" t="inlineStr">
        <is>
          <t>Rewrite observation/alt from the directly opened image, naming the visible motif and use context.</t>
        </is>
      </c>
      <c r="J39" s="3" t="inlineStr">
        <is>
          <t>Fresh image file: D:\Shopify_Workspace\jeminise_seo\seo_runs\jeminise.com\20260906_234129\qa\20260907_181100\images\104_04.jpg; source URL: https://cdn.shopify.com/s/files/1/0792/5098/1063/files/a65a6b587bf08ed6016241cc5d9b5248124a63cc6dbd58587fb9a31a5dedaa90.jpg?v=1786610956</t>
        </is>
      </c>
      <c r="K39" s="3" t="inlineStr">
        <is>
          <t>The image row accurately describes the actual media at this gallery position.</t>
        </is>
      </c>
    </row>
    <row r="40" ht="84" customHeight="1">
      <c r="A40" s="2" t="inlineStr">
        <is>
          <t>ISSUE-0039</t>
        </is>
      </c>
      <c r="B40" s="2" t="inlineStr">
        <is>
          <t>jeminise.com+custom-soccer-ball-goal-personalized-bedding-comforter-set-a4</t>
        </is>
      </c>
      <c r="C40" s="2" t="inlineStr">
        <is>
          <t>img_34b79af15a200b17</t>
        </is>
      </c>
      <c r="D40" s="2" t="inlineStr">
        <is>
          <t>MINOR</t>
        </is>
      </c>
      <c r="E40" s="2" t="inlineStr">
        <is>
          <t>image observation</t>
        </is>
      </c>
      <c r="F40" s="2" t="inlineStr">
        <is>
          <t>Easy-care, size guide or product feature image for personalized soccer goal comforter with Kenzo number 10.</t>
        </is>
      </c>
      <c r="G40" s="2" t="inlineStr">
        <is>
          <t>Fresh image file: D:\Shopify_Workspace\jeminise_seo\seo_runs\jeminise.com\20260906_234129\qa\20260907_181100\images\104_06.jpg; source URL: https://cdn.shopify.com/s/files/1/0792/5098/1063/files/4922d4866ae120bf5fa8b1880951c618d4173a48a3021af525b49854d05a8e9b.jpg?v=1786610956</t>
        </is>
      </c>
      <c r="H40" s="2" t="inlineStr">
        <is>
          <t>Observation is generic or position-based; rewrite from the actual image content.</t>
        </is>
      </c>
      <c r="I40" s="2" t="inlineStr">
        <is>
          <t>Rewrite observation/alt from the directly opened image, naming the visible motif and use context.</t>
        </is>
      </c>
      <c r="J40" s="2" t="inlineStr">
        <is>
          <t>Fresh image file: D:\Shopify_Workspace\jeminise_seo\seo_runs\jeminise.com\20260906_234129\qa\20260907_181100\images\104_06.jpg; source URL: https://cdn.shopify.com/s/files/1/0792/5098/1063/files/4922d4866ae120bf5fa8b1880951c618d4173a48a3021af525b49854d05a8e9b.jpg?v=1786610956</t>
        </is>
      </c>
      <c r="K40" s="2" t="inlineStr">
        <is>
          <t>The image row accurately describes the actual media at this gallery position.</t>
        </is>
      </c>
    </row>
    <row r="41" ht="84" customHeight="1">
      <c r="A41" s="3" t="inlineStr">
        <is>
          <t>ISSUE-0040</t>
        </is>
      </c>
      <c r="B41" s="3" t="inlineStr">
        <is>
          <t>jeminise.com+custom-soccer-ball-goal-personalized-bedding-comforter-set-a4</t>
        </is>
      </c>
      <c r="C41" s="3" t="inlineStr">
        <is>
          <t>img_0c7cc00df8499129</t>
        </is>
      </c>
      <c r="D41" s="3" t="inlineStr">
        <is>
          <t>MINOR</t>
        </is>
      </c>
      <c r="E41" s="3" t="inlineStr">
        <is>
          <t>image observation</t>
        </is>
      </c>
      <c r="F41" s="3" t="inlineStr">
        <is>
          <t>Additional lifestyle, feature or product detail image showing personalized soccer goal comforter with Kenzo number 10.</t>
        </is>
      </c>
      <c r="G41" s="3" t="inlineStr">
        <is>
          <t>Fresh image file: D:\Shopify_Workspace\jeminise_seo\seo_runs\jeminise.com\20260906_234129\qa\20260907_181100\images\104_07.jpg; source URL: https://cdn.shopify.com/s/files/1/0792/5098/1063/files/d761ea3ae4f4c0b26b7473177b21a616c5199552823ec637c64fe7b0d6b0f12f_d9ec0d73-2117-4b5e-8e27-b91f649eb31b.jpg?v=1786610956</t>
        </is>
      </c>
      <c r="H41" s="3" t="inlineStr">
        <is>
          <t>Observation is generic or position-based; rewrite from the actual image content.</t>
        </is>
      </c>
      <c r="I41" s="3" t="inlineStr">
        <is>
          <t>Rewrite observation/alt from the directly opened image, naming the visible motif and use context.</t>
        </is>
      </c>
      <c r="J41" s="3" t="inlineStr">
        <is>
          <t>Fresh image file: D:\Shopify_Workspace\jeminise_seo\seo_runs\jeminise.com\20260906_234129\qa\20260907_181100\images\104_07.jpg; source URL: https://cdn.shopify.com/s/files/1/0792/5098/1063/files/d761ea3ae4f4c0b26b7473177b21a616c5199552823ec637c64fe7b0d6b0f12f_d9ec0d73-2117-4b5e-8e27-b91f649eb31b.jpg?v=1786610956</t>
        </is>
      </c>
      <c r="K41" s="3" t="inlineStr">
        <is>
          <t>The image row accurately describes the actual media at this gallery position.</t>
        </is>
      </c>
    </row>
    <row r="42" ht="84" customHeight="1">
      <c r="A42" s="2" t="inlineStr">
        <is>
          <t>ISSUE-0041</t>
        </is>
      </c>
      <c r="B42" s="2" t="inlineStr">
        <is>
          <t>jeminise.com+custom-soccer-ball-net-comforter-set-machine-washable-a2</t>
        </is>
      </c>
      <c r="C42" s="2" t="inlineStr"/>
      <c r="D42" s="2" t="inlineStr">
        <is>
          <t>CRITICAL</t>
        </is>
      </c>
      <c r="E42" s="2" t="inlineStr">
        <is>
          <t>personalization/customizer</t>
        </is>
      </c>
      <c r="F42" s="2"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t>
        </is>
      </c>
      <c r="G42" s="2" t="inlineStr">
        <is>
          <t>Draft claims name, number personalization but static customizer config does not expose matching input(s).</t>
        </is>
      </c>
      <c r="H42" s="2" t="inlineStr">
        <is>
          <t>Claim is materially unsafe until the live purchase flow exposes matching input controls.</t>
        </is>
      </c>
      <c r="I42" s="2" t="inlineStr">
        <is>
          <t>Remove/soften unsupported personalization claim, or provide admin/live proof that matching controls work.</t>
        </is>
      </c>
      <c r="J42" s="2" t="inlineStr">
        <is>
          <t>Draft claims name, number personalization but static customizer config does not expose matching input(s).</t>
        </is>
      </c>
      <c r="K42" s="2" t="inlineStr">
        <is>
          <t>Re-open live product and verify the exact name/number/photo input is present and mapped to fulfillment.</t>
        </is>
      </c>
    </row>
    <row r="43" ht="84" customHeight="1">
      <c r="A43" s="3" t="inlineStr">
        <is>
          <t>ISSUE-0042</t>
        </is>
      </c>
      <c r="B43" s="3" t="inlineStr">
        <is>
          <t>jeminise.com+custom-soccer-ball-net-comforter-set-machine-washable-a2</t>
        </is>
      </c>
      <c r="C43" s="3" t="inlineStr"/>
      <c r="D43" s="3" t="inlineStr">
        <is>
          <t>MAJOR</t>
        </is>
      </c>
      <c r="E43" s="3" t="inlineStr">
        <is>
          <t>description_proposed_html</t>
        </is>
      </c>
      <c r="F43" s="3"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t>
        </is>
      </c>
      <c r="G43" s="3" t="inlineStr">
        <is>
          <t>Draft contains SEO Use / QA approval wording.</t>
        </is>
      </c>
      <c r="H43" s="3" t="inlineStr">
        <is>
          <t>Internal workflow language is not publish-ready storefront copy.</t>
        </is>
      </c>
      <c r="I43" s="3" t="inlineStr">
        <is>
          <t>Remove internal QA/import block and replace with customer-facing verified copy.</t>
        </is>
      </c>
      <c r="J43" s="3" t="inlineStr">
        <is>
          <t>Draft contains SEO Use / QA approval wording.</t>
        </is>
      </c>
      <c r="K43" s="3" t="inlineStr">
        <is>
          <t>Description HTML no longer contains SEO Use, QA, approval, import or draft language.</t>
        </is>
      </c>
    </row>
    <row r="44" ht="84" customHeight="1">
      <c r="A44" s="2" t="inlineStr">
        <is>
          <t>ISSUE-0043</t>
        </is>
      </c>
      <c r="B44" s="2" t="inlineStr">
        <is>
          <t>jeminise.com+custom-soccer-ball-net-comforter-set-machine-washable-a2</t>
        </is>
      </c>
      <c r="C44" s="2" t="inlineStr"/>
      <c r="D44" s="2" t="inlineStr">
        <is>
          <t>MINOR</t>
        </is>
      </c>
      <c r="E44" s="2" t="inlineStr">
        <is>
          <t>meta_description_seo</t>
        </is>
      </c>
      <c r="F44" s="2" t="inlineStr">
        <is>
          <t>Shop a comforter set featuring black, teal and orange soccer net speed-line design with Jayden name and number 07. Review size and personalization options before checkout.</t>
        </is>
      </c>
      <c r="G44" s="2" t="inlineStr">
        <is>
          <t>Meta description length is 171 characters.</t>
        </is>
      </c>
      <c r="H44" s="2" t="inlineStr">
        <is>
          <t>Likely to truncate in search results and repeats review/personality wording in several rows.</t>
        </is>
      </c>
      <c r="I44" s="2" t="inlineStr">
        <is>
          <t>Rewrite to roughly 145-155 characters while preserving verified design and product type.</t>
        </is>
      </c>
      <c r="J44" s="2" t="inlineStr">
        <is>
          <t>Meta description length is 171 characters.</t>
        </is>
      </c>
      <c r="K44" s="2" t="inlineStr">
        <is>
          <t>Length check &lt;=160 characters and no unsupported claim remains.</t>
        </is>
      </c>
    </row>
    <row r="45" ht="84" customHeight="1">
      <c r="A45" s="3" t="inlineStr">
        <is>
          <t>ISSUE-0044</t>
        </is>
      </c>
      <c r="B45" s="3" t="inlineStr">
        <is>
          <t>jeminise.com+custom-soccer-ball-net-comforter-set-machine-washable-a2</t>
        </is>
      </c>
      <c r="C45" s="3" t="inlineStr"/>
      <c r="D45" s="3" t="inlineStr">
        <is>
          <t>MAJOR</t>
        </is>
      </c>
      <c r="E45" s="3" t="inlineStr">
        <is>
          <t>keyword_map</t>
        </is>
      </c>
      <c r="F45" s="3" t="inlineStr">
        <is>
          <t>soccer net comforter</t>
        </is>
      </c>
      <c r="G45" s="3" t="inlineStr">
        <is>
          <t>https://www.amazon.com/; https://www.pinterest.com/; https://www.authenticsoccer.com/; https://www.amazon.com/; https://www.pinterest.com/; https://www.authenticsoccer.com/</t>
        </is>
      </c>
      <c r="H45" s="3" t="inlineStr">
        <is>
          <t>Batch cluster contains several very similar products, so keyword/intent differentiation must be sharper.</t>
        </is>
      </c>
      <c r="I45" s="3" t="inlineStr">
        <is>
          <t>Add unique visible motif modifiers and avoid assigning the same generic product keyword to multiple URLs.</t>
        </is>
      </c>
      <c r="J45" s="3" t="inlineStr">
        <is>
          <t>https://www.amazon.com/; https://www.pinterest.com/; https://www.authenticsoccer.com/; https://www.amazon.com/; https://www.pinterest.com/; https://www.authenticsoccer.com/</t>
        </is>
      </c>
      <c r="K45" s="3" t="inlineStr">
        <is>
          <t>SERP notes and title/meta show a distinct product-level query for this exact design.</t>
        </is>
      </c>
    </row>
    <row r="46" ht="84" customHeight="1">
      <c r="A46" s="2" t="inlineStr">
        <is>
          <t>ISSUE-0045</t>
        </is>
      </c>
      <c r="B46" s="2" t="inlineStr">
        <is>
          <t>jeminise.com+custom-soccer-ball-net-comforter-set-machine-washable-a2</t>
        </is>
      </c>
      <c r="C46" s="2" t="inlineStr"/>
      <c r="D46" s="2" t="inlineStr">
        <is>
          <t>LIMITATION</t>
        </is>
      </c>
      <c r="E46" s="2" t="inlineStr">
        <is>
          <t>keyword_evidence_level</t>
        </is>
      </c>
      <c r="F46" s="2" t="inlineStr">
        <is>
          <t>SERP_ONLY</t>
        </is>
      </c>
      <c r="G46" s="2" t="inlineStr">
        <is>
          <t>Only public SERP comparables are available.</t>
        </is>
      </c>
      <c r="H46" s="2" t="inlineStr">
        <is>
          <t>No Search Console, paid keyword volume or internal site search export was supplied.</t>
        </is>
      </c>
      <c r="I46" s="2" t="inlineStr">
        <is>
          <t>Keep demand statements qualitative; do not claim volume or ranking potential.</t>
        </is>
      </c>
      <c r="J46" s="2" t="inlineStr">
        <is>
          <t>Only public SERP comparables are available.</t>
        </is>
      </c>
      <c r="K46" s="2" t="inlineStr">
        <is>
          <t>Additional first-party or paid keyword evidence is attached, or limitation remains documented.</t>
        </is>
      </c>
    </row>
    <row r="47" ht="84" customHeight="1">
      <c r="A47" s="3" t="inlineStr">
        <is>
          <t>ISSUE-0046</t>
        </is>
      </c>
      <c r="B47" s="3" t="inlineStr">
        <is>
          <t>jeminise.com+custom-soccer-ball-net-comforter-set-machine-washable-a2</t>
        </is>
      </c>
      <c r="C47" s="3" t="inlineStr">
        <is>
          <t>img_74d00ea2542a6fd6</t>
        </is>
      </c>
      <c r="D47" s="3" t="inlineStr">
        <is>
          <t>MINOR</t>
        </is>
      </c>
      <c r="E47" s="3" t="inlineStr">
        <is>
          <t>alt text</t>
        </is>
      </c>
      <c r="F47" s="3" t="inlineStr">
        <is>
          <t>Personalized Multicolor Soccer Net Comforter displayed in a main product mockup</t>
        </is>
      </c>
      <c r="G47" s="3" t="inlineStr">
        <is>
          <t>Fresh image file: D:\Shopify_Workspace\jeminise_seo\seo_runs\jeminise.com\20260906_234129\qa\20260907_181100\images\105_01.jpg; source URL: https://cdn.shopify.com/s/files/1/0792/5098/1063/files/82333601a7ee5503b2c8e1c2000337833e2c7d844138e0b4a3807c18149eb399.jpg?v=1786610952</t>
        </is>
      </c>
      <c r="H47" s="3" t="inlineStr">
        <is>
          <t>Alt text is too generic or describes placement more than visible content.</t>
        </is>
      </c>
      <c r="I47" s="3" t="inlineStr">
        <is>
          <t>Rewrite observation/alt from the directly opened image, naming the visible motif and use context.</t>
        </is>
      </c>
      <c r="J47" s="3" t="inlineStr">
        <is>
          <t>Fresh image file: D:\Shopify_Workspace\jeminise_seo\seo_runs\jeminise.com\20260906_234129\qa\20260907_181100\images\105_01.jpg; source URL: https://cdn.shopify.com/s/files/1/0792/5098/1063/files/82333601a7ee5503b2c8e1c2000337833e2c7d844138e0b4a3807c18149eb399.jpg?v=1786610952</t>
        </is>
      </c>
      <c r="K47" s="3" t="inlineStr">
        <is>
          <t>The image row accurately describes the actual media at this gallery position.</t>
        </is>
      </c>
    </row>
    <row r="48" ht="84" customHeight="1">
      <c r="A48" s="2" t="inlineStr">
        <is>
          <t>ISSUE-0047</t>
        </is>
      </c>
      <c r="B48" s="2" t="inlineStr">
        <is>
          <t>jeminise.com+custom-soccer-ball-net-comforter-set-machine-washable-a2</t>
        </is>
      </c>
      <c r="C48" s="2" t="inlineStr">
        <is>
          <t>img_138e59ae7e893e05</t>
        </is>
      </c>
      <c r="D48" s="2" t="inlineStr">
        <is>
          <t>MINOR</t>
        </is>
      </c>
      <c r="E48" s="2" t="inlineStr">
        <is>
          <t>image observation</t>
        </is>
      </c>
      <c r="F48" s="2" t="inlineStr">
        <is>
          <t>Bedding type, feature, lifestyle or material image for personalized multicolor soccer net comforter with Jayden number 07.</t>
        </is>
      </c>
      <c r="G48" s="2" t="inlineStr">
        <is>
          <t>Fresh image file: D:\Shopify_Workspace\jeminise_seo\seo_runs\jeminise.com\20260906_234129\qa\20260907_181100\images\105_03.jpg; source URL: https://cdn.shopify.com/s/files/1/0792/5098/1063/files/09c92d20270c366068722749877dfcc163d94f944c4ad88cb639774033eb44af.jpg?v=1786610952</t>
        </is>
      </c>
      <c r="H48" s="2" t="inlineStr">
        <is>
          <t>Observation is generic or position-based; rewrite from the actual image content.</t>
        </is>
      </c>
      <c r="I48" s="2" t="inlineStr">
        <is>
          <t>Rewrite observation/alt from the directly opened image, naming the visible motif and use context.</t>
        </is>
      </c>
      <c r="J48" s="2" t="inlineStr">
        <is>
          <t>Fresh image file: D:\Shopify_Workspace\jeminise_seo\seo_runs\jeminise.com\20260906_234129\qa\20260907_181100\images\105_03.jpg; source URL: https://cdn.shopify.com/s/files/1/0792/5098/1063/files/09c92d20270c366068722749877dfcc163d94f944c4ad88cb639774033eb44af.jpg?v=1786610952</t>
        </is>
      </c>
      <c r="K48" s="2" t="inlineStr">
        <is>
          <t>The image row accurately describes the actual media at this gallery position.</t>
        </is>
      </c>
    </row>
    <row r="49" ht="84" customHeight="1">
      <c r="A49" s="3" t="inlineStr">
        <is>
          <t>ISSUE-0048</t>
        </is>
      </c>
      <c r="B49" s="3" t="inlineStr">
        <is>
          <t>jeminise.com+custom-soccer-ball-net-comforter-set-machine-washable-a2</t>
        </is>
      </c>
      <c r="C49" s="3" t="inlineStr">
        <is>
          <t>img_d3ab36b6ee540710</t>
        </is>
      </c>
      <c r="D49" s="3" t="inlineStr">
        <is>
          <t>MINOR</t>
        </is>
      </c>
      <c r="E49" s="3" t="inlineStr">
        <is>
          <t>image observation</t>
        </is>
      </c>
      <c r="F49" s="3" t="inlineStr">
        <is>
          <t>Detail, feature panel or lifestyle image connected to personalized multicolor soccer net comforter with Jayden number 07.</t>
        </is>
      </c>
      <c r="G49" s="3" t="inlineStr">
        <is>
          <t>Fresh image file: D:\Shopify_Workspace\jeminise_seo\seo_runs\jeminise.com\20260906_234129\qa\20260907_181100\images\105_04.jpg; source URL: https://cdn.shopify.com/s/files/1/0792/5098/1063/files/164b95e35a478522bf4ed840c25aa88e4b59617a11cd183d2bfa520cd5e35df7.jpg?v=1786610952</t>
        </is>
      </c>
      <c r="H49" s="3" t="inlineStr">
        <is>
          <t>Observation is generic or position-based; rewrite from the actual image content.</t>
        </is>
      </c>
      <c r="I49" s="3" t="inlineStr">
        <is>
          <t>Rewrite observation/alt from the directly opened image, naming the visible motif and use context.</t>
        </is>
      </c>
      <c r="J49" s="3" t="inlineStr">
        <is>
          <t>Fresh image file: D:\Shopify_Workspace\jeminise_seo\seo_runs\jeminise.com\20260906_234129\qa\20260907_181100\images\105_04.jpg; source URL: https://cdn.shopify.com/s/files/1/0792/5098/1063/files/164b95e35a478522bf4ed840c25aa88e4b59617a11cd183d2bfa520cd5e35df7.jpg?v=1786610952</t>
        </is>
      </c>
      <c r="K49" s="3" t="inlineStr">
        <is>
          <t>The image row accurately describes the actual media at this gallery position.</t>
        </is>
      </c>
    </row>
    <row r="50" ht="84" customHeight="1">
      <c r="A50" s="2" t="inlineStr">
        <is>
          <t>ISSUE-0049</t>
        </is>
      </c>
      <c r="B50" s="2" t="inlineStr">
        <is>
          <t>jeminise.com+custom-soccer-ball-net-comforter-set-machine-washable-a2</t>
        </is>
      </c>
      <c r="C50" s="2" t="inlineStr">
        <is>
          <t>img_da5935cd0b335526</t>
        </is>
      </c>
      <c r="D50" s="2" t="inlineStr">
        <is>
          <t>MINOR</t>
        </is>
      </c>
      <c r="E50" s="2" t="inlineStr">
        <is>
          <t>image observation</t>
        </is>
      </c>
      <c r="F50" s="2" t="inlineStr">
        <is>
          <t>Easy-care, size guide or product feature image for personalized multicolor soccer net comforter with Jayden number 07.</t>
        </is>
      </c>
      <c r="G50" s="2" t="inlineStr">
        <is>
          <t>Fresh image file: D:\Shopify_Workspace\jeminise_seo\seo_runs\jeminise.com\20260906_234129\qa\20260907_181100\images\105_06.jpg; source URL: https://cdn.shopify.com/s/files/1/0792/5098/1063/files/caf001b85a4e79727d87996286013724e2de3319e9c06e0f70d0f157cd572bf5.jpg?v=1786610952</t>
        </is>
      </c>
      <c r="H50" s="2" t="inlineStr">
        <is>
          <t>Observation is generic or position-based; rewrite from the actual image content.</t>
        </is>
      </c>
      <c r="I50" s="2" t="inlineStr">
        <is>
          <t>Rewrite observation/alt from the directly opened image, naming the visible motif and use context.</t>
        </is>
      </c>
      <c r="J50" s="2" t="inlineStr">
        <is>
          <t>Fresh image file: D:\Shopify_Workspace\jeminise_seo\seo_runs\jeminise.com\20260906_234129\qa\20260907_181100\images\105_06.jpg; source URL: https://cdn.shopify.com/s/files/1/0792/5098/1063/files/caf001b85a4e79727d87996286013724e2de3319e9c06e0f70d0f157cd572bf5.jpg?v=1786610952</t>
        </is>
      </c>
      <c r="K50" s="2" t="inlineStr">
        <is>
          <t>The image row accurately describes the actual media at this gallery position.</t>
        </is>
      </c>
    </row>
    <row r="51" ht="84" customHeight="1">
      <c r="A51" s="3" t="inlineStr">
        <is>
          <t>ISSUE-0050</t>
        </is>
      </c>
      <c r="B51" s="3" t="inlineStr">
        <is>
          <t>jeminise.com+custom-soccer-ball-net-comforter-set-machine-washable-a2</t>
        </is>
      </c>
      <c r="C51" s="3" t="inlineStr">
        <is>
          <t>img_c5302c42570342a0</t>
        </is>
      </c>
      <c r="D51" s="3" t="inlineStr">
        <is>
          <t>MINOR</t>
        </is>
      </c>
      <c r="E51" s="3" t="inlineStr">
        <is>
          <t>image observation</t>
        </is>
      </c>
      <c r="F51" s="3" t="inlineStr">
        <is>
          <t>Additional lifestyle, feature or product detail image showing personalized multicolor soccer net comforter with Jayden number 07.</t>
        </is>
      </c>
      <c r="G51" s="3" t="inlineStr">
        <is>
          <t>Fresh image file: D:\Shopify_Workspace\jeminise_seo\seo_runs\jeminise.com\20260906_234129\qa\20260907_181100\images\105_07.jpg; source URL: https://cdn.shopify.com/s/files/1/0792/5098/1063/files/b8808b19366c3be9b3f9b5d165e01bbcd407febd46189c1e8cfda33dbc968095.jpg?v=1786610952</t>
        </is>
      </c>
      <c r="H51" s="3" t="inlineStr">
        <is>
          <t>Observation is generic or position-based; rewrite from the actual image content.</t>
        </is>
      </c>
      <c r="I51" s="3" t="inlineStr">
        <is>
          <t>Rewrite observation/alt from the directly opened image, naming the visible motif and use context.</t>
        </is>
      </c>
      <c r="J51" s="3" t="inlineStr">
        <is>
          <t>Fresh image file: D:\Shopify_Workspace\jeminise_seo\seo_runs\jeminise.com\20260906_234129\qa\20260907_181100\images\105_07.jpg; source URL: https://cdn.shopify.com/s/files/1/0792/5098/1063/files/b8808b19366c3be9b3f9b5d165e01bbcd407febd46189c1e8cfda33dbc968095.jpg?v=1786610952</t>
        </is>
      </c>
      <c r="K51" s="3" t="inlineStr">
        <is>
          <t>The image row accurately describes the actual media at this gallery position.</t>
        </is>
      </c>
    </row>
    <row r="52" ht="84" customHeight="1">
      <c r="A52" s="2" t="inlineStr">
        <is>
          <t>ISSUE-0051</t>
        </is>
      </c>
      <c r="B52" s="2" t="inlineStr">
        <is>
          <t>jeminise.com+custom-soccer-ball-net-comforter-set-machine-washable-a2</t>
        </is>
      </c>
      <c r="C52" s="2" t="inlineStr">
        <is>
          <t>img_a323043502c16718</t>
        </is>
      </c>
      <c r="D52" s="2" t="inlineStr">
        <is>
          <t>MINOR</t>
        </is>
      </c>
      <c r="E52" s="2" t="inlineStr">
        <is>
          <t>image observation</t>
        </is>
      </c>
      <c r="F52" s="2" t="inlineStr">
        <is>
          <t>Additional lifestyle, feature or product detail image showing personalized multicolor soccer net comforter with Jayden number 07.</t>
        </is>
      </c>
      <c r="G52" s="2" t="inlineStr">
        <is>
          <t>Fresh image file: D:\Shopify_Workspace\jeminise_seo\seo_runs\jeminise.com\20260906_234129\qa\20260907_181100\images\105_08.jpg; source URL: https://cdn.shopify.com/s/files/1/0792/5098/1063/files/dd6b2f75d5d331064be3e2ace151f6872c3f1f67675d8c1c7fa00f207341180b_f495c796-ec94-4c7a-ae83-a703dc0e4a3c.jpg?v=1786610952</t>
        </is>
      </c>
      <c r="H52" s="2" t="inlineStr">
        <is>
          <t>Observation is generic or position-based; rewrite from the actual image content.</t>
        </is>
      </c>
      <c r="I52" s="2" t="inlineStr">
        <is>
          <t>Rewrite observation/alt from the directly opened image, naming the visible motif and use context.</t>
        </is>
      </c>
      <c r="J52" s="2" t="inlineStr">
        <is>
          <t>Fresh image file: D:\Shopify_Workspace\jeminise_seo\seo_runs\jeminise.com\20260906_234129\qa\20260907_181100\images\105_08.jpg; source URL: https://cdn.shopify.com/s/files/1/0792/5098/1063/files/dd6b2f75d5d331064be3e2ace151f6872c3f1f67675d8c1c7fa00f207341180b_f495c796-ec94-4c7a-ae83-a703dc0e4a3c.jpg?v=1786610952</t>
        </is>
      </c>
      <c r="K52" s="2" t="inlineStr">
        <is>
          <t>The image row accurately describes the actual media at this gallery position.</t>
        </is>
      </c>
    </row>
    <row r="53" ht="84" customHeight="1">
      <c r="A53" s="3" t="inlineStr">
        <is>
          <t>ISSUE-0052</t>
        </is>
      </c>
      <c r="B53" s="3" t="inlineStr">
        <is>
          <t>jeminise.com+custom-soccer-ball-water-splashes-comforter-set-machine-washable</t>
        </is>
      </c>
      <c r="C53" s="3" t="inlineStr"/>
      <c r="D53" s="3" t="inlineStr">
        <is>
          <t>CRITICAL</t>
        </is>
      </c>
      <c r="E53" s="3" t="inlineStr">
        <is>
          <t>personalization/customizer</t>
        </is>
      </c>
      <c r="F53" s="3"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t>
        </is>
      </c>
      <c r="G53" s="3" t="inlineStr">
        <is>
          <t>Draft claims name, number personalization but static customizer config does not expose matching input(s).</t>
        </is>
      </c>
      <c r="H53" s="3" t="inlineStr">
        <is>
          <t>Claim is materially unsafe until the live purchase flow exposes matching input controls.</t>
        </is>
      </c>
      <c r="I53" s="3" t="inlineStr">
        <is>
          <t>Remove/soften unsupported personalization claim, or provide admin/live proof that matching controls work.</t>
        </is>
      </c>
      <c r="J53" s="3" t="inlineStr">
        <is>
          <t>Draft claims name, number personalization but static customizer config does not expose matching input(s).</t>
        </is>
      </c>
      <c r="K53" s="3" t="inlineStr">
        <is>
          <t>Re-open live product and verify the exact name/number/photo input is present and mapped to fulfillment.</t>
        </is>
      </c>
    </row>
    <row r="54" ht="84" customHeight="1">
      <c r="A54" s="2" t="inlineStr">
        <is>
          <t>ISSUE-0053</t>
        </is>
      </c>
      <c r="B54" s="2" t="inlineStr">
        <is>
          <t>jeminise.com+custom-soccer-ball-water-splashes-comforter-set-machine-washable</t>
        </is>
      </c>
      <c r="C54" s="2" t="inlineStr"/>
      <c r="D54" s="2" t="inlineStr">
        <is>
          <t>MAJOR</t>
        </is>
      </c>
      <c r="E54" s="2" t="inlineStr">
        <is>
          <t>description_proposed_html</t>
        </is>
      </c>
      <c r="F54" s="2"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t>
        </is>
      </c>
      <c r="G54" s="2" t="inlineStr">
        <is>
          <t>Draft contains SEO Use / QA approval wording.</t>
        </is>
      </c>
      <c r="H54" s="2" t="inlineStr">
        <is>
          <t>Internal workflow language is not publish-ready storefront copy.</t>
        </is>
      </c>
      <c r="I54" s="2" t="inlineStr">
        <is>
          <t>Remove internal QA/import block and replace with customer-facing verified copy.</t>
        </is>
      </c>
      <c r="J54" s="2" t="inlineStr">
        <is>
          <t>Draft contains SEO Use / QA approval wording.</t>
        </is>
      </c>
      <c r="K54" s="2" t="inlineStr">
        <is>
          <t>Description HTML no longer contains SEO Use, QA, approval, import or draft language.</t>
        </is>
      </c>
    </row>
    <row r="55" ht="84" customHeight="1">
      <c r="A55" s="3" t="inlineStr">
        <is>
          <t>ISSUE-0054</t>
        </is>
      </c>
      <c r="B55" s="3" t="inlineStr">
        <is>
          <t>jeminise.com+custom-soccer-ball-water-splashes-comforter-set-machine-washable</t>
        </is>
      </c>
      <c r="C55" s="3" t="inlineStr"/>
      <c r="D55" s="3" t="inlineStr">
        <is>
          <t>MAJOR</t>
        </is>
      </c>
      <c r="E55" s="3" t="inlineStr">
        <is>
          <t>keyword_map</t>
        </is>
      </c>
      <c r="F55" s="3" t="inlineStr">
        <is>
          <t>soccer water splash comforter</t>
        </is>
      </c>
      <c r="G55" s="3" t="inlineStr">
        <is>
          <t>https://www.pinterest.com/pin/water-and-fire-footballsoccer-3d-bedding-set--1097752477927007130/; https://www.amazon.com/; https://www.target.com/p/5pc-full-queen-kids-39-girls-soccer-kick-reversible-oversized-comforter-bedding-set-white-turquoise-lush-d-233-cor/-/A-88098171; https://www.pinterest.com/pin/water-and-fire-footballsoccer-3d-bedding-set--1097752477927007130/; https://www.amazon.com/; https://www.target.com/p/5pc-full-queen-kids-39-g…</t>
        </is>
      </c>
      <c r="H55" s="3" t="inlineStr">
        <is>
          <t>Batch cluster contains several very similar products, so keyword/intent differentiation must be sharper.</t>
        </is>
      </c>
      <c r="I55" s="3" t="inlineStr">
        <is>
          <t>Add unique visible motif modifiers and avoid assigning the same generic product keyword to multiple URLs.</t>
        </is>
      </c>
      <c r="J55" s="3" t="inlineStr">
        <is>
          <t>https://www.pinterest.com/pin/water-and-fire-footballsoccer-3d-bedding-set--1097752477927007130/; https://www.amazon.com/; https://www.target.com/p/5pc-full-queen-kids-39-girls-soccer-kick-reversible-oversized-comforter-bedding-set-white-turquoise-lush-d-233-cor/-/A-88098171; https://www.pinterest.com/pin/water-and-fire-footballsoccer-3d-bedding-set--1097752477927007130/; https://www.amazon.com/; https://www.target.com/p/5pc-full-queen-kids-39-g…</t>
        </is>
      </c>
      <c r="K55" s="3" t="inlineStr">
        <is>
          <t>SERP notes and title/meta show a distinct product-level query for this exact design.</t>
        </is>
      </c>
    </row>
    <row r="56" ht="84" customHeight="1">
      <c r="A56" s="2" t="inlineStr">
        <is>
          <t>ISSUE-0055</t>
        </is>
      </c>
      <c r="B56" s="2" t="inlineStr">
        <is>
          <t>jeminise.com+custom-soccer-ball-water-splashes-comforter-set-machine-washable</t>
        </is>
      </c>
      <c r="C56" s="2" t="inlineStr"/>
      <c r="D56" s="2" t="inlineStr">
        <is>
          <t>LIMITATION</t>
        </is>
      </c>
      <c r="E56" s="2" t="inlineStr">
        <is>
          <t>keyword_evidence_level</t>
        </is>
      </c>
      <c r="F56" s="2" t="inlineStr">
        <is>
          <t>SERP_ONLY</t>
        </is>
      </c>
      <c r="G56" s="2" t="inlineStr">
        <is>
          <t>Only public SERP comparables are available.</t>
        </is>
      </c>
      <c r="H56" s="2" t="inlineStr">
        <is>
          <t>No Search Console, paid keyword volume or internal site search export was supplied.</t>
        </is>
      </c>
      <c r="I56" s="2" t="inlineStr">
        <is>
          <t>Keep demand statements qualitative; do not claim volume or ranking potential.</t>
        </is>
      </c>
      <c r="J56" s="2" t="inlineStr">
        <is>
          <t>Only public SERP comparables are available.</t>
        </is>
      </c>
      <c r="K56" s="2" t="inlineStr">
        <is>
          <t>Additional first-party or paid keyword evidence is attached, or limitation remains documented.</t>
        </is>
      </c>
    </row>
    <row r="57" ht="84" customHeight="1">
      <c r="A57" s="3" t="inlineStr">
        <is>
          <t>ISSUE-0056</t>
        </is>
      </c>
      <c r="B57" s="3" t="inlineStr">
        <is>
          <t>jeminise.com+custom-soccer-ball-water-splashes-comforter-set-machine-washable</t>
        </is>
      </c>
      <c r="C57" s="3" t="inlineStr">
        <is>
          <t>img_6f5037fb4d8e3eb8</t>
        </is>
      </c>
      <c r="D57" s="3" t="inlineStr">
        <is>
          <t>MINOR</t>
        </is>
      </c>
      <c r="E57" s="3" t="inlineStr">
        <is>
          <t>alt text</t>
        </is>
      </c>
      <c r="F57" s="3" t="inlineStr">
        <is>
          <t>Personalized Soccer Water Splash Comforter displayed in a main product mockup</t>
        </is>
      </c>
      <c r="G57" s="3" t="inlineStr">
        <is>
          <t>Fresh image file: D:\Shopify_Workspace\jeminise_seo\seo_runs\jeminise.com\20260906_234129\qa\20260907_181100\images\106_01.jpg; source URL: https://cdn.shopify.com/s/files/1/0792/5098/1063/files/f55864bd923cfb841eb33123844bd7bddec61cb2871b60e8b3599cfa4e4987d1.jpg?v=1786610971</t>
        </is>
      </c>
      <c r="H57" s="3" t="inlineStr">
        <is>
          <t>Alt text is too generic or describes placement more than visible content.</t>
        </is>
      </c>
      <c r="I57" s="3" t="inlineStr">
        <is>
          <t>Rewrite observation/alt from the directly opened image, naming the visible motif and use context.</t>
        </is>
      </c>
      <c r="J57" s="3" t="inlineStr">
        <is>
          <t>Fresh image file: D:\Shopify_Workspace\jeminise_seo\seo_runs\jeminise.com\20260906_234129\qa\20260907_181100\images\106_01.jpg; source URL: https://cdn.shopify.com/s/files/1/0792/5098/1063/files/f55864bd923cfb841eb33123844bd7bddec61cb2871b60e8b3599cfa4e4987d1.jpg?v=1786610971</t>
        </is>
      </c>
      <c r="K57" s="3" t="inlineStr">
        <is>
          <t>The image row accurately describes the actual media at this gallery position.</t>
        </is>
      </c>
    </row>
    <row r="58" ht="84" customHeight="1">
      <c r="A58" s="2" t="inlineStr">
        <is>
          <t>ISSUE-0057</t>
        </is>
      </c>
      <c r="B58" s="2" t="inlineStr">
        <is>
          <t>jeminise.com+custom-soccer-ball-water-splashes-comforter-set-machine-washable</t>
        </is>
      </c>
      <c r="C58" s="2" t="inlineStr">
        <is>
          <t>img_94f93adea711a459</t>
        </is>
      </c>
      <c r="D58" s="2" t="inlineStr">
        <is>
          <t>MINOR</t>
        </is>
      </c>
      <c r="E58" s="2" t="inlineStr">
        <is>
          <t>image observation</t>
        </is>
      </c>
      <c r="F58" s="2" t="inlineStr">
        <is>
          <t>Bedding type, feature, lifestyle or material image for personalized soccer water splash comforter with Matthew number 15.</t>
        </is>
      </c>
      <c r="G58" s="2" t="inlineStr">
        <is>
          <t>Fresh image file: D:\Shopify_Workspace\jeminise_seo\seo_runs\jeminise.com\20260906_234129\qa\20260907_181100\images\106_03.jpg; source URL: https://cdn.shopify.com/s/files/1/0792/5098/1063/files/0b1d1e19cab6d757366a36700f895ecca060303e705a8aece2f5fa486b6770da_d0ea3391-1dbc-4cd3-ba29-00beca290e13.jpg?v=1786610972</t>
        </is>
      </c>
      <c r="H58" s="2" t="inlineStr">
        <is>
          <t>Observation is generic or position-based; rewrite from the actual image content.</t>
        </is>
      </c>
      <c r="I58" s="2" t="inlineStr">
        <is>
          <t>Rewrite observation/alt from the directly opened image, naming the visible motif and use context.</t>
        </is>
      </c>
      <c r="J58" s="2" t="inlineStr">
        <is>
          <t>Fresh image file: D:\Shopify_Workspace\jeminise_seo\seo_runs\jeminise.com\20260906_234129\qa\20260907_181100\images\106_03.jpg; source URL: https://cdn.shopify.com/s/files/1/0792/5098/1063/files/0b1d1e19cab6d757366a36700f895ecca060303e705a8aece2f5fa486b6770da_d0ea3391-1dbc-4cd3-ba29-00beca290e13.jpg?v=1786610972</t>
        </is>
      </c>
      <c r="K58" s="2" t="inlineStr">
        <is>
          <t>The image row accurately describes the actual media at this gallery position.</t>
        </is>
      </c>
    </row>
    <row r="59" ht="84" customHeight="1">
      <c r="A59" s="3" t="inlineStr">
        <is>
          <t>ISSUE-0058</t>
        </is>
      </c>
      <c r="B59" s="3" t="inlineStr">
        <is>
          <t>jeminise.com+custom-soccer-ball-water-splashes-comforter-set-machine-washable</t>
        </is>
      </c>
      <c r="C59" s="3" t="inlineStr">
        <is>
          <t>img_9c62dfb7d9d9f62d</t>
        </is>
      </c>
      <c r="D59" s="3" t="inlineStr">
        <is>
          <t>MINOR</t>
        </is>
      </c>
      <c r="E59" s="3" t="inlineStr">
        <is>
          <t>image observation</t>
        </is>
      </c>
      <c r="F59" s="3" t="inlineStr">
        <is>
          <t>Detail, feature panel or lifestyle image connected to personalized soccer water splash comforter with Matthew number 15.</t>
        </is>
      </c>
      <c r="G59" s="3" t="inlineStr">
        <is>
          <t>Fresh image file: D:\Shopify_Workspace\jeminise_seo\seo_runs\jeminise.com\20260906_234129\qa\20260907_181100\images\106_04.jpg; source URL: https://cdn.shopify.com/s/files/1/0792/5098/1063/files/09698594226d8d0790d2d60d7e9422bcf5582493d9bc17e46842c5cc0e151233.jpg?v=1786610971</t>
        </is>
      </c>
      <c r="H59" s="3" t="inlineStr">
        <is>
          <t>Observation is generic or position-based; rewrite from the actual image content.</t>
        </is>
      </c>
      <c r="I59" s="3" t="inlineStr">
        <is>
          <t>Rewrite observation/alt from the directly opened image, naming the visible motif and use context.</t>
        </is>
      </c>
      <c r="J59" s="3" t="inlineStr">
        <is>
          <t>Fresh image file: D:\Shopify_Workspace\jeminise_seo\seo_runs\jeminise.com\20260906_234129\qa\20260907_181100\images\106_04.jpg; source URL: https://cdn.shopify.com/s/files/1/0792/5098/1063/files/09698594226d8d0790d2d60d7e9422bcf5582493d9bc17e46842c5cc0e151233.jpg?v=1786610971</t>
        </is>
      </c>
      <c r="K59" s="3" t="inlineStr">
        <is>
          <t>The image row accurately describes the actual media at this gallery position.</t>
        </is>
      </c>
    </row>
    <row r="60" ht="84" customHeight="1">
      <c r="A60" s="2" t="inlineStr">
        <is>
          <t>ISSUE-0059</t>
        </is>
      </c>
      <c r="B60" s="2" t="inlineStr">
        <is>
          <t>jeminise.com+custom-soccer-ball-water-splashes-comforter-set-machine-washable</t>
        </is>
      </c>
      <c r="C60" s="2" t="inlineStr">
        <is>
          <t>img_7f6a2f179d17731b</t>
        </is>
      </c>
      <c r="D60" s="2" t="inlineStr">
        <is>
          <t>MINOR</t>
        </is>
      </c>
      <c r="E60" s="2" t="inlineStr">
        <is>
          <t>image observation</t>
        </is>
      </c>
      <c r="F60" s="2" t="inlineStr">
        <is>
          <t>Easy-care, size guide or product feature image for personalized soccer water splash comforter with Matthew number 15.</t>
        </is>
      </c>
      <c r="G60" s="2" t="inlineStr">
        <is>
          <t>Fresh image file: D:\Shopify_Workspace\jeminise_seo\seo_runs\jeminise.com\20260906_234129\qa\20260907_181100\images\106_06.jpg; source URL: https://cdn.shopify.com/s/files/1/0792/5098/1063/files/eb3bcbfe3f8d762beed0aeedacccf09e473ce42fc43e30ffab6a54c49783ff7f.jpg?v=1786610972</t>
        </is>
      </c>
      <c r="H60" s="2" t="inlineStr">
        <is>
          <t>Observation is generic or position-based; rewrite from the actual image content.</t>
        </is>
      </c>
      <c r="I60" s="2" t="inlineStr">
        <is>
          <t>Rewrite observation/alt from the directly opened image, naming the visible motif and use context.</t>
        </is>
      </c>
      <c r="J60" s="2" t="inlineStr">
        <is>
          <t>Fresh image file: D:\Shopify_Workspace\jeminise_seo\seo_runs\jeminise.com\20260906_234129\qa\20260907_181100\images\106_06.jpg; source URL: https://cdn.shopify.com/s/files/1/0792/5098/1063/files/eb3bcbfe3f8d762beed0aeedacccf09e473ce42fc43e30ffab6a54c49783ff7f.jpg?v=1786610972</t>
        </is>
      </c>
      <c r="K60" s="2" t="inlineStr">
        <is>
          <t>The image row accurately describes the actual media at this gallery position.</t>
        </is>
      </c>
    </row>
    <row r="61" ht="84" customHeight="1">
      <c r="A61" s="3" t="inlineStr">
        <is>
          <t>ISSUE-0060</t>
        </is>
      </c>
      <c r="B61" s="3" t="inlineStr">
        <is>
          <t>jeminise.com+custom-soccer-ball-water-splashes-comforter-set-machine-washable</t>
        </is>
      </c>
      <c r="C61" s="3" t="inlineStr">
        <is>
          <t>img_fec75c209dace51f</t>
        </is>
      </c>
      <c r="D61" s="3" t="inlineStr">
        <is>
          <t>MINOR</t>
        </is>
      </c>
      <c r="E61" s="3" t="inlineStr">
        <is>
          <t>image observation</t>
        </is>
      </c>
      <c r="F61" s="3" t="inlineStr">
        <is>
          <t>Additional lifestyle, feature or product detail image showing personalized soccer water splash comforter with Matthew number 15.</t>
        </is>
      </c>
      <c r="G61" s="3" t="inlineStr">
        <is>
          <t>Fresh image file: D:\Shopify_Workspace\jeminise_seo\seo_runs\jeminise.com\20260906_234129\qa\20260907_181100\images\106_07.jpg; source URL: https://cdn.shopify.com/s/files/1/0792/5098/1063/files/dd6b2f75d5d331064be3e2ace151f6872c3f1f67675d8c1c7fa00f207341180b_2a160289-1bc0-441f-97ca-4eb1ab9defdf.jpg?v=1786610971</t>
        </is>
      </c>
      <c r="H61" s="3" t="inlineStr">
        <is>
          <t>Observation is generic or position-based; rewrite from the actual image content.</t>
        </is>
      </c>
      <c r="I61" s="3" t="inlineStr">
        <is>
          <t>Rewrite observation/alt from the directly opened image, naming the visible motif and use context.</t>
        </is>
      </c>
      <c r="J61" s="3" t="inlineStr">
        <is>
          <t>Fresh image file: D:\Shopify_Workspace\jeminise_seo\seo_runs\jeminise.com\20260906_234129\qa\20260907_181100\images\106_07.jpg; source URL: https://cdn.shopify.com/s/files/1/0792/5098/1063/files/dd6b2f75d5d331064be3e2ace151f6872c3f1f67675d8c1c7fa00f207341180b_2a160289-1bc0-441f-97ca-4eb1ab9defdf.jpg?v=1786610971</t>
        </is>
      </c>
      <c r="K61" s="3" t="inlineStr">
        <is>
          <t>The image row accurately describes the actual media at this gallery position.</t>
        </is>
      </c>
    </row>
    <row r="62" ht="84" customHeight="1">
      <c r="A62" s="2" t="inlineStr">
        <is>
          <t>ISSUE-0061</t>
        </is>
      </c>
      <c r="B62" s="2" t="inlineStr">
        <is>
          <t>jeminise.com+custom-soccer-ball-water-splashes-comforter-set-machine-washable</t>
        </is>
      </c>
      <c r="C62" s="2" t="inlineStr">
        <is>
          <t>img_0dd93da2206f59b4</t>
        </is>
      </c>
      <c r="D62" s="2" t="inlineStr">
        <is>
          <t>MINOR</t>
        </is>
      </c>
      <c r="E62" s="2" t="inlineStr">
        <is>
          <t>image observation</t>
        </is>
      </c>
      <c r="F62" s="2" t="inlineStr">
        <is>
          <t>Additional lifestyle, feature or product detail image showing personalized soccer water splash comforter with Matthew number 15.</t>
        </is>
      </c>
      <c r="G62" s="2" t="inlineStr">
        <is>
          <t>Fresh image file: D:\Shopify_Workspace\jeminise_seo\seo_runs\jeminise.com\20260906_234129\qa\20260907_181100\images\106_08.jpg; source URL: https://cdn.shopify.com/s/files/1/0792/5098/1063/files/d761ea3ae4f4c0b26b7473177b21a616c5199552823ec637c64fe7b0d6b0f12f_d968ca6a-19c4-4159-9b4e-958c04bbc806.jpg?v=1786610971</t>
        </is>
      </c>
      <c r="H62" s="2" t="inlineStr">
        <is>
          <t>Observation is generic or position-based; rewrite from the actual image content.</t>
        </is>
      </c>
      <c r="I62" s="2" t="inlineStr">
        <is>
          <t>Rewrite observation/alt from the directly opened image, naming the visible motif and use context.</t>
        </is>
      </c>
      <c r="J62" s="2" t="inlineStr">
        <is>
          <t>Fresh image file: D:\Shopify_Workspace\jeminise_seo\seo_runs\jeminise.com\20260906_234129\qa\20260907_181100\images\106_08.jpg; source URL: https://cdn.shopify.com/s/files/1/0792/5098/1063/files/d761ea3ae4f4c0b26b7473177b21a616c5199552823ec637c64fe7b0d6b0f12f_d968ca6a-19c4-4159-9b4e-958c04bbc806.jpg?v=1786610971</t>
        </is>
      </c>
      <c r="K62" s="2" t="inlineStr">
        <is>
          <t>The image row accurately describes the actual media at this gallery position.</t>
        </is>
      </c>
    </row>
    <row r="63" ht="84" customHeight="1">
      <c r="A63" s="3" t="inlineStr">
        <is>
          <t>ISSUE-0062</t>
        </is>
      </c>
      <c r="B63" s="3" t="inlineStr">
        <is>
          <t>jeminise.com+custom-soccer-ball-with-lightning-splash-comforter-set-a11</t>
        </is>
      </c>
      <c r="C63" s="3" t="inlineStr"/>
      <c r="D63" s="3" t="inlineStr">
        <is>
          <t>CRITICAL</t>
        </is>
      </c>
      <c r="E63" s="3" t="inlineStr">
        <is>
          <t>personalization/customizer</t>
        </is>
      </c>
      <c r="F63" s="3"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t>
        </is>
      </c>
      <c r="G63" s="3" t="inlineStr">
        <is>
          <t>Draft claims name, number personalization but static customizer config does not expose matching input(s).</t>
        </is>
      </c>
      <c r="H63" s="3" t="inlineStr">
        <is>
          <t>Claim is materially unsafe until the live purchase flow exposes matching input controls.</t>
        </is>
      </c>
      <c r="I63" s="3" t="inlineStr">
        <is>
          <t>Remove/soften unsupported personalization claim, or provide admin/live proof that matching controls work.</t>
        </is>
      </c>
      <c r="J63" s="3" t="inlineStr">
        <is>
          <t>Draft claims name, number personalization but static customizer config does not expose matching input(s).</t>
        </is>
      </c>
      <c r="K63" s="3" t="inlineStr">
        <is>
          <t>Re-open live product and verify the exact name/number/photo input is present and mapped to fulfillment.</t>
        </is>
      </c>
    </row>
    <row r="64" ht="84" customHeight="1">
      <c r="A64" s="2" t="inlineStr">
        <is>
          <t>ISSUE-0063</t>
        </is>
      </c>
      <c r="B64" s="2" t="inlineStr">
        <is>
          <t>jeminise.com+custom-soccer-ball-with-lightning-splash-comforter-set-a11</t>
        </is>
      </c>
      <c r="C64" s="2" t="inlineStr"/>
      <c r="D64" s="2" t="inlineStr">
        <is>
          <t>MAJOR</t>
        </is>
      </c>
      <c r="E64" s="2" t="inlineStr">
        <is>
          <t>description_proposed_html</t>
        </is>
      </c>
      <c r="F64" s="2"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t>
        </is>
      </c>
      <c r="G64" s="2" t="inlineStr">
        <is>
          <t>Draft contains SEO Use / QA approval wording.</t>
        </is>
      </c>
      <c r="H64" s="2" t="inlineStr">
        <is>
          <t>Internal workflow language is not publish-ready storefront copy.</t>
        </is>
      </c>
      <c r="I64" s="2" t="inlineStr">
        <is>
          <t>Remove internal QA/import block and replace with customer-facing verified copy.</t>
        </is>
      </c>
      <c r="J64" s="2" t="inlineStr">
        <is>
          <t>Draft contains SEO Use / QA approval wording.</t>
        </is>
      </c>
      <c r="K64" s="2" t="inlineStr">
        <is>
          <t>Description HTML no longer contains SEO Use, QA, approval, import or draft language.</t>
        </is>
      </c>
    </row>
    <row r="65" ht="84" customHeight="1">
      <c r="A65" s="3" t="inlineStr">
        <is>
          <t>ISSUE-0064</t>
        </is>
      </c>
      <c r="B65" s="3" t="inlineStr">
        <is>
          <t>jeminise.com+custom-soccer-ball-with-lightning-splash-comforter-set-a11</t>
        </is>
      </c>
      <c r="C65" s="3" t="inlineStr"/>
      <c r="D65" s="3" t="inlineStr">
        <is>
          <t>MINOR</t>
        </is>
      </c>
      <c r="E65" s="3" t="inlineStr">
        <is>
          <t>meta_description_seo</t>
        </is>
      </c>
      <c r="F65" s="3" t="inlineStr">
        <is>
          <t>Shop a comforter set featuring dark blue soccer ball with white lightning splash, Lucas name and number 10. Review size and personalization options before checkout.</t>
        </is>
      </c>
      <c r="G65" s="3" t="inlineStr">
        <is>
          <t>Meta description length is 164 characters.</t>
        </is>
      </c>
      <c r="H65" s="3" t="inlineStr">
        <is>
          <t>Likely to truncate in search results and repeats review/personality wording in several rows.</t>
        </is>
      </c>
      <c r="I65" s="3" t="inlineStr">
        <is>
          <t>Rewrite to roughly 145-155 characters while preserving verified design and product type.</t>
        </is>
      </c>
      <c r="J65" s="3" t="inlineStr">
        <is>
          <t>Meta description length is 164 characters.</t>
        </is>
      </c>
      <c r="K65" s="3" t="inlineStr">
        <is>
          <t>Length check &lt;=160 characters and no unsupported claim remains.</t>
        </is>
      </c>
    </row>
    <row r="66" ht="84" customHeight="1">
      <c r="A66" s="2" t="inlineStr">
        <is>
          <t>ISSUE-0065</t>
        </is>
      </c>
      <c r="B66" s="2" t="inlineStr">
        <is>
          <t>jeminise.com+custom-soccer-ball-with-lightning-splash-comforter-set-a11</t>
        </is>
      </c>
      <c r="C66" s="2" t="inlineStr"/>
      <c r="D66" s="2" t="inlineStr">
        <is>
          <t>MAJOR</t>
        </is>
      </c>
      <c r="E66" s="2" t="inlineStr">
        <is>
          <t>keyword_map</t>
        </is>
      </c>
      <c r="F66" s="2" t="inlineStr">
        <is>
          <t>lightning soccer comforter</t>
        </is>
      </c>
      <c r="G66" s="2" t="inlineStr">
        <is>
          <t>https://www.amazon.com/; https://www.pinterest.com/; https://www.authenticsoccer.com/; https://www.amazon.com/; https://www.pinterest.com/; https://www.authenticsoccer.com/</t>
        </is>
      </c>
      <c r="H66" s="2" t="inlineStr">
        <is>
          <t>Batch cluster contains several very similar products, so keyword/intent differentiation must be sharper.</t>
        </is>
      </c>
      <c r="I66" s="2" t="inlineStr">
        <is>
          <t>Add unique visible motif modifiers and avoid assigning the same generic product keyword to multiple URLs.</t>
        </is>
      </c>
      <c r="J66" s="2" t="inlineStr">
        <is>
          <t>https://www.amazon.com/; https://www.pinterest.com/; https://www.authenticsoccer.com/; https://www.amazon.com/; https://www.pinterest.com/; https://www.authenticsoccer.com/</t>
        </is>
      </c>
      <c r="K66" s="2" t="inlineStr">
        <is>
          <t>SERP notes and title/meta show a distinct product-level query for this exact design.</t>
        </is>
      </c>
    </row>
    <row r="67" ht="84" customHeight="1">
      <c r="A67" s="3" t="inlineStr">
        <is>
          <t>ISSUE-0066</t>
        </is>
      </c>
      <c r="B67" s="3" t="inlineStr">
        <is>
          <t>jeminise.com+custom-soccer-ball-with-lightning-splash-comforter-set-a11</t>
        </is>
      </c>
      <c r="C67" s="3" t="inlineStr"/>
      <c r="D67" s="3" t="inlineStr">
        <is>
          <t>LIMITATION</t>
        </is>
      </c>
      <c r="E67" s="3" t="inlineStr">
        <is>
          <t>keyword_evidence_level</t>
        </is>
      </c>
      <c r="F67" s="3" t="inlineStr">
        <is>
          <t>SERP_ONLY</t>
        </is>
      </c>
      <c r="G67" s="3" t="inlineStr">
        <is>
          <t>Only public SERP comparables are available.</t>
        </is>
      </c>
      <c r="H67" s="3" t="inlineStr">
        <is>
          <t>No Search Console, paid keyword volume or internal site search export was supplied.</t>
        </is>
      </c>
      <c r="I67" s="3" t="inlineStr">
        <is>
          <t>Keep demand statements qualitative; do not claim volume or ranking potential.</t>
        </is>
      </c>
      <c r="J67" s="3" t="inlineStr">
        <is>
          <t>Only public SERP comparables are available.</t>
        </is>
      </c>
      <c r="K67" s="3" t="inlineStr">
        <is>
          <t>Additional first-party or paid keyword evidence is attached, or limitation remains documented.</t>
        </is>
      </c>
    </row>
    <row r="68" ht="84" customHeight="1">
      <c r="A68" s="2" t="inlineStr">
        <is>
          <t>ISSUE-0067</t>
        </is>
      </c>
      <c r="B68" s="2" t="inlineStr">
        <is>
          <t>jeminise.com+custom-soccer-ball-with-lightning-splash-comforter-set-a11</t>
        </is>
      </c>
      <c r="C68" s="2" t="inlineStr">
        <is>
          <t>img_17cbf205b69c0647</t>
        </is>
      </c>
      <c r="D68" s="2" t="inlineStr">
        <is>
          <t>MINOR</t>
        </is>
      </c>
      <c r="E68" s="2" t="inlineStr">
        <is>
          <t>alt text</t>
        </is>
      </c>
      <c r="F68" s="2" t="inlineStr">
        <is>
          <t>Personalized Lightning Soccer Ball Comforter displayed in a main product mockup</t>
        </is>
      </c>
      <c r="G68" s="2" t="inlineStr">
        <is>
          <t>Fresh image file: D:\Shopify_Workspace\jeminise_seo\seo_runs\jeminise.com\20260906_234129\qa\20260907_181100\images\107_01.jpg; source URL: https://cdn.shopify.com/s/files/1/0792/5098/1063/files/99c0337aa1a903214fd6d8c8bd8e26623ae3840aacc91fae513643a9bb227f75.jpg?v=1786611005</t>
        </is>
      </c>
      <c r="H68" s="2" t="inlineStr">
        <is>
          <t>Alt text is too generic or describes placement more than visible content.</t>
        </is>
      </c>
      <c r="I68" s="2" t="inlineStr">
        <is>
          <t>Rewrite observation/alt from the directly opened image, naming the visible motif and use context.</t>
        </is>
      </c>
      <c r="J68" s="2" t="inlineStr">
        <is>
          <t>Fresh image file: D:\Shopify_Workspace\jeminise_seo\seo_runs\jeminise.com\20260906_234129\qa\20260907_181100\images\107_01.jpg; source URL: https://cdn.shopify.com/s/files/1/0792/5098/1063/files/99c0337aa1a903214fd6d8c8bd8e26623ae3840aacc91fae513643a9bb227f75.jpg?v=1786611005</t>
        </is>
      </c>
      <c r="K68" s="2" t="inlineStr">
        <is>
          <t>The image row accurately describes the actual media at this gallery position.</t>
        </is>
      </c>
    </row>
    <row r="69" ht="84" customHeight="1">
      <c r="A69" s="3" t="inlineStr">
        <is>
          <t>ISSUE-0068</t>
        </is>
      </c>
      <c r="B69" s="3" t="inlineStr">
        <is>
          <t>jeminise.com+custom-soccer-ball-with-lightning-splash-comforter-set-a11</t>
        </is>
      </c>
      <c r="C69" s="3" t="inlineStr">
        <is>
          <t>img_8c94cafed2f19879</t>
        </is>
      </c>
      <c r="D69" s="3" t="inlineStr">
        <is>
          <t>MINOR</t>
        </is>
      </c>
      <c r="E69" s="3" t="inlineStr">
        <is>
          <t>image observation</t>
        </is>
      </c>
      <c r="F69" s="3" t="inlineStr">
        <is>
          <t>Bedding type, feature, lifestyle or material image for personalized lightning soccer ball comforter with Lucas number 10.</t>
        </is>
      </c>
      <c r="G69" s="3" t="inlineStr">
        <is>
          <t>Fresh image file: D:\Shopify_Workspace\jeminise_seo\seo_runs\jeminise.com\20260906_234129\qa\20260907_181100\images\107_03.jpg; source URL: https://cdn.shopify.com/s/files/1/0792/5098/1063/files/4e804d60961fc10370a298e8612c0ff95ce56d8f156f00a5b5ba1ec7ec563d47.jpg?v=1786611005</t>
        </is>
      </c>
      <c r="H69" s="3" t="inlineStr">
        <is>
          <t>Observation is generic or position-based; rewrite from the actual image content.</t>
        </is>
      </c>
      <c r="I69" s="3" t="inlineStr">
        <is>
          <t>Rewrite observation/alt from the directly opened image, naming the visible motif and use context.</t>
        </is>
      </c>
      <c r="J69" s="3" t="inlineStr">
        <is>
          <t>Fresh image file: D:\Shopify_Workspace\jeminise_seo\seo_runs\jeminise.com\20260906_234129\qa\20260907_181100\images\107_03.jpg; source URL: https://cdn.shopify.com/s/files/1/0792/5098/1063/files/4e804d60961fc10370a298e8612c0ff95ce56d8f156f00a5b5ba1ec7ec563d47.jpg?v=1786611005</t>
        </is>
      </c>
      <c r="K69" s="3" t="inlineStr">
        <is>
          <t>The image row accurately describes the actual media at this gallery position.</t>
        </is>
      </c>
    </row>
    <row r="70" ht="84" customHeight="1">
      <c r="A70" s="2" t="inlineStr">
        <is>
          <t>ISSUE-0069</t>
        </is>
      </c>
      <c r="B70" s="2" t="inlineStr">
        <is>
          <t>jeminise.com+custom-soccer-ball-with-lightning-splash-comforter-set-a11</t>
        </is>
      </c>
      <c r="C70" s="2" t="inlineStr">
        <is>
          <t>img_7556fcd54e48bd07</t>
        </is>
      </c>
      <c r="D70" s="2" t="inlineStr">
        <is>
          <t>MINOR</t>
        </is>
      </c>
      <c r="E70" s="2" t="inlineStr">
        <is>
          <t>image observation</t>
        </is>
      </c>
      <c r="F70" s="2" t="inlineStr">
        <is>
          <t>Detail, feature panel or lifestyle image connected to personalized lightning soccer ball comforter with Lucas number 10.</t>
        </is>
      </c>
      <c r="G70" s="2" t="inlineStr">
        <is>
          <t>Fresh image file: D:\Shopify_Workspace\jeminise_seo\seo_runs\jeminise.com\20260906_234129\qa\20260907_181100\images\107_04.jpg; source URL: https://cdn.shopify.com/s/files/1/0792/5098/1063/files/0b1d1e19cab6d757366a36700f895ecca060303e705a8aece2f5fa486b6770da_ad3381b0-8f12-41ea-826f-8b1b630f53f9.jpg?v=1786611005</t>
        </is>
      </c>
      <c r="H70" s="2" t="inlineStr">
        <is>
          <t>Observation is generic or position-based; rewrite from the actual image content.</t>
        </is>
      </c>
      <c r="I70" s="2" t="inlineStr">
        <is>
          <t>Rewrite observation/alt from the directly opened image, naming the visible motif and use context.</t>
        </is>
      </c>
      <c r="J70" s="2" t="inlineStr">
        <is>
          <t>Fresh image file: D:\Shopify_Workspace\jeminise_seo\seo_runs\jeminise.com\20260906_234129\qa\20260907_181100\images\107_04.jpg; source URL: https://cdn.shopify.com/s/files/1/0792/5098/1063/files/0b1d1e19cab6d757366a36700f895ecca060303e705a8aece2f5fa486b6770da_ad3381b0-8f12-41ea-826f-8b1b630f53f9.jpg?v=1786611005</t>
        </is>
      </c>
      <c r="K70" s="2" t="inlineStr">
        <is>
          <t>The image row accurately describes the actual media at this gallery position.</t>
        </is>
      </c>
    </row>
    <row r="71" ht="84" customHeight="1">
      <c r="A71" s="3" t="inlineStr">
        <is>
          <t>ISSUE-0070</t>
        </is>
      </c>
      <c r="B71" s="3" t="inlineStr">
        <is>
          <t>jeminise.com+custom-soccer-ball-with-lightning-splash-comforter-set-a11</t>
        </is>
      </c>
      <c r="C71" s="3" t="inlineStr">
        <is>
          <t>img_ea5eefa4b71cdfcf</t>
        </is>
      </c>
      <c r="D71" s="3" t="inlineStr">
        <is>
          <t>MINOR</t>
        </is>
      </c>
      <c r="E71" s="3" t="inlineStr">
        <is>
          <t>image observation</t>
        </is>
      </c>
      <c r="F71" s="3" t="inlineStr">
        <is>
          <t>Easy-care, size guide or product feature image for personalized lightning soccer ball comforter with Lucas number 10.</t>
        </is>
      </c>
      <c r="G71" s="3" t="inlineStr">
        <is>
          <t>Fresh image file: D:\Shopify_Workspace\jeminise_seo\seo_runs\jeminise.com\20260906_234129\qa\20260907_181100\images\107_06.jpg; source URL: https://cdn.shopify.com/s/files/1/0792/5098/1063/files/4edb46799f9b82103799a5b6d38c9f1782f7b643f8416b1988caae354b918b0d.jpg?v=1786611005</t>
        </is>
      </c>
      <c r="H71" s="3" t="inlineStr">
        <is>
          <t>Observation is generic or position-based; rewrite from the actual image content.</t>
        </is>
      </c>
      <c r="I71" s="3" t="inlineStr">
        <is>
          <t>Rewrite observation/alt from the directly opened image, naming the visible motif and use context.</t>
        </is>
      </c>
      <c r="J71" s="3" t="inlineStr">
        <is>
          <t>Fresh image file: D:\Shopify_Workspace\jeminise_seo\seo_runs\jeminise.com\20260906_234129\qa\20260907_181100\images\107_06.jpg; source URL: https://cdn.shopify.com/s/files/1/0792/5098/1063/files/4edb46799f9b82103799a5b6d38c9f1782f7b643f8416b1988caae354b918b0d.jpg?v=1786611005</t>
        </is>
      </c>
      <c r="K71" s="3" t="inlineStr">
        <is>
          <t>The image row accurately describes the actual media at this gallery position.</t>
        </is>
      </c>
    </row>
    <row r="72" ht="84" customHeight="1">
      <c r="A72" s="2" t="inlineStr">
        <is>
          <t>ISSUE-0071</t>
        </is>
      </c>
      <c r="B72" s="2" t="inlineStr">
        <is>
          <t>jeminise.com+custom-soccer-ball-with-lightning-splash-comforter-set-a11</t>
        </is>
      </c>
      <c r="C72" s="2" t="inlineStr">
        <is>
          <t>img_71d88816b3212e29</t>
        </is>
      </c>
      <c r="D72" s="2" t="inlineStr">
        <is>
          <t>MINOR</t>
        </is>
      </c>
      <c r="E72" s="2" t="inlineStr">
        <is>
          <t>image observation</t>
        </is>
      </c>
      <c r="F72" s="2" t="inlineStr">
        <is>
          <t>Additional lifestyle, feature or product detail image showing personalized lightning soccer ball comforter with Lucas number 10.</t>
        </is>
      </c>
      <c r="G72" s="2" t="inlineStr">
        <is>
          <t>Fresh image file: D:\Shopify_Workspace\jeminise_seo\seo_runs\jeminise.com\20260906_234129\qa\20260907_181100\images\107_07.jpg; source URL: https://cdn.shopify.com/s/files/1/0792/5098/1063/files/f9477607c6de568da5d083144193776fcd05487159137f454c1cc1e191f3fe04.jpg?v=1786611005</t>
        </is>
      </c>
      <c r="H72" s="2" t="inlineStr">
        <is>
          <t>Observation is generic or position-based; rewrite from the actual image content.</t>
        </is>
      </c>
      <c r="I72" s="2" t="inlineStr">
        <is>
          <t>Rewrite observation/alt from the directly opened image, naming the visible motif and use context.</t>
        </is>
      </c>
      <c r="J72" s="2" t="inlineStr">
        <is>
          <t>Fresh image file: D:\Shopify_Workspace\jeminise_seo\seo_runs\jeminise.com\20260906_234129\qa\20260907_181100\images\107_07.jpg; source URL: https://cdn.shopify.com/s/files/1/0792/5098/1063/files/f9477607c6de568da5d083144193776fcd05487159137f454c1cc1e191f3fe04.jpg?v=1786611005</t>
        </is>
      </c>
      <c r="K72" s="2" t="inlineStr">
        <is>
          <t>The image row accurately describes the actual media at this gallery position.</t>
        </is>
      </c>
    </row>
    <row r="73" ht="84" customHeight="1">
      <c r="A73" s="3" t="inlineStr">
        <is>
          <t>ISSUE-0072</t>
        </is>
      </c>
      <c r="B73" s="3" t="inlineStr">
        <is>
          <t>jeminise.com+custom-soccer-ball-with-lightning-splash-comforter-set-a11</t>
        </is>
      </c>
      <c r="C73" s="3" t="inlineStr">
        <is>
          <t>img_19aa9598f3fb9a54</t>
        </is>
      </c>
      <c r="D73" s="3" t="inlineStr">
        <is>
          <t>MINOR</t>
        </is>
      </c>
      <c r="E73" s="3" t="inlineStr">
        <is>
          <t>image observation</t>
        </is>
      </c>
      <c r="F73" s="3" t="inlineStr">
        <is>
          <t>Additional lifestyle, feature or product detail image showing personalized lightning soccer ball comforter with Lucas number 10.</t>
        </is>
      </c>
      <c r="G73" s="3" t="inlineStr">
        <is>
          <t>Fresh image file: D:\Shopify_Workspace\jeminise_seo\seo_runs\jeminise.com\20260906_234129\qa\20260907_181100\images\107_08.jpg; source URL: https://cdn.shopify.com/s/files/1/0792/5098/1063/files/dd6b2f75d5d331064be3e2ace151f6872c3f1f67675d8c1c7fa00f207341180b_dcd01edf-59bd-4789-a33f-4d7561619c86.jpg?v=1786611005</t>
        </is>
      </c>
      <c r="H73" s="3" t="inlineStr">
        <is>
          <t>Observation is generic or position-based; rewrite from the actual image content.</t>
        </is>
      </c>
      <c r="I73" s="3" t="inlineStr">
        <is>
          <t>Rewrite observation/alt from the directly opened image, naming the visible motif and use context.</t>
        </is>
      </c>
      <c r="J73" s="3" t="inlineStr">
        <is>
          <t>Fresh image file: D:\Shopify_Workspace\jeminise_seo\seo_runs\jeminise.com\20260906_234129\qa\20260907_181100\images\107_08.jpg; source URL: https://cdn.shopify.com/s/files/1/0792/5098/1063/files/dd6b2f75d5d331064be3e2ace151f6872c3f1f67675d8c1c7fa00f207341180b_dcd01edf-59bd-4789-a33f-4d7561619c86.jpg?v=1786611005</t>
        </is>
      </c>
      <c r="K73" s="3" t="inlineStr">
        <is>
          <t>The image row accurately describes the actual media at this gallery position.</t>
        </is>
      </c>
    </row>
    <row r="74" ht="84" customHeight="1">
      <c r="A74" s="2" t="inlineStr">
        <is>
          <t>ISSUE-0073</t>
        </is>
      </c>
      <c r="B74" s="2" t="inlineStr">
        <is>
          <t>jeminise.com+custom-soccer-ball-with-number-07-comforter-set-machine-w-design-17</t>
        </is>
      </c>
      <c r="C74" s="2" t="inlineStr"/>
      <c r="D74" s="2" t="inlineStr">
        <is>
          <t>CRITICAL</t>
        </is>
      </c>
      <c r="E74" s="2" t="inlineStr">
        <is>
          <t>personalization/customizer</t>
        </is>
      </c>
      <c r="F74" s="2"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
        </is>
      </c>
      <c r="G74" s="2" t="inlineStr">
        <is>
          <t>Draft claims name, number personalization but static customizer config does not expose matching input(s).</t>
        </is>
      </c>
      <c r="H74" s="2" t="inlineStr">
        <is>
          <t>Claim is materially unsafe until the live purchase flow exposes matching input controls.</t>
        </is>
      </c>
      <c r="I74" s="2" t="inlineStr">
        <is>
          <t>Remove/soften unsupported personalization claim, or provide admin/live proof that matching controls work.</t>
        </is>
      </c>
      <c r="J74" s="2" t="inlineStr">
        <is>
          <t>Draft claims name, number personalization but static customizer config does not expose matching input(s).</t>
        </is>
      </c>
      <c r="K74" s="2" t="inlineStr">
        <is>
          <t>Re-open live product and verify the exact name/number/photo input is present and mapped to fulfillment.</t>
        </is>
      </c>
    </row>
    <row r="75" ht="84" customHeight="1">
      <c r="A75" s="3" t="inlineStr">
        <is>
          <t>ISSUE-0074</t>
        </is>
      </c>
      <c r="B75" s="3" t="inlineStr">
        <is>
          <t>jeminise.com+custom-soccer-ball-with-number-07-comforter-set-machine-w-design-17</t>
        </is>
      </c>
      <c r="C75" s="3" t="inlineStr"/>
      <c r="D75" s="3" t="inlineStr">
        <is>
          <t>MAJOR</t>
        </is>
      </c>
      <c r="E75" s="3" t="inlineStr">
        <is>
          <t>description_proposed_html</t>
        </is>
      </c>
      <c r="F75" s="3"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
        </is>
      </c>
      <c r="G75" s="3" t="inlineStr">
        <is>
          <t>Draft contains SEO Use / QA approval wording.</t>
        </is>
      </c>
      <c r="H75" s="3" t="inlineStr">
        <is>
          <t>Internal workflow language is not publish-ready storefront copy.</t>
        </is>
      </c>
      <c r="I75" s="3" t="inlineStr">
        <is>
          <t>Remove internal QA/import block and replace with customer-facing verified copy.</t>
        </is>
      </c>
      <c r="J75" s="3" t="inlineStr">
        <is>
          <t>Draft contains SEO Use / QA approval wording.</t>
        </is>
      </c>
      <c r="K75" s="3" t="inlineStr">
        <is>
          <t>Description HTML no longer contains SEO Use, QA, approval, import or draft language.</t>
        </is>
      </c>
    </row>
    <row r="76" ht="84" customHeight="1">
      <c r="A76" s="2" t="inlineStr">
        <is>
          <t>ISSUE-0075</t>
        </is>
      </c>
      <c r="B76" s="2" t="inlineStr">
        <is>
          <t>jeminise.com+custom-soccer-ball-with-number-07-comforter-set-machine-w-design-17</t>
        </is>
      </c>
      <c r="C76" s="2" t="inlineStr"/>
      <c r="D76" s="2" t="inlineStr">
        <is>
          <t>MINOR</t>
        </is>
      </c>
      <c r="E76" s="2" t="inlineStr">
        <is>
          <t>meta_description_seo</t>
        </is>
      </c>
      <c r="F76" s="2" t="inlineStr">
        <is>
          <t>Shop a comforter set featuring white and blue paint-splash soccer ball design with Isaac name and number 07. Review size and personalization options before checkout.</t>
        </is>
      </c>
      <c r="G76" s="2" t="inlineStr">
        <is>
          <t>Meta description length is 165 characters.</t>
        </is>
      </c>
      <c r="H76" s="2" t="inlineStr">
        <is>
          <t>Likely to truncate in search results and repeats review/personality wording in several rows.</t>
        </is>
      </c>
      <c r="I76" s="2" t="inlineStr">
        <is>
          <t>Rewrite to roughly 145-155 characters while preserving verified design and product type.</t>
        </is>
      </c>
      <c r="J76" s="2" t="inlineStr">
        <is>
          <t>Meta description length is 165 characters.</t>
        </is>
      </c>
      <c r="K76" s="2" t="inlineStr">
        <is>
          <t>Length check &lt;=160 characters and no unsupported claim remains.</t>
        </is>
      </c>
    </row>
    <row r="77" ht="84" customHeight="1">
      <c r="A77" s="3" t="inlineStr">
        <is>
          <t>ISSUE-0076</t>
        </is>
      </c>
      <c r="B77" s="3" t="inlineStr">
        <is>
          <t>jeminise.com+custom-soccer-ball-with-number-07-comforter-set-machine-w-design-17</t>
        </is>
      </c>
      <c r="C77" s="3" t="inlineStr"/>
      <c r="D77" s="3" t="inlineStr">
        <is>
          <t>MAJOR</t>
        </is>
      </c>
      <c r="E77" s="3" t="inlineStr">
        <is>
          <t>keyword_map</t>
        </is>
      </c>
      <c r="F77" s="3" t="inlineStr">
        <is>
          <t>soccer ball number comforter</t>
        </is>
      </c>
      <c r="G77" s="3" t="inlineStr">
        <is>
          <t>https://www.amazon.com/; https://www.pinterest.com/; https://www.authenticsoccer.com/; https://www.amazon.com/; https://www.pinterest.com/; https://www.authenticsoccer.com/</t>
        </is>
      </c>
      <c r="H77" s="3" t="inlineStr">
        <is>
          <t>Batch cluster contains several very similar products, so keyword/intent differentiation must be sharper.</t>
        </is>
      </c>
      <c r="I77" s="3" t="inlineStr">
        <is>
          <t>Add unique visible motif modifiers and avoid assigning the same generic product keyword to multiple URLs.</t>
        </is>
      </c>
      <c r="J77" s="3" t="inlineStr">
        <is>
          <t>https://www.amazon.com/; https://www.pinterest.com/; https://www.authenticsoccer.com/; https://www.amazon.com/; https://www.pinterest.com/; https://www.authenticsoccer.com/</t>
        </is>
      </c>
      <c r="K77" s="3" t="inlineStr">
        <is>
          <t>SERP notes and title/meta show a distinct product-level query for this exact design.</t>
        </is>
      </c>
    </row>
    <row r="78" ht="84" customHeight="1">
      <c r="A78" s="2" t="inlineStr">
        <is>
          <t>ISSUE-0077</t>
        </is>
      </c>
      <c r="B78" s="2" t="inlineStr">
        <is>
          <t>jeminise.com+custom-soccer-ball-with-number-07-comforter-set-machine-w-design-17</t>
        </is>
      </c>
      <c r="C78" s="2" t="inlineStr"/>
      <c r="D78" s="2" t="inlineStr">
        <is>
          <t>LIMITATION</t>
        </is>
      </c>
      <c r="E78" s="2" t="inlineStr">
        <is>
          <t>keyword_evidence_level</t>
        </is>
      </c>
      <c r="F78" s="2" t="inlineStr">
        <is>
          <t>SERP_ONLY</t>
        </is>
      </c>
      <c r="G78" s="2" t="inlineStr">
        <is>
          <t>Only public SERP comparables are available.</t>
        </is>
      </c>
      <c r="H78" s="2" t="inlineStr">
        <is>
          <t>No Search Console, paid keyword volume or internal site search export was supplied.</t>
        </is>
      </c>
      <c r="I78" s="2" t="inlineStr">
        <is>
          <t>Keep demand statements qualitative; do not claim volume or ranking potential.</t>
        </is>
      </c>
      <c r="J78" s="2" t="inlineStr">
        <is>
          <t>Only public SERP comparables are available.</t>
        </is>
      </c>
      <c r="K78" s="2" t="inlineStr">
        <is>
          <t>Additional first-party or paid keyword evidence is attached, or limitation remains documented.</t>
        </is>
      </c>
    </row>
    <row r="79" ht="84" customHeight="1">
      <c r="A79" s="3" t="inlineStr">
        <is>
          <t>ISSUE-0078</t>
        </is>
      </c>
      <c r="B79" s="3" t="inlineStr">
        <is>
          <t>jeminise.com+custom-soccer-ball-with-number-07-comforter-set-machine-w-design-17</t>
        </is>
      </c>
      <c r="C79" s="3" t="inlineStr">
        <is>
          <t>img_5768de1fbacbbdec</t>
        </is>
      </c>
      <c r="D79" s="3" t="inlineStr">
        <is>
          <t>MINOR</t>
        </is>
      </c>
      <c r="E79" s="3" t="inlineStr">
        <is>
          <t>alt text</t>
        </is>
      </c>
      <c r="F79" s="3" t="inlineStr">
        <is>
          <t>Personalized Soccer Ball Number Comforter displayed in a main product mockup</t>
        </is>
      </c>
      <c r="G79" s="3" t="inlineStr">
        <is>
          <t>Fresh image file: D:\Shopify_Workspace\jeminise_seo\seo_runs\jeminise.com\20260906_234129\qa\20260907_181100\images\108_01.jpg; source URL: https://cdn.shopify.com/s/files/1/0792/5098/1063/files/91bf412567430222fd923eb6025e10f4826c9605c89111734a5f062094f92ef4.jpg?v=1786611043</t>
        </is>
      </c>
      <c r="H79" s="3" t="inlineStr">
        <is>
          <t>Alt text is too generic or describes placement more than visible content.</t>
        </is>
      </c>
      <c r="I79" s="3" t="inlineStr">
        <is>
          <t>Rewrite observation/alt from the directly opened image, naming the visible motif and use context.</t>
        </is>
      </c>
      <c r="J79" s="3" t="inlineStr">
        <is>
          <t>Fresh image file: D:\Shopify_Workspace\jeminise_seo\seo_runs\jeminise.com\20260906_234129\qa\20260907_181100\images\108_01.jpg; source URL: https://cdn.shopify.com/s/files/1/0792/5098/1063/files/91bf412567430222fd923eb6025e10f4826c9605c89111734a5f062094f92ef4.jpg?v=1786611043</t>
        </is>
      </c>
      <c r="K79" s="3" t="inlineStr">
        <is>
          <t>The image row accurately describes the actual media at this gallery position.</t>
        </is>
      </c>
    </row>
    <row r="80" ht="84" customHeight="1">
      <c r="A80" s="2" t="inlineStr">
        <is>
          <t>ISSUE-0079</t>
        </is>
      </c>
      <c r="B80" s="2" t="inlineStr">
        <is>
          <t>jeminise.com+custom-soccer-ball-with-number-07-comforter-set-machine-w-design-17</t>
        </is>
      </c>
      <c r="C80" s="2" t="inlineStr">
        <is>
          <t>img_38f7be0def600efa</t>
        </is>
      </c>
      <c r="D80" s="2" t="inlineStr">
        <is>
          <t>MINOR</t>
        </is>
      </c>
      <c r="E80" s="2" t="inlineStr">
        <is>
          <t>image observation</t>
        </is>
      </c>
      <c r="F80" s="2" t="inlineStr">
        <is>
          <t>Bedding type, feature, lifestyle or material image for personalized soccer ball number 07 comforter with Isaac.</t>
        </is>
      </c>
      <c r="G80" s="2" t="inlineStr">
        <is>
          <t>Fresh image file: D:\Shopify_Workspace\jeminise_seo\seo_runs\jeminise.com\20260906_234129\qa\20260907_181100\images\108_03.jpg; source URL: https://cdn.shopify.com/s/files/1/0792/5098/1063/files/5921b3a6552e3ebdb61cdcfd51f1dfa3145e5562d9a445bcaae4cd8065d33658.jpg?v=1786611043</t>
        </is>
      </c>
      <c r="H80" s="2" t="inlineStr">
        <is>
          <t>Observation is generic or position-based; rewrite from the actual image content.</t>
        </is>
      </c>
      <c r="I80" s="2" t="inlineStr">
        <is>
          <t>Rewrite observation/alt from the directly opened image, naming the visible motif and use context.</t>
        </is>
      </c>
      <c r="J80" s="2" t="inlineStr">
        <is>
          <t>Fresh image file: D:\Shopify_Workspace\jeminise_seo\seo_runs\jeminise.com\20260906_234129\qa\20260907_181100\images\108_03.jpg; source URL: https://cdn.shopify.com/s/files/1/0792/5098/1063/files/5921b3a6552e3ebdb61cdcfd51f1dfa3145e5562d9a445bcaae4cd8065d33658.jpg?v=1786611043</t>
        </is>
      </c>
      <c r="K80" s="2" t="inlineStr">
        <is>
          <t>The image row accurately describes the actual media at this gallery position.</t>
        </is>
      </c>
    </row>
    <row r="81" ht="84" customHeight="1">
      <c r="A81" s="3" t="inlineStr">
        <is>
          <t>ISSUE-0080</t>
        </is>
      </c>
      <c r="B81" s="3" t="inlineStr">
        <is>
          <t>jeminise.com+custom-soccer-ball-with-number-07-comforter-set-machine-w-design-17</t>
        </is>
      </c>
      <c r="C81" s="3" t="inlineStr">
        <is>
          <t>img_2f19da569e6208cc</t>
        </is>
      </c>
      <c r="D81" s="3" t="inlineStr">
        <is>
          <t>MINOR</t>
        </is>
      </c>
      <c r="E81" s="3" t="inlineStr">
        <is>
          <t>image observation</t>
        </is>
      </c>
      <c r="F81" s="3" t="inlineStr">
        <is>
          <t>Detail, feature panel or lifestyle image connected to personalized soccer ball number 07 comforter with Isaac.</t>
        </is>
      </c>
      <c r="G81" s="3" t="inlineStr">
        <is>
          <t>Fresh image file: D:\Shopify_Workspace\jeminise_seo\seo_runs\jeminise.com\20260906_234129\qa\20260907_181100\images\108_04.jpg; source URL: https://cdn.shopify.com/s/files/1/0792/5098/1063/files/8915ff40073ca5d3c05e6bf212701da7635e4e3e8b623331a3f20f312315416a.jpg?v=1786611043</t>
        </is>
      </c>
      <c r="H81" s="3" t="inlineStr">
        <is>
          <t>Observation is generic or position-based; rewrite from the actual image content.</t>
        </is>
      </c>
      <c r="I81" s="3" t="inlineStr">
        <is>
          <t>Rewrite observation/alt from the directly opened image, naming the visible motif and use context.</t>
        </is>
      </c>
      <c r="J81" s="3" t="inlineStr">
        <is>
          <t>Fresh image file: D:\Shopify_Workspace\jeminise_seo\seo_runs\jeminise.com\20260906_234129\qa\20260907_181100\images\108_04.jpg; source URL: https://cdn.shopify.com/s/files/1/0792/5098/1063/files/8915ff40073ca5d3c05e6bf212701da7635e4e3e8b623331a3f20f312315416a.jpg?v=1786611043</t>
        </is>
      </c>
      <c r="K81" s="3" t="inlineStr">
        <is>
          <t>The image row accurately describes the actual media at this gallery position.</t>
        </is>
      </c>
    </row>
    <row r="82" ht="84" customHeight="1">
      <c r="A82" s="2" t="inlineStr">
        <is>
          <t>ISSUE-0081</t>
        </is>
      </c>
      <c r="B82" s="2" t="inlineStr">
        <is>
          <t>jeminise.com+custom-soccer-ball-with-number-07-comforter-set-machine-w-design-17</t>
        </is>
      </c>
      <c r="C82" s="2" t="inlineStr">
        <is>
          <t>img_62e2935461ecb579</t>
        </is>
      </c>
      <c r="D82" s="2" t="inlineStr">
        <is>
          <t>MINOR</t>
        </is>
      </c>
      <c r="E82" s="2" t="inlineStr">
        <is>
          <t>image observation</t>
        </is>
      </c>
      <c r="F82" s="2" t="inlineStr">
        <is>
          <t>Easy-care, size guide or product feature image for personalized soccer ball number 07 comforter with Isaac.</t>
        </is>
      </c>
      <c r="G82" s="2" t="inlineStr">
        <is>
          <t>Fresh image file: D:\Shopify_Workspace\jeminise_seo\seo_runs\jeminise.com\20260906_234129\qa\20260907_181100\images\108_06.jpg; source URL: https://cdn.shopify.com/s/files/1/0792/5098/1063/files/ee0b4798b32779dd09e0d1fb674f076dc4cfa4a148d92219e582e7833d8d2fd3.jpg?v=1786611043</t>
        </is>
      </c>
      <c r="H82" s="2" t="inlineStr">
        <is>
          <t>Observation is generic or position-based; rewrite from the actual image content.</t>
        </is>
      </c>
      <c r="I82" s="2" t="inlineStr">
        <is>
          <t>Rewrite observation/alt from the directly opened image, naming the visible motif and use context.</t>
        </is>
      </c>
      <c r="J82" s="2" t="inlineStr">
        <is>
          <t>Fresh image file: D:\Shopify_Workspace\jeminise_seo\seo_runs\jeminise.com\20260906_234129\qa\20260907_181100\images\108_06.jpg; source URL: https://cdn.shopify.com/s/files/1/0792/5098/1063/files/ee0b4798b32779dd09e0d1fb674f076dc4cfa4a148d92219e582e7833d8d2fd3.jpg?v=1786611043</t>
        </is>
      </c>
      <c r="K82" s="2" t="inlineStr">
        <is>
          <t>The image row accurately describes the actual media at this gallery position.</t>
        </is>
      </c>
    </row>
    <row r="83" ht="84" customHeight="1">
      <c r="A83" s="3" t="inlineStr">
        <is>
          <t>ISSUE-0082</t>
        </is>
      </c>
      <c r="B83" s="3" t="inlineStr">
        <is>
          <t>jeminise.com+custom-soccer-ball-with-number-07-comforter-set-machine-w-design-17</t>
        </is>
      </c>
      <c r="C83" s="3" t="inlineStr">
        <is>
          <t>img_b30464094db20bfd</t>
        </is>
      </c>
      <c r="D83" s="3" t="inlineStr">
        <is>
          <t>MINOR</t>
        </is>
      </c>
      <c r="E83" s="3" t="inlineStr">
        <is>
          <t>image observation</t>
        </is>
      </c>
      <c r="F83" s="3" t="inlineStr">
        <is>
          <t>Additional lifestyle, feature or product detail image showing personalized soccer ball number 07 comforter with Isaac.</t>
        </is>
      </c>
      <c r="G83" s="3" t="inlineStr">
        <is>
          <t>Fresh image file: D:\Shopify_Workspace\jeminise_seo\seo_runs\jeminise.com\20260906_234129\qa\20260907_181100\images\108_07.jpg; source URL: https://cdn.shopify.com/s/files/1/0792/5098/1063/files/dd6b2f75d5d331064be3e2ace151f6872c3f1f67675d8c1c7fa00f207341180b_fde49913-84ae-4485-af7c-4e189c410f22.jpg?v=1786611043</t>
        </is>
      </c>
      <c r="H83" s="3" t="inlineStr">
        <is>
          <t>Observation is generic or position-based; rewrite from the actual image content.</t>
        </is>
      </c>
      <c r="I83" s="3" t="inlineStr">
        <is>
          <t>Rewrite observation/alt from the directly opened image, naming the visible motif and use context.</t>
        </is>
      </c>
      <c r="J83" s="3" t="inlineStr">
        <is>
          <t>Fresh image file: D:\Shopify_Workspace\jeminise_seo\seo_runs\jeminise.com\20260906_234129\qa\20260907_181100\images\108_07.jpg; source URL: https://cdn.shopify.com/s/files/1/0792/5098/1063/files/dd6b2f75d5d331064be3e2ace151f6872c3f1f67675d8c1c7fa00f207341180b_fde49913-84ae-4485-af7c-4e189c410f22.jpg?v=1786611043</t>
        </is>
      </c>
      <c r="K83" s="3" t="inlineStr">
        <is>
          <t>The image row accurately describes the actual media at this gallery position.</t>
        </is>
      </c>
    </row>
    <row r="84" ht="84" customHeight="1">
      <c r="A84" s="2" t="inlineStr">
        <is>
          <t>ISSUE-0083</t>
        </is>
      </c>
      <c r="B84" s="2" t="inlineStr">
        <is>
          <t>jeminise.com+custom-soccer-ball-with-number-07-comforter-set-machine-w-design-17</t>
        </is>
      </c>
      <c r="C84" s="2" t="inlineStr">
        <is>
          <t>img_809547173e41594f</t>
        </is>
      </c>
      <c r="D84" s="2" t="inlineStr">
        <is>
          <t>MINOR</t>
        </is>
      </c>
      <c r="E84" s="2" t="inlineStr">
        <is>
          <t>image observation</t>
        </is>
      </c>
      <c r="F84" s="2" t="inlineStr">
        <is>
          <t>Additional lifestyle, feature or product detail image showing personalized soccer ball number 07 comforter with Isaac.</t>
        </is>
      </c>
      <c r="G84" s="2" t="inlineStr">
        <is>
          <t>Fresh image file: D:\Shopify_Workspace\jeminise_seo\seo_runs\jeminise.com\20260906_234129\qa\20260907_181100\images\108_08.jpg; source URL: https://cdn.shopify.com/s/files/1/0792/5098/1063/files/d761ea3ae4f4c0b26b7473177b21a616c5199552823ec637c64fe7b0d6b0f12f_0edc7eea-7c34-4e9e-8459-d2e8633eed35.jpg?v=1786611043</t>
        </is>
      </c>
      <c r="H84" s="2" t="inlineStr">
        <is>
          <t>Observation is generic or position-based; rewrite from the actual image content.</t>
        </is>
      </c>
      <c r="I84" s="2" t="inlineStr">
        <is>
          <t>Rewrite observation/alt from the directly opened image, naming the visible motif and use context.</t>
        </is>
      </c>
      <c r="J84" s="2" t="inlineStr">
        <is>
          <t>Fresh image file: D:\Shopify_Workspace\jeminise_seo\seo_runs\jeminise.com\20260906_234129\qa\20260907_181100\images\108_08.jpg; source URL: https://cdn.shopify.com/s/files/1/0792/5098/1063/files/d761ea3ae4f4c0b26b7473177b21a616c5199552823ec637c64fe7b0d6b0f12f_0edc7eea-7c34-4e9e-8459-d2e8633eed35.jpg?v=1786611043</t>
        </is>
      </c>
      <c r="K84" s="2" t="inlineStr">
        <is>
          <t>The image row accurately describes the actual media at this gallery position.</t>
        </is>
      </c>
    </row>
    <row r="85" ht="84" customHeight="1">
      <c r="A85" s="3" t="inlineStr">
        <is>
          <t>ISSUE-0084</t>
        </is>
      </c>
      <c r="B85" s="3" t="inlineStr">
        <is>
          <t>jeminise.com+custom-soccer-goal-splash-bedding-comforter-set-machine-washable</t>
        </is>
      </c>
      <c r="C85" s="3" t="inlineStr"/>
      <c r="D85" s="3" t="inlineStr">
        <is>
          <t>CRITICAL</t>
        </is>
      </c>
      <c r="E85" s="3" t="inlineStr">
        <is>
          <t>personalization/customizer</t>
        </is>
      </c>
      <c r="F85" s="3"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
        </is>
      </c>
      <c r="G85" s="3" t="inlineStr">
        <is>
          <t>Draft claims name, number personalization but static customizer config does not expose matching input(s).</t>
        </is>
      </c>
      <c r="H85" s="3" t="inlineStr">
        <is>
          <t>Claim is materially unsafe until the live purchase flow exposes matching input controls.</t>
        </is>
      </c>
      <c r="I85" s="3" t="inlineStr">
        <is>
          <t>Remove/soften unsupported personalization claim, or provide admin/live proof that matching controls work.</t>
        </is>
      </c>
      <c r="J85" s="3" t="inlineStr">
        <is>
          <t>Draft claims name, number personalization but static customizer config does not expose matching input(s).</t>
        </is>
      </c>
      <c r="K85" s="3" t="inlineStr">
        <is>
          <t>Re-open live product and verify the exact name/number/photo input is present and mapped to fulfillment.</t>
        </is>
      </c>
    </row>
    <row r="86" ht="84" customHeight="1">
      <c r="A86" s="2" t="inlineStr">
        <is>
          <t>ISSUE-0085</t>
        </is>
      </c>
      <c r="B86" s="2" t="inlineStr">
        <is>
          <t>jeminise.com+custom-soccer-goal-splash-bedding-comforter-set-machine-washable</t>
        </is>
      </c>
      <c r="C86" s="2" t="inlineStr"/>
      <c r="D86" s="2" t="inlineStr">
        <is>
          <t>MAJOR</t>
        </is>
      </c>
      <c r="E86" s="2" t="inlineStr">
        <is>
          <t>description_proposed_html</t>
        </is>
      </c>
      <c r="F86" s="2"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
        </is>
      </c>
      <c r="G86" s="2" t="inlineStr">
        <is>
          <t>Draft contains SEO Use / QA approval wording.</t>
        </is>
      </c>
      <c r="H86" s="2" t="inlineStr">
        <is>
          <t>Internal workflow language is not publish-ready storefront copy.</t>
        </is>
      </c>
      <c r="I86" s="2" t="inlineStr">
        <is>
          <t>Remove internal QA/import block and replace with customer-facing verified copy.</t>
        </is>
      </c>
      <c r="J86" s="2" t="inlineStr">
        <is>
          <t>Draft contains SEO Use / QA approval wording.</t>
        </is>
      </c>
      <c r="K86" s="2" t="inlineStr">
        <is>
          <t>Description HTML no longer contains SEO Use, QA, approval, import or draft language.</t>
        </is>
      </c>
    </row>
    <row r="87" ht="84" customHeight="1">
      <c r="A87" s="3" t="inlineStr">
        <is>
          <t>ISSUE-0086</t>
        </is>
      </c>
      <c r="B87" s="3" t="inlineStr">
        <is>
          <t>jeminise.com+custom-soccer-goal-splash-bedding-comforter-set-machine-washable</t>
        </is>
      </c>
      <c r="C87" s="3" t="inlineStr"/>
      <c r="D87" s="3" t="inlineStr">
        <is>
          <t>MINOR</t>
        </is>
      </c>
      <c r="E87" s="3" t="inlineStr">
        <is>
          <t>meta_description_seo</t>
        </is>
      </c>
      <c r="F87" s="3" t="inlineStr">
        <is>
          <t>Shop a comforter set featuring green soccer ball goal splash artwork with James name and main number 07. Review size and personalization options before checkout.</t>
        </is>
      </c>
      <c r="G87" s="3" t="inlineStr">
        <is>
          <t>Meta description length is 161 characters.</t>
        </is>
      </c>
      <c r="H87" s="3" t="inlineStr">
        <is>
          <t>Likely to truncate in search results and repeats review/personality wording in several rows.</t>
        </is>
      </c>
      <c r="I87" s="3" t="inlineStr">
        <is>
          <t>Rewrite to roughly 145-155 characters while preserving verified design and product type.</t>
        </is>
      </c>
      <c r="J87" s="3" t="inlineStr">
        <is>
          <t>Meta description length is 161 characters.</t>
        </is>
      </c>
      <c r="K87" s="3" t="inlineStr">
        <is>
          <t>Length check &lt;=160 characters and no unsupported claim remains.</t>
        </is>
      </c>
    </row>
    <row r="88" ht="84" customHeight="1">
      <c r="A88" s="2" t="inlineStr">
        <is>
          <t>ISSUE-0087</t>
        </is>
      </c>
      <c r="B88" s="2" t="inlineStr">
        <is>
          <t>jeminise.com+custom-soccer-goal-splash-bedding-comforter-set-machine-washable</t>
        </is>
      </c>
      <c r="C88" s="2" t="inlineStr"/>
      <c r="D88" s="2" t="inlineStr">
        <is>
          <t>MAJOR</t>
        </is>
      </c>
      <c r="E88" s="2" t="inlineStr">
        <is>
          <t>keyword_map</t>
        </is>
      </c>
      <c r="F88" s="2" t="inlineStr">
        <is>
          <t>green soccer goal comforter</t>
        </is>
      </c>
      <c r="G88" s="2" t="inlineStr">
        <is>
          <t>https://www.amazon.com/; https://www.pinterest.com/; https://www.authenticsoccer.com/; https://www.amazon.com/; https://www.pinterest.com/; https://www.authenticsoccer.com/</t>
        </is>
      </c>
      <c r="H88" s="2" t="inlineStr">
        <is>
          <t>Batch cluster contains several very similar products, so keyword/intent differentiation must be sharper.</t>
        </is>
      </c>
      <c r="I88" s="2" t="inlineStr">
        <is>
          <t>Add unique visible motif modifiers and avoid assigning the same generic product keyword to multiple URLs.</t>
        </is>
      </c>
      <c r="J88" s="2" t="inlineStr">
        <is>
          <t>https://www.amazon.com/; https://www.pinterest.com/; https://www.authenticsoccer.com/; https://www.amazon.com/; https://www.pinterest.com/; https://www.authenticsoccer.com/</t>
        </is>
      </c>
      <c r="K88" s="2" t="inlineStr">
        <is>
          <t>SERP notes and title/meta show a distinct product-level query for this exact design.</t>
        </is>
      </c>
    </row>
    <row r="89" ht="84" customHeight="1">
      <c r="A89" s="3" t="inlineStr">
        <is>
          <t>ISSUE-0088</t>
        </is>
      </c>
      <c r="B89" s="3" t="inlineStr">
        <is>
          <t>jeminise.com+custom-soccer-goal-splash-bedding-comforter-set-machine-washable</t>
        </is>
      </c>
      <c r="C89" s="3" t="inlineStr"/>
      <c r="D89" s="3" t="inlineStr">
        <is>
          <t>LIMITATION</t>
        </is>
      </c>
      <c r="E89" s="3" t="inlineStr">
        <is>
          <t>keyword_evidence_level</t>
        </is>
      </c>
      <c r="F89" s="3" t="inlineStr">
        <is>
          <t>SERP_ONLY</t>
        </is>
      </c>
      <c r="G89" s="3" t="inlineStr">
        <is>
          <t>Only public SERP comparables are available.</t>
        </is>
      </c>
      <c r="H89" s="3" t="inlineStr">
        <is>
          <t>No Search Console, paid keyword volume or internal site search export was supplied.</t>
        </is>
      </c>
      <c r="I89" s="3" t="inlineStr">
        <is>
          <t>Keep demand statements qualitative; do not claim volume or ranking potential.</t>
        </is>
      </c>
      <c r="J89" s="3" t="inlineStr">
        <is>
          <t>Only public SERP comparables are available.</t>
        </is>
      </c>
      <c r="K89" s="3" t="inlineStr">
        <is>
          <t>Additional first-party or paid keyword evidence is attached, or limitation remains documented.</t>
        </is>
      </c>
    </row>
    <row r="90" ht="84" customHeight="1">
      <c r="A90" s="2" t="inlineStr">
        <is>
          <t>ISSUE-0089</t>
        </is>
      </c>
      <c r="B90" s="2" t="inlineStr">
        <is>
          <t>jeminise.com+custom-soccer-goal-splash-bedding-comforter-set-machine-washable</t>
        </is>
      </c>
      <c r="C90" s="2" t="inlineStr">
        <is>
          <t>img_c482bc9770588f26</t>
        </is>
      </c>
      <c r="D90" s="2" t="inlineStr">
        <is>
          <t>MINOR</t>
        </is>
      </c>
      <c r="E90" s="2" t="inlineStr">
        <is>
          <t>alt text</t>
        </is>
      </c>
      <c r="F90" s="2" t="inlineStr">
        <is>
          <t>Personalized Green Soccer Goal Comforter displayed in a main product mockup</t>
        </is>
      </c>
      <c r="G90" s="2" t="inlineStr">
        <is>
          <t>Fresh image file: D:\Shopify_Workspace\jeminise_seo\seo_runs\jeminise.com\20260906_234129\qa\20260907_181100\images\109_01.jpg; source URL: https://cdn.shopify.com/s/files/1/0792/5098/1063/files/a548b7a12b46780de719980f5aebe8bad1e9ad2c7c30734bccbfe2dcfe856d73.jpg?v=1786611048</t>
        </is>
      </c>
      <c r="H90" s="2" t="inlineStr">
        <is>
          <t>Alt text is too generic or describes placement more than visible content.</t>
        </is>
      </c>
      <c r="I90" s="2" t="inlineStr">
        <is>
          <t>Rewrite observation/alt from the directly opened image, naming the visible motif and use context.</t>
        </is>
      </c>
      <c r="J90" s="2" t="inlineStr">
        <is>
          <t>Fresh image file: D:\Shopify_Workspace\jeminise_seo\seo_runs\jeminise.com\20260906_234129\qa\20260907_181100\images\109_01.jpg; source URL: https://cdn.shopify.com/s/files/1/0792/5098/1063/files/a548b7a12b46780de719980f5aebe8bad1e9ad2c7c30734bccbfe2dcfe856d73.jpg?v=1786611048</t>
        </is>
      </c>
      <c r="K90" s="2" t="inlineStr">
        <is>
          <t>The image row accurately describes the actual media at this gallery position.</t>
        </is>
      </c>
    </row>
    <row r="91" ht="84" customHeight="1">
      <c r="A91" s="3" t="inlineStr">
        <is>
          <t>ISSUE-0090</t>
        </is>
      </c>
      <c r="B91" s="3" t="inlineStr">
        <is>
          <t>jeminise.com+custom-soccer-goal-splash-bedding-comforter-set-machine-washable</t>
        </is>
      </c>
      <c r="C91" s="3" t="inlineStr">
        <is>
          <t>img_cd11248b347d89d4</t>
        </is>
      </c>
      <c r="D91" s="3" t="inlineStr">
        <is>
          <t>MINOR</t>
        </is>
      </c>
      <c r="E91" s="3" t="inlineStr">
        <is>
          <t>image observation</t>
        </is>
      </c>
      <c r="F91" s="3" t="inlineStr">
        <is>
          <t>Bedding type, feature, lifestyle or material image for personalized green soccer goal splash comforter with James.</t>
        </is>
      </c>
      <c r="G91" s="3" t="inlineStr">
        <is>
          <t>Fresh image file: D:\Shopify_Workspace\jeminise_seo\seo_runs\jeminise.com\20260906_234129\qa\20260907_181100\images\109_03.jpg; source URL: https://cdn.shopify.com/s/files/1/0792/5098/1063/files/345f34fa489840aa22aa3a0e090018fd9c82df0bdc286e0c1eb2432811f14b79.jpg?v=1786611048</t>
        </is>
      </c>
      <c r="H91" s="3" t="inlineStr">
        <is>
          <t>Observation is generic or position-based; rewrite from the actual image content.</t>
        </is>
      </c>
      <c r="I91" s="3" t="inlineStr">
        <is>
          <t>Rewrite observation/alt from the directly opened image, naming the visible motif and use context.</t>
        </is>
      </c>
      <c r="J91" s="3" t="inlineStr">
        <is>
          <t>Fresh image file: D:\Shopify_Workspace\jeminise_seo\seo_runs\jeminise.com\20260906_234129\qa\20260907_181100\images\109_03.jpg; source URL: https://cdn.shopify.com/s/files/1/0792/5098/1063/files/345f34fa489840aa22aa3a0e090018fd9c82df0bdc286e0c1eb2432811f14b79.jpg?v=1786611048</t>
        </is>
      </c>
      <c r="K91" s="3" t="inlineStr">
        <is>
          <t>The image row accurately describes the actual media at this gallery position.</t>
        </is>
      </c>
    </row>
    <row r="92" ht="84" customHeight="1">
      <c r="A92" s="2" t="inlineStr">
        <is>
          <t>ISSUE-0091</t>
        </is>
      </c>
      <c r="B92" s="2" t="inlineStr">
        <is>
          <t>jeminise.com+custom-soccer-goal-splash-bedding-comforter-set-machine-washable</t>
        </is>
      </c>
      <c r="C92" s="2" t="inlineStr">
        <is>
          <t>img_2616ae3eb1fcab63</t>
        </is>
      </c>
      <c r="D92" s="2" t="inlineStr">
        <is>
          <t>MINOR</t>
        </is>
      </c>
      <c r="E92" s="2" t="inlineStr">
        <is>
          <t>image observation</t>
        </is>
      </c>
      <c r="F92" s="2" t="inlineStr">
        <is>
          <t>Detail, feature panel or lifestyle image connected to personalized green soccer goal splash comforter with James.</t>
        </is>
      </c>
      <c r="G92" s="2" t="inlineStr">
        <is>
          <t>Fresh image file: D:\Shopify_Workspace\jeminise_seo\seo_runs\jeminise.com\20260906_234129\qa\20260907_181100\images\109_04.jpg; source URL: https://cdn.shopify.com/s/files/1/0792/5098/1063/files/0b1d1e19cab6d757366a36700f895ecca060303e705a8aece2f5fa486b6770da_c3389c8f-7a06-4fdc-96a5-ca5c521b6b7f.jpg?v=1786611048</t>
        </is>
      </c>
      <c r="H92" s="2" t="inlineStr">
        <is>
          <t>Observation is generic or position-based; rewrite from the actual image content.</t>
        </is>
      </c>
      <c r="I92" s="2" t="inlineStr">
        <is>
          <t>Rewrite observation/alt from the directly opened image, naming the visible motif and use context.</t>
        </is>
      </c>
      <c r="J92" s="2" t="inlineStr">
        <is>
          <t>Fresh image file: D:\Shopify_Workspace\jeminise_seo\seo_runs\jeminise.com\20260906_234129\qa\20260907_181100\images\109_04.jpg; source URL: https://cdn.shopify.com/s/files/1/0792/5098/1063/files/0b1d1e19cab6d757366a36700f895ecca060303e705a8aece2f5fa486b6770da_c3389c8f-7a06-4fdc-96a5-ca5c521b6b7f.jpg?v=1786611048</t>
        </is>
      </c>
      <c r="K92" s="2" t="inlineStr">
        <is>
          <t>The image row accurately describes the actual media at this gallery position.</t>
        </is>
      </c>
    </row>
    <row r="93" ht="84" customHeight="1">
      <c r="A93" s="3" t="inlineStr">
        <is>
          <t>ISSUE-0092</t>
        </is>
      </c>
      <c r="B93" s="3" t="inlineStr">
        <is>
          <t>jeminise.com+custom-soccer-goal-splash-bedding-comforter-set-machine-washable</t>
        </is>
      </c>
      <c r="C93" s="3" t="inlineStr">
        <is>
          <t>img_2f889cea2a968d7e</t>
        </is>
      </c>
      <c r="D93" s="3" t="inlineStr">
        <is>
          <t>MINOR</t>
        </is>
      </c>
      <c r="E93" s="3" t="inlineStr">
        <is>
          <t>image observation</t>
        </is>
      </c>
      <c r="F93" s="3" t="inlineStr">
        <is>
          <t>Easy-care, size guide or product feature image for personalized green soccer goal splash comforter with James.</t>
        </is>
      </c>
      <c r="G93" s="3" t="inlineStr">
        <is>
          <t>Fresh image file: D:\Shopify_Workspace\jeminise_seo\seo_runs\jeminise.com\20260906_234129\qa\20260907_181100\images\109_06.jpg; source URL: https://cdn.shopify.com/s/files/1/0792/5098/1063/files/e0f4f6d6fb487b2ea1c8b7aef407d92df149557cd53c6130d47a131bbd2dc16d.jpg?v=1786611048</t>
        </is>
      </c>
      <c r="H93" s="3" t="inlineStr">
        <is>
          <t>Observation is generic or position-based; rewrite from the actual image content.</t>
        </is>
      </c>
      <c r="I93" s="3" t="inlineStr">
        <is>
          <t>Rewrite observation/alt from the directly opened image, naming the visible motif and use context.</t>
        </is>
      </c>
      <c r="J93" s="3" t="inlineStr">
        <is>
          <t>Fresh image file: D:\Shopify_Workspace\jeminise_seo\seo_runs\jeminise.com\20260906_234129\qa\20260907_181100\images\109_06.jpg; source URL: https://cdn.shopify.com/s/files/1/0792/5098/1063/files/e0f4f6d6fb487b2ea1c8b7aef407d92df149557cd53c6130d47a131bbd2dc16d.jpg?v=1786611048</t>
        </is>
      </c>
      <c r="K93" s="3" t="inlineStr">
        <is>
          <t>The image row accurately describes the actual media at this gallery position.</t>
        </is>
      </c>
    </row>
    <row r="94" ht="84" customHeight="1">
      <c r="A94" s="2" t="inlineStr">
        <is>
          <t>ISSUE-0093</t>
        </is>
      </c>
      <c r="B94" s="2" t="inlineStr">
        <is>
          <t>jeminise.com+custom-soccer-goal-splash-bedding-comforter-set-machine-washable</t>
        </is>
      </c>
      <c r="C94" s="2" t="inlineStr">
        <is>
          <t>img_3fb9928d2ff910da</t>
        </is>
      </c>
      <c r="D94" s="2" t="inlineStr">
        <is>
          <t>MINOR</t>
        </is>
      </c>
      <c r="E94" s="2" t="inlineStr">
        <is>
          <t>image observation</t>
        </is>
      </c>
      <c r="F94" s="2" t="inlineStr">
        <is>
          <t>Additional lifestyle, feature or product detail image showing personalized green soccer goal splash comforter with James.</t>
        </is>
      </c>
      <c r="G94" s="2" t="inlineStr">
        <is>
          <t>Fresh image file: D:\Shopify_Workspace\jeminise_seo\seo_runs\jeminise.com\20260906_234129\qa\20260907_181100\images\109_07.jpg; source URL: https://cdn.shopify.com/s/files/1/0792/5098/1063/files/dd6b2f75d5d331064be3e2ace151f6872c3f1f67675d8c1c7fa00f207341180b_a281baad-d8bd-45c6-9029-cb6ec16f9e8e.jpg?v=1786611048</t>
        </is>
      </c>
      <c r="H94" s="2" t="inlineStr">
        <is>
          <t>Observation is generic or position-based; rewrite from the actual image content.</t>
        </is>
      </c>
      <c r="I94" s="2" t="inlineStr">
        <is>
          <t>Rewrite observation/alt from the directly opened image, naming the visible motif and use context.</t>
        </is>
      </c>
      <c r="J94" s="2" t="inlineStr">
        <is>
          <t>Fresh image file: D:\Shopify_Workspace\jeminise_seo\seo_runs\jeminise.com\20260906_234129\qa\20260907_181100\images\109_07.jpg; source URL: https://cdn.shopify.com/s/files/1/0792/5098/1063/files/dd6b2f75d5d331064be3e2ace151f6872c3f1f67675d8c1c7fa00f207341180b_a281baad-d8bd-45c6-9029-cb6ec16f9e8e.jpg?v=1786611048</t>
        </is>
      </c>
      <c r="K94" s="2" t="inlineStr">
        <is>
          <t>The image row accurately describes the actual media at this gallery position.</t>
        </is>
      </c>
    </row>
    <row r="95" ht="84" customHeight="1">
      <c r="A95" s="3" t="inlineStr">
        <is>
          <t>ISSUE-0094</t>
        </is>
      </c>
      <c r="B95" s="3" t="inlineStr">
        <is>
          <t>jeminise.com+custom-soccer-net-with-number-07-comforter-set-machine-washable-a7</t>
        </is>
      </c>
      <c r="C95" s="3" t="inlineStr"/>
      <c r="D95" s="3" t="inlineStr">
        <is>
          <t>CRITICAL</t>
        </is>
      </c>
      <c r="E95" s="3" t="inlineStr">
        <is>
          <t>personalization/customizer</t>
        </is>
      </c>
      <c r="F95" s="3"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t>
        </is>
      </c>
      <c r="G95" s="3" t="inlineStr">
        <is>
          <t>Draft claims name, number personalization but static customizer config does not expose matching input(s).</t>
        </is>
      </c>
      <c r="H95" s="3" t="inlineStr">
        <is>
          <t>Claim is materially unsafe until the live purchase flow exposes matching input controls.</t>
        </is>
      </c>
      <c r="I95" s="3" t="inlineStr">
        <is>
          <t>Remove/soften unsupported personalization claim, or provide admin/live proof that matching controls work.</t>
        </is>
      </c>
      <c r="J95" s="3" t="inlineStr">
        <is>
          <t>Draft claims name, number personalization but static customizer config does not expose matching input(s).</t>
        </is>
      </c>
      <c r="K95" s="3" t="inlineStr">
        <is>
          <t>Re-open live product and verify the exact name/number/photo input is present and mapped to fulfillment.</t>
        </is>
      </c>
    </row>
    <row r="96" ht="84" customHeight="1">
      <c r="A96" s="2" t="inlineStr">
        <is>
          <t>ISSUE-0095</t>
        </is>
      </c>
      <c r="B96" s="2" t="inlineStr">
        <is>
          <t>jeminise.com+custom-soccer-net-with-number-07-comforter-set-machine-washable-a7</t>
        </is>
      </c>
      <c r="C96" s="2" t="inlineStr"/>
      <c r="D96" s="2" t="inlineStr">
        <is>
          <t>MAJOR</t>
        </is>
      </c>
      <c r="E96" s="2" t="inlineStr">
        <is>
          <t>description_proposed_html</t>
        </is>
      </c>
      <c r="F96" s="2"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t>
        </is>
      </c>
      <c r="G96" s="2" t="inlineStr">
        <is>
          <t>Draft contains SEO Use / QA approval wording.</t>
        </is>
      </c>
      <c r="H96" s="2" t="inlineStr">
        <is>
          <t>Internal workflow language is not publish-ready storefront copy.</t>
        </is>
      </c>
      <c r="I96" s="2" t="inlineStr">
        <is>
          <t>Remove internal QA/import block and replace with customer-facing verified copy.</t>
        </is>
      </c>
      <c r="J96" s="2" t="inlineStr">
        <is>
          <t>Draft contains SEO Use / QA approval wording.</t>
        </is>
      </c>
      <c r="K96" s="2" t="inlineStr">
        <is>
          <t>Description HTML no longer contains SEO Use, QA, approval, import or draft language.</t>
        </is>
      </c>
    </row>
    <row r="97" ht="84" customHeight="1">
      <c r="A97" s="3" t="inlineStr">
        <is>
          <t>ISSUE-0096</t>
        </is>
      </c>
      <c r="B97" s="3" t="inlineStr">
        <is>
          <t>jeminise.com+custom-soccer-net-with-number-07-comforter-set-machine-washable-a7</t>
        </is>
      </c>
      <c r="C97" s="3" t="inlineStr"/>
      <c r="D97" s="3" t="inlineStr">
        <is>
          <t>MINOR</t>
        </is>
      </c>
      <c r="E97" s="3" t="inlineStr">
        <is>
          <t>meta_description_seo</t>
        </is>
      </c>
      <c r="F97" s="3" t="inlineStr">
        <is>
          <t>Shop a comforter set featuring black and white soccer ball in net artwork with Kenzo name and number 07. Review size and personalization options before checkout.</t>
        </is>
      </c>
      <c r="G97" s="3" t="inlineStr">
        <is>
          <t>Meta description length is 161 characters.</t>
        </is>
      </c>
      <c r="H97" s="3" t="inlineStr">
        <is>
          <t>Likely to truncate in search results and repeats review/personality wording in several rows.</t>
        </is>
      </c>
      <c r="I97" s="3" t="inlineStr">
        <is>
          <t>Rewrite to roughly 145-155 characters while preserving verified design and product type.</t>
        </is>
      </c>
      <c r="J97" s="3" t="inlineStr">
        <is>
          <t>Meta description length is 161 characters.</t>
        </is>
      </c>
      <c r="K97" s="3" t="inlineStr">
        <is>
          <t>Length check &lt;=160 characters and no unsupported claim remains.</t>
        </is>
      </c>
    </row>
    <row r="98" ht="84" customHeight="1">
      <c r="A98" s="2" t="inlineStr">
        <is>
          <t>ISSUE-0097</t>
        </is>
      </c>
      <c r="B98" s="2" t="inlineStr">
        <is>
          <t>jeminise.com+custom-soccer-net-with-number-07-comforter-set-machine-washable-a7</t>
        </is>
      </c>
      <c r="C98" s="2" t="inlineStr"/>
      <c r="D98" s="2" t="inlineStr">
        <is>
          <t>MAJOR</t>
        </is>
      </c>
      <c r="E98" s="2" t="inlineStr">
        <is>
          <t>keyword_map</t>
        </is>
      </c>
      <c r="F98" s="2" t="inlineStr">
        <is>
          <t>black soccer net comforter</t>
        </is>
      </c>
      <c r="G98" s="2" t="inlineStr">
        <is>
          <t>https://www.amazon.com/; https://www.pinterest.com/; https://www.authenticsoccer.com/; https://www.amazon.com/; https://www.pinterest.com/; https://www.authenticsoccer.com/</t>
        </is>
      </c>
      <c r="H98" s="2" t="inlineStr">
        <is>
          <t>Batch cluster contains several very similar products, so keyword/intent differentiation must be sharper.</t>
        </is>
      </c>
      <c r="I98" s="2" t="inlineStr">
        <is>
          <t>Add unique visible motif modifiers and avoid assigning the same generic product keyword to multiple URLs.</t>
        </is>
      </c>
      <c r="J98" s="2" t="inlineStr">
        <is>
          <t>https://www.amazon.com/; https://www.pinterest.com/; https://www.authenticsoccer.com/; https://www.amazon.com/; https://www.pinterest.com/; https://www.authenticsoccer.com/</t>
        </is>
      </c>
      <c r="K98" s="2" t="inlineStr">
        <is>
          <t>SERP notes and title/meta show a distinct product-level query for this exact design.</t>
        </is>
      </c>
    </row>
    <row r="99" ht="84" customHeight="1">
      <c r="A99" s="3" t="inlineStr">
        <is>
          <t>ISSUE-0098</t>
        </is>
      </c>
      <c r="B99" s="3" t="inlineStr">
        <is>
          <t>jeminise.com+custom-soccer-net-with-number-07-comforter-set-machine-washable-a7</t>
        </is>
      </c>
      <c r="C99" s="3" t="inlineStr"/>
      <c r="D99" s="3" t="inlineStr">
        <is>
          <t>LIMITATION</t>
        </is>
      </c>
      <c r="E99" s="3" t="inlineStr">
        <is>
          <t>keyword_evidence_level</t>
        </is>
      </c>
      <c r="F99" s="3" t="inlineStr">
        <is>
          <t>SERP_ONLY</t>
        </is>
      </c>
      <c r="G99" s="3" t="inlineStr">
        <is>
          <t>Only public SERP comparables are available.</t>
        </is>
      </c>
      <c r="H99" s="3" t="inlineStr">
        <is>
          <t>No Search Console, paid keyword volume or internal site search export was supplied.</t>
        </is>
      </c>
      <c r="I99" s="3" t="inlineStr">
        <is>
          <t>Keep demand statements qualitative; do not claim volume or ranking potential.</t>
        </is>
      </c>
      <c r="J99" s="3" t="inlineStr">
        <is>
          <t>Only public SERP comparables are available.</t>
        </is>
      </c>
      <c r="K99" s="3" t="inlineStr">
        <is>
          <t>Additional first-party or paid keyword evidence is attached, or limitation remains documented.</t>
        </is>
      </c>
    </row>
    <row r="100" ht="84" customHeight="1">
      <c r="A100" s="2" t="inlineStr">
        <is>
          <t>ISSUE-0099</t>
        </is>
      </c>
      <c r="B100" s="2" t="inlineStr">
        <is>
          <t>jeminise.com+custom-soccer-net-with-number-07-comforter-set-machine-washable-a7</t>
        </is>
      </c>
      <c r="C100" s="2" t="inlineStr">
        <is>
          <t>img_34ba5726d77b8760</t>
        </is>
      </c>
      <c r="D100" s="2" t="inlineStr">
        <is>
          <t>MINOR</t>
        </is>
      </c>
      <c r="E100" s="2" t="inlineStr">
        <is>
          <t>alt text</t>
        </is>
      </c>
      <c r="F100" s="2" t="inlineStr">
        <is>
          <t>Personalized Black Soccer Net Comforter displayed in a main product mockup</t>
        </is>
      </c>
      <c r="G100" s="2" t="inlineStr">
        <is>
          <t>Fresh image file: D:\Shopify_Workspace\jeminise_seo\seo_runs\jeminise.com\20260906_234129\qa\20260907_181100\images\110_01.jpg; source URL: https://cdn.shopify.com/s/files/1/0792/5098/1063/files/d5eff6ecbe959bbbb3957e92b28382391b5f27c8e5b7675c96fce64707e4f0e4.jpg?v=1786611012</t>
        </is>
      </c>
      <c r="H100" s="2" t="inlineStr">
        <is>
          <t>Alt text is too generic or describes placement more than visible content.</t>
        </is>
      </c>
      <c r="I100" s="2" t="inlineStr">
        <is>
          <t>Rewrite observation/alt from the directly opened image, naming the visible motif and use context.</t>
        </is>
      </c>
      <c r="J100" s="2" t="inlineStr">
        <is>
          <t>Fresh image file: D:\Shopify_Workspace\jeminise_seo\seo_runs\jeminise.com\20260906_234129\qa\20260907_181100\images\110_01.jpg; source URL: https://cdn.shopify.com/s/files/1/0792/5098/1063/files/d5eff6ecbe959bbbb3957e92b28382391b5f27c8e5b7675c96fce64707e4f0e4.jpg?v=1786611012</t>
        </is>
      </c>
      <c r="K100" s="2" t="inlineStr">
        <is>
          <t>The image row accurately describes the actual media at this gallery position.</t>
        </is>
      </c>
    </row>
    <row r="101" ht="84" customHeight="1">
      <c r="A101" s="3" t="inlineStr">
        <is>
          <t>ISSUE-0100</t>
        </is>
      </c>
      <c r="B101" s="3" t="inlineStr">
        <is>
          <t>jeminise.com+custom-soccer-net-with-number-07-comforter-set-machine-washable-a7</t>
        </is>
      </c>
      <c r="C101" s="3" t="inlineStr">
        <is>
          <t>img_036dec50af184d35</t>
        </is>
      </c>
      <c r="D101" s="3" t="inlineStr">
        <is>
          <t>MINOR</t>
        </is>
      </c>
      <c r="E101" s="3" t="inlineStr">
        <is>
          <t>image observation</t>
        </is>
      </c>
      <c r="F101" s="3" t="inlineStr">
        <is>
          <t>Bedding type, feature, lifestyle or material image for personalized black and white soccer net comforter with Kenzo number 07.</t>
        </is>
      </c>
      <c r="G101" s="3" t="inlineStr">
        <is>
          <t>Fresh image file: D:\Shopify_Workspace\jeminise_seo\seo_runs\jeminise.com\20260906_234129\qa\20260907_181100\images\110_03.jpg; source URL: https://cdn.shopify.com/s/files/1/0792/5098/1063/files/c13ca5980b6e29e305326351ee6a301120915a8e8ed77c0a5fdc431493a53f29.jpg?v=1786611012</t>
        </is>
      </c>
      <c r="H101" s="3" t="inlineStr">
        <is>
          <t>Observation is generic or position-based; rewrite from the actual image content.</t>
        </is>
      </c>
      <c r="I101" s="3" t="inlineStr">
        <is>
          <t>Rewrite observation/alt from the directly opened image, naming the visible motif and use context.</t>
        </is>
      </c>
      <c r="J101" s="3" t="inlineStr">
        <is>
          <t>Fresh image file: D:\Shopify_Workspace\jeminise_seo\seo_runs\jeminise.com\20260906_234129\qa\20260907_181100\images\110_03.jpg; source URL: https://cdn.shopify.com/s/files/1/0792/5098/1063/files/c13ca5980b6e29e305326351ee6a301120915a8e8ed77c0a5fdc431493a53f29.jpg?v=1786611012</t>
        </is>
      </c>
      <c r="K101" s="3" t="inlineStr">
        <is>
          <t>The image row accurately describes the actual media at this gallery position.</t>
        </is>
      </c>
    </row>
    <row r="102" ht="84" customHeight="1">
      <c r="A102" s="2" t="inlineStr">
        <is>
          <t>ISSUE-0101</t>
        </is>
      </c>
      <c r="B102" s="2" t="inlineStr">
        <is>
          <t>jeminise.com+custom-soccer-net-with-number-07-comforter-set-machine-washable-a7</t>
        </is>
      </c>
      <c r="C102" s="2" t="inlineStr">
        <is>
          <t>img_250ef351a796834e</t>
        </is>
      </c>
      <c r="D102" s="2" t="inlineStr">
        <is>
          <t>MINOR</t>
        </is>
      </c>
      <c r="E102" s="2" t="inlineStr">
        <is>
          <t>image observation</t>
        </is>
      </c>
      <c r="F102" s="2" t="inlineStr">
        <is>
          <t>Detail, feature panel or lifestyle image connected to personalized black and white soccer net comforter with Kenzo number 07.</t>
        </is>
      </c>
      <c r="G102" s="2" t="inlineStr">
        <is>
          <t>Fresh image file: D:\Shopify_Workspace\jeminise_seo\seo_runs\jeminise.com\20260906_234129\qa\20260907_181100\images\110_04.jpg; source URL: https://cdn.shopify.com/s/files/1/0792/5098/1063/files/0b1d1e19cab6d757366a36700f895ecca060303e705a8aece2f5fa486b6770da_9a927c8a-0f79-4e61-90d9-c6095bfaff90.jpg?v=1786611012</t>
        </is>
      </c>
      <c r="H102" s="2" t="inlineStr">
        <is>
          <t>Observation is generic or position-based; rewrite from the actual image content.</t>
        </is>
      </c>
      <c r="I102" s="2" t="inlineStr">
        <is>
          <t>Rewrite observation/alt from the directly opened image, naming the visible motif and use context.</t>
        </is>
      </c>
      <c r="J102" s="2" t="inlineStr">
        <is>
          <t>Fresh image file: D:\Shopify_Workspace\jeminise_seo\seo_runs\jeminise.com\20260906_234129\qa\20260907_181100\images\110_04.jpg; source URL: https://cdn.shopify.com/s/files/1/0792/5098/1063/files/0b1d1e19cab6d757366a36700f895ecca060303e705a8aece2f5fa486b6770da_9a927c8a-0f79-4e61-90d9-c6095bfaff90.jpg?v=1786611012</t>
        </is>
      </c>
      <c r="K102" s="2" t="inlineStr">
        <is>
          <t>The image row accurately describes the actual media at this gallery position.</t>
        </is>
      </c>
    </row>
    <row r="103" ht="84" customHeight="1">
      <c r="A103" s="3" t="inlineStr">
        <is>
          <t>ISSUE-0102</t>
        </is>
      </c>
      <c r="B103" s="3" t="inlineStr">
        <is>
          <t>jeminise.com+custom-soccer-net-with-number-07-comforter-set-machine-washable-a7</t>
        </is>
      </c>
      <c r="C103" s="3" t="inlineStr">
        <is>
          <t>img_974c59f296a46fba</t>
        </is>
      </c>
      <c r="D103" s="3" t="inlineStr">
        <is>
          <t>MINOR</t>
        </is>
      </c>
      <c r="E103" s="3" t="inlineStr">
        <is>
          <t>image observation</t>
        </is>
      </c>
      <c r="F103" s="3" t="inlineStr">
        <is>
          <t>Easy-care, size guide or product feature image for personalized black and white soccer net comforter with Kenzo number 07.</t>
        </is>
      </c>
      <c r="G103" s="3" t="inlineStr">
        <is>
          <t>Fresh image file: D:\Shopify_Workspace\jeminise_seo\seo_runs\jeminise.com\20260906_234129\qa\20260907_181100\images\110_06.jpg; source URL: https://cdn.shopify.com/s/files/1/0792/5098/1063/files/08a6835f0f310b6c922134d6c70195cce131eefffb65e5e69df3431e2da006d6.jpg?v=1786611012</t>
        </is>
      </c>
      <c r="H103" s="3" t="inlineStr">
        <is>
          <t>Observation is generic or position-based; rewrite from the actual image content.</t>
        </is>
      </c>
      <c r="I103" s="3" t="inlineStr">
        <is>
          <t>Rewrite observation/alt from the directly opened image, naming the visible motif and use context.</t>
        </is>
      </c>
      <c r="J103" s="3" t="inlineStr">
        <is>
          <t>Fresh image file: D:\Shopify_Workspace\jeminise_seo\seo_runs\jeminise.com\20260906_234129\qa\20260907_181100\images\110_06.jpg; source URL: https://cdn.shopify.com/s/files/1/0792/5098/1063/files/08a6835f0f310b6c922134d6c70195cce131eefffb65e5e69df3431e2da006d6.jpg?v=1786611012</t>
        </is>
      </c>
      <c r="K103" s="3" t="inlineStr">
        <is>
          <t>The image row accurately describes the actual media at this gallery position.</t>
        </is>
      </c>
    </row>
    <row r="104" ht="84" customHeight="1">
      <c r="A104" s="2" t="inlineStr">
        <is>
          <t>ISSUE-0103</t>
        </is>
      </c>
      <c r="B104" s="2" t="inlineStr">
        <is>
          <t>jeminise.com+custom-soccer-net-with-number-07-comforter-set-machine-washable-a7</t>
        </is>
      </c>
      <c r="C104" s="2" t="inlineStr">
        <is>
          <t>img_8d25a295ba9fa552</t>
        </is>
      </c>
      <c r="D104" s="2" t="inlineStr">
        <is>
          <t>MINOR</t>
        </is>
      </c>
      <c r="E104" s="2" t="inlineStr">
        <is>
          <t>image observation</t>
        </is>
      </c>
      <c r="F104" s="2" t="inlineStr">
        <is>
          <t>Additional lifestyle, feature or product detail image showing personalized black and white soccer net comforter with Kenzo number 07.</t>
        </is>
      </c>
      <c r="G104" s="2" t="inlineStr">
        <is>
          <t>Fresh image file: D:\Shopify_Workspace\jeminise_seo\seo_runs\jeminise.com\20260906_234129\qa\20260907_181100\images\110_07.jpg; source URL: https://cdn.shopify.com/s/files/1/0792/5098/1063/files/034a3b59ce0473836fb14c3f70ca7d76227b68f5472b25b6beeb567187aa41d8.jpg?v=1786611012</t>
        </is>
      </c>
      <c r="H104" s="2" t="inlineStr">
        <is>
          <t>Observation is generic or position-based; rewrite from the actual image content.</t>
        </is>
      </c>
      <c r="I104" s="2" t="inlineStr">
        <is>
          <t>Rewrite observation/alt from the directly opened image, naming the visible motif and use context.</t>
        </is>
      </c>
      <c r="J104" s="2" t="inlineStr">
        <is>
          <t>Fresh image file: D:\Shopify_Workspace\jeminise_seo\seo_runs\jeminise.com\20260906_234129\qa\20260907_181100\images\110_07.jpg; source URL: https://cdn.shopify.com/s/files/1/0792/5098/1063/files/034a3b59ce0473836fb14c3f70ca7d76227b68f5472b25b6beeb567187aa41d8.jpg?v=1786611012</t>
        </is>
      </c>
      <c r="K104" s="2" t="inlineStr">
        <is>
          <t>The image row accurately describes the actual media at this gallery position.</t>
        </is>
      </c>
    </row>
    <row r="105" ht="84" customHeight="1">
      <c r="A105" s="3" t="inlineStr">
        <is>
          <t>ISSUE-0104</t>
        </is>
      </c>
      <c r="B105" s="3" t="inlineStr">
        <is>
          <t>jeminise.com+custom-soccer-net-with-number-07-comforter-set-machine-washable-a7</t>
        </is>
      </c>
      <c r="C105" s="3" t="inlineStr">
        <is>
          <t>img_2ca5b5486ce963c5</t>
        </is>
      </c>
      <c r="D105" s="3" t="inlineStr">
        <is>
          <t>MINOR</t>
        </is>
      </c>
      <c r="E105" s="3" t="inlineStr">
        <is>
          <t>image observation</t>
        </is>
      </c>
      <c r="F105" s="3" t="inlineStr">
        <is>
          <t>Additional lifestyle, feature or product detail image showing personalized black and white soccer net comforter with Kenzo number 07.</t>
        </is>
      </c>
      <c r="G105" s="3" t="inlineStr">
        <is>
          <t>Fresh image file: D:\Shopify_Workspace\jeminise_seo\seo_runs\jeminise.com\20260906_234129\qa\20260907_181100\images\110_08.jpg; source URL: https://cdn.shopify.com/s/files/1/0792/5098/1063/files/dd6b2f75d5d331064be3e2ace151f6872c3f1f67675d8c1c7fa00f207341180b_b475f815-4d5d-453d-b6f6-f77cd2efa580.jpg?v=1786611012</t>
        </is>
      </c>
      <c r="H105" s="3" t="inlineStr">
        <is>
          <t>Observation is generic or position-based; rewrite from the actual image content.</t>
        </is>
      </c>
      <c r="I105" s="3" t="inlineStr">
        <is>
          <t>Rewrite observation/alt from the directly opened image, naming the visible motif and use context.</t>
        </is>
      </c>
      <c r="J105" s="3" t="inlineStr">
        <is>
          <t>Fresh image file: D:\Shopify_Workspace\jeminise_seo\seo_runs\jeminise.com\20260906_234129\qa\20260907_181100\images\110_08.jpg; source URL: https://cdn.shopify.com/s/files/1/0792/5098/1063/files/dd6b2f75d5d331064be3e2ace151f6872c3f1f67675d8c1c7fa00f207341180b_b475f815-4d5d-453d-b6f6-f77cd2efa580.jpg?v=1786611012</t>
        </is>
      </c>
      <c r="K105" s="3" t="inlineStr">
        <is>
          <t>The image row accurately describes the actual media at this gallery position.</t>
        </is>
      </c>
    </row>
  </sheetData>
  <autoFilter ref="A1:K105"/>
  <conditionalFormatting sqref="D2:D105">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2026-09-07T11:39:49Z</dcterms:created>
  <dcterms:modified xmlns:dcterms="http://purl.org/dc/terms/" xmlns:xsi="http://www.w3.org/2001/XMLSchema-instance" xsi:type="dcterms:W3CDTF">2026-09-07T11:39:50Z</dcterms:modified>
</cp:coreProperties>
</file>