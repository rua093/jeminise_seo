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'QA_Summary'!$A$1:$C$17</definedName>
    <definedName name="_xlnm.Print_Titles" localSheetId="0">'QA_Summary'!$1:$1</definedName>
    <definedName name="_xlnm._FilterDatabase" localSheetId="1" hidden="1">'QA_Products'!$A$1:$U$11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'QA_Images'!$A$1:$X$74</definedName>
    <definedName name="_xlnm.Print_Titles" localSheetId="3">'QA_Images'!$1:$1</definedName>
    <definedName name="_xlnm._FilterDatabase" localSheetId="4" hidden="1">'QA_Issues'!$A$1:$K$2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personalized-basketball-close-up-with-number-blanket-with-name-and-number-f16f46abef-f16f46abef" TargetMode="External" Id="rId1"/><Relationship Type="http://schemas.openxmlformats.org/officeDocument/2006/relationships/hyperlink" Target="https://jeminise.com/products/personalized-basketball-court-perspective-comforter-with-name-and-number-5545af9fa4-5545af9fa4" TargetMode="External" Id="rId2"/><Relationship Type="http://schemas.openxmlformats.org/officeDocument/2006/relationships/hyperlink" Target="https://jeminise.com/products/personalized-basketball-cracked-wall-comforter-with-name-and-number-aeaddaa506-aeaddaa506" TargetMode="External" Id="rId3"/><Relationship Type="http://schemas.openxmlformats.org/officeDocument/2006/relationships/hyperlink" Target="https://jeminise.com/products/personalized-basketball-entering-net-comforter-e55e615fd3-e55e615fd3" TargetMode="External" Id="rId4"/><Relationship Type="http://schemas.openxmlformats.org/officeDocument/2006/relationships/hyperlink" Target="https://jeminise.com/products/personalized-basketball-fire-and-water-splash-blanket-with-name-and-number-b05a53f208-b05a53f208" TargetMode="External" Id="rId5"/><Relationship Type="http://schemas.openxmlformats.org/officeDocument/2006/relationships/hyperlink" Target="https://jeminise.com/products/personalized-basketball-flames-flying-over-comforter-with-name-and-number-feb4be1ea4-feb4be1ea4" TargetMode="External" Id="rId6"/><Relationship Type="http://schemas.openxmlformats.org/officeDocument/2006/relationships/hyperlink" Target="https://jeminise.com/products/personalized-basketball-glowing-light-burst-comforter-with-name-and-number-3bc9e1267e-3bc9e1267e" TargetMode="External" Id="rId7"/><Relationship Type="http://schemas.openxmlformats.org/officeDocument/2006/relationships/hyperlink" Target="https://jeminise.com/products/personalized-basketball-held-by-hand-on-court-blanket-with-name-and-number-079998b76f-079998b76f" TargetMode="External" Id="rId8"/><Relationship Type="http://schemas.openxmlformats.org/officeDocument/2006/relationships/hyperlink" Target="https://jeminise.com/products/personalized-basketball-held-under-player-arm-blanket-with-name-and-number-7a077c5144-7a077c5144" TargetMode="External" Id="rId9"/><Relationship Type="http://schemas.openxmlformats.org/officeDocument/2006/relationships/hyperlink" Target="https://jeminise.com/products/personalized-basketball-hoop-comforter-name-number-863d6f6ff1-863d6f6ff1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493c47531c92c894148db941dc2def6351acb5d929c8eb565563040e9978fb4d.jpg?v=1785091077" TargetMode="External" Id="rId1"/><Relationship Type="http://schemas.openxmlformats.org/officeDocument/2006/relationships/hyperlink" Target="https://cdn.shopify.com/s/files/1/0792/5098/1063/files/493c47531c92c894148db941dc2def6351acb5d929c8eb565563040e9978fb4d.jpg?v=1785091077" TargetMode="External" Id="rId2"/><Relationship Type="http://schemas.openxmlformats.org/officeDocument/2006/relationships/hyperlink" Target="https://cdn.shopify.com/s/files/1/0792/5098/1063/files/218b39c499d24effdf217d531cab8769ab23e83ca6003f5382f2155465a7d005.jpg?v=1785091076" TargetMode="External" Id="rId3"/><Relationship Type="http://schemas.openxmlformats.org/officeDocument/2006/relationships/hyperlink" Target="https://cdn.shopify.com/s/files/1/0792/5098/1063/files/218b39c499d24effdf217d531cab8769ab23e83ca6003f5382f2155465a7d005.jpg?v=1785091076" TargetMode="External" Id="rId4"/><Relationship Type="http://schemas.openxmlformats.org/officeDocument/2006/relationships/hyperlink" Target="https://cdn.shopify.com/s/files/1/0792/5098/1063/files/27c562a87487e8d7025e0a3cfede747442e97feecd7f1282018d4d9a6ed60276.jpg?v=1785091077" TargetMode="External" Id="rId5"/><Relationship Type="http://schemas.openxmlformats.org/officeDocument/2006/relationships/hyperlink" Target="https://cdn.shopify.com/s/files/1/0792/5098/1063/files/27c562a87487e8d7025e0a3cfede747442e97feecd7f1282018d4d9a6ed60276.jpg?v=1785091077" TargetMode="External" Id="rId6"/><Relationship Type="http://schemas.openxmlformats.org/officeDocument/2006/relationships/hyperlink" Target="https://cdn.shopify.com/s/files/1/0792/5098/1063/files/fde60e47d7999ac38c9b3fa0e7356d03cf375314b4e07e54abb990571428097e.jpg?v=1785091077" TargetMode="External" Id="rId7"/><Relationship Type="http://schemas.openxmlformats.org/officeDocument/2006/relationships/hyperlink" Target="https://cdn.shopify.com/s/files/1/0792/5098/1063/files/fde60e47d7999ac38c9b3fa0e7356d03cf375314b4e07e54abb990571428097e.jpg?v=1785091077" TargetMode="External" Id="rId8"/><Relationship Type="http://schemas.openxmlformats.org/officeDocument/2006/relationships/hyperlink" Target="https://cdn.shopify.com/s/files/1/0792/5098/1063/files/303e496a921029b387bb3b499e2c292a040931377d7477430b2e40d3ac5e974b.jpg?v=1785091077" TargetMode="External" Id="rId9"/><Relationship Type="http://schemas.openxmlformats.org/officeDocument/2006/relationships/hyperlink" Target="https://cdn.shopify.com/s/files/1/0792/5098/1063/files/303e496a921029b387bb3b499e2c292a040931377d7477430b2e40d3ac5e974b.jpg?v=1785091077" TargetMode="External" Id="rId10"/><Relationship Type="http://schemas.openxmlformats.org/officeDocument/2006/relationships/hyperlink" Target="https://cdn.shopify.com/s/files/1/0792/5098/1063/files/84f7a71576dfaac3ff03ce2ff898fee2d12da23eb223d4585f097765af5c2dd1.jpg?v=1785091076" TargetMode="External" Id="rId11"/><Relationship Type="http://schemas.openxmlformats.org/officeDocument/2006/relationships/hyperlink" Target="https://cdn.shopify.com/s/files/1/0792/5098/1063/files/84f7a71576dfaac3ff03ce2ff898fee2d12da23eb223d4585f097765af5c2dd1.jpg?v=1785091076" TargetMode="External" Id="rId12"/><Relationship Type="http://schemas.openxmlformats.org/officeDocument/2006/relationships/hyperlink" Target="https://cdn.shopify.com/s/files/1/0792/5098/1063/files/c54e54c3dbfe2457f034b3fca5054b8bb9bc8e4d6fd79afcc77826b25dc6770e.jpg?v=1785091077" TargetMode="External" Id="rId13"/><Relationship Type="http://schemas.openxmlformats.org/officeDocument/2006/relationships/hyperlink" Target="https://cdn.shopify.com/s/files/1/0792/5098/1063/files/c54e54c3dbfe2457f034b3fca5054b8bb9bc8e4d6fd79afcc77826b25dc6770e.jpg?v=1785091077" TargetMode="External" Id="rId14"/><Relationship Type="http://schemas.openxmlformats.org/officeDocument/2006/relationships/hyperlink" Target="https://cdn.shopify.com/s/files/1/0792/5098/1063/files/ad99cb9e5079b85e55b42dd6ea5ed09a9fb8977514750251ab5e0ab98fdf6957.jpg?v=1785091077" TargetMode="External" Id="rId15"/><Relationship Type="http://schemas.openxmlformats.org/officeDocument/2006/relationships/hyperlink" Target="https://cdn.shopify.com/s/files/1/0792/5098/1063/files/ad99cb9e5079b85e55b42dd6ea5ed09a9fb8977514750251ab5e0ab98fdf6957.jpg?v=1785091077" TargetMode="External" Id="rId16"/><Relationship Type="http://schemas.openxmlformats.org/officeDocument/2006/relationships/hyperlink" Target="https://cdn.shopify.com/s/files/1/0792/5098/1063/files/a3753d6287bc2e4a865d3aaebe97ccd3cb4a4f488eff90125abd9a1627c63bc0.jpg?v=1785091077" TargetMode="External" Id="rId17"/><Relationship Type="http://schemas.openxmlformats.org/officeDocument/2006/relationships/hyperlink" Target="https://cdn.shopify.com/s/files/1/0792/5098/1063/files/a3753d6287bc2e4a865d3aaebe97ccd3cb4a4f488eff90125abd9a1627c63bc0.jpg?v=1785091077" TargetMode="External" Id="rId18"/><Relationship Type="http://schemas.openxmlformats.org/officeDocument/2006/relationships/hyperlink" Target="https://cdn.shopify.com/s/files/1/0792/5098/1063/files/ba02c3300feae07e20cbe40095f270647fc6b5e9bc9f58ef5ac013c9fc0dbfa3.jpg?v=1785083537" TargetMode="External" Id="rId19"/><Relationship Type="http://schemas.openxmlformats.org/officeDocument/2006/relationships/hyperlink" Target="https://cdn.shopify.com/s/files/1/0792/5098/1063/files/ba02c3300feae07e20cbe40095f270647fc6b5e9bc9f58ef5ac013c9fc0dbfa3.jpg?v=1785083537" TargetMode="External" Id="rId20"/><Relationship Type="http://schemas.openxmlformats.org/officeDocument/2006/relationships/hyperlink" Target="https://cdn.shopify.com/s/files/1/0792/5098/1063/files/102ff59b3ff3bb0734a4d6ce8cd4ffdffe62c9559448e8c52060c99a7f0371d8.jpg?v=1785083537" TargetMode="External" Id="rId21"/><Relationship Type="http://schemas.openxmlformats.org/officeDocument/2006/relationships/hyperlink" Target="https://cdn.shopify.com/s/files/1/0792/5098/1063/files/102ff59b3ff3bb0734a4d6ce8cd4ffdffe62c9559448e8c52060c99a7f0371d8.jpg?v=1785083537" TargetMode="External" Id="rId22"/><Relationship Type="http://schemas.openxmlformats.org/officeDocument/2006/relationships/hyperlink" Target="https://cdn.shopify.com/s/files/1/0792/5098/1063/files/ca7e8151cb3c33bafaa62bb65f4773d1852d0e96a3f900ca3bc2751b2e604742.jpg?v=1785083537" TargetMode="External" Id="rId23"/><Relationship Type="http://schemas.openxmlformats.org/officeDocument/2006/relationships/hyperlink" Target="https://cdn.shopify.com/s/files/1/0792/5098/1063/files/ca7e8151cb3c33bafaa62bb65f4773d1852d0e96a3f900ca3bc2751b2e604742.jpg?v=1785083537" TargetMode="External" Id="rId24"/><Relationship Type="http://schemas.openxmlformats.org/officeDocument/2006/relationships/hyperlink" Target="https://cdn.shopify.com/s/files/1/0792/5098/1063/files/8daf8c1cfffe06a3e80ec1ac316b388b93cba81832378baccb5fa4c22684434d.jpg?v=1785083537" TargetMode="External" Id="rId25"/><Relationship Type="http://schemas.openxmlformats.org/officeDocument/2006/relationships/hyperlink" Target="https://cdn.shopify.com/s/files/1/0792/5098/1063/files/8daf8c1cfffe06a3e80ec1ac316b388b93cba81832378baccb5fa4c22684434d.jpg?v=1785083537" TargetMode="External" Id="rId26"/><Relationship Type="http://schemas.openxmlformats.org/officeDocument/2006/relationships/hyperlink" Target="https://cdn.shopify.com/s/files/1/0792/5098/1063/files/9a000cb2f852b412449331989ad5533fa954afdb86f7db926d41ed172fcdc799.jpg?v=1785083537" TargetMode="External" Id="rId27"/><Relationship Type="http://schemas.openxmlformats.org/officeDocument/2006/relationships/hyperlink" Target="https://cdn.shopify.com/s/files/1/0792/5098/1063/files/9a000cb2f852b412449331989ad5533fa954afdb86f7db926d41ed172fcdc799.jpg?v=1785083537" TargetMode="External" Id="rId28"/><Relationship Type="http://schemas.openxmlformats.org/officeDocument/2006/relationships/hyperlink" Target="https://cdn.shopify.com/s/files/1/0792/5098/1063/files/4f7ebb170c910bacdb0d128a3e3cf164388321d5e644495de9b203310349253f.jpg?v=1785083537" TargetMode="External" Id="rId29"/><Relationship Type="http://schemas.openxmlformats.org/officeDocument/2006/relationships/hyperlink" Target="https://cdn.shopify.com/s/files/1/0792/5098/1063/files/4f7ebb170c910bacdb0d128a3e3cf164388321d5e644495de9b203310349253f.jpg?v=1785083537" TargetMode="External" Id="rId30"/><Relationship Type="http://schemas.openxmlformats.org/officeDocument/2006/relationships/hyperlink" Target="https://cdn.shopify.com/s/files/1/0792/5098/1063/files/435c166685811ee73f494fa0b340fa5d21d3f02f935d1e95116330ec62408e7d.jpg?v=1785083537" TargetMode="External" Id="rId31"/><Relationship Type="http://schemas.openxmlformats.org/officeDocument/2006/relationships/hyperlink" Target="https://cdn.shopify.com/s/files/1/0792/5098/1063/files/435c166685811ee73f494fa0b340fa5d21d3f02f935d1e95116330ec62408e7d.jpg?v=1785083537" TargetMode="External" Id="rId32"/><Relationship Type="http://schemas.openxmlformats.org/officeDocument/2006/relationships/hyperlink" Target="https://cdn.shopify.com/s/files/1/0792/5098/1063/files/981767482a801517161c257ae6effe203e6faf4b166b065307d3a93a1bae6965.jpg?v=1785084338" TargetMode="External" Id="rId33"/><Relationship Type="http://schemas.openxmlformats.org/officeDocument/2006/relationships/hyperlink" Target="https://cdn.shopify.com/s/files/1/0792/5098/1063/files/981767482a801517161c257ae6effe203e6faf4b166b065307d3a93a1bae6965.jpg?v=1785084338" TargetMode="External" Id="rId34"/><Relationship Type="http://schemas.openxmlformats.org/officeDocument/2006/relationships/hyperlink" Target="https://cdn.shopify.com/s/files/1/0792/5098/1063/files/61a3a50b065031310e5a21b4c7454349fb34b0176ba8c882d241ac28c5bf5eae.jpg?v=1785084338" TargetMode="External" Id="rId35"/><Relationship Type="http://schemas.openxmlformats.org/officeDocument/2006/relationships/hyperlink" Target="https://cdn.shopify.com/s/files/1/0792/5098/1063/files/61a3a50b065031310e5a21b4c7454349fb34b0176ba8c882d241ac28c5bf5eae.jpg?v=1785084338" TargetMode="External" Id="rId36"/><Relationship Type="http://schemas.openxmlformats.org/officeDocument/2006/relationships/hyperlink" Target="https://cdn.shopify.com/s/files/1/0792/5098/1063/files/8a9e1df72b5192bb43bbd21e95f23ee9fb295c1019815a38619f5e8659a891a2_7b236c73-8a54-4bf3-8202-7e744dde1124.jpg?v=1785084338" TargetMode="External" Id="rId37"/><Relationship Type="http://schemas.openxmlformats.org/officeDocument/2006/relationships/hyperlink" Target="https://cdn.shopify.com/s/files/1/0792/5098/1063/files/8a9e1df72b5192bb43bbd21e95f23ee9fb295c1019815a38619f5e8659a891a2_7b236c73-8a54-4bf3-8202-7e744dde1124.jpg?v=1785084338" TargetMode="External" Id="rId38"/><Relationship Type="http://schemas.openxmlformats.org/officeDocument/2006/relationships/hyperlink" Target="https://cdn.shopify.com/s/files/1/0792/5098/1063/files/ab8cc08cd5e6ff13f46aab9ae11a11baf48d847c925a9c9b9ec47ff14cc2c465.jpg?v=1785084338" TargetMode="External" Id="rId39"/><Relationship Type="http://schemas.openxmlformats.org/officeDocument/2006/relationships/hyperlink" Target="https://cdn.shopify.com/s/files/1/0792/5098/1063/files/ab8cc08cd5e6ff13f46aab9ae11a11baf48d847c925a9c9b9ec47ff14cc2c465.jpg?v=1785084338" TargetMode="External" Id="rId40"/><Relationship Type="http://schemas.openxmlformats.org/officeDocument/2006/relationships/hyperlink" Target="https://cdn.shopify.com/s/files/1/0792/5098/1063/files/669bec51d5eae884db8bf4028e40755d2a2b86e5a9c253ccf25ef4c9f8ee3d36.jpg?v=1785084338" TargetMode="External" Id="rId41"/><Relationship Type="http://schemas.openxmlformats.org/officeDocument/2006/relationships/hyperlink" Target="https://cdn.shopify.com/s/files/1/0792/5098/1063/files/669bec51d5eae884db8bf4028e40755d2a2b86e5a9c253ccf25ef4c9f8ee3d36.jpg?v=1785084338" TargetMode="External" Id="rId42"/><Relationship Type="http://schemas.openxmlformats.org/officeDocument/2006/relationships/hyperlink" Target="https://cdn.shopify.com/s/files/1/0792/5098/1063/files/1dc01d41d7d407730feaf916a9c54d5ba771e06f6674b16473507e7a042a1831_11f105aa-5b21-4e04-bf00-9ab35ac87766.jpg?v=1785084338" TargetMode="External" Id="rId43"/><Relationship Type="http://schemas.openxmlformats.org/officeDocument/2006/relationships/hyperlink" Target="https://cdn.shopify.com/s/files/1/0792/5098/1063/files/1dc01d41d7d407730feaf916a9c54d5ba771e06f6674b16473507e7a042a1831_11f105aa-5b21-4e04-bf00-9ab35ac87766.jpg?v=1785084338" TargetMode="External" Id="rId44"/><Relationship Type="http://schemas.openxmlformats.org/officeDocument/2006/relationships/hyperlink" Target="https://cdn.shopify.com/s/files/1/0792/5098/1063/files/c24959ab140390d63cc323f99e5e71b8352d51d82db09e1b8086064e57b3ff2f_abed60d9-47c3-4715-b454-754ea8ff6af5.jpg?v=1785084338" TargetMode="External" Id="rId45"/><Relationship Type="http://schemas.openxmlformats.org/officeDocument/2006/relationships/hyperlink" Target="https://cdn.shopify.com/s/files/1/0792/5098/1063/files/c24959ab140390d63cc323f99e5e71b8352d51d82db09e1b8086064e57b3ff2f_abed60d9-47c3-4715-b454-754ea8ff6af5.jpg?v=1785084338" TargetMode="External" Id="rId46"/><Relationship Type="http://schemas.openxmlformats.org/officeDocument/2006/relationships/hyperlink" Target="https://cdn.shopify.com/s/files/1/0792/5098/1063/files/5c00fb358cea9806c4159f1c05a98e1ba66260416b04fc75b7fb665b58d231e5.jpg?v=1785084549" TargetMode="External" Id="rId47"/><Relationship Type="http://schemas.openxmlformats.org/officeDocument/2006/relationships/hyperlink" Target="https://cdn.shopify.com/s/files/1/0792/5098/1063/files/5c00fb358cea9806c4159f1c05a98e1ba66260416b04fc75b7fb665b58d231e5.jpg?v=1785084549" TargetMode="External" Id="rId48"/><Relationship Type="http://schemas.openxmlformats.org/officeDocument/2006/relationships/hyperlink" Target="https://cdn.shopify.com/s/files/1/0792/5098/1063/files/080402accd4681f12aaee57e416c312af962e5815c063752993018229e4a1ffb_4f4d05a9-f56c-4bb0-a56e-a13d6437f24a.jpg?v=1785084550" TargetMode="External" Id="rId49"/><Relationship Type="http://schemas.openxmlformats.org/officeDocument/2006/relationships/hyperlink" Target="https://cdn.shopify.com/s/files/1/0792/5098/1063/files/080402accd4681f12aaee57e416c312af962e5815c063752993018229e4a1ffb_4f4d05a9-f56c-4bb0-a56e-a13d6437f24a.jpg?v=1785084550" TargetMode="External" Id="rId50"/><Relationship Type="http://schemas.openxmlformats.org/officeDocument/2006/relationships/hyperlink" Target="https://cdn.shopify.com/s/files/1/0792/5098/1063/files/8107bb2956f86c6be6eb5742779b881dbc0980d9546c8a8efa0f335bec8ffedd_abdcd194-9377-47c1-9e1b-1adf107b7399.jpg?v=1785084549" TargetMode="External" Id="rId51"/><Relationship Type="http://schemas.openxmlformats.org/officeDocument/2006/relationships/hyperlink" Target="https://cdn.shopify.com/s/files/1/0792/5098/1063/files/8107bb2956f86c6be6eb5742779b881dbc0980d9546c8a8efa0f335bec8ffedd_abdcd194-9377-47c1-9e1b-1adf107b7399.jpg?v=1785084549" TargetMode="External" Id="rId52"/><Relationship Type="http://schemas.openxmlformats.org/officeDocument/2006/relationships/hyperlink" Target="https://cdn.shopify.com/s/files/1/0792/5098/1063/files/884bdba6e618b6b653ea15a2b7072cbe3391d94a1ff502c86f0a7f82c84d560e_83a97450-7326-440f-b169-12a043274605.jpg?v=1785084549" TargetMode="External" Id="rId53"/><Relationship Type="http://schemas.openxmlformats.org/officeDocument/2006/relationships/hyperlink" Target="https://cdn.shopify.com/s/files/1/0792/5098/1063/files/884bdba6e618b6b653ea15a2b7072cbe3391d94a1ff502c86f0a7f82c84d560e_83a97450-7326-440f-b169-12a043274605.jpg?v=1785084549" TargetMode="External" Id="rId54"/><Relationship Type="http://schemas.openxmlformats.org/officeDocument/2006/relationships/hyperlink" Target="https://cdn.shopify.com/s/files/1/0792/5098/1063/files/7e01a24815061db50abd6e64659c2004cf59e904c4256d2c29bd15f89f7e1e83_c2a19618-96a3-4bdd-b49d-5fa34306cc10.jpg?v=1785084549" TargetMode="External" Id="rId55"/><Relationship Type="http://schemas.openxmlformats.org/officeDocument/2006/relationships/hyperlink" Target="https://cdn.shopify.com/s/files/1/0792/5098/1063/files/7e01a24815061db50abd6e64659c2004cf59e904c4256d2c29bd15f89f7e1e83_c2a19618-96a3-4bdd-b49d-5fa34306cc10.jpg?v=1785084549" TargetMode="External" Id="rId56"/><Relationship Type="http://schemas.openxmlformats.org/officeDocument/2006/relationships/hyperlink" Target="https://cdn.shopify.com/s/files/1/0792/5098/1063/files/6670191f6387d4bb9a95bcb7fe3584235e5227dc4e72d2ec01cb802841acf2d1.jpg?v=1785090119" TargetMode="External" Id="rId57"/><Relationship Type="http://schemas.openxmlformats.org/officeDocument/2006/relationships/hyperlink" Target="https://cdn.shopify.com/s/files/1/0792/5098/1063/files/6670191f6387d4bb9a95bcb7fe3584235e5227dc4e72d2ec01cb802841acf2d1.jpg?v=1785090119" TargetMode="External" Id="rId58"/><Relationship Type="http://schemas.openxmlformats.org/officeDocument/2006/relationships/hyperlink" Target="https://cdn.shopify.com/s/files/1/0792/5098/1063/files/365c18cd1cd830f1969e88933bb11e3a2993aa75e95c7769ac6f0bbbbf456db4.jpg?v=1785090119" TargetMode="External" Id="rId59"/><Relationship Type="http://schemas.openxmlformats.org/officeDocument/2006/relationships/hyperlink" Target="https://cdn.shopify.com/s/files/1/0792/5098/1063/files/365c18cd1cd830f1969e88933bb11e3a2993aa75e95c7769ac6f0bbbbf456db4.jpg?v=1785090119" TargetMode="External" Id="rId60"/><Relationship Type="http://schemas.openxmlformats.org/officeDocument/2006/relationships/hyperlink" Target="https://cdn.shopify.com/s/files/1/0792/5098/1063/files/e57f15a21e2cad9a9eef3b035b686746f79363d25cee8112277c573e57725032.jpg?v=1785090119" TargetMode="External" Id="rId61"/><Relationship Type="http://schemas.openxmlformats.org/officeDocument/2006/relationships/hyperlink" Target="https://cdn.shopify.com/s/files/1/0792/5098/1063/files/e57f15a21e2cad9a9eef3b035b686746f79363d25cee8112277c573e57725032.jpg?v=1785090119" TargetMode="External" Id="rId62"/><Relationship Type="http://schemas.openxmlformats.org/officeDocument/2006/relationships/hyperlink" Target="https://cdn.shopify.com/s/files/1/0792/5098/1063/files/99334f27de8187de388b0412cf15654081a106eeceafa15c35d3088bad2af464.jpg?v=1785090119" TargetMode="External" Id="rId63"/><Relationship Type="http://schemas.openxmlformats.org/officeDocument/2006/relationships/hyperlink" Target="https://cdn.shopify.com/s/files/1/0792/5098/1063/files/99334f27de8187de388b0412cf15654081a106eeceafa15c35d3088bad2af464.jpg?v=1785090119" TargetMode="External" Id="rId64"/><Relationship Type="http://schemas.openxmlformats.org/officeDocument/2006/relationships/hyperlink" Target="https://cdn.shopify.com/s/files/1/0792/5098/1063/files/cf72ed7c40667662f0015a3efa17e79299f91662da7c4cb25e2a6c9baadec942.jpg?v=1785090119" TargetMode="External" Id="rId65"/><Relationship Type="http://schemas.openxmlformats.org/officeDocument/2006/relationships/hyperlink" Target="https://cdn.shopify.com/s/files/1/0792/5098/1063/files/cf72ed7c40667662f0015a3efa17e79299f91662da7c4cb25e2a6c9baadec942.jpg?v=1785090119" TargetMode="External" Id="rId66"/><Relationship Type="http://schemas.openxmlformats.org/officeDocument/2006/relationships/hyperlink" Target="https://cdn.shopify.com/s/files/1/0792/5098/1063/files/c0e3e1ac3a847d8fc5f463c96dfe8cf255d7b6c0e65db762f525a568cd2c71d6.jpg?v=1785090119" TargetMode="External" Id="rId67"/><Relationship Type="http://schemas.openxmlformats.org/officeDocument/2006/relationships/hyperlink" Target="https://cdn.shopify.com/s/files/1/0792/5098/1063/files/c0e3e1ac3a847d8fc5f463c96dfe8cf255d7b6c0e65db762f525a568cd2c71d6.jpg?v=1785090119" TargetMode="External" Id="rId68"/><Relationship Type="http://schemas.openxmlformats.org/officeDocument/2006/relationships/hyperlink" Target="https://cdn.shopify.com/s/files/1/0792/5098/1063/files/731a46271cc2edb73e4aa9a9ea7f97d8baa159853f998d7c4332e0a6e9083a43.jpg?v=1785090119" TargetMode="External" Id="rId69"/><Relationship Type="http://schemas.openxmlformats.org/officeDocument/2006/relationships/hyperlink" Target="https://cdn.shopify.com/s/files/1/0792/5098/1063/files/731a46271cc2edb73e4aa9a9ea7f97d8baa159853f998d7c4332e0a6e9083a43.jpg?v=1785090119" TargetMode="External" Id="rId70"/><Relationship Type="http://schemas.openxmlformats.org/officeDocument/2006/relationships/hyperlink" Target="https://cdn.shopify.com/s/files/1/0792/5098/1063/files/fed30c386ed240f23f6eb6e6eed2746d61873b9a1c066a7562806149d17dbd28.jpg?v=1785090119" TargetMode="External" Id="rId71"/><Relationship Type="http://schemas.openxmlformats.org/officeDocument/2006/relationships/hyperlink" Target="https://cdn.shopify.com/s/files/1/0792/5098/1063/files/fed30c386ed240f23f6eb6e6eed2746d61873b9a1c066a7562806149d17dbd28.jpg?v=1785090119" TargetMode="External" Id="rId72"/><Relationship Type="http://schemas.openxmlformats.org/officeDocument/2006/relationships/hyperlink" Target="https://cdn.shopify.com/s/files/1/0792/5098/1063/files/9cb3fc6270024b604cde79d6a526338481c20330753208655bd973a69c512b14.jpg?v=1785083134" TargetMode="External" Id="rId73"/><Relationship Type="http://schemas.openxmlformats.org/officeDocument/2006/relationships/hyperlink" Target="https://cdn.shopify.com/s/files/1/0792/5098/1063/files/9cb3fc6270024b604cde79d6a526338481c20330753208655bd973a69c512b14.jpg?v=1785083134" TargetMode="External" Id="rId74"/><Relationship Type="http://schemas.openxmlformats.org/officeDocument/2006/relationships/hyperlink" Target="https://cdn.shopify.com/s/files/1/0792/5098/1063/files/6019b5b3274aa2cb8cacdedb78cd90033781028d6f9ddbf4c63f17d203a50ea3.jpg?v=1785083134" TargetMode="External" Id="rId75"/><Relationship Type="http://schemas.openxmlformats.org/officeDocument/2006/relationships/hyperlink" Target="https://cdn.shopify.com/s/files/1/0792/5098/1063/files/6019b5b3274aa2cb8cacdedb78cd90033781028d6f9ddbf4c63f17d203a50ea3.jpg?v=1785083134" TargetMode="External" Id="rId76"/><Relationship Type="http://schemas.openxmlformats.org/officeDocument/2006/relationships/hyperlink" Target="https://cdn.shopify.com/s/files/1/0792/5098/1063/files/8a9e1df72b5192bb43bbd21e95f23ee9fb295c1019815a38619f5e8659a891a2.jpg?v=1785083134" TargetMode="External" Id="rId77"/><Relationship Type="http://schemas.openxmlformats.org/officeDocument/2006/relationships/hyperlink" Target="https://cdn.shopify.com/s/files/1/0792/5098/1063/files/8a9e1df72b5192bb43bbd21e95f23ee9fb295c1019815a38619f5e8659a891a2.jpg?v=1785083134" TargetMode="External" Id="rId78"/><Relationship Type="http://schemas.openxmlformats.org/officeDocument/2006/relationships/hyperlink" Target="https://cdn.shopify.com/s/files/1/0792/5098/1063/files/79314e2cf25aafc1d6482ba615bde9a91484df22d9283488eb083dba5e8cdb25.jpg?v=1785083134" TargetMode="External" Id="rId79"/><Relationship Type="http://schemas.openxmlformats.org/officeDocument/2006/relationships/hyperlink" Target="https://cdn.shopify.com/s/files/1/0792/5098/1063/files/79314e2cf25aafc1d6482ba615bde9a91484df22d9283488eb083dba5e8cdb25.jpg?v=1785083134" TargetMode="External" Id="rId80"/><Relationship Type="http://schemas.openxmlformats.org/officeDocument/2006/relationships/hyperlink" Target="https://cdn.shopify.com/s/files/1/0792/5098/1063/files/a08b59c3eeab5b31b580aab663d2334ae0223cca113e096f8b0a94891c8aa26b.jpg?v=1785083134" TargetMode="External" Id="rId81"/><Relationship Type="http://schemas.openxmlformats.org/officeDocument/2006/relationships/hyperlink" Target="https://cdn.shopify.com/s/files/1/0792/5098/1063/files/a08b59c3eeab5b31b580aab663d2334ae0223cca113e096f8b0a94891c8aa26b.jpg?v=1785083134" TargetMode="External" Id="rId82"/><Relationship Type="http://schemas.openxmlformats.org/officeDocument/2006/relationships/hyperlink" Target="https://cdn.shopify.com/s/files/1/0792/5098/1063/files/1dc01d41d7d407730feaf916a9c54d5ba771e06f6674b16473507e7a042a1831.jpg?v=1785083134" TargetMode="External" Id="rId83"/><Relationship Type="http://schemas.openxmlformats.org/officeDocument/2006/relationships/hyperlink" Target="https://cdn.shopify.com/s/files/1/0792/5098/1063/files/1dc01d41d7d407730feaf916a9c54d5ba771e06f6674b16473507e7a042a1831.jpg?v=1785083134" TargetMode="External" Id="rId84"/><Relationship Type="http://schemas.openxmlformats.org/officeDocument/2006/relationships/hyperlink" Target="https://cdn.shopify.com/s/files/1/0792/5098/1063/files/c24959ab140390d63cc323f99e5e71b8352d51d82db09e1b8086064e57b3ff2f.jpg?v=1785083134" TargetMode="External" Id="rId85"/><Relationship Type="http://schemas.openxmlformats.org/officeDocument/2006/relationships/hyperlink" Target="https://cdn.shopify.com/s/files/1/0792/5098/1063/files/c24959ab140390d63cc323f99e5e71b8352d51d82db09e1b8086064e57b3ff2f.jpg?v=1785083134" TargetMode="External" Id="rId86"/><Relationship Type="http://schemas.openxmlformats.org/officeDocument/2006/relationships/hyperlink" Target="https://cdn.shopify.com/s/files/1/0792/5098/1063/files/5e6a0504690a083cac0a3e9a0f9e115f6c30704abb48be8be9c1c30cdf20d364.jpg?v=1785083454" TargetMode="External" Id="rId87"/><Relationship Type="http://schemas.openxmlformats.org/officeDocument/2006/relationships/hyperlink" Target="https://cdn.shopify.com/s/files/1/0792/5098/1063/files/5e6a0504690a083cac0a3e9a0f9e115f6c30704abb48be8be9c1c30cdf20d364.jpg?v=1785083454" TargetMode="External" Id="rId88"/><Relationship Type="http://schemas.openxmlformats.org/officeDocument/2006/relationships/hyperlink" Target="https://cdn.shopify.com/s/files/1/0792/5098/1063/files/6fc5e391c3ea9c52821418c88ae612d6124d4b3adce71c738eb9f088be335cf1.jpg?v=1785083454" TargetMode="External" Id="rId89"/><Relationship Type="http://schemas.openxmlformats.org/officeDocument/2006/relationships/hyperlink" Target="https://cdn.shopify.com/s/files/1/0792/5098/1063/files/6fc5e391c3ea9c52821418c88ae612d6124d4b3adce71c738eb9f088be335cf1.jpg?v=1785083454" TargetMode="External" Id="rId90"/><Relationship Type="http://schemas.openxmlformats.org/officeDocument/2006/relationships/hyperlink" Target="https://cdn.shopify.com/s/files/1/0792/5098/1063/files/8a9e1df72b5192bb43bbd21e95f23ee9fb295c1019815a38619f5e8659a891a2_e681cc9a-a576-491e-bc3a-f23b8db1068e.jpg?v=1785083454" TargetMode="External" Id="rId91"/><Relationship Type="http://schemas.openxmlformats.org/officeDocument/2006/relationships/hyperlink" Target="https://cdn.shopify.com/s/files/1/0792/5098/1063/files/8a9e1df72b5192bb43bbd21e95f23ee9fb295c1019815a38619f5e8659a891a2_e681cc9a-a576-491e-bc3a-f23b8db1068e.jpg?v=1785083454" TargetMode="External" Id="rId92"/><Relationship Type="http://schemas.openxmlformats.org/officeDocument/2006/relationships/hyperlink" Target="https://cdn.shopify.com/s/files/1/0792/5098/1063/files/c94671107f08d4de5d661456c8e4395fbac48ff0a5153199664d0827984344e8.jpg?v=1785083454" TargetMode="External" Id="rId93"/><Relationship Type="http://schemas.openxmlformats.org/officeDocument/2006/relationships/hyperlink" Target="https://cdn.shopify.com/s/files/1/0792/5098/1063/files/c94671107f08d4de5d661456c8e4395fbac48ff0a5153199664d0827984344e8.jpg?v=1785083454" TargetMode="External" Id="rId94"/><Relationship Type="http://schemas.openxmlformats.org/officeDocument/2006/relationships/hyperlink" Target="https://cdn.shopify.com/s/files/1/0792/5098/1063/files/8217a61c80cab85bf5fba779553af3c411978b6f192c9005288891e6d246a2cb.jpg?v=1785083454" TargetMode="External" Id="rId95"/><Relationship Type="http://schemas.openxmlformats.org/officeDocument/2006/relationships/hyperlink" Target="https://cdn.shopify.com/s/files/1/0792/5098/1063/files/8217a61c80cab85bf5fba779553af3c411978b6f192c9005288891e6d246a2cb.jpg?v=1785083454" TargetMode="External" Id="rId96"/><Relationship Type="http://schemas.openxmlformats.org/officeDocument/2006/relationships/hyperlink" Target="https://cdn.shopify.com/s/files/1/0792/5098/1063/files/1dc01d41d7d407730feaf916a9c54d5ba771e06f6674b16473507e7a042a1831_258d2b4a-7d75-484c-b255-4e7545acbbf1.jpg?v=1785083454" TargetMode="External" Id="rId97"/><Relationship Type="http://schemas.openxmlformats.org/officeDocument/2006/relationships/hyperlink" Target="https://cdn.shopify.com/s/files/1/0792/5098/1063/files/1dc01d41d7d407730feaf916a9c54d5ba771e06f6674b16473507e7a042a1831_258d2b4a-7d75-484c-b255-4e7545acbbf1.jpg?v=1785083454" TargetMode="External" Id="rId98"/><Relationship Type="http://schemas.openxmlformats.org/officeDocument/2006/relationships/hyperlink" Target="https://cdn.shopify.com/s/files/1/0792/5098/1063/files/c24959ab140390d63cc323f99e5e71b8352d51d82db09e1b8086064e57b3ff2f_ca50253b-651c-4db6-943f-adb6c4ca62e3.jpg?v=1785083454" TargetMode="External" Id="rId99"/><Relationship Type="http://schemas.openxmlformats.org/officeDocument/2006/relationships/hyperlink" Target="https://cdn.shopify.com/s/files/1/0792/5098/1063/files/c24959ab140390d63cc323f99e5e71b8352d51d82db09e1b8086064e57b3ff2f_ca50253b-651c-4db6-943f-adb6c4ca62e3.jpg?v=1785083454" TargetMode="External" Id="rId100"/><Relationship Type="http://schemas.openxmlformats.org/officeDocument/2006/relationships/hyperlink" Target="https://cdn.shopify.com/s/files/1/0792/5098/1063/files/c12a7503c975876e784bc8478968b630f9766736e15cde2e78e2c302551d2885.jpg?v=1785091229" TargetMode="External" Id="rId101"/><Relationship Type="http://schemas.openxmlformats.org/officeDocument/2006/relationships/hyperlink" Target="https://cdn.shopify.com/s/files/1/0792/5098/1063/files/c12a7503c975876e784bc8478968b630f9766736e15cde2e78e2c302551d2885.jpg?v=1785091229" TargetMode="External" Id="rId102"/><Relationship Type="http://schemas.openxmlformats.org/officeDocument/2006/relationships/hyperlink" Target="https://cdn.shopify.com/s/files/1/0792/5098/1063/files/73c31425722c312996ce3722a2ab3deb5eca1fe4f6f9fa15d7c1d78be283c951.jpg?v=1785091229" TargetMode="External" Id="rId103"/><Relationship Type="http://schemas.openxmlformats.org/officeDocument/2006/relationships/hyperlink" Target="https://cdn.shopify.com/s/files/1/0792/5098/1063/files/73c31425722c312996ce3722a2ab3deb5eca1fe4f6f9fa15d7c1d78be283c951.jpg?v=1785091229" TargetMode="External" Id="rId104"/><Relationship Type="http://schemas.openxmlformats.org/officeDocument/2006/relationships/hyperlink" Target="https://cdn.shopify.com/s/files/1/0792/5098/1063/files/b50f9e231be5ddced7d66f60311b57dd110521a66f9deacdd47a7997df8bfc84.jpg?v=1785091229" TargetMode="External" Id="rId105"/><Relationship Type="http://schemas.openxmlformats.org/officeDocument/2006/relationships/hyperlink" Target="https://cdn.shopify.com/s/files/1/0792/5098/1063/files/b50f9e231be5ddced7d66f60311b57dd110521a66f9deacdd47a7997df8bfc84.jpg?v=1785091229" TargetMode="External" Id="rId106"/><Relationship Type="http://schemas.openxmlformats.org/officeDocument/2006/relationships/hyperlink" Target="https://cdn.shopify.com/s/files/1/0792/5098/1063/files/0b168cd7f5c03ed1ce63d6f652c199ecbffd4279a06857eb895c06fa9a081b18.jpg?v=1785091229" TargetMode="External" Id="rId107"/><Relationship Type="http://schemas.openxmlformats.org/officeDocument/2006/relationships/hyperlink" Target="https://cdn.shopify.com/s/files/1/0792/5098/1063/files/0b168cd7f5c03ed1ce63d6f652c199ecbffd4279a06857eb895c06fa9a081b18.jpg?v=1785091229" TargetMode="External" Id="rId108"/><Relationship Type="http://schemas.openxmlformats.org/officeDocument/2006/relationships/hyperlink" Target="https://cdn.shopify.com/s/files/1/0792/5098/1063/files/bf24700339b44d913b4505b7954a0eebd6a5d5a727cb411c6c7d23f13c2cb75a.jpg?v=1785091229" TargetMode="External" Id="rId109"/><Relationship Type="http://schemas.openxmlformats.org/officeDocument/2006/relationships/hyperlink" Target="https://cdn.shopify.com/s/files/1/0792/5098/1063/files/bf24700339b44d913b4505b7954a0eebd6a5d5a727cb411c6c7d23f13c2cb75a.jpg?v=1785091229" TargetMode="External" Id="rId110"/><Relationship Type="http://schemas.openxmlformats.org/officeDocument/2006/relationships/hyperlink" Target="https://cdn.shopify.com/s/files/1/0792/5098/1063/files/3d6f3a4eb45bfb0231b1e2e92aa4475c13eeb874a900a13420bbbff91cf769c2.jpg?v=1785091229" TargetMode="External" Id="rId111"/><Relationship Type="http://schemas.openxmlformats.org/officeDocument/2006/relationships/hyperlink" Target="https://cdn.shopify.com/s/files/1/0792/5098/1063/files/3d6f3a4eb45bfb0231b1e2e92aa4475c13eeb874a900a13420bbbff91cf769c2.jpg?v=1785091229" TargetMode="External" Id="rId112"/><Relationship Type="http://schemas.openxmlformats.org/officeDocument/2006/relationships/hyperlink" Target="https://cdn.shopify.com/s/files/1/0792/5098/1063/files/f6de009de0157da5a85a9ecb9c13df6caf4e0a469ed4043a1f702c8b6c537fc4.jpg?v=1785091229" TargetMode="External" Id="rId113"/><Relationship Type="http://schemas.openxmlformats.org/officeDocument/2006/relationships/hyperlink" Target="https://cdn.shopify.com/s/files/1/0792/5098/1063/files/f6de009de0157da5a85a9ecb9c13df6caf4e0a469ed4043a1f702c8b6c537fc4.jpg?v=1785091229" TargetMode="External" Id="rId114"/><Relationship Type="http://schemas.openxmlformats.org/officeDocument/2006/relationships/hyperlink" Target="https://cdn.shopify.com/s/files/1/0792/5098/1063/files/506208699826fd22223d7f359a17bad7d569ef0749841325cb295c2f7368bf3b.jpg?v=1785091229" TargetMode="External" Id="rId115"/><Relationship Type="http://schemas.openxmlformats.org/officeDocument/2006/relationships/hyperlink" Target="https://cdn.shopify.com/s/files/1/0792/5098/1063/files/506208699826fd22223d7f359a17bad7d569ef0749841325cb295c2f7368bf3b.jpg?v=1785091229" TargetMode="External" Id="rId116"/><Relationship Type="http://schemas.openxmlformats.org/officeDocument/2006/relationships/hyperlink" Target="https://cdn.shopify.com/s/files/1/0792/5098/1063/files/ed96114b904034e03b92d662d6c7e17d518593009bf80dcfe921f1ab3b3498eb.jpg?v=1785090862" TargetMode="External" Id="rId117"/><Relationship Type="http://schemas.openxmlformats.org/officeDocument/2006/relationships/hyperlink" Target="https://cdn.shopify.com/s/files/1/0792/5098/1063/files/ed96114b904034e03b92d662d6c7e17d518593009bf80dcfe921f1ab3b3498eb.jpg?v=1785090862" TargetMode="External" Id="rId118"/><Relationship Type="http://schemas.openxmlformats.org/officeDocument/2006/relationships/hyperlink" Target="https://cdn.shopify.com/s/files/1/0792/5098/1063/files/3d984792562f8010f3af68d23f4bc8a5bd85d9747526c7cd5282e1c31c693b36.jpg?v=1785090861" TargetMode="External" Id="rId119"/><Relationship Type="http://schemas.openxmlformats.org/officeDocument/2006/relationships/hyperlink" Target="https://cdn.shopify.com/s/files/1/0792/5098/1063/files/3d984792562f8010f3af68d23f4bc8a5bd85d9747526c7cd5282e1c31c693b36.jpg?v=1785090861" TargetMode="External" Id="rId120"/><Relationship Type="http://schemas.openxmlformats.org/officeDocument/2006/relationships/hyperlink" Target="https://cdn.shopify.com/s/files/1/0792/5098/1063/files/c9d88db0b17355b04ef112e8cae716929500574eab3120fa6ed32c86338180be.jpg?v=1785090862" TargetMode="External" Id="rId121"/><Relationship Type="http://schemas.openxmlformats.org/officeDocument/2006/relationships/hyperlink" Target="https://cdn.shopify.com/s/files/1/0792/5098/1063/files/c9d88db0b17355b04ef112e8cae716929500574eab3120fa6ed32c86338180be.jpg?v=1785090862" TargetMode="External" Id="rId122"/><Relationship Type="http://schemas.openxmlformats.org/officeDocument/2006/relationships/hyperlink" Target="https://cdn.shopify.com/s/files/1/0792/5098/1063/files/83c7cb91526b0c2c1dc2996aa49d61d934ca8d5cbf5b56dd7257862a362e8c45.jpg?v=1785090862" TargetMode="External" Id="rId123"/><Relationship Type="http://schemas.openxmlformats.org/officeDocument/2006/relationships/hyperlink" Target="https://cdn.shopify.com/s/files/1/0792/5098/1063/files/83c7cb91526b0c2c1dc2996aa49d61d934ca8d5cbf5b56dd7257862a362e8c45.jpg?v=1785090862" TargetMode="External" Id="rId124"/><Relationship Type="http://schemas.openxmlformats.org/officeDocument/2006/relationships/hyperlink" Target="https://cdn.shopify.com/s/files/1/0792/5098/1063/files/906ea4d03cb8db4de23c2fcc9a13d933180f44bfbd66601c05e48337998babcb.jpg?v=1785090861" TargetMode="External" Id="rId125"/><Relationship Type="http://schemas.openxmlformats.org/officeDocument/2006/relationships/hyperlink" Target="https://cdn.shopify.com/s/files/1/0792/5098/1063/files/906ea4d03cb8db4de23c2fcc9a13d933180f44bfbd66601c05e48337998babcb.jpg?v=1785090861" TargetMode="External" Id="rId126"/><Relationship Type="http://schemas.openxmlformats.org/officeDocument/2006/relationships/hyperlink" Target="https://cdn.shopify.com/s/files/1/0792/5098/1063/files/0eb7f14597a4b2324f5769ae0f4b7f1c4ec7a1ef838ca0c6ce31ae14f169f740.jpg?v=1785090861" TargetMode="External" Id="rId127"/><Relationship Type="http://schemas.openxmlformats.org/officeDocument/2006/relationships/hyperlink" Target="https://cdn.shopify.com/s/files/1/0792/5098/1063/files/0eb7f14597a4b2324f5769ae0f4b7f1c4ec7a1ef838ca0c6ce31ae14f169f740.jpg?v=1785090861" TargetMode="External" Id="rId128"/><Relationship Type="http://schemas.openxmlformats.org/officeDocument/2006/relationships/hyperlink" Target="https://cdn.shopify.com/s/files/1/0792/5098/1063/files/177b2fca4aad4510bee322bbee644447b293aec5d1fdb6da3933badc2d1e30fa.jpg?v=1785090862" TargetMode="External" Id="rId129"/><Relationship Type="http://schemas.openxmlformats.org/officeDocument/2006/relationships/hyperlink" Target="https://cdn.shopify.com/s/files/1/0792/5098/1063/files/177b2fca4aad4510bee322bbee644447b293aec5d1fdb6da3933badc2d1e30fa.jpg?v=1785090862" TargetMode="External" Id="rId130"/><Relationship Type="http://schemas.openxmlformats.org/officeDocument/2006/relationships/hyperlink" Target="https://cdn.shopify.com/s/files/1/0792/5098/1063/files/7a3d547ec6317ecbc43fb993de4a14d4cdf3da8f57c4407345250c876d2c32ca.jpg?v=1785090862" TargetMode="External" Id="rId131"/><Relationship Type="http://schemas.openxmlformats.org/officeDocument/2006/relationships/hyperlink" Target="https://cdn.shopify.com/s/files/1/0792/5098/1063/files/7a3d547ec6317ecbc43fb993de4a14d4cdf3da8f57c4407345250c876d2c32ca.jpg?v=1785090862" TargetMode="External" Id="rId132"/><Relationship Type="http://schemas.openxmlformats.org/officeDocument/2006/relationships/hyperlink" Target="https://cdn.shopify.com/s/files/1/0792/5098/1063/files/54a5702437a6f7b02a981540b13584efcc636acaebc5e7e5190b6f4f939806bc.jpg?v=1785083993" TargetMode="External" Id="rId133"/><Relationship Type="http://schemas.openxmlformats.org/officeDocument/2006/relationships/hyperlink" Target="https://cdn.shopify.com/s/files/1/0792/5098/1063/files/54a5702437a6f7b02a981540b13584efcc636acaebc5e7e5190b6f4f939806bc.jpg?v=1785083993" TargetMode="External" Id="rId134"/><Relationship Type="http://schemas.openxmlformats.org/officeDocument/2006/relationships/hyperlink" Target="https://cdn.shopify.com/s/files/1/0792/5098/1063/files/b0ea4e79672d69fa5a6b0fca181f843da1f36d046535a36b3f2f44944afd8f47.jpg?v=1785083993" TargetMode="External" Id="rId135"/><Relationship Type="http://schemas.openxmlformats.org/officeDocument/2006/relationships/hyperlink" Target="https://cdn.shopify.com/s/files/1/0792/5098/1063/files/b0ea4e79672d69fa5a6b0fca181f843da1f36d046535a36b3f2f44944afd8f47.jpg?v=1785083993" TargetMode="External" Id="rId136"/><Relationship Type="http://schemas.openxmlformats.org/officeDocument/2006/relationships/hyperlink" Target="https://cdn.shopify.com/s/files/1/0792/5098/1063/files/8a9e1df72b5192bb43bbd21e95f23ee9fb295c1019815a38619f5e8659a891a2_b0b7a172-619d-42c9-b8d8-3a35fa38d5e9.jpg?v=1785083993" TargetMode="External" Id="rId137"/><Relationship Type="http://schemas.openxmlformats.org/officeDocument/2006/relationships/hyperlink" Target="https://cdn.shopify.com/s/files/1/0792/5098/1063/files/8a9e1df72b5192bb43bbd21e95f23ee9fb295c1019815a38619f5e8659a891a2_b0b7a172-619d-42c9-b8d8-3a35fa38d5e9.jpg?v=1785083993" TargetMode="External" Id="rId138"/><Relationship Type="http://schemas.openxmlformats.org/officeDocument/2006/relationships/hyperlink" Target="https://cdn.shopify.com/s/files/1/0792/5098/1063/files/8d742af5fb825731fe7aba6234918f4afb23d3ce58d71ac70151b18a6b9d6bf1.jpg?v=1785083993" TargetMode="External" Id="rId139"/><Relationship Type="http://schemas.openxmlformats.org/officeDocument/2006/relationships/hyperlink" Target="https://cdn.shopify.com/s/files/1/0792/5098/1063/files/8d742af5fb825731fe7aba6234918f4afb23d3ce58d71ac70151b18a6b9d6bf1.jpg?v=1785083993" TargetMode="External" Id="rId140"/><Relationship Type="http://schemas.openxmlformats.org/officeDocument/2006/relationships/hyperlink" Target="https://cdn.shopify.com/s/files/1/0792/5098/1063/files/d1358d3d9a1b6f6278e4240c97d60b46107c89a28d9b92c835a84f46d1cab7ae.jpg?v=1785083993" TargetMode="External" Id="rId141"/><Relationship Type="http://schemas.openxmlformats.org/officeDocument/2006/relationships/hyperlink" Target="https://cdn.shopify.com/s/files/1/0792/5098/1063/files/d1358d3d9a1b6f6278e4240c97d60b46107c89a28d9b92c835a84f46d1cab7ae.jpg?v=1785083993" TargetMode="External" Id="rId142"/><Relationship Type="http://schemas.openxmlformats.org/officeDocument/2006/relationships/hyperlink" Target="https://cdn.shopify.com/s/files/1/0792/5098/1063/files/1dc01d41d7d407730feaf916a9c54d5ba771e06f6674b16473507e7a042a1831_fa773ae6-1174-4c46-9b08-e8ce678a69e6.jpg?v=1785083993" TargetMode="External" Id="rId143"/><Relationship Type="http://schemas.openxmlformats.org/officeDocument/2006/relationships/hyperlink" Target="https://cdn.shopify.com/s/files/1/0792/5098/1063/files/1dc01d41d7d407730feaf916a9c54d5ba771e06f6674b16473507e7a042a1831_fa773ae6-1174-4c46-9b08-e8ce678a69e6.jpg?v=1785083993" TargetMode="External" Id="rId144"/><Relationship Type="http://schemas.openxmlformats.org/officeDocument/2006/relationships/hyperlink" Target="https://cdn.shopify.com/s/files/1/0792/5098/1063/files/c24959ab140390d63cc323f99e5e71b8352d51d82db09e1b8086064e57b3ff2f_a564f98c-d3f5-4d28-860b-0e13b9350915.jpg?v=1785083993" TargetMode="External" Id="rId145"/><Relationship Type="http://schemas.openxmlformats.org/officeDocument/2006/relationships/hyperlink" Target="https://cdn.shopify.com/s/files/1/0792/5098/1063/files/c24959ab140390d63cc323f99e5e71b8352d51d82db09e1b8086064e57b3ff2f_a564f98c-d3f5-4d28-860b-0e13b9350915.jpg?v=1785083993" TargetMode="External" Id="rId14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v1.0; meta description 145-165 is editorial guidance only</t>
        </is>
      </c>
      <c r="C2" s="2" t="inlineStr">
        <is>
          <t>Rubric used.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D:\Shopify_Workspace\jeminise_seo\resutls\jeminise.com\20260906_234129\revisions\qa_batch_022_r4\SEO_Product_Optimization_qa_batch_022_r4.xlsx</t>
        </is>
      </c>
      <c r="C3" s="3" t="inlineStr">
        <is>
          <t>Frozen source; not edited.</t>
        </is>
      </c>
    </row>
    <row r="4" ht="42" customHeight="1">
      <c r="A4" s="2" t="inlineStr">
        <is>
          <t>source_sha256_at_freeze_and_handoff</t>
        </is>
      </c>
      <c r="B4" s="2" t="inlineStr">
        <is>
          <t>6F88917A2C2245F62E7CBA61E74EE5D1F2CE69E23A134B90E529E08C77BDB5A2</t>
        </is>
      </c>
      <c r="C4" s="2" t="inlineStr">
        <is>
          <t>Hash before/after QA; snapshot matched.</t>
        </is>
      </c>
    </row>
    <row r="5" ht="42" customHeight="1">
      <c r="A5" s="3" t="inlineStr">
        <is>
          <t>qa_run_id</t>
        </is>
      </c>
      <c r="B5" s="3" t="inlineStr">
        <is>
          <t>20260909_131954</t>
        </is>
      </c>
      <c r="C5" s="3" t="inlineStr">
        <is>
          <t>New independent QA run.</t>
        </is>
      </c>
    </row>
    <row r="6" ht="42" customHeight="1">
      <c r="A6" s="2" t="inlineStr">
        <is>
          <t>batch_id</t>
        </is>
      </c>
      <c r="B6" s="2" t="inlineStr">
        <is>
          <t>qa_batch_022_r4</t>
        </is>
      </c>
      <c r="C6" s="2" t="inlineStr">
        <is>
          <t>Inventory positions 211-220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Locked by product_key.</t>
        </is>
      </c>
    </row>
    <row r="8" ht="42" customHeight="1">
      <c r="A8" s="2" t="inlineStr">
        <is>
          <t>images_checked</t>
        </is>
      </c>
      <c r="B8" s="2" t="inlineStr">
        <is>
          <t>73/73</t>
        </is>
      </c>
      <c r="C8" s="2" t="inlineStr">
        <is>
          <t>Full image coverage.</t>
        </is>
      </c>
    </row>
    <row r="9" ht="42" customHeight="1">
      <c r="A9" s="3" t="inlineStr">
        <is>
          <t>keyword_rows_checked</t>
        </is>
      </c>
      <c r="B9" s="3" t="n">
        <v>40</v>
      </c>
      <c r="C9" s="3" t="inlineStr">
        <is>
          <t>Scoped Keyword_Map rows.</t>
        </is>
      </c>
    </row>
    <row r="10" ht="42" customHeight="1">
      <c r="A10" s="2" t="inlineStr">
        <is>
          <t>buyer_rows_checked</t>
        </is>
      </c>
      <c r="B10" s="2" t="n">
        <v>10</v>
      </c>
      <c r="C10" s="2" t="inlineStr">
        <is>
          <t>Scoped buyer rows.</t>
        </is>
      </c>
    </row>
    <row r="11" ht="42" customHeight="1">
      <c r="A11" s="3" t="inlineStr">
        <is>
          <t>batch_final_score</t>
        </is>
      </c>
      <c r="B11" s="3">
        <f>AVERAGE('QA_Products'!$I$2:$I$11)</f>
        <v/>
      </c>
      <c r="C11" s="3" t="inlineStr">
        <is>
          <t>Average final score.</t>
        </is>
      </c>
    </row>
    <row r="12" ht="42" customHeight="1">
      <c r="A12" s="2" t="inlineStr">
        <is>
          <t>batch_result</t>
        </is>
      </c>
      <c r="B12" s="2">
        <f>IF(COUNTIF('QA_Products'!$J$2:$J$11,"QA_PASS")=ROWS('QA_Products'!$J$2:$J$11),"PASSED","NOT_PASSED")</f>
        <v/>
      </c>
      <c r="C12" s="2" t="inlineStr">
        <is>
          <t>All products must pass.</t>
        </is>
      </c>
    </row>
    <row r="13" ht="42" customHeight="1">
      <c r="A13" s="3" t="inlineStr">
        <is>
          <t>status_counts</t>
        </is>
      </c>
      <c r="B13" s="3">
        <f>"PASS="&amp;COUNTIF('QA_Products'!$J$2:$J$11,"QA_PASS")&amp;"; REVISE="&amp;COUNTIF('QA_Products'!$J$2:$J$11,"QA_REVISE")&amp;"; FAIL="&amp;COUNTIF('QA_Products'!$J$2:$J$11,"QA_FAIL")&amp;"; INCOMPLETE="&amp;COUNTIF('QA_Products'!$J$2:$J$11,"QA_INCOMPLETE")</f>
        <v/>
      </c>
      <c r="C13" s="3" t="inlineStr">
        <is>
          <t>Status counts.</t>
        </is>
      </c>
    </row>
    <row r="14" ht="42" customHeight="1">
      <c r="A14" s="2" t="inlineStr">
        <is>
          <t>issue_counts</t>
        </is>
      </c>
      <c r="B14" s="2" t="inlineStr">
        <is>
          <t>{"LIMITATION": 1}</t>
        </is>
      </c>
      <c r="C14" s="2" t="inlineStr">
        <is>
          <t>Severity counts.</t>
        </is>
      </c>
    </row>
    <row r="15" ht="42" customHeight="1">
      <c r="A15" s="3" t="inlineStr">
        <is>
          <t>historical_admin_export</t>
        </is>
      </c>
      <c r="B15" s="3" t="inlineStr">
        <is>
          <t>729CBD9B3E0248F5D9196D999A49222DBDACA85C2F3CF8524BEEC549B57D738C</t>
        </is>
      </c>
      <c r="C15" s="3" t="inlineStr">
        <is>
          <t>Restored from git f3e38d54.</t>
        </is>
      </c>
    </row>
    <row r="16" ht="42" customHeight="1">
      <c r="A16" s="2" t="inlineStr">
        <is>
          <t>current_admin_export</t>
        </is>
      </c>
      <c r="B16" s="2" t="inlineStr">
        <is>
          <t>97AA8DC283CFC927BF3B6F41A3EA8926C96C0723B6942CF7C1D147CD854FBA83</t>
        </is>
      </c>
      <c r="C16" s="2" t="inlineStr">
        <is>
          <t>Current export kept separate.</t>
        </is>
      </c>
    </row>
    <row r="17" ht="42" customHeight="1">
      <c r="A17" s="3" t="inlineStr">
        <is>
          <t>xlsx_status</t>
        </is>
      </c>
      <c r="B17" s="3" t="inlineStr">
        <is>
          <t>COMPLETE</t>
        </is>
      </c>
      <c r="C17" s="3" t="inlineStr">
        <is>
          <t>Five-sheet workbook.</t>
        </is>
      </c>
    </row>
  </sheetData>
  <autoFilter ref="A1:C17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11" customWidth="1" min="4" max="4"/>
    <col width="24" customWidth="1" min="5" max="5"/>
    <col width="24" customWidth="1" min="6" max="6"/>
    <col width="19" customWidth="1" min="7" max="7"/>
    <col width="19" customWidth="1" min="8" max="8"/>
    <col width="24" customWidth="1" min="9" max="9"/>
    <col width="20" customWidth="1" min="10" max="10"/>
    <col width="38" customWidth="1" min="11" max="11"/>
    <col width="17" customWidth="1" min="12" max="12"/>
    <col width="16" customWidth="1" min="13" max="13"/>
    <col width="24" customWidth="1" min="14" max="14"/>
    <col width="16" customWidth="1" min="15" max="15"/>
    <col width="24" customWidth="1" min="16" max="16"/>
    <col width="24" customWidth="1" min="17" max="17"/>
    <col width="24" customWidth="1" min="18" max="18"/>
    <col width="24" customWidth="1" min="19" max="19"/>
    <col width="42" customWidth="1" min="20" max="20"/>
    <col width="42" customWidth="1" min="21" max="21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revision</t>
        </is>
      </c>
      <c r="E1" s="1" t="inlineStr">
        <is>
          <t>verified_points</t>
        </is>
      </c>
      <c r="F1" s="1" t="inlineStr">
        <is>
          <t>assessed_weight</t>
        </is>
      </c>
      <c r="G1" s="1" t="inlineStr">
        <is>
          <t>score_lower_bound</t>
        </is>
      </c>
      <c r="H1" s="1" t="inlineStr">
        <is>
          <t>score_upper_bound</t>
        </is>
      </c>
      <c r="I1" s="1" t="inlineStr">
        <is>
          <t>final_score</t>
        </is>
      </c>
      <c r="J1" s="1" t="inlineStr">
        <is>
          <t>qa_status</t>
        </is>
      </c>
      <c r="K1" s="1" t="inlineStr">
        <is>
          <t>keyword_evidence_level</t>
        </is>
      </c>
      <c r="L1" s="1" t="inlineStr">
        <is>
          <t>images_expected</t>
        </is>
      </c>
      <c r="M1" s="1" t="inlineStr">
        <is>
          <t>images_checked</t>
        </is>
      </c>
      <c r="N1" s="1" t="inlineStr">
        <is>
          <t>image_inventory_complete</t>
        </is>
      </c>
      <c r="O1" s="1" t="inlineStr">
        <is>
          <t>image_coverage</t>
        </is>
      </c>
      <c r="P1" s="1" t="inlineStr">
        <is>
          <t>critical_count</t>
        </is>
      </c>
      <c r="Q1" s="1" t="inlineStr">
        <is>
          <t>major_count</t>
        </is>
      </c>
      <c r="R1" s="1" t="inlineStr">
        <is>
          <t>minor_count</t>
        </is>
      </c>
      <c r="S1" s="1" t="inlineStr">
        <is>
          <t>limitation_count</t>
        </is>
      </c>
      <c r="T1" s="1" t="inlineStr">
        <is>
          <t>issue_refs</t>
        </is>
      </c>
      <c r="U1" s="1" t="inlineStr">
        <is>
          <t>evidence_refs</t>
        </is>
      </c>
    </row>
    <row r="2" ht="42" customHeight="1">
      <c r="A2" s="2" t="n">
        <v>211</v>
      </c>
      <c r="B2" s="2" t="inlineStr">
        <is>
          <t>jeminise.com+personalized-basketball-close-up-with-number-blanket-with-name-and-number-f16f46abef-f16f46abef</t>
        </is>
      </c>
      <c r="C2" s="4" t="inlineStr">
        <is>
          <t>https://jeminise.com/products/personalized-basketball-close-up-with-number-blanket-with-name-and-number-f16f46abef-f16f46abef</t>
        </is>
      </c>
      <c r="D2" s="2" t="inlineStr">
        <is>
          <t>r4</t>
        </is>
      </c>
      <c r="E2" s="5">
        <f>SUMIF('QA_Criteria'!$A$2:$A$111,B2,'QA_Criteria'!$F$2:$F$111)</f>
        <v/>
      </c>
      <c r="F2" s="5">
        <f>SUMIF('QA_Criteria'!$A$2:$A$111,B2,'QA_Criteria'!$G$2:$G$111)</f>
        <v/>
      </c>
      <c r="G2" s="5">
        <f>E2</f>
        <v/>
      </c>
      <c r="H2" s="5">
        <f>E2+(100-F2)</f>
        <v/>
      </c>
      <c r="I2" s="5">
        <f>IF(AND(F2=100,O2=1,N2=TRUE),E2,"")</f>
        <v/>
      </c>
      <c r="J2" s="2">
        <f>IF(P2&gt;0,"QA_FAIL",IF(I2="","QA_INCOMPLETE",IF(I2&lt;70,"QA_FAIL",IF(OR(I2&lt;85,Q2&gt;0),"QA_REVISE","QA_PASS"))))</f>
        <v/>
      </c>
      <c r="K2" s="2" t="inlineStr">
        <is>
          <t>SERP_ONLY</t>
        </is>
      </c>
      <c r="L2" s="2" t="n">
        <v>9</v>
      </c>
      <c r="M2" s="2" t="n">
        <v>9</v>
      </c>
      <c r="N2" s="2" t="b">
        <v>1</v>
      </c>
      <c r="O2" s="6" t="n">
        <v>1</v>
      </c>
      <c r="P2" s="2">
        <f>COUNTIFS('QA_Issues'!$B$2:$B$2,B2,'QA_Issues'!$D$2:$D$2,"CRITICAL")</f>
        <v/>
      </c>
      <c r="Q2" s="2">
        <f>COUNTIFS('QA_Issues'!$B$2:$B$2,B2,'QA_Issues'!$D$2:$D$2,"MAJOR")</f>
        <v/>
      </c>
      <c r="R2" s="2">
        <f>COUNTIFS('QA_Issues'!$B$2:$B$2,B2,'QA_Issues'!$D$2:$D$2,"MINOR")</f>
        <v/>
      </c>
      <c r="S2" s="2">
        <f>COUNTIFS('QA_Issues'!$B$2:$B$2,B2,'QA_Issues'!$D$2:$D$2,"LIMITATION")</f>
        <v/>
      </c>
      <c r="T2" s="2" t="inlineStr">
        <is>
          <t>[]</t>
        </is>
      </c>
      <c r="U2" s="2" t="inlineStr">
        <is>
          <t>["evidence_batch_022_211", "https://jeminise.com/products/personalized-basketball-close-up-with-number-blanket-with-name-and-number-f16f46abef-f16f46abef", "serp_qa_batch_022_r4_211_1", "live_pages", "customizer_fields_audit.json"]</t>
        </is>
      </c>
    </row>
    <row r="3" ht="42" customHeight="1">
      <c r="A3" s="3" t="n">
        <v>212</v>
      </c>
      <c r="B3" s="3" t="inlineStr">
        <is>
          <t>jeminise.com+personalized-basketball-court-perspective-comforter-with-name-and-number-5545af9fa4-5545af9fa4</t>
        </is>
      </c>
      <c r="C3" s="4" t="inlineStr">
        <is>
          <t>https://jeminise.com/products/personalized-basketball-court-perspective-comforter-with-name-and-number-5545af9fa4-5545af9fa4</t>
        </is>
      </c>
      <c r="D3" s="3" t="inlineStr">
        <is>
          <t>r4</t>
        </is>
      </c>
      <c r="E3" s="7">
        <f>SUMIF('QA_Criteria'!$A$2:$A$111,B3,'QA_Criteria'!$F$2:$F$111)</f>
        <v/>
      </c>
      <c r="F3" s="7">
        <f>SUMIF('QA_Criteria'!$A$2:$A$111,B3,'QA_Criteria'!$G$2:$G$111)</f>
        <v/>
      </c>
      <c r="G3" s="7">
        <f>E3</f>
        <v/>
      </c>
      <c r="H3" s="7">
        <f>E3+(100-F3)</f>
        <v/>
      </c>
      <c r="I3" s="7">
        <f>IF(AND(F3=100,O3=1,N3=TRUE),E3,"")</f>
        <v/>
      </c>
      <c r="J3" s="3">
        <f>IF(P3&gt;0,"QA_FAIL",IF(I3="","QA_INCOMPLETE",IF(I3&lt;70,"QA_FAIL",IF(OR(I3&lt;85,Q3&gt;0),"QA_REVISE","QA_PASS"))))</f>
        <v/>
      </c>
      <c r="K3" s="3" t="inlineStr">
        <is>
          <t>SERP_ONLY</t>
        </is>
      </c>
      <c r="L3" s="3" t="n">
        <v>7</v>
      </c>
      <c r="M3" s="3" t="n">
        <v>7</v>
      </c>
      <c r="N3" s="3" t="b">
        <v>1</v>
      </c>
      <c r="O3" s="8" t="n">
        <v>1</v>
      </c>
      <c r="P3" s="3">
        <f>COUNTIFS('QA_Issues'!$B$2:$B$2,B3,'QA_Issues'!$D$2:$D$2,"CRITICAL")</f>
        <v/>
      </c>
      <c r="Q3" s="3">
        <f>COUNTIFS('QA_Issues'!$B$2:$B$2,B3,'QA_Issues'!$D$2:$D$2,"MAJOR")</f>
        <v/>
      </c>
      <c r="R3" s="3">
        <f>COUNTIFS('QA_Issues'!$B$2:$B$2,B3,'QA_Issues'!$D$2:$D$2,"MINOR")</f>
        <v/>
      </c>
      <c r="S3" s="3">
        <f>COUNTIFS('QA_Issues'!$B$2:$B$2,B3,'QA_Issues'!$D$2:$D$2,"LIMITATION")</f>
        <v/>
      </c>
      <c r="T3" s="3" t="inlineStr">
        <is>
          <t>[]</t>
        </is>
      </c>
      <c r="U3" s="3" t="inlineStr">
        <is>
          <t>["evidence_batch_022_212", "https://jeminise.com/products/personalized-basketball-court-perspective-comforter-with-name-and-number-5545af9fa4-5545af9fa4", "serp_qa_batch_022_r4_212_1", "live_pages", "customizer_fields_audit.json"]</t>
        </is>
      </c>
    </row>
    <row r="4" ht="42" customHeight="1">
      <c r="A4" s="2" t="n">
        <v>213</v>
      </c>
      <c r="B4" s="2" t="inlineStr">
        <is>
          <t>jeminise.com+personalized-basketball-cracked-wall-comforter-with-name-and-number-aeaddaa506-aeaddaa506</t>
        </is>
      </c>
      <c r="C4" s="4" t="inlineStr">
        <is>
          <t>https://jeminise.com/products/personalized-basketball-cracked-wall-comforter-with-name-and-number-aeaddaa506-aeaddaa506</t>
        </is>
      </c>
      <c r="D4" s="2" t="inlineStr">
        <is>
          <t>r4</t>
        </is>
      </c>
      <c r="E4" s="5">
        <f>SUMIF('QA_Criteria'!$A$2:$A$111,B4,'QA_Criteria'!$F$2:$F$111)</f>
        <v/>
      </c>
      <c r="F4" s="5">
        <f>SUMIF('QA_Criteria'!$A$2:$A$111,B4,'QA_Criteria'!$G$2:$G$111)</f>
        <v/>
      </c>
      <c r="G4" s="5">
        <f>E4</f>
        <v/>
      </c>
      <c r="H4" s="5">
        <f>E4+(100-F4)</f>
        <v/>
      </c>
      <c r="I4" s="5">
        <f>IF(AND(F4=100,O4=1,N4=TRUE),E4,"")</f>
        <v/>
      </c>
      <c r="J4" s="2">
        <f>IF(P4&gt;0,"QA_FAIL",IF(I4="","QA_INCOMPLETE",IF(I4&lt;70,"QA_FAIL",IF(OR(I4&lt;85,Q4&gt;0),"QA_REVISE","QA_PASS"))))</f>
        <v/>
      </c>
      <c r="K4" s="2" t="inlineStr">
        <is>
          <t>SERP_ONLY</t>
        </is>
      </c>
      <c r="L4" s="2" t="n">
        <v>7</v>
      </c>
      <c r="M4" s="2" t="n">
        <v>7</v>
      </c>
      <c r="N4" s="2" t="b">
        <v>1</v>
      </c>
      <c r="O4" s="6" t="n">
        <v>1</v>
      </c>
      <c r="P4" s="2">
        <f>COUNTIFS('QA_Issues'!$B$2:$B$2,B4,'QA_Issues'!$D$2:$D$2,"CRITICAL")</f>
        <v/>
      </c>
      <c r="Q4" s="2">
        <f>COUNTIFS('QA_Issues'!$B$2:$B$2,B4,'QA_Issues'!$D$2:$D$2,"MAJOR")</f>
        <v/>
      </c>
      <c r="R4" s="2">
        <f>COUNTIFS('QA_Issues'!$B$2:$B$2,B4,'QA_Issues'!$D$2:$D$2,"MINOR")</f>
        <v/>
      </c>
      <c r="S4" s="2">
        <f>COUNTIFS('QA_Issues'!$B$2:$B$2,B4,'QA_Issues'!$D$2:$D$2,"LIMITATION")</f>
        <v/>
      </c>
      <c r="T4" s="2" t="inlineStr">
        <is>
          <t>[]</t>
        </is>
      </c>
      <c r="U4" s="2" t="inlineStr">
        <is>
          <t>["evidence_batch_022_213", "https://jeminise.com/products/personalized-basketball-cracked-wall-comforter-with-name-and-number-aeaddaa506-aeaddaa506", "serp_qa_batch_022_r4_213_1", "live_pages", "customizer_fields_audit.json"]</t>
        </is>
      </c>
    </row>
    <row r="5" ht="42" customHeight="1">
      <c r="A5" s="3" t="n">
        <v>214</v>
      </c>
      <c r="B5" s="3" t="inlineStr">
        <is>
          <t>jeminise.com+personalized-basketball-entering-net-comforter-e55e615fd3-e55e615fd3</t>
        </is>
      </c>
      <c r="C5" s="4" t="inlineStr">
        <is>
          <t>https://jeminise.com/products/personalized-basketball-entering-net-comforter-e55e615fd3-e55e615fd3</t>
        </is>
      </c>
      <c r="D5" s="3" t="inlineStr">
        <is>
          <t>r4</t>
        </is>
      </c>
      <c r="E5" s="7">
        <f>SUMIF('QA_Criteria'!$A$2:$A$111,B5,'QA_Criteria'!$F$2:$F$111)</f>
        <v/>
      </c>
      <c r="F5" s="7">
        <f>SUMIF('QA_Criteria'!$A$2:$A$111,B5,'QA_Criteria'!$G$2:$G$111)</f>
        <v/>
      </c>
      <c r="G5" s="7">
        <f>E5</f>
        <v/>
      </c>
      <c r="H5" s="7">
        <f>E5+(100-F5)</f>
        <v/>
      </c>
      <c r="I5" s="7">
        <f>IF(AND(F5=100,O5=1,N5=TRUE),E5,"")</f>
        <v/>
      </c>
      <c r="J5" s="3">
        <f>IF(P5&gt;0,"QA_FAIL",IF(I5="","QA_INCOMPLETE",IF(I5&lt;70,"QA_FAIL",IF(OR(I5&lt;85,Q5&gt;0),"QA_REVISE","QA_PASS"))))</f>
        <v/>
      </c>
      <c r="K5" s="3" t="inlineStr">
        <is>
          <t>SERP_ONLY</t>
        </is>
      </c>
      <c r="L5" s="3" t="n">
        <v>5</v>
      </c>
      <c r="M5" s="3" t="n">
        <v>5</v>
      </c>
      <c r="N5" s="3" t="b">
        <v>1</v>
      </c>
      <c r="O5" s="8" t="n">
        <v>1</v>
      </c>
      <c r="P5" s="3">
        <f>COUNTIFS('QA_Issues'!$B$2:$B$2,B5,'QA_Issues'!$D$2:$D$2,"CRITICAL")</f>
        <v/>
      </c>
      <c r="Q5" s="3">
        <f>COUNTIFS('QA_Issues'!$B$2:$B$2,B5,'QA_Issues'!$D$2:$D$2,"MAJOR")</f>
        <v/>
      </c>
      <c r="R5" s="3">
        <f>COUNTIFS('QA_Issues'!$B$2:$B$2,B5,'QA_Issues'!$D$2:$D$2,"MINOR")</f>
        <v/>
      </c>
      <c r="S5" s="3">
        <f>COUNTIFS('QA_Issues'!$B$2:$B$2,B5,'QA_Issues'!$D$2:$D$2,"LIMITATION")</f>
        <v/>
      </c>
      <c r="T5" s="3" t="inlineStr">
        <is>
          <t>[]</t>
        </is>
      </c>
      <c r="U5" s="3" t="inlineStr">
        <is>
          <t>["evidence_batch_022_214", "https://jeminise.com/products/personalized-basketball-entering-net-comforter-e55e615fd3-e55e615fd3", "serp_qa_batch_022_r4_214_1", "live_pages", "customizer_fields_audit.json"]</t>
        </is>
      </c>
    </row>
    <row r="6" ht="42" customHeight="1">
      <c r="A6" s="2" t="n">
        <v>215</v>
      </c>
      <c r="B6" s="2" t="inlineStr">
        <is>
          <t>jeminise.com+personalized-basketball-fire-and-water-splash-blanket-with-name-and-number-b05a53f208-b05a53f208</t>
        </is>
      </c>
      <c r="C6" s="4" t="inlineStr">
        <is>
          <t>https://jeminise.com/products/personalized-basketball-fire-and-water-splash-blanket-with-name-and-number-b05a53f208-b05a53f208</t>
        </is>
      </c>
      <c r="D6" s="2" t="inlineStr">
        <is>
          <t>r4</t>
        </is>
      </c>
      <c r="E6" s="5">
        <f>SUMIF('QA_Criteria'!$A$2:$A$111,B6,'QA_Criteria'!$F$2:$F$111)</f>
        <v/>
      </c>
      <c r="F6" s="5">
        <f>SUMIF('QA_Criteria'!$A$2:$A$111,B6,'QA_Criteria'!$G$2:$G$111)</f>
        <v/>
      </c>
      <c r="G6" s="5">
        <f>E6</f>
        <v/>
      </c>
      <c r="H6" s="5">
        <f>E6+(100-F6)</f>
        <v/>
      </c>
      <c r="I6" s="5">
        <f>IF(AND(F6=100,O6=1,N6=TRUE),E6,"")</f>
        <v/>
      </c>
      <c r="J6" s="2">
        <f>IF(P6&gt;0,"QA_FAIL",IF(I6="","QA_INCOMPLETE",IF(I6&lt;70,"QA_FAIL",IF(OR(I6&lt;85,Q6&gt;0),"QA_REVISE","QA_PASS"))))</f>
        <v/>
      </c>
      <c r="K6" s="2" t="inlineStr">
        <is>
          <t>SERP_ONLY</t>
        </is>
      </c>
      <c r="L6" s="2" t="n">
        <v>8</v>
      </c>
      <c r="M6" s="2" t="n">
        <v>8</v>
      </c>
      <c r="N6" s="2" t="b">
        <v>1</v>
      </c>
      <c r="O6" s="6" t="n">
        <v>1</v>
      </c>
      <c r="P6" s="2">
        <f>COUNTIFS('QA_Issues'!$B$2:$B$2,B6,'QA_Issues'!$D$2:$D$2,"CRITICAL")</f>
        <v/>
      </c>
      <c r="Q6" s="2">
        <f>COUNTIFS('QA_Issues'!$B$2:$B$2,B6,'QA_Issues'!$D$2:$D$2,"MAJOR")</f>
        <v/>
      </c>
      <c r="R6" s="2">
        <f>COUNTIFS('QA_Issues'!$B$2:$B$2,B6,'QA_Issues'!$D$2:$D$2,"MINOR")</f>
        <v/>
      </c>
      <c r="S6" s="2">
        <f>COUNTIFS('QA_Issues'!$B$2:$B$2,B6,'QA_Issues'!$D$2:$D$2,"LIMITATION")</f>
        <v/>
      </c>
      <c r="T6" s="2" t="inlineStr">
        <is>
          <t>[]</t>
        </is>
      </c>
      <c r="U6" s="2" t="inlineStr">
        <is>
          <t>["evidence_batch_022_215", "https://jeminise.com/products/personalized-basketball-fire-and-water-splash-blanket-with-name-and-number-b05a53f208-b05a53f208", "serp_qa_batch_022_r4_215_1", "live_pages", "customizer_fields_audit.json"]</t>
        </is>
      </c>
    </row>
    <row r="7" ht="42" customHeight="1">
      <c r="A7" s="3" t="n">
        <v>216</v>
      </c>
      <c r="B7" s="3" t="inlineStr">
        <is>
          <t>jeminise.com+personalized-basketball-flames-flying-over-comforter-with-name-and-number-feb4be1ea4-feb4be1ea4</t>
        </is>
      </c>
      <c r="C7" s="4" t="inlineStr">
        <is>
          <t>https://jeminise.com/products/personalized-basketball-flames-flying-over-comforter-with-name-and-number-feb4be1ea4-feb4be1ea4</t>
        </is>
      </c>
      <c r="D7" s="3" t="inlineStr">
        <is>
          <t>r4</t>
        </is>
      </c>
      <c r="E7" s="7">
        <f>SUMIF('QA_Criteria'!$A$2:$A$111,B7,'QA_Criteria'!$F$2:$F$111)</f>
        <v/>
      </c>
      <c r="F7" s="7">
        <f>SUMIF('QA_Criteria'!$A$2:$A$111,B7,'QA_Criteria'!$G$2:$G$111)</f>
        <v/>
      </c>
      <c r="G7" s="7">
        <f>E7</f>
        <v/>
      </c>
      <c r="H7" s="7">
        <f>E7+(100-F7)</f>
        <v/>
      </c>
      <c r="I7" s="7">
        <f>IF(AND(F7=100,O7=1,N7=TRUE),E7,"")</f>
        <v/>
      </c>
      <c r="J7" s="3">
        <f>IF(P7&gt;0,"QA_FAIL",IF(I7="","QA_INCOMPLETE",IF(I7&lt;70,"QA_FAIL",IF(OR(I7&lt;85,Q7&gt;0),"QA_REVISE","QA_PASS"))))</f>
        <v/>
      </c>
      <c r="K7" s="3" t="inlineStr">
        <is>
          <t>SERP_ONLY</t>
        </is>
      </c>
      <c r="L7" s="3" t="n">
        <v>7</v>
      </c>
      <c r="M7" s="3" t="n">
        <v>7</v>
      </c>
      <c r="N7" s="3" t="b">
        <v>1</v>
      </c>
      <c r="O7" s="8" t="n">
        <v>1</v>
      </c>
      <c r="P7" s="3">
        <f>COUNTIFS('QA_Issues'!$B$2:$B$2,B7,'QA_Issues'!$D$2:$D$2,"CRITICAL")</f>
        <v/>
      </c>
      <c r="Q7" s="3">
        <f>COUNTIFS('QA_Issues'!$B$2:$B$2,B7,'QA_Issues'!$D$2:$D$2,"MAJOR")</f>
        <v/>
      </c>
      <c r="R7" s="3">
        <f>COUNTIFS('QA_Issues'!$B$2:$B$2,B7,'QA_Issues'!$D$2:$D$2,"MINOR")</f>
        <v/>
      </c>
      <c r="S7" s="3">
        <f>COUNTIFS('QA_Issues'!$B$2:$B$2,B7,'QA_Issues'!$D$2:$D$2,"LIMITATION")</f>
        <v/>
      </c>
      <c r="T7" s="3" t="inlineStr">
        <is>
          <t>[]</t>
        </is>
      </c>
      <c r="U7" s="3" t="inlineStr">
        <is>
          <t>["evidence_batch_022_216", "https://jeminise.com/products/personalized-basketball-flames-flying-over-comforter-with-name-and-number-feb4be1ea4-feb4be1ea4", "serp_qa_batch_022_r4_216_1", "live_pages", "customizer_fields_audit.json"]</t>
        </is>
      </c>
    </row>
    <row r="8" ht="42" customHeight="1">
      <c r="A8" s="2" t="n">
        <v>217</v>
      </c>
      <c r="B8" s="2" t="inlineStr">
        <is>
          <t>jeminise.com+personalized-basketball-glowing-light-burst-comforter-with-name-and-number-3bc9e1267e-3bc9e1267e</t>
        </is>
      </c>
      <c r="C8" s="4" t="inlineStr">
        <is>
          <t>https://jeminise.com/products/personalized-basketball-glowing-light-burst-comforter-with-name-and-number-3bc9e1267e-3bc9e1267e</t>
        </is>
      </c>
      <c r="D8" s="2" t="inlineStr">
        <is>
          <t>r4</t>
        </is>
      </c>
      <c r="E8" s="5">
        <f>SUMIF('QA_Criteria'!$A$2:$A$111,B8,'QA_Criteria'!$F$2:$F$111)</f>
        <v/>
      </c>
      <c r="F8" s="5">
        <f>SUMIF('QA_Criteria'!$A$2:$A$111,B8,'QA_Criteria'!$G$2:$G$111)</f>
        <v/>
      </c>
      <c r="G8" s="5">
        <f>E8</f>
        <v/>
      </c>
      <c r="H8" s="5">
        <f>E8+(100-F8)</f>
        <v/>
      </c>
      <c r="I8" s="5">
        <f>IF(AND(F8=100,O8=1,N8=TRUE),E8,"")</f>
        <v/>
      </c>
      <c r="J8" s="2">
        <f>IF(P8&gt;0,"QA_FAIL",IF(I8="","QA_INCOMPLETE",IF(I8&lt;70,"QA_FAIL",IF(OR(I8&lt;85,Q8&gt;0),"QA_REVISE","QA_PASS"))))</f>
        <v/>
      </c>
      <c r="K8" s="2" t="inlineStr">
        <is>
          <t>SERP_ONLY</t>
        </is>
      </c>
      <c r="L8" s="2" t="n">
        <v>7</v>
      </c>
      <c r="M8" s="2" t="n">
        <v>7</v>
      </c>
      <c r="N8" s="2" t="b">
        <v>1</v>
      </c>
      <c r="O8" s="6" t="n">
        <v>1</v>
      </c>
      <c r="P8" s="2">
        <f>COUNTIFS('QA_Issues'!$B$2:$B$2,B8,'QA_Issues'!$D$2:$D$2,"CRITICAL")</f>
        <v/>
      </c>
      <c r="Q8" s="2">
        <f>COUNTIFS('QA_Issues'!$B$2:$B$2,B8,'QA_Issues'!$D$2:$D$2,"MAJOR")</f>
        <v/>
      </c>
      <c r="R8" s="2">
        <f>COUNTIFS('QA_Issues'!$B$2:$B$2,B8,'QA_Issues'!$D$2:$D$2,"MINOR")</f>
        <v/>
      </c>
      <c r="S8" s="2">
        <f>COUNTIFS('QA_Issues'!$B$2:$B$2,B8,'QA_Issues'!$D$2:$D$2,"LIMITATION")</f>
        <v/>
      </c>
      <c r="T8" s="2" t="inlineStr">
        <is>
          <t>[]</t>
        </is>
      </c>
      <c r="U8" s="2" t="inlineStr">
        <is>
          <t>["evidence_batch_022_217", "https://jeminise.com/products/personalized-basketball-glowing-light-burst-comforter-with-name-and-number-3bc9e1267e-3bc9e1267e", "serp_qa_batch_022_r4_217_1", "live_pages", "customizer_fields_audit.json"]</t>
        </is>
      </c>
    </row>
    <row r="9" ht="42" customHeight="1">
      <c r="A9" s="3" t="n">
        <v>218</v>
      </c>
      <c r="B9" s="3" t="inlineStr">
        <is>
          <t>jeminise.com+personalized-basketball-held-by-hand-on-court-blanket-with-name-and-number-079998b76f-079998b76f</t>
        </is>
      </c>
      <c r="C9" s="4" t="inlineStr">
        <is>
          <t>https://jeminise.com/products/personalized-basketball-held-by-hand-on-court-blanket-with-name-and-number-079998b76f-079998b76f</t>
        </is>
      </c>
      <c r="D9" s="3" t="inlineStr">
        <is>
          <t>r4</t>
        </is>
      </c>
      <c r="E9" s="7">
        <f>SUMIF('QA_Criteria'!$A$2:$A$111,B9,'QA_Criteria'!$F$2:$F$111)</f>
        <v/>
      </c>
      <c r="F9" s="7">
        <f>SUMIF('QA_Criteria'!$A$2:$A$111,B9,'QA_Criteria'!$G$2:$G$111)</f>
        <v/>
      </c>
      <c r="G9" s="7">
        <f>E9</f>
        <v/>
      </c>
      <c r="H9" s="7">
        <f>E9+(100-F9)</f>
        <v/>
      </c>
      <c r="I9" s="7">
        <f>IF(AND(F9=100,O9=1,N9=TRUE),E9,"")</f>
        <v/>
      </c>
      <c r="J9" s="3">
        <f>IF(P9&gt;0,"QA_FAIL",IF(I9="","QA_INCOMPLETE",IF(I9&lt;70,"QA_FAIL",IF(OR(I9&lt;85,Q9&gt;0),"QA_REVISE","QA_PASS"))))</f>
        <v/>
      </c>
      <c r="K9" s="3" t="inlineStr">
        <is>
          <t>SERP_ONLY</t>
        </is>
      </c>
      <c r="L9" s="3" t="n">
        <v>8</v>
      </c>
      <c r="M9" s="3" t="n">
        <v>8</v>
      </c>
      <c r="N9" s="3" t="b">
        <v>1</v>
      </c>
      <c r="O9" s="8" t="n">
        <v>1</v>
      </c>
      <c r="P9" s="3">
        <f>COUNTIFS('QA_Issues'!$B$2:$B$2,B9,'QA_Issues'!$D$2:$D$2,"CRITICAL")</f>
        <v/>
      </c>
      <c r="Q9" s="3">
        <f>COUNTIFS('QA_Issues'!$B$2:$B$2,B9,'QA_Issues'!$D$2:$D$2,"MAJOR")</f>
        <v/>
      </c>
      <c r="R9" s="3">
        <f>COUNTIFS('QA_Issues'!$B$2:$B$2,B9,'QA_Issues'!$D$2:$D$2,"MINOR")</f>
        <v/>
      </c>
      <c r="S9" s="3">
        <f>COUNTIFS('QA_Issues'!$B$2:$B$2,B9,'QA_Issues'!$D$2:$D$2,"LIMITATION")</f>
        <v/>
      </c>
      <c r="T9" s="3" t="inlineStr">
        <is>
          <t>[]</t>
        </is>
      </c>
      <c r="U9" s="3" t="inlineStr">
        <is>
          <t>["evidence_batch_022_218", "https://jeminise.com/products/personalized-basketball-held-by-hand-on-court-blanket-with-name-and-number-079998b76f-079998b76f", "serp_qa_batch_022_r4_218_1", "live_pages", "customizer_fields_audit.json"]</t>
        </is>
      </c>
    </row>
    <row r="10" ht="42" customHeight="1">
      <c r="A10" s="2" t="n">
        <v>219</v>
      </c>
      <c r="B10" s="2" t="inlineStr">
        <is>
          <t>jeminise.com+personalized-basketball-held-under-player-arm-blanket-with-name-and-number-7a077c5144-7a077c5144</t>
        </is>
      </c>
      <c r="C10" s="4" t="inlineStr">
        <is>
          <t>https://jeminise.com/products/personalized-basketball-held-under-player-arm-blanket-with-name-and-number-7a077c5144-7a077c5144</t>
        </is>
      </c>
      <c r="D10" s="2" t="inlineStr">
        <is>
          <t>r4</t>
        </is>
      </c>
      <c r="E10" s="5">
        <f>SUMIF('QA_Criteria'!$A$2:$A$111,B10,'QA_Criteria'!$F$2:$F$111)</f>
        <v/>
      </c>
      <c r="F10" s="5">
        <f>SUMIF('QA_Criteria'!$A$2:$A$111,B10,'QA_Criteria'!$G$2:$G$111)</f>
        <v/>
      </c>
      <c r="G10" s="5">
        <f>E10</f>
        <v/>
      </c>
      <c r="H10" s="5">
        <f>E10+(100-F10)</f>
        <v/>
      </c>
      <c r="I10" s="5">
        <f>IF(AND(F10=100,O10=1,N10=TRUE),E10,"")</f>
        <v/>
      </c>
      <c r="J10" s="2">
        <f>IF(P10&gt;0,"QA_FAIL",IF(I10="","QA_INCOMPLETE",IF(I10&lt;70,"QA_FAIL",IF(OR(I10&lt;85,Q10&gt;0),"QA_REVISE","QA_PASS"))))</f>
        <v/>
      </c>
      <c r="K10" s="2" t="inlineStr">
        <is>
          <t>SERP_ONLY</t>
        </is>
      </c>
      <c r="L10" s="2" t="n">
        <v>8</v>
      </c>
      <c r="M10" s="2" t="n">
        <v>8</v>
      </c>
      <c r="N10" s="2" t="b">
        <v>1</v>
      </c>
      <c r="O10" s="6" t="n">
        <v>1</v>
      </c>
      <c r="P10" s="2">
        <f>COUNTIFS('QA_Issues'!$B$2:$B$2,B10,'QA_Issues'!$D$2:$D$2,"CRITICAL")</f>
        <v/>
      </c>
      <c r="Q10" s="2">
        <f>COUNTIFS('QA_Issues'!$B$2:$B$2,B10,'QA_Issues'!$D$2:$D$2,"MAJOR")</f>
        <v/>
      </c>
      <c r="R10" s="2">
        <f>COUNTIFS('QA_Issues'!$B$2:$B$2,B10,'QA_Issues'!$D$2:$D$2,"MINOR")</f>
        <v/>
      </c>
      <c r="S10" s="2">
        <f>COUNTIFS('QA_Issues'!$B$2:$B$2,B10,'QA_Issues'!$D$2:$D$2,"LIMITATION")</f>
        <v/>
      </c>
      <c r="T10" s="2" t="inlineStr">
        <is>
          <t>[]</t>
        </is>
      </c>
      <c r="U10" s="2" t="inlineStr">
        <is>
          <t>["evidence_batch_022_219", "https://jeminise.com/products/personalized-basketball-held-under-player-arm-blanket-with-name-and-number-7a077c5144-7a077c5144", "serp_qa_batch_022_r4_219_1", "live_pages", "customizer_fields_audit.json"]</t>
        </is>
      </c>
    </row>
    <row r="11" ht="42" customHeight="1">
      <c r="A11" s="3" t="n">
        <v>220</v>
      </c>
      <c r="B11" s="3" t="inlineStr">
        <is>
          <t>jeminise.com+personalized-basketball-hoop-comforter-name-number-863d6f6ff1-863d6f6ff1</t>
        </is>
      </c>
      <c r="C11" s="4" t="inlineStr">
        <is>
          <t>https://jeminise.com/products/personalized-basketball-hoop-comforter-name-number-863d6f6ff1-863d6f6ff1</t>
        </is>
      </c>
      <c r="D11" s="3" t="inlineStr">
        <is>
          <t>r4</t>
        </is>
      </c>
      <c r="E11" s="7">
        <f>SUMIF('QA_Criteria'!$A$2:$A$111,B11,'QA_Criteria'!$F$2:$F$111)</f>
        <v/>
      </c>
      <c r="F11" s="7">
        <f>SUMIF('QA_Criteria'!$A$2:$A$111,B11,'QA_Criteria'!$G$2:$G$111)</f>
        <v/>
      </c>
      <c r="G11" s="7">
        <f>E11</f>
        <v/>
      </c>
      <c r="H11" s="7">
        <f>E11+(100-F11)</f>
        <v/>
      </c>
      <c r="I11" s="7">
        <f>IF(AND(F11=100,O11=1,N11=TRUE),E11,"")</f>
        <v/>
      </c>
      <c r="J11" s="3">
        <f>IF(P11&gt;0,"QA_FAIL",IF(I11="","QA_INCOMPLETE",IF(I11&lt;70,"QA_FAIL",IF(OR(I11&lt;85,Q11&gt;0),"QA_REVISE","QA_PASS"))))</f>
        <v/>
      </c>
      <c r="K11" s="3" t="inlineStr">
        <is>
          <t>SERP_ONLY</t>
        </is>
      </c>
      <c r="L11" s="3" t="n">
        <v>7</v>
      </c>
      <c r="M11" s="3" t="n">
        <v>7</v>
      </c>
      <c r="N11" s="3" t="b">
        <v>1</v>
      </c>
      <c r="O11" s="8" t="n">
        <v>1</v>
      </c>
      <c r="P11" s="3">
        <f>COUNTIFS('QA_Issues'!$B$2:$B$2,B11,'QA_Issues'!$D$2:$D$2,"CRITICAL")</f>
        <v/>
      </c>
      <c r="Q11" s="3">
        <f>COUNTIFS('QA_Issues'!$B$2:$B$2,B11,'QA_Issues'!$D$2:$D$2,"MAJOR")</f>
        <v/>
      </c>
      <c r="R11" s="3">
        <f>COUNTIFS('QA_Issues'!$B$2:$B$2,B11,'QA_Issues'!$D$2:$D$2,"MINOR")</f>
        <v/>
      </c>
      <c r="S11" s="3">
        <f>COUNTIFS('QA_Issues'!$B$2:$B$2,B11,'QA_Issues'!$D$2:$D$2,"LIMITATION")</f>
        <v/>
      </c>
      <c r="T11" s="3" t="inlineStr">
        <is>
          <t>[]</t>
        </is>
      </c>
      <c r="U11" s="3" t="inlineStr">
        <is>
          <t>["evidence_batch_022_220", "https://jeminise.com/products/personalized-basketball-hoop-comforter-name-number-863d6f6ff1-863d6f6ff1", "serp_qa_batch_022_r4_220_1", "live_pages", "customizer_fields_audit.json"]</t>
        </is>
      </c>
    </row>
  </sheetData>
  <autoFilter ref="A1:U11"/>
  <conditionalFormatting sqref="J2:J11">
    <cfRule type="expression" priority="1" dxfId="0">
      <formula>J2="QA_PASS"</formula>
    </cfRule>
    <cfRule type="expression" priority="2" dxfId="1">
      <formula>J2="QA_REVISE"</formula>
    </cfRule>
    <cfRule type="expression" priority="3" dxfId="2">
      <formula>J2="QA_FAIL"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jeminise.com+personalized-basketball-close-up-with-number-blanket-with-name-and-number-f16f46abef-f16f46abef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IF(B2="I1",AVERAGEIF('QA_Images'!$A$2:$A$74,A2,'QA_Images'!$R$2:$R$74)/100,IF(D2="FULL",1,IF(D2="PARTIAL",0.5,IF(D2="FAIL",0,""))))</f>
        <v/>
      </c>
      <c r="F2" s="5">
        <f>IF(E2="",0,C2*E2)</f>
        <v/>
      </c>
      <c r="G2" s="5">
        <f>IF(B2="I1",20*AVERAGEIF('QA_Images'!$A$2:$A$74,A2,'QA_Images'!$S$2:$S$74)/100,IF(D2="NOT_CHECKED",0,C2))</f>
        <v/>
      </c>
      <c r="H2" s="2" t="inlineStr">
        <is>
          <t>FULL: product identity, handle and live product data match inventory scope for batch 22.</t>
        </is>
      </c>
      <c r="I2" s="2" t="inlineStr">
        <is>
          <t>["evidence_batch_022_211", "https://jeminise.com/products/personalized-basketball-close-up-with-number-blanket-with-name-and-number-f16f46abef-f16f46abef"]</t>
        </is>
      </c>
      <c r="J2" s="2" t="inlineStr">
        <is>
          <t>[]</t>
        </is>
      </c>
    </row>
    <row r="3" ht="42" customHeight="1">
      <c r="A3" s="3" t="inlineStr">
        <is>
          <t>jeminise.com+personalized-basketball-close-up-with-number-blanket-with-name-and-number-f16f46abef-f16f46abef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IF(B3="I1",AVERAGEIF('QA_Images'!$A$2:$A$74,A3,'QA_Images'!$R$2:$R$74)/100,IF(D3="FULL",1,IF(D3="PARTIAL",0.5,IF(D3="FAIL",0,""))))</f>
        <v/>
      </c>
      <c r="F3" s="7">
        <f>IF(E3="",0,C3*E3)</f>
        <v/>
      </c>
      <c r="G3" s="7">
        <f>IF(B3="I1",20*AVERAGEIF('QA_Images'!$A$2:$A$74,A3,'QA_Images'!$S$2:$S$74)/100,IF(D3="NOT_CHECKED",0,C3))</f>
        <v/>
      </c>
      <c r="H3" s="3" t="inlineStr">
        <is>
          <t>FULL: personalization/product-option claims were checked against live/cache customizer evidence for this product.</t>
        </is>
      </c>
      <c r="I3" s="3" t="inlineStr">
        <is>
          <t>["evidence_batch_022_211", "https://jeminise.com/products/personalized-basketball-close-up-with-number-blanket-with-name-and-number-f16f46abef-f16f46abef", "customizer_fields_audit.json", "live_pages"]</t>
        </is>
      </c>
      <c r="J3" s="3" t="inlineStr">
        <is>
          <t>[]</t>
        </is>
      </c>
    </row>
    <row r="4" ht="42" customHeight="1">
      <c r="A4" s="2" t="inlineStr">
        <is>
          <t>jeminise.com+personalized-basketball-close-up-with-number-blanket-with-name-and-number-f16f46abef-f16f46abef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IF(B4="I1",AVERAGEIF('QA_Images'!$A$2:$A$74,A4,'QA_Images'!$R$2:$R$74)/100,IF(D4="FULL",1,IF(D4="PARTIAL",0.5,IF(D4="FAIL",0,""))))</f>
        <v/>
      </c>
      <c r="F4" s="5">
        <f>IF(E4="",0,C4*E4)</f>
        <v/>
      </c>
      <c r="G4" s="5">
        <f>IF(B4="I1",20*AVERAGEIF('QA_Images'!$A$2:$A$74,A4,'QA_Images'!$S$2:$S$74)/100,IF(D4="NOT_CHECKED",0,C4))</f>
        <v/>
      </c>
      <c r="H4" s="2" t="inlineStr">
        <is>
          <t>PARTIAL: primary keyword 'basketball close-up number blanket' was checked against this product's own US/English SERP; partial means the exact visual modifier is niche.</t>
        </is>
      </c>
      <c r="I4" s="2" t="inlineStr">
        <is>
          <t>["evidence_batch_022_211", "https://jeminise.com/products/personalized-basketball-close-up-with-number-blanket-with-name-and-number-f16f46abef-f16f46abef", "serp_qa_batch_022_r4_211_1", "serp_qa_batch_022_r4_211_2"]</t>
        </is>
      </c>
      <c r="J4" s="2" t="inlineStr">
        <is>
          <t>[]</t>
        </is>
      </c>
    </row>
    <row r="5" ht="42" customHeight="1">
      <c r="A5" s="3" t="inlineStr">
        <is>
          <t>jeminise.com+personalized-basketball-close-up-with-number-blanket-with-name-and-number-f16f46abef-f16f46abef</t>
        </is>
      </c>
      <c r="B5" s="3" t="inlineStr">
        <is>
          <t>K2</t>
        </is>
      </c>
      <c r="C5" s="3" t="n">
        <v>5</v>
      </c>
      <c r="D5" s="3" t="inlineStr">
        <is>
          <t>FULL</t>
        </is>
      </c>
      <c r="E5" s="7">
        <f>IF(B5="I1",AVERAGEIF('QA_Images'!$A$2:$A$74,A5,'QA_Images'!$R$2:$R$74)/100,IF(D5="FULL",1,IF(D5="PARTIAL",0.5,IF(D5="FAIL",0,""))))</f>
        <v/>
      </c>
      <c r="F5" s="7">
        <f>IF(E5="",0,C5*E5)</f>
        <v/>
      </c>
      <c r="G5" s="7">
        <f>IF(B5="I1",20*AVERAGEIF('QA_Images'!$A$2:$A$74,A5,'QA_Images'!$S$2:$S$74)/100,IF(D5="NOT_CHECKED",0,C5))</f>
        <v/>
      </c>
      <c r="H5" s="3" t="inlineStr">
        <is>
          <t>FULL: comparator query supports commercial bedding/blanket intent for this product type; partial means results broaden beyond the exact motif.</t>
        </is>
      </c>
      <c r="I5" s="3" t="inlineStr">
        <is>
          <t>["evidence_batch_022_211", "https://jeminise.com/products/personalized-basketball-close-up-with-number-blanket-with-name-and-number-f16f46abef-f16f46abef", "serp_qa_batch_022_r4_211_1", "serp_qa_batch_022_r4_211_2"]</t>
        </is>
      </c>
      <c r="J5" s="3" t="inlineStr">
        <is>
          <t>[]</t>
        </is>
      </c>
    </row>
    <row r="6" ht="42" customHeight="1">
      <c r="A6" s="2" t="inlineStr">
        <is>
          <t>jeminise.com+personalized-basketball-close-up-with-number-blanket-with-name-and-number-f16f46abef-f16f46abef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IF(B6="I1",AVERAGEIF('QA_Images'!$A$2:$A$74,A6,'QA_Images'!$R$2:$R$74)/100,IF(D6="FULL",1,IF(D6="PARTIAL",0.5,IF(D6="FAIL",0,""))))</f>
        <v/>
      </c>
      <c r="F6" s="5">
        <f>IF(E6="",0,C6*E6)</f>
        <v/>
      </c>
      <c r="G6" s="5">
        <f>IF(B6="I1",20*AVERAGEIF('QA_Images'!$A$2:$A$74,A6,'QA_Images'!$S$2:$S$74)/100,IF(D6="NOT_CHECKED",0,C6))</f>
        <v/>
      </c>
      <c r="H6" s="2" t="inlineStr">
        <is>
          <t>PARTIAL: evidence is SERP/product-comparable only; no paid volume or Search Console proof is claimed.</t>
        </is>
      </c>
      <c r="I6" s="2" t="inlineStr">
        <is>
          <t>["evidence_batch_022_211", "https://jeminise.com/products/personalized-basketball-close-up-with-number-blanket-with-name-and-number-f16f46abef-f16f46abef", "serp_qa_batch_022_r4_211_1", "serp_qa_batch_022_r4_211_2"]</t>
        </is>
      </c>
      <c r="J6" s="2" t="inlineStr">
        <is>
          <t>[]</t>
        </is>
      </c>
    </row>
    <row r="7" ht="42" customHeight="1">
      <c r="A7" s="3" t="inlineStr">
        <is>
          <t>jeminise.com+personalized-basketball-close-up-with-number-blanket-with-name-and-number-f16f46abef-f16f46abef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IF(B7="I1",AVERAGEIF('QA_Images'!$A$2:$A$74,A7,'QA_Images'!$R$2:$R$74)/100,IF(D7="FULL",1,IF(D7="PARTIAL",0.5,IF(D7="FAIL",0,""))))</f>
        <v/>
      </c>
      <c r="F7" s="7">
        <f>IF(E7="",0,C7*E7)</f>
        <v/>
      </c>
      <c r="G7" s="7">
        <f>IF(B7="I1",20*AVERAGEIF('QA_Images'!$A$2:$A$74,A7,'QA_Images'!$S$2:$S$74)/100,IF(D7="NOT_CHECKED",0,C7))</f>
        <v/>
      </c>
      <c r="H7" s="3" t="inlineStr">
        <is>
          <t>FULL: meta_title_seo is complete English and maps to the verified product type/motif.</t>
        </is>
      </c>
      <c r="I7" s="3" t="inlineStr">
        <is>
          <t>["evidence_batch_022_211", "https://jeminise.com/products/personalized-basketball-close-up-with-number-blanket-with-name-and-number-f16f46abef-f16f46abef"]</t>
        </is>
      </c>
      <c r="J7" s="3" t="inlineStr">
        <is>
          <t>[]</t>
        </is>
      </c>
    </row>
    <row r="8" ht="42" customHeight="1">
      <c r="A8" s="2" t="inlineStr">
        <is>
          <t>jeminise.com+personalized-basketball-close-up-with-number-blanket-with-name-and-number-f16f46abef-f16f46abef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IF(B8="I1",AVERAGEIF('QA_Images'!$A$2:$A$74,A8,'QA_Images'!$R$2:$R$74)/100,IF(D8="FULL",1,IF(D8="PARTIAL",0.5,IF(D8="FAIL",0,""))))</f>
        <v/>
      </c>
      <c r="F8" s="5">
        <f>IF(E8="",0,C8*E8)</f>
        <v/>
      </c>
      <c r="G8" s="5">
        <f>IF(B8="I1",20*AVERAGEIF('QA_Images'!$A$2:$A$74,A8,'QA_Images'!$S$2:$S$74)/100,IF(D8="NOT_CHECKED",0,C8))</f>
        <v/>
      </c>
      <c r="H8" s="2" t="inlineStr">
        <is>
          <t>FULL: title_proposed can function as product title/H1 and distinguishes this batch-22 design by motif/product type.</t>
        </is>
      </c>
      <c r="I8" s="2" t="inlineStr">
        <is>
          <t>["evidence_batch_022_211", "https://jeminise.com/products/personalized-basketball-close-up-with-number-blanket-with-name-and-number-f16f46abef-f16f46abef"]</t>
        </is>
      </c>
      <c r="J8" s="2" t="inlineStr">
        <is>
          <t>[]</t>
        </is>
      </c>
    </row>
    <row r="9" ht="42" customHeight="1">
      <c r="A9" s="3" t="inlineStr">
        <is>
          <t>jeminise.com+personalized-basketball-close-up-with-number-blanket-with-name-and-number-f16f46abef-f16f46abef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IF(B9="I1",AVERAGEIF('QA_Images'!$A$2:$A$74,A9,'QA_Images'!$R$2:$R$74)/100,IF(D9="FULL",1,IF(D9="PARTIAL",0.5,IF(D9="FAIL",0,""))))</f>
        <v/>
      </c>
      <c r="F9" s="7">
        <f>IF(E9="",0,C9*E9)</f>
        <v/>
      </c>
      <c r="G9" s="7">
        <f>IF(B9="I1",20*AVERAGEIF('QA_Images'!$A$2:$A$74,A9,'QA_Images'!$S$2:$S$74)/100,IF(D9="NOT_CHECKED",0,C9))</f>
        <v/>
      </c>
      <c r="H9" s="3" t="inlineStr">
        <is>
          <t>FULL: meta description is complete, not cut mid-word, and the 145-165 character target was treated as editorial guidance.</t>
        </is>
      </c>
      <c r="I9" s="3" t="inlineStr">
        <is>
          <t>["evidence_batch_022_211", "https://jeminise.com/products/personalized-basketball-close-up-with-number-blanket-with-name-and-number-f16f46abef-f16f46abef"]</t>
        </is>
      </c>
      <c r="J9" s="3" t="inlineStr">
        <is>
          <t>[]</t>
        </is>
      </c>
    </row>
    <row r="10" ht="42" customHeight="1">
      <c r="A10" s="2" t="inlineStr">
        <is>
          <t>jeminise.com+personalized-basketball-close-up-with-number-blanket-with-name-and-number-f16f46abef-f16f46abef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5">
        <f>IF(B10="I1",AVERAGEIF('QA_Images'!$A$2:$A$74,A10,'QA_Images'!$R$2:$R$74)/100,IF(D10="FULL",1,IF(D10="PARTIAL",0.5,IF(D10="FAIL",0,""))))</f>
        <v/>
      </c>
      <c r="F10" s="5">
        <f>IF(E10="",0,C10*E10)</f>
        <v/>
      </c>
      <c r="G10" s="5">
        <f>IF(B10="I1",20*AVERAGEIF('QA_Images'!$A$2:$A$74,A10,'QA_Images'!$S$2:$S$74)/100,IF(D10="NOT_CHECKED",0,C10))</f>
        <v/>
      </c>
      <c r="H10" s="2" t="inlineStr">
        <is>
          <t>FULL: description HTML is customer-facing and tied to verified artwork, product type, options and personalization controls.</t>
        </is>
      </c>
      <c r="I10" s="2" t="inlineStr">
        <is>
          <t>["evidence_batch_022_211", "https://jeminise.com/products/personalized-basketball-close-up-with-number-blanket-with-name-and-number-f16f46abef-f16f46abef"]</t>
        </is>
      </c>
      <c r="J10" s="2" t="inlineStr">
        <is>
          <t>[]</t>
        </is>
      </c>
    </row>
    <row r="11" ht="42" customHeight="1">
      <c r="A11" s="3" t="inlineStr">
        <is>
          <t>jeminise.com+personalized-basketball-close-up-with-number-blanket-with-name-and-number-f16f46abef-f16f46abef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IF(B11="I1",AVERAGEIF('QA_Images'!$A$2:$A$74,A11,'QA_Images'!$R$2:$R$74)/100,IF(D11="FULL",1,IF(D11="PARTIAL",0.5,IF(D11="FAIL",0,""))))</f>
        <v/>
      </c>
      <c r="F11" s="7">
        <f>IF(E11="",0,C11*E11)</f>
        <v/>
      </c>
      <c r="G11" s="7">
        <f>IF(B11="I1",20*AVERAGEIF('QA_Images'!$A$2:$A$74,A11,'QA_Images'!$S$2:$S$74)/100,IF(D11="NOT_CHECKED",0,C11))</f>
        <v/>
      </c>
      <c r="H11" s="3" t="inlineStr">
        <is>
          <t>Derived from 9 QA_Images rows for this product; average image score 100/100.</t>
        </is>
      </c>
      <c r="I11" s="3" t="inlineStr">
        <is>
          <t>["QA_Images", "evidence_batch_022_211"]</t>
        </is>
      </c>
      <c r="J11" s="3" t="inlineStr">
        <is>
          <t>[]</t>
        </is>
      </c>
    </row>
    <row r="12" ht="42" customHeight="1">
      <c r="A12" s="2" t="inlineStr">
        <is>
          <t>jeminise.com+personalized-basketball-close-up-with-number-blanket-with-name-and-number-f16f46abef-f16f46abef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IF(B12="I1",AVERAGEIF('QA_Images'!$A$2:$A$74,A12,'QA_Images'!$R$2:$R$74)/100,IF(D12="FULL",1,IF(D12="PARTIAL",0.5,IF(D12="FAIL",0,""))))</f>
        <v/>
      </c>
      <c r="F12" s="5">
        <f>IF(E12="",0,C12*E12)</f>
        <v/>
      </c>
      <c r="G12" s="5">
        <f>IF(B12="I1",20*AVERAGEIF('QA_Images'!$A$2:$A$74,A12,'QA_Images'!$S$2:$S$74)/100,IF(D12="NOT_CHECKED",0,C12))</f>
        <v/>
      </c>
      <c r="H12" s="2" t="inlineStr">
        <is>
          <t>FULL: product key, handle, links and scoped evidence are consistent; row-level r3 labels are recorded separately as a traceability limitation.</t>
        </is>
      </c>
      <c r="I12" s="2" t="inlineStr">
        <is>
          <t>["evidence_batch_022_211", "https://jeminise.com/products/personalized-basketball-close-up-with-number-blanket-with-name-and-number-f16f46abef-f16f46abef"]</t>
        </is>
      </c>
      <c r="J12" s="2" t="inlineStr">
        <is>
          <t>[]</t>
        </is>
      </c>
    </row>
    <row r="13" ht="42" customHeight="1">
      <c r="A13" s="3" t="inlineStr">
        <is>
          <t>jeminise.com+personalized-basketball-court-perspective-comforter-with-name-and-number-5545af9fa4-5545af9fa4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IF(B13="I1",AVERAGEIF('QA_Images'!$A$2:$A$74,A13,'QA_Images'!$R$2:$R$74)/100,IF(D13="FULL",1,IF(D13="PARTIAL",0.5,IF(D13="FAIL",0,""))))</f>
        <v/>
      </c>
      <c r="F13" s="7">
        <f>IF(E13="",0,C13*E13)</f>
        <v/>
      </c>
      <c r="G13" s="7">
        <f>IF(B13="I1",20*AVERAGEIF('QA_Images'!$A$2:$A$74,A13,'QA_Images'!$S$2:$S$74)/100,IF(D13="NOT_CHECKED",0,C13))</f>
        <v/>
      </c>
      <c r="H13" s="3" t="inlineStr">
        <is>
          <t>FULL: product identity, handle and live product data match inventory scope for batch 22.</t>
        </is>
      </c>
      <c r="I13" s="3" t="inlineStr">
        <is>
          <t>["evidence_batch_022_212", "https://jeminise.com/products/personalized-basketball-court-perspective-comforter-with-name-and-number-5545af9fa4-5545af9fa4"]</t>
        </is>
      </c>
      <c r="J13" s="3" t="inlineStr">
        <is>
          <t>[]</t>
        </is>
      </c>
    </row>
    <row r="14" ht="42" customHeight="1">
      <c r="A14" s="2" t="inlineStr">
        <is>
          <t>jeminise.com+personalized-basketball-court-perspective-comforter-with-name-and-number-5545af9fa4-5545af9fa4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IF(B14="I1",AVERAGEIF('QA_Images'!$A$2:$A$74,A14,'QA_Images'!$R$2:$R$74)/100,IF(D14="FULL",1,IF(D14="PARTIAL",0.5,IF(D14="FAIL",0,""))))</f>
        <v/>
      </c>
      <c r="F14" s="5">
        <f>IF(E14="",0,C14*E14)</f>
        <v/>
      </c>
      <c r="G14" s="5">
        <f>IF(B14="I1",20*AVERAGEIF('QA_Images'!$A$2:$A$74,A14,'QA_Images'!$S$2:$S$74)/100,IF(D14="NOT_CHECKED",0,C14))</f>
        <v/>
      </c>
      <c r="H14" s="2" t="inlineStr">
        <is>
          <t>FULL: personalization/product-option claims were checked against live/cache customizer evidence for this product.</t>
        </is>
      </c>
      <c r="I14" s="2" t="inlineStr">
        <is>
          <t>["evidence_batch_022_212", "https://jeminise.com/products/personalized-basketball-court-perspective-comforter-with-name-and-number-5545af9fa4-5545af9fa4", "customizer_fields_audit.json", "live_pages"]</t>
        </is>
      </c>
      <c r="J14" s="2" t="inlineStr">
        <is>
          <t>[]</t>
        </is>
      </c>
    </row>
    <row r="15" ht="42" customHeight="1">
      <c r="A15" s="3" t="inlineStr">
        <is>
          <t>jeminise.com+personalized-basketball-court-perspective-comforter-with-name-and-number-5545af9fa4-5545af9fa4</t>
        </is>
      </c>
      <c r="B15" s="3" t="inlineStr">
        <is>
          <t>K1</t>
        </is>
      </c>
      <c r="C15" s="3" t="n">
        <v>10</v>
      </c>
      <c r="D15" s="3" t="inlineStr">
        <is>
          <t>FULL</t>
        </is>
      </c>
      <c r="E15" s="7">
        <f>IF(B15="I1",AVERAGEIF('QA_Images'!$A$2:$A$74,A15,'QA_Images'!$R$2:$R$74)/100,IF(D15="FULL",1,IF(D15="PARTIAL",0.5,IF(D15="FAIL",0,""))))</f>
        <v/>
      </c>
      <c r="F15" s="7">
        <f>IF(E15="",0,C15*E15)</f>
        <v/>
      </c>
      <c r="G15" s="7">
        <f>IF(B15="I1",20*AVERAGEIF('QA_Images'!$A$2:$A$74,A15,'QA_Images'!$S$2:$S$74)/100,IF(D15="NOT_CHECKED",0,C15))</f>
        <v/>
      </c>
      <c r="H15" s="3" t="inlineStr">
        <is>
          <t>FULL: primary keyword 'custom basketball court comforter' was checked against this product's own US/English SERP; partial means the exact visual modifier is niche.</t>
        </is>
      </c>
      <c r="I15" s="3" t="inlineStr">
        <is>
          <t>["evidence_batch_022_212", "https://jeminise.com/products/personalized-basketball-court-perspective-comforter-with-name-and-number-5545af9fa4-5545af9fa4", "serp_qa_batch_022_r4_212_1", "serp_qa_batch_022_r4_212_2"]</t>
        </is>
      </c>
      <c r="J15" s="3" t="inlineStr">
        <is>
          <t>[]</t>
        </is>
      </c>
    </row>
    <row r="16" ht="42" customHeight="1">
      <c r="A16" s="2" t="inlineStr">
        <is>
          <t>jeminise.com+personalized-basketball-court-perspective-comforter-with-name-and-number-5545af9fa4-5545af9fa4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5">
        <f>IF(B16="I1",AVERAGEIF('QA_Images'!$A$2:$A$74,A16,'QA_Images'!$R$2:$R$74)/100,IF(D16="FULL",1,IF(D16="PARTIAL",0.5,IF(D16="FAIL",0,""))))</f>
        <v/>
      </c>
      <c r="F16" s="5">
        <f>IF(E16="",0,C16*E16)</f>
        <v/>
      </c>
      <c r="G16" s="5">
        <f>IF(B16="I1",20*AVERAGEIF('QA_Images'!$A$2:$A$74,A16,'QA_Images'!$S$2:$S$74)/100,IF(D16="NOT_CHECKED",0,C16))</f>
        <v/>
      </c>
      <c r="H16" s="2" t="inlineStr">
        <is>
          <t>FULL: comparator query supports commercial bedding/blanket intent for this product type; partial means results broaden beyond the exact motif.</t>
        </is>
      </c>
      <c r="I16" s="2" t="inlineStr">
        <is>
          <t>["evidence_batch_022_212", "https://jeminise.com/products/personalized-basketball-court-perspective-comforter-with-name-and-number-5545af9fa4-5545af9fa4", "serp_qa_batch_022_r4_212_1", "serp_qa_batch_022_r4_212_2"]</t>
        </is>
      </c>
      <c r="J16" s="2" t="inlineStr">
        <is>
          <t>[]</t>
        </is>
      </c>
    </row>
    <row r="17" ht="42" customHeight="1">
      <c r="A17" s="3" t="inlineStr">
        <is>
          <t>jeminise.com+personalized-basketball-court-perspective-comforter-with-name-and-number-5545af9fa4-5545af9fa4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IF(B17="I1",AVERAGEIF('QA_Images'!$A$2:$A$74,A17,'QA_Images'!$R$2:$R$74)/100,IF(D17="FULL",1,IF(D17="PARTIAL",0.5,IF(D17="FAIL",0,""))))</f>
        <v/>
      </c>
      <c r="F17" s="7">
        <f>IF(E17="",0,C17*E17)</f>
        <v/>
      </c>
      <c r="G17" s="7">
        <f>IF(B17="I1",20*AVERAGEIF('QA_Images'!$A$2:$A$74,A17,'QA_Images'!$S$2:$S$74)/100,IF(D17="NOT_CHECKED",0,C17))</f>
        <v/>
      </c>
      <c r="H17" s="3" t="inlineStr">
        <is>
          <t>PARTIAL: evidence is SERP/product-comparable only; no paid volume or Search Console proof is claimed.</t>
        </is>
      </c>
      <c r="I17" s="3" t="inlineStr">
        <is>
          <t>["evidence_batch_022_212", "https://jeminise.com/products/personalized-basketball-court-perspective-comforter-with-name-and-number-5545af9fa4-5545af9fa4", "serp_qa_batch_022_r4_212_1", "serp_qa_batch_022_r4_212_2"]</t>
        </is>
      </c>
      <c r="J17" s="3" t="inlineStr">
        <is>
          <t>[]</t>
        </is>
      </c>
    </row>
    <row r="18" ht="42" customHeight="1">
      <c r="A18" s="2" t="inlineStr">
        <is>
          <t>jeminise.com+personalized-basketball-court-perspective-comforter-with-name-and-number-5545af9fa4-5545af9fa4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IF(B18="I1",AVERAGEIF('QA_Images'!$A$2:$A$74,A18,'QA_Images'!$R$2:$R$74)/100,IF(D18="FULL",1,IF(D18="PARTIAL",0.5,IF(D18="FAIL",0,""))))</f>
        <v/>
      </c>
      <c r="F18" s="5">
        <f>IF(E18="",0,C18*E18)</f>
        <v/>
      </c>
      <c r="G18" s="5">
        <f>IF(B18="I1",20*AVERAGEIF('QA_Images'!$A$2:$A$74,A18,'QA_Images'!$S$2:$S$74)/100,IF(D18="NOT_CHECKED",0,C18))</f>
        <v/>
      </c>
      <c r="H18" s="2" t="inlineStr">
        <is>
          <t>FULL: meta_title_seo is complete English and maps to the verified product type/motif.</t>
        </is>
      </c>
      <c r="I18" s="2" t="inlineStr">
        <is>
          <t>["evidence_batch_022_212", "https://jeminise.com/products/personalized-basketball-court-perspective-comforter-with-name-and-number-5545af9fa4-5545af9fa4"]</t>
        </is>
      </c>
      <c r="J18" s="2" t="inlineStr">
        <is>
          <t>[]</t>
        </is>
      </c>
    </row>
    <row r="19" ht="42" customHeight="1">
      <c r="A19" s="3" t="inlineStr">
        <is>
          <t>jeminise.com+personalized-basketball-court-perspective-comforter-with-name-and-number-5545af9fa4-5545af9fa4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IF(B19="I1",AVERAGEIF('QA_Images'!$A$2:$A$74,A19,'QA_Images'!$R$2:$R$74)/100,IF(D19="FULL",1,IF(D19="PARTIAL",0.5,IF(D19="FAIL",0,""))))</f>
        <v/>
      </c>
      <c r="F19" s="7">
        <f>IF(E19="",0,C19*E19)</f>
        <v/>
      </c>
      <c r="G19" s="7">
        <f>IF(B19="I1",20*AVERAGEIF('QA_Images'!$A$2:$A$74,A19,'QA_Images'!$S$2:$S$74)/100,IF(D19="NOT_CHECKED",0,C19))</f>
        <v/>
      </c>
      <c r="H19" s="3" t="inlineStr">
        <is>
          <t>FULL: title_proposed can function as product title/H1 and distinguishes this batch-22 design by motif/product type.</t>
        </is>
      </c>
      <c r="I19" s="3" t="inlineStr">
        <is>
          <t>["evidence_batch_022_212", "https://jeminise.com/products/personalized-basketball-court-perspective-comforter-with-name-and-number-5545af9fa4-5545af9fa4"]</t>
        </is>
      </c>
      <c r="J19" s="3" t="inlineStr">
        <is>
          <t>[]</t>
        </is>
      </c>
    </row>
    <row r="20" ht="42" customHeight="1">
      <c r="A20" s="2" t="inlineStr">
        <is>
          <t>jeminise.com+personalized-basketball-court-perspective-comforter-with-name-and-number-5545af9fa4-5545af9fa4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IF(B20="I1",AVERAGEIF('QA_Images'!$A$2:$A$74,A20,'QA_Images'!$R$2:$R$74)/100,IF(D20="FULL",1,IF(D20="PARTIAL",0.5,IF(D20="FAIL",0,""))))</f>
        <v/>
      </c>
      <c r="F20" s="5">
        <f>IF(E20="",0,C20*E20)</f>
        <v/>
      </c>
      <c r="G20" s="5">
        <f>IF(B20="I1",20*AVERAGEIF('QA_Images'!$A$2:$A$74,A20,'QA_Images'!$S$2:$S$74)/100,IF(D20="NOT_CHECKED",0,C20))</f>
        <v/>
      </c>
      <c r="H20" s="2" t="inlineStr">
        <is>
          <t>FULL: meta description is complete, not cut mid-word, and the 145-165 character target was treated as editorial guidance.</t>
        </is>
      </c>
      <c r="I20" s="2" t="inlineStr">
        <is>
          <t>["evidence_batch_022_212", "https://jeminise.com/products/personalized-basketball-court-perspective-comforter-with-name-and-number-5545af9fa4-5545af9fa4"]</t>
        </is>
      </c>
      <c r="J20" s="2" t="inlineStr">
        <is>
          <t>[]</t>
        </is>
      </c>
    </row>
    <row r="21" ht="42" customHeight="1">
      <c r="A21" s="3" t="inlineStr">
        <is>
          <t>jeminise.com+personalized-basketball-court-perspective-comforter-with-name-and-number-5545af9fa4-5545af9fa4</t>
        </is>
      </c>
      <c r="B21" s="3" t="inlineStr">
        <is>
          <t>D2</t>
        </is>
      </c>
      <c r="C21" s="3" t="n">
        <v>10</v>
      </c>
      <c r="D21" s="3" t="inlineStr">
        <is>
          <t>FULL</t>
        </is>
      </c>
      <c r="E21" s="7">
        <f>IF(B21="I1",AVERAGEIF('QA_Images'!$A$2:$A$74,A21,'QA_Images'!$R$2:$R$74)/100,IF(D21="FULL",1,IF(D21="PARTIAL",0.5,IF(D21="FAIL",0,""))))</f>
        <v/>
      </c>
      <c r="F21" s="7">
        <f>IF(E21="",0,C21*E21)</f>
        <v/>
      </c>
      <c r="G21" s="7">
        <f>IF(B21="I1",20*AVERAGEIF('QA_Images'!$A$2:$A$74,A21,'QA_Images'!$S$2:$S$74)/100,IF(D21="NOT_CHECKED",0,C21))</f>
        <v/>
      </c>
      <c r="H21" s="3" t="inlineStr">
        <is>
          <t>FULL: description HTML is customer-facing and tied to verified artwork, product type, options and personalization controls.</t>
        </is>
      </c>
      <c r="I21" s="3" t="inlineStr">
        <is>
          <t>["evidence_batch_022_212", "https://jeminise.com/products/personalized-basketball-court-perspective-comforter-with-name-and-number-5545af9fa4-5545af9fa4"]</t>
        </is>
      </c>
      <c r="J21" s="3" t="inlineStr">
        <is>
          <t>[]</t>
        </is>
      </c>
    </row>
    <row r="22" ht="42" customHeight="1">
      <c r="A22" s="2" t="inlineStr">
        <is>
          <t>jeminise.com+personalized-basketball-court-perspective-comforter-with-name-and-number-5545af9fa4-5545af9fa4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IF(B22="I1",AVERAGEIF('QA_Images'!$A$2:$A$74,A22,'QA_Images'!$R$2:$R$74)/100,IF(D22="FULL",1,IF(D22="PARTIAL",0.5,IF(D22="FAIL",0,""))))</f>
        <v/>
      </c>
      <c r="F22" s="5">
        <f>IF(E22="",0,C22*E22)</f>
        <v/>
      </c>
      <c r="G22" s="5">
        <f>IF(B22="I1",20*AVERAGEIF('QA_Images'!$A$2:$A$74,A22,'QA_Images'!$S$2:$S$74)/100,IF(D22="NOT_CHECKED",0,C22))</f>
        <v/>
      </c>
      <c r="H22" s="2" t="inlineStr">
        <is>
          <t>Derived from 7 QA_Images rows for this product; average image score 100/100.</t>
        </is>
      </c>
      <c r="I22" s="2" t="inlineStr">
        <is>
          <t>["QA_Images", "evidence_batch_022_212"]</t>
        </is>
      </c>
      <c r="J22" s="2" t="inlineStr">
        <is>
          <t>[]</t>
        </is>
      </c>
    </row>
    <row r="23" ht="42" customHeight="1">
      <c r="A23" s="3" t="inlineStr">
        <is>
          <t>jeminise.com+personalized-basketball-court-perspective-comforter-with-name-and-number-5545af9fa4-5545af9fa4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IF(B23="I1",AVERAGEIF('QA_Images'!$A$2:$A$74,A23,'QA_Images'!$R$2:$R$74)/100,IF(D23="FULL",1,IF(D23="PARTIAL",0.5,IF(D23="FAIL",0,""))))</f>
        <v/>
      </c>
      <c r="F23" s="7">
        <f>IF(E23="",0,C23*E23)</f>
        <v/>
      </c>
      <c r="G23" s="7">
        <f>IF(B23="I1",20*AVERAGEIF('QA_Images'!$A$2:$A$74,A23,'QA_Images'!$S$2:$S$74)/100,IF(D23="NOT_CHECKED",0,C23))</f>
        <v/>
      </c>
      <c r="H23" s="3" t="inlineStr">
        <is>
          <t>FULL: product key, handle, links and scoped evidence are consistent; row-level r3 labels are recorded separately as a traceability limitation.</t>
        </is>
      </c>
      <c r="I23" s="3" t="inlineStr">
        <is>
          <t>["evidence_batch_022_212", "https://jeminise.com/products/personalized-basketball-court-perspective-comforter-with-name-and-number-5545af9fa4-5545af9fa4"]</t>
        </is>
      </c>
      <c r="J23" s="3" t="inlineStr">
        <is>
          <t>[]</t>
        </is>
      </c>
    </row>
    <row r="24" ht="42" customHeight="1">
      <c r="A24" s="2" t="inlineStr">
        <is>
          <t>jeminise.com+personalized-basketball-cracked-wall-comforter-with-name-and-number-aeaddaa506-aeaddaa506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IF(B24="I1",AVERAGEIF('QA_Images'!$A$2:$A$74,A24,'QA_Images'!$R$2:$R$74)/100,IF(D24="FULL",1,IF(D24="PARTIAL",0.5,IF(D24="FAIL",0,""))))</f>
        <v/>
      </c>
      <c r="F24" s="5">
        <f>IF(E24="",0,C24*E24)</f>
        <v/>
      </c>
      <c r="G24" s="5">
        <f>IF(B24="I1",20*AVERAGEIF('QA_Images'!$A$2:$A$74,A24,'QA_Images'!$S$2:$S$74)/100,IF(D24="NOT_CHECKED",0,C24))</f>
        <v/>
      </c>
      <c r="H24" s="2" t="inlineStr">
        <is>
          <t>FULL: product identity, handle and live product data match inventory scope for batch 22.</t>
        </is>
      </c>
      <c r="I24" s="2" t="inlineStr">
        <is>
          <t>["evidence_batch_022_213", "https://jeminise.com/products/personalized-basketball-cracked-wall-comforter-with-name-and-number-aeaddaa506-aeaddaa506"]</t>
        </is>
      </c>
      <c r="J24" s="2" t="inlineStr">
        <is>
          <t>[]</t>
        </is>
      </c>
    </row>
    <row r="25" ht="42" customHeight="1">
      <c r="A25" s="3" t="inlineStr">
        <is>
          <t>jeminise.com+personalized-basketball-cracked-wall-comforter-with-name-and-number-aeaddaa506-aeaddaa506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IF(B25="I1",AVERAGEIF('QA_Images'!$A$2:$A$74,A25,'QA_Images'!$R$2:$R$74)/100,IF(D25="FULL",1,IF(D25="PARTIAL",0.5,IF(D25="FAIL",0,""))))</f>
        <v/>
      </c>
      <c r="F25" s="7">
        <f>IF(E25="",0,C25*E25)</f>
        <v/>
      </c>
      <c r="G25" s="7">
        <f>IF(B25="I1",20*AVERAGEIF('QA_Images'!$A$2:$A$74,A25,'QA_Images'!$S$2:$S$74)/100,IF(D25="NOT_CHECKED",0,C25))</f>
        <v/>
      </c>
      <c r="H25" s="3" t="inlineStr">
        <is>
          <t>FULL: personalization/product-option claims were checked against live/cache customizer evidence for this product.</t>
        </is>
      </c>
      <c r="I25" s="3" t="inlineStr">
        <is>
          <t>["evidence_batch_022_213", "https://jeminise.com/products/personalized-basketball-cracked-wall-comforter-with-name-and-number-aeaddaa506-aeaddaa506", "customizer_fields_audit.json", "live_pages"]</t>
        </is>
      </c>
      <c r="J25" s="3" t="inlineStr">
        <is>
          <t>[]</t>
        </is>
      </c>
    </row>
    <row r="26" ht="42" customHeight="1">
      <c r="A26" s="2" t="inlineStr">
        <is>
          <t>jeminise.com+personalized-basketball-cracked-wall-comforter-with-name-and-number-aeaddaa506-aeaddaa506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IF(B26="I1",AVERAGEIF('QA_Images'!$A$2:$A$74,A26,'QA_Images'!$R$2:$R$74)/100,IF(D26="FULL",1,IF(D26="PARTIAL",0.5,IF(D26="FAIL",0,""))))</f>
        <v/>
      </c>
      <c r="F26" s="5">
        <f>IF(E26="",0,C26*E26)</f>
        <v/>
      </c>
      <c r="G26" s="5">
        <f>IF(B26="I1",20*AVERAGEIF('QA_Images'!$A$2:$A$74,A26,'QA_Images'!$S$2:$S$74)/100,IF(D26="NOT_CHECKED",0,C26))</f>
        <v/>
      </c>
      <c r="H26" s="2" t="inlineStr">
        <is>
          <t>PARTIAL: primary keyword 'custom basketball cracked wall comforter' was checked against this product's own US/English SERP; partial means the exact visual modifier is niche.</t>
        </is>
      </c>
      <c r="I26" s="2" t="inlineStr">
        <is>
          <t>["evidence_batch_022_213", "https://jeminise.com/products/personalized-basketball-cracked-wall-comforter-with-name-and-number-aeaddaa506-aeaddaa506", "serp_qa_batch_022_r4_213_1", "serp_qa_batch_022_r4_213_2"]</t>
        </is>
      </c>
      <c r="J26" s="2" t="inlineStr">
        <is>
          <t>[]</t>
        </is>
      </c>
    </row>
    <row r="27" ht="42" customHeight="1">
      <c r="A27" s="3" t="inlineStr">
        <is>
          <t>jeminise.com+personalized-basketball-cracked-wall-comforter-with-name-and-number-aeaddaa506-aeaddaa506</t>
        </is>
      </c>
      <c r="B27" s="3" t="inlineStr">
        <is>
          <t>K2</t>
        </is>
      </c>
      <c r="C27" s="3" t="n">
        <v>5</v>
      </c>
      <c r="D27" s="3" t="inlineStr">
        <is>
          <t>PARTIAL</t>
        </is>
      </c>
      <c r="E27" s="7">
        <f>IF(B27="I1",AVERAGEIF('QA_Images'!$A$2:$A$74,A27,'QA_Images'!$R$2:$R$74)/100,IF(D27="FULL",1,IF(D27="PARTIAL",0.5,IF(D27="FAIL",0,""))))</f>
        <v/>
      </c>
      <c r="F27" s="7">
        <f>IF(E27="",0,C27*E27)</f>
        <v/>
      </c>
      <c r="G27" s="7">
        <f>IF(B27="I1",20*AVERAGEIF('QA_Images'!$A$2:$A$74,A27,'QA_Images'!$S$2:$S$74)/100,IF(D27="NOT_CHECKED",0,C27))</f>
        <v/>
      </c>
      <c r="H27" s="3" t="inlineStr">
        <is>
          <t>PARTIAL: comparator query supports commercial bedding/blanket intent for this product type; partial means results broaden beyond the exact motif.</t>
        </is>
      </c>
      <c r="I27" s="3" t="inlineStr">
        <is>
          <t>["evidence_batch_022_213", "https://jeminise.com/products/personalized-basketball-cracked-wall-comforter-with-name-and-number-aeaddaa506-aeaddaa506", "serp_qa_batch_022_r4_213_1", "serp_qa_batch_022_r4_213_2"]</t>
        </is>
      </c>
      <c r="J27" s="3" t="inlineStr">
        <is>
          <t>[]</t>
        </is>
      </c>
    </row>
    <row r="28" ht="42" customHeight="1">
      <c r="A28" s="2" t="inlineStr">
        <is>
          <t>jeminise.com+personalized-basketball-cracked-wall-comforter-with-name-and-number-aeaddaa506-aeaddaa506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IF(B28="I1",AVERAGEIF('QA_Images'!$A$2:$A$74,A28,'QA_Images'!$R$2:$R$74)/100,IF(D28="FULL",1,IF(D28="PARTIAL",0.5,IF(D28="FAIL",0,""))))</f>
        <v/>
      </c>
      <c r="F28" s="5">
        <f>IF(E28="",0,C28*E28)</f>
        <v/>
      </c>
      <c r="G28" s="5">
        <f>IF(B28="I1",20*AVERAGEIF('QA_Images'!$A$2:$A$74,A28,'QA_Images'!$S$2:$S$74)/100,IF(D28="NOT_CHECKED",0,C28))</f>
        <v/>
      </c>
      <c r="H28" s="2" t="inlineStr">
        <is>
          <t>PARTIAL: evidence is SERP/product-comparable only; no paid volume or Search Console proof is claimed.</t>
        </is>
      </c>
      <c r="I28" s="2" t="inlineStr">
        <is>
          <t>["evidence_batch_022_213", "https://jeminise.com/products/personalized-basketball-cracked-wall-comforter-with-name-and-number-aeaddaa506-aeaddaa506", "serp_qa_batch_022_r4_213_1", "serp_qa_batch_022_r4_213_2"]</t>
        </is>
      </c>
      <c r="J28" s="2" t="inlineStr">
        <is>
          <t>[]</t>
        </is>
      </c>
    </row>
    <row r="29" ht="42" customHeight="1">
      <c r="A29" s="3" t="inlineStr">
        <is>
          <t>jeminise.com+personalized-basketball-cracked-wall-comforter-with-name-and-number-aeaddaa506-aeaddaa506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IF(B29="I1",AVERAGEIF('QA_Images'!$A$2:$A$74,A29,'QA_Images'!$R$2:$R$74)/100,IF(D29="FULL",1,IF(D29="PARTIAL",0.5,IF(D29="FAIL",0,""))))</f>
        <v/>
      </c>
      <c r="F29" s="7">
        <f>IF(E29="",0,C29*E29)</f>
        <v/>
      </c>
      <c r="G29" s="7">
        <f>IF(B29="I1",20*AVERAGEIF('QA_Images'!$A$2:$A$74,A29,'QA_Images'!$S$2:$S$74)/100,IF(D29="NOT_CHECKED",0,C29))</f>
        <v/>
      </c>
      <c r="H29" s="3" t="inlineStr">
        <is>
          <t>FULL: meta_title_seo is complete English and maps to the verified product type/motif.</t>
        </is>
      </c>
      <c r="I29" s="3" t="inlineStr">
        <is>
          <t>["evidence_batch_022_213", "https://jeminise.com/products/personalized-basketball-cracked-wall-comforter-with-name-and-number-aeaddaa506-aeaddaa506"]</t>
        </is>
      </c>
      <c r="J29" s="3" t="inlineStr">
        <is>
          <t>[]</t>
        </is>
      </c>
    </row>
    <row r="30" ht="42" customHeight="1">
      <c r="A30" s="2" t="inlineStr">
        <is>
          <t>jeminise.com+personalized-basketball-cracked-wall-comforter-with-name-and-number-aeaddaa506-aeaddaa506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IF(B30="I1",AVERAGEIF('QA_Images'!$A$2:$A$74,A30,'QA_Images'!$R$2:$R$74)/100,IF(D30="FULL",1,IF(D30="PARTIAL",0.5,IF(D30="FAIL",0,""))))</f>
        <v/>
      </c>
      <c r="F30" s="5">
        <f>IF(E30="",0,C30*E30)</f>
        <v/>
      </c>
      <c r="G30" s="5">
        <f>IF(B30="I1",20*AVERAGEIF('QA_Images'!$A$2:$A$74,A30,'QA_Images'!$S$2:$S$74)/100,IF(D30="NOT_CHECKED",0,C30))</f>
        <v/>
      </c>
      <c r="H30" s="2" t="inlineStr">
        <is>
          <t>FULL: title_proposed can function as product title/H1 and distinguishes this batch-22 design by motif/product type.</t>
        </is>
      </c>
      <c r="I30" s="2" t="inlineStr">
        <is>
          <t>["evidence_batch_022_213", "https://jeminise.com/products/personalized-basketball-cracked-wall-comforter-with-name-and-number-aeaddaa506-aeaddaa506"]</t>
        </is>
      </c>
      <c r="J30" s="2" t="inlineStr">
        <is>
          <t>[]</t>
        </is>
      </c>
    </row>
    <row r="31" ht="42" customHeight="1">
      <c r="A31" s="3" t="inlineStr">
        <is>
          <t>jeminise.com+personalized-basketball-cracked-wall-comforter-with-name-and-number-aeaddaa506-aeaddaa506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IF(B31="I1",AVERAGEIF('QA_Images'!$A$2:$A$74,A31,'QA_Images'!$R$2:$R$74)/100,IF(D31="FULL",1,IF(D31="PARTIAL",0.5,IF(D31="FAIL",0,""))))</f>
        <v/>
      </c>
      <c r="F31" s="7">
        <f>IF(E31="",0,C31*E31)</f>
        <v/>
      </c>
      <c r="G31" s="7">
        <f>IF(B31="I1",20*AVERAGEIF('QA_Images'!$A$2:$A$74,A31,'QA_Images'!$S$2:$S$74)/100,IF(D31="NOT_CHECKED",0,C31))</f>
        <v/>
      </c>
      <c r="H31" s="3" t="inlineStr">
        <is>
          <t>FULL: meta description is complete, not cut mid-word, and the 145-165 character target was treated as editorial guidance.</t>
        </is>
      </c>
      <c r="I31" s="3" t="inlineStr">
        <is>
          <t>["evidence_batch_022_213", "https://jeminise.com/products/personalized-basketball-cracked-wall-comforter-with-name-and-number-aeaddaa506-aeaddaa506"]</t>
        </is>
      </c>
      <c r="J31" s="3" t="inlineStr">
        <is>
          <t>[]</t>
        </is>
      </c>
    </row>
    <row r="32" ht="42" customHeight="1">
      <c r="A32" s="2" t="inlineStr">
        <is>
          <t>jeminise.com+personalized-basketball-cracked-wall-comforter-with-name-and-number-aeaddaa506-aeaddaa506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5">
        <f>IF(B32="I1",AVERAGEIF('QA_Images'!$A$2:$A$74,A32,'QA_Images'!$R$2:$R$74)/100,IF(D32="FULL",1,IF(D32="PARTIAL",0.5,IF(D32="FAIL",0,""))))</f>
        <v/>
      </c>
      <c r="F32" s="5">
        <f>IF(E32="",0,C32*E32)</f>
        <v/>
      </c>
      <c r="G32" s="5">
        <f>IF(B32="I1",20*AVERAGEIF('QA_Images'!$A$2:$A$74,A32,'QA_Images'!$S$2:$S$74)/100,IF(D32="NOT_CHECKED",0,C32))</f>
        <v/>
      </c>
      <c r="H32" s="2" t="inlineStr">
        <is>
          <t>FULL: description HTML is customer-facing and tied to verified artwork, product type, options and personalization controls.</t>
        </is>
      </c>
      <c r="I32" s="2" t="inlineStr">
        <is>
          <t>["evidence_batch_022_213", "https://jeminise.com/products/personalized-basketball-cracked-wall-comforter-with-name-and-number-aeaddaa506-aeaddaa506"]</t>
        </is>
      </c>
      <c r="J32" s="2" t="inlineStr">
        <is>
          <t>[]</t>
        </is>
      </c>
    </row>
    <row r="33" ht="42" customHeight="1">
      <c r="A33" s="3" t="inlineStr">
        <is>
          <t>jeminise.com+personalized-basketball-cracked-wall-comforter-with-name-and-number-aeaddaa506-aeaddaa506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IF(B33="I1",AVERAGEIF('QA_Images'!$A$2:$A$74,A33,'QA_Images'!$R$2:$R$74)/100,IF(D33="FULL",1,IF(D33="PARTIAL",0.5,IF(D33="FAIL",0,""))))</f>
        <v/>
      </c>
      <c r="F33" s="7">
        <f>IF(E33="",0,C33*E33)</f>
        <v/>
      </c>
      <c r="G33" s="7">
        <f>IF(B33="I1",20*AVERAGEIF('QA_Images'!$A$2:$A$74,A33,'QA_Images'!$S$2:$S$74)/100,IF(D33="NOT_CHECKED",0,C33))</f>
        <v/>
      </c>
      <c r="H33" s="3" t="inlineStr">
        <is>
          <t>Derived from 7 QA_Images rows for this product; average image score 100/100.</t>
        </is>
      </c>
      <c r="I33" s="3" t="inlineStr">
        <is>
          <t>["QA_Images", "evidence_batch_022_213"]</t>
        </is>
      </c>
      <c r="J33" s="3" t="inlineStr">
        <is>
          <t>[]</t>
        </is>
      </c>
    </row>
    <row r="34" ht="42" customHeight="1">
      <c r="A34" s="2" t="inlineStr">
        <is>
          <t>jeminise.com+personalized-basketball-cracked-wall-comforter-with-name-and-number-aeaddaa506-aeaddaa506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IF(B34="I1",AVERAGEIF('QA_Images'!$A$2:$A$74,A34,'QA_Images'!$R$2:$R$74)/100,IF(D34="FULL",1,IF(D34="PARTIAL",0.5,IF(D34="FAIL",0,""))))</f>
        <v/>
      </c>
      <c r="F34" s="5">
        <f>IF(E34="",0,C34*E34)</f>
        <v/>
      </c>
      <c r="G34" s="5">
        <f>IF(B34="I1",20*AVERAGEIF('QA_Images'!$A$2:$A$74,A34,'QA_Images'!$S$2:$S$74)/100,IF(D34="NOT_CHECKED",0,C34))</f>
        <v/>
      </c>
      <c r="H34" s="2" t="inlineStr">
        <is>
          <t>FULL: product key, handle, links and scoped evidence are consistent; row-level r3 labels are recorded separately as a traceability limitation.</t>
        </is>
      </c>
      <c r="I34" s="2" t="inlineStr">
        <is>
          <t>["evidence_batch_022_213", "https://jeminise.com/products/personalized-basketball-cracked-wall-comforter-with-name-and-number-aeaddaa506-aeaddaa506"]</t>
        </is>
      </c>
      <c r="J34" s="2" t="inlineStr">
        <is>
          <t>[]</t>
        </is>
      </c>
    </row>
    <row r="35" ht="42" customHeight="1">
      <c r="A35" s="3" t="inlineStr">
        <is>
          <t>jeminise.com+personalized-basketball-entering-net-comforter-e55e615fd3-e55e615fd3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IF(B35="I1",AVERAGEIF('QA_Images'!$A$2:$A$74,A35,'QA_Images'!$R$2:$R$74)/100,IF(D35="FULL",1,IF(D35="PARTIAL",0.5,IF(D35="FAIL",0,""))))</f>
        <v/>
      </c>
      <c r="F35" s="7">
        <f>IF(E35="",0,C35*E35)</f>
        <v/>
      </c>
      <c r="G35" s="7">
        <f>IF(B35="I1",20*AVERAGEIF('QA_Images'!$A$2:$A$74,A35,'QA_Images'!$S$2:$S$74)/100,IF(D35="NOT_CHECKED",0,C35))</f>
        <v/>
      </c>
      <c r="H35" s="3" t="inlineStr">
        <is>
          <t>FULL: product identity, handle and live product data match inventory scope for batch 22.</t>
        </is>
      </c>
      <c r="I35" s="3" t="inlineStr">
        <is>
          <t>["evidence_batch_022_214", "https://jeminise.com/products/personalized-basketball-entering-net-comforter-e55e615fd3-e55e615fd3"]</t>
        </is>
      </c>
      <c r="J35" s="3" t="inlineStr">
        <is>
          <t>[]</t>
        </is>
      </c>
    </row>
    <row r="36" ht="42" customHeight="1">
      <c r="A36" s="2" t="inlineStr">
        <is>
          <t>jeminise.com+personalized-basketball-entering-net-comforter-e55e615fd3-e55e615fd3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IF(B36="I1",AVERAGEIF('QA_Images'!$A$2:$A$74,A36,'QA_Images'!$R$2:$R$74)/100,IF(D36="FULL",1,IF(D36="PARTIAL",0.5,IF(D36="FAIL",0,""))))</f>
        <v/>
      </c>
      <c r="F36" s="5">
        <f>IF(E36="",0,C36*E36)</f>
        <v/>
      </c>
      <c r="G36" s="5">
        <f>IF(B36="I1",20*AVERAGEIF('QA_Images'!$A$2:$A$74,A36,'QA_Images'!$S$2:$S$74)/100,IF(D36="NOT_CHECKED",0,C36))</f>
        <v/>
      </c>
      <c r="H36" s="2" t="inlineStr">
        <is>
          <t>FULL: personalization/product-option claims were checked against live/cache customizer evidence for this product.</t>
        </is>
      </c>
      <c r="I36" s="2" t="inlineStr">
        <is>
          <t>["evidence_batch_022_214", "https://jeminise.com/products/personalized-basketball-entering-net-comforter-e55e615fd3-e55e615fd3", "customizer_fields_audit.json", "live_pages"]</t>
        </is>
      </c>
      <c r="J36" s="2" t="inlineStr">
        <is>
          <t>[]</t>
        </is>
      </c>
    </row>
    <row r="37" ht="42" customHeight="1">
      <c r="A37" s="3" t="inlineStr">
        <is>
          <t>jeminise.com+personalized-basketball-entering-net-comforter-e55e615fd3-e55e615fd3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IF(B37="I1",AVERAGEIF('QA_Images'!$A$2:$A$74,A37,'QA_Images'!$R$2:$R$74)/100,IF(D37="FULL",1,IF(D37="PARTIAL",0.5,IF(D37="FAIL",0,""))))</f>
        <v/>
      </c>
      <c r="F37" s="7">
        <f>IF(E37="",0,C37*E37)</f>
        <v/>
      </c>
      <c r="G37" s="7">
        <f>IF(B37="I1",20*AVERAGEIF('QA_Images'!$A$2:$A$74,A37,'QA_Images'!$S$2:$S$74)/100,IF(D37="NOT_CHECKED",0,C37))</f>
        <v/>
      </c>
      <c r="H37" s="3" t="inlineStr">
        <is>
          <t>PARTIAL: primary keyword 'custom rainbow basketball net comforter' was checked against this product's own US/English SERP; partial means the exact visual modifier is niche.</t>
        </is>
      </c>
      <c r="I37" s="3" t="inlineStr">
        <is>
          <t>["evidence_batch_022_214", "https://jeminise.com/products/personalized-basketball-entering-net-comforter-e55e615fd3-e55e615fd3", "serp_qa_batch_022_r4_214_1", "serp_qa_batch_022_r4_214_2"]</t>
        </is>
      </c>
      <c r="J37" s="3" t="inlineStr">
        <is>
          <t>[]</t>
        </is>
      </c>
    </row>
    <row r="38" ht="42" customHeight="1">
      <c r="A38" s="2" t="inlineStr">
        <is>
          <t>jeminise.com+personalized-basketball-entering-net-comforter-e55e615fd3-e55e615fd3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5">
        <f>IF(B38="I1",AVERAGEIF('QA_Images'!$A$2:$A$74,A38,'QA_Images'!$R$2:$R$74)/100,IF(D38="FULL",1,IF(D38="PARTIAL",0.5,IF(D38="FAIL",0,""))))</f>
        <v/>
      </c>
      <c r="F38" s="5">
        <f>IF(E38="",0,C38*E38)</f>
        <v/>
      </c>
      <c r="G38" s="5">
        <f>IF(B38="I1",20*AVERAGEIF('QA_Images'!$A$2:$A$74,A38,'QA_Images'!$S$2:$S$74)/100,IF(D38="NOT_CHECKED",0,C38))</f>
        <v/>
      </c>
      <c r="H38" s="2" t="inlineStr">
        <is>
          <t>FULL: comparator query supports commercial bedding/blanket intent for this product type; partial means results broaden beyond the exact motif.</t>
        </is>
      </c>
      <c r="I38" s="2" t="inlineStr">
        <is>
          <t>["evidence_batch_022_214", "https://jeminise.com/products/personalized-basketball-entering-net-comforter-e55e615fd3-e55e615fd3", "serp_qa_batch_022_r4_214_1", "serp_qa_batch_022_r4_214_2"]</t>
        </is>
      </c>
      <c r="J38" s="2" t="inlineStr">
        <is>
          <t>[]</t>
        </is>
      </c>
    </row>
    <row r="39" ht="42" customHeight="1">
      <c r="A39" s="3" t="inlineStr">
        <is>
          <t>jeminise.com+personalized-basketball-entering-net-comforter-e55e615fd3-e55e615fd3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IF(B39="I1",AVERAGEIF('QA_Images'!$A$2:$A$74,A39,'QA_Images'!$R$2:$R$74)/100,IF(D39="FULL",1,IF(D39="PARTIAL",0.5,IF(D39="FAIL",0,""))))</f>
        <v/>
      </c>
      <c r="F39" s="7">
        <f>IF(E39="",0,C39*E39)</f>
        <v/>
      </c>
      <c r="G39" s="7">
        <f>IF(B39="I1",20*AVERAGEIF('QA_Images'!$A$2:$A$74,A39,'QA_Images'!$S$2:$S$74)/100,IF(D39="NOT_CHECKED",0,C39))</f>
        <v/>
      </c>
      <c r="H39" s="3" t="inlineStr">
        <is>
          <t>PARTIAL: evidence is SERP/product-comparable only; no paid volume or Search Console proof is claimed.</t>
        </is>
      </c>
      <c r="I39" s="3" t="inlineStr">
        <is>
          <t>["evidence_batch_022_214", "https://jeminise.com/products/personalized-basketball-entering-net-comforter-e55e615fd3-e55e615fd3", "serp_qa_batch_022_r4_214_1", "serp_qa_batch_022_r4_214_2"]</t>
        </is>
      </c>
      <c r="J39" s="3" t="inlineStr">
        <is>
          <t>[]</t>
        </is>
      </c>
    </row>
    <row r="40" ht="42" customHeight="1">
      <c r="A40" s="2" t="inlineStr">
        <is>
          <t>jeminise.com+personalized-basketball-entering-net-comforter-e55e615fd3-e55e615fd3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IF(B40="I1",AVERAGEIF('QA_Images'!$A$2:$A$74,A40,'QA_Images'!$R$2:$R$74)/100,IF(D40="FULL",1,IF(D40="PARTIAL",0.5,IF(D40="FAIL",0,""))))</f>
        <v/>
      </c>
      <c r="F40" s="5">
        <f>IF(E40="",0,C40*E40)</f>
        <v/>
      </c>
      <c r="G40" s="5">
        <f>IF(B40="I1",20*AVERAGEIF('QA_Images'!$A$2:$A$74,A40,'QA_Images'!$S$2:$S$74)/100,IF(D40="NOT_CHECKED",0,C40))</f>
        <v/>
      </c>
      <c r="H40" s="2" t="inlineStr">
        <is>
          <t>FULL: meta_title_seo is complete English and maps to the verified product type/motif.</t>
        </is>
      </c>
      <c r="I40" s="2" t="inlineStr">
        <is>
          <t>["evidence_batch_022_214", "https://jeminise.com/products/personalized-basketball-entering-net-comforter-e55e615fd3-e55e615fd3"]</t>
        </is>
      </c>
      <c r="J40" s="2" t="inlineStr">
        <is>
          <t>[]</t>
        </is>
      </c>
    </row>
    <row r="41" ht="42" customHeight="1">
      <c r="A41" s="3" t="inlineStr">
        <is>
          <t>jeminise.com+personalized-basketball-entering-net-comforter-e55e615fd3-e55e615fd3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IF(B41="I1",AVERAGEIF('QA_Images'!$A$2:$A$74,A41,'QA_Images'!$R$2:$R$74)/100,IF(D41="FULL",1,IF(D41="PARTIAL",0.5,IF(D41="FAIL",0,""))))</f>
        <v/>
      </c>
      <c r="F41" s="7">
        <f>IF(E41="",0,C41*E41)</f>
        <v/>
      </c>
      <c r="G41" s="7">
        <f>IF(B41="I1",20*AVERAGEIF('QA_Images'!$A$2:$A$74,A41,'QA_Images'!$S$2:$S$74)/100,IF(D41="NOT_CHECKED",0,C41))</f>
        <v/>
      </c>
      <c r="H41" s="3" t="inlineStr">
        <is>
          <t>FULL: title_proposed can function as product title/H1 and distinguishes this batch-22 design by motif/product type.</t>
        </is>
      </c>
      <c r="I41" s="3" t="inlineStr">
        <is>
          <t>["evidence_batch_022_214", "https://jeminise.com/products/personalized-basketball-entering-net-comforter-e55e615fd3-e55e615fd3"]</t>
        </is>
      </c>
      <c r="J41" s="3" t="inlineStr">
        <is>
          <t>[]</t>
        </is>
      </c>
    </row>
    <row r="42" ht="42" customHeight="1">
      <c r="A42" s="2" t="inlineStr">
        <is>
          <t>jeminise.com+personalized-basketball-entering-net-comforter-e55e615fd3-e55e615fd3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IF(B42="I1",AVERAGEIF('QA_Images'!$A$2:$A$74,A42,'QA_Images'!$R$2:$R$74)/100,IF(D42="FULL",1,IF(D42="PARTIAL",0.5,IF(D42="FAIL",0,""))))</f>
        <v/>
      </c>
      <c r="F42" s="5">
        <f>IF(E42="",0,C42*E42)</f>
        <v/>
      </c>
      <c r="G42" s="5">
        <f>IF(B42="I1",20*AVERAGEIF('QA_Images'!$A$2:$A$74,A42,'QA_Images'!$S$2:$S$74)/100,IF(D42="NOT_CHECKED",0,C42))</f>
        <v/>
      </c>
      <c r="H42" s="2" t="inlineStr">
        <is>
          <t>FULL: meta description is complete, not cut mid-word, and the 145-165 character target was treated as editorial guidance.</t>
        </is>
      </c>
      <c r="I42" s="2" t="inlineStr">
        <is>
          <t>["evidence_batch_022_214", "https://jeminise.com/products/personalized-basketball-entering-net-comforter-e55e615fd3-e55e615fd3"]</t>
        </is>
      </c>
      <c r="J42" s="2" t="inlineStr">
        <is>
          <t>[]</t>
        </is>
      </c>
    </row>
    <row r="43" ht="42" customHeight="1">
      <c r="A43" s="3" t="inlineStr">
        <is>
          <t>jeminise.com+personalized-basketball-entering-net-comforter-e55e615fd3-e55e615fd3</t>
        </is>
      </c>
      <c r="B43" s="3" t="inlineStr">
        <is>
          <t>D2</t>
        </is>
      </c>
      <c r="C43" s="3" t="n">
        <v>10</v>
      </c>
      <c r="D43" s="3" t="inlineStr">
        <is>
          <t>FULL</t>
        </is>
      </c>
      <c r="E43" s="7">
        <f>IF(B43="I1",AVERAGEIF('QA_Images'!$A$2:$A$74,A43,'QA_Images'!$R$2:$R$74)/100,IF(D43="FULL",1,IF(D43="PARTIAL",0.5,IF(D43="FAIL",0,""))))</f>
        <v/>
      </c>
      <c r="F43" s="7">
        <f>IF(E43="",0,C43*E43)</f>
        <v/>
      </c>
      <c r="G43" s="7">
        <f>IF(B43="I1",20*AVERAGEIF('QA_Images'!$A$2:$A$74,A43,'QA_Images'!$S$2:$S$74)/100,IF(D43="NOT_CHECKED",0,C43))</f>
        <v/>
      </c>
      <c r="H43" s="3" t="inlineStr">
        <is>
          <t>FULL: description HTML is customer-facing and tied to verified artwork, product type, options and personalization controls.</t>
        </is>
      </c>
      <c r="I43" s="3" t="inlineStr">
        <is>
          <t>["evidence_batch_022_214", "https://jeminise.com/products/personalized-basketball-entering-net-comforter-e55e615fd3-e55e615fd3"]</t>
        </is>
      </c>
      <c r="J43" s="3" t="inlineStr">
        <is>
          <t>[]</t>
        </is>
      </c>
    </row>
    <row r="44" ht="42" customHeight="1">
      <c r="A44" s="2" t="inlineStr">
        <is>
          <t>jeminise.com+personalized-basketball-entering-net-comforter-e55e615fd3-e55e615fd3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IF(B44="I1",AVERAGEIF('QA_Images'!$A$2:$A$74,A44,'QA_Images'!$R$2:$R$74)/100,IF(D44="FULL",1,IF(D44="PARTIAL",0.5,IF(D44="FAIL",0,""))))</f>
        <v/>
      </c>
      <c r="F44" s="5">
        <f>IF(E44="",0,C44*E44)</f>
        <v/>
      </c>
      <c r="G44" s="5">
        <f>IF(B44="I1",20*AVERAGEIF('QA_Images'!$A$2:$A$74,A44,'QA_Images'!$S$2:$S$74)/100,IF(D44="NOT_CHECKED",0,C44))</f>
        <v/>
      </c>
      <c r="H44" s="2" t="inlineStr">
        <is>
          <t>Derived from 5 QA_Images rows for this product; average image score 100/100.</t>
        </is>
      </c>
      <c r="I44" s="2" t="inlineStr">
        <is>
          <t>["QA_Images", "evidence_batch_022_214"]</t>
        </is>
      </c>
      <c r="J44" s="2" t="inlineStr">
        <is>
          <t>[]</t>
        </is>
      </c>
    </row>
    <row r="45" ht="42" customHeight="1">
      <c r="A45" s="3" t="inlineStr">
        <is>
          <t>jeminise.com+personalized-basketball-entering-net-comforter-e55e615fd3-e55e615fd3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IF(B45="I1",AVERAGEIF('QA_Images'!$A$2:$A$74,A45,'QA_Images'!$R$2:$R$74)/100,IF(D45="FULL",1,IF(D45="PARTIAL",0.5,IF(D45="FAIL",0,""))))</f>
        <v/>
      </c>
      <c r="F45" s="7">
        <f>IF(E45="",0,C45*E45)</f>
        <v/>
      </c>
      <c r="G45" s="7">
        <f>IF(B45="I1",20*AVERAGEIF('QA_Images'!$A$2:$A$74,A45,'QA_Images'!$S$2:$S$74)/100,IF(D45="NOT_CHECKED",0,C45))</f>
        <v/>
      </c>
      <c r="H45" s="3" t="inlineStr">
        <is>
          <t>FULL: product key, handle, links and scoped evidence are consistent; row-level r3 labels are recorded separately as a traceability limitation.</t>
        </is>
      </c>
      <c r="I45" s="3" t="inlineStr">
        <is>
          <t>["evidence_batch_022_214", "https://jeminise.com/products/personalized-basketball-entering-net-comforter-e55e615fd3-e55e615fd3"]</t>
        </is>
      </c>
      <c r="J45" s="3" t="inlineStr">
        <is>
          <t>[]</t>
        </is>
      </c>
    </row>
    <row r="46" ht="42" customHeight="1">
      <c r="A46" s="2" t="inlineStr">
        <is>
          <t>jeminise.com+personalized-basketball-fire-and-water-splash-blanket-with-name-and-number-b05a53f208-b05a53f208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IF(B46="I1",AVERAGEIF('QA_Images'!$A$2:$A$74,A46,'QA_Images'!$R$2:$R$74)/100,IF(D46="FULL",1,IF(D46="PARTIAL",0.5,IF(D46="FAIL",0,""))))</f>
        <v/>
      </c>
      <c r="F46" s="5">
        <f>IF(E46="",0,C46*E46)</f>
        <v/>
      </c>
      <c r="G46" s="5">
        <f>IF(B46="I1",20*AVERAGEIF('QA_Images'!$A$2:$A$74,A46,'QA_Images'!$S$2:$S$74)/100,IF(D46="NOT_CHECKED",0,C46))</f>
        <v/>
      </c>
      <c r="H46" s="2" t="inlineStr">
        <is>
          <t>FULL: product identity, handle and live product data match inventory scope for batch 22.</t>
        </is>
      </c>
      <c r="I46" s="2" t="inlineStr">
        <is>
          <t>["evidence_batch_022_215", "https://jeminise.com/products/personalized-basketball-fire-and-water-splash-blanket-with-name-and-number-b05a53f208-b05a53f208"]</t>
        </is>
      </c>
      <c r="J46" s="2" t="inlineStr">
        <is>
          <t>[]</t>
        </is>
      </c>
    </row>
    <row r="47" ht="42" customHeight="1">
      <c r="A47" s="3" t="inlineStr">
        <is>
          <t>jeminise.com+personalized-basketball-fire-and-water-splash-blanket-with-name-and-number-b05a53f208-b05a53f208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IF(B47="I1",AVERAGEIF('QA_Images'!$A$2:$A$74,A47,'QA_Images'!$R$2:$R$74)/100,IF(D47="FULL",1,IF(D47="PARTIAL",0.5,IF(D47="FAIL",0,""))))</f>
        <v/>
      </c>
      <c r="F47" s="7">
        <f>IF(E47="",0,C47*E47)</f>
        <v/>
      </c>
      <c r="G47" s="7">
        <f>IF(B47="I1",20*AVERAGEIF('QA_Images'!$A$2:$A$74,A47,'QA_Images'!$S$2:$S$74)/100,IF(D47="NOT_CHECKED",0,C47))</f>
        <v/>
      </c>
      <c r="H47" s="3" t="inlineStr">
        <is>
          <t>FULL: personalization/product-option claims were checked against live/cache customizer evidence for this product.</t>
        </is>
      </c>
      <c r="I47" s="3" t="inlineStr">
        <is>
          <t>["evidence_batch_022_215", "https://jeminise.com/products/personalized-basketball-fire-and-water-splash-blanket-with-name-and-number-b05a53f208-b05a53f208", "customizer_fields_audit.json", "live_pages"]</t>
        </is>
      </c>
      <c r="J47" s="3" t="inlineStr">
        <is>
          <t>[]</t>
        </is>
      </c>
    </row>
    <row r="48" ht="42" customHeight="1">
      <c r="A48" s="2" t="inlineStr">
        <is>
          <t>jeminise.com+personalized-basketball-fire-and-water-splash-blanket-with-name-and-number-b05a53f208-b05a53f208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IF(B48="I1",AVERAGEIF('QA_Images'!$A$2:$A$74,A48,'QA_Images'!$R$2:$R$74)/100,IF(D48="FULL",1,IF(D48="PARTIAL",0.5,IF(D48="FAIL",0,""))))</f>
        <v/>
      </c>
      <c r="F48" s="5">
        <f>IF(E48="",0,C48*E48)</f>
        <v/>
      </c>
      <c r="G48" s="5">
        <f>IF(B48="I1",20*AVERAGEIF('QA_Images'!$A$2:$A$74,A48,'QA_Images'!$S$2:$S$74)/100,IF(D48="NOT_CHECKED",0,C48))</f>
        <v/>
      </c>
      <c r="H48" s="2" t="inlineStr">
        <is>
          <t>PARTIAL: primary keyword 'custom basketball fire water blanket' was checked against this product's own US/English SERP; partial means the exact visual modifier is niche.</t>
        </is>
      </c>
      <c r="I48" s="2" t="inlineStr">
        <is>
          <t>["evidence_batch_022_215", "https://jeminise.com/products/personalized-basketball-fire-and-water-splash-blanket-with-name-and-number-b05a53f208-b05a53f208", "serp_qa_batch_022_r4_215_1", "serp_qa_batch_022_r4_215_2"]</t>
        </is>
      </c>
      <c r="J48" s="2" t="inlineStr">
        <is>
          <t>[]</t>
        </is>
      </c>
    </row>
    <row r="49" ht="42" customHeight="1">
      <c r="A49" s="3" t="inlineStr">
        <is>
          <t>jeminise.com+personalized-basketball-fire-and-water-splash-blanket-with-name-and-number-b05a53f208-b05a53f208</t>
        </is>
      </c>
      <c r="B49" s="3" t="inlineStr">
        <is>
          <t>K2</t>
        </is>
      </c>
      <c r="C49" s="3" t="n">
        <v>5</v>
      </c>
      <c r="D49" s="3" t="inlineStr">
        <is>
          <t>FULL</t>
        </is>
      </c>
      <c r="E49" s="7">
        <f>IF(B49="I1",AVERAGEIF('QA_Images'!$A$2:$A$74,A49,'QA_Images'!$R$2:$R$74)/100,IF(D49="FULL",1,IF(D49="PARTIAL",0.5,IF(D49="FAIL",0,""))))</f>
        <v/>
      </c>
      <c r="F49" s="7">
        <f>IF(E49="",0,C49*E49)</f>
        <v/>
      </c>
      <c r="G49" s="7">
        <f>IF(B49="I1",20*AVERAGEIF('QA_Images'!$A$2:$A$74,A49,'QA_Images'!$S$2:$S$74)/100,IF(D49="NOT_CHECKED",0,C49))</f>
        <v/>
      </c>
      <c r="H49" s="3" t="inlineStr">
        <is>
          <t>FULL: comparator query supports commercial bedding/blanket intent for this product type; partial means results broaden beyond the exact motif.</t>
        </is>
      </c>
      <c r="I49" s="3" t="inlineStr">
        <is>
          <t>["evidence_batch_022_215", "https://jeminise.com/products/personalized-basketball-fire-and-water-splash-blanket-with-name-and-number-b05a53f208-b05a53f208", "serp_qa_batch_022_r4_215_1", "serp_qa_batch_022_r4_215_2"]</t>
        </is>
      </c>
      <c r="J49" s="3" t="inlineStr">
        <is>
          <t>[]</t>
        </is>
      </c>
    </row>
    <row r="50" ht="42" customHeight="1">
      <c r="A50" s="2" t="inlineStr">
        <is>
          <t>jeminise.com+personalized-basketball-fire-and-water-splash-blanket-with-name-and-number-b05a53f208-b05a53f208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IF(B50="I1",AVERAGEIF('QA_Images'!$A$2:$A$74,A50,'QA_Images'!$R$2:$R$74)/100,IF(D50="FULL",1,IF(D50="PARTIAL",0.5,IF(D50="FAIL",0,""))))</f>
        <v/>
      </c>
      <c r="F50" s="5">
        <f>IF(E50="",0,C50*E50)</f>
        <v/>
      </c>
      <c r="G50" s="5">
        <f>IF(B50="I1",20*AVERAGEIF('QA_Images'!$A$2:$A$74,A50,'QA_Images'!$S$2:$S$74)/100,IF(D50="NOT_CHECKED",0,C50))</f>
        <v/>
      </c>
      <c r="H50" s="2" t="inlineStr">
        <is>
          <t>PARTIAL: evidence is SERP/product-comparable only; no paid volume or Search Console proof is claimed.</t>
        </is>
      </c>
      <c r="I50" s="2" t="inlineStr">
        <is>
          <t>["evidence_batch_022_215", "https://jeminise.com/products/personalized-basketball-fire-and-water-splash-blanket-with-name-and-number-b05a53f208-b05a53f208", "serp_qa_batch_022_r4_215_1", "serp_qa_batch_022_r4_215_2"]</t>
        </is>
      </c>
      <c r="J50" s="2" t="inlineStr">
        <is>
          <t>[]</t>
        </is>
      </c>
    </row>
    <row r="51" ht="42" customHeight="1">
      <c r="A51" s="3" t="inlineStr">
        <is>
          <t>jeminise.com+personalized-basketball-fire-and-water-splash-blanket-with-name-and-number-b05a53f208-b05a53f208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IF(B51="I1",AVERAGEIF('QA_Images'!$A$2:$A$74,A51,'QA_Images'!$R$2:$R$74)/100,IF(D51="FULL",1,IF(D51="PARTIAL",0.5,IF(D51="FAIL",0,""))))</f>
        <v/>
      </c>
      <c r="F51" s="7">
        <f>IF(E51="",0,C51*E51)</f>
        <v/>
      </c>
      <c r="G51" s="7">
        <f>IF(B51="I1",20*AVERAGEIF('QA_Images'!$A$2:$A$74,A51,'QA_Images'!$S$2:$S$74)/100,IF(D51="NOT_CHECKED",0,C51))</f>
        <v/>
      </c>
      <c r="H51" s="3" t="inlineStr">
        <is>
          <t>FULL: meta_title_seo is complete English and maps to the verified product type/motif.</t>
        </is>
      </c>
      <c r="I51" s="3" t="inlineStr">
        <is>
          <t>["evidence_batch_022_215", "https://jeminise.com/products/personalized-basketball-fire-and-water-splash-blanket-with-name-and-number-b05a53f208-b05a53f208"]</t>
        </is>
      </c>
      <c r="J51" s="3" t="inlineStr">
        <is>
          <t>[]</t>
        </is>
      </c>
    </row>
    <row r="52" ht="42" customHeight="1">
      <c r="A52" s="2" t="inlineStr">
        <is>
          <t>jeminise.com+personalized-basketball-fire-and-water-splash-blanket-with-name-and-number-b05a53f208-b05a53f208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IF(B52="I1",AVERAGEIF('QA_Images'!$A$2:$A$74,A52,'QA_Images'!$R$2:$R$74)/100,IF(D52="FULL",1,IF(D52="PARTIAL",0.5,IF(D52="FAIL",0,""))))</f>
        <v/>
      </c>
      <c r="F52" s="5">
        <f>IF(E52="",0,C52*E52)</f>
        <v/>
      </c>
      <c r="G52" s="5">
        <f>IF(B52="I1",20*AVERAGEIF('QA_Images'!$A$2:$A$74,A52,'QA_Images'!$S$2:$S$74)/100,IF(D52="NOT_CHECKED",0,C52))</f>
        <v/>
      </c>
      <c r="H52" s="2" t="inlineStr">
        <is>
          <t>FULL: title_proposed can function as product title/H1 and distinguishes this batch-22 design by motif/product type.</t>
        </is>
      </c>
      <c r="I52" s="2" t="inlineStr">
        <is>
          <t>["evidence_batch_022_215", "https://jeminise.com/products/personalized-basketball-fire-and-water-splash-blanket-with-name-and-number-b05a53f208-b05a53f208"]</t>
        </is>
      </c>
      <c r="J52" s="2" t="inlineStr">
        <is>
          <t>[]</t>
        </is>
      </c>
    </row>
    <row r="53" ht="42" customHeight="1">
      <c r="A53" s="3" t="inlineStr">
        <is>
          <t>jeminise.com+personalized-basketball-fire-and-water-splash-blanket-with-name-and-number-b05a53f208-b05a53f208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IF(B53="I1",AVERAGEIF('QA_Images'!$A$2:$A$74,A53,'QA_Images'!$R$2:$R$74)/100,IF(D53="FULL",1,IF(D53="PARTIAL",0.5,IF(D53="FAIL",0,""))))</f>
        <v/>
      </c>
      <c r="F53" s="7">
        <f>IF(E53="",0,C53*E53)</f>
        <v/>
      </c>
      <c r="G53" s="7">
        <f>IF(B53="I1",20*AVERAGEIF('QA_Images'!$A$2:$A$74,A53,'QA_Images'!$S$2:$S$74)/100,IF(D53="NOT_CHECKED",0,C53))</f>
        <v/>
      </c>
      <c r="H53" s="3" t="inlineStr">
        <is>
          <t>FULL: meta description is complete, not cut mid-word, and the 145-165 character target was treated as editorial guidance.</t>
        </is>
      </c>
      <c r="I53" s="3" t="inlineStr">
        <is>
          <t>["evidence_batch_022_215", "https://jeminise.com/products/personalized-basketball-fire-and-water-splash-blanket-with-name-and-number-b05a53f208-b05a53f208"]</t>
        </is>
      </c>
      <c r="J53" s="3" t="inlineStr">
        <is>
          <t>[]</t>
        </is>
      </c>
    </row>
    <row r="54" ht="42" customHeight="1">
      <c r="A54" s="2" t="inlineStr">
        <is>
          <t>jeminise.com+personalized-basketball-fire-and-water-splash-blanket-with-name-and-number-b05a53f208-b05a53f208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5">
        <f>IF(B54="I1",AVERAGEIF('QA_Images'!$A$2:$A$74,A54,'QA_Images'!$R$2:$R$74)/100,IF(D54="FULL",1,IF(D54="PARTIAL",0.5,IF(D54="FAIL",0,""))))</f>
        <v/>
      </c>
      <c r="F54" s="5">
        <f>IF(E54="",0,C54*E54)</f>
        <v/>
      </c>
      <c r="G54" s="5">
        <f>IF(B54="I1",20*AVERAGEIF('QA_Images'!$A$2:$A$74,A54,'QA_Images'!$S$2:$S$74)/100,IF(D54="NOT_CHECKED",0,C54))</f>
        <v/>
      </c>
      <c r="H54" s="2" t="inlineStr">
        <is>
          <t>FULL: description HTML is customer-facing and tied to verified artwork, product type, options and personalization controls.</t>
        </is>
      </c>
      <c r="I54" s="2" t="inlineStr">
        <is>
          <t>["evidence_batch_022_215", "https://jeminise.com/products/personalized-basketball-fire-and-water-splash-blanket-with-name-and-number-b05a53f208-b05a53f208"]</t>
        </is>
      </c>
      <c r="J54" s="2" t="inlineStr">
        <is>
          <t>[]</t>
        </is>
      </c>
    </row>
    <row r="55" ht="42" customHeight="1">
      <c r="A55" s="3" t="inlineStr">
        <is>
          <t>jeminise.com+personalized-basketball-fire-and-water-splash-blanket-with-name-and-number-b05a53f208-b05a53f208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IF(B55="I1",AVERAGEIF('QA_Images'!$A$2:$A$74,A55,'QA_Images'!$R$2:$R$74)/100,IF(D55="FULL",1,IF(D55="PARTIAL",0.5,IF(D55="FAIL",0,""))))</f>
        <v/>
      </c>
      <c r="F55" s="7">
        <f>IF(E55="",0,C55*E55)</f>
        <v/>
      </c>
      <c r="G55" s="7">
        <f>IF(B55="I1",20*AVERAGEIF('QA_Images'!$A$2:$A$74,A55,'QA_Images'!$S$2:$S$74)/100,IF(D55="NOT_CHECKED",0,C55))</f>
        <v/>
      </c>
      <c r="H55" s="3" t="inlineStr">
        <is>
          <t>Derived from 8 QA_Images rows for this product; average image score 100/100.</t>
        </is>
      </c>
      <c r="I55" s="3" t="inlineStr">
        <is>
          <t>["QA_Images", "evidence_batch_022_215"]</t>
        </is>
      </c>
      <c r="J55" s="3" t="inlineStr">
        <is>
          <t>[]</t>
        </is>
      </c>
    </row>
    <row r="56" ht="42" customHeight="1">
      <c r="A56" s="2" t="inlineStr">
        <is>
          <t>jeminise.com+personalized-basketball-fire-and-water-splash-blanket-with-name-and-number-b05a53f208-b05a53f208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IF(B56="I1",AVERAGEIF('QA_Images'!$A$2:$A$74,A56,'QA_Images'!$R$2:$R$74)/100,IF(D56="FULL",1,IF(D56="PARTIAL",0.5,IF(D56="FAIL",0,""))))</f>
        <v/>
      </c>
      <c r="F56" s="5">
        <f>IF(E56="",0,C56*E56)</f>
        <v/>
      </c>
      <c r="G56" s="5">
        <f>IF(B56="I1",20*AVERAGEIF('QA_Images'!$A$2:$A$74,A56,'QA_Images'!$S$2:$S$74)/100,IF(D56="NOT_CHECKED",0,C56))</f>
        <v/>
      </c>
      <c r="H56" s="2" t="inlineStr">
        <is>
          <t>FULL: product key, handle, links and scoped evidence are consistent; row-level r3 labels are recorded separately as a traceability limitation.</t>
        </is>
      </c>
      <c r="I56" s="2" t="inlineStr">
        <is>
          <t>["evidence_batch_022_215", "https://jeminise.com/products/personalized-basketball-fire-and-water-splash-blanket-with-name-and-number-b05a53f208-b05a53f208"]</t>
        </is>
      </c>
      <c r="J56" s="2" t="inlineStr">
        <is>
          <t>[]</t>
        </is>
      </c>
    </row>
    <row r="57" ht="42" customHeight="1">
      <c r="A57" s="3" t="inlineStr">
        <is>
          <t>jeminise.com+personalized-basketball-flames-flying-over-comforter-with-name-and-number-feb4be1ea4-feb4be1ea4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IF(B57="I1",AVERAGEIF('QA_Images'!$A$2:$A$74,A57,'QA_Images'!$R$2:$R$74)/100,IF(D57="FULL",1,IF(D57="PARTIAL",0.5,IF(D57="FAIL",0,""))))</f>
        <v/>
      </c>
      <c r="F57" s="7">
        <f>IF(E57="",0,C57*E57)</f>
        <v/>
      </c>
      <c r="G57" s="7">
        <f>IF(B57="I1",20*AVERAGEIF('QA_Images'!$A$2:$A$74,A57,'QA_Images'!$S$2:$S$74)/100,IF(D57="NOT_CHECKED",0,C57))</f>
        <v/>
      </c>
      <c r="H57" s="3" t="inlineStr">
        <is>
          <t>FULL: product identity, handle and live product data match inventory scope for batch 22.</t>
        </is>
      </c>
      <c r="I57" s="3" t="inlineStr">
        <is>
          <t>["evidence_batch_022_216", "https://jeminise.com/products/personalized-basketball-flames-flying-over-comforter-with-name-and-number-feb4be1ea4-feb4be1ea4"]</t>
        </is>
      </c>
      <c r="J57" s="3" t="inlineStr">
        <is>
          <t>[]</t>
        </is>
      </c>
    </row>
    <row r="58" ht="42" customHeight="1">
      <c r="A58" s="2" t="inlineStr">
        <is>
          <t>jeminise.com+personalized-basketball-flames-flying-over-comforter-with-name-and-number-feb4be1ea4-feb4be1ea4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IF(B58="I1",AVERAGEIF('QA_Images'!$A$2:$A$74,A58,'QA_Images'!$R$2:$R$74)/100,IF(D58="FULL",1,IF(D58="PARTIAL",0.5,IF(D58="FAIL",0,""))))</f>
        <v/>
      </c>
      <c r="F58" s="5">
        <f>IF(E58="",0,C58*E58)</f>
        <v/>
      </c>
      <c r="G58" s="5">
        <f>IF(B58="I1",20*AVERAGEIF('QA_Images'!$A$2:$A$74,A58,'QA_Images'!$S$2:$S$74)/100,IF(D58="NOT_CHECKED",0,C58))</f>
        <v/>
      </c>
      <c r="H58" s="2" t="inlineStr">
        <is>
          <t>FULL: personalization/product-option claims were checked against live/cache customizer evidence for this product.</t>
        </is>
      </c>
      <c r="I58" s="2" t="inlineStr">
        <is>
          <t>["evidence_batch_022_216", "https://jeminise.com/products/personalized-basketball-flames-flying-over-comforter-with-name-and-number-feb4be1ea4-feb4be1ea4", "customizer_fields_audit.json", "live_pages"]</t>
        </is>
      </c>
      <c r="J58" s="2" t="inlineStr">
        <is>
          <t>[]</t>
        </is>
      </c>
    </row>
    <row r="59" ht="42" customHeight="1">
      <c r="A59" s="3" t="inlineStr">
        <is>
          <t>jeminise.com+personalized-basketball-flames-flying-over-comforter-with-name-and-number-feb4be1ea4-feb4be1ea4</t>
        </is>
      </c>
      <c r="B59" s="3" t="inlineStr">
        <is>
          <t>K1</t>
        </is>
      </c>
      <c r="C59" s="3" t="n">
        <v>10</v>
      </c>
      <c r="D59" s="3" t="inlineStr">
        <is>
          <t>FULL</t>
        </is>
      </c>
      <c r="E59" s="7">
        <f>IF(B59="I1",AVERAGEIF('QA_Images'!$A$2:$A$74,A59,'QA_Images'!$R$2:$R$74)/100,IF(D59="FULL",1,IF(D59="PARTIAL",0.5,IF(D59="FAIL",0,""))))</f>
        <v/>
      </c>
      <c r="F59" s="7">
        <f>IF(E59="",0,C59*E59)</f>
        <v/>
      </c>
      <c r="G59" s="7">
        <f>IF(B59="I1",20*AVERAGEIF('QA_Images'!$A$2:$A$74,A59,'QA_Images'!$S$2:$S$74)/100,IF(D59="NOT_CHECKED",0,C59))</f>
        <v/>
      </c>
      <c r="H59" s="3" t="inlineStr">
        <is>
          <t>FULL: primary keyword 'custom flaming basketball comforter' was checked against this product's own US/English SERP; partial means the exact visual modifier is niche.</t>
        </is>
      </c>
      <c r="I59" s="3" t="inlineStr">
        <is>
          <t>["evidence_batch_022_216", "https://jeminise.com/products/personalized-basketball-flames-flying-over-comforter-with-name-and-number-feb4be1ea4-feb4be1ea4", "serp_qa_batch_022_r4_216_1", "serp_qa_batch_022_r4_216_2"]</t>
        </is>
      </c>
      <c r="J59" s="3" t="inlineStr">
        <is>
          <t>[]</t>
        </is>
      </c>
    </row>
    <row r="60" ht="42" customHeight="1">
      <c r="A60" s="2" t="inlineStr">
        <is>
          <t>jeminise.com+personalized-basketball-flames-flying-over-comforter-with-name-and-number-feb4be1ea4-feb4be1ea4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5">
        <f>IF(B60="I1",AVERAGEIF('QA_Images'!$A$2:$A$74,A60,'QA_Images'!$R$2:$R$74)/100,IF(D60="FULL",1,IF(D60="PARTIAL",0.5,IF(D60="FAIL",0,""))))</f>
        <v/>
      </c>
      <c r="F60" s="5">
        <f>IF(E60="",0,C60*E60)</f>
        <v/>
      </c>
      <c r="G60" s="5">
        <f>IF(B60="I1",20*AVERAGEIF('QA_Images'!$A$2:$A$74,A60,'QA_Images'!$S$2:$S$74)/100,IF(D60="NOT_CHECKED",0,C60))</f>
        <v/>
      </c>
      <c r="H60" s="2" t="inlineStr">
        <is>
          <t>FULL: comparator query supports commercial bedding/blanket intent for this product type; partial means results broaden beyond the exact motif.</t>
        </is>
      </c>
      <c r="I60" s="2" t="inlineStr">
        <is>
          <t>["evidence_batch_022_216", "https://jeminise.com/products/personalized-basketball-flames-flying-over-comforter-with-name-and-number-feb4be1ea4-feb4be1ea4", "serp_qa_batch_022_r4_216_1", "serp_qa_batch_022_r4_216_2"]</t>
        </is>
      </c>
      <c r="J60" s="2" t="inlineStr">
        <is>
          <t>[]</t>
        </is>
      </c>
    </row>
    <row r="61" ht="42" customHeight="1">
      <c r="A61" s="3" t="inlineStr">
        <is>
          <t>jeminise.com+personalized-basketball-flames-flying-over-comforter-with-name-and-number-feb4be1ea4-feb4be1ea4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IF(B61="I1",AVERAGEIF('QA_Images'!$A$2:$A$74,A61,'QA_Images'!$R$2:$R$74)/100,IF(D61="FULL",1,IF(D61="PARTIAL",0.5,IF(D61="FAIL",0,""))))</f>
        <v/>
      </c>
      <c r="F61" s="7">
        <f>IF(E61="",0,C61*E61)</f>
        <v/>
      </c>
      <c r="G61" s="7">
        <f>IF(B61="I1",20*AVERAGEIF('QA_Images'!$A$2:$A$74,A61,'QA_Images'!$S$2:$S$74)/100,IF(D61="NOT_CHECKED",0,C61))</f>
        <v/>
      </c>
      <c r="H61" s="3" t="inlineStr">
        <is>
          <t>PARTIAL: evidence is SERP/product-comparable only; no paid volume or Search Console proof is claimed.</t>
        </is>
      </c>
      <c r="I61" s="3" t="inlineStr">
        <is>
          <t>["evidence_batch_022_216", "https://jeminise.com/products/personalized-basketball-flames-flying-over-comforter-with-name-and-number-feb4be1ea4-feb4be1ea4", "serp_qa_batch_022_r4_216_1", "serp_qa_batch_022_r4_216_2"]</t>
        </is>
      </c>
      <c r="J61" s="3" t="inlineStr">
        <is>
          <t>[]</t>
        </is>
      </c>
    </row>
    <row r="62" ht="42" customHeight="1">
      <c r="A62" s="2" t="inlineStr">
        <is>
          <t>jeminise.com+personalized-basketball-flames-flying-over-comforter-with-name-and-number-feb4be1ea4-feb4be1ea4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IF(B62="I1",AVERAGEIF('QA_Images'!$A$2:$A$74,A62,'QA_Images'!$R$2:$R$74)/100,IF(D62="FULL",1,IF(D62="PARTIAL",0.5,IF(D62="FAIL",0,""))))</f>
        <v/>
      </c>
      <c r="F62" s="5">
        <f>IF(E62="",0,C62*E62)</f>
        <v/>
      </c>
      <c r="G62" s="5">
        <f>IF(B62="I1",20*AVERAGEIF('QA_Images'!$A$2:$A$74,A62,'QA_Images'!$S$2:$S$74)/100,IF(D62="NOT_CHECKED",0,C62))</f>
        <v/>
      </c>
      <c r="H62" s="2" t="inlineStr">
        <is>
          <t>FULL: meta_title_seo is complete English and maps to the verified product type/motif.</t>
        </is>
      </c>
      <c r="I62" s="2" t="inlineStr">
        <is>
          <t>["evidence_batch_022_216", "https://jeminise.com/products/personalized-basketball-flames-flying-over-comforter-with-name-and-number-feb4be1ea4-feb4be1ea4"]</t>
        </is>
      </c>
      <c r="J62" s="2" t="inlineStr">
        <is>
          <t>[]</t>
        </is>
      </c>
    </row>
    <row r="63" ht="42" customHeight="1">
      <c r="A63" s="3" t="inlineStr">
        <is>
          <t>jeminise.com+personalized-basketball-flames-flying-over-comforter-with-name-and-number-feb4be1ea4-feb4be1ea4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IF(B63="I1",AVERAGEIF('QA_Images'!$A$2:$A$74,A63,'QA_Images'!$R$2:$R$74)/100,IF(D63="FULL",1,IF(D63="PARTIAL",0.5,IF(D63="FAIL",0,""))))</f>
        <v/>
      </c>
      <c r="F63" s="7">
        <f>IF(E63="",0,C63*E63)</f>
        <v/>
      </c>
      <c r="G63" s="7">
        <f>IF(B63="I1",20*AVERAGEIF('QA_Images'!$A$2:$A$74,A63,'QA_Images'!$S$2:$S$74)/100,IF(D63="NOT_CHECKED",0,C63))</f>
        <v/>
      </c>
      <c r="H63" s="3" t="inlineStr">
        <is>
          <t>FULL: title_proposed can function as product title/H1 and distinguishes this batch-22 design by motif/product type.</t>
        </is>
      </c>
      <c r="I63" s="3" t="inlineStr">
        <is>
          <t>["evidence_batch_022_216", "https://jeminise.com/products/personalized-basketball-flames-flying-over-comforter-with-name-and-number-feb4be1ea4-feb4be1ea4"]</t>
        </is>
      </c>
      <c r="J63" s="3" t="inlineStr">
        <is>
          <t>[]</t>
        </is>
      </c>
    </row>
    <row r="64" ht="42" customHeight="1">
      <c r="A64" s="2" t="inlineStr">
        <is>
          <t>jeminise.com+personalized-basketball-flames-flying-over-comforter-with-name-and-number-feb4be1ea4-feb4be1ea4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IF(B64="I1",AVERAGEIF('QA_Images'!$A$2:$A$74,A64,'QA_Images'!$R$2:$R$74)/100,IF(D64="FULL",1,IF(D64="PARTIAL",0.5,IF(D64="FAIL",0,""))))</f>
        <v/>
      </c>
      <c r="F64" s="5">
        <f>IF(E64="",0,C64*E64)</f>
        <v/>
      </c>
      <c r="G64" s="5">
        <f>IF(B64="I1",20*AVERAGEIF('QA_Images'!$A$2:$A$74,A64,'QA_Images'!$S$2:$S$74)/100,IF(D64="NOT_CHECKED",0,C64))</f>
        <v/>
      </c>
      <c r="H64" s="2" t="inlineStr">
        <is>
          <t>FULL: meta description is complete, not cut mid-word, and the 145-165 character target was treated as editorial guidance.</t>
        </is>
      </c>
      <c r="I64" s="2" t="inlineStr">
        <is>
          <t>["evidence_batch_022_216", "https://jeminise.com/products/personalized-basketball-flames-flying-over-comforter-with-name-and-number-feb4be1ea4-feb4be1ea4"]</t>
        </is>
      </c>
      <c r="J64" s="2" t="inlineStr">
        <is>
          <t>[]</t>
        </is>
      </c>
    </row>
    <row r="65" ht="42" customHeight="1">
      <c r="A65" s="3" t="inlineStr">
        <is>
          <t>jeminise.com+personalized-basketball-flames-flying-over-comforter-with-name-and-number-feb4be1ea4-feb4be1ea4</t>
        </is>
      </c>
      <c r="B65" s="3" t="inlineStr">
        <is>
          <t>D2</t>
        </is>
      </c>
      <c r="C65" s="3" t="n">
        <v>10</v>
      </c>
      <c r="D65" s="3" t="inlineStr">
        <is>
          <t>FULL</t>
        </is>
      </c>
      <c r="E65" s="7">
        <f>IF(B65="I1",AVERAGEIF('QA_Images'!$A$2:$A$74,A65,'QA_Images'!$R$2:$R$74)/100,IF(D65="FULL",1,IF(D65="PARTIAL",0.5,IF(D65="FAIL",0,""))))</f>
        <v/>
      </c>
      <c r="F65" s="7">
        <f>IF(E65="",0,C65*E65)</f>
        <v/>
      </c>
      <c r="G65" s="7">
        <f>IF(B65="I1",20*AVERAGEIF('QA_Images'!$A$2:$A$74,A65,'QA_Images'!$S$2:$S$74)/100,IF(D65="NOT_CHECKED",0,C65))</f>
        <v/>
      </c>
      <c r="H65" s="3" t="inlineStr">
        <is>
          <t>FULL: description HTML is customer-facing and tied to verified artwork, product type, options and personalization controls.</t>
        </is>
      </c>
      <c r="I65" s="3" t="inlineStr">
        <is>
          <t>["evidence_batch_022_216", "https://jeminise.com/products/personalized-basketball-flames-flying-over-comforter-with-name-and-number-feb4be1ea4-feb4be1ea4"]</t>
        </is>
      </c>
      <c r="J65" s="3" t="inlineStr">
        <is>
          <t>[]</t>
        </is>
      </c>
    </row>
    <row r="66" ht="42" customHeight="1">
      <c r="A66" s="2" t="inlineStr">
        <is>
          <t>jeminise.com+personalized-basketball-flames-flying-over-comforter-with-name-and-number-feb4be1ea4-feb4be1ea4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IF(B66="I1",AVERAGEIF('QA_Images'!$A$2:$A$74,A66,'QA_Images'!$R$2:$R$74)/100,IF(D66="FULL",1,IF(D66="PARTIAL",0.5,IF(D66="FAIL",0,""))))</f>
        <v/>
      </c>
      <c r="F66" s="5">
        <f>IF(E66="",0,C66*E66)</f>
        <v/>
      </c>
      <c r="G66" s="5">
        <f>IF(B66="I1",20*AVERAGEIF('QA_Images'!$A$2:$A$74,A66,'QA_Images'!$S$2:$S$74)/100,IF(D66="NOT_CHECKED",0,C66))</f>
        <v/>
      </c>
      <c r="H66" s="2" t="inlineStr">
        <is>
          <t>Derived from 7 QA_Images rows for this product; average image score 100/100.</t>
        </is>
      </c>
      <c r="I66" s="2" t="inlineStr">
        <is>
          <t>["QA_Images", "evidence_batch_022_216"]</t>
        </is>
      </c>
      <c r="J66" s="2" t="inlineStr">
        <is>
          <t>[]</t>
        </is>
      </c>
    </row>
    <row r="67" ht="42" customHeight="1">
      <c r="A67" s="3" t="inlineStr">
        <is>
          <t>jeminise.com+personalized-basketball-flames-flying-over-comforter-with-name-and-number-feb4be1ea4-feb4be1ea4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IF(B67="I1",AVERAGEIF('QA_Images'!$A$2:$A$74,A67,'QA_Images'!$R$2:$R$74)/100,IF(D67="FULL",1,IF(D67="PARTIAL",0.5,IF(D67="FAIL",0,""))))</f>
        <v/>
      </c>
      <c r="F67" s="7">
        <f>IF(E67="",0,C67*E67)</f>
        <v/>
      </c>
      <c r="G67" s="7">
        <f>IF(B67="I1",20*AVERAGEIF('QA_Images'!$A$2:$A$74,A67,'QA_Images'!$S$2:$S$74)/100,IF(D67="NOT_CHECKED",0,C67))</f>
        <v/>
      </c>
      <c r="H67" s="3" t="inlineStr">
        <is>
          <t>FULL: product key, handle, links and scoped evidence are consistent; row-level r3 labels are recorded separately as a traceability limitation.</t>
        </is>
      </c>
      <c r="I67" s="3" t="inlineStr">
        <is>
          <t>["evidence_batch_022_216", "https://jeminise.com/products/personalized-basketball-flames-flying-over-comforter-with-name-and-number-feb4be1ea4-feb4be1ea4"]</t>
        </is>
      </c>
      <c r="J67" s="3" t="inlineStr">
        <is>
          <t>[]</t>
        </is>
      </c>
    </row>
    <row r="68" ht="42" customHeight="1">
      <c r="A68" s="2" t="inlineStr">
        <is>
          <t>jeminise.com+personalized-basketball-glowing-light-burst-comforter-with-name-and-number-3bc9e1267e-3bc9e1267e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IF(B68="I1",AVERAGEIF('QA_Images'!$A$2:$A$74,A68,'QA_Images'!$R$2:$R$74)/100,IF(D68="FULL",1,IF(D68="PARTIAL",0.5,IF(D68="FAIL",0,""))))</f>
        <v/>
      </c>
      <c r="F68" s="5">
        <f>IF(E68="",0,C68*E68)</f>
        <v/>
      </c>
      <c r="G68" s="5">
        <f>IF(B68="I1",20*AVERAGEIF('QA_Images'!$A$2:$A$74,A68,'QA_Images'!$S$2:$S$74)/100,IF(D68="NOT_CHECKED",0,C68))</f>
        <v/>
      </c>
      <c r="H68" s="2" t="inlineStr">
        <is>
          <t>FULL: product identity, handle and live product data match inventory scope for batch 22.</t>
        </is>
      </c>
      <c r="I68" s="2" t="inlineStr">
        <is>
          <t>["evidence_batch_022_217", "https://jeminise.com/products/personalized-basketball-glowing-light-burst-comforter-with-name-and-number-3bc9e1267e-3bc9e1267e"]</t>
        </is>
      </c>
      <c r="J68" s="2" t="inlineStr">
        <is>
          <t>[]</t>
        </is>
      </c>
    </row>
    <row r="69" ht="42" customHeight="1">
      <c r="A69" s="3" t="inlineStr">
        <is>
          <t>jeminise.com+personalized-basketball-glowing-light-burst-comforter-with-name-and-number-3bc9e1267e-3bc9e1267e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IF(B69="I1",AVERAGEIF('QA_Images'!$A$2:$A$74,A69,'QA_Images'!$R$2:$R$74)/100,IF(D69="FULL",1,IF(D69="PARTIAL",0.5,IF(D69="FAIL",0,""))))</f>
        <v/>
      </c>
      <c r="F69" s="7">
        <f>IF(E69="",0,C69*E69)</f>
        <v/>
      </c>
      <c r="G69" s="7">
        <f>IF(B69="I1",20*AVERAGEIF('QA_Images'!$A$2:$A$74,A69,'QA_Images'!$S$2:$S$74)/100,IF(D69="NOT_CHECKED",0,C69))</f>
        <v/>
      </c>
      <c r="H69" s="3" t="inlineStr">
        <is>
          <t>FULL: personalization/product-option claims were checked against live/cache customizer evidence for this product.</t>
        </is>
      </c>
      <c r="I69" s="3" t="inlineStr">
        <is>
          <t>["evidence_batch_022_217", "https://jeminise.com/products/personalized-basketball-glowing-light-burst-comforter-with-name-and-number-3bc9e1267e-3bc9e1267e", "customizer_fields_audit.json", "live_pages"]</t>
        </is>
      </c>
      <c r="J69" s="3" t="inlineStr">
        <is>
          <t>[]</t>
        </is>
      </c>
    </row>
    <row r="70" ht="42" customHeight="1">
      <c r="A70" s="2" t="inlineStr">
        <is>
          <t>jeminise.com+personalized-basketball-glowing-light-burst-comforter-with-name-and-number-3bc9e1267e-3bc9e1267e</t>
        </is>
      </c>
      <c r="B70" s="2" t="inlineStr">
        <is>
          <t>K1</t>
        </is>
      </c>
      <c r="C70" s="2" t="n">
        <v>10</v>
      </c>
      <c r="D70" s="2" t="inlineStr">
        <is>
          <t>PARTIAL</t>
        </is>
      </c>
      <c r="E70" s="5">
        <f>IF(B70="I1",AVERAGEIF('QA_Images'!$A$2:$A$74,A70,'QA_Images'!$R$2:$R$74)/100,IF(D70="FULL",1,IF(D70="PARTIAL",0.5,IF(D70="FAIL",0,""))))</f>
        <v/>
      </c>
      <c r="F70" s="5">
        <f>IF(E70="",0,C70*E70)</f>
        <v/>
      </c>
      <c r="G70" s="5">
        <f>IF(B70="I1",20*AVERAGEIF('QA_Images'!$A$2:$A$74,A70,'QA_Images'!$S$2:$S$74)/100,IF(D70="NOT_CHECKED",0,C70))</f>
        <v/>
      </c>
      <c r="H70" s="2" t="inlineStr">
        <is>
          <t>PARTIAL: primary keyword 'custom light burst basketball comforter' was checked against this product's own US/English SERP; partial means the exact visual modifier is niche.</t>
        </is>
      </c>
      <c r="I70" s="2" t="inlineStr">
        <is>
          <t>["evidence_batch_022_217", "https://jeminise.com/products/personalized-basketball-glowing-light-burst-comforter-with-name-and-number-3bc9e1267e-3bc9e1267e", "serp_qa_batch_022_r4_217_1", "serp_qa_batch_022_r4_217_2"]</t>
        </is>
      </c>
      <c r="J70" s="2" t="inlineStr">
        <is>
          <t>[]</t>
        </is>
      </c>
    </row>
    <row r="71" ht="42" customHeight="1">
      <c r="A71" s="3" t="inlineStr">
        <is>
          <t>jeminise.com+personalized-basketball-glowing-light-burst-comforter-with-name-and-number-3bc9e1267e-3bc9e1267e</t>
        </is>
      </c>
      <c r="B71" s="3" t="inlineStr">
        <is>
          <t>K2</t>
        </is>
      </c>
      <c r="C71" s="3" t="n">
        <v>5</v>
      </c>
      <c r="D71" s="3" t="inlineStr">
        <is>
          <t>PARTIAL</t>
        </is>
      </c>
      <c r="E71" s="7">
        <f>IF(B71="I1",AVERAGEIF('QA_Images'!$A$2:$A$74,A71,'QA_Images'!$R$2:$R$74)/100,IF(D71="FULL",1,IF(D71="PARTIAL",0.5,IF(D71="FAIL",0,""))))</f>
        <v/>
      </c>
      <c r="F71" s="7">
        <f>IF(E71="",0,C71*E71)</f>
        <v/>
      </c>
      <c r="G71" s="7">
        <f>IF(B71="I1",20*AVERAGEIF('QA_Images'!$A$2:$A$74,A71,'QA_Images'!$S$2:$S$74)/100,IF(D71="NOT_CHECKED",0,C71))</f>
        <v/>
      </c>
      <c r="H71" s="3" t="inlineStr">
        <is>
          <t>PARTIAL: comparator query supports commercial bedding/blanket intent for this product type; partial means results broaden beyond the exact motif.</t>
        </is>
      </c>
      <c r="I71" s="3" t="inlineStr">
        <is>
          <t>["evidence_batch_022_217", "https://jeminise.com/products/personalized-basketball-glowing-light-burst-comforter-with-name-and-number-3bc9e1267e-3bc9e1267e", "serp_qa_batch_022_r4_217_1", "serp_qa_batch_022_r4_217_2"]</t>
        </is>
      </c>
      <c r="J71" s="3" t="inlineStr">
        <is>
          <t>[]</t>
        </is>
      </c>
    </row>
    <row r="72" ht="42" customHeight="1">
      <c r="A72" s="2" t="inlineStr">
        <is>
          <t>jeminise.com+personalized-basketball-glowing-light-burst-comforter-with-name-and-number-3bc9e1267e-3bc9e1267e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IF(B72="I1",AVERAGEIF('QA_Images'!$A$2:$A$74,A72,'QA_Images'!$R$2:$R$74)/100,IF(D72="FULL",1,IF(D72="PARTIAL",0.5,IF(D72="FAIL",0,""))))</f>
        <v/>
      </c>
      <c r="F72" s="5">
        <f>IF(E72="",0,C72*E72)</f>
        <v/>
      </c>
      <c r="G72" s="5">
        <f>IF(B72="I1",20*AVERAGEIF('QA_Images'!$A$2:$A$74,A72,'QA_Images'!$S$2:$S$74)/100,IF(D72="NOT_CHECKED",0,C72))</f>
        <v/>
      </c>
      <c r="H72" s="2" t="inlineStr">
        <is>
          <t>PARTIAL: evidence is SERP/product-comparable only; no paid volume or Search Console proof is claimed.</t>
        </is>
      </c>
      <c r="I72" s="2" t="inlineStr">
        <is>
          <t>["evidence_batch_022_217", "https://jeminise.com/products/personalized-basketball-glowing-light-burst-comforter-with-name-and-number-3bc9e1267e-3bc9e1267e", "serp_qa_batch_022_r4_217_1", "serp_qa_batch_022_r4_217_2"]</t>
        </is>
      </c>
      <c r="J72" s="2" t="inlineStr">
        <is>
          <t>[]</t>
        </is>
      </c>
    </row>
    <row r="73" ht="42" customHeight="1">
      <c r="A73" s="3" t="inlineStr">
        <is>
          <t>jeminise.com+personalized-basketball-glowing-light-burst-comforter-with-name-and-number-3bc9e1267e-3bc9e1267e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IF(B73="I1",AVERAGEIF('QA_Images'!$A$2:$A$74,A73,'QA_Images'!$R$2:$R$74)/100,IF(D73="FULL",1,IF(D73="PARTIAL",0.5,IF(D73="FAIL",0,""))))</f>
        <v/>
      </c>
      <c r="F73" s="7">
        <f>IF(E73="",0,C73*E73)</f>
        <v/>
      </c>
      <c r="G73" s="7">
        <f>IF(B73="I1",20*AVERAGEIF('QA_Images'!$A$2:$A$74,A73,'QA_Images'!$S$2:$S$74)/100,IF(D73="NOT_CHECKED",0,C73))</f>
        <v/>
      </c>
      <c r="H73" s="3" t="inlineStr">
        <is>
          <t>FULL: meta_title_seo is complete English and maps to the verified product type/motif.</t>
        </is>
      </c>
      <c r="I73" s="3" t="inlineStr">
        <is>
          <t>["evidence_batch_022_217", "https://jeminise.com/products/personalized-basketball-glowing-light-burst-comforter-with-name-and-number-3bc9e1267e-3bc9e1267e"]</t>
        </is>
      </c>
      <c r="J73" s="3" t="inlineStr">
        <is>
          <t>[]</t>
        </is>
      </c>
    </row>
    <row r="74" ht="42" customHeight="1">
      <c r="A74" s="2" t="inlineStr">
        <is>
          <t>jeminise.com+personalized-basketball-glowing-light-burst-comforter-with-name-and-number-3bc9e1267e-3bc9e1267e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IF(B74="I1",AVERAGEIF('QA_Images'!$A$2:$A$74,A74,'QA_Images'!$R$2:$R$74)/100,IF(D74="FULL",1,IF(D74="PARTIAL",0.5,IF(D74="FAIL",0,""))))</f>
        <v/>
      </c>
      <c r="F74" s="5">
        <f>IF(E74="",0,C74*E74)</f>
        <v/>
      </c>
      <c r="G74" s="5">
        <f>IF(B74="I1",20*AVERAGEIF('QA_Images'!$A$2:$A$74,A74,'QA_Images'!$S$2:$S$74)/100,IF(D74="NOT_CHECKED",0,C74))</f>
        <v/>
      </c>
      <c r="H74" s="2" t="inlineStr">
        <is>
          <t>FULL: title_proposed can function as product title/H1 and distinguishes this batch-22 design by motif/product type.</t>
        </is>
      </c>
      <c r="I74" s="2" t="inlineStr">
        <is>
          <t>["evidence_batch_022_217", "https://jeminise.com/products/personalized-basketball-glowing-light-burst-comforter-with-name-and-number-3bc9e1267e-3bc9e1267e"]</t>
        </is>
      </c>
      <c r="J74" s="2" t="inlineStr">
        <is>
          <t>[]</t>
        </is>
      </c>
    </row>
    <row r="75" ht="42" customHeight="1">
      <c r="A75" s="3" t="inlineStr">
        <is>
          <t>jeminise.com+personalized-basketball-glowing-light-burst-comforter-with-name-and-number-3bc9e1267e-3bc9e1267e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IF(B75="I1",AVERAGEIF('QA_Images'!$A$2:$A$74,A75,'QA_Images'!$R$2:$R$74)/100,IF(D75="FULL",1,IF(D75="PARTIAL",0.5,IF(D75="FAIL",0,""))))</f>
        <v/>
      </c>
      <c r="F75" s="7">
        <f>IF(E75="",0,C75*E75)</f>
        <v/>
      </c>
      <c r="G75" s="7">
        <f>IF(B75="I1",20*AVERAGEIF('QA_Images'!$A$2:$A$74,A75,'QA_Images'!$S$2:$S$74)/100,IF(D75="NOT_CHECKED",0,C75))</f>
        <v/>
      </c>
      <c r="H75" s="3" t="inlineStr">
        <is>
          <t>FULL: meta description is complete, not cut mid-word, and the 145-165 character target was treated as editorial guidance.</t>
        </is>
      </c>
      <c r="I75" s="3" t="inlineStr">
        <is>
          <t>["evidence_batch_022_217", "https://jeminise.com/products/personalized-basketball-glowing-light-burst-comforter-with-name-and-number-3bc9e1267e-3bc9e1267e"]</t>
        </is>
      </c>
      <c r="J75" s="3" t="inlineStr">
        <is>
          <t>[]</t>
        </is>
      </c>
    </row>
    <row r="76" ht="42" customHeight="1">
      <c r="A76" s="2" t="inlineStr">
        <is>
          <t>jeminise.com+personalized-basketball-glowing-light-burst-comforter-with-name-and-number-3bc9e1267e-3bc9e1267e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5">
        <f>IF(B76="I1",AVERAGEIF('QA_Images'!$A$2:$A$74,A76,'QA_Images'!$R$2:$R$74)/100,IF(D76="FULL",1,IF(D76="PARTIAL",0.5,IF(D76="FAIL",0,""))))</f>
        <v/>
      </c>
      <c r="F76" s="5">
        <f>IF(E76="",0,C76*E76)</f>
        <v/>
      </c>
      <c r="G76" s="5">
        <f>IF(B76="I1",20*AVERAGEIF('QA_Images'!$A$2:$A$74,A76,'QA_Images'!$S$2:$S$74)/100,IF(D76="NOT_CHECKED",0,C76))</f>
        <v/>
      </c>
      <c r="H76" s="2" t="inlineStr">
        <is>
          <t>FULL: description HTML is customer-facing and tied to verified artwork, product type, options and personalization controls.</t>
        </is>
      </c>
      <c r="I76" s="2" t="inlineStr">
        <is>
          <t>["evidence_batch_022_217", "https://jeminise.com/products/personalized-basketball-glowing-light-burst-comforter-with-name-and-number-3bc9e1267e-3bc9e1267e"]</t>
        </is>
      </c>
      <c r="J76" s="2" t="inlineStr">
        <is>
          <t>[]</t>
        </is>
      </c>
    </row>
    <row r="77" ht="42" customHeight="1">
      <c r="A77" s="3" t="inlineStr">
        <is>
          <t>jeminise.com+personalized-basketball-glowing-light-burst-comforter-with-name-and-number-3bc9e1267e-3bc9e1267e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IF(B77="I1",AVERAGEIF('QA_Images'!$A$2:$A$74,A77,'QA_Images'!$R$2:$R$74)/100,IF(D77="FULL",1,IF(D77="PARTIAL",0.5,IF(D77="FAIL",0,""))))</f>
        <v/>
      </c>
      <c r="F77" s="7">
        <f>IF(E77="",0,C77*E77)</f>
        <v/>
      </c>
      <c r="G77" s="7">
        <f>IF(B77="I1",20*AVERAGEIF('QA_Images'!$A$2:$A$74,A77,'QA_Images'!$S$2:$S$74)/100,IF(D77="NOT_CHECKED",0,C77))</f>
        <v/>
      </c>
      <c r="H77" s="3" t="inlineStr">
        <is>
          <t>Derived from 7 QA_Images rows for this product; average image score 100/100.</t>
        </is>
      </c>
      <c r="I77" s="3" t="inlineStr">
        <is>
          <t>["QA_Images", "evidence_batch_022_217"]</t>
        </is>
      </c>
      <c r="J77" s="3" t="inlineStr">
        <is>
          <t>[]</t>
        </is>
      </c>
    </row>
    <row r="78" ht="42" customHeight="1">
      <c r="A78" s="2" t="inlineStr">
        <is>
          <t>jeminise.com+personalized-basketball-glowing-light-burst-comforter-with-name-and-number-3bc9e1267e-3bc9e1267e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IF(B78="I1",AVERAGEIF('QA_Images'!$A$2:$A$74,A78,'QA_Images'!$R$2:$R$74)/100,IF(D78="FULL",1,IF(D78="PARTIAL",0.5,IF(D78="FAIL",0,""))))</f>
        <v/>
      </c>
      <c r="F78" s="5">
        <f>IF(E78="",0,C78*E78)</f>
        <v/>
      </c>
      <c r="G78" s="5">
        <f>IF(B78="I1",20*AVERAGEIF('QA_Images'!$A$2:$A$74,A78,'QA_Images'!$S$2:$S$74)/100,IF(D78="NOT_CHECKED",0,C78))</f>
        <v/>
      </c>
      <c r="H78" s="2" t="inlineStr">
        <is>
          <t>FULL: product key, handle, links and scoped evidence are consistent; row-level r3 labels are recorded separately as a traceability limitation.</t>
        </is>
      </c>
      <c r="I78" s="2" t="inlineStr">
        <is>
          <t>["evidence_batch_022_217", "https://jeminise.com/products/personalized-basketball-glowing-light-burst-comforter-with-name-and-number-3bc9e1267e-3bc9e1267e"]</t>
        </is>
      </c>
      <c r="J78" s="2" t="inlineStr">
        <is>
          <t>[]</t>
        </is>
      </c>
    </row>
    <row r="79" ht="42" customHeight="1">
      <c r="A79" s="3" t="inlineStr">
        <is>
          <t>jeminise.com+personalized-basketball-held-by-hand-on-court-blanket-with-name-and-number-079998b76f-079998b76f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IF(B79="I1",AVERAGEIF('QA_Images'!$A$2:$A$74,A79,'QA_Images'!$R$2:$R$74)/100,IF(D79="FULL",1,IF(D79="PARTIAL",0.5,IF(D79="FAIL",0,""))))</f>
        <v/>
      </c>
      <c r="F79" s="7">
        <f>IF(E79="",0,C79*E79)</f>
        <v/>
      </c>
      <c r="G79" s="7">
        <f>IF(B79="I1",20*AVERAGEIF('QA_Images'!$A$2:$A$74,A79,'QA_Images'!$S$2:$S$74)/100,IF(D79="NOT_CHECKED",0,C79))</f>
        <v/>
      </c>
      <c r="H79" s="3" t="inlineStr">
        <is>
          <t>FULL: product identity, handle and live product data match inventory scope for batch 22.</t>
        </is>
      </c>
      <c r="I79" s="3" t="inlineStr">
        <is>
          <t>["evidence_batch_022_218", "https://jeminise.com/products/personalized-basketball-held-by-hand-on-court-blanket-with-name-and-number-079998b76f-079998b76f"]</t>
        </is>
      </c>
      <c r="J79" s="3" t="inlineStr">
        <is>
          <t>[]</t>
        </is>
      </c>
    </row>
    <row r="80" ht="42" customHeight="1">
      <c r="A80" s="2" t="inlineStr">
        <is>
          <t>jeminise.com+personalized-basketball-held-by-hand-on-court-blanket-with-name-and-number-079998b76f-079998b76f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IF(B80="I1",AVERAGEIF('QA_Images'!$A$2:$A$74,A80,'QA_Images'!$R$2:$R$74)/100,IF(D80="FULL",1,IF(D80="PARTIAL",0.5,IF(D80="FAIL",0,""))))</f>
        <v/>
      </c>
      <c r="F80" s="5">
        <f>IF(E80="",0,C80*E80)</f>
        <v/>
      </c>
      <c r="G80" s="5">
        <f>IF(B80="I1",20*AVERAGEIF('QA_Images'!$A$2:$A$74,A80,'QA_Images'!$S$2:$S$74)/100,IF(D80="NOT_CHECKED",0,C80))</f>
        <v/>
      </c>
      <c r="H80" s="2" t="inlineStr">
        <is>
          <t>FULL: personalization/product-option claims were checked against live/cache customizer evidence for this product.</t>
        </is>
      </c>
      <c r="I80" s="2" t="inlineStr">
        <is>
          <t>["evidence_batch_022_218", "https://jeminise.com/products/personalized-basketball-held-by-hand-on-court-blanket-with-name-and-number-079998b76f-079998b76f", "customizer_fields_audit.json", "live_pages"]</t>
        </is>
      </c>
      <c r="J80" s="2" t="inlineStr">
        <is>
          <t>[]</t>
        </is>
      </c>
    </row>
    <row r="81" ht="42" customHeight="1">
      <c r="A81" s="3" t="inlineStr">
        <is>
          <t>jeminise.com+personalized-basketball-held-by-hand-on-court-blanket-with-name-and-number-079998b76f-079998b76f</t>
        </is>
      </c>
      <c r="B81" s="3" t="inlineStr">
        <is>
          <t>K1</t>
        </is>
      </c>
      <c r="C81" s="3" t="n">
        <v>10</v>
      </c>
      <c r="D81" s="3" t="inlineStr">
        <is>
          <t>FULL</t>
        </is>
      </c>
      <c r="E81" s="7">
        <f>IF(B81="I1",AVERAGEIF('QA_Images'!$A$2:$A$74,A81,'QA_Images'!$R$2:$R$74)/100,IF(D81="FULL",1,IF(D81="PARTIAL",0.5,IF(D81="FAIL",0,""))))</f>
        <v/>
      </c>
      <c r="F81" s="7">
        <f>IF(E81="",0,C81*E81)</f>
        <v/>
      </c>
      <c r="G81" s="7">
        <f>IF(B81="I1",20*AVERAGEIF('QA_Images'!$A$2:$A$74,A81,'QA_Images'!$S$2:$S$74)/100,IF(D81="NOT_CHECKED",0,C81))</f>
        <v/>
      </c>
      <c r="H81" s="3" t="inlineStr">
        <is>
          <t>FULL: primary keyword 'custom basketball court blanket' was checked against this product's own US/English SERP; partial means the exact visual modifier is niche.</t>
        </is>
      </c>
      <c r="I81" s="3" t="inlineStr">
        <is>
          <t>["evidence_batch_022_218", "https://jeminise.com/products/personalized-basketball-held-by-hand-on-court-blanket-with-name-and-number-079998b76f-079998b76f", "serp_qa_batch_022_r4_218_1", "serp_qa_batch_022_r4_218_2"]</t>
        </is>
      </c>
      <c r="J81" s="3" t="inlineStr">
        <is>
          <t>[]</t>
        </is>
      </c>
    </row>
    <row r="82" ht="42" customHeight="1">
      <c r="A82" s="2" t="inlineStr">
        <is>
          <t>jeminise.com+personalized-basketball-held-by-hand-on-court-blanket-with-name-and-number-079998b76f-079998b76f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IF(B82="I1",AVERAGEIF('QA_Images'!$A$2:$A$74,A82,'QA_Images'!$R$2:$R$74)/100,IF(D82="FULL",1,IF(D82="PARTIAL",0.5,IF(D82="FAIL",0,""))))</f>
        <v/>
      </c>
      <c r="F82" s="5">
        <f>IF(E82="",0,C82*E82)</f>
        <v/>
      </c>
      <c r="G82" s="5">
        <f>IF(B82="I1",20*AVERAGEIF('QA_Images'!$A$2:$A$74,A82,'QA_Images'!$S$2:$S$74)/100,IF(D82="NOT_CHECKED",0,C82))</f>
        <v/>
      </c>
      <c r="H82" s="2" t="inlineStr">
        <is>
          <t>FULL: comparator query supports commercial bedding/blanket intent for this product type; partial means results broaden beyond the exact motif.</t>
        </is>
      </c>
      <c r="I82" s="2" t="inlineStr">
        <is>
          <t>["evidence_batch_022_218", "https://jeminise.com/products/personalized-basketball-held-by-hand-on-court-blanket-with-name-and-number-079998b76f-079998b76f", "serp_qa_batch_022_r4_218_1", "serp_qa_batch_022_r4_218_2"]</t>
        </is>
      </c>
      <c r="J82" s="2" t="inlineStr">
        <is>
          <t>[]</t>
        </is>
      </c>
    </row>
    <row r="83" ht="42" customHeight="1">
      <c r="A83" s="3" t="inlineStr">
        <is>
          <t>jeminise.com+personalized-basketball-held-by-hand-on-court-blanket-with-name-and-number-079998b76f-079998b76f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IF(B83="I1",AVERAGEIF('QA_Images'!$A$2:$A$74,A83,'QA_Images'!$R$2:$R$74)/100,IF(D83="FULL",1,IF(D83="PARTIAL",0.5,IF(D83="FAIL",0,""))))</f>
        <v/>
      </c>
      <c r="F83" s="7">
        <f>IF(E83="",0,C83*E83)</f>
        <v/>
      </c>
      <c r="G83" s="7">
        <f>IF(B83="I1",20*AVERAGEIF('QA_Images'!$A$2:$A$74,A83,'QA_Images'!$S$2:$S$74)/100,IF(D83="NOT_CHECKED",0,C83))</f>
        <v/>
      </c>
      <c r="H83" s="3" t="inlineStr">
        <is>
          <t>PARTIAL: evidence is SERP/product-comparable only; no paid volume or Search Console proof is claimed.</t>
        </is>
      </c>
      <c r="I83" s="3" t="inlineStr">
        <is>
          <t>["evidence_batch_022_218", "https://jeminise.com/products/personalized-basketball-held-by-hand-on-court-blanket-with-name-and-number-079998b76f-079998b76f", "serp_qa_batch_022_r4_218_1", "serp_qa_batch_022_r4_218_2"]</t>
        </is>
      </c>
      <c r="J83" s="3" t="inlineStr">
        <is>
          <t>[]</t>
        </is>
      </c>
    </row>
    <row r="84" ht="42" customHeight="1">
      <c r="A84" s="2" t="inlineStr">
        <is>
          <t>jeminise.com+personalized-basketball-held-by-hand-on-court-blanket-with-name-and-number-079998b76f-079998b76f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IF(B84="I1",AVERAGEIF('QA_Images'!$A$2:$A$74,A84,'QA_Images'!$R$2:$R$74)/100,IF(D84="FULL",1,IF(D84="PARTIAL",0.5,IF(D84="FAIL",0,""))))</f>
        <v/>
      </c>
      <c r="F84" s="5">
        <f>IF(E84="",0,C84*E84)</f>
        <v/>
      </c>
      <c r="G84" s="5">
        <f>IF(B84="I1",20*AVERAGEIF('QA_Images'!$A$2:$A$74,A84,'QA_Images'!$S$2:$S$74)/100,IF(D84="NOT_CHECKED",0,C84))</f>
        <v/>
      </c>
      <c r="H84" s="2" t="inlineStr">
        <is>
          <t>FULL: meta_title_seo is complete English and maps to the verified product type/motif.</t>
        </is>
      </c>
      <c r="I84" s="2" t="inlineStr">
        <is>
          <t>["evidence_batch_022_218", "https://jeminise.com/products/personalized-basketball-held-by-hand-on-court-blanket-with-name-and-number-079998b76f-079998b76f"]</t>
        </is>
      </c>
      <c r="J84" s="2" t="inlineStr">
        <is>
          <t>[]</t>
        </is>
      </c>
    </row>
    <row r="85" ht="42" customHeight="1">
      <c r="A85" s="3" t="inlineStr">
        <is>
          <t>jeminise.com+personalized-basketball-held-by-hand-on-court-blanket-with-name-and-number-079998b76f-079998b76f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IF(B85="I1",AVERAGEIF('QA_Images'!$A$2:$A$74,A85,'QA_Images'!$R$2:$R$74)/100,IF(D85="FULL",1,IF(D85="PARTIAL",0.5,IF(D85="FAIL",0,""))))</f>
        <v/>
      </c>
      <c r="F85" s="7">
        <f>IF(E85="",0,C85*E85)</f>
        <v/>
      </c>
      <c r="G85" s="7">
        <f>IF(B85="I1",20*AVERAGEIF('QA_Images'!$A$2:$A$74,A85,'QA_Images'!$S$2:$S$74)/100,IF(D85="NOT_CHECKED",0,C85))</f>
        <v/>
      </c>
      <c r="H85" s="3" t="inlineStr">
        <is>
          <t>FULL: title_proposed can function as product title/H1 and distinguishes this batch-22 design by motif/product type.</t>
        </is>
      </c>
      <c r="I85" s="3" t="inlineStr">
        <is>
          <t>["evidence_batch_022_218", "https://jeminise.com/products/personalized-basketball-held-by-hand-on-court-blanket-with-name-and-number-079998b76f-079998b76f"]</t>
        </is>
      </c>
      <c r="J85" s="3" t="inlineStr">
        <is>
          <t>[]</t>
        </is>
      </c>
    </row>
    <row r="86" ht="42" customHeight="1">
      <c r="A86" s="2" t="inlineStr">
        <is>
          <t>jeminise.com+personalized-basketball-held-by-hand-on-court-blanket-with-name-and-number-079998b76f-079998b76f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IF(B86="I1",AVERAGEIF('QA_Images'!$A$2:$A$74,A86,'QA_Images'!$R$2:$R$74)/100,IF(D86="FULL",1,IF(D86="PARTIAL",0.5,IF(D86="FAIL",0,""))))</f>
        <v/>
      </c>
      <c r="F86" s="5">
        <f>IF(E86="",0,C86*E86)</f>
        <v/>
      </c>
      <c r="G86" s="5">
        <f>IF(B86="I1",20*AVERAGEIF('QA_Images'!$A$2:$A$74,A86,'QA_Images'!$S$2:$S$74)/100,IF(D86="NOT_CHECKED",0,C86))</f>
        <v/>
      </c>
      <c r="H86" s="2" t="inlineStr">
        <is>
          <t>FULL: meta description is complete, not cut mid-word, and the 145-165 character target was treated as editorial guidance.</t>
        </is>
      </c>
      <c r="I86" s="2" t="inlineStr">
        <is>
          <t>["evidence_batch_022_218", "https://jeminise.com/products/personalized-basketball-held-by-hand-on-court-blanket-with-name-and-number-079998b76f-079998b76f"]</t>
        </is>
      </c>
      <c r="J86" s="2" t="inlineStr">
        <is>
          <t>[]</t>
        </is>
      </c>
    </row>
    <row r="87" ht="42" customHeight="1">
      <c r="A87" s="3" t="inlineStr">
        <is>
          <t>jeminise.com+personalized-basketball-held-by-hand-on-court-blanket-with-name-and-number-079998b76f-079998b76f</t>
        </is>
      </c>
      <c r="B87" s="3" t="inlineStr">
        <is>
          <t>D2</t>
        </is>
      </c>
      <c r="C87" s="3" t="n">
        <v>10</v>
      </c>
      <c r="D87" s="3" t="inlineStr">
        <is>
          <t>FULL</t>
        </is>
      </c>
      <c r="E87" s="7">
        <f>IF(B87="I1",AVERAGEIF('QA_Images'!$A$2:$A$74,A87,'QA_Images'!$R$2:$R$74)/100,IF(D87="FULL",1,IF(D87="PARTIAL",0.5,IF(D87="FAIL",0,""))))</f>
        <v/>
      </c>
      <c r="F87" s="7">
        <f>IF(E87="",0,C87*E87)</f>
        <v/>
      </c>
      <c r="G87" s="7">
        <f>IF(B87="I1",20*AVERAGEIF('QA_Images'!$A$2:$A$74,A87,'QA_Images'!$S$2:$S$74)/100,IF(D87="NOT_CHECKED",0,C87))</f>
        <v/>
      </c>
      <c r="H87" s="3" t="inlineStr">
        <is>
          <t>FULL: description HTML is customer-facing and tied to verified artwork, product type, options and personalization controls.</t>
        </is>
      </c>
      <c r="I87" s="3" t="inlineStr">
        <is>
          <t>["evidence_batch_022_218", "https://jeminise.com/products/personalized-basketball-held-by-hand-on-court-blanket-with-name-and-number-079998b76f-079998b76f"]</t>
        </is>
      </c>
      <c r="J87" s="3" t="inlineStr">
        <is>
          <t>[]</t>
        </is>
      </c>
    </row>
    <row r="88" ht="42" customHeight="1">
      <c r="A88" s="2" t="inlineStr">
        <is>
          <t>jeminise.com+personalized-basketball-held-by-hand-on-court-blanket-with-name-and-number-079998b76f-079998b76f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IF(B88="I1",AVERAGEIF('QA_Images'!$A$2:$A$74,A88,'QA_Images'!$R$2:$R$74)/100,IF(D88="FULL",1,IF(D88="PARTIAL",0.5,IF(D88="FAIL",0,""))))</f>
        <v/>
      </c>
      <c r="F88" s="5">
        <f>IF(E88="",0,C88*E88)</f>
        <v/>
      </c>
      <c r="G88" s="5">
        <f>IF(B88="I1",20*AVERAGEIF('QA_Images'!$A$2:$A$74,A88,'QA_Images'!$S$2:$S$74)/100,IF(D88="NOT_CHECKED",0,C88))</f>
        <v/>
      </c>
      <c r="H88" s="2" t="inlineStr">
        <is>
          <t>Derived from 8 QA_Images rows for this product; average image score 100/100.</t>
        </is>
      </c>
      <c r="I88" s="2" t="inlineStr">
        <is>
          <t>["QA_Images", "evidence_batch_022_218"]</t>
        </is>
      </c>
      <c r="J88" s="2" t="inlineStr">
        <is>
          <t>[]</t>
        </is>
      </c>
    </row>
    <row r="89" ht="42" customHeight="1">
      <c r="A89" s="3" t="inlineStr">
        <is>
          <t>jeminise.com+personalized-basketball-held-by-hand-on-court-blanket-with-name-and-number-079998b76f-079998b76f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IF(B89="I1",AVERAGEIF('QA_Images'!$A$2:$A$74,A89,'QA_Images'!$R$2:$R$74)/100,IF(D89="FULL",1,IF(D89="PARTIAL",0.5,IF(D89="FAIL",0,""))))</f>
        <v/>
      </c>
      <c r="F89" s="7">
        <f>IF(E89="",0,C89*E89)</f>
        <v/>
      </c>
      <c r="G89" s="7">
        <f>IF(B89="I1",20*AVERAGEIF('QA_Images'!$A$2:$A$74,A89,'QA_Images'!$S$2:$S$74)/100,IF(D89="NOT_CHECKED",0,C89))</f>
        <v/>
      </c>
      <c r="H89" s="3" t="inlineStr">
        <is>
          <t>FULL: product key, handle, links and scoped evidence are consistent; row-level r3 labels are recorded separately as a traceability limitation.</t>
        </is>
      </c>
      <c r="I89" s="3" t="inlineStr">
        <is>
          <t>["evidence_batch_022_218", "https://jeminise.com/products/personalized-basketball-held-by-hand-on-court-blanket-with-name-and-number-079998b76f-079998b76f"]</t>
        </is>
      </c>
      <c r="J89" s="3" t="inlineStr">
        <is>
          <t>[]</t>
        </is>
      </c>
    </row>
    <row r="90" ht="42" customHeight="1">
      <c r="A90" s="2" t="inlineStr">
        <is>
          <t>jeminise.com+personalized-basketball-held-under-player-arm-blanket-with-name-and-number-7a077c5144-7a077c5144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IF(B90="I1",AVERAGEIF('QA_Images'!$A$2:$A$74,A90,'QA_Images'!$R$2:$R$74)/100,IF(D90="FULL",1,IF(D90="PARTIAL",0.5,IF(D90="FAIL",0,""))))</f>
        <v/>
      </c>
      <c r="F90" s="5">
        <f>IF(E90="",0,C90*E90)</f>
        <v/>
      </c>
      <c r="G90" s="5">
        <f>IF(B90="I1",20*AVERAGEIF('QA_Images'!$A$2:$A$74,A90,'QA_Images'!$S$2:$S$74)/100,IF(D90="NOT_CHECKED",0,C90))</f>
        <v/>
      </c>
      <c r="H90" s="2" t="inlineStr">
        <is>
          <t>FULL: product identity, handle and live product data match inventory scope for batch 22.</t>
        </is>
      </c>
      <c r="I90" s="2" t="inlineStr">
        <is>
          <t>["evidence_batch_022_219", "https://jeminise.com/products/personalized-basketball-held-under-player-arm-blanket-with-name-and-number-7a077c5144-7a077c5144"]</t>
        </is>
      </c>
      <c r="J90" s="2" t="inlineStr">
        <is>
          <t>[]</t>
        </is>
      </c>
    </row>
    <row r="91" ht="42" customHeight="1">
      <c r="A91" s="3" t="inlineStr">
        <is>
          <t>jeminise.com+personalized-basketball-held-under-player-arm-blanket-with-name-and-number-7a077c5144-7a077c5144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IF(B91="I1",AVERAGEIF('QA_Images'!$A$2:$A$74,A91,'QA_Images'!$R$2:$R$74)/100,IF(D91="FULL",1,IF(D91="PARTIAL",0.5,IF(D91="FAIL",0,""))))</f>
        <v/>
      </c>
      <c r="F91" s="7">
        <f>IF(E91="",0,C91*E91)</f>
        <v/>
      </c>
      <c r="G91" s="7">
        <f>IF(B91="I1",20*AVERAGEIF('QA_Images'!$A$2:$A$74,A91,'QA_Images'!$S$2:$S$74)/100,IF(D91="NOT_CHECKED",0,C91))</f>
        <v/>
      </c>
      <c r="H91" s="3" t="inlineStr">
        <is>
          <t>FULL: personalization/product-option claims were checked against live/cache customizer evidence for this product.</t>
        </is>
      </c>
      <c r="I91" s="3" t="inlineStr">
        <is>
          <t>["evidence_batch_022_219", "https://jeminise.com/products/personalized-basketball-held-under-player-arm-blanket-with-name-and-number-7a077c5144-7a077c5144", "customizer_fields_audit.json", "live_pages"]</t>
        </is>
      </c>
      <c r="J91" s="3" t="inlineStr">
        <is>
          <t>[]</t>
        </is>
      </c>
    </row>
    <row r="92" ht="42" customHeight="1">
      <c r="A92" s="2" t="inlineStr">
        <is>
          <t>jeminise.com+personalized-basketball-held-under-player-arm-blanket-with-name-and-number-7a077c5144-7a077c5144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5">
        <f>IF(B92="I1",AVERAGEIF('QA_Images'!$A$2:$A$74,A92,'QA_Images'!$R$2:$R$74)/100,IF(D92="FULL",1,IF(D92="PARTIAL",0.5,IF(D92="FAIL",0,""))))</f>
        <v/>
      </c>
      <c r="F92" s="5">
        <f>IF(E92="",0,C92*E92)</f>
        <v/>
      </c>
      <c r="G92" s="5">
        <f>IF(B92="I1",20*AVERAGEIF('QA_Images'!$A$2:$A$74,A92,'QA_Images'!$S$2:$S$74)/100,IF(D92="NOT_CHECKED",0,C92))</f>
        <v/>
      </c>
      <c r="H92" s="2" t="inlineStr">
        <is>
          <t>FULL: primary keyword 'custom basketball player blanket' was checked against this product's own US/English SERP; partial means the exact visual modifier is niche.</t>
        </is>
      </c>
      <c r="I92" s="2" t="inlineStr">
        <is>
          <t>["evidence_batch_022_219", "https://jeminise.com/products/personalized-basketball-held-under-player-arm-blanket-with-name-and-number-7a077c5144-7a077c5144", "serp_qa_batch_022_r4_219_1", "serp_qa_batch_022_r4_219_2"]</t>
        </is>
      </c>
      <c r="J92" s="2" t="inlineStr">
        <is>
          <t>[]</t>
        </is>
      </c>
    </row>
    <row r="93" ht="42" customHeight="1">
      <c r="A93" s="3" t="inlineStr">
        <is>
          <t>jeminise.com+personalized-basketball-held-under-player-arm-blanket-with-name-and-number-7a077c5144-7a077c5144</t>
        </is>
      </c>
      <c r="B93" s="3" t="inlineStr">
        <is>
          <t>K2</t>
        </is>
      </c>
      <c r="C93" s="3" t="n">
        <v>5</v>
      </c>
      <c r="D93" s="3" t="inlineStr">
        <is>
          <t>FULL</t>
        </is>
      </c>
      <c r="E93" s="7">
        <f>IF(B93="I1",AVERAGEIF('QA_Images'!$A$2:$A$74,A93,'QA_Images'!$R$2:$R$74)/100,IF(D93="FULL",1,IF(D93="PARTIAL",0.5,IF(D93="FAIL",0,""))))</f>
        <v/>
      </c>
      <c r="F93" s="7">
        <f>IF(E93="",0,C93*E93)</f>
        <v/>
      </c>
      <c r="G93" s="7">
        <f>IF(B93="I1",20*AVERAGEIF('QA_Images'!$A$2:$A$74,A93,'QA_Images'!$S$2:$S$74)/100,IF(D93="NOT_CHECKED",0,C93))</f>
        <v/>
      </c>
      <c r="H93" s="3" t="inlineStr">
        <is>
          <t>FULL: comparator query supports commercial bedding/blanket intent for this product type; partial means results broaden beyond the exact motif.</t>
        </is>
      </c>
      <c r="I93" s="3" t="inlineStr">
        <is>
          <t>["evidence_batch_022_219", "https://jeminise.com/products/personalized-basketball-held-under-player-arm-blanket-with-name-and-number-7a077c5144-7a077c5144", "serp_qa_batch_022_r4_219_1", "serp_qa_batch_022_r4_219_2"]</t>
        </is>
      </c>
      <c r="J93" s="3" t="inlineStr">
        <is>
          <t>[]</t>
        </is>
      </c>
    </row>
    <row r="94" ht="42" customHeight="1">
      <c r="A94" s="2" t="inlineStr">
        <is>
          <t>jeminise.com+personalized-basketball-held-under-player-arm-blanket-with-name-and-number-7a077c5144-7a077c5144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IF(B94="I1",AVERAGEIF('QA_Images'!$A$2:$A$74,A94,'QA_Images'!$R$2:$R$74)/100,IF(D94="FULL",1,IF(D94="PARTIAL",0.5,IF(D94="FAIL",0,""))))</f>
        <v/>
      </c>
      <c r="F94" s="5">
        <f>IF(E94="",0,C94*E94)</f>
        <v/>
      </c>
      <c r="G94" s="5">
        <f>IF(B94="I1",20*AVERAGEIF('QA_Images'!$A$2:$A$74,A94,'QA_Images'!$S$2:$S$74)/100,IF(D94="NOT_CHECKED",0,C94))</f>
        <v/>
      </c>
      <c r="H94" s="2" t="inlineStr">
        <is>
          <t>PARTIAL: evidence is SERP/product-comparable only; no paid volume or Search Console proof is claimed.</t>
        </is>
      </c>
      <c r="I94" s="2" t="inlineStr">
        <is>
          <t>["evidence_batch_022_219", "https://jeminise.com/products/personalized-basketball-held-under-player-arm-blanket-with-name-and-number-7a077c5144-7a077c5144", "serp_qa_batch_022_r4_219_1", "serp_qa_batch_022_r4_219_2"]</t>
        </is>
      </c>
      <c r="J94" s="2" t="inlineStr">
        <is>
          <t>[]</t>
        </is>
      </c>
    </row>
    <row r="95" ht="42" customHeight="1">
      <c r="A95" s="3" t="inlineStr">
        <is>
          <t>jeminise.com+personalized-basketball-held-under-player-arm-blanket-with-name-and-number-7a077c5144-7a077c5144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IF(B95="I1",AVERAGEIF('QA_Images'!$A$2:$A$74,A95,'QA_Images'!$R$2:$R$74)/100,IF(D95="FULL",1,IF(D95="PARTIAL",0.5,IF(D95="FAIL",0,""))))</f>
        <v/>
      </c>
      <c r="F95" s="7">
        <f>IF(E95="",0,C95*E95)</f>
        <v/>
      </c>
      <c r="G95" s="7">
        <f>IF(B95="I1",20*AVERAGEIF('QA_Images'!$A$2:$A$74,A95,'QA_Images'!$S$2:$S$74)/100,IF(D95="NOT_CHECKED",0,C95))</f>
        <v/>
      </c>
      <c r="H95" s="3" t="inlineStr">
        <is>
          <t>FULL: meta_title_seo is complete English and maps to the verified product type/motif.</t>
        </is>
      </c>
      <c r="I95" s="3" t="inlineStr">
        <is>
          <t>["evidence_batch_022_219", "https://jeminise.com/products/personalized-basketball-held-under-player-arm-blanket-with-name-and-number-7a077c5144-7a077c5144"]</t>
        </is>
      </c>
      <c r="J95" s="3" t="inlineStr">
        <is>
          <t>[]</t>
        </is>
      </c>
    </row>
    <row r="96" ht="42" customHeight="1">
      <c r="A96" s="2" t="inlineStr">
        <is>
          <t>jeminise.com+personalized-basketball-held-under-player-arm-blanket-with-name-and-number-7a077c5144-7a077c5144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IF(B96="I1",AVERAGEIF('QA_Images'!$A$2:$A$74,A96,'QA_Images'!$R$2:$R$74)/100,IF(D96="FULL",1,IF(D96="PARTIAL",0.5,IF(D96="FAIL",0,""))))</f>
        <v/>
      </c>
      <c r="F96" s="5">
        <f>IF(E96="",0,C96*E96)</f>
        <v/>
      </c>
      <c r="G96" s="5">
        <f>IF(B96="I1",20*AVERAGEIF('QA_Images'!$A$2:$A$74,A96,'QA_Images'!$S$2:$S$74)/100,IF(D96="NOT_CHECKED",0,C96))</f>
        <v/>
      </c>
      <c r="H96" s="2" t="inlineStr">
        <is>
          <t>FULL: title_proposed can function as product title/H1 and distinguishes this batch-22 design by motif/product type.</t>
        </is>
      </c>
      <c r="I96" s="2" t="inlineStr">
        <is>
          <t>["evidence_batch_022_219", "https://jeminise.com/products/personalized-basketball-held-under-player-arm-blanket-with-name-and-number-7a077c5144-7a077c5144"]</t>
        </is>
      </c>
      <c r="J96" s="2" t="inlineStr">
        <is>
          <t>[]</t>
        </is>
      </c>
    </row>
    <row r="97" ht="42" customHeight="1">
      <c r="A97" s="3" t="inlineStr">
        <is>
          <t>jeminise.com+personalized-basketball-held-under-player-arm-blanket-with-name-and-number-7a077c5144-7a077c5144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IF(B97="I1",AVERAGEIF('QA_Images'!$A$2:$A$74,A97,'QA_Images'!$R$2:$R$74)/100,IF(D97="FULL",1,IF(D97="PARTIAL",0.5,IF(D97="FAIL",0,""))))</f>
        <v/>
      </c>
      <c r="F97" s="7">
        <f>IF(E97="",0,C97*E97)</f>
        <v/>
      </c>
      <c r="G97" s="7">
        <f>IF(B97="I1",20*AVERAGEIF('QA_Images'!$A$2:$A$74,A97,'QA_Images'!$S$2:$S$74)/100,IF(D97="NOT_CHECKED",0,C97))</f>
        <v/>
      </c>
      <c r="H97" s="3" t="inlineStr">
        <is>
          <t>FULL: meta description is complete, not cut mid-word, and the 145-165 character target was treated as editorial guidance.</t>
        </is>
      </c>
      <c r="I97" s="3" t="inlineStr">
        <is>
          <t>["evidence_batch_022_219", "https://jeminise.com/products/personalized-basketball-held-under-player-arm-blanket-with-name-and-number-7a077c5144-7a077c5144"]</t>
        </is>
      </c>
      <c r="J97" s="3" t="inlineStr">
        <is>
          <t>[]</t>
        </is>
      </c>
    </row>
    <row r="98" ht="42" customHeight="1">
      <c r="A98" s="2" t="inlineStr">
        <is>
          <t>jeminise.com+personalized-basketball-held-under-player-arm-blanket-with-name-and-number-7a077c5144-7a077c5144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5">
        <f>IF(B98="I1",AVERAGEIF('QA_Images'!$A$2:$A$74,A98,'QA_Images'!$R$2:$R$74)/100,IF(D98="FULL",1,IF(D98="PARTIAL",0.5,IF(D98="FAIL",0,""))))</f>
        <v/>
      </c>
      <c r="F98" s="5">
        <f>IF(E98="",0,C98*E98)</f>
        <v/>
      </c>
      <c r="G98" s="5">
        <f>IF(B98="I1",20*AVERAGEIF('QA_Images'!$A$2:$A$74,A98,'QA_Images'!$S$2:$S$74)/100,IF(D98="NOT_CHECKED",0,C98))</f>
        <v/>
      </c>
      <c r="H98" s="2" t="inlineStr">
        <is>
          <t>FULL: description HTML is customer-facing and tied to verified artwork, product type, options and personalization controls.</t>
        </is>
      </c>
      <c r="I98" s="2" t="inlineStr">
        <is>
          <t>["evidence_batch_022_219", "https://jeminise.com/products/personalized-basketball-held-under-player-arm-blanket-with-name-and-number-7a077c5144-7a077c5144"]</t>
        </is>
      </c>
      <c r="J98" s="2" t="inlineStr">
        <is>
          <t>[]</t>
        </is>
      </c>
    </row>
    <row r="99" ht="42" customHeight="1">
      <c r="A99" s="3" t="inlineStr">
        <is>
          <t>jeminise.com+personalized-basketball-held-under-player-arm-blanket-with-name-and-number-7a077c5144-7a077c5144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IF(B99="I1",AVERAGEIF('QA_Images'!$A$2:$A$74,A99,'QA_Images'!$R$2:$R$74)/100,IF(D99="FULL",1,IF(D99="PARTIAL",0.5,IF(D99="FAIL",0,""))))</f>
        <v/>
      </c>
      <c r="F99" s="7">
        <f>IF(E99="",0,C99*E99)</f>
        <v/>
      </c>
      <c r="G99" s="7">
        <f>IF(B99="I1",20*AVERAGEIF('QA_Images'!$A$2:$A$74,A99,'QA_Images'!$S$2:$S$74)/100,IF(D99="NOT_CHECKED",0,C99))</f>
        <v/>
      </c>
      <c r="H99" s="3" t="inlineStr">
        <is>
          <t>Derived from 8 QA_Images rows for this product; average image score 100/100.</t>
        </is>
      </c>
      <c r="I99" s="3" t="inlineStr">
        <is>
          <t>["QA_Images", "evidence_batch_022_219"]</t>
        </is>
      </c>
      <c r="J99" s="3" t="inlineStr">
        <is>
          <t>[]</t>
        </is>
      </c>
    </row>
    <row r="100" ht="42" customHeight="1">
      <c r="A100" s="2" t="inlineStr">
        <is>
          <t>jeminise.com+personalized-basketball-held-under-player-arm-blanket-with-name-and-number-7a077c5144-7a077c5144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IF(B100="I1",AVERAGEIF('QA_Images'!$A$2:$A$74,A100,'QA_Images'!$R$2:$R$74)/100,IF(D100="FULL",1,IF(D100="PARTIAL",0.5,IF(D100="FAIL",0,""))))</f>
        <v/>
      </c>
      <c r="F100" s="5">
        <f>IF(E100="",0,C100*E100)</f>
        <v/>
      </c>
      <c r="G100" s="5">
        <f>IF(B100="I1",20*AVERAGEIF('QA_Images'!$A$2:$A$74,A100,'QA_Images'!$S$2:$S$74)/100,IF(D100="NOT_CHECKED",0,C100))</f>
        <v/>
      </c>
      <c r="H100" s="2" t="inlineStr">
        <is>
          <t>FULL: product key, handle, links and scoped evidence are consistent; row-level r3 labels are recorded separately as a traceability limitation.</t>
        </is>
      </c>
      <c r="I100" s="2" t="inlineStr">
        <is>
          <t>["evidence_batch_022_219", "https://jeminise.com/products/personalized-basketball-held-under-player-arm-blanket-with-name-and-number-7a077c5144-7a077c5144"]</t>
        </is>
      </c>
      <c r="J100" s="2" t="inlineStr">
        <is>
          <t>[]</t>
        </is>
      </c>
    </row>
    <row r="101" ht="42" customHeight="1">
      <c r="A101" s="3" t="inlineStr">
        <is>
          <t>jeminise.com+personalized-basketball-hoop-comforter-name-number-863d6f6ff1-863d6f6ff1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IF(B101="I1",AVERAGEIF('QA_Images'!$A$2:$A$74,A101,'QA_Images'!$R$2:$R$74)/100,IF(D101="FULL",1,IF(D101="PARTIAL",0.5,IF(D101="FAIL",0,""))))</f>
        <v/>
      </c>
      <c r="F101" s="7">
        <f>IF(E101="",0,C101*E101)</f>
        <v/>
      </c>
      <c r="G101" s="7">
        <f>IF(B101="I1",20*AVERAGEIF('QA_Images'!$A$2:$A$74,A101,'QA_Images'!$S$2:$S$74)/100,IF(D101="NOT_CHECKED",0,C101))</f>
        <v/>
      </c>
      <c r="H101" s="3" t="inlineStr">
        <is>
          <t>FULL: product identity, handle and live product data match inventory scope for batch 22.</t>
        </is>
      </c>
      <c r="I101" s="3" t="inlineStr">
        <is>
          <t>["evidence_batch_022_220", "https://jeminise.com/products/personalized-basketball-hoop-comforter-name-number-863d6f6ff1-863d6f6ff1"]</t>
        </is>
      </c>
      <c r="J101" s="3" t="inlineStr">
        <is>
          <t>[]</t>
        </is>
      </c>
    </row>
    <row r="102" ht="42" customHeight="1">
      <c r="A102" s="2" t="inlineStr">
        <is>
          <t>jeminise.com+personalized-basketball-hoop-comforter-name-number-863d6f6ff1-863d6f6ff1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IF(B102="I1",AVERAGEIF('QA_Images'!$A$2:$A$74,A102,'QA_Images'!$R$2:$R$74)/100,IF(D102="FULL",1,IF(D102="PARTIAL",0.5,IF(D102="FAIL",0,""))))</f>
        <v/>
      </c>
      <c r="F102" s="5">
        <f>IF(E102="",0,C102*E102)</f>
        <v/>
      </c>
      <c r="G102" s="5">
        <f>IF(B102="I1",20*AVERAGEIF('QA_Images'!$A$2:$A$74,A102,'QA_Images'!$S$2:$S$74)/100,IF(D102="NOT_CHECKED",0,C102))</f>
        <v/>
      </c>
      <c r="H102" s="2" t="inlineStr">
        <is>
          <t>FULL: personalization/product-option claims were checked against live/cache customizer evidence for this product.</t>
        </is>
      </c>
      <c r="I102" s="2" t="inlineStr">
        <is>
          <t>["evidence_batch_022_220", "https://jeminise.com/products/personalized-basketball-hoop-comforter-name-number-863d6f6ff1-863d6f6ff1", "customizer_fields_audit.json", "live_pages"]</t>
        </is>
      </c>
      <c r="J102" s="2" t="inlineStr">
        <is>
          <t>[]</t>
        </is>
      </c>
    </row>
    <row r="103" ht="42" customHeight="1">
      <c r="A103" s="3" t="inlineStr">
        <is>
          <t>jeminise.com+personalized-basketball-hoop-comforter-name-number-863d6f6ff1-863d6f6ff1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IF(B103="I1",AVERAGEIF('QA_Images'!$A$2:$A$74,A103,'QA_Images'!$R$2:$R$74)/100,IF(D103="FULL",1,IF(D103="PARTIAL",0.5,IF(D103="FAIL",0,""))))</f>
        <v/>
      </c>
      <c r="F103" s="7">
        <f>IF(E103="",0,C103*E103)</f>
        <v/>
      </c>
      <c r="G103" s="7">
        <f>IF(B103="I1",20*AVERAGEIF('QA_Images'!$A$2:$A$74,A103,'QA_Images'!$S$2:$S$74)/100,IF(D103="NOT_CHECKED",0,C103))</f>
        <v/>
      </c>
      <c r="H103" s="3" t="inlineStr">
        <is>
          <t>PARTIAL: primary keyword 'custom orange basketball hoop comforter' was checked against this product's own US/English SERP; partial means the exact visual modifier is niche.</t>
        </is>
      </c>
      <c r="I103" s="3" t="inlineStr">
        <is>
          <t>["evidence_batch_022_220", "https://jeminise.com/products/personalized-basketball-hoop-comforter-name-number-863d6f6ff1-863d6f6ff1", "serp_qa_batch_022_r4_220_1", "serp_qa_batch_022_r4_220_2"]</t>
        </is>
      </c>
      <c r="J103" s="3" t="inlineStr">
        <is>
          <t>[]</t>
        </is>
      </c>
    </row>
    <row r="104" ht="42" customHeight="1">
      <c r="A104" s="2" t="inlineStr">
        <is>
          <t>jeminise.com+personalized-basketball-hoop-comforter-name-number-863d6f6ff1-863d6f6ff1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5">
        <f>IF(B104="I1",AVERAGEIF('QA_Images'!$A$2:$A$74,A104,'QA_Images'!$R$2:$R$74)/100,IF(D104="FULL",1,IF(D104="PARTIAL",0.5,IF(D104="FAIL",0,""))))</f>
        <v/>
      </c>
      <c r="F104" s="5">
        <f>IF(E104="",0,C104*E104)</f>
        <v/>
      </c>
      <c r="G104" s="5">
        <f>IF(B104="I1",20*AVERAGEIF('QA_Images'!$A$2:$A$74,A104,'QA_Images'!$S$2:$S$74)/100,IF(D104="NOT_CHECKED",0,C104))</f>
        <v/>
      </c>
      <c r="H104" s="2" t="inlineStr">
        <is>
          <t>FULL: comparator query supports commercial bedding/blanket intent for this product type; partial means results broaden beyond the exact motif.</t>
        </is>
      </c>
      <c r="I104" s="2" t="inlineStr">
        <is>
          <t>["evidence_batch_022_220", "https://jeminise.com/products/personalized-basketball-hoop-comforter-name-number-863d6f6ff1-863d6f6ff1", "serp_qa_batch_022_r4_220_1", "serp_qa_batch_022_r4_220_2"]</t>
        </is>
      </c>
      <c r="J104" s="2" t="inlineStr">
        <is>
          <t>[]</t>
        </is>
      </c>
    </row>
    <row r="105" ht="42" customHeight="1">
      <c r="A105" s="3" t="inlineStr">
        <is>
          <t>jeminise.com+personalized-basketball-hoop-comforter-name-number-863d6f6ff1-863d6f6ff1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IF(B105="I1",AVERAGEIF('QA_Images'!$A$2:$A$74,A105,'QA_Images'!$R$2:$R$74)/100,IF(D105="FULL",1,IF(D105="PARTIAL",0.5,IF(D105="FAIL",0,""))))</f>
        <v/>
      </c>
      <c r="F105" s="7">
        <f>IF(E105="",0,C105*E105)</f>
        <v/>
      </c>
      <c r="G105" s="7">
        <f>IF(B105="I1",20*AVERAGEIF('QA_Images'!$A$2:$A$74,A105,'QA_Images'!$S$2:$S$74)/100,IF(D105="NOT_CHECKED",0,C105))</f>
        <v/>
      </c>
      <c r="H105" s="3" t="inlineStr">
        <is>
          <t>PARTIAL: evidence is SERP/product-comparable only; no paid volume or Search Console proof is claimed.</t>
        </is>
      </c>
      <c r="I105" s="3" t="inlineStr">
        <is>
          <t>["evidence_batch_022_220", "https://jeminise.com/products/personalized-basketball-hoop-comforter-name-number-863d6f6ff1-863d6f6ff1", "serp_qa_batch_022_r4_220_1", "serp_qa_batch_022_r4_220_2"]</t>
        </is>
      </c>
      <c r="J105" s="3" t="inlineStr">
        <is>
          <t>[]</t>
        </is>
      </c>
    </row>
    <row r="106" ht="42" customHeight="1">
      <c r="A106" s="2" t="inlineStr">
        <is>
          <t>jeminise.com+personalized-basketball-hoop-comforter-name-number-863d6f6ff1-863d6f6ff1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IF(B106="I1",AVERAGEIF('QA_Images'!$A$2:$A$74,A106,'QA_Images'!$R$2:$R$74)/100,IF(D106="FULL",1,IF(D106="PARTIAL",0.5,IF(D106="FAIL",0,""))))</f>
        <v/>
      </c>
      <c r="F106" s="5">
        <f>IF(E106="",0,C106*E106)</f>
        <v/>
      </c>
      <c r="G106" s="5">
        <f>IF(B106="I1",20*AVERAGEIF('QA_Images'!$A$2:$A$74,A106,'QA_Images'!$S$2:$S$74)/100,IF(D106="NOT_CHECKED",0,C106))</f>
        <v/>
      </c>
      <c r="H106" s="2" t="inlineStr">
        <is>
          <t>FULL: meta_title_seo is complete English and maps to the verified product type/motif.</t>
        </is>
      </c>
      <c r="I106" s="2" t="inlineStr">
        <is>
          <t>["evidence_batch_022_220", "https://jeminise.com/products/personalized-basketball-hoop-comforter-name-number-863d6f6ff1-863d6f6ff1"]</t>
        </is>
      </c>
      <c r="J106" s="2" t="inlineStr">
        <is>
          <t>[]</t>
        </is>
      </c>
    </row>
    <row r="107" ht="42" customHeight="1">
      <c r="A107" s="3" t="inlineStr">
        <is>
          <t>jeminise.com+personalized-basketball-hoop-comforter-name-number-863d6f6ff1-863d6f6ff1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IF(B107="I1",AVERAGEIF('QA_Images'!$A$2:$A$74,A107,'QA_Images'!$R$2:$R$74)/100,IF(D107="FULL",1,IF(D107="PARTIAL",0.5,IF(D107="FAIL",0,""))))</f>
        <v/>
      </c>
      <c r="F107" s="7">
        <f>IF(E107="",0,C107*E107)</f>
        <v/>
      </c>
      <c r="G107" s="7">
        <f>IF(B107="I1",20*AVERAGEIF('QA_Images'!$A$2:$A$74,A107,'QA_Images'!$S$2:$S$74)/100,IF(D107="NOT_CHECKED",0,C107))</f>
        <v/>
      </c>
      <c r="H107" s="3" t="inlineStr">
        <is>
          <t>FULL: title_proposed can function as product title/H1 and distinguishes this batch-22 design by motif/product type.</t>
        </is>
      </c>
      <c r="I107" s="3" t="inlineStr">
        <is>
          <t>["evidence_batch_022_220", "https://jeminise.com/products/personalized-basketball-hoop-comforter-name-number-863d6f6ff1-863d6f6ff1"]</t>
        </is>
      </c>
      <c r="J107" s="3" t="inlineStr">
        <is>
          <t>[]</t>
        </is>
      </c>
    </row>
    <row r="108" ht="42" customHeight="1">
      <c r="A108" s="2" t="inlineStr">
        <is>
          <t>jeminise.com+personalized-basketball-hoop-comforter-name-number-863d6f6ff1-863d6f6ff1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IF(B108="I1",AVERAGEIF('QA_Images'!$A$2:$A$74,A108,'QA_Images'!$R$2:$R$74)/100,IF(D108="FULL",1,IF(D108="PARTIAL",0.5,IF(D108="FAIL",0,""))))</f>
        <v/>
      </c>
      <c r="F108" s="5">
        <f>IF(E108="",0,C108*E108)</f>
        <v/>
      </c>
      <c r="G108" s="5">
        <f>IF(B108="I1",20*AVERAGEIF('QA_Images'!$A$2:$A$74,A108,'QA_Images'!$S$2:$S$74)/100,IF(D108="NOT_CHECKED",0,C108))</f>
        <v/>
      </c>
      <c r="H108" s="2" t="inlineStr">
        <is>
          <t>FULL: meta description is complete, not cut mid-word, and the 145-165 character target was treated as editorial guidance.</t>
        </is>
      </c>
      <c r="I108" s="2" t="inlineStr">
        <is>
          <t>["evidence_batch_022_220", "https://jeminise.com/products/personalized-basketball-hoop-comforter-name-number-863d6f6ff1-863d6f6ff1"]</t>
        </is>
      </c>
      <c r="J108" s="2" t="inlineStr">
        <is>
          <t>[]</t>
        </is>
      </c>
    </row>
    <row r="109" ht="42" customHeight="1">
      <c r="A109" s="3" t="inlineStr">
        <is>
          <t>jeminise.com+personalized-basketball-hoop-comforter-name-number-863d6f6ff1-863d6f6ff1</t>
        </is>
      </c>
      <c r="B109" s="3" t="inlineStr">
        <is>
          <t>D2</t>
        </is>
      </c>
      <c r="C109" s="3" t="n">
        <v>10</v>
      </c>
      <c r="D109" s="3" t="inlineStr">
        <is>
          <t>FULL</t>
        </is>
      </c>
      <c r="E109" s="7">
        <f>IF(B109="I1",AVERAGEIF('QA_Images'!$A$2:$A$74,A109,'QA_Images'!$R$2:$R$74)/100,IF(D109="FULL",1,IF(D109="PARTIAL",0.5,IF(D109="FAIL",0,""))))</f>
        <v/>
      </c>
      <c r="F109" s="7">
        <f>IF(E109="",0,C109*E109)</f>
        <v/>
      </c>
      <c r="G109" s="7">
        <f>IF(B109="I1",20*AVERAGEIF('QA_Images'!$A$2:$A$74,A109,'QA_Images'!$S$2:$S$74)/100,IF(D109="NOT_CHECKED",0,C109))</f>
        <v/>
      </c>
      <c r="H109" s="3" t="inlineStr">
        <is>
          <t>FULL: description HTML is customer-facing and tied to verified artwork, product type, options and personalization controls.</t>
        </is>
      </c>
      <c r="I109" s="3" t="inlineStr">
        <is>
          <t>["evidence_batch_022_220", "https://jeminise.com/products/personalized-basketball-hoop-comforter-name-number-863d6f6ff1-863d6f6ff1"]</t>
        </is>
      </c>
      <c r="J109" s="3" t="inlineStr">
        <is>
          <t>[]</t>
        </is>
      </c>
    </row>
    <row r="110" ht="42" customHeight="1">
      <c r="A110" s="2" t="inlineStr">
        <is>
          <t>jeminise.com+personalized-basketball-hoop-comforter-name-number-863d6f6ff1-863d6f6ff1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IF(B110="I1",AVERAGEIF('QA_Images'!$A$2:$A$74,A110,'QA_Images'!$R$2:$R$74)/100,IF(D110="FULL",1,IF(D110="PARTIAL",0.5,IF(D110="FAIL",0,""))))</f>
        <v/>
      </c>
      <c r="F110" s="5">
        <f>IF(E110="",0,C110*E110)</f>
        <v/>
      </c>
      <c r="G110" s="5">
        <f>IF(B110="I1",20*AVERAGEIF('QA_Images'!$A$2:$A$74,A110,'QA_Images'!$S$2:$S$74)/100,IF(D110="NOT_CHECKED",0,C110))</f>
        <v/>
      </c>
      <c r="H110" s="2" t="inlineStr">
        <is>
          <t>Derived from 7 QA_Images rows for this product; average image score 100/100.</t>
        </is>
      </c>
      <c r="I110" s="2" t="inlineStr">
        <is>
          <t>["QA_Images", "evidence_batch_022_220"]</t>
        </is>
      </c>
      <c r="J110" s="2" t="inlineStr">
        <is>
          <t>[]</t>
        </is>
      </c>
    </row>
    <row r="111" ht="42" customHeight="1">
      <c r="A111" s="3" t="inlineStr">
        <is>
          <t>jeminise.com+personalized-basketball-hoop-comforter-name-number-863d6f6ff1-863d6f6ff1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IF(B111="I1",AVERAGEIF('QA_Images'!$A$2:$A$74,A111,'QA_Images'!$R$2:$R$74)/100,IF(D111="FULL",1,IF(D111="PARTIAL",0.5,IF(D111="FAIL",0,""))))</f>
        <v/>
      </c>
      <c r="F111" s="7">
        <f>IF(E111="",0,C111*E111)</f>
        <v/>
      </c>
      <c r="G111" s="7">
        <f>IF(B111="I1",20*AVERAGEIF('QA_Images'!$A$2:$A$74,A111,'QA_Images'!$S$2:$S$74)/100,IF(D111="NOT_CHECKED",0,C111))</f>
        <v/>
      </c>
      <c r="H111" s="3" t="inlineStr">
        <is>
          <t>FULL: product key, handle, links and scoped evidence are consistent; row-level r3 labels are recorded separately as a traceability limitation.</t>
        </is>
      </c>
      <c r="I111" s="3" t="inlineStr">
        <is>
          <t>["evidence_batch_022_220", "https://jeminise.com/products/personalized-basketball-hoop-comforter-name-number-863d6f6ff1-863d6f6ff1"]</t>
        </is>
      </c>
      <c r="J111" s="3" t="inlineStr">
        <is>
          <t>[]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16" customWidth="1" min="6" max="6"/>
    <col width="16" customWidth="1" min="7" max="7"/>
    <col width="24" customWidth="1" min="8" max="8"/>
    <col width="24" customWidth="1" min="9" max="9"/>
    <col width="42" customWidth="1" min="10" max="10"/>
    <col width="42" customWidth="1" min="11" max="11"/>
    <col width="12" customWidth="1" min="12" max="12"/>
    <col width="42" customWidth="1" min="13" max="13"/>
    <col width="11" customWidth="1" min="14" max="14"/>
    <col width="11" customWidth="1" min="15" max="15"/>
    <col width="11" customWidth="1" min="16" max="16"/>
    <col width="11" customWidth="1" min="17" max="17"/>
    <col width="24" customWidth="1" min="18" max="18"/>
    <col width="24" customWidth="1" min="19" max="19"/>
    <col width="21" customWidth="1" min="20" max="20"/>
    <col width="24" customWidth="1" min="21" max="21"/>
    <col width="24" customWidth="1" min="22" max="22"/>
    <col width="42" customWidth="1" min="23" max="23"/>
    <col width="42" customWidth="1" min="24" max="24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 ht="66" customHeight="1">
      <c r="A2" s="2" t="inlineStr">
        <is>
          <t>jeminise.com+personalized-basketball-close-up-with-number-blanket-with-name-and-number-f16f46abef-f16f46abef</t>
        </is>
      </c>
      <c r="B2" s="2" t="inlineStr">
        <is>
          <t>qaimg_cd8e280f13ea3582</t>
        </is>
      </c>
      <c r="C2" s="4" t="inlineStr">
        <is>
          <t>https://cdn.shopify.com/s/files/1/0792/5098/1063/files/493c47531c92c894148db941dc2def6351acb5d929c8eb565563040e9978fb4d.jpg?v=1785091077</t>
        </is>
      </c>
      <c r="D2" s="4" t="inlineStr">
        <is>
          <t>https://cdn.shopify.com/s/files/1/0792/5098/1063/files/493c47531c92c894148db941dc2def6351acb5d929c8eb565563040e9978fb4d.jpg?v=1785091077</t>
        </is>
      </c>
      <c r="E2" s="2" t="inlineStr">
        <is>
          <t>47539026854087</t>
        </is>
      </c>
      <c r="F2" s="2" t="inlineStr">
        <is>
          <t>46905021366471</t>
        </is>
      </c>
      <c r="G2" s="2" t="inlineStr">
        <is>
          <t>GALLERY</t>
        </is>
      </c>
      <c r="H2" s="2" t="inlineStr">
        <is>
          <t>DIRECT_IMAGE_FILE_OPENED_AND_VISUALLY_REVIEWED</t>
        </is>
      </c>
      <c r="I2" s="2" t="inlineStr">
        <is>
          <t>2026-09-09T13:19:55+07:00</t>
        </is>
      </c>
      <c r="J2" s="2" t="inlineStr">
        <is>
          <t>QA opened 211_01.jpg (1000x1000) and checked against workbook observation: Blanket mockup with close-up basketball, large sample number and vertical sample name.</t>
        </is>
      </c>
      <c r="K2" s="2" t="inlineStr">
        <is>
          <t>Blanket mockup with close-up basketball, large sample number and vertical sample name.</t>
        </is>
      </c>
      <c r="L2" s="2" t="inlineStr">
        <is>
          <t>SET</t>
        </is>
      </c>
      <c r="M2" s="2" t="inlineStr">
        <is>
          <t>Basketball close-up number blanket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5">
        <f>IF(N2="FULL",40,IF(N2="PARTIAL",40/2,0))+IF(O2="FULL",30,IF(O2="PARTIAL",30/2,0))+IF(P2="FULL",20,IF(P2="PARTIAL",20/2,0))+IF(Q2="FULL",10,IF(Q2="PARTIAL",10/2,0))</f>
        <v/>
      </c>
      <c r="S2" s="5">
        <f>IF(N2="NOT_CHECKED",0,40)+IF(O2="NOT_CHECKED",0,30)+IF(P2="NOT_CHECKED",0,20)+IF(Q2="NOT_CHECKED",0,10)</f>
        <v/>
      </c>
      <c r="T2" s="5">
        <f>IF(S2=100,R2,"")</f>
        <v/>
      </c>
      <c r="U2" s="5">
        <f>R2</f>
        <v/>
      </c>
      <c r="V2" s="5">
        <f>R2+(100-S2)</f>
        <v/>
      </c>
      <c r="W2" s="2" t="inlineStr">
        <is>
          <t>[]</t>
        </is>
      </c>
      <c r="X2" s="2" t="inlineStr">
        <is>
          <t>["seo_runs\\jeminise.com\\20260906_234129\\qa\\20260909_131954\\images\\211_01.jpg", "https://cdn.shopify.com/s/files/1/0792/5098/1063/files/493c47531c92c894148db941dc2def6351acb5d929c8eb565563040e9978fb4d.jpg?v=1785091077"]</t>
        </is>
      </c>
    </row>
    <row r="3" ht="66" customHeight="1">
      <c r="A3" s="3" t="inlineStr">
        <is>
          <t>jeminise.com+personalized-basketball-close-up-with-number-blanket-with-name-and-number-f16f46abef-f16f46abef</t>
        </is>
      </c>
      <c r="B3" s="3" t="inlineStr">
        <is>
          <t>qaimg_a28d9bf02dca305f</t>
        </is>
      </c>
      <c r="C3" s="4" t="inlineStr">
        <is>
          <t>https://cdn.shopify.com/s/files/1/0792/5098/1063/files/218b39c499d24effdf217d531cab8769ab23e83ca6003f5382f2155465a7d005.jpg?v=1785091076</t>
        </is>
      </c>
      <c r="D3" s="4" t="inlineStr">
        <is>
          <t>https://cdn.shopify.com/s/files/1/0792/5098/1063/files/218b39c499d24effdf217d531cab8769ab23e83ca6003f5382f2155465a7d005.jpg?v=1785091076</t>
        </is>
      </c>
      <c r="E3" s="3" t="inlineStr">
        <is>
          <t>47539026886855</t>
        </is>
      </c>
      <c r="F3" s="3" t="inlineStr"/>
      <c r="G3" s="3" t="inlineStr">
        <is>
          <t>GALLERY</t>
        </is>
      </c>
      <c r="H3" s="3" t="inlineStr">
        <is>
          <t>DIRECT_IMAGE_FILE_OPENED_AND_VISUALLY_REVIEWED</t>
        </is>
      </c>
      <c r="I3" s="3" t="inlineStr">
        <is>
          <t>2026-09-09T13:19:55+07:00</t>
        </is>
      </c>
      <c r="J3" s="3" t="inlineStr">
        <is>
          <t>QA opened 211_02.jpg (1000x1000) and checked against workbook observation: Basketball number blanket displayed on sofa with dark ball artwork.</t>
        </is>
      </c>
      <c r="K3" s="3" t="inlineStr">
        <is>
          <t>Basketball number blanket displayed on sofa with dark ball artwork.</t>
        </is>
      </c>
      <c r="L3" s="3" t="inlineStr">
        <is>
          <t>SET</t>
        </is>
      </c>
      <c r="M3" s="3" t="inlineStr">
        <is>
          <t>Basketball number blanket on sofa</t>
        </is>
      </c>
      <c r="N3" s="3" t="inlineStr">
        <is>
          <t>FULL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7">
        <f>IF(N3="FULL",40,IF(N3="PARTIAL",40/2,0))+IF(O3="FULL",30,IF(O3="PARTIAL",30/2,0))+IF(P3="FULL",20,IF(P3="PARTIAL",20/2,0))+IF(Q3="FULL",10,IF(Q3="PARTIAL",10/2,0))</f>
        <v/>
      </c>
      <c r="S3" s="7">
        <f>IF(N3="NOT_CHECKED",0,40)+IF(O3="NOT_CHECKED",0,30)+IF(P3="NOT_CHECKED",0,20)+IF(Q3="NOT_CHECKED",0,10)</f>
        <v/>
      </c>
      <c r="T3" s="7">
        <f>IF(S3=100,R3,"")</f>
        <v/>
      </c>
      <c r="U3" s="7">
        <f>R3</f>
        <v/>
      </c>
      <c r="V3" s="7">
        <f>R3+(100-S3)</f>
        <v/>
      </c>
      <c r="W3" s="3" t="inlineStr">
        <is>
          <t>[]</t>
        </is>
      </c>
      <c r="X3" s="3" t="inlineStr">
        <is>
          <t>["seo_runs\\jeminise.com\\20260906_234129\\qa\\20260909_131954\\images\\211_02.jpg", "https://cdn.shopify.com/s/files/1/0792/5098/1063/files/218b39c499d24effdf217d531cab8769ab23e83ca6003f5382f2155465a7d005.jpg?v=1785091076"]</t>
        </is>
      </c>
    </row>
    <row r="4" ht="66" customHeight="1">
      <c r="A4" s="2" t="inlineStr">
        <is>
          <t>jeminise.com+personalized-basketball-close-up-with-number-blanket-with-name-and-number-f16f46abef-f16f46abef</t>
        </is>
      </c>
      <c r="B4" s="2" t="inlineStr">
        <is>
          <t>qaimg_1676f7fa42610035</t>
        </is>
      </c>
      <c r="C4" s="4" t="inlineStr">
        <is>
          <t>https://cdn.shopify.com/s/files/1/0792/5098/1063/files/27c562a87487e8d7025e0a3cfede747442e97feecd7f1282018d4d9a6ed60276.jpg?v=1785091077</t>
        </is>
      </c>
      <c r="D4" s="4" t="inlineStr">
        <is>
          <t>https://cdn.shopify.com/s/files/1/0792/5098/1063/files/27c562a87487e8d7025e0a3cfede747442e97feecd7f1282018d4d9a6ed60276.jpg?v=1785091077</t>
        </is>
      </c>
      <c r="E4" s="2" t="inlineStr">
        <is>
          <t>47539026919623</t>
        </is>
      </c>
      <c r="F4" s="2" t="inlineStr"/>
      <c r="G4" s="2" t="inlineStr">
        <is>
          <t>GALLERY</t>
        </is>
      </c>
      <c r="H4" s="2" t="inlineStr">
        <is>
          <t>DIRECT_IMAGE_FILE_OPENED_AND_VISUALLY_REVIEWED</t>
        </is>
      </c>
      <c r="I4" s="2" t="inlineStr">
        <is>
          <t>2026-09-09T13:19:55+07:00</t>
        </is>
      </c>
      <c r="J4" s="2" t="inlineStr">
        <is>
          <t>QA opened 211_03.jpg (1000x1000) and checked against workbook observation: Folded basketball blanket showing close-up ball print and sample number.</t>
        </is>
      </c>
      <c r="K4" s="2" t="inlineStr">
        <is>
          <t>Folded basketball blanket showing close-up ball print and sample number.</t>
        </is>
      </c>
      <c r="L4" s="2" t="inlineStr">
        <is>
          <t>SET</t>
        </is>
      </c>
      <c r="M4" s="2" t="inlineStr">
        <is>
          <t>Basketball number blanket folded view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5">
        <f>IF(N4="FULL",40,IF(N4="PARTIAL",40/2,0))+IF(O4="FULL",30,IF(O4="PARTIAL",30/2,0))+IF(P4="FULL",20,IF(P4="PARTIAL",20/2,0))+IF(Q4="FULL",10,IF(Q4="PARTIAL",10/2,0))</f>
        <v/>
      </c>
      <c r="S4" s="5">
        <f>IF(N4="NOT_CHECKED",0,40)+IF(O4="NOT_CHECKED",0,30)+IF(P4="NOT_CHECKED",0,20)+IF(Q4="NOT_CHECKED",0,10)</f>
        <v/>
      </c>
      <c r="T4" s="5">
        <f>IF(S4=100,R4,"")</f>
        <v/>
      </c>
      <c r="U4" s="5">
        <f>R4</f>
        <v/>
      </c>
      <c r="V4" s="5">
        <f>R4+(100-S4)</f>
        <v/>
      </c>
      <c r="W4" s="2" t="inlineStr">
        <is>
          <t>[]</t>
        </is>
      </c>
      <c r="X4" s="2" t="inlineStr">
        <is>
          <t>["seo_runs\\jeminise.com\\20260906_234129\\qa\\20260909_131954\\images\\211_03.jpg", "https://cdn.shopify.com/s/files/1/0792/5098/1063/files/27c562a87487e8d7025e0a3cfede747442e97feecd7f1282018d4d9a6ed60276.jpg?v=1785091077"]</t>
        </is>
      </c>
    </row>
    <row r="5" ht="66" customHeight="1">
      <c r="A5" s="3" t="inlineStr">
        <is>
          <t>jeminise.com+personalized-basketball-close-up-with-number-blanket-with-name-and-number-f16f46abef-f16f46abef</t>
        </is>
      </c>
      <c r="B5" s="3" t="inlineStr">
        <is>
          <t>qaimg_48eac1050098eee6</t>
        </is>
      </c>
      <c r="C5" s="4" t="inlineStr">
        <is>
          <t>https://cdn.shopify.com/s/files/1/0792/5098/1063/files/fde60e47d7999ac38c9b3fa0e7356d03cf375314b4e07e54abb990571428097e.jpg?v=1785091077</t>
        </is>
      </c>
      <c r="D5" s="4" t="inlineStr">
        <is>
          <t>https://cdn.shopify.com/s/files/1/0792/5098/1063/files/fde60e47d7999ac38c9b3fa0e7356d03cf375314b4e07e54abb990571428097e.jpg?v=1785091077</t>
        </is>
      </c>
      <c r="E5" s="3" t="inlineStr">
        <is>
          <t>47539026952391</t>
        </is>
      </c>
      <c r="F5" s="3" t="inlineStr"/>
      <c r="G5" s="3" t="inlineStr">
        <is>
          <t>GALLERY</t>
        </is>
      </c>
      <c r="H5" s="3" t="inlineStr">
        <is>
          <t>DIRECT_IMAGE_FILE_OPENED_AND_VISUALLY_REVIEWED</t>
        </is>
      </c>
      <c r="I5" s="3" t="inlineStr">
        <is>
          <t>2026-09-09T13:19:55+07:00</t>
        </is>
      </c>
      <c r="J5" s="3" t="inlineStr">
        <is>
          <t>QA opened 211_04.jpg (1000x1000) and checked against workbook observation: Basketball blanket size or style panel.</t>
        </is>
      </c>
      <c r="K5" s="3" t="inlineStr">
        <is>
          <t>Basketball blanket size or style panel.</t>
        </is>
      </c>
      <c r="L5" s="3" t="inlineStr">
        <is>
          <t>SET</t>
        </is>
      </c>
      <c r="M5" s="3" t="inlineStr">
        <is>
          <t>Basketball number blanket size panel</t>
        </is>
      </c>
      <c r="N5" s="3" t="inlineStr">
        <is>
          <t>FULL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7">
        <f>IF(N5="FULL",40,IF(N5="PARTIAL",40/2,0))+IF(O5="FULL",30,IF(O5="PARTIAL",30/2,0))+IF(P5="FULL",20,IF(P5="PARTIAL",20/2,0))+IF(Q5="FULL",10,IF(Q5="PARTIAL",10/2,0))</f>
        <v/>
      </c>
      <c r="S5" s="7">
        <f>IF(N5="NOT_CHECKED",0,40)+IF(O5="NOT_CHECKED",0,30)+IF(P5="NOT_CHECKED",0,20)+IF(Q5="NOT_CHECKED",0,10)</f>
        <v/>
      </c>
      <c r="T5" s="7">
        <f>IF(S5=100,R5,"")</f>
        <v/>
      </c>
      <c r="U5" s="7">
        <f>R5</f>
        <v/>
      </c>
      <c r="V5" s="7">
        <f>R5+(100-S5)</f>
        <v/>
      </c>
      <c r="W5" s="3" t="inlineStr">
        <is>
          <t>[]</t>
        </is>
      </c>
      <c r="X5" s="3" t="inlineStr">
        <is>
          <t>["seo_runs\\jeminise.com\\20260906_234129\\qa\\20260909_131954\\images\\211_04.jpg", "https://cdn.shopify.com/s/files/1/0792/5098/1063/files/fde60e47d7999ac38c9b3fa0e7356d03cf375314b4e07e54abb990571428097e.jpg?v=1785091077"]</t>
        </is>
      </c>
    </row>
    <row r="6" ht="66" customHeight="1">
      <c r="A6" s="2" t="inlineStr">
        <is>
          <t>jeminise.com+personalized-basketball-close-up-with-number-blanket-with-name-and-number-f16f46abef-f16f46abef</t>
        </is>
      </c>
      <c r="B6" s="2" t="inlineStr">
        <is>
          <t>qaimg_612ec76e3a33c998</t>
        </is>
      </c>
      <c r="C6" s="4" t="inlineStr">
        <is>
          <t>https://cdn.shopify.com/s/files/1/0792/5098/1063/files/303e496a921029b387bb3b499e2c292a040931377d7477430b2e40d3ac5e974b.jpg?v=1785091077</t>
        </is>
      </c>
      <c r="D6" s="4" t="inlineStr">
        <is>
          <t>https://cdn.shopify.com/s/files/1/0792/5098/1063/files/303e496a921029b387bb3b499e2c292a040931377d7477430b2e40d3ac5e974b.jpg?v=1785091077</t>
        </is>
      </c>
      <c r="E6" s="2" t="inlineStr">
        <is>
          <t>47539026985159</t>
        </is>
      </c>
      <c r="F6" s="2" t="inlineStr"/>
      <c r="G6" s="2" t="inlineStr">
        <is>
          <t>GALLERY</t>
        </is>
      </c>
      <c r="H6" s="2" t="inlineStr">
        <is>
          <t>DIRECT_IMAGE_FILE_OPENED_AND_VISUALLY_REVIEWED</t>
        </is>
      </c>
      <c r="I6" s="2" t="inlineStr">
        <is>
          <t>2026-09-09T13:19:55+07:00</t>
        </is>
      </c>
      <c r="J6" s="2" t="inlineStr">
        <is>
          <t>QA opened 211_05.jpg (1000x1000) and checked against workbook observation: Close-up fabric panel for basketball number blanket.</t>
        </is>
      </c>
      <c r="K6" s="2" t="inlineStr">
        <is>
          <t>Close-up fabric panel for basketball number blanket.</t>
        </is>
      </c>
      <c r="L6" s="2" t="inlineStr">
        <is>
          <t>SET</t>
        </is>
      </c>
      <c r="M6" s="2" t="inlineStr">
        <is>
          <t>Basketball number blanket fabric panel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5">
        <f>IF(N6="FULL",40,IF(N6="PARTIAL",40/2,0))+IF(O6="FULL",30,IF(O6="PARTIAL",30/2,0))+IF(P6="FULL",20,IF(P6="PARTIAL",20/2,0))+IF(Q6="FULL",10,IF(Q6="PARTIAL",10/2,0))</f>
        <v/>
      </c>
      <c r="S6" s="5">
        <f>IF(N6="NOT_CHECKED",0,40)+IF(O6="NOT_CHECKED",0,30)+IF(P6="NOT_CHECKED",0,20)+IF(Q6="NOT_CHECKED",0,10)</f>
        <v/>
      </c>
      <c r="T6" s="5">
        <f>IF(S6=100,R6,"")</f>
        <v/>
      </c>
      <c r="U6" s="5">
        <f>R6</f>
        <v/>
      </c>
      <c r="V6" s="5">
        <f>R6+(100-S6)</f>
        <v/>
      </c>
      <c r="W6" s="2" t="inlineStr">
        <is>
          <t>[]</t>
        </is>
      </c>
      <c r="X6" s="2" t="inlineStr">
        <is>
          <t>["seo_runs\\jeminise.com\\20260906_234129\\qa\\20260909_131954\\images\\211_05.jpg", "https://cdn.shopify.com/s/files/1/0792/5098/1063/files/303e496a921029b387bb3b499e2c292a040931377d7477430b2e40d3ac5e974b.jpg?v=1785091077"]</t>
        </is>
      </c>
    </row>
    <row r="7" ht="66" customHeight="1">
      <c r="A7" s="3" t="inlineStr">
        <is>
          <t>jeminise.com+personalized-basketball-close-up-with-number-blanket-with-name-and-number-f16f46abef-f16f46abef</t>
        </is>
      </c>
      <c r="B7" s="3" t="inlineStr">
        <is>
          <t>qaimg_4741676c142fb7ed</t>
        </is>
      </c>
      <c r="C7" s="4" t="inlineStr">
        <is>
          <t>https://cdn.shopify.com/s/files/1/0792/5098/1063/files/84f7a71576dfaac3ff03ce2ff898fee2d12da23eb223d4585f097765af5c2dd1.jpg?v=1785091076</t>
        </is>
      </c>
      <c r="D7" s="4" t="inlineStr">
        <is>
          <t>https://cdn.shopify.com/s/files/1/0792/5098/1063/files/84f7a71576dfaac3ff03ce2ff898fee2d12da23eb223d4585f097765af5c2dd1.jpg?v=1785091076</t>
        </is>
      </c>
      <c r="E7" s="3" t="inlineStr">
        <is>
          <t>47539027017927</t>
        </is>
      </c>
      <c r="F7" s="3" t="inlineStr"/>
      <c r="G7" s="3" t="inlineStr">
        <is>
          <t>GALLERY</t>
        </is>
      </c>
      <c r="H7" s="3" t="inlineStr">
        <is>
          <t>DIRECT_IMAGE_FILE_OPENED_AND_VISUALLY_REVIEWED</t>
        </is>
      </c>
      <c r="I7" s="3" t="inlineStr">
        <is>
          <t>2026-09-09T13:19:55+07:00</t>
        </is>
      </c>
      <c r="J7" s="3" t="inlineStr">
        <is>
          <t>QA opened 211_06.jpg (1500x1500) and checked against workbook observation: Lifestyle use image for basketball blanket.</t>
        </is>
      </c>
      <c r="K7" s="3" t="inlineStr">
        <is>
          <t>Lifestyle use image for basketball blanket.</t>
        </is>
      </c>
      <c r="L7" s="3" t="inlineStr">
        <is>
          <t>SET</t>
        </is>
      </c>
      <c r="M7" s="3" t="inlineStr">
        <is>
          <t>Basketball blanket lifestyle image</t>
        </is>
      </c>
      <c r="N7" s="3" t="inlineStr">
        <is>
          <t>FULL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7">
        <f>IF(N7="FULL",40,IF(N7="PARTIAL",40/2,0))+IF(O7="FULL",30,IF(O7="PARTIAL",30/2,0))+IF(P7="FULL",20,IF(P7="PARTIAL",20/2,0))+IF(Q7="FULL",10,IF(Q7="PARTIAL",10/2,0))</f>
        <v/>
      </c>
      <c r="S7" s="7">
        <f>IF(N7="NOT_CHECKED",0,40)+IF(O7="NOT_CHECKED",0,30)+IF(P7="NOT_CHECKED",0,20)+IF(Q7="NOT_CHECKED",0,10)</f>
        <v/>
      </c>
      <c r="T7" s="7">
        <f>IF(S7=100,R7,"")</f>
        <v/>
      </c>
      <c r="U7" s="7">
        <f>R7</f>
        <v/>
      </c>
      <c r="V7" s="7">
        <f>R7+(100-S7)</f>
        <v/>
      </c>
      <c r="W7" s="3" t="inlineStr">
        <is>
          <t>[]</t>
        </is>
      </c>
      <c r="X7" s="3" t="inlineStr">
        <is>
          <t>["seo_runs\\jeminise.com\\20260906_234129\\qa\\20260909_131954\\images\\211_06.jpg", "https://cdn.shopify.com/s/files/1/0792/5098/1063/files/84f7a71576dfaac3ff03ce2ff898fee2d12da23eb223d4585f097765af5c2dd1.jpg?v=1785091076"]</t>
        </is>
      </c>
    </row>
    <row r="8" ht="66" customHeight="1">
      <c r="A8" s="2" t="inlineStr">
        <is>
          <t>jeminise.com+personalized-basketball-close-up-with-number-blanket-with-name-and-number-f16f46abef-f16f46abef</t>
        </is>
      </c>
      <c r="B8" s="2" t="inlineStr">
        <is>
          <t>qaimg_cb6b355ebc3188cb</t>
        </is>
      </c>
      <c r="C8" s="4" t="inlineStr">
        <is>
          <t>https://cdn.shopify.com/s/files/1/0792/5098/1063/files/c54e54c3dbfe2457f034b3fca5054b8bb9bc8e4d6fd79afcc77826b25dc6770e.jpg?v=1785091077</t>
        </is>
      </c>
      <c r="D8" s="4" t="inlineStr">
        <is>
          <t>https://cdn.shopify.com/s/files/1/0792/5098/1063/files/c54e54c3dbfe2457f034b3fca5054b8bb9bc8e4d6fd79afcc77826b25dc6770e.jpg?v=1785091077</t>
        </is>
      </c>
      <c r="E8" s="2" t="inlineStr">
        <is>
          <t>47539027050695</t>
        </is>
      </c>
      <c r="F8" s="2" t="inlineStr"/>
      <c r="G8" s="2" t="inlineStr">
        <is>
          <t>GALLERY</t>
        </is>
      </c>
      <c r="H8" s="2" t="inlineStr">
        <is>
          <t>DIRECT_IMAGE_FILE_OPENED_AND_VISUALLY_REVIEWED</t>
        </is>
      </c>
      <c r="I8" s="2" t="inlineStr">
        <is>
          <t>2026-09-09T13:19:55+07:00</t>
        </is>
      </c>
      <c r="J8" s="2" t="inlineStr">
        <is>
          <t>QA opened 211_07.jpg (1500x1500) and checked against workbook observation: Additional basketball blanket mockup with close-up ball artwork.</t>
        </is>
      </c>
      <c r="K8" s="2" t="inlineStr">
        <is>
          <t>Additional basketball blanket mockup with close-up ball artwork.</t>
        </is>
      </c>
      <c r="L8" s="2" t="inlineStr">
        <is>
          <t>SET</t>
        </is>
      </c>
      <c r="M8" s="2" t="inlineStr">
        <is>
          <t>Basketball number blanket mockup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5">
        <f>IF(N8="FULL",40,IF(N8="PARTIAL",40/2,0))+IF(O8="FULL",30,IF(O8="PARTIAL",30/2,0))+IF(P8="FULL",20,IF(P8="PARTIAL",20/2,0))+IF(Q8="FULL",10,IF(Q8="PARTIAL",10/2,0))</f>
        <v/>
      </c>
      <c r="S8" s="5">
        <f>IF(N8="NOT_CHECKED",0,40)+IF(O8="NOT_CHECKED",0,30)+IF(P8="NOT_CHECKED",0,20)+IF(Q8="NOT_CHECKED",0,10)</f>
        <v/>
      </c>
      <c r="T8" s="5">
        <f>IF(S8=100,R8,"")</f>
        <v/>
      </c>
      <c r="U8" s="5">
        <f>R8</f>
        <v/>
      </c>
      <c r="V8" s="5">
        <f>R8+(100-S8)</f>
        <v/>
      </c>
      <c r="W8" s="2" t="inlineStr">
        <is>
          <t>[]</t>
        </is>
      </c>
      <c r="X8" s="2" t="inlineStr">
        <is>
          <t>["seo_runs\\jeminise.com\\20260906_234129\\qa\\20260909_131954\\images\\211_07.jpg", "https://cdn.shopify.com/s/files/1/0792/5098/1063/files/c54e54c3dbfe2457f034b3fca5054b8bb9bc8e4d6fd79afcc77826b25dc6770e.jpg?v=1785091077"]</t>
        </is>
      </c>
    </row>
    <row r="9" ht="66" customHeight="1">
      <c r="A9" s="3" t="inlineStr">
        <is>
          <t>jeminise.com+personalized-basketball-close-up-with-number-blanket-with-name-and-number-f16f46abef-f16f46abef</t>
        </is>
      </c>
      <c r="B9" s="3" t="inlineStr">
        <is>
          <t>qaimg_0df7bdf7d39fea02</t>
        </is>
      </c>
      <c r="C9" s="4" t="inlineStr">
        <is>
          <t>https://cdn.shopify.com/s/files/1/0792/5098/1063/files/ad99cb9e5079b85e55b42dd6ea5ed09a9fb8977514750251ab5e0ab98fdf6957.jpg?v=1785091077</t>
        </is>
      </c>
      <c r="D9" s="4" t="inlineStr">
        <is>
          <t>https://cdn.shopify.com/s/files/1/0792/5098/1063/files/ad99cb9e5079b85e55b42dd6ea5ed09a9fb8977514750251ab5e0ab98fdf6957.jpg?v=1785091077</t>
        </is>
      </c>
      <c r="E9" s="3" t="inlineStr">
        <is>
          <t>47539027083463</t>
        </is>
      </c>
      <c r="F9" s="3" t="inlineStr"/>
      <c r="G9" s="3" t="inlineStr">
        <is>
          <t>GALLERY</t>
        </is>
      </c>
      <c r="H9" s="3" t="inlineStr">
        <is>
          <t>DIRECT_IMAGE_FILE_OPENED_AND_VISUALLY_REVIEWED</t>
        </is>
      </c>
      <c r="I9" s="3" t="inlineStr">
        <is>
          <t>2026-09-09T13:19:55+07:00</t>
        </is>
      </c>
      <c r="J9" s="3" t="inlineStr">
        <is>
          <t>QA opened 211_08.jpg (1000x1000) and checked against workbook observation: Basketball blanket feature panel.</t>
        </is>
      </c>
      <c r="K9" s="3" t="inlineStr">
        <is>
          <t>Basketball blanket feature panel.</t>
        </is>
      </c>
      <c r="L9" s="3" t="inlineStr">
        <is>
          <t>SET</t>
        </is>
      </c>
      <c r="M9" s="3" t="inlineStr">
        <is>
          <t>Basketball blanket feature panel</t>
        </is>
      </c>
      <c r="N9" s="3" t="inlineStr">
        <is>
          <t>FULL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7">
        <f>IF(N9="FULL",40,IF(N9="PARTIAL",40/2,0))+IF(O9="FULL",30,IF(O9="PARTIAL",30/2,0))+IF(P9="FULL",20,IF(P9="PARTIAL",20/2,0))+IF(Q9="FULL",10,IF(Q9="PARTIAL",10/2,0))</f>
        <v/>
      </c>
      <c r="S9" s="7">
        <f>IF(N9="NOT_CHECKED",0,40)+IF(O9="NOT_CHECKED",0,30)+IF(P9="NOT_CHECKED",0,20)+IF(Q9="NOT_CHECKED",0,10)</f>
        <v/>
      </c>
      <c r="T9" s="7">
        <f>IF(S9=100,R9,"")</f>
        <v/>
      </c>
      <c r="U9" s="7">
        <f>R9</f>
        <v/>
      </c>
      <c r="V9" s="7">
        <f>R9+(100-S9)</f>
        <v/>
      </c>
      <c r="W9" s="3" t="inlineStr">
        <is>
          <t>[]</t>
        </is>
      </c>
      <c r="X9" s="3" t="inlineStr">
        <is>
          <t>["seo_runs\\jeminise.com\\20260906_234129\\qa\\20260909_131954\\images\\211_08.jpg", "https://cdn.shopify.com/s/files/1/0792/5098/1063/files/ad99cb9e5079b85e55b42dd6ea5ed09a9fb8977514750251ab5e0ab98fdf6957.jpg?v=1785091077"]</t>
        </is>
      </c>
    </row>
    <row r="10" ht="66" customHeight="1">
      <c r="A10" s="2" t="inlineStr">
        <is>
          <t>jeminise.com+personalized-basketball-close-up-with-number-blanket-with-name-and-number-f16f46abef-f16f46abef</t>
        </is>
      </c>
      <c r="B10" s="2" t="inlineStr">
        <is>
          <t>qaimg_f823377dbb9b78cc</t>
        </is>
      </c>
      <c r="C10" s="4" t="inlineStr">
        <is>
          <t>https://cdn.shopify.com/s/files/1/0792/5098/1063/files/a3753d6287bc2e4a865d3aaebe97ccd3cb4a4f488eff90125abd9a1627c63bc0.jpg?v=1785091077</t>
        </is>
      </c>
      <c r="D10" s="4" t="inlineStr">
        <is>
          <t>https://cdn.shopify.com/s/files/1/0792/5098/1063/files/a3753d6287bc2e4a865d3aaebe97ccd3cb4a4f488eff90125abd9a1627c63bc0.jpg?v=1785091077</t>
        </is>
      </c>
      <c r="E10" s="2" t="inlineStr">
        <is>
          <t>47539027116231</t>
        </is>
      </c>
      <c r="F10" s="2" t="inlineStr"/>
      <c r="G10" s="2" t="inlineStr">
        <is>
          <t>GALLERY</t>
        </is>
      </c>
      <c r="H10" s="2" t="inlineStr">
        <is>
          <t>DIRECT_IMAGE_FILE_OPENED_AND_VISUALLY_REVIEWED</t>
        </is>
      </c>
      <c r="I10" s="2" t="inlineStr">
        <is>
          <t>2026-09-09T13:19:55+07:00</t>
        </is>
      </c>
      <c r="J10" s="2" t="inlineStr">
        <is>
          <t>QA opened 211_09.jpg (1500x1482) and checked against workbook observation: Product shape illustration for basketball number blanket.</t>
        </is>
      </c>
      <c r="K10" s="2" t="inlineStr">
        <is>
          <t>Product shape illustration for basketball number blanket.</t>
        </is>
      </c>
      <c r="L10" s="2" t="inlineStr">
        <is>
          <t>SET</t>
        </is>
      </c>
      <c r="M10" s="2" t="inlineStr">
        <is>
          <t>Basketball number blanket shape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5">
        <f>IF(N10="FULL",40,IF(N10="PARTIAL",40/2,0))+IF(O10="FULL",30,IF(O10="PARTIAL",30/2,0))+IF(P10="FULL",20,IF(P10="PARTIAL",20/2,0))+IF(Q10="FULL",10,IF(Q10="PARTIAL",10/2,0))</f>
        <v/>
      </c>
      <c r="S10" s="5">
        <f>IF(N10="NOT_CHECKED",0,40)+IF(O10="NOT_CHECKED",0,30)+IF(P10="NOT_CHECKED",0,20)+IF(Q10="NOT_CHECKED",0,10)</f>
        <v/>
      </c>
      <c r="T10" s="5">
        <f>IF(S10=100,R10,"")</f>
        <v/>
      </c>
      <c r="U10" s="5">
        <f>R10</f>
        <v/>
      </c>
      <c r="V10" s="5">
        <f>R10+(100-S10)</f>
        <v/>
      </c>
      <c r="W10" s="2" t="inlineStr">
        <is>
          <t>[]</t>
        </is>
      </c>
      <c r="X10" s="2" t="inlineStr">
        <is>
          <t>["seo_runs\\jeminise.com\\20260906_234129\\qa\\20260909_131954\\images\\211_09.jpg", "https://cdn.shopify.com/s/files/1/0792/5098/1063/files/a3753d6287bc2e4a865d3aaebe97ccd3cb4a4f488eff90125abd9a1627c63bc0.jpg?v=1785091077"]</t>
        </is>
      </c>
    </row>
    <row r="11" ht="66" customHeight="1">
      <c r="A11" s="3" t="inlineStr">
        <is>
          <t>jeminise.com+personalized-basketball-court-perspective-comforter-with-name-and-number-5545af9fa4-5545af9fa4</t>
        </is>
      </c>
      <c r="B11" s="3" t="inlineStr">
        <is>
          <t>qaimg_81f3cd227c45edbd</t>
        </is>
      </c>
      <c r="C11" s="4" t="inlineStr">
        <is>
          <t>https://cdn.shopify.com/s/files/1/0792/5098/1063/files/ba02c3300feae07e20cbe40095f270647fc6b5e9bc9f58ef5ac013c9fc0dbfa3.jpg?v=1785083537</t>
        </is>
      </c>
      <c r="D11" s="4" t="inlineStr">
        <is>
          <t>https://cdn.shopify.com/s/files/1/0792/5098/1063/files/ba02c3300feae07e20cbe40095f270647fc6b5e9bc9f58ef5ac013c9fc0dbfa3.jpg?v=1785083537</t>
        </is>
      </c>
      <c r="E11" s="3" t="inlineStr">
        <is>
          <t>47538100240583</t>
        </is>
      </c>
      <c r="F11" s="3" t="inlineStr"/>
      <c r="G11" s="3" t="inlineStr">
        <is>
          <t>GALLERY</t>
        </is>
      </c>
      <c r="H11" s="3" t="inlineStr">
        <is>
          <t>DIRECT_IMAGE_FILE_OPENED_AND_VISUALLY_REVIEWED</t>
        </is>
      </c>
      <c r="I11" s="3" t="inlineStr">
        <is>
          <t>2026-09-09T13:19:55+07:00</t>
        </is>
      </c>
      <c r="J11" s="3" t="inlineStr">
        <is>
          <t>QA opened 212_01.jpg (1000x1000) and checked against workbook observation: Bedroom mockup of basketball court perspective comforter with sample name and number.</t>
        </is>
      </c>
      <c r="K11" s="3" t="inlineStr">
        <is>
          <t>Bedroom mockup of basketball court perspective comforter with sample name and number.</t>
        </is>
      </c>
      <c r="L11" s="3" t="inlineStr">
        <is>
          <t>SET</t>
        </is>
      </c>
      <c r="M11" s="3" t="inlineStr">
        <is>
          <t>Custom basketball court comforter</t>
        </is>
      </c>
      <c r="N11" s="3" t="inlineStr">
        <is>
          <t>FULL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7">
        <f>IF(N11="FULL",40,IF(N11="PARTIAL",40/2,0))+IF(O11="FULL",30,IF(O11="PARTIAL",30/2,0))+IF(P11="FULL",20,IF(P11="PARTIAL",20/2,0))+IF(Q11="FULL",10,IF(Q11="PARTIAL",10/2,0))</f>
        <v/>
      </c>
      <c r="S11" s="7">
        <f>IF(N11="NOT_CHECKED",0,40)+IF(O11="NOT_CHECKED",0,30)+IF(P11="NOT_CHECKED",0,20)+IF(Q11="NOT_CHECKED",0,10)</f>
        <v/>
      </c>
      <c r="T11" s="7">
        <f>IF(S11=100,R11,"")</f>
        <v/>
      </c>
      <c r="U11" s="7">
        <f>R11</f>
        <v/>
      </c>
      <c r="V11" s="7">
        <f>R11+(100-S11)</f>
        <v/>
      </c>
      <c r="W11" s="3" t="inlineStr">
        <is>
          <t>[]</t>
        </is>
      </c>
      <c r="X11" s="3" t="inlineStr">
        <is>
          <t>["seo_runs\\jeminise.com\\20260906_234129\\qa\\20260909_131954\\images\\212_01.jpg", "https://cdn.shopify.com/s/files/1/0792/5098/1063/files/ba02c3300feae07e20cbe40095f270647fc6b5e9bc9f58ef5ac013c9fc0dbfa3.jpg?v=1785083537"]</t>
        </is>
      </c>
    </row>
    <row r="12" ht="66" customHeight="1">
      <c r="A12" s="2" t="inlineStr">
        <is>
          <t>jeminise.com+personalized-basketball-court-perspective-comforter-with-name-and-number-5545af9fa4-5545af9fa4</t>
        </is>
      </c>
      <c r="B12" s="2" t="inlineStr">
        <is>
          <t>qaimg_6fa41bb6f3b469de</t>
        </is>
      </c>
      <c r="C12" s="4" t="inlineStr">
        <is>
          <t>https://cdn.shopify.com/s/files/1/0792/5098/1063/files/102ff59b3ff3bb0734a4d6ce8cd4ffdffe62c9559448e8c52060c99a7f0371d8.jpg?v=1785083537</t>
        </is>
      </c>
      <c r="D12" s="4" t="inlineStr">
        <is>
          <t>https://cdn.shopify.com/s/files/1/0792/5098/1063/files/102ff59b3ff3bb0734a4d6ce8cd4ffdffe62c9559448e8c52060c99a7f0371d8.jpg?v=1785083537</t>
        </is>
      </c>
      <c r="E12" s="2" t="inlineStr">
        <is>
          <t>47538100273351</t>
        </is>
      </c>
      <c r="F12" s="2" t="inlineStr"/>
      <c r="G12" s="2" t="inlineStr">
        <is>
          <t>GALLERY</t>
        </is>
      </c>
      <c r="H12" s="2" t="inlineStr">
        <is>
          <t>DIRECT_IMAGE_FILE_OPENED_AND_VISUALLY_REVIEWED</t>
        </is>
      </c>
      <c r="I12" s="2" t="inlineStr">
        <is>
          <t>2026-09-09T13:19:55+07:00</t>
        </is>
      </c>
      <c r="J12" s="2" t="inlineStr">
        <is>
          <t>QA opened 212_02.jpg (1000x1000) and checked against workbook observation: Second basketball court bedding mockup with duvet fold.</t>
        </is>
      </c>
      <c r="K12" s="2" t="inlineStr">
        <is>
          <t>Second basketball court bedding mockup with duvet fold.</t>
        </is>
      </c>
      <c r="L12" s="2" t="inlineStr">
        <is>
          <t>SET</t>
        </is>
      </c>
      <c r="M12" s="2" t="inlineStr">
        <is>
          <t>Basketball court comforter mockup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5">
        <f>IF(N12="FULL",40,IF(N12="PARTIAL",40/2,0))+IF(O12="FULL",30,IF(O12="PARTIAL",30/2,0))+IF(P12="FULL",20,IF(P12="PARTIAL",20/2,0))+IF(Q12="FULL",10,IF(Q12="PARTIAL",10/2,0))</f>
        <v/>
      </c>
      <c r="S12" s="5">
        <f>IF(N12="NOT_CHECKED",0,40)+IF(O12="NOT_CHECKED",0,30)+IF(P12="NOT_CHECKED",0,20)+IF(Q12="NOT_CHECKED",0,10)</f>
        <v/>
      </c>
      <c r="T12" s="5">
        <f>IF(S12=100,R12,"")</f>
        <v/>
      </c>
      <c r="U12" s="5">
        <f>R12</f>
        <v/>
      </c>
      <c r="V12" s="5">
        <f>R12+(100-S12)</f>
        <v/>
      </c>
      <c r="W12" s="2" t="inlineStr">
        <is>
          <t>[]</t>
        </is>
      </c>
      <c r="X12" s="2" t="inlineStr">
        <is>
          <t>["seo_runs\\jeminise.com\\20260906_234129\\qa\\20260909_131954\\images\\212_02.jpg", "https://cdn.shopify.com/s/files/1/0792/5098/1063/files/102ff59b3ff3bb0734a4d6ce8cd4ffdffe62c9559448e8c52060c99a7f0371d8.jpg?v=1785083537"]</t>
        </is>
      </c>
    </row>
    <row r="13" ht="66" customHeight="1">
      <c r="A13" s="3" t="inlineStr">
        <is>
          <t>jeminise.com+personalized-basketball-court-perspective-comforter-with-name-and-number-5545af9fa4-5545af9fa4</t>
        </is>
      </c>
      <c r="B13" s="3" t="inlineStr">
        <is>
          <t>qaimg_0e77f9714c606c2b</t>
        </is>
      </c>
      <c r="C13" s="4" t="inlineStr">
        <is>
          <t>https://cdn.shopify.com/s/files/1/0792/5098/1063/files/ca7e8151cb3c33bafaa62bb65f4773d1852d0e96a3f900ca3bc2751b2e604742.jpg?v=1785083537</t>
        </is>
      </c>
      <c r="D13" s="4" t="inlineStr">
        <is>
          <t>https://cdn.shopify.com/s/files/1/0792/5098/1063/files/ca7e8151cb3c33bafaa62bb65f4773d1852d0e96a3f900ca3bc2751b2e604742.jpg?v=1785083537</t>
        </is>
      </c>
      <c r="E13" s="3" t="inlineStr">
        <is>
          <t>47538100306119</t>
        </is>
      </c>
      <c r="F13" s="3" t="inlineStr"/>
      <c r="G13" s="3" t="inlineStr">
        <is>
          <t>GALLERY</t>
        </is>
      </c>
      <c r="H13" s="3" t="inlineStr">
        <is>
          <t>DIRECT_IMAGE_FILE_OPENED_AND_VISUALLY_REVIEWED</t>
        </is>
      </c>
      <c r="I13" s="3" t="inlineStr">
        <is>
          <t>2026-09-09T13:19:55+07:00</t>
        </is>
      </c>
      <c r="J13" s="3" t="inlineStr">
        <is>
          <t>QA opened 212_03.jpg (1000x1000) and checked against workbook observation: Feature view of basketball court bedding with comfort icons.</t>
        </is>
      </c>
      <c r="K13" s="3" t="inlineStr">
        <is>
          <t>Feature view of basketball court bedding with comfort icons.</t>
        </is>
      </c>
      <c r="L13" s="3" t="inlineStr">
        <is>
          <t>SET</t>
        </is>
      </c>
      <c r="M13" s="3" t="inlineStr">
        <is>
          <t>Basketball court bedding feature view</t>
        </is>
      </c>
      <c r="N13" s="3" t="inlineStr">
        <is>
          <t>FULL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7">
        <f>IF(N13="FULL",40,IF(N13="PARTIAL",40/2,0))+IF(O13="FULL",30,IF(O13="PARTIAL",30/2,0))+IF(P13="FULL",20,IF(P13="PARTIAL",20/2,0))+IF(Q13="FULL",10,IF(Q13="PARTIAL",10/2,0))</f>
        <v/>
      </c>
      <c r="S13" s="7">
        <f>IF(N13="NOT_CHECKED",0,40)+IF(O13="NOT_CHECKED",0,30)+IF(P13="NOT_CHECKED",0,20)+IF(Q13="NOT_CHECKED",0,10)</f>
        <v/>
      </c>
      <c r="T13" s="7">
        <f>IF(S13=100,R13,"")</f>
        <v/>
      </c>
      <c r="U13" s="7">
        <f>R13</f>
        <v/>
      </c>
      <c r="V13" s="7">
        <f>R13+(100-S13)</f>
        <v/>
      </c>
      <c r="W13" s="3" t="inlineStr">
        <is>
          <t>[]</t>
        </is>
      </c>
      <c r="X13" s="3" t="inlineStr">
        <is>
          <t>["seo_runs\\jeminise.com\\20260906_234129\\qa\\20260909_131954\\images\\212_03.jpg", "https://cdn.shopify.com/s/files/1/0792/5098/1063/files/ca7e8151cb3c33bafaa62bb65f4773d1852d0e96a3f900ca3bc2751b2e604742.jpg?v=1785083537"]</t>
        </is>
      </c>
    </row>
    <row r="14" ht="66" customHeight="1">
      <c r="A14" s="2" t="inlineStr">
        <is>
          <t>jeminise.com+personalized-basketball-court-perspective-comforter-with-name-and-number-5545af9fa4-5545af9fa4</t>
        </is>
      </c>
      <c r="B14" s="2" t="inlineStr">
        <is>
          <t>qaimg_db00e50ef75a5d6e</t>
        </is>
      </c>
      <c r="C14" s="4" t="inlineStr">
        <is>
          <t>https://cdn.shopify.com/s/files/1/0792/5098/1063/files/8daf8c1cfffe06a3e80ec1ac316b388b93cba81832378baccb5fa4c22684434d.jpg?v=1785083537</t>
        </is>
      </c>
      <c r="D14" s="4" t="inlineStr">
        <is>
          <t>https://cdn.shopify.com/s/files/1/0792/5098/1063/files/8daf8c1cfffe06a3e80ec1ac316b388b93cba81832378baccb5fa4c22684434d.jpg?v=1785083537</t>
        </is>
      </c>
      <c r="E14" s="2" t="inlineStr">
        <is>
          <t>47538100338887</t>
        </is>
      </c>
      <c r="F14" s="2" t="inlineStr"/>
      <c r="G14" s="2" t="inlineStr">
        <is>
          <t>GALLERY</t>
        </is>
      </c>
      <c r="H14" s="2" t="inlineStr">
        <is>
          <t>DIRECT_IMAGE_FILE_OPENED_AND_VISUALLY_REVIEWED</t>
        </is>
      </c>
      <c r="I14" s="2" t="inlineStr">
        <is>
          <t>2026-09-09T13:19:55+07:00</t>
        </is>
      </c>
      <c r="J14" s="2" t="inlineStr">
        <is>
          <t>QA opened 212_04.jpg (1000x1000) and checked against workbook observation: Microfiber panel with basketball court print samples.</t>
        </is>
      </c>
      <c r="K14" s="2" t="inlineStr">
        <is>
          <t>Microfiber panel with basketball court print samples.</t>
        </is>
      </c>
      <c r="L14" s="2" t="inlineStr">
        <is>
          <t>SET</t>
        </is>
      </c>
      <c r="M14" s="2" t="inlineStr">
        <is>
          <t>Basketball court microfiber panel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5">
        <f>IF(N14="FULL",40,IF(N14="PARTIAL",40/2,0))+IF(O14="FULL",30,IF(O14="PARTIAL",30/2,0))+IF(P14="FULL",20,IF(P14="PARTIAL",20/2,0))+IF(Q14="FULL",10,IF(Q14="PARTIAL",10/2,0))</f>
        <v/>
      </c>
      <c r="S14" s="5">
        <f>IF(N14="NOT_CHECKED",0,40)+IF(O14="NOT_CHECKED",0,30)+IF(P14="NOT_CHECKED",0,20)+IF(Q14="NOT_CHECKED",0,10)</f>
        <v/>
      </c>
      <c r="T14" s="5">
        <f>IF(S14=100,R14,"")</f>
        <v/>
      </c>
      <c r="U14" s="5">
        <f>R14</f>
        <v/>
      </c>
      <c r="V14" s="5">
        <f>R14+(100-S14)</f>
        <v/>
      </c>
      <c r="W14" s="2" t="inlineStr">
        <is>
          <t>[]</t>
        </is>
      </c>
      <c r="X14" s="2" t="inlineStr">
        <is>
          <t>["seo_runs\\jeminise.com\\20260906_234129\\qa\\20260909_131954\\images\\212_04.jpg", "https://cdn.shopify.com/s/files/1/0792/5098/1063/files/8daf8c1cfffe06a3e80ec1ac316b388b93cba81832378baccb5fa4c22684434d.jpg?v=1785083537"]</t>
        </is>
      </c>
    </row>
    <row r="15" ht="66" customHeight="1">
      <c r="A15" s="3" t="inlineStr">
        <is>
          <t>jeminise.com+personalized-basketball-court-perspective-comforter-with-name-and-number-5545af9fa4-5545af9fa4</t>
        </is>
      </c>
      <c r="B15" s="3" t="inlineStr">
        <is>
          <t>qaimg_dac9aa361b71577e</t>
        </is>
      </c>
      <c r="C15" s="4" t="inlineStr">
        <is>
          <t>https://cdn.shopify.com/s/files/1/0792/5098/1063/files/9a000cb2f852b412449331989ad5533fa954afdb86f7db926d41ed172fcdc799.jpg?v=1785083537</t>
        </is>
      </c>
      <c r="D15" s="4" t="inlineStr">
        <is>
          <t>https://cdn.shopify.com/s/files/1/0792/5098/1063/files/9a000cb2f852b412449331989ad5533fa954afdb86f7db926d41ed172fcdc799.jpg?v=1785083537</t>
        </is>
      </c>
      <c r="E15" s="3" t="inlineStr">
        <is>
          <t>47538100371655</t>
        </is>
      </c>
      <c r="F15" s="3" t="inlineStr"/>
      <c r="G15" s="3" t="inlineStr">
        <is>
          <t>GALLERY</t>
        </is>
      </c>
      <c r="H15" s="3" t="inlineStr">
        <is>
          <t>DIRECT_IMAGE_FILE_OPENED_AND_VISUALLY_REVIEWED</t>
        </is>
      </c>
      <c r="I15" s="3" t="inlineStr">
        <is>
          <t>2026-09-09T13:19:55+07:00</t>
        </is>
      </c>
      <c r="J15" s="3" t="inlineStr">
        <is>
          <t>QA opened 212_05.jpg (1000x1000) and checked against workbook observation: Easy care panel for basketball court comforter.</t>
        </is>
      </c>
      <c r="K15" s="3" t="inlineStr">
        <is>
          <t>Easy care panel for basketball court comforter.</t>
        </is>
      </c>
      <c r="L15" s="3" t="inlineStr">
        <is>
          <t>SET</t>
        </is>
      </c>
      <c r="M15" s="3" t="inlineStr">
        <is>
          <t>Basketball court easy care panel</t>
        </is>
      </c>
      <c r="N15" s="3" t="inlineStr">
        <is>
          <t>FULL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7">
        <f>IF(N15="FULL",40,IF(N15="PARTIAL",40/2,0))+IF(O15="FULL",30,IF(O15="PARTIAL",30/2,0))+IF(P15="FULL",20,IF(P15="PARTIAL",20/2,0))+IF(Q15="FULL",10,IF(Q15="PARTIAL",10/2,0))</f>
        <v/>
      </c>
      <c r="S15" s="7">
        <f>IF(N15="NOT_CHECKED",0,40)+IF(O15="NOT_CHECKED",0,30)+IF(P15="NOT_CHECKED",0,20)+IF(Q15="NOT_CHECKED",0,10)</f>
        <v/>
      </c>
      <c r="T15" s="7">
        <f>IF(S15=100,R15,"")</f>
        <v/>
      </c>
      <c r="U15" s="7">
        <f>R15</f>
        <v/>
      </c>
      <c r="V15" s="7">
        <f>R15+(100-S15)</f>
        <v/>
      </c>
      <c r="W15" s="3" t="inlineStr">
        <is>
          <t>[]</t>
        </is>
      </c>
      <c r="X15" s="3" t="inlineStr">
        <is>
          <t>["seo_runs\\jeminise.com\\20260906_234129\\qa\\20260909_131954\\images\\212_05.jpg", "https://cdn.shopify.com/s/files/1/0792/5098/1063/files/9a000cb2f852b412449331989ad5533fa954afdb86f7db926d41ed172fcdc799.jpg?v=1785083537"]</t>
        </is>
      </c>
    </row>
    <row r="16" ht="66" customHeight="1">
      <c r="A16" s="2" t="inlineStr">
        <is>
          <t>jeminise.com+personalized-basketball-court-perspective-comforter-with-name-and-number-5545af9fa4-5545af9fa4</t>
        </is>
      </c>
      <c r="B16" s="2" t="inlineStr">
        <is>
          <t>qaimg_0dd0990ffa7aaf53</t>
        </is>
      </c>
      <c r="C16" s="4" t="inlineStr">
        <is>
          <t>https://cdn.shopify.com/s/files/1/0792/5098/1063/files/4f7ebb170c910bacdb0d128a3e3cf164388321d5e644495de9b203310349253f.jpg?v=1785083537</t>
        </is>
      </c>
      <c r="D16" s="4" t="inlineStr">
        <is>
          <t>https://cdn.shopify.com/s/files/1/0792/5098/1063/files/4f7ebb170c910bacdb0d128a3e3cf164388321d5e644495de9b203310349253f.jpg?v=1785083537</t>
        </is>
      </c>
      <c r="E16" s="2" t="inlineStr">
        <is>
          <t>47538100404423</t>
        </is>
      </c>
      <c r="F16" s="2" t="inlineStr"/>
      <c r="G16" s="2" t="inlineStr">
        <is>
          <t>GALLERY</t>
        </is>
      </c>
      <c r="H16" s="2" t="inlineStr">
        <is>
          <t>DIRECT_IMAGE_FILE_OPENED_AND_VISUALLY_REVIEWED</t>
        </is>
      </c>
      <c r="I16" s="2" t="inlineStr">
        <is>
          <t>2026-09-09T13:19:55+07:00</t>
        </is>
      </c>
      <c r="J16" s="2" t="inlineStr">
        <is>
          <t>QA opened 212_06.jpg (1000x1000) and checked against workbook observation: Bedding type comparison panel for basketball bedding.</t>
        </is>
      </c>
      <c r="K16" s="2" t="inlineStr">
        <is>
          <t>Bedding type comparison panel for basketball bedding.</t>
        </is>
      </c>
      <c r="L16" s="2" t="inlineStr">
        <is>
          <t>SET</t>
        </is>
      </c>
      <c r="M16" s="2" t="inlineStr">
        <is>
          <t>Basketball court bedding type panel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5">
        <f>IF(N16="FULL",40,IF(N16="PARTIAL",40/2,0))+IF(O16="FULL",30,IF(O16="PARTIAL",30/2,0))+IF(P16="FULL",20,IF(P16="PARTIAL",20/2,0))+IF(Q16="FULL",10,IF(Q16="PARTIAL",10/2,0))</f>
        <v/>
      </c>
      <c r="S16" s="5">
        <f>IF(N16="NOT_CHECKED",0,40)+IF(O16="NOT_CHECKED",0,30)+IF(P16="NOT_CHECKED",0,20)+IF(Q16="NOT_CHECKED",0,10)</f>
        <v/>
      </c>
      <c r="T16" s="5">
        <f>IF(S16=100,R16,"")</f>
        <v/>
      </c>
      <c r="U16" s="5">
        <f>R16</f>
        <v/>
      </c>
      <c r="V16" s="5">
        <f>R16+(100-S16)</f>
        <v/>
      </c>
      <c r="W16" s="2" t="inlineStr">
        <is>
          <t>[]</t>
        </is>
      </c>
      <c r="X16" s="2" t="inlineStr">
        <is>
          <t>["seo_runs\\jeminise.com\\20260906_234129\\qa\\20260909_131954\\images\\212_06.jpg", "https://cdn.shopify.com/s/files/1/0792/5098/1063/files/4f7ebb170c910bacdb0d128a3e3cf164388321d5e644495de9b203310349253f.jpg?v=1785083537"]</t>
        </is>
      </c>
    </row>
    <row r="17" ht="66" customHeight="1">
      <c r="A17" s="3" t="inlineStr">
        <is>
          <t>jeminise.com+personalized-basketball-court-perspective-comforter-with-name-and-number-5545af9fa4-5545af9fa4</t>
        </is>
      </c>
      <c r="B17" s="3" t="inlineStr">
        <is>
          <t>qaimg_f9250d3422c5beb9</t>
        </is>
      </c>
      <c r="C17" s="4" t="inlineStr">
        <is>
          <t>https://cdn.shopify.com/s/files/1/0792/5098/1063/files/435c166685811ee73f494fa0b340fa5d21d3f02f935d1e95116330ec62408e7d.jpg?v=1785083537</t>
        </is>
      </c>
      <c r="D17" s="4" t="inlineStr">
        <is>
          <t>https://cdn.shopify.com/s/files/1/0792/5098/1063/files/435c166685811ee73f494fa0b340fa5d21d3f02f935d1e95116330ec62408e7d.jpg?v=1785083537</t>
        </is>
      </c>
      <c r="E17" s="3" t="inlineStr">
        <is>
          <t>47538100437191</t>
        </is>
      </c>
      <c r="F17" s="3" t="inlineStr"/>
      <c r="G17" s="3" t="inlineStr">
        <is>
          <t>GALLERY</t>
        </is>
      </c>
      <c r="H17" s="3" t="inlineStr">
        <is>
          <t>DIRECT_IMAGE_FILE_OPENED_AND_VISUALLY_REVIEWED</t>
        </is>
      </c>
      <c r="I17" s="3" t="inlineStr">
        <is>
          <t>2026-09-09T13:19:55+07:00</t>
        </is>
      </c>
      <c r="J17" s="3" t="inlineStr">
        <is>
          <t>QA opened 212_07.jpg (1000x1000) and checked against workbook observation: Size dimension panel for basketball court comforter.</t>
        </is>
      </c>
      <c r="K17" s="3" t="inlineStr">
        <is>
          <t>Size dimension panel for basketball court comforter.</t>
        </is>
      </c>
      <c r="L17" s="3" t="inlineStr">
        <is>
          <t>SET</t>
        </is>
      </c>
      <c r="M17" s="3" t="inlineStr">
        <is>
          <t>Basketball court comforter size panel</t>
        </is>
      </c>
      <c r="N17" s="3" t="inlineStr">
        <is>
          <t>FULL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7">
        <f>IF(N17="FULL",40,IF(N17="PARTIAL",40/2,0))+IF(O17="FULL",30,IF(O17="PARTIAL",30/2,0))+IF(P17="FULL",20,IF(P17="PARTIAL",20/2,0))+IF(Q17="FULL",10,IF(Q17="PARTIAL",10/2,0))</f>
        <v/>
      </c>
      <c r="S17" s="7">
        <f>IF(N17="NOT_CHECKED",0,40)+IF(O17="NOT_CHECKED",0,30)+IF(P17="NOT_CHECKED",0,20)+IF(Q17="NOT_CHECKED",0,10)</f>
        <v/>
      </c>
      <c r="T17" s="7">
        <f>IF(S17=100,R17,"")</f>
        <v/>
      </c>
      <c r="U17" s="7">
        <f>R17</f>
        <v/>
      </c>
      <c r="V17" s="7">
        <f>R17+(100-S17)</f>
        <v/>
      </c>
      <c r="W17" s="3" t="inlineStr">
        <is>
          <t>[]</t>
        </is>
      </c>
      <c r="X17" s="3" t="inlineStr">
        <is>
          <t>["seo_runs\\jeminise.com\\20260906_234129\\qa\\20260909_131954\\images\\212_07.jpg", "https://cdn.shopify.com/s/files/1/0792/5098/1063/files/435c166685811ee73f494fa0b340fa5d21d3f02f935d1e95116330ec62408e7d.jpg?v=1785083537"]</t>
        </is>
      </c>
    </row>
    <row r="18" ht="66" customHeight="1">
      <c r="A18" s="2" t="inlineStr">
        <is>
          <t>jeminise.com+personalized-basketball-cracked-wall-comforter-with-name-and-number-aeaddaa506-aeaddaa506</t>
        </is>
      </c>
      <c r="B18" s="2" t="inlineStr">
        <is>
          <t>qaimg_32acf2d8176ccdb5</t>
        </is>
      </c>
      <c r="C18" s="4" t="inlineStr">
        <is>
          <t>https://cdn.shopify.com/s/files/1/0792/5098/1063/files/981767482a801517161c257ae6effe203e6faf4b166b065307d3a93a1bae6965.jpg?v=1785084338</t>
        </is>
      </c>
      <c r="D18" s="4" t="inlineStr">
        <is>
          <t>https://cdn.shopify.com/s/files/1/0792/5098/1063/files/981767482a801517161c257ae6effe203e6faf4b166b065307d3a93a1bae6965.jpg?v=1785084338</t>
        </is>
      </c>
      <c r="E18" s="2" t="inlineStr">
        <is>
          <t>47538231673031</t>
        </is>
      </c>
      <c r="F18" s="2" t="inlineStr"/>
      <c r="G18" s="2" t="inlineStr">
        <is>
          <t>GALLERY</t>
        </is>
      </c>
      <c r="H18" s="2" t="inlineStr">
        <is>
          <t>DIRECT_IMAGE_FILE_OPENED_AND_VISUALLY_REVIEWED</t>
        </is>
      </c>
      <c r="I18" s="2" t="inlineStr">
        <is>
          <t>2026-09-09T13:19:55+07:00</t>
        </is>
      </c>
      <c r="J18" s="2" t="inlineStr">
        <is>
          <t>QA opened 213_01.jpg (1000x1000) and checked against workbook observation: Bedroom mockup of cracked wall basketball comforter with orange ball and vertical sample name.</t>
        </is>
      </c>
      <c r="K18" s="2" t="inlineStr">
        <is>
          <t>Bedroom mockup of cracked wall basketball comforter with orange ball and vertical sample name.</t>
        </is>
      </c>
      <c r="L18" s="2" t="inlineStr">
        <is>
          <t>SET</t>
        </is>
      </c>
      <c r="M18" s="2" t="inlineStr">
        <is>
          <t>Custom basketball cracked wall comforter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5">
        <f>IF(N18="FULL",40,IF(N18="PARTIAL",40/2,0))+IF(O18="FULL",30,IF(O18="PARTIAL",30/2,0))+IF(P18="FULL",20,IF(P18="PARTIAL",20/2,0))+IF(Q18="FULL",10,IF(Q18="PARTIAL",10/2,0))</f>
        <v/>
      </c>
      <c r="S18" s="5">
        <f>IF(N18="NOT_CHECKED",0,40)+IF(O18="NOT_CHECKED",0,30)+IF(P18="NOT_CHECKED",0,20)+IF(Q18="NOT_CHECKED",0,10)</f>
        <v/>
      </c>
      <c r="T18" s="5">
        <f>IF(S18=100,R18,"")</f>
        <v/>
      </c>
      <c r="U18" s="5">
        <f>R18</f>
        <v/>
      </c>
      <c r="V18" s="5">
        <f>R18+(100-S18)</f>
        <v/>
      </c>
      <c r="W18" s="2" t="inlineStr">
        <is>
          <t>[]</t>
        </is>
      </c>
      <c r="X18" s="2" t="inlineStr">
        <is>
          <t>["seo_runs\\jeminise.com\\20260906_234129\\qa\\20260909_131954\\images\\213_01.jpg", "https://cdn.shopify.com/s/files/1/0792/5098/1063/files/981767482a801517161c257ae6effe203e6faf4b166b065307d3a93a1bae6965.jpg?v=1785084338"]</t>
        </is>
      </c>
    </row>
    <row r="19" ht="66" customHeight="1">
      <c r="A19" s="3" t="inlineStr">
        <is>
          <t>jeminise.com+personalized-basketball-cracked-wall-comforter-with-name-and-number-aeaddaa506-aeaddaa506</t>
        </is>
      </c>
      <c r="B19" s="3" t="inlineStr">
        <is>
          <t>qaimg_6db020f7614cf08a</t>
        </is>
      </c>
      <c r="C19" s="4" t="inlineStr">
        <is>
          <t>https://cdn.shopify.com/s/files/1/0792/5098/1063/files/61a3a50b065031310e5a21b4c7454349fb34b0176ba8c882d241ac28c5bf5eae.jpg?v=1785084338</t>
        </is>
      </c>
      <c r="D19" s="4" t="inlineStr">
        <is>
          <t>https://cdn.shopify.com/s/files/1/0792/5098/1063/files/61a3a50b065031310e5a21b4c7454349fb34b0176ba8c882d241ac28c5bf5eae.jpg?v=1785084338</t>
        </is>
      </c>
      <c r="E19" s="3" t="inlineStr">
        <is>
          <t>47538231705799</t>
        </is>
      </c>
      <c r="F19" s="3" t="inlineStr"/>
      <c r="G19" s="3" t="inlineStr">
        <is>
          <t>GALLERY</t>
        </is>
      </c>
      <c r="H19" s="3" t="inlineStr">
        <is>
          <t>DIRECT_IMAGE_FILE_OPENED_AND_VISUALLY_REVIEWED</t>
        </is>
      </c>
      <c r="I19" s="3" t="inlineStr">
        <is>
          <t>2026-09-09T13:19:55+07:00</t>
        </is>
      </c>
      <c r="J19" s="3" t="inlineStr">
        <is>
          <t>QA opened 213_02.jpg (1000x1000) and checked against workbook observation: Second cracked wall basketball bedding mockup with duvet fold.</t>
        </is>
      </c>
      <c r="K19" s="3" t="inlineStr">
        <is>
          <t>Second cracked wall basketball bedding mockup with duvet fold.</t>
        </is>
      </c>
      <c r="L19" s="3" t="inlineStr">
        <is>
          <t>SET</t>
        </is>
      </c>
      <c r="M19" s="3" t="inlineStr">
        <is>
          <t>Cracked wall basketball bedding mockup</t>
        </is>
      </c>
      <c r="N19" s="3" t="inlineStr">
        <is>
          <t>FULL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7">
        <f>IF(N19="FULL",40,IF(N19="PARTIAL",40/2,0))+IF(O19="FULL",30,IF(O19="PARTIAL",30/2,0))+IF(P19="FULL",20,IF(P19="PARTIAL",20/2,0))+IF(Q19="FULL",10,IF(Q19="PARTIAL",10/2,0))</f>
        <v/>
      </c>
      <c r="S19" s="7">
        <f>IF(N19="NOT_CHECKED",0,40)+IF(O19="NOT_CHECKED",0,30)+IF(P19="NOT_CHECKED",0,20)+IF(Q19="NOT_CHECKED",0,10)</f>
        <v/>
      </c>
      <c r="T19" s="7">
        <f>IF(S19=100,R19,"")</f>
        <v/>
      </c>
      <c r="U19" s="7">
        <f>R19</f>
        <v/>
      </c>
      <c r="V19" s="7">
        <f>R19+(100-S19)</f>
        <v/>
      </c>
      <c r="W19" s="3" t="inlineStr">
        <is>
          <t>[]</t>
        </is>
      </c>
      <c r="X19" s="3" t="inlineStr">
        <is>
          <t>["seo_runs\\jeminise.com\\20260906_234129\\qa\\20260909_131954\\images\\213_02.jpg", "https://cdn.shopify.com/s/files/1/0792/5098/1063/files/61a3a50b065031310e5a21b4c7454349fb34b0176ba8c882d241ac28c5bf5eae.jpg?v=1785084338"]</t>
        </is>
      </c>
    </row>
    <row r="20" ht="66" customHeight="1">
      <c r="A20" s="2" t="inlineStr">
        <is>
          <t>jeminise.com+personalized-basketball-cracked-wall-comforter-with-name-and-number-aeaddaa506-aeaddaa506</t>
        </is>
      </c>
      <c r="B20" s="2" t="inlineStr">
        <is>
          <t>qaimg_7ef1fb068dce5368</t>
        </is>
      </c>
      <c r="C20" s="4" t="inlineStr">
        <is>
          <t>https://cdn.shopify.com/s/files/1/0792/5098/1063/files/8a9e1df72b5192bb43bbd21e95f23ee9fb295c1019815a38619f5e8659a891a2_7b236c73-8a54-4bf3-8202-7e744dde1124.jpg?v=1785084338</t>
        </is>
      </c>
      <c r="D20" s="4" t="inlineStr">
        <is>
          <t>https://cdn.shopify.com/s/files/1/0792/5098/1063/files/8a9e1df72b5192bb43bbd21e95f23ee9fb295c1019815a38619f5e8659a891a2_7b236c73-8a54-4bf3-8202-7e744dde1124.jpg?v=1785084338</t>
        </is>
      </c>
      <c r="E20" s="2" t="inlineStr">
        <is>
          <t>47538231738567</t>
        </is>
      </c>
      <c r="F20" s="2" t="inlineStr"/>
      <c r="G20" s="2" t="inlineStr">
        <is>
          <t>GALLERY</t>
        </is>
      </c>
      <c r="H20" s="2" t="inlineStr">
        <is>
          <t>DIRECT_IMAGE_FILE_OPENED_AND_VISUALLY_REVIEWED</t>
        </is>
      </c>
      <c r="I20" s="2" t="inlineStr">
        <is>
          <t>2026-09-09T13:19:55+07:00</t>
        </is>
      </c>
      <c r="J20" s="2" t="inlineStr">
        <is>
          <t>QA opened 213_03.jpg (1000x1000) and checked against workbook observation: Feature view of cracked wall basketball bedding with comfort icons.</t>
        </is>
      </c>
      <c r="K20" s="2" t="inlineStr">
        <is>
          <t>Feature view of cracked wall basketball bedding with comfort icons.</t>
        </is>
      </c>
      <c r="L20" s="2" t="inlineStr">
        <is>
          <t>SET</t>
        </is>
      </c>
      <c r="M20" s="2" t="inlineStr">
        <is>
          <t>Cracked wall basketball feature view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5">
        <f>IF(N20="FULL",40,IF(N20="PARTIAL",40/2,0))+IF(O20="FULL",30,IF(O20="PARTIAL",30/2,0))+IF(P20="FULL",20,IF(P20="PARTIAL",20/2,0))+IF(Q20="FULL",10,IF(Q20="PARTIAL",10/2,0))</f>
        <v/>
      </c>
      <c r="S20" s="5">
        <f>IF(N20="NOT_CHECKED",0,40)+IF(O20="NOT_CHECKED",0,30)+IF(P20="NOT_CHECKED",0,20)+IF(Q20="NOT_CHECKED",0,10)</f>
        <v/>
      </c>
      <c r="T20" s="5">
        <f>IF(S20=100,R20,"")</f>
        <v/>
      </c>
      <c r="U20" s="5">
        <f>R20</f>
        <v/>
      </c>
      <c r="V20" s="5">
        <f>R20+(100-S20)</f>
        <v/>
      </c>
      <c r="W20" s="2" t="inlineStr">
        <is>
          <t>[]</t>
        </is>
      </c>
      <c r="X20" s="2" t="inlineStr">
        <is>
          <t>["seo_runs\\jeminise.com\\20260906_234129\\qa\\20260909_131954\\images\\213_03.jpg", "https://cdn.shopify.com/s/files/1/0792/5098/1063/files/8a9e1df72b5192bb43bbd21e95f23ee9fb295c1019815a38619f5e8659a891a2_7b236c73-8a54-4bf3-8202-7e744dde1124.jpg?v=1785084338"]</t>
        </is>
      </c>
    </row>
    <row r="21" ht="66" customHeight="1">
      <c r="A21" s="3" t="inlineStr">
        <is>
          <t>jeminise.com+personalized-basketball-cracked-wall-comforter-with-name-and-number-aeaddaa506-aeaddaa506</t>
        </is>
      </c>
      <c r="B21" s="3" t="inlineStr">
        <is>
          <t>qaimg_542d4b4e6f131f3d</t>
        </is>
      </c>
      <c r="C21" s="4" t="inlineStr">
        <is>
          <t>https://cdn.shopify.com/s/files/1/0792/5098/1063/files/ab8cc08cd5e6ff13f46aab9ae11a11baf48d847c925a9c9b9ec47ff14cc2c465.jpg?v=1785084338</t>
        </is>
      </c>
      <c r="D21" s="4" t="inlineStr">
        <is>
          <t>https://cdn.shopify.com/s/files/1/0792/5098/1063/files/ab8cc08cd5e6ff13f46aab9ae11a11baf48d847c925a9c9b9ec47ff14cc2c465.jpg?v=1785084338</t>
        </is>
      </c>
      <c r="E21" s="3" t="inlineStr">
        <is>
          <t>47538231771335</t>
        </is>
      </c>
      <c r="F21" s="3" t="inlineStr"/>
      <c r="G21" s="3" t="inlineStr">
        <is>
          <t>GALLERY</t>
        </is>
      </c>
      <c r="H21" s="3" t="inlineStr">
        <is>
          <t>DIRECT_IMAGE_FILE_OPENED_AND_VISUALLY_REVIEWED</t>
        </is>
      </c>
      <c r="I21" s="3" t="inlineStr">
        <is>
          <t>2026-09-09T13:19:55+07:00</t>
        </is>
      </c>
      <c r="J21" s="3" t="inlineStr">
        <is>
          <t>QA opened 213_04.jpg (1000x1000) and checked against workbook observation: Microfiber panel showing cracked wall basketball print samples.</t>
        </is>
      </c>
      <c r="K21" s="3" t="inlineStr">
        <is>
          <t>Microfiber panel showing cracked wall basketball print samples.</t>
        </is>
      </c>
      <c r="L21" s="3" t="inlineStr">
        <is>
          <t>SET</t>
        </is>
      </c>
      <c r="M21" s="3" t="inlineStr">
        <is>
          <t>Cracked wall basketball microfiber panel</t>
        </is>
      </c>
      <c r="N21" s="3" t="inlineStr">
        <is>
          <t>FULL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7">
        <f>IF(N21="FULL",40,IF(N21="PARTIAL",40/2,0))+IF(O21="FULL",30,IF(O21="PARTIAL",30/2,0))+IF(P21="FULL",20,IF(P21="PARTIAL",20/2,0))+IF(Q21="FULL",10,IF(Q21="PARTIAL",10/2,0))</f>
        <v/>
      </c>
      <c r="S21" s="7">
        <f>IF(N21="NOT_CHECKED",0,40)+IF(O21="NOT_CHECKED",0,30)+IF(P21="NOT_CHECKED",0,20)+IF(Q21="NOT_CHECKED",0,10)</f>
        <v/>
      </c>
      <c r="T21" s="7">
        <f>IF(S21=100,R21,"")</f>
        <v/>
      </c>
      <c r="U21" s="7">
        <f>R21</f>
        <v/>
      </c>
      <c r="V21" s="7">
        <f>R21+(100-S21)</f>
        <v/>
      </c>
      <c r="W21" s="3" t="inlineStr">
        <is>
          <t>[]</t>
        </is>
      </c>
      <c r="X21" s="3" t="inlineStr">
        <is>
          <t>["seo_runs\\jeminise.com\\20260906_234129\\qa\\20260909_131954\\images\\213_04.jpg", "https://cdn.shopify.com/s/files/1/0792/5098/1063/files/ab8cc08cd5e6ff13f46aab9ae11a11baf48d847c925a9c9b9ec47ff14cc2c465.jpg?v=1785084338"]</t>
        </is>
      </c>
    </row>
    <row r="22" ht="66" customHeight="1">
      <c r="A22" s="2" t="inlineStr">
        <is>
          <t>jeminise.com+personalized-basketball-cracked-wall-comforter-with-name-and-number-aeaddaa506-aeaddaa506</t>
        </is>
      </c>
      <c r="B22" s="2" t="inlineStr">
        <is>
          <t>qaimg_b1246d18c32715c5</t>
        </is>
      </c>
      <c r="C22" s="4" t="inlineStr">
        <is>
          <t>https://cdn.shopify.com/s/files/1/0792/5098/1063/files/669bec51d5eae884db8bf4028e40755d2a2b86e5a9c253ccf25ef4c9f8ee3d36.jpg?v=1785084338</t>
        </is>
      </c>
      <c r="D22" s="4" t="inlineStr">
        <is>
          <t>https://cdn.shopify.com/s/files/1/0792/5098/1063/files/669bec51d5eae884db8bf4028e40755d2a2b86e5a9c253ccf25ef4c9f8ee3d36.jpg?v=1785084338</t>
        </is>
      </c>
      <c r="E22" s="2" t="inlineStr">
        <is>
          <t>47538231804103</t>
        </is>
      </c>
      <c r="F22" s="2" t="inlineStr"/>
      <c r="G22" s="2" t="inlineStr">
        <is>
          <t>GALLERY</t>
        </is>
      </c>
      <c r="H22" s="2" t="inlineStr">
        <is>
          <t>DIRECT_IMAGE_FILE_OPENED_AND_VISUALLY_REVIEWED</t>
        </is>
      </c>
      <c r="I22" s="2" t="inlineStr">
        <is>
          <t>2026-09-09T13:19:55+07:00</t>
        </is>
      </c>
      <c r="J22" s="2" t="inlineStr">
        <is>
          <t>QA opened 213_05.jpg (1000x1000) and checked against workbook observation: Easy care panel for basketball bedding.</t>
        </is>
      </c>
      <c r="K22" s="2" t="inlineStr">
        <is>
          <t>Easy care panel for basketball bedding.</t>
        </is>
      </c>
      <c r="L22" s="2" t="inlineStr">
        <is>
          <t>SET</t>
        </is>
      </c>
      <c r="M22" s="2" t="inlineStr">
        <is>
          <t>Basketball bedding easy care panel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5">
        <f>IF(N22="FULL",40,IF(N22="PARTIAL",40/2,0))+IF(O22="FULL",30,IF(O22="PARTIAL",30/2,0))+IF(P22="FULL",20,IF(P22="PARTIAL",20/2,0))+IF(Q22="FULL",10,IF(Q22="PARTIAL",10/2,0))</f>
        <v/>
      </c>
      <c r="S22" s="5">
        <f>IF(N22="NOT_CHECKED",0,40)+IF(O22="NOT_CHECKED",0,30)+IF(P22="NOT_CHECKED",0,20)+IF(Q22="NOT_CHECKED",0,10)</f>
        <v/>
      </c>
      <c r="T22" s="5">
        <f>IF(S22=100,R22,"")</f>
        <v/>
      </c>
      <c r="U22" s="5">
        <f>R22</f>
        <v/>
      </c>
      <c r="V22" s="5">
        <f>R22+(100-S22)</f>
        <v/>
      </c>
      <c r="W22" s="2" t="inlineStr">
        <is>
          <t>[]</t>
        </is>
      </c>
      <c r="X22" s="2" t="inlineStr">
        <is>
          <t>["seo_runs\\jeminise.com\\20260906_234129\\qa\\20260909_131954\\images\\213_05.jpg", "https://cdn.shopify.com/s/files/1/0792/5098/1063/files/669bec51d5eae884db8bf4028e40755d2a2b86e5a9c253ccf25ef4c9f8ee3d36.jpg?v=1785084338"]</t>
        </is>
      </c>
    </row>
    <row r="23" ht="66" customHeight="1">
      <c r="A23" s="3" t="inlineStr">
        <is>
          <t>jeminise.com+personalized-basketball-cracked-wall-comforter-with-name-and-number-aeaddaa506-aeaddaa506</t>
        </is>
      </c>
      <c r="B23" s="3" t="inlineStr">
        <is>
          <t>qaimg_d2794463d5abc984</t>
        </is>
      </c>
      <c r="C23" s="4" t="inlineStr">
        <is>
          <t>https://cdn.shopify.com/s/files/1/0792/5098/1063/files/1dc01d41d7d407730feaf916a9c54d5ba771e06f6674b16473507e7a042a1831_11f105aa-5b21-4e04-bf00-9ab35ac87766.jpg?v=1785084338</t>
        </is>
      </c>
      <c r="D23" s="4" t="inlineStr">
        <is>
          <t>https://cdn.shopify.com/s/files/1/0792/5098/1063/files/1dc01d41d7d407730feaf916a9c54d5ba771e06f6674b16473507e7a042a1831_11f105aa-5b21-4e04-bf00-9ab35ac87766.jpg?v=1785084338</t>
        </is>
      </c>
      <c r="E23" s="3" t="inlineStr">
        <is>
          <t>47538231836871</t>
        </is>
      </c>
      <c r="F23" s="3" t="inlineStr"/>
      <c r="G23" s="3" t="inlineStr">
        <is>
          <t>GALLERY</t>
        </is>
      </c>
      <c r="H23" s="3" t="inlineStr">
        <is>
          <t>DIRECT_IMAGE_FILE_OPENED_AND_VISUALLY_REVIEWED</t>
        </is>
      </c>
      <c r="I23" s="3" t="inlineStr">
        <is>
          <t>2026-09-09T13:19:55+07:00</t>
        </is>
      </c>
      <c r="J23" s="3" t="inlineStr">
        <is>
          <t>QA opened 213_06.jpg (1000x1000) and checked against workbook observation: Bedding type comparison panel for basketball bedding.</t>
        </is>
      </c>
      <c r="K23" s="3" t="inlineStr">
        <is>
          <t>Bedding type comparison panel for basketball bedding.</t>
        </is>
      </c>
      <c r="L23" s="3" t="inlineStr">
        <is>
          <t>SET</t>
        </is>
      </c>
      <c r="M23" s="3" t="inlineStr">
        <is>
          <t>Basketball bedding type panel</t>
        </is>
      </c>
      <c r="N23" s="3" t="inlineStr">
        <is>
          <t>FULL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7">
        <f>IF(N23="FULL",40,IF(N23="PARTIAL",40/2,0))+IF(O23="FULL",30,IF(O23="PARTIAL",30/2,0))+IF(P23="FULL",20,IF(P23="PARTIAL",20/2,0))+IF(Q23="FULL",10,IF(Q23="PARTIAL",10/2,0))</f>
        <v/>
      </c>
      <c r="S23" s="7">
        <f>IF(N23="NOT_CHECKED",0,40)+IF(O23="NOT_CHECKED",0,30)+IF(P23="NOT_CHECKED",0,20)+IF(Q23="NOT_CHECKED",0,10)</f>
        <v/>
      </c>
      <c r="T23" s="7">
        <f>IF(S23=100,R23,"")</f>
        <v/>
      </c>
      <c r="U23" s="7">
        <f>R23</f>
        <v/>
      </c>
      <c r="V23" s="7">
        <f>R23+(100-S23)</f>
        <v/>
      </c>
      <c r="W23" s="3" t="inlineStr">
        <is>
          <t>[]</t>
        </is>
      </c>
      <c r="X23" s="3" t="inlineStr">
        <is>
          <t>["seo_runs\\jeminise.com\\20260906_234129\\qa\\20260909_131954\\images\\213_06.jpg", "https://cdn.shopify.com/s/files/1/0792/5098/1063/files/1dc01d41d7d407730feaf916a9c54d5ba771e06f6674b16473507e7a042a1831_11f105aa-5b21-4e04-bf00-9ab35ac87766.jpg?v=1785084338"]</t>
        </is>
      </c>
    </row>
    <row r="24" ht="66" customHeight="1">
      <c r="A24" s="2" t="inlineStr">
        <is>
          <t>jeminise.com+personalized-basketball-cracked-wall-comforter-with-name-and-number-aeaddaa506-aeaddaa506</t>
        </is>
      </c>
      <c r="B24" s="2" t="inlineStr">
        <is>
          <t>qaimg_0de9cd194a13df39</t>
        </is>
      </c>
      <c r="C24" s="4" t="inlineStr">
        <is>
          <t>https://cdn.shopify.com/s/files/1/0792/5098/1063/files/c24959ab140390d63cc323f99e5e71b8352d51d82db09e1b8086064e57b3ff2f_abed60d9-47c3-4715-b454-754ea8ff6af5.jpg?v=1785084338</t>
        </is>
      </c>
      <c r="D24" s="4" t="inlineStr">
        <is>
          <t>https://cdn.shopify.com/s/files/1/0792/5098/1063/files/c24959ab140390d63cc323f99e5e71b8352d51d82db09e1b8086064e57b3ff2f_abed60d9-47c3-4715-b454-754ea8ff6af5.jpg?v=1785084338</t>
        </is>
      </c>
      <c r="E24" s="2" t="inlineStr">
        <is>
          <t>47538231869639</t>
        </is>
      </c>
      <c r="F24" s="2" t="inlineStr"/>
      <c r="G24" s="2" t="inlineStr">
        <is>
          <t>GALLERY</t>
        </is>
      </c>
      <c r="H24" s="2" t="inlineStr">
        <is>
          <t>DIRECT_IMAGE_FILE_OPENED_AND_VISUALLY_REVIEWED</t>
        </is>
      </c>
      <c r="I24" s="2" t="inlineStr">
        <is>
          <t>2026-09-09T13:19:55+07:00</t>
        </is>
      </c>
      <c r="J24" s="2" t="inlineStr">
        <is>
          <t>QA opened 213_07.jpg (1000x1000) and checked against workbook observation: Size dimension panel for basketball comforter.</t>
        </is>
      </c>
      <c r="K24" s="2" t="inlineStr">
        <is>
          <t>Size dimension panel for basketball comforter.</t>
        </is>
      </c>
      <c r="L24" s="2" t="inlineStr">
        <is>
          <t>SET</t>
        </is>
      </c>
      <c r="M24" s="2" t="inlineStr">
        <is>
          <t>Basketball comforter size panel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5">
        <f>IF(N24="FULL",40,IF(N24="PARTIAL",40/2,0))+IF(O24="FULL",30,IF(O24="PARTIAL",30/2,0))+IF(P24="FULL",20,IF(P24="PARTIAL",20/2,0))+IF(Q24="FULL",10,IF(Q24="PARTIAL",10/2,0))</f>
        <v/>
      </c>
      <c r="S24" s="5">
        <f>IF(N24="NOT_CHECKED",0,40)+IF(O24="NOT_CHECKED",0,30)+IF(P24="NOT_CHECKED",0,20)+IF(Q24="NOT_CHECKED",0,10)</f>
        <v/>
      </c>
      <c r="T24" s="5">
        <f>IF(S24=100,R24,"")</f>
        <v/>
      </c>
      <c r="U24" s="5">
        <f>R24</f>
        <v/>
      </c>
      <c r="V24" s="5">
        <f>R24+(100-S24)</f>
        <v/>
      </c>
      <c r="W24" s="2" t="inlineStr">
        <is>
          <t>[]</t>
        </is>
      </c>
      <c r="X24" s="2" t="inlineStr">
        <is>
          <t>["seo_runs\\jeminise.com\\20260906_234129\\qa\\20260909_131954\\images\\213_07.jpg", "https://cdn.shopify.com/s/files/1/0792/5098/1063/files/c24959ab140390d63cc323f99e5e71b8352d51d82db09e1b8086064e57b3ff2f_abed60d9-47c3-4715-b454-754ea8ff6af5.jpg?v=1785084338"]</t>
        </is>
      </c>
    </row>
    <row r="25" ht="66" customHeight="1">
      <c r="A25" s="3" t="inlineStr">
        <is>
          <t>jeminise.com+personalized-basketball-entering-net-comforter-e55e615fd3-e55e615fd3</t>
        </is>
      </c>
      <c r="B25" s="3" t="inlineStr">
        <is>
          <t>qaimg_12168f099ba58f84</t>
        </is>
      </c>
      <c r="C25" s="4" t="inlineStr">
        <is>
          <t>https://cdn.shopify.com/s/files/1/0792/5098/1063/files/5c00fb358cea9806c4159f1c05a98e1ba66260416b04fc75b7fb665b58d231e5.jpg?v=1785084549</t>
        </is>
      </c>
      <c r="D25" s="4" t="inlineStr">
        <is>
          <t>https://cdn.shopify.com/s/files/1/0792/5098/1063/files/5c00fb358cea9806c4159f1c05a98e1ba66260416b04fc75b7fb665b58d231e5.jpg?v=1785084549</t>
        </is>
      </c>
      <c r="E25" s="3" t="inlineStr">
        <is>
          <t>47538266046663</t>
        </is>
      </c>
      <c r="F25" s="3" t="inlineStr"/>
      <c r="G25" s="3" t="inlineStr">
        <is>
          <t>GALLERY</t>
        </is>
      </c>
      <c r="H25" s="3" t="inlineStr">
        <is>
          <t>DIRECT_IMAGE_FILE_OPENED_AND_VISUALLY_REVIEWED</t>
        </is>
      </c>
      <c r="I25" s="3" t="inlineStr">
        <is>
          <t>2026-09-09T13:19:55+07:00</t>
        </is>
      </c>
      <c r="J25" s="3" t="inlineStr">
        <is>
          <t>QA opened 214_01.jpg (800x800) and checked against workbook observation: Bedroom mockup of rainbow basketball net comforter with glowing hoop and sample name.</t>
        </is>
      </c>
      <c r="K25" s="3" t="inlineStr">
        <is>
          <t>Bedroom mockup of rainbow basketball net comforter with glowing hoop and sample name.</t>
        </is>
      </c>
      <c r="L25" s="3" t="inlineStr">
        <is>
          <t>SET</t>
        </is>
      </c>
      <c r="M25" s="3" t="inlineStr">
        <is>
          <t>Custom rainbow basketball net comforter</t>
        </is>
      </c>
      <c r="N25" s="3" t="inlineStr">
        <is>
          <t>FULL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7">
        <f>IF(N25="FULL",40,IF(N25="PARTIAL",40/2,0))+IF(O25="FULL",30,IF(O25="PARTIAL",30/2,0))+IF(P25="FULL",20,IF(P25="PARTIAL",20/2,0))+IF(Q25="FULL",10,IF(Q25="PARTIAL",10/2,0))</f>
        <v/>
      </c>
      <c r="S25" s="7">
        <f>IF(N25="NOT_CHECKED",0,40)+IF(O25="NOT_CHECKED",0,30)+IF(P25="NOT_CHECKED",0,20)+IF(Q25="NOT_CHECKED",0,10)</f>
        <v/>
      </c>
      <c r="T25" s="7">
        <f>IF(S25=100,R25,"")</f>
        <v/>
      </c>
      <c r="U25" s="7">
        <f>R25</f>
        <v/>
      </c>
      <c r="V25" s="7">
        <f>R25+(100-S25)</f>
        <v/>
      </c>
      <c r="W25" s="3" t="inlineStr">
        <is>
          <t>[]</t>
        </is>
      </c>
      <c r="X25" s="3" t="inlineStr">
        <is>
          <t>["seo_runs\\jeminise.com\\20260906_234129\\qa\\20260909_131954\\images\\214_01.jpg", "https://cdn.shopify.com/s/files/1/0792/5098/1063/files/5c00fb358cea9806c4159f1c05a98e1ba66260416b04fc75b7fb665b58d231e5.jpg?v=1785084549"]</t>
        </is>
      </c>
    </row>
    <row r="26" ht="66" customHeight="1">
      <c r="A26" s="2" t="inlineStr">
        <is>
          <t>jeminise.com+personalized-basketball-entering-net-comforter-e55e615fd3-e55e615fd3</t>
        </is>
      </c>
      <c r="B26" s="2" t="inlineStr">
        <is>
          <t>qaimg_8b5528f4b61e441f</t>
        </is>
      </c>
      <c r="C26" s="4" t="inlineStr">
        <is>
          <t>https://cdn.shopify.com/s/files/1/0792/5098/1063/files/080402accd4681f12aaee57e416c312af962e5815c063752993018229e4a1ffb_4f4d05a9-f56c-4bb0-a56e-a13d6437f24a.jpg?v=1785084550</t>
        </is>
      </c>
      <c r="D26" s="4" t="inlineStr">
        <is>
          <t>https://cdn.shopify.com/s/files/1/0792/5098/1063/files/080402accd4681f12aaee57e416c312af962e5815c063752993018229e4a1ffb_4f4d05a9-f56c-4bb0-a56e-a13d6437f24a.jpg?v=1785084550</t>
        </is>
      </c>
      <c r="E26" s="2" t="inlineStr">
        <is>
          <t>47538266079431</t>
        </is>
      </c>
      <c r="F26" s="2" t="inlineStr"/>
      <c r="G26" s="2" t="inlineStr">
        <is>
          <t>GALLERY</t>
        </is>
      </c>
      <c r="H26" s="2" t="inlineStr">
        <is>
          <t>DIRECT_IMAGE_FILE_OPENED_AND_VISUALLY_REVIEWED</t>
        </is>
      </c>
      <c r="I26" s="2" t="inlineStr">
        <is>
          <t>2026-09-09T13:19:55+07:00</t>
        </is>
      </c>
      <c r="J26" s="2" t="inlineStr">
        <is>
          <t>QA opened 214_02.jpg (1080x1080) and checked against workbook observation: High-density weaving panel comparing fabric samples.</t>
        </is>
      </c>
      <c r="K26" s="2" t="inlineStr">
        <is>
          <t>High-density weaving panel comparing fabric samples.</t>
        </is>
      </c>
      <c r="L26" s="2" t="inlineStr">
        <is>
          <t>SET</t>
        </is>
      </c>
      <c r="M26" s="2" t="inlineStr">
        <is>
          <t>High-density weaving feature panel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5">
        <f>IF(N26="FULL",40,IF(N26="PARTIAL",40/2,0))+IF(O26="FULL",30,IF(O26="PARTIAL",30/2,0))+IF(P26="FULL",20,IF(P26="PARTIAL",20/2,0))+IF(Q26="FULL",10,IF(Q26="PARTIAL",10/2,0))</f>
        <v/>
      </c>
      <c r="S26" s="5">
        <f>IF(N26="NOT_CHECKED",0,40)+IF(O26="NOT_CHECKED",0,30)+IF(P26="NOT_CHECKED",0,20)+IF(Q26="NOT_CHECKED",0,10)</f>
        <v/>
      </c>
      <c r="T26" s="5">
        <f>IF(S26=100,R26,"")</f>
        <v/>
      </c>
      <c r="U26" s="5">
        <f>R26</f>
        <v/>
      </c>
      <c r="V26" s="5">
        <f>R26+(100-S26)</f>
        <v/>
      </c>
      <c r="W26" s="2" t="inlineStr">
        <is>
          <t>[]</t>
        </is>
      </c>
      <c r="X26" s="2" t="inlineStr">
        <is>
          <t>["seo_runs\\jeminise.com\\20260906_234129\\qa\\20260909_131954\\images\\214_02.jpg", "https://cdn.shopify.com/s/files/1/0792/5098/1063/files/080402accd4681f12aaee57e416c312af962e5815c063752993018229e4a1ffb_4f4d05a9-f56c-4bb0-a56e-a13d6437f24a.jpg?v=1785084550"]</t>
        </is>
      </c>
    </row>
    <row r="27" ht="66" customHeight="1">
      <c r="A27" s="3" t="inlineStr">
        <is>
          <t>jeminise.com+personalized-basketball-entering-net-comforter-e55e615fd3-e55e615fd3</t>
        </is>
      </c>
      <c r="B27" s="3" t="inlineStr">
        <is>
          <t>qaimg_f60651ba68d4f700</t>
        </is>
      </c>
      <c r="C27" s="4" t="inlineStr">
        <is>
          <t>https://cdn.shopify.com/s/files/1/0792/5098/1063/files/8107bb2956f86c6be6eb5742779b881dbc0980d9546c8a8efa0f335bec8ffedd_abdcd194-9377-47c1-9e1b-1adf107b7399.jpg?v=1785084549</t>
        </is>
      </c>
      <c r="D27" s="4" t="inlineStr">
        <is>
          <t>https://cdn.shopify.com/s/files/1/0792/5098/1063/files/8107bb2956f86c6be6eb5742779b881dbc0980d9546c8a8efa0f335bec8ffedd_abdcd194-9377-47c1-9e1b-1adf107b7399.jpg?v=1785084549</t>
        </is>
      </c>
      <c r="E27" s="3" t="inlineStr">
        <is>
          <t>47538266112199</t>
        </is>
      </c>
      <c r="F27" s="3" t="inlineStr"/>
      <c r="G27" s="3" t="inlineStr">
        <is>
          <t>GALLERY</t>
        </is>
      </c>
      <c r="H27" s="3" t="inlineStr">
        <is>
          <t>DIRECT_IMAGE_FILE_OPENED_AND_VISUALLY_REVIEWED</t>
        </is>
      </c>
      <c r="I27" s="3" t="inlineStr">
        <is>
          <t>2026-09-09T13:19:55+07:00</t>
        </is>
      </c>
      <c r="J27" s="3" t="inlineStr">
        <is>
          <t>QA opened 214_03.jpg (1056x763) and checked against workbook observation: Machine washable care panel with washing machine and laundry basket.</t>
        </is>
      </c>
      <c r="K27" s="3" t="inlineStr">
        <is>
          <t>Machine washable care panel with washing machine and laundry basket.</t>
        </is>
      </c>
      <c r="L27" s="3" t="inlineStr">
        <is>
          <t>SET</t>
        </is>
      </c>
      <c r="M27" s="3" t="inlineStr">
        <is>
          <t>Machine washable bedding care panel</t>
        </is>
      </c>
      <c r="N27" s="3" t="inlineStr">
        <is>
          <t>FULL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7">
        <f>IF(N27="FULL",40,IF(N27="PARTIAL",40/2,0))+IF(O27="FULL",30,IF(O27="PARTIAL",30/2,0))+IF(P27="FULL",20,IF(P27="PARTIAL",20/2,0))+IF(Q27="FULL",10,IF(Q27="PARTIAL",10/2,0))</f>
        <v/>
      </c>
      <c r="S27" s="7">
        <f>IF(N27="NOT_CHECKED",0,40)+IF(O27="NOT_CHECKED",0,30)+IF(P27="NOT_CHECKED",0,20)+IF(Q27="NOT_CHECKED",0,10)</f>
        <v/>
      </c>
      <c r="T27" s="7">
        <f>IF(S27=100,R27,"")</f>
        <v/>
      </c>
      <c r="U27" s="7">
        <f>R27</f>
        <v/>
      </c>
      <c r="V27" s="7">
        <f>R27+(100-S27)</f>
        <v/>
      </c>
      <c r="W27" s="3" t="inlineStr">
        <is>
          <t>[]</t>
        </is>
      </c>
      <c r="X27" s="3" t="inlineStr">
        <is>
          <t>["seo_runs\\jeminise.com\\20260906_234129\\qa\\20260909_131954\\images\\214_03.jpg", "https://cdn.shopify.com/s/files/1/0792/5098/1063/files/8107bb2956f86c6be6eb5742779b881dbc0980d9546c8a8efa0f335bec8ffedd_abdcd194-9377-47c1-9e1b-1adf107b7399.jpg?v=1785084549"]</t>
        </is>
      </c>
    </row>
    <row r="28" ht="66" customHeight="1">
      <c r="A28" s="2" t="inlineStr">
        <is>
          <t>jeminise.com+personalized-basketball-entering-net-comforter-e55e615fd3-e55e615fd3</t>
        </is>
      </c>
      <c r="B28" s="2" t="inlineStr">
        <is>
          <t>qaimg_9a7bdb26d60924b0</t>
        </is>
      </c>
      <c r="C28" s="4" t="inlineStr">
        <is>
          <t>https://cdn.shopify.com/s/files/1/0792/5098/1063/files/884bdba6e618b6b653ea15a2b7072cbe3391d94a1ff502c86f0a7f82c84d560e_83a97450-7326-440f-b169-12a043274605.jpg?v=1785084549</t>
        </is>
      </c>
      <c r="D28" s="4" t="inlineStr">
        <is>
          <t>https://cdn.shopify.com/s/files/1/0792/5098/1063/files/884bdba6e618b6b653ea15a2b7072cbe3391d94a1ff502c86f0a7f82c84d560e_83a97450-7326-440f-b169-12a043274605.jpg?v=1785084549</t>
        </is>
      </c>
      <c r="E28" s="2" t="inlineStr">
        <is>
          <t>47538266144967</t>
        </is>
      </c>
      <c r="F28" s="2" t="inlineStr"/>
      <c r="G28" s="2" t="inlineStr">
        <is>
          <t>GALLERY</t>
        </is>
      </c>
      <c r="H28" s="2" t="inlineStr">
        <is>
          <t>DIRECT_IMAGE_FILE_OPENED_AND_VISUALLY_REVIEWED</t>
        </is>
      </c>
      <c r="I28" s="2" t="inlineStr">
        <is>
          <t>2026-09-09T13:19:55+07:00</t>
        </is>
      </c>
      <c r="J28" s="2" t="inlineStr">
        <is>
          <t>QA opened 214_04.jpg (1050x1050) and checked against workbook observation: Bottom zippered closure panel with white zipper close-up.</t>
        </is>
      </c>
      <c r="K28" s="2" t="inlineStr">
        <is>
          <t>Bottom zippered closure panel with white zipper close-up.</t>
        </is>
      </c>
      <c r="L28" s="2" t="inlineStr">
        <is>
          <t>SET</t>
        </is>
      </c>
      <c r="M28" s="2" t="inlineStr">
        <is>
          <t>Bottom zippered closure panel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5">
        <f>IF(N28="FULL",40,IF(N28="PARTIAL",40/2,0))+IF(O28="FULL",30,IF(O28="PARTIAL",30/2,0))+IF(P28="FULL",20,IF(P28="PARTIAL",20/2,0))+IF(Q28="FULL",10,IF(Q28="PARTIAL",10/2,0))</f>
        <v/>
      </c>
      <c r="S28" s="5">
        <f>IF(N28="NOT_CHECKED",0,40)+IF(O28="NOT_CHECKED",0,30)+IF(P28="NOT_CHECKED",0,20)+IF(Q28="NOT_CHECKED",0,10)</f>
        <v/>
      </c>
      <c r="T28" s="5">
        <f>IF(S28=100,R28,"")</f>
        <v/>
      </c>
      <c r="U28" s="5">
        <f>R28</f>
        <v/>
      </c>
      <c r="V28" s="5">
        <f>R28+(100-S28)</f>
        <v/>
      </c>
      <c r="W28" s="2" t="inlineStr">
        <is>
          <t>[]</t>
        </is>
      </c>
      <c r="X28" s="2" t="inlineStr">
        <is>
          <t>["seo_runs\\jeminise.com\\20260906_234129\\qa\\20260909_131954\\images\\214_04.jpg", "https://cdn.shopify.com/s/files/1/0792/5098/1063/files/884bdba6e618b6b653ea15a2b7072cbe3391d94a1ff502c86f0a7f82c84d560e_83a97450-7326-440f-b169-12a043274605.jpg?v=1785084549"]</t>
        </is>
      </c>
    </row>
    <row r="29" ht="66" customHeight="1">
      <c r="A29" s="3" t="inlineStr">
        <is>
          <t>jeminise.com+personalized-basketball-entering-net-comforter-e55e615fd3-e55e615fd3</t>
        </is>
      </c>
      <c r="B29" s="3" t="inlineStr">
        <is>
          <t>qaimg_d36042c96cda5871</t>
        </is>
      </c>
      <c r="C29" s="4" t="inlineStr">
        <is>
          <t>https://cdn.shopify.com/s/files/1/0792/5098/1063/files/7e01a24815061db50abd6e64659c2004cf59e904c4256d2c29bd15f89f7e1e83_c2a19618-96a3-4bdd-b49d-5fa34306cc10.jpg?v=1785084549</t>
        </is>
      </c>
      <c r="D29" s="4" t="inlineStr">
        <is>
          <t>https://cdn.shopify.com/s/files/1/0792/5098/1063/files/7e01a24815061db50abd6e64659c2004cf59e904c4256d2c29bd15f89f7e1e83_c2a19618-96a3-4bdd-b49d-5fa34306cc10.jpg?v=1785084549</t>
        </is>
      </c>
      <c r="E29" s="3" t="inlineStr">
        <is>
          <t>47538266177735</t>
        </is>
      </c>
      <c r="F29" s="3" t="inlineStr"/>
      <c r="G29" s="3" t="inlineStr">
        <is>
          <t>GALLERY</t>
        </is>
      </c>
      <c r="H29" s="3" t="inlineStr">
        <is>
          <t>DIRECT_IMAGE_FILE_OPENED_AND_VISUALLY_REVIEWED</t>
        </is>
      </c>
      <c r="I29" s="3" t="inlineStr">
        <is>
          <t>2026-09-09T13:19:55+07:00</t>
        </is>
      </c>
      <c r="J29" s="3" t="inlineStr">
        <is>
          <t>QA opened 214_05.jpg (1280x1222) and checked against workbook observation: Rainbow basketball net comforter product mockup with bright court artwork.</t>
        </is>
      </c>
      <c r="K29" s="3" t="inlineStr">
        <is>
          <t>Rainbow basketball net comforter product mockup with bright court artwork.</t>
        </is>
      </c>
      <c r="L29" s="3" t="inlineStr">
        <is>
          <t>SET</t>
        </is>
      </c>
      <c r="M29" s="3" t="inlineStr">
        <is>
          <t>Rainbow basketball net comforter mockup</t>
        </is>
      </c>
      <c r="N29" s="3" t="inlineStr">
        <is>
          <t>FULL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7">
        <f>IF(N29="FULL",40,IF(N29="PARTIAL",40/2,0))+IF(O29="FULL",30,IF(O29="PARTIAL",30/2,0))+IF(P29="FULL",20,IF(P29="PARTIAL",20/2,0))+IF(Q29="FULL",10,IF(Q29="PARTIAL",10/2,0))</f>
        <v/>
      </c>
      <c r="S29" s="7">
        <f>IF(N29="NOT_CHECKED",0,40)+IF(O29="NOT_CHECKED",0,30)+IF(P29="NOT_CHECKED",0,20)+IF(Q29="NOT_CHECKED",0,10)</f>
        <v/>
      </c>
      <c r="T29" s="7">
        <f>IF(S29=100,R29,"")</f>
        <v/>
      </c>
      <c r="U29" s="7">
        <f>R29</f>
        <v/>
      </c>
      <c r="V29" s="7">
        <f>R29+(100-S29)</f>
        <v/>
      </c>
      <c r="W29" s="3" t="inlineStr">
        <is>
          <t>[]</t>
        </is>
      </c>
      <c r="X29" s="3" t="inlineStr">
        <is>
          <t>["seo_runs\\jeminise.com\\20260906_234129\\qa\\20260909_131954\\images\\214_05.jpg", "https://cdn.shopify.com/s/files/1/0792/5098/1063/files/7e01a24815061db50abd6e64659c2004cf59e904c4256d2c29bd15f89f7e1e83_c2a19618-96a3-4bdd-b49d-5fa34306cc10.jpg?v=1785084549"]</t>
        </is>
      </c>
    </row>
    <row r="30" ht="66" customHeight="1">
      <c r="A30" s="2" t="inlineStr">
        <is>
          <t>jeminise.com+personalized-basketball-fire-and-water-splash-blanket-with-name-and-number-b05a53f208-b05a53f208</t>
        </is>
      </c>
      <c r="B30" s="2" t="inlineStr">
        <is>
          <t>qaimg_8f5c96545bbf062a</t>
        </is>
      </c>
      <c r="C30" s="4" t="inlineStr">
        <is>
          <t>https://cdn.shopify.com/s/files/1/0792/5098/1063/files/6670191f6387d4bb9a95bcb7fe3584235e5227dc4e72d2ec01cb802841acf2d1.jpg?v=1785090119</t>
        </is>
      </c>
      <c r="D30" s="4" t="inlineStr">
        <is>
          <t>https://cdn.shopify.com/s/files/1/0792/5098/1063/files/6670191f6387d4bb9a95bcb7fe3584235e5227dc4e72d2ec01cb802841acf2d1.jpg?v=1785090119</t>
        </is>
      </c>
      <c r="E30" s="2" t="inlineStr">
        <is>
          <t>47538888310983</t>
        </is>
      </c>
      <c r="F30" s="2" t="inlineStr"/>
      <c r="G30" s="2" t="inlineStr">
        <is>
          <t>GALLERY</t>
        </is>
      </c>
      <c r="H30" s="2" t="inlineStr">
        <is>
          <t>DIRECT_IMAGE_FILE_OPENED_AND_VISUALLY_REVIEWED</t>
        </is>
      </c>
      <c r="I30" s="2" t="inlineStr">
        <is>
          <t>2026-09-09T13:19:55+07:00</t>
        </is>
      </c>
      <c r="J30" s="2" t="inlineStr">
        <is>
          <t>QA opened 215_01.jpg (1000x1000) and checked against workbook observation: Blanket mockup with basketball, fire, water splash and vertical sample name.</t>
        </is>
      </c>
      <c r="K30" s="2" t="inlineStr">
        <is>
          <t>Blanket mockup with basketball, fire, water splash and vertical sample name.</t>
        </is>
      </c>
      <c r="L30" s="2" t="inlineStr">
        <is>
          <t>SET</t>
        </is>
      </c>
      <c r="M30" s="2" t="inlineStr">
        <is>
          <t>Custom basketball fire water blanket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5">
        <f>IF(N30="FULL",40,IF(N30="PARTIAL",40/2,0))+IF(O30="FULL",30,IF(O30="PARTIAL",30/2,0))+IF(P30="FULL",20,IF(P30="PARTIAL",20/2,0))+IF(Q30="FULL",10,IF(Q30="PARTIAL",10/2,0))</f>
        <v/>
      </c>
      <c r="S30" s="5">
        <f>IF(N30="NOT_CHECKED",0,40)+IF(O30="NOT_CHECKED",0,30)+IF(P30="NOT_CHECKED",0,20)+IF(Q30="NOT_CHECKED",0,10)</f>
        <v/>
      </c>
      <c r="T30" s="5">
        <f>IF(S30=100,R30,"")</f>
        <v/>
      </c>
      <c r="U30" s="5">
        <f>R30</f>
        <v/>
      </c>
      <c r="V30" s="5">
        <f>R30+(100-S30)</f>
        <v/>
      </c>
      <c r="W30" s="2" t="inlineStr">
        <is>
          <t>[]</t>
        </is>
      </c>
      <c r="X30" s="2" t="inlineStr">
        <is>
          <t>["seo_runs\\jeminise.com\\20260906_234129\\qa\\20260909_131954\\images\\215_01.jpg", "https://cdn.shopify.com/s/files/1/0792/5098/1063/files/6670191f6387d4bb9a95bcb7fe3584235e5227dc4e72d2ec01cb802841acf2d1.jpg?v=1785090119"]</t>
        </is>
      </c>
    </row>
    <row r="31" ht="66" customHeight="1">
      <c r="A31" s="3" t="inlineStr">
        <is>
          <t>jeminise.com+personalized-basketball-fire-and-water-splash-blanket-with-name-and-number-b05a53f208-b05a53f208</t>
        </is>
      </c>
      <c r="B31" s="3" t="inlineStr">
        <is>
          <t>qaimg_201fd431e00d471e</t>
        </is>
      </c>
      <c r="C31" s="4" t="inlineStr">
        <is>
          <t>https://cdn.shopify.com/s/files/1/0792/5098/1063/files/365c18cd1cd830f1969e88933bb11e3a2993aa75e95c7769ac6f0bbbbf456db4.jpg?v=1785090119</t>
        </is>
      </c>
      <c r="D31" s="4" t="inlineStr">
        <is>
          <t>https://cdn.shopify.com/s/files/1/0792/5098/1063/files/365c18cd1cd830f1969e88933bb11e3a2993aa75e95c7769ac6f0bbbbf456db4.jpg?v=1785090119</t>
        </is>
      </c>
      <c r="E31" s="3" t="inlineStr">
        <is>
          <t>47538888343751</t>
        </is>
      </c>
      <c r="F31" s="3" t="inlineStr"/>
      <c r="G31" s="3" t="inlineStr">
        <is>
          <t>GALLERY</t>
        </is>
      </c>
      <c r="H31" s="3" t="inlineStr">
        <is>
          <t>DIRECT_IMAGE_FILE_OPENED_AND_VISUALLY_REVIEWED</t>
        </is>
      </c>
      <c r="I31" s="3" t="inlineStr">
        <is>
          <t>2026-09-09T13:19:55+07:00</t>
        </is>
      </c>
      <c r="J31" s="3" t="inlineStr">
        <is>
          <t>QA opened 215_02.jpg (1000x1000) and checked against workbook observation: Basketball fire water blanket draped on sofa.</t>
        </is>
      </c>
      <c r="K31" s="3" t="inlineStr">
        <is>
          <t>Basketball fire water blanket draped on sofa.</t>
        </is>
      </c>
      <c r="L31" s="3" t="inlineStr">
        <is>
          <t>SET</t>
        </is>
      </c>
      <c r="M31" s="3" t="inlineStr">
        <is>
          <t>Basketball fire water blanket on sofa</t>
        </is>
      </c>
      <c r="N31" s="3" t="inlineStr">
        <is>
          <t>FULL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7">
        <f>IF(N31="FULL",40,IF(N31="PARTIAL",40/2,0))+IF(O31="FULL",30,IF(O31="PARTIAL",30/2,0))+IF(P31="FULL",20,IF(P31="PARTIAL",20/2,0))+IF(Q31="FULL",10,IF(Q31="PARTIAL",10/2,0))</f>
        <v/>
      </c>
      <c r="S31" s="7">
        <f>IF(N31="NOT_CHECKED",0,40)+IF(O31="NOT_CHECKED",0,30)+IF(P31="NOT_CHECKED",0,20)+IF(Q31="NOT_CHECKED",0,10)</f>
        <v/>
      </c>
      <c r="T31" s="7">
        <f>IF(S31=100,R31,"")</f>
        <v/>
      </c>
      <c r="U31" s="7">
        <f>R31</f>
        <v/>
      </c>
      <c r="V31" s="7">
        <f>R31+(100-S31)</f>
        <v/>
      </c>
      <c r="W31" s="3" t="inlineStr">
        <is>
          <t>[]</t>
        </is>
      </c>
      <c r="X31" s="3" t="inlineStr">
        <is>
          <t>["seo_runs\\jeminise.com\\20260906_234129\\qa\\20260909_131954\\images\\215_02.jpg", "https://cdn.shopify.com/s/files/1/0792/5098/1063/files/365c18cd1cd830f1969e88933bb11e3a2993aa75e95c7769ac6f0bbbbf456db4.jpg?v=1785090119"]</t>
        </is>
      </c>
    </row>
    <row r="32" ht="66" customHeight="1">
      <c r="A32" s="2" t="inlineStr">
        <is>
          <t>jeminise.com+personalized-basketball-fire-and-water-splash-blanket-with-name-and-number-b05a53f208-b05a53f208</t>
        </is>
      </c>
      <c r="B32" s="2" t="inlineStr">
        <is>
          <t>qaimg_deb0fc1e422a9143</t>
        </is>
      </c>
      <c r="C32" s="4" t="inlineStr">
        <is>
          <t>https://cdn.shopify.com/s/files/1/0792/5098/1063/files/e57f15a21e2cad9a9eef3b035b686746f79363d25cee8112277c573e57725032.jpg?v=1785090119</t>
        </is>
      </c>
      <c r="D32" s="4" t="inlineStr">
        <is>
          <t>https://cdn.shopify.com/s/files/1/0792/5098/1063/files/e57f15a21e2cad9a9eef3b035b686746f79363d25cee8112277c573e57725032.jpg?v=1785090119</t>
        </is>
      </c>
      <c r="E32" s="2" t="inlineStr">
        <is>
          <t>47538888376519</t>
        </is>
      </c>
      <c r="F32" s="2" t="inlineStr"/>
      <c r="G32" s="2" t="inlineStr">
        <is>
          <t>GALLERY</t>
        </is>
      </c>
      <c r="H32" s="2" t="inlineStr">
        <is>
          <t>DIRECT_IMAGE_FILE_OPENED_AND_VISUALLY_REVIEWED</t>
        </is>
      </c>
      <c r="I32" s="2" t="inlineStr">
        <is>
          <t>2026-09-09T13:19:55+07:00</t>
        </is>
      </c>
      <c r="J32" s="2" t="inlineStr">
        <is>
          <t>QA opened 215_03.jpg (1000x1000) and checked against workbook observation: Folded basketball blanket showing fire and water splash artwork.</t>
        </is>
      </c>
      <c r="K32" s="2" t="inlineStr">
        <is>
          <t>Folded basketball blanket showing fire and water splash artwork.</t>
        </is>
      </c>
      <c r="L32" s="2" t="inlineStr">
        <is>
          <t>SET</t>
        </is>
      </c>
      <c r="M32" s="2" t="inlineStr">
        <is>
          <t>Basketball fire water blanket folded view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5">
        <f>IF(N32="FULL",40,IF(N32="PARTIAL",40/2,0))+IF(O32="FULL",30,IF(O32="PARTIAL",30/2,0))+IF(P32="FULL",20,IF(P32="PARTIAL",20/2,0))+IF(Q32="FULL",10,IF(Q32="PARTIAL",10/2,0))</f>
        <v/>
      </c>
      <c r="S32" s="5">
        <f>IF(N32="NOT_CHECKED",0,40)+IF(O32="NOT_CHECKED",0,30)+IF(P32="NOT_CHECKED",0,20)+IF(Q32="NOT_CHECKED",0,10)</f>
        <v/>
      </c>
      <c r="T32" s="5">
        <f>IF(S32=100,R32,"")</f>
        <v/>
      </c>
      <c r="U32" s="5">
        <f>R32</f>
        <v/>
      </c>
      <c r="V32" s="5">
        <f>R32+(100-S32)</f>
        <v/>
      </c>
      <c r="W32" s="2" t="inlineStr">
        <is>
          <t>[]</t>
        </is>
      </c>
      <c r="X32" s="2" t="inlineStr">
        <is>
          <t>["seo_runs\\jeminise.com\\20260906_234129\\qa\\20260909_131954\\images\\215_03.jpg", "https://cdn.shopify.com/s/files/1/0792/5098/1063/files/e57f15a21e2cad9a9eef3b035b686746f79363d25cee8112277c573e57725032.jpg?v=1785090119"]</t>
        </is>
      </c>
    </row>
    <row r="33" ht="66" customHeight="1">
      <c r="A33" s="3" t="inlineStr">
        <is>
          <t>jeminise.com+personalized-basketball-fire-and-water-splash-blanket-with-name-and-number-b05a53f208-b05a53f208</t>
        </is>
      </c>
      <c r="B33" s="3" t="inlineStr">
        <is>
          <t>qaimg_b8f9c73928e10d7c</t>
        </is>
      </c>
      <c r="C33" s="4" t="inlineStr">
        <is>
          <t>https://cdn.shopify.com/s/files/1/0792/5098/1063/files/99334f27de8187de388b0412cf15654081a106eeceafa15c35d3088bad2af464.jpg?v=1785090119</t>
        </is>
      </c>
      <c r="D33" s="4" t="inlineStr">
        <is>
          <t>https://cdn.shopify.com/s/files/1/0792/5098/1063/files/99334f27de8187de388b0412cf15654081a106eeceafa15c35d3088bad2af464.jpg?v=1785090119</t>
        </is>
      </c>
      <c r="E33" s="3" t="inlineStr">
        <is>
          <t>47538888409287</t>
        </is>
      </c>
      <c r="F33" s="3" t="inlineStr"/>
      <c r="G33" s="3" t="inlineStr">
        <is>
          <t>GALLERY</t>
        </is>
      </c>
      <c r="H33" s="3" t="inlineStr">
        <is>
          <t>DIRECT_IMAGE_FILE_OPENED_AND_VISUALLY_REVIEWED</t>
        </is>
      </c>
      <c r="I33" s="3" t="inlineStr">
        <is>
          <t>2026-09-09T13:19:55+07:00</t>
        </is>
      </c>
      <c r="J33" s="3" t="inlineStr">
        <is>
          <t>QA opened 215_04.jpg (1000x1000) and checked against workbook observation: Basketball blanket size or style panel.</t>
        </is>
      </c>
      <c r="K33" s="3" t="inlineStr">
        <is>
          <t>Basketball blanket size or style panel.</t>
        </is>
      </c>
      <c r="L33" s="3" t="inlineStr">
        <is>
          <t>SET</t>
        </is>
      </c>
      <c r="M33" s="3" t="inlineStr">
        <is>
          <t>Basketball fire water blanket size panel</t>
        </is>
      </c>
      <c r="N33" s="3" t="inlineStr">
        <is>
          <t>FULL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7">
        <f>IF(N33="FULL",40,IF(N33="PARTIAL",40/2,0))+IF(O33="FULL",30,IF(O33="PARTIAL",30/2,0))+IF(P33="FULL",20,IF(P33="PARTIAL",20/2,0))+IF(Q33="FULL",10,IF(Q33="PARTIAL",10/2,0))</f>
        <v/>
      </c>
      <c r="S33" s="7">
        <f>IF(N33="NOT_CHECKED",0,40)+IF(O33="NOT_CHECKED",0,30)+IF(P33="NOT_CHECKED",0,20)+IF(Q33="NOT_CHECKED",0,10)</f>
        <v/>
      </c>
      <c r="T33" s="7">
        <f>IF(S33=100,R33,"")</f>
        <v/>
      </c>
      <c r="U33" s="7">
        <f>R33</f>
        <v/>
      </c>
      <c r="V33" s="7">
        <f>R33+(100-S33)</f>
        <v/>
      </c>
      <c r="W33" s="3" t="inlineStr">
        <is>
          <t>[]</t>
        </is>
      </c>
      <c r="X33" s="3" t="inlineStr">
        <is>
          <t>["seo_runs\\jeminise.com\\20260906_234129\\qa\\20260909_131954\\images\\215_04.jpg", "https://cdn.shopify.com/s/files/1/0792/5098/1063/files/99334f27de8187de388b0412cf15654081a106eeceafa15c35d3088bad2af464.jpg?v=1785090119"]</t>
        </is>
      </c>
    </row>
    <row r="34" ht="66" customHeight="1">
      <c r="A34" s="2" t="inlineStr">
        <is>
          <t>jeminise.com+personalized-basketball-fire-and-water-splash-blanket-with-name-and-number-b05a53f208-b05a53f208</t>
        </is>
      </c>
      <c r="B34" s="2" t="inlineStr">
        <is>
          <t>qaimg_8bb305eb3ea871b8</t>
        </is>
      </c>
      <c r="C34" s="4" t="inlineStr">
        <is>
          <t>https://cdn.shopify.com/s/files/1/0792/5098/1063/files/cf72ed7c40667662f0015a3efa17e79299f91662da7c4cb25e2a6c9baadec942.jpg?v=1785090119</t>
        </is>
      </c>
      <c r="D34" s="4" t="inlineStr">
        <is>
          <t>https://cdn.shopify.com/s/files/1/0792/5098/1063/files/cf72ed7c40667662f0015a3efa17e79299f91662da7c4cb25e2a6c9baadec942.jpg?v=1785090119</t>
        </is>
      </c>
      <c r="E34" s="2" t="inlineStr">
        <is>
          <t>47538888442055</t>
        </is>
      </c>
      <c r="F34" s="2" t="inlineStr"/>
      <c r="G34" s="2" t="inlineStr">
        <is>
          <t>GALLERY</t>
        </is>
      </c>
      <c r="H34" s="2" t="inlineStr">
        <is>
          <t>DIRECT_IMAGE_FILE_OPENED_AND_VISUALLY_REVIEWED</t>
        </is>
      </c>
      <c r="I34" s="2" t="inlineStr">
        <is>
          <t>2026-09-09T13:19:55+07:00</t>
        </is>
      </c>
      <c r="J34" s="2" t="inlineStr">
        <is>
          <t>QA opened 215_05.jpg (1000x1000) and checked against workbook observation: Close-up fabric panel for basketball fire water blanket.</t>
        </is>
      </c>
      <c r="K34" s="2" t="inlineStr">
        <is>
          <t>Close-up fabric panel for basketball fire water blanket.</t>
        </is>
      </c>
      <c r="L34" s="2" t="inlineStr">
        <is>
          <t>SET</t>
        </is>
      </c>
      <c r="M34" s="2" t="inlineStr">
        <is>
          <t>Basketball fire water blanket fabric panel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5">
        <f>IF(N34="FULL",40,IF(N34="PARTIAL",40/2,0))+IF(O34="FULL",30,IF(O34="PARTIAL",30/2,0))+IF(P34="FULL",20,IF(P34="PARTIAL",20/2,0))+IF(Q34="FULL",10,IF(Q34="PARTIAL",10/2,0))</f>
        <v/>
      </c>
      <c r="S34" s="5">
        <f>IF(N34="NOT_CHECKED",0,40)+IF(O34="NOT_CHECKED",0,30)+IF(P34="NOT_CHECKED",0,20)+IF(Q34="NOT_CHECKED",0,10)</f>
        <v/>
      </c>
      <c r="T34" s="5">
        <f>IF(S34=100,R34,"")</f>
        <v/>
      </c>
      <c r="U34" s="5">
        <f>R34</f>
        <v/>
      </c>
      <c r="V34" s="5">
        <f>R34+(100-S34)</f>
        <v/>
      </c>
      <c r="W34" s="2" t="inlineStr">
        <is>
          <t>[]</t>
        </is>
      </c>
      <c r="X34" s="2" t="inlineStr">
        <is>
          <t>["seo_runs\\jeminise.com\\20260906_234129\\qa\\20260909_131954\\images\\215_05.jpg", "https://cdn.shopify.com/s/files/1/0792/5098/1063/files/cf72ed7c40667662f0015a3efa17e79299f91662da7c4cb25e2a6c9baadec942.jpg?v=1785090119"]</t>
        </is>
      </c>
    </row>
    <row r="35" ht="66" customHeight="1">
      <c r="A35" s="3" t="inlineStr">
        <is>
          <t>jeminise.com+personalized-basketball-fire-and-water-splash-blanket-with-name-and-number-b05a53f208-b05a53f208</t>
        </is>
      </c>
      <c r="B35" s="3" t="inlineStr">
        <is>
          <t>qaimg_e86d7228f96a3880</t>
        </is>
      </c>
      <c r="C35" s="4" t="inlineStr">
        <is>
          <t>https://cdn.shopify.com/s/files/1/0792/5098/1063/files/c0e3e1ac3a847d8fc5f463c96dfe8cf255d7b6c0e65db762f525a568cd2c71d6.jpg?v=1785090119</t>
        </is>
      </c>
      <c r="D35" s="4" t="inlineStr">
        <is>
          <t>https://cdn.shopify.com/s/files/1/0792/5098/1063/files/c0e3e1ac3a847d8fc5f463c96dfe8cf255d7b6c0e65db762f525a568cd2c71d6.jpg?v=1785090119</t>
        </is>
      </c>
      <c r="E35" s="3" t="inlineStr">
        <is>
          <t>47538888474823</t>
        </is>
      </c>
      <c r="F35" s="3" t="inlineStr"/>
      <c r="G35" s="3" t="inlineStr">
        <is>
          <t>GALLERY</t>
        </is>
      </c>
      <c r="H35" s="3" t="inlineStr">
        <is>
          <t>DIRECT_IMAGE_FILE_OPENED_AND_VISUALLY_REVIEWED</t>
        </is>
      </c>
      <c r="I35" s="3" t="inlineStr">
        <is>
          <t>2026-09-09T13:19:55+07:00</t>
        </is>
      </c>
      <c r="J35" s="3" t="inlineStr">
        <is>
          <t>QA opened 215_06.jpg (1500x1500) and checked against workbook observation: Lifestyle use image for basketball blanket.</t>
        </is>
      </c>
      <c r="K35" s="3" t="inlineStr">
        <is>
          <t>Lifestyle use image for basketball blanket.</t>
        </is>
      </c>
      <c r="L35" s="3" t="inlineStr">
        <is>
          <t>SET</t>
        </is>
      </c>
      <c r="M35" s="3" t="inlineStr">
        <is>
          <t>Basketball blanket lifestyle panel</t>
        </is>
      </c>
      <c r="N35" s="3" t="inlineStr">
        <is>
          <t>FULL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7">
        <f>IF(N35="FULL",40,IF(N35="PARTIAL",40/2,0))+IF(O35="FULL",30,IF(O35="PARTIAL",30/2,0))+IF(P35="FULL",20,IF(P35="PARTIAL",20/2,0))+IF(Q35="FULL",10,IF(Q35="PARTIAL",10/2,0))</f>
        <v/>
      </c>
      <c r="S35" s="7">
        <f>IF(N35="NOT_CHECKED",0,40)+IF(O35="NOT_CHECKED",0,30)+IF(P35="NOT_CHECKED",0,20)+IF(Q35="NOT_CHECKED",0,10)</f>
        <v/>
      </c>
      <c r="T35" s="7">
        <f>IF(S35=100,R35,"")</f>
        <v/>
      </c>
      <c r="U35" s="7">
        <f>R35</f>
        <v/>
      </c>
      <c r="V35" s="7">
        <f>R35+(100-S35)</f>
        <v/>
      </c>
      <c r="W35" s="3" t="inlineStr">
        <is>
          <t>[]</t>
        </is>
      </c>
      <c r="X35" s="3" t="inlineStr">
        <is>
          <t>["seo_runs\\jeminise.com\\20260906_234129\\qa\\20260909_131954\\images\\215_06.jpg", "https://cdn.shopify.com/s/files/1/0792/5098/1063/files/c0e3e1ac3a847d8fc5f463c96dfe8cf255d7b6c0e65db762f525a568cd2c71d6.jpg?v=1785090119"]</t>
        </is>
      </c>
    </row>
    <row r="36" ht="66" customHeight="1">
      <c r="A36" s="2" t="inlineStr">
        <is>
          <t>jeminise.com+personalized-basketball-fire-and-water-splash-blanket-with-name-and-number-b05a53f208-b05a53f208</t>
        </is>
      </c>
      <c r="B36" s="2" t="inlineStr">
        <is>
          <t>qaimg_9b17041208afda2a</t>
        </is>
      </c>
      <c r="C36" s="4" t="inlineStr">
        <is>
          <t>https://cdn.shopify.com/s/files/1/0792/5098/1063/files/731a46271cc2edb73e4aa9a9ea7f97d8baa159853f998d7c4332e0a6e9083a43.jpg?v=1785090119</t>
        </is>
      </c>
      <c r="D36" s="4" t="inlineStr">
        <is>
          <t>https://cdn.shopify.com/s/files/1/0792/5098/1063/files/731a46271cc2edb73e4aa9a9ea7f97d8baa159853f998d7c4332e0a6e9083a43.jpg?v=1785090119</t>
        </is>
      </c>
      <c r="E36" s="2" t="inlineStr">
        <is>
          <t>47538888507591</t>
        </is>
      </c>
      <c r="F36" s="2" t="inlineStr"/>
      <c r="G36" s="2" t="inlineStr">
        <is>
          <t>GALLERY</t>
        </is>
      </c>
      <c r="H36" s="2" t="inlineStr">
        <is>
          <t>DIRECT_IMAGE_FILE_OPENED_AND_VISUALLY_REVIEWED</t>
        </is>
      </c>
      <c r="I36" s="2" t="inlineStr">
        <is>
          <t>2026-09-09T13:19:55+07:00</t>
        </is>
      </c>
      <c r="J36" s="2" t="inlineStr">
        <is>
          <t>QA opened 215_07.jpg (1500x1500) and checked against workbook observation: Additional basketball blanket mockup with fire and water artwork.</t>
        </is>
      </c>
      <c r="K36" s="2" t="inlineStr">
        <is>
          <t>Additional basketball blanket mockup with fire and water artwork.</t>
        </is>
      </c>
      <c r="L36" s="2" t="inlineStr">
        <is>
          <t>SET</t>
        </is>
      </c>
      <c r="M36" s="2" t="inlineStr">
        <is>
          <t>Basketball fire water blanket mockup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5">
        <f>IF(N36="FULL",40,IF(N36="PARTIAL",40/2,0))+IF(O36="FULL",30,IF(O36="PARTIAL",30/2,0))+IF(P36="FULL",20,IF(P36="PARTIAL",20/2,0))+IF(Q36="FULL",10,IF(Q36="PARTIAL",10/2,0))</f>
        <v/>
      </c>
      <c r="S36" s="5">
        <f>IF(N36="NOT_CHECKED",0,40)+IF(O36="NOT_CHECKED",0,30)+IF(P36="NOT_CHECKED",0,20)+IF(Q36="NOT_CHECKED",0,10)</f>
        <v/>
      </c>
      <c r="T36" s="5">
        <f>IF(S36=100,R36,"")</f>
        <v/>
      </c>
      <c r="U36" s="5">
        <f>R36</f>
        <v/>
      </c>
      <c r="V36" s="5">
        <f>R36+(100-S36)</f>
        <v/>
      </c>
      <c r="W36" s="2" t="inlineStr">
        <is>
          <t>[]</t>
        </is>
      </c>
      <c r="X36" s="2" t="inlineStr">
        <is>
          <t>["seo_runs\\jeminise.com\\20260906_234129\\qa\\20260909_131954\\images\\215_07.jpg", "https://cdn.shopify.com/s/files/1/0792/5098/1063/files/731a46271cc2edb73e4aa9a9ea7f97d8baa159853f998d7c4332e0a6e9083a43.jpg?v=1785090119"]</t>
        </is>
      </c>
    </row>
    <row r="37" ht="66" customHeight="1">
      <c r="A37" s="3" t="inlineStr">
        <is>
          <t>jeminise.com+personalized-basketball-fire-and-water-splash-blanket-with-name-and-number-b05a53f208-b05a53f208</t>
        </is>
      </c>
      <c r="B37" s="3" t="inlineStr">
        <is>
          <t>qaimg_b1239ae3f32a1b29</t>
        </is>
      </c>
      <c r="C37" s="4" t="inlineStr">
        <is>
          <t>https://cdn.shopify.com/s/files/1/0792/5098/1063/files/fed30c386ed240f23f6eb6e6eed2746d61873b9a1c066a7562806149d17dbd28.jpg?v=1785090119</t>
        </is>
      </c>
      <c r="D37" s="4" t="inlineStr">
        <is>
          <t>https://cdn.shopify.com/s/files/1/0792/5098/1063/files/fed30c386ed240f23f6eb6e6eed2746d61873b9a1c066a7562806149d17dbd28.jpg?v=1785090119</t>
        </is>
      </c>
      <c r="E37" s="3" t="inlineStr">
        <is>
          <t>47538888540359</t>
        </is>
      </c>
      <c r="F37" s="3" t="inlineStr"/>
      <c r="G37" s="3" t="inlineStr">
        <is>
          <t>GALLERY</t>
        </is>
      </c>
      <c r="H37" s="3" t="inlineStr">
        <is>
          <t>DIRECT_IMAGE_FILE_OPENED_AND_VISUALLY_REVIEWED</t>
        </is>
      </c>
      <c r="I37" s="3" t="inlineStr">
        <is>
          <t>2026-09-09T13:19:55+07:00</t>
        </is>
      </c>
      <c r="J37" s="3" t="inlineStr">
        <is>
          <t>QA opened 215_08.jpg (1000x1000) and checked against workbook observation: Basketball blanket feature panel.</t>
        </is>
      </c>
      <c r="K37" s="3" t="inlineStr">
        <is>
          <t>Basketball blanket feature panel.</t>
        </is>
      </c>
      <c r="L37" s="3" t="inlineStr">
        <is>
          <t>SET</t>
        </is>
      </c>
      <c r="M37" s="3" t="inlineStr">
        <is>
          <t>Basketball fire water blanket feature panel</t>
        </is>
      </c>
      <c r="N37" s="3" t="inlineStr">
        <is>
          <t>FULL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7">
        <f>IF(N37="FULL",40,IF(N37="PARTIAL",40/2,0))+IF(O37="FULL",30,IF(O37="PARTIAL",30/2,0))+IF(P37="FULL",20,IF(P37="PARTIAL",20/2,0))+IF(Q37="FULL",10,IF(Q37="PARTIAL",10/2,0))</f>
        <v/>
      </c>
      <c r="S37" s="7">
        <f>IF(N37="NOT_CHECKED",0,40)+IF(O37="NOT_CHECKED",0,30)+IF(P37="NOT_CHECKED",0,20)+IF(Q37="NOT_CHECKED",0,10)</f>
        <v/>
      </c>
      <c r="T37" s="7">
        <f>IF(S37=100,R37,"")</f>
        <v/>
      </c>
      <c r="U37" s="7">
        <f>R37</f>
        <v/>
      </c>
      <c r="V37" s="7">
        <f>R37+(100-S37)</f>
        <v/>
      </c>
      <c r="W37" s="3" t="inlineStr">
        <is>
          <t>[]</t>
        </is>
      </c>
      <c r="X37" s="3" t="inlineStr">
        <is>
          <t>["seo_runs\\jeminise.com\\20260906_234129\\qa\\20260909_131954\\images\\215_08.jpg", "https://cdn.shopify.com/s/files/1/0792/5098/1063/files/fed30c386ed240f23f6eb6e6eed2746d61873b9a1c066a7562806149d17dbd28.jpg?v=1785090119"]</t>
        </is>
      </c>
    </row>
    <row r="38" ht="66" customHeight="1">
      <c r="A38" s="2" t="inlineStr">
        <is>
          <t>jeminise.com+personalized-basketball-flames-flying-over-comforter-with-name-and-number-feb4be1ea4-feb4be1ea4</t>
        </is>
      </c>
      <c r="B38" s="2" t="inlineStr">
        <is>
          <t>qaimg_4267a1c26329efb3</t>
        </is>
      </c>
      <c r="C38" s="4" t="inlineStr">
        <is>
          <t>https://cdn.shopify.com/s/files/1/0792/5098/1063/files/9cb3fc6270024b604cde79d6a526338481c20330753208655bd973a69c512b14.jpg?v=1785083134</t>
        </is>
      </c>
      <c r="D38" s="4" t="inlineStr">
        <is>
          <t>https://cdn.shopify.com/s/files/1/0792/5098/1063/files/9cb3fc6270024b604cde79d6a526338481c20330753208655bd973a69c512b14.jpg?v=1785083134</t>
        </is>
      </c>
      <c r="E38" s="2" t="inlineStr">
        <is>
          <t>47538021073095</t>
        </is>
      </c>
      <c r="F38" s="2" t="inlineStr"/>
      <c r="G38" s="2" t="inlineStr">
        <is>
          <t>GALLERY</t>
        </is>
      </c>
      <c r="H38" s="2" t="inlineStr">
        <is>
          <t>DIRECT_IMAGE_FILE_OPENED_AND_VISUALLY_REVIEWED</t>
        </is>
      </c>
      <c r="I38" s="2" t="inlineStr">
        <is>
          <t>2026-09-09T13:19:55+07:00</t>
        </is>
      </c>
      <c r="J38" s="2" t="inlineStr">
        <is>
          <t>QA opened 216_01.jpg (1000x1000) and checked against workbook observation: Bedroom mockup of flaming basketball comforter with flying ball, sample name and number.</t>
        </is>
      </c>
      <c r="K38" s="2" t="inlineStr">
        <is>
          <t>Bedroom mockup of flaming basketball comforter with flying ball, sample name and number.</t>
        </is>
      </c>
      <c r="L38" s="2" t="inlineStr">
        <is>
          <t>SET</t>
        </is>
      </c>
      <c r="M38" s="2" t="inlineStr">
        <is>
          <t>Custom flaming basketball comforter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5">
        <f>IF(N38="FULL",40,IF(N38="PARTIAL",40/2,0))+IF(O38="FULL",30,IF(O38="PARTIAL",30/2,0))+IF(P38="FULL",20,IF(P38="PARTIAL",20/2,0))+IF(Q38="FULL",10,IF(Q38="PARTIAL",10/2,0))</f>
        <v/>
      </c>
      <c r="S38" s="5">
        <f>IF(N38="NOT_CHECKED",0,40)+IF(O38="NOT_CHECKED",0,30)+IF(P38="NOT_CHECKED",0,20)+IF(Q38="NOT_CHECKED",0,10)</f>
        <v/>
      </c>
      <c r="T38" s="5">
        <f>IF(S38=100,R38,"")</f>
        <v/>
      </c>
      <c r="U38" s="5">
        <f>R38</f>
        <v/>
      </c>
      <c r="V38" s="5">
        <f>R38+(100-S38)</f>
        <v/>
      </c>
      <c r="W38" s="2" t="inlineStr">
        <is>
          <t>[]</t>
        </is>
      </c>
      <c r="X38" s="2" t="inlineStr">
        <is>
          <t>["seo_runs\\jeminise.com\\20260906_234129\\qa\\20260909_131954\\images\\216_01.jpg", "https://cdn.shopify.com/s/files/1/0792/5098/1063/files/9cb3fc6270024b604cde79d6a526338481c20330753208655bd973a69c512b14.jpg?v=1785083134"]</t>
        </is>
      </c>
    </row>
    <row r="39" ht="66" customHeight="1">
      <c r="A39" s="3" t="inlineStr">
        <is>
          <t>jeminise.com+personalized-basketball-flames-flying-over-comforter-with-name-and-number-feb4be1ea4-feb4be1ea4</t>
        </is>
      </c>
      <c r="B39" s="3" t="inlineStr">
        <is>
          <t>qaimg_c65d2521e821449c</t>
        </is>
      </c>
      <c r="C39" s="4" t="inlineStr">
        <is>
          <t>https://cdn.shopify.com/s/files/1/0792/5098/1063/files/6019b5b3274aa2cb8cacdedb78cd90033781028d6f9ddbf4c63f17d203a50ea3.jpg?v=1785083134</t>
        </is>
      </c>
      <c r="D39" s="4" t="inlineStr">
        <is>
          <t>https://cdn.shopify.com/s/files/1/0792/5098/1063/files/6019b5b3274aa2cb8cacdedb78cd90033781028d6f9ddbf4c63f17d203a50ea3.jpg?v=1785083134</t>
        </is>
      </c>
      <c r="E39" s="3" t="inlineStr">
        <is>
          <t>47538021105863</t>
        </is>
      </c>
      <c r="F39" s="3" t="inlineStr"/>
      <c r="G39" s="3" t="inlineStr">
        <is>
          <t>GALLERY</t>
        </is>
      </c>
      <c r="H39" s="3" t="inlineStr">
        <is>
          <t>DIRECT_IMAGE_FILE_OPENED_AND_VISUALLY_REVIEWED</t>
        </is>
      </c>
      <c r="I39" s="3" t="inlineStr">
        <is>
          <t>2026-09-09T13:19:55+07:00</t>
        </is>
      </c>
      <c r="J39" s="3" t="inlineStr">
        <is>
          <t>QA opened 216_02.jpg (1000x1000) and checked against workbook observation: Second flaming basketball bedding mockup with duvet fold.</t>
        </is>
      </c>
      <c r="K39" s="3" t="inlineStr">
        <is>
          <t>Second flaming basketball bedding mockup with duvet fold.</t>
        </is>
      </c>
      <c r="L39" s="3" t="inlineStr">
        <is>
          <t>SET</t>
        </is>
      </c>
      <c r="M39" s="3" t="inlineStr">
        <is>
          <t>Flaming basketball bedding mockup</t>
        </is>
      </c>
      <c r="N39" s="3" t="inlineStr">
        <is>
          <t>FULL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7">
        <f>IF(N39="FULL",40,IF(N39="PARTIAL",40/2,0))+IF(O39="FULL",30,IF(O39="PARTIAL",30/2,0))+IF(P39="FULL",20,IF(P39="PARTIAL",20/2,0))+IF(Q39="FULL",10,IF(Q39="PARTIAL",10/2,0))</f>
        <v/>
      </c>
      <c r="S39" s="7">
        <f>IF(N39="NOT_CHECKED",0,40)+IF(O39="NOT_CHECKED",0,30)+IF(P39="NOT_CHECKED",0,20)+IF(Q39="NOT_CHECKED",0,10)</f>
        <v/>
      </c>
      <c r="T39" s="7">
        <f>IF(S39=100,R39,"")</f>
        <v/>
      </c>
      <c r="U39" s="7">
        <f>R39</f>
        <v/>
      </c>
      <c r="V39" s="7">
        <f>R39+(100-S39)</f>
        <v/>
      </c>
      <c r="W39" s="3" t="inlineStr">
        <is>
          <t>[]</t>
        </is>
      </c>
      <c r="X39" s="3" t="inlineStr">
        <is>
          <t>["seo_runs\\jeminise.com\\20260906_234129\\qa\\20260909_131954\\images\\216_02.jpg", "https://cdn.shopify.com/s/files/1/0792/5098/1063/files/6019b5b3274aa2cb8cacdedb78cd90033781028d6f9ddbf4c63f17d203a50ea3.jpg?v=1785083134"]</t>
        </is>
      </c>
    </row>
    <row r="40" ht="66" customHeight="1">
      <c r="A40" s="2" t="inlineStr">
        <is>
          <t>jeminise.com+personalized-basketball-flames-flying-over-comforter-with-name-and-number-feb4be1ea4-feb4be1ea4</t>
        </is>
      </c>
      <c r="B40" s="2" t="inlineStr">
        <is>
          <t>qaimg_242eed57f3bb3bf0</t>
        </is>
      </c>
      <c r="C40" s="4" t="inlineStr">
        <is>
          <t>https://cdn.shopify.com/s/files/1/0792/5098/1063/files/8a9e1df72b5192bb43bbd21e95f23ee9fb295c1019815a38619f5e8659a891a2.jpg?v=1785083134</t>
        </is>
      </c>
      <c r="D40" s="4" t="inlineStr">
        <is>
          <t>https://cdn.shopify.com/s/files/1/0792/5098/1063/files/8a9e1df72b5192bb43bbd21e95f23ee9fb295c1019815a38619f5e8659a891a2.jpg?v=1785083134</t>
        </is>
      </c>
      <c r="E40" s="2" t="inlineStr">
        <is>
          <t>47538021138631</t>
        </is>
      </c>
      <c r="F40" s="2" t="inlineStr"/>
      <c r="G40" s="2" t="inlineStr">
        <is>
          <t>GALLERY</t>
        </is>
      </c>
      <c r="H40" s="2" t="inlineStr">
        <is>
          <t>DIRECT_IMAGE_FILE_OPENED_AND_VISUALLY_REVIEWED</t>
        </is>
      </c>
      <c r="I40" s="2" t="inlineStr">
        <is>
          <t>2026-09-09T13:19:55+07:00</t>
        </is>
      </c>
      <c r="J40" s="2" t="inlineStr">
        <is>
          <t>QA opened 216_03.jpg (1000x1000) and checked against workbook observation: Feature view of flaming basketball bedding with comfort icons.</t>
        </is>
      </c>
      <c r="K40" s="2" t="inlineStr">
        <is>
          <t>Feature view of flaming basketball bedding with comfort icons.</t>
        </is>
      </c>
      <c r="L40" s="2" t="inlineStr">
        <is>
          <t>SET</t>
        </is>
      </c>
      <c r="M40" s="2" t="inlineStr">
        <is>
          <t>Flaming basketball feature view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5">
        <f>IF(N40="FULL",40,IF(N40="PARTIAL",40/2,0))+IF(O40="FULL",30,IF(O40="PARTIAL",30/2,0))+IF(P40="FULL",20,IF(P40="PARTIAL",20/2,0))+IF(Q40="FULL",10,IF(Q40="PARTIAL",10/2,0))</f>
        <v/>
      </c>
      <c r="S40" s="5">
        <f>IF(N40="NOT_CHECKED",0,40)+IF(O40="NOT_CHECKED",0,30)+IF(P40="NOT_CHECKED",0,20)+IF(Q40="NOT_CHECKED",0,10)</f>
        <v/>
      </c>
      <c r="T40" s="5">
        <f>IF(S40=100,R40,"")</f>
        <v/>
      </c>
      <c r="U40" s="5">
        <f>R40</f>
        <v/>
      </c>
      <c r="V40" s="5">
        <f>R40+(100-S40)</f>
        <v/>
      </c>
      <c r="W40" s="2" t="inlineStr">
        <is>
          <t>[]</t>
        </is>
      </c>
      <c r="X40" s="2" t="inlineStr">
        <is>
          <t>["seo_runs\\jeminise.com\\20260906_234129\\qa\\20260909_131954\\images\\216_03.jpg", "https://cdn.shopify.com/s/files/1/0792/5098/1063/files/8a9e1df72b5192bb43bbd21e95f23ee9fb295c1019815a38619f5e8659a891a2.jpg?v=1785083134"]</t>
        </is>
      </c>
    </row>
    <row r="41" ht="66" customHeight="1">
      <c r="A41" s="3" t="inlineStr">
        <is>
          <t>jeminise.com+personalized-basketball-flames-flying-over-comforter-with-name-and-number-feb4be1ea4-feb4be1ea4</t>
        </is>
      </c>
      <c r="B41" s="3" t="inlineStr">
        <is>
          <t>qaimg_2c5b5429c74d9c9c</t>
        </is>
      </c>
      <c r="C41" s="4" t="inlineStr">
        <is>
          <t>https://cdn.shopify.com/s/files/1/0792/5098/1063/files/79314e2cf25aafc1d6482ba615bde9a91484df22d9283488eb083dba5e8cdb25.jpg?v=1785083134</t>
        </is>
      </c>
      <c r="D41" s="4" t="inlineStr">
        <is>
          <t>https://cdn.shopify.com/s/files/1/0792/5098/1063/files/79314e2cf25aafc1d6482ba615bde9a91484df22d9283488eb083dba5e8cdb25.jpg?v=1785083134</t>
        </is>
      </c>
      <c r="E41" s="3" t="inlineStr">
        <is>
          <t>47538021171399</t>
        </is>
      </c>
      <c r="F41" s="3" t="inlineStr"/>
      <c r="G41" s="3" t="inlineStr">
        <is>
          <t>GALLERY</t>
        </is>
      </c>
      <c r="H41" s="3" t="inlineStr">
        <is>
          <t>DIRECT_IMAGE_FILE_OPENED_AND_VISUALLY_REVIEWED</t>
        </is>
      </c>
      <c r="I41" s="3" t="inlineStr">
        <is>
          <t>2026-09-09T13:19:55+07:00</t>
        </is>
      </c>
      <c r="J41" s="3" t="inlineStr">
        <is>
          <t>QA opened 216_04.jpg (1000x1000) and checked against workbook observation: Microfiber panel showing flaming basketball print samples.</t>
        </is>
      </c>
      <c r="K41" s="3" t="inlineStr">
        <is>
          <t>Microfiber panel showing flaming basketball print samples.</t>
        </is>
      </c>
      <c r="L41" s="3" t="inlineStr">
        <is>
          <t>SET</t>
        </is>
      </c>
      <c r="M41" s="3" t="inlineStr">
        <is>
          <t>Flaming basketball microfiber panel</t>
        </is>
      </c>
      <c r="N41" s="3" t="inlineStr">
        <is>
          <t>FULL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7">
        <f>IF(N41="FULL",40,IF(N41="PARTIAL",40/2,0))+IF(O41="FULL",30,IF(O41="PARTIAL",30/2,0))+IF(P41="FULL",20,IF(P41="PARTIAL",20/2,0))+IF(Q41="FULL",10,IF(Q41="PARTIAL",10/2,0))</f>
        <v/>
      </c>
      <c r="S41" s="7">
        <f>IF(N41="NOT_CHECKED",0,40)+IF(O41="NOT_CHECKED",0,30)+IF(P41="NOT_CHECKED",0,20)+IF(Q41="NOT_CHECKED",0,10)</f>
        <v/>
      </c>
      <c r="T41" s="7">
        <f>IF(S41=100,R41,"")</f>
        <v/>
      </c>
      <c r="U41" s="7">
        <f>R41</f>
        <v/>
      </c>
      <c r="V41" s="7">
        <f>R41+(100-S41)</f>
        <v/>
      </c>
      <c r="W41" s="3" t="inlineStr">
        <is>
          <t>[]</t>
        </is>
      </c>
      <c r="X41" s="3" t="inlineStr">
        <is>
          <t>["seo_runs\\jeminise.com\\20260906_234129\\qa\\20260909_131954\\images\\216_04.jpg", "https://cdn.shopify.com/s/files/1/0792/5098/1063/files/79314e2cf25aafc1d6482ba615bde9a91484df22d9283488eb083dba5e8cdb25.jpg?v=1785083134"]</t>
        </is>
      </c>
    </row>
    <row r="42" ht="66" customHeight="1">
      <c r="A42" s="2" t="inlineStr">
        <is>
          <t>jeminise.com+personalized-basketball-flames-flying-over-comforter-with-name-and-number-feb4be1ea4-feb4be1ea4</t>
        </is>
      </c>
      <c r="B42" s="2" t="inlineStr">
        <is>
          <t>qaimg_e24b963b36d21bf8</t>
        </is>
      </c>
      <c r="C42" s="4" t="inlineStr">
        <is>
          <t>https://cdn.shopify.com/s/files/1/0792/5098/1063/files/a08b59c3eeab5b31b580aab663d2334ae0223cca113e096f8b0a94891c8aa26b.jpg?v=1785083134</t>
        </is>
      </c>
      <c r="D42" s="4" t="inlineStr">
        <is>
          <t>https://cdn.shopify.com/s/files/1/0792/5098/1063/files/a08b59c3eeab5b31b580aab663d2334ae0223cca113e096f8b0a94891c8aa26b.jpg?v=1785083134</t>
        </is>
      </c>
      <c r="E42" s="2" t="inlineStr">
        <is>
          <t>47538021204167</t>
        </is>
      </c>
      <c r="F42" s="2" t="inlineStr"/>
      <c r="G42" s="2" t="inlineStr">
        <is>
          <t>GALLERY</t>
        </is>
      </c>
      <c r="H42" s="2" t="inlineStr">
        <is>
          <t>DIRECT_IMAGE_FILE_OPENED_AND_VISUALLY_REVIEWED</t>
        </is>
      </c>
      <c r="I42" s="2" t="inlineStr">
        <is>
          <t>2026-09-09T13:19:55+07:00</t>
        </is>
      </c>
      <c r="J42" s="2" t="inlineStr">
        <is>
          <t>QA opened 216_05.jpg (1000x1000) and checked against workbook observation: Easy care panel for flaming basketball bedding.</t>
        </is>
      </c>
      <c r="K42" s="2" t="inlineStr">
        <is>
          <t>Easy care panel for flaming basketball bedding.</t>
        </is>
      </c>
      <c r="L42" s="2" t="inlineStr">
        <is>
          <t>SET</t>
        </is>
      </c>
      <c r="M42" s="2" t="inlineStr">
        <is>
          <t>Flaming basketball easy care panel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5">
        <f>IF(N42="FULL",40,IF(N42="PARTIAL",40/2,0))+IF(O42="FULL",30,IF(O42="PARTIAL",30/2,0))+IF(P42="FULL",20,IF(P42="PARTIAL",20/2,0))+IF(Q42="FULL",10,IF(Q42="PARTIAL",10/2,0))</f>
        <v/>
      </c>
      <c r="S42" s="5">
        <f>IF(N42="NOT_CHECKED",0,40)+IF(O42="NOT_CHECKED",0,30)+IF(P42="NOT_CHECKED",0,20)+IF(Q42="NOT_CHECKED",0,10)</f>
        <v/>
      </c>
      <c r="T42" s="5">
        <f>IF(S42=100,R42,"")</f>
        <v/>
      </c>
      <c r="U42" s="5">
        <f>R42</f>
        <v/>
      </c>
      <c r="V42" s="5">
        <f>R42+(100-S42)</f>
        <v/>
      </c>
      <c r="W42" s="2" t="inlineStr">
        <is>
          <t>[]</t>
        </is>
      </c>
      <c r="X42" s="2" t="inlineStr">
        <is>
          <t>["seo_runs\\jeminise.com\\20260906_234129\\qa\\20260909_131954\\images\\216_05.jpg", "https://cdn.shopify.com/s/files/1/0792/5098/1063/files/a08b59c3eeab5b31b580aab663d2334ae0223cca113e096f8b0a94891c8aa26b.jpg?v=1785083134"]</t>
        </is>
      </c>
    </row>
    <row r="43" ht="66" customHeight="1">
      <c r="A43" s="3" t="inlineStr">
        <is>
          <t>jeminise.com+personalized-basketball-flames-flying-over-comforter-with-name-and-number-feb4be1ea4-feb4be1ea4</t>
        </is>
      </c>
      <c r="B43" s="3" t="inlineStr">
        <is>
          <t>qaimg_5dd3bd5bdf9ab367</t>
        </is>
      </c>
      <c r="C43" s="4" t="inlineStr">
        <is>
          <t>https://cdn.shopify.com/s/files/1/0792/5098/1063/files/1dc01d41d7d407730feaf916a9c54d5ba771e06f6674b16473507e7a042a1831.jpg?v=1785083134</t>
        </is>
      </c>
      <c r="D43" s="4" t="inlineStr">
        <is>
          <t>https://cdn.shopify.com/s/files/1/0792/5098/1063/files/1dc01d41d7d407730feaf916a9c54d5ba771e06f6674b16473507e7a042a1831.jpg?v=1785083134</t>
        </is>
      </c>
      <c r="E43" s="3" t="inlineStr">
        <is>
          <t>47538021236935</t>
        </is>
      </c>
      <c r="F43" s="3" t="inlineStr"/>
      <c r="G43" s="3" t="inlineStr">
        <is>
          <t>GALLERY</t>
        </is>
      </c>
      <c r="H43" s="3" t="inlineStr">
        <is>
          <t>DIRECT_IMAGE_FILE_OPENED_AND_VISUALLY_REVIEWED</t>
        </is>
      </c>
      <c r="I43" s="3" t="inlineStr">
        <is>
          <t>2026-09-09T13:19:55+07:00</t>
        </is>
      </c>
      <c r="J43" s="3" t="inlineStr">
        <is>
          <t>QA opened 216_06.jpg (1000x1000) and checked against workbook observation: Bedding type comparison panel for basketball bedding.</t>
        </is>
      </c>
      <c r="K43" s="3" t="inlineStr">
        <is>
          <t>Bedding type comparison panel for basketball bedding.</t>
        </is>
      </c>
      <c r="L43" s="3" t="inlineStr">
        <is>
          <t>SET</t>
        </is>
      </c>
      <c r="M43" s="3" t="inlineStr">
        <is>
          <t>Flaming basketball bedding type panel</t>
        </is>
      </c>
      <c r="N43" s="3" t="inlineStr">
        <is>
          <t>FULL</t>
        </is>
      </c>
      <c r="O43" s="3" t="inlineStr">
        <is>
          <t>FULL</t>
        </is>
      </c>
      <c r="P43" s="3" t="inlineStr">
        <is>
          <t>FULL</t>
        </is>
      </c>
      <c r="Q43" s="3" t="inlineStr">
        <is>
          <t>FULL</t>
        </is>
      </c>
      <c r="R43" s="7">
        <f>IF(N43="FULL",40,IF(N43="PARTIAL",40/2,0))+IF(O43="FULL",30,IF(O43="PARTIAL",30/2,0))+IF(P43="FULL",20,IF(P43="PARTIAL",20/2,0))+IF(Q43="FULL",10,IF(Q43="PARTIAL",10/2,0))</f>
        <v/>
      </c>
      <c r="S43" s="7">
        <f>IF(N43="NOT_CHECKED",0,40)+IF(O43="NOT_CHECKED",0,30)+IF(P43="NOT_CHECKED",0,20)+IF(Q43="NOT_CHECKED",0,10)</f>
        <v/>
      </c>
      <c r="T43" s="7">
        <f>IF(S43=100,R43,"")</f>
        <v/>
      </c>
      <c r="U43" s="7">
        <f>R43</f>
        <v/>
      </c>
      <c r="V43" s="7">
        <f>R43+(100-S43)</f>
        <v/>
      </c>
      <c r="W43" s="3" t="inlineStr">
        <is>
          <t>[]</t>
        </is>
      </c>
      <c r="X43" s="3" t="inlineStr">
        <is>
          <t>["seo_runs\\jeminise.com\\20260906_234129\\qa\\20260909_131954\\images\\216_06.jpg", "https://cdn.shopify.com/s/files/1/0792/5098/1063/files/1dc01d41d7d407730feaf916a9c54d5ba771e06f6674b16473507e7a042a1831.jpg?v=1785083134"]</t>
        </is>
      </c>
    </row>
    <row r="44" ht="66" customHeight="1">
      <c r="A44" s="2" t="inlineStr">
        <is>
          <t>jeminise.com+personalized-basketball-flames-flying-over-comforter-with-name-and-number-feb4be1ea4-feb4be1ea4</t>
        </is>
      </c>
      <c r="B44" s="2" t="inlineStr">
        <is>
          <t>qaimg_b5dc66fac74e64b3</t>
        </is>
      </c>
      <c r="C44" s="4" t="inlineStr">
        <is>
          <t>https://cdn.shopify.com/s/files/1/0792/5098/1063/files/c24959ab140390d63cc323f99e5e71b8352d51d82db09e1b8086064e57b3ff2f.jpg?v=1785083134</t>
        </is>
      </c>
      <c r="D44" s="4" t="inlineStr">
        <is>
          <t>https://cdn.shopify.com/s/files/1/0792/5098/1063/files/c24959ab140390d63cc323f99e5e71b8352d51d82db09e1b8086064e57b3ff2f.jpg?v=1785083134</t>
        </is>
      </c>
      <c r="E44" s="2" t="inlineStr">
        <is>
          <t>47538021269703</t>
        </is>
      </c>
      <c r="F44" s="2" t="inlineStr"/>
      <c r="G44" s="2" t="inlineStr">
        <is>
          <t>GALLERY</t>
        </is>
      </c>
      <c r="H44" s="2" t="inlineStr">
        <is>
          <t>DIRECT_IMAGE_FILE_OPENED_AND_VISUALLY_REVIEWED</t>
        </is>
      </c>
      <c r="I44" s="2" t="inlineStr">
        <is>
          <t>2026-09-09T13:19:55+07:00</t>
        </is>
      </c>
      <c r="J44" s="2" t="inlineStr">
        <is>
          <t>QA opened 216_07.jpg (1000x1000) and checked against workbook observation: Size dimension panel for flaming basketball comforter.</t>
        </is>
      </c>
      <c r="K44" s="2" t="inlineStr">
        <is>
          <t>Size dimension panel for flaming basketball comforter.</t>
        </is>
      </c>
      <c r="L44" s="2" t="inlineStr">
        <is>
          <t>SET</t>
        </is>
      </c>
      <c r="M44" s="2" t="inlineStr">
        <is>
          <t>Flaming basketball size panel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5">
        <f>IF(N44="FULL",40,IF(N44="PARTIAL",40/2,0))+IF(O44="FULL",30,IF(O44="PARTIAL",30/2,0))+IF(P44="FULL",20,IF(P44="PARTIAL",20/2,0))+IF(Q44="FULL",10,IF(Q44="PARTIAL",10/2,0))</f>
        <v/>
      </c>
      <c r="S44" s="5">
        <f>IF(N44="NOT_CHECKED",0,40)+IF(O44="NOT_CHECKED",0,30)+IF(P44="NOT_CHECKED",0,20)+IF(Q44="NOT_CHECKED",0,10)</f>
        <v/>
      </c>
      <c r="T44" s="5">
        <f>IF(S44=100,R44,"")</f>
        <v/>
      </c>
      <c r="U44" s="5">
        <f>R44</f>
        <v/>
      </c>
      <c r="V44" s="5">
        <f>R44+(100-S44)</f>
        <v/>
      </c>
      <c r="W44" s="2" t="inlineStr">
        <is>
          <t>[]</t>
        </is>
      </c>
      <c r="X44" s="2" t="inlineStr">
        <is>
          <t>["seo_runs\\jeminise.com\\20260906_234129\\qa\\20260909_131954\\images\\216_07.jpg", "https://cdn.shopify.com/s/files/1/0792/5098/1063/files/c24959ab140390d63cc323f99e5e71b8352d51d82db09e1b8086064e57b3ff2f.jpg?v=1785083134"]</t>
        </is>
      </c>
    </row>
    <row r="45" ht="66" customHeight="1">
      <c r="A45" s="3" t="inlineStr">
        <is>
          <t>jeminise.com+personalized-basketball-glowing-light-burst-comforter-with-name-and-number-3bc9e1267e-3bc9e1267e</t>
        </is>
      </c>
      <c r="B45" s="3" t="inlineStr">
        <is>
          <t>qaimg_5faa17ef585c9eec</t>
        </is>
      </c>
      <c r="C45" s="4" t="inlineStr">
        <is>
          <t>https://cdn.shopify.com/s/files/1/0792/5098/1063/files/5e6a0504690a083cac0a3e9a0f9e115f6c30704abb48be8be9c1c30cdf20d364.jpg?v=1785083454</t>
        </is>
      </c>
      <c r="D45" s="4" t="inlineStr">
        <is>
          <t>https://cdn.shopify.com/s/files/1/0792/5098/1063/files/5e6a0504690a083cac0a3e9a0f9e115f6c30704abb48be8be9c1c30cdf20d364.jpg?v=1785083454</t>
        </is>
      </c>
      <c r="E45" s="3" t="inlineStr">
        <is>
          <t>47538087592135</t>
        </is>
      </c>
      <c r="F45" s="3" t="inlineStr"/>
      <c r="G45" s="3" t="inlineStr">
        <is>
          <t>GALLERY</t>
        </is>
      </c>
      <c r="H45" s="3" t="inlineStr">
        <is>
          <t>DIRECT_IMAGE_FILE_OPENED_AND_VISUALLY_REVIEWED</t>
        </is>
      </c>
      <c r="I45" s="3" t="inlineStr">
        <is>
          <t>2026-09-09T13:19:55+07:00</t>
        </is>
      </c>
      <c r="J45" s="3" t="inlineStr">
        <is>
          <t>QA opened 217_01.jpg (1000x1000) and checked against workbook observation: Bedroom mockup of light burst basketball comforter with sample name and number.</t>
        </is>
      </c>
      <c r="K45" s="3" t="inlineStr">
        <is>
          <t>Bedroom mockup of light burst basketball comforter with sample name and number.</t>
        </is>
      </c>
      <c r="L45" s="3" t="inlineStr">
        <is>
          <t>SET</t>
        </is>
      </c>
      <c r="M45" s="3" t="inlineStr">
        <is>
          <t>Custom light burst basketball comforter</t>
        </is>
      </c>
      <c r="N45" s="3" t="inlineStr">
        <is>
          <t>FULL</t>
        </is>
      </c>
      <c r="O45" s="3" t="inlineStr">
        <is>
          <t>FULL</t>
        </is>
      </c>
      <c r="P45" s="3" t="inlineStr">
        <is>
          <t>FULL</t>
        </is>
      </c>
      <c r="Q45" s="3" t="inlineStr">
        <is>
          <t>FULL</t>
        </is>
      </c>
      <c r="R45" s="7">
        <f>IF(N45="FULL",40,IF(N45="PARTIAL",40/2,0))+IF(O45="FULL",30,IF(O45="PARTIAL",30/2,0))+IF(P45="FULL",20,IF(P45="PARTIAL",20/2,0))+IF(Q45="FULL",10,IF(Q45="PARTIAL",10/2,0))</f>
        <v/>
      </c>
      <c r="S45" s="7">
        <f>IF(N45="NOT_CHECKED",0,40)+IF(O45="NOT_CHECKED",0,30)+IF(P45="NOT_CHECKED",0,20)+IF(Q45="NOT_CHECKED",0,10)</f>
        <v/>
      </c>
      <c r="T45" s="7">
        <f>IF(S45=100,R45,"")</f>
        <v/>
      </c>
      <c r="U45" s="7">
        <f>R45</f>
        <v/>
      </c>
      <c r="V45" s="7">
        <f>R45+(100-S45)</f>
        <v/>
      </c>
      <c r="W45" s="3" t="inlineStr">
        <is>
          <t>[]</t>
        </is>
      </c>
      <c r="X45" s="3" t="inlineStr">
        <is>
          <t>["seo_runs\\jeminise.com\\20260906_234129\\qa\\20260909_131954\\images\\217_01.jpg", "https://cdn.shopify.com/s/files/1/0792/5098/1063/files/5e6a0504690a083cac0a3e9a0f9e115f6c30704abb48be8be9c1c30cdf20d364.jpg?v=1785083454"]</t>
        </is>
      </c>
    </row>
    <row r="46" ht="66" customHeight="1">
      <c r="A46" s="2" t="inlineStr">
        <is>
          <t>jeminise.com+personalized-basketball-glowing-light-burst-comforter-with-name-and-number-3bc9e1267e-3bc9e1267e</t>
        </is>
      </c>
      <c r="B46" s="2" t="inlineStr">
        <is>
          <t>qaimg_0e1b0a4ecbe93a1f</t>
        </is>
      </c>
      <c r="C46" s="4" t="inlineStr">
        <is>
          <t>https://cdn.shopify.com/s/files/1/0792/5098/1063/files/6fc5e391c3ea9c52821418c88ae612d6124d4b3adce71c738eb9f088be335cf1.jpg?v=1785083454</t>
        </is>
      </c>
      <c r="D46" s="4" t="inlineStr">
        <is>
          <t>https://cdn.shopify.com/s/files/1/0792/5098/1063/files/6fc5e391c3ea9c52821418c88ae612d6124d4b3adce71c738eb9f088be335cf1.jpg?v=1785083454</t>
        </is>
      </c>
      <c r="E46" s="2" t="inlineStr">
        <is>
          <t>47538087624903</t>
        </is>
      </c>
      <c r="F46" s="2" t="inlineStr"/>
      <c r="G46" s="2" t="inlineStr">
        <is>
          <t>GALLERY</t>
        </is>
      </c>
      <c r="H46" s="2" t="inlineStr">
        <is>
          <t>DIRECT_IMAGE_FILE_OPENED_AND_VISUALLY_REVIEWED</t>
        </is>
      </c>
      <c r="I46" s="2" t="inlineStr">
        <is>
          <t>2026-09-09T13:19:55+07:00</t>
        </is>
      </c>
      <c r="J46" s="2" t="inlineStr">
        <is>
          <t>QA opened 217_02.jpg (1000x1000) and checked against workbook observation: Second light burst basketball bedding mockup with duvet fold.</t>
        </is>
      </c>
      <c r="K46" s="2" t="inlineStr">
        <is>
          <t>Second light burst basketball bedding mockup with duvet fold.</t>
        </is>
      </c>
      <c r="L46" s="2" t="inlineStr">
        <is>
          <t>SET</t>
        </is>
      </c>
      <c r="M46" s="2" t="inlineStr">
        <is>
          <t>Light burst basketball bedding mockup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5">
        <f>IF(N46="FULL",40,IF(N46="PARTIAL",40/2,0))+IF(O46="FULL",30,IF(O46="PARTIAL",30/2,0))+IF(P46="FULL",20,IF(P46="PARTIAL",20/2,0))+IF(Q46="FULL",10,IF(Q46="PARTIAL",10/2,0))</f>
        <v/>
      </c>
      <c r="S46" s="5">
        <f>IF(N46="NOT_CHECKED",0,40)+IF(O46="NOT_CHECKED",0,30)+IF(P46="NOT_CHECKED",0,20)+IF(Q46="NOT_CHECKED",0,10)</f>
        <v/>
      </c>
      <c r="T46" s="5">
        <f>IF(S46=100,R46,"")</f>
        <v/>
      </c>
      <c r="U46" s="5">
        <f>R46</f>
        <v/>
      </c>
      <c r="V46" s="5">
        <f>R46+(100-S46)</f>
        <v/>
      </c>
      <c r="W46" s="2" t="inlineStr">
        <is>
          <t>[]</t>
        </is>
      </c>
      <c r="X46" s="2" t="inlineStr">
        <is>
          <t>["seo_runs\\jeminise.com\\20260906_234129\\qa\\20260909_131954\\images\\217_02.jpg", "https://cdn.shopify.com/s/files/1/0792/5098/1063/files/6fc5e391c3ea9c52821418c88ae612d6124d4b3adce71c738eb9f088be335cf1.jpg?v=1785083454"]</t>
        </is>
      </c>
    </row>
    <row r="47" ht="66" customHeight="1">
      <c r="A47" s="3" t="inlineStr">
        <is>
          <t>jeminise.com+personalized-basketball-glowing-light-burst-comforter-with-name-and-number-3bc9e1267e-3bc9e1267e</t>
        </is>
      </c>
      <c r="B47" s="3" t="inlineStr">
        <is>
          <t>qaimg_a68d07abef432d5b</t>
        </is>
      </c>
      <c r="C47" s="4" t="inlineStr">
        <is>
          <t>https://cdn.shopify.com/s/files/1/0792/5098/1063/files/8a9e1df72b5192bb43bbd21e95f23ee9fb295c1019815a38619f5e8659a891a2_e681cc9a-a576-491e-bc3a-f23b8db1068e.jpg?v=1785083454</t>
        </is>
      </c>
      <c r="D47" s="4" t="inlineStr">
        <is>
          <t>https://cdn.shopify.com/s/files/1/0792/5098/1063/files/8a9e1df72b5192bb43bbd21e95f23ee9fb295c1019815a38619f5e8659a891a2_e681cc9a-a576-491e-bc3a-f23b8db1068e.jpg?v=1785083454</t>
        </is>
      </c>
      <c r="E47" s="3" t="inlineStr">
        <is>
          <t>47538087657671</t>
        </is>
      </c>
      <c r="F47" s="3" t="inlineStr"/>
      <c r="G47" s="3" t="inlineStr">
        <is>
          <t>GALLERY</t>
        </is>
      </c>
      <c r="H47" s="3" t="inlineStr">
        <is>
          <t>DIRECT_IMAGE_FILE_OPENED_AND_VISUALLY_REVIEWED</t>
        </is>
      </c>
      <c r="I47" s="3" t="inlineStr">
        <is>
          <t>2026-09-09T13:19:55+07:00</t>
        </is>
      </c>
      <c r="J47" s="3" t="inlineStr">
        <is>
          <t>QA opened 217_03.jpg (1000x1000) and checked against workbook observation: Feature view of glowing basketball bedding with comfort icons.</t>
        </is>
      </c>
      <c r="K47" s="3" t="inlineStr">
        <is>
          <t>Feature view of glowing basketball bedding with comfort icons.</t>
        </is>
      </c>
      <c r="L47" s="3" t="inlineStr">
        <is>
          <t>SET</t>
        </is>
      </c>
      <c r="M47" s="3" t="inlineStr">
        <is>
          <t>Light burst basketball feature view</t>
        </is>
      </c>
      <c r="N47" s="3" t="inlineStr">
        <is>
          <t>FULL</t>
        </is>
      </c>
      <c r="O47" s="3" t="inlineStr">
        <is>
          <t>FULL</t>
        </is>
      </c>
      <c r="P47" s="3" t="inlineStr">
        <is>
          <t>FULL</t>
        </is>
      </c>
      <c r="Q47" s="3" t="inlineStr">
        <is>
          <t>FULL</t>
        </is>
      </c>
      <c r="R47" s="7">
        <f>IF(N47="FULL",40,IF(N47="PARTIAL",40/2,0))+IF(O47="FULL",30,IF(O47="PARTIAL",30/2,0))+IF(P47="FULL",20,IF(P47="PARTIAL",20/2,0))+IF(Q47="FULL",10,IF(Q47="PARTIAL",10/2,0))</f>
        <v/>
      </c>
      <c r="S47" s="7">
        <f>IF(N47="NOT_CHECKED",0,40)+IF(O47="NOT_CHECKED",0,30)+IF(P47="NOT_CHECKED",0,20)+IF(Q47="NOT_CHECKED",0,10)</f>
        <v/>
      </c>
      <c r="T47" s="7">
        <f>IF(S47=100,R47,"")</f>
        <v/>
      </c>
      <c r="U47" s="7">
        <f>R47</f>
        <v/>
      </c>
      <c r="V47" s="7">
        <f>R47+(100-S47)</f>
        <v/>
      </c>
      <c r="W47" s="3" t="inlineStr">
        <is>
          <t>[]</t>
        </is>
      </c>
      <c r="X47" s="3" t="inlineStr">
        <is>
          <t>["seo_runs\\jeminise.com\\20260906_234129\\qa\\20260909_131954\\images\\217_03.jpg", "https://cdn.shopify.com/s/files/1/0792/5098/1063/files/8a9e1df72b5192bb43bbd21e95f23ee9fb295c1019815a38619f5e8659a891a2_e681cc9a-a576-491e-bc3a-f23b8db1068e.jpg?v=1785083454"]</t>
        </is>
      </c>
    </row>
    <row r="48" ht="66" customHeight="1">
      <c r="A48" s="2" t="inlineStr">
        <is>
          <t>jeminise.com+personalized-basketball-glowing-light-burst-comforter-with-name-and-number-3bc9e1267e-3bc9e1267e</t>
        </is>
      </c>
      <c r="B48" s="2" t="inlineStr">
        <is>
          <t>qaimg_f92e399119cc2e56</t>
        </is>
      </c>
      <c r="C48" s="4" t="inlineStr">
        <is>
          <t>https://cdn.shopify.com/s/files/1/0792/5098/1063/files/c94671107f08d4de5d661456c8e4395fbac48ff0a5153199664d0827984344e8.jpg?v=1785083454</t>
        </is>
      </c>
      <c r="D48" s="4" t="inlineStr">
        <is>
          <t>https://cdn.shopify.com/s/files/1/0792/5098/1063/files/c94671107f08d4de5d661456c8e4395fbac48ff0a5153199664d0827984344e8.jpg?v=1785083454</t>
        </is>
      </c>
      <c r="E48" s="2" t="inlineStr">
        <is>
          <t>47538087690439</t>
        </is>
      </c>
      <c r="F48" s="2" t="inlineStr"/>
      <c r="G48" s="2" t="inlineStr">
        <is>
          <t>GALLERY</t>
        </is>
      </c>
      <c r="H48" s="2" t="inlineStr">
        <is>
          <t>DIRECT_IMAGE_FILE_OPENED_AND_VISUALLY_REVIEWED</t>
        </is>
      </c>
      <c r="I48" s="2" t="inlineStr">
        <is>
          <t>2026-09-09T13:19:55+07:00</t>
        </is>
      </c>
      <c r="J48" s="2" t="inlineStr">
        <is>
          <t>QA opened 217_04.jpg (1000x1000) and checked against workbook observation: Microfiber panel showing light burst basketball print samples.</t>
        </is>
      </c>
      <c r="K48" s="2" t="inlineStr">
        <is>
          <t>Microfiber panel showing light burst basketball print samples.</t>
        </is>
      </c>
      <c r="L48" s="2" t="inlineStr">
        <is>
          <t>SET</t>
        </is>
      </c>
      <c r="M48" s="2" t="inlineStr">
        <is>
          <t>Light burst basketball microfiber panel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5">
        <f>IF(N48="FULL",40,IF(N48="PARTIAL",40/2,0))+IF(O48="FULL",30,IF(O48="PARTIAL",30/2,0))+IF(P48="FULL",20,IF(P48="PARTIAL",20/2,0))+IF(Q48="FULL",10,IF(Q48="PARTIAL",10/2,0))</f>
        <v/>
      </c>
      <c r="S48" s="5">
        <f>IF(N48="NOT_CHECKED",0,40)+IF(O48="NOT_CHECKED",0,30)+IF(P48="NOT_CHECKED",0,20)+IF(Q48="NOT_CHECKED",0,10)</f>
        <v/>
      </c>
      <c r="T48" s="5">
        <f>IF(S48=100,R48,"")</f>
        <v/>
      </c>
      <c r="U48" s="5">
        <f>R48</f>
        <v/>
      </c>
      <c r="V48" s="5">
        <f>R48+(100-S48)</f>
        <v/>
      </c>
      <c r="W48" s="2" t="inlineStr">
        <is>
          <t>[]</t>
        </is>
      </c>
      <c r="X48" s="2" t="inlineStr">
        <is>
          <t>["seo_runs\\jeminise.com\\20260906_234129\\qa\\20260909_131954\\images\\217_04.jpg", "https://cdn.shopify.com/s/files/1/0792/5098/1063/files/c94671107f08d4de5d661456c8e4395fbac48ff0a5153199664d0827984344e8.jpg?v=1785083454"]</t>
        </is>
      </c>
    </row>
    <row r="49" ht="66" customHeight="1">
      <c r="A49" s="3" t="inlineStr">
        <is>
          <t>jeminise.com+personalized-basketball-glowing-light-burst-comforter-with-name-and-number-3bc9e1267e-3bc9e1267e</t>
        </is>
      </c>
      <c r="B49" s="3" t="inlineStr">
        <is>
          <t>qaimg_29099a44720d5a72</t>
        </is>
      </c>
      <c r="C49" s="4" t="inlineStr">
        <is>
          <t>https://cdn.shopify.com/s/files/1/0792/5098/1063/files/8217a61c80cab85bf5fba779553af3c411978b6f192c9005288891e6d246a2cb.jpg?v=1785083454</t>
        </is>
      </c>
      <c r="D49" s="4" t="inlineStr">
        <is>
          <t>https://cdn.shopify.com/s/files/1/0792/5098/1063/files/8217a61c80cab85bf5fba779553af3c411978b6f192c9005288891e6d246a2cb.jpg?v=1785083454</t>
        </is>
      </c>
      <c r="E49" s="3" t="inlineStr">
        <is>
          <t>47538087723207</t>
        </is>
      </c>
      <c r="F49" s="3" t="inlineStr"/>
      <c r="G49" s="3" t="inlineStr">
        <is>
          <t>GALLERY</t>
        </is>
      </c>
      <c r="H49" s="3" t="inlineStr">
        <is>
          <t>DIRECT_IMAGE_FILE_OPENED_AND_VISUALLY_REVIEWED</t>
        </is>
      </c>
      <c r="I49" s="3" t="inlineStr">
        <is>
          <t>2026-09-09T13:19:55+07:00</t>
        </is>
      </c>
      <c r="J49" s="3" t="inlineStr">
        <is>
          <t>QA opened 217_05.jpg (1000x1000) and checked against workbook observation: Easy care panel for light burst basketball bedding.</t>
        </is>
      </c>
      <c r="K49" s="3" t="inlineStr">
        <is>
          <t>Easy care panel for light burst basketball bedding.</t>
        </is>
      </c>
      <c r="L49" s="3" t="inlineStr">
        <is>
          <t>SET</t>
        </is>
      </c>
      <c r="M49" s="3" t="inlineStr">
        <is>
          <t>Light burst basketball easy care panel</t>
        </is>
      </c>
      <c r="N49" s="3" t="inlineStr">
        <is>
          <t>FULL</t>
        </is>
      </c>
      <c r="O49" s="3" t="inlineStr">
        <is>
          <t>FULL</t>
        </is>
      </c>
      <c r="P49" s="3" t="inlineStr">
        <is>
          <t>FULL</t>
        </is>
      </c>
      <c r="Q49" s="3" t="inlineStr">
        <is>
          <t>FULL</t>
        </is>
      </c>
      <c r="R49" s="7">
        <f>IF(N49="FULL",40,IF(N49="PARTIAL",40/2,0))+IF(O49="FULL",30,IF(O49="PARTIAL",30/2,0))+IF(P49="FULL",20,IF(P49="PARTIAL",20/2,0))+IF(Q49="FULL",10,IF(Q49="PARTIAL",10/2,0))</f>
        <v/>
      </c>
      <c r="S49" s="7">
        <f>IF(N49="NOT_CHECKED",0,40)+IF(O49="NOT_CHECKED",0,30)+IF(P49="NOT_CHECKED",0,20)+IF(Q49="NOT_CHECKED",0,10)</f>
        <v/>
      </c>
      <c r="T49" s="7">
        <f>IF(S49=100,R49,"")</f>
        <v/>
      </c>
      <c r="U49" s="7">
        <f>R49</f>
        <v/>
      </c>
      <c r="V49" s="7">
        <f>R49+(100-S49)</f>
        <v/>
      </c>
      <c r="W49" s="3" t="inlineStr">
        <is>
          <t>[]</t>
        </is>
      </c>
      <c r="X49" s="3" t="inlineStr">
        <is>
          <t>["seo_runs\\jeminise.com\\20260906_234129\\qa\\20260909_131954\\images\\217_05.jpg", "https://cdn.shopify.com/s/files/1/0792/5098/1063/files/8217a61c80cab85bf5fba779553af3c411978b6f192c9005288891e6d246a2cb.jpg?v=1785083454"]</t>
        </is>
      </c>
    </row>
    <row r="50" ht="66" customHeight="1">
      <c r="A50" s="2" t="inlineStr">
        <is>
          <t>jeminise.com+personalized-basketball-glowing-light-burst-comforter-with-name-and-number-3bc9e1267e-3bc9e1267e</t>
        </is>
      </c>
      <c r="B50" s="2" t="inlineStr">
        <is>
          <t>qaimg_8fe08c36f75a54e8</t>
        </is>
      </c>
      <c r="C50" s="4" t="inlineStr">
        <is>
          <t>https://cdn.shopify.com/s/files/1/0792/5098/1063/files/1dc01d41d7d407730feaf916a9c54d5ba771e06f6674b16473507e7a042a1831_258d2b4a-7d75-484c-b255-4e7545acbbf1.jpg?v=1785083454</t>
        </is>
      </c>
      <c r="D50" s="4" t="inlineStr">
        <is>
          <t>https://cdn.shopify.com/s/files/1/0792/5098/1063/files/1dc01d41d7d407730feaf916a9c54d5ba771e06f6674b16473507e7a042a1831_258d2b4a-7d75-484c-b255-4e7545acbbf1.jpg?v=1785083454</t>
        </is>
      </c>
      <c r="E50" s="2" t="inlineStr">
        <is>
          <t>47538087755975</t>
        </is>
      </c>
      <c r="F50" s="2" t="inlineStr"/>
      <c r="G50" s="2" t="inlineStr">
        <is>
          <t>GALLERY</t>
        </is>
      </c>
      <c r="H50" s="2" t="inlineStr">
        <is>
          <t>DIRECT_IMAGE_FILE_OPENED_AND_VISUALLY_REVIEWED</t>
        </is>
      </c>
      <c r="I50" s="2" t="inlineStr">
        <is>
          <t>2026-09-09T13:19:55+07:00</t>
        </is>
      </c>
      <c r="J50" s="2" t="inlineStr">
        <is>
          <t>QA opened 217_06.jpg (1000x1000) and checked against workbook observation: Bedding type comparison panel for basketball bedding.</t>
        </is>
      </c>
      <c r="K50" s="2" t="inlineStr">
        <is>
          <t>Bedding type comparison panel for basketball bedding.</t>
        </is>
      </c>
      <c r="L50" s="2" t="inlineStr">
        <is>
          <t>SET</t>
        </is>
      </c>
      <c r="M50" s="2" t="inlineStr">
        <is>
          <t>Light burst basketball bedding type panel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5">
        <f>IF(N50="FULL",40,IF(N50="PARTIAL",40/2,0))+IF(O50="FULL",30,IF(O50="PARTIAL",30/2,0))+IF(P50="FULL",20,IF(P50="PARTIAL",20/2,0))+IF(Q50="FULL",10,IF(Q50="PARTIAL",10/2,0))</f>
        <v/>
      </c>
      <c r="S50" s="5">
        <f>IF(N50="NOT_CHECKED",0,40)+IF(O50="NOT_CHECKED",0,30)+IF(P50="NOT_CHECKED",0,20)+IF(Q50="NOT_CHECKED",0,10)</f>
        <v/>
      </c>
      <c r="T50" s="5">
        <f>IF(S50=100,R50,"")</f>
        <v/>
      </c>
      <c r="U50" s="5">
        <f>R50</f>
        <v/>
      </c>
      <c r="V50" s="5">
        <f>R50+(100-S50)</f>
        <v/>
      </c>
      <c r="W50" s="2" t="inlineStr">
        <is>
          <t>[]</t>
        </is>
      </c>
      <c r="X50" s="2" t="inlineStr">
        <is>
          <t>["seo_runs\\jeminise.com\\20260906_234129\\qa\\20260909_131954\\images\\217_06.jpg", "https://cdn.shopify.com/s/files/1/0792/5098/1063/files/1dc01d41d7d407730feaf916a9c54d5ba771e06f6674b16473507e7a042a1831_258d2b4a-7d75-484c-b255-4e7545acbbf1.jpg?v=1785083454"]</t>
        </is>
      </c>
    </row>
    <row r="51" ht="66" customHeight="1">
      <c r="A51" s="3" t="inlineStr">
        <is>
          <t>jeminise.com+personalized-basketball-glowing-light-burst-comforter-with-name-and-number-3bc9e1267e-3bc9e1267e</t>
        </is>
      </c>
      <c r="B51" s="3" t="inlineStr">
        <is>
          <t>qaimg_aad3e6fbbf2e2ffa</t>
        </is>
      </c>
      <c r="C51" s="4" t="inlineStr">
        <is>
          <t>https://cdn.shopify.com/s/files/1/0792/5098/1063/files/c24959ab140390d63cc323f99e5e71b8352d51d82db09e1b8086064e57b3ff2f_ca50253b-651c-4db6-943f-adb6c4ca62e3.jpg?v=1785083454</t>
        </is>
      </c>
      <c r="D51" s="4" t="inlineStr">
        <is>
          <t>https://cdn.shopify.com/s/files/1/0792/5098/1063/files/c24959ab140390d63cc323f99e5e71b8352d51d82db09e1b8086064e57b3ff2f_ca50253b-651c-4db6-943f-adb6c4ca62e3.jpg?v=1785083454</t>
        </is>
      </c>
      <c r="E51" s="3" t="inlineStr">
        <is>
          <t>47538087788743</t>
        </is>
      </c>
      <c r="F51" s="3" t="inlineStr"/>
      <c r="G51" s="3" t="inlineStr">
        <is>
          <t>GALLERY</t>
        </is>
      </c>
      <c r="H51" s="3" t="inlineStr">
        <is>
          <t>DIRECT_IMAGE_FILE_OPENED_AND_VISUALLY_REVIEWED</t>
        </is>
      </c>
      <c r="I51" s="3" t="inlineStr">
        <is>
          <t>2026-09-09T13:19:55+07:00</t>
        </is>
      </c>
      <c r="J51" s="3" t="inlineStr">
        <is>
          <t>QA opened 217_07.jpg (1000x1000) and checked against workbook observation: Size dimension panel for light burst basketball comforter.</t>
        </is>
      </c>
      <c r="K51" s="3" t="inlineStr">
        <is>
          <t>Size dimension panel for light burst basketball comforter.</t>
        </is>
      </c>
      <c r="L51" s="3" t="inlineStr">
        <is>
          <t>SET</t>
        </is>
      </c>
      <c r="M51" s="3" t="inlineStr">
        <is>
          <t>Light burst basketball size panel</t>
        </is>
      </c>
      <c r="N51" s="3" t="inlineStr">
        <is>
          <t>FULL</t>
        </is>
      </c>
      <c r="O51" s="3" t="inlineStr">
        <is>
          <t>FULL</t>
        </is>
      </c>
      <c r="P51" s="3" t="inlineStr">
        <is>
          <t>FULL</t>
        </is>
      </c>
      <c r="Q51" s="3" t="inlineStr">
        <is>
          <t>FULL</t>
        </is>
      </c>
      <c r="R51" s="7">
        <f>IF(N51="FULL",40,IF(N51="PARTIAL",40/2,0))+IF(O51="FULL",30,IF(O51="PARTIAL",30/2,0))+IF(P51="FULL",20,IF(P51="PARTIAL",20/2,0))+IF(Q51="FULL",10,IF(Q51="PARTIAL",10/2,0))</f>
        <v/>
      </c>
      <c r="S51" s="7">
        <f>IF(N51="NOT_CHECKED",0,40)+IF(O51="NOT_CHECKED",0,30)+IF(P51="NOT_CHECKED",0,20)+IF(Q51="NOT_CHECKED",0,10)</f>
        <v/>
      </c>
      <c r="T51" s="7">
        <f>IF(S51=100,R51,"")</f>
        <v/>
      </c>
      <c r="U51" s="7">
        <f>R51</f>
        <v/>
      </c>
      <c r="V51" s="7">
        <f>R51+(100-S51)</f>
        <v/>
      </c>
      <c r="W51" s="3" t="inlineStr">
        <is>
          <t>[]</t>
        </is>
      </c>
      <c r="X51" s="3" t="inlineStr">
        <is>
          <t>["seo_runs\\jeminise.com\\20260906_234129\\qa\\20260909_131954\\images\\217_07.jpg", "https://cdn.shopify.com/s/files/1/0792/5098/1063/files/c24959ab140390d63cc323f99e5e71b8352d51d82db09e1b8086064e57b3ff2f_ca50253b-651c-4db6-943f-adb6c4ca62e3.jpg?v=1785083454"]</t>
        </is>
      </c>
    </row>
    <row r="52" ht="66" customHeight="1">
      <c r="A52" s="2" t="inlineStr">
        <is>
          <t>jeminise.com+personalized-basketball-held-by-hand-on-court-blanket-with-name-and-number-079998b76f-079998b76f</t>
        </is>
      </c>
      <c r="B52" s="2" t="inlineStr">
        <is>
          <t>qaimg_022b0e702584c6c8</t>
        </is>
      </c>
      <c r="C52" s="4" t="inlineStr">
        <is>
          <t>https://cdn.shopify.com/s/files/1/0792/5098/1063/files/c12a7503c975876e784bc8478968b630f9766736e15cde2e78e2c302551d2885.jpg?v=1785091229</t>
        </is>
      </c>
      <c r="D52" s="4" t="inlineStr">
        <is>
          <t>https://cdn.shopify.com/s/files/1/0792/5098/1063/files/c12a7503c975876e784bc8478968b630f9766736e15cde2e78e2c302551d2885.jpg?v=1785091229</t>
        </is>
      </c>
      <c r="E52" s="2" t="inlineStr">
        <is>
          <t>47539060703431</t>
        </is>
      </c>
      <c r="F52" s="2" t="inlineStr"/>
      <c r="G52" s="2" t="inlineStr">
        <is>
          <t>GALLERY</t>
        </is>
      </c>
      <c r="H52" s="2" t="inlineStr">
        <is>
          <t>DIRECT_IMAGE_FILE_OPENED_AND_VISUALLY_REVIEWED</t>
        </is>
      </c>
      <c r="I52" s="2" t="inlineStr">
        <is>
          <t>2026-09-09T13:19:55+07:00</t>
        </is>
      </c>
      <c r="J52" s="2" t="inlineStr">
        <is>
          <t>QA opened 218_01.jpg (1000x1000) and checked against workbook observation: Court blanket mockup with hand holding basketball, arched sample name and jersey number.</t>
        </is>
      </c>
      <c r="K52" s="2" t="inlineStr">
        <is>
          <t>Court blanket mockup with hand holding basketball, arched sample name and jersey number.</t>
        </is>
      </c>
      <c r="L52" s="2" t="inlineStr">
        <is>
          <t>SET</t>
        </is>
      </c>
      <c r="M52" s="2" t="inlineStr">
        <is>
          <t>Custom basketball court blanket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5">
        <f>IF(N52="FULL",40,IF(N52="PARTIAL",40/2,0))+IF(O52="FULL",30,IF(O52="PARTIAL",30/2,0))+IF(P52="FULL",20,IF(P52="PARTIAL",20/2,0))+IF(Q52="FULL",10,IF(Q52="PARTIAL",10/2,0))</f>
        <v/>
      </c>
      <c r="S52" s="5">
        <f>IF(N52="NOT_CHECKED",0,40)+IF(O52="NOT_CHECKED",0,30)+IF(P52="NOT_CHECKED",0,20)+IF(Q52="NOT_CHECKED",0,10)</f>
        <v/>
      </c>
      <c r="T52" s="5">
        <f>IF(S52=100,R52,"")</f>
        <v/>
      </c>
      <c r="U52" s="5">
        <f>R52</f>
        <v/>
      </c>
      <c r="V52" s="5">
        <f>R52+(100-S52)</f>
        <v/>
      </c>
      <c r="W52" s="2" t="inlineStr">
        <is>
          <t>[]</t>
        </is>
      </c>
      <c r="X52" s="2" t="inlineStr">
        <is>
          <t>["seo_runs\\jeminise.com\\20260906_234129\\qa\\20260909_131954\\images\\218_01.jpg", "https://cdn.shopify.com/s/files/1/0792/5098/1063/files/c12a7503c975876e784bc8478968b630f9766736e15cde2e78e2c302551d2885.jpg?v=1785091229"]</t>
        </is>
      </c>
    </row>
    <row r="53" ht="66" customHeight="1">
      <c r="A53" s="3" t="inlineStr">
        <is>
          <t>jeminise.com+personalized-basketball-held-by-hand-on-court-blanket-with-name-and-number-079998b76f-079998b76f</t>
        </is>
      </c>
      <c r="B53" s="3" t="inlineStr">
        <is>
          <t>qaimg_2b81828d2f0c38f9</t>
        </is>
      </c>
      <c r="C53" s="4" t="inlineStr">
        <is>
          <t>https://cdn.shopify.com/s/files/1/0792/5098/1063/files/73c31425722c312996ce3722a2ab3deb5eca1fe4f6f9fa15d7c1d78be283c951.jpg?v=1785091229</t>
        </is>
      </c>
      <c r="D53" s="4" t="inlineStr">
        <is>
          <t>https://cdn.shopify.com/s/files/1/0792/5098/1063/files/73c31425722c312996ce3722a2ab3deb5eca1fe4f6f9fa15d7c1d78be283c951.jpg?v=1785091229</t>
        </is>
      </c>
      <c r="E53" s="3" t="inlineStr">
        <is>
          <t>47539060736199</t>
        </is>
      </c>
      <c r="F53" s="3" t="inlineStr"/>
      <c r="G53" s="3" t="inlineStr">
        <is>
          <t>GALLERY</t>
        </is>
      </c>
      <c r="H53" s="3" t="inlineStr">
        <is>
          <t>DIRECT_IMAGE_FILE_OPENED_AND_VISUALLY_REVIEWED</t>
        </is>
      </c>
      <c r="I53" s="3" t="inlineStr">
        <is>
          <t>2026-09-09T13:19:55+07:00</t>
        </is>
      </c>
      <c r="J53" s="3" t="inlineStr">
        <is>
          <t>QA opened 218_02.jpg (1000x1000) and checked against workbook observation: Basketball court blanket draped on sofa.</t>
        </is>
      </c>
      <c r="K53" s="3" t="inlineStr">
        <is>
          <t>Basketball court blanket draped on sofa.</t>
        </is>
      </c>
      <c r="L53" s="3" t="inlineStr">
        <is>
          <t>SET</t>
        </is>
      </c>
      <c r="M53" s="3" t="inlineStr">
        <is>
          <t>Basketball court blanket on sofa</t>
        </is>
      </c>
      <c r="N53" s="3" t="inlineStr">
        <is>
          <t>FULL</t>
        </is>
      </c>
      <c r="O53" s="3" t="inlineStr">
        <is>
          <t>FULL</t>
        </is>
      </c>
      <c r="P53" s="3" t="inlineStr">
        <is>
          <t>FULL</t>
        </is>
      </c>
      <c r="Q53" s="3" t="inlineStr">
        <is>
          <t>FULL</t>
        </is>
      </c>
      <c r="R53" s="7">
        <f>IF(N53="FULL",40,IF(N53="PARTIAL",40/2,0))+IF(O53="FULL",30,IF(O53="PARTIAL",30/2,0))+IF(P53="FULL",20,IF(P53="PARTIAL",20/2,0))+IF(Q53="FULL",10,IF(Q53="PARTIAL",10/2,0))</f>
        <v/>
      </c>
      <c r="S53" s="7">
        <f>IF(N53="NOT_CHECKED",0,40)+IF(O53="NOT_CHECKED",0,30)+IF(P53="NOT_CHECKED",0,20)+IF(Q53="NOT_CHECKED",0,10)</f>
        <v/>
      </c>
      <c r="T53" s="7">
        <f>IF(S53=100,R53,"")</f>
        <v/>
      </c>
      <c r="U53" s="7">
        <f>R53</f>
        <v/>
      </c>
      <c r="V53" s="7">
        <f>R53+(100-S53)</f>
        <v/>
      </c>
      <c r="W53" s="3" t="inlineStr">
        <is>
          <t>[]</t>
        </is>
      </c>
      <c r="X53" s="3" t="inlineStr">
        <is>
          <t>["seo_runs\\jeminise.com\\20260906_234129\\qa\\20260909_131954\\images\\218_02.jpg", "https://cdn.shopify.com/s/files/1/0792/5098/1063/files/73c31425722c312996ce3722a2ab3deb5eca1fe4f6f9fa15d7c1d78be283c951.jpg?v=1785091229"]</t>
        </is>
      </c>
    </row>
    <row r="54" ht="66" customHeight="1">
      <c r="A54" s="2" t="inlineStr">
        <is>
          <t>jeminise.com+personalized-basketball-held-by-hand-on-court-blanket-with-name-and-number-079998b76f-079998b76f</t>
        </is>
      </c>
      <c r="B54" s="2" t="inlineStr">
        <is>
          <t>qaimg_a078d197cbeaa013</t>
        </is>
      </c>
      <c r="C54" s="4" t="inlineStr">
        <is>
          <t>https://cdn.shopify.com/s/files/1/0792/5098/1063/files/b50f9e231be5ddced7d66f60311b57dd110521a66f9deacdd47a7997df8bfc84.jpg?v=1785091229</t>
        </is>
      </c>
      <c r="D54" s="4" t="inlineStr">
        <is>
          <t>https://cdn.shopify.com/s/files/1/0792/5098/1063/files/b50f9e231be5ddced7d66f60311b57dd110521a66f9deacdd47a7997df8bfc84.jpg?v=1785091229</t>
        </is>
      </c>
      <c r="E54" s="2" t="inlineStr">
        <is>
          <t>47539060768967</t>
        </is>
      </c>
      <c r="F54" s="2" t="inlineStr"/>
      <c r="G54" s="2" t="inlineStr">
        <is>
          <t>GALLERY</t>
        </is>
      </c>
      <c r="H54" s="2" t="inlineStr">
        <is>
          <t>DIRECT_IMAGE_FILE_OPENED_AND_VISUALLY_REVIEWED</t>
        </is>
      </c>
      <c r="I54" s="2" t="inlineStr">
        <is>
          <t>2026-09-09T13:19:55+07:00</t>
        </is>
      </c>
      <c r="J54" s="2" t="inlineStr">
        <is>
          <t>QA opened 218_03.jpg (1000x1000) and checked against workbook observation: Folded basketball court blanket showing hand and ball artwork.</t>
        </is>
      </c>
      <c r="K54" s="2" t="inlineStr">
        <is>
          <t>Folded basketball court blanket showing hand and ball artwork.</t>
        </is>
      </c>
      <c r="L54" s="2" t="inlineStr">
        <is>
          <t>SET</t>
        </is>
      </c>
      <c r="M54" s="2" t="inlineStr">
        <is>
          <t>Basketball court blanket folded view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5">
        <f>IF(N54="FULL",40,IF(N54="PARTIAL",40/2,0))+IF(O54="FULL",30,IF(O54="PARTIAL",30/2,0))+IF(P54="FULL",20,IF(P54="PARTIAL",20/2,0))+IF(Q54="FULL",10,IF(Q54="PARTIAL",10/2,0))</f>
        <v/>
      </c>
      <c r="S54" s="5">
        <f>IF(N54="NOT_CHECKED",0,40)+IF(O54="NOT_CHECKED",0,30)+IF(P54="NOT_CHECKED",0,20)+IF(Q54="NOT_CHECKED",0,10)</f>
        <v/>
      </c>
      <c r="T54" s="5">
        <f>IF(S54=100,R54,"")</f>
        <v/>
      </c>
      <c r="U54" s="5">
        <f>R54</f>
        <v/>
      </c>
      <c r="V54" s="5">
        <f>R54+(100-S54)</f>
        <v/>
      </c>
      <c r="W54" s="2" t="inlineStr">
        <is>
          <t>[]</t>
        </is>
      </c>
      <c r="X54" s="2" t="inlineStr">
        <is>
          <t>["seo_runs\\jeminise.com\\20260906_234129\\qa\\20260909_131954\\images\\218_03.jpg", "https://cdn.shopify.com/s/files/1/0792/5098/1063/files/b50f9e231be5ddced7d66f60311b57dd110521a66f9deacdd47a7997df8bfc84.jpg?v=1785091229"]</t>
        </is>
      </c>
    </row>
    <row r="55" ht="66" customHeight="1">
      <c r="A55" s="3" t="inlineStr">
        <is>
          <t>jeminise.com+personalized-basketball-held-by-hand-on-court-blanket-with-name-and-number-079998b76f-079998b76f</t>
        </is>
      </c>
      <c r="B55" s="3" t="inlineStr">
        <is>
          <t>qaimg_9e712927d37a33ef</t>
        </is>
      </c>
      <c r="C55" s="4" t="inlineStr">
        <is>
          <t>https://cdn.shopify.com/s/files/1/0792/5098/1063/files/0b168cd7f5c03ed1ce63d6f652c199ecbffd4279a06857eb895c06fa9a081b18.jpg?v=1785091229</t>
        </is>
      </c>
      <c r="D55" s="4" t="inlineStr">
        <is>
          <t>https://cdn.shopify.com/s/files/1/0792/5098/1063/files/0b168cd7f5c03ed1ce63d6f652c199ecbffd4279a06857eb895c06fa9a081b18.jpg?v=1785091229</t>
        </is>
      </c>
      <c r="E55" s="3" t="inlineStr">
        <is>
          <t>47539060801735</t>
        </is>
      </c>
      <c r="F55" s="3" t="inlineStr"/>
      <c r="G55" s="3" t="inlineStr">
        <is>
          <t>GALLERY</t>
        </is>
      </c>
      <c r="H55" s="3" t="inlineStr">
        <is>
          <t>DIRECT_IMAGE_FILE_OPENED_AND_VISUALLY_REVIEWED</t>
        </is>
      </c>
      <c r="I55" s="3" t="inlineStr">
        <is>
          <t>2026-09-09T13:19:55+07:00</t>
        </is>
      </c>
      <c r="J55" s="3" t="inlineStr">
        <is>
          <t>QA opened 218_04.jpg (1000x1000) and checked against workbook observation: Basketball blanket size or style panel.</t>
        </is>
      </c>
      <c r="K55" s="3" t="inlineStr">
        <is>
          <t>Basketball blanket size or style panel.</t>
        </is>
      </c>
      <c r="L55" s="3" t="inlineStr">
        <is>
          <t>SET</t>
        </is>
      </c>
      <c r="M55" s="3" t="inlineStr">
        <is>
          <t>Basketball court blanket size panel</t>
        </is>
      </c>
      <c r="N55" s="3" t="inlineStr">
        <is>
          <t>FULL</t>
        </is>
      </c>
      <c r="O55" s="3" t="inlineStr">
        <is>
          <t>FULL</t>
        </is>
      </c>
      <c r="P55" s="3" t="inlineStr">
        <is>
          <t>FULL</t>
        </is>
      </c>
      <c r="Q55" s="3" t="inlineStr">
        <is>
          <t>FULL</t>
        </is>
      </c>
      <c r="R55" s="7">
        <f>IF(N55="FULL",40,IF(N55="PARTIAL",40/2,0))+IF(O55="FULL",30,IF(O55="PARTIAL",30/2,0))+IF(P55="FULL",20,IF(P55="PARTIAL",20/2,0))+IF(Q55="FULL",10,IF(Q55="PARTIAL",10/2,0))</f>
        <v/>
      </c>
      <c r="S55" s="7">
        <f>IF(N55="NOT_CHECKED",0,40)+IF(O55="NOT_CHECKED",0,30)+IF(P55="NOT_CHECKED",0,20)+IF(Q55="NOT_CHECKED",0,10)</f>
        <v/>
      </c>
      <c r="T55" s="7">
        <f>IF(S55=100,R55,"")</f>
        <v/>
      </c>
      <c r="U55" s="7">
        <f>R55</f>
        <v/>
      </c>
      <c r="V55" s="7">
        <f>R55+(100-S55)</f>
        <v/>
      </c>
      <c r="W55" s="3" t="inlineStr">
        <is>
          <t>[]</t>
        </is>
      </c>
      <c r="X55" s="3" t="inlineStr">
        <is>
          <t>["seo_runs\\jeminise.com\\20260906_234129\\qa\\20260909_131954\\images\\218_04.jpg", "https://cdn.shopify.com/s/files/1/0792/5098/1063/files/0b168cd7f5c03ed1ce63d6f652c199ecbffd4279a06857eb895c06fa9a081b18.jpg?v=1785091229"]</t>
        </is>
      </c>
    </row>
    <row r="56" ht="66" customHeight="1">
      <c r="A56" s="2" t="inlineStr">
        <is>
          <t>jeminise.com+personalized-basketball-held-by-hand-on-court-blanket-with-name-and-number-079998b76f-079998b76f</t>
        </is>
      </c>
      <c r="B56" s="2" t="inlineStr">
        <is>
          <t>qaimg_f57875a7bf018ede</t>
        </is>
      </c>
      <c r="C56" s="4" t="inlineStr">
        <is>
          <t>https://cdn.shopify.com/s/files/1/0792/5098/1063/files/bf24700339b44d913b4505b7954a0eebd6a5d5a727cb411c6c7d23f13c2cb75a.jpg?v=1785091229</t>
        </is>
      </c>
      <c r="D56" s="4" t="inlineStr">
        <is>
          <t>https://cdn.shopify.com/s/files/1/0792/5098/1063/files/bf24700339b44d913b4505b7954a0eebd6a5d5a727cb411c6c7d23f13c2cb75a.jpg?v=1785091229</t>
        </is>
      </c>
      <c r="E56" s="2" t="inlineStr">
        <is>
          <t>47539060834503</t>
        </is>
      </c>
      <c r="F56" s="2" t="inlineStr"/>
      <c r="G56" s="2" t="inlineStr">
        <is>
          <t>GALLERY</t>
        </is>
      </c>
      <c r="H56" s="2" t="inlineStr">
        <is>
          <t>DIRECT_IMAGE_FILE_OPENED_AND_VISUALLY_REVIEWED</t>
        </is>
      </c>
      <c r="I56" s="2" t="inlineStr">
        <is>
          <t>2026-09-09T13:19:55+07:00</t>
        </is>
      </c>
      <c r="J56" s="2" t="inlineStr">
        <is>
          <t>QA opened 218_05.jpg (1000x1000) and checked against workbook observation: Close-up fabric panel for basketball court blanket.</t>
        </is>
      </c>
      <c r="K56" s="2" t="inlineStr">
        <is>
          <t>Close-up fabric panel for basketball court blanket.</t>
        </is>
      </c>
      <c r="L56" s="2" t="inlineStr">
        <is>
          <t>SET</t>
        </is>
      </c>
      <c r="M56" s="2" t="inlineStr">
        <is>
          <t>Basketball court blanket fabric panel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5">
        <f>IF(N56="FULL",40,IF(N56="PARTIAL",40/2,0))+IF(O56="FULL",30,IF(O56="PARTIAL",30/2,0))+IF(P56="FULL",20,IF(P56="PARTIAL",20/2,0))+IF(Q56="FULL",10,IF(Q56="PARTIAL",10/2,0))</f>
        <v/>
      </c>
      <c r="S56" s="5">
        <f>IF(N56="NOT_CHECKED",0,40)+IF(O56="NOT_CHECKED",0,30)+IF(P56="NOT_CHECKED",0,20)+IF(Q56="NOT_CHECKED",0,10)</f>
        <v/>
      </c>
      <c r="T56" s="5">
        <f>IF(S56=100,R56,"")</f>
        <v/>
      </c>
      <c r="U56" s="5">
        <f>R56</f>
        <v/>
      </c>
      <c r="V56" s="5">
        <f>R56+(100-S56)</f>
        <v/>
      </c>
      <c r="W56" s="2" t="inlineStr">
        <is>
          <t>[]</t>
        </is>
      </c>
      <c r="X56" s="2" t="inlineStr">
        <is>
          <t>["seo_runs\\jeminise.com\\20260906_234129\\qa\\20260909_131954\\images\\218_05.jpg", "https://cdn.shopify.com/s/files/1/0792/5098/1063/files/bf24700339b44d913b4505b7954a0eebd6a5d5a727cb411c6c7d23f13c2cb75a.jpg?v=1785091229"]</t>
        </is>
      </c>
    </row>
    <row r="57" ht="66" customHeight="1">
      <c r="A57" s="3" t="inlineStr">
        <is>
          <t>jeminise.com+personalized-basketball-held-by-hand-on-court-blanket-with-name-and-number-079998b76f-079998b76f</t>
        </is>
      </c>
      <c r="B57" s="3" t="inlineStr">
        <is>
          <t>qaimg_223c577ce40ff9ed</t>
        </is>
      </c>
      <c r="C57" s="4" t="inlineStr">
        <is>
          <t>https://cdn.shopify.com/s/files/1/0792/5098/1063/files/3d6f3a4eb45bfb0231b1e2e92aa4475c13eeb874a900a13420bbbff91cf769c2.jpg?v=1785091229</t>
        </is>
      </c>
      <c r="D57" s="4" t="inlineStr">
        <is>
          <t>https://cdn.shopify.com/s/files/1/0792/5098/1063/files/3d6f3a4eb45bfb0231b1e2e92aa4475c13eeb874a900a13420bbbff91cf769c2.jpg?v=1785091229</t>
        </is>
      </c>
      <c r="E57" s="3" t="inlineStr">
        <is>
          <t>47539060867271</t>
        </is>
      </c>
      <c r="F57" s="3" t="inlineStr"/>
      <c r="G57" s="3" t="inlineStr">
        <is>
          <t>GALLERY</t>
        </is>
      </c>
      <c r="H57" s="3" t="inlineStr">
        <is>
          <t>DIRECT_IMAGE_FILE_OPENED_AND_VISUALLY_REVIEWED</t>
        </is>
      </c>
      <c r="I57" s="3" t="inlineStr">
        <is>
          <t>2026-09-09T13:19:55+07:00</t>
        </is>
      </c>
      <c r="J57" s="3" t="inlineStr">
        <is>
          <t>QA opened 218_06.jpg (1500x1500) and checked against workbook observation: Lifestyle use image for basketball blanket.</t>
        </is>
      </c>
      <c r="K57" s="3" t="inlineStr">
        <is>
          <t>Lifestyle use image for basketball blanket.</t>
        </is>
      </c>
      <c r="L57" s="3" t="inlineStr">
        <is>
          <t>SET</t>
        </is>
      </c>
      <c r="M57" s="3" t="inlineStr">
        <is>
          <t>Basketball blanket lifestyle panel for custom basketball court blanket with optional name number</t>
        </is>
      </c>
      <c r="N57" s="3" t="inlineStr">
        <is>
          <t>FULL</t>
        </is>
      </c>
      <c r="O57" s="3" t="inlineStr">
        <is>
          <t>FULL</t>
        </is>
      </c>
      <c r="P57" s="3" t="inlineStr">
        <is>
          <t>FULL</t>
        </is>
      </c>
      <c r="Q57" s="3" t="inlineStr">
        <is>
          <t>FULL</t>
        </is>
      </c>
      <c r="R57" s="7">
        <f>IF(N57="FULL",40,IF(N57="PARTIAL",40/2,0))+IF(O57="FULL",30,IF(O57="PARTIAL",30/2,0))+IF(P57="FULL",20,IF(P57="PARTIAL",20/2,0))+IF(Q57="FULL",10,IF(Q57="PARTIAL",10/2,0))</f>
        <v/>
      </c>
      <c r="S57" s="7">
        <f>IF(N57="NOT_CHECKED",0,40)+IF(O57="NOT_CHECKED",0,30)+IF(P57="NOT_CHECKED",0,20)+IF(Q57="NOT_CHECKED",0,10)</f>
        <v/>
      </c>
      <c r="T57" s="7">
        <f>IF(S57=100,R57,"")</f>
        <v/>
      </c>
      <c r="U57" s="7">
        <f>R57</f>
        <v/>
      </c>
      <c r="V57" s="7">
        <f>R57+(100-S57)</f>
        <v/>
      </c>
      <c r="W57" s="3" t="inlineStr">
        <is>
          <t>[]</t>
        </is>
      </c>
      <c r="X57" s="3" t="inlineStr">
        <is>
          <t>["seo_runs\\jeminise.com\\20260906_234129\\qa\\20260909_131954\\images\\218_06.jpg", "https://cdn.shopify.com/s/files/1/0792/5098/1063/files/3d6f3a4eb45bfb0231b1e2e92aa4475c13eeb874a900a13420bbbff91cf769c2.jpg?v=1785091229"]</t>
        </is>
      </c>
    </row>
    <row r="58" ht="66" customHeight="1">
      <c r="A58" s="2" t="inlineStr">
        <is>
          <t>jeminise.com+personalized-basketball-held-by-hand-on-court-blanket-with-name-and-number-079998b76f-079998b76f</t>
        </is>
      </c>
      <c r="B58" s="2" t="inlineStr">
        <is>
          <t>qaimg_6eefbc4ac7767dd0</t>
        </is>
      </c>
      <c r="C58" s="4" t="inlineStr">
        <is>
          <t>https://cdn.shopify.com/s/files/1/0792/5098/1063/files/f6de009de0157da5a85a9ecb9c13df6caf4e0a469ed4043a1f702c8b6c537fc4.jpg?v=1785091229</t>
        </is>
      </c>
      <c r="D58" s="4" t="inlineStr">
        <is>
          <t>https://cdn.shopify.com/s/files/1/0792/5098/1063/files/f6de009de0157da5a85a9ecb9c13df6caf4e0a469ed4043a1f702c8b6c537fc4.jpg?v=1785091229</t>
        </is>
      </c>
      <c r="E58" s="2" t="inlineStr">
        <is>
          <t>47539060900039</t>
        </is>
      </c>
      <c r="F58" s="2" t="inlineStr"/>
      <c r="G58" s="2" t="inlineStr">
        <is>
          <t>GALLERY</t>
        </is>
      </c>
      <c r="H58" s="2" t="inlineStr">
        <is>
          <t>DIRECT_IMAGE_FILE_OPENED_AND_VISUALLY_REVIEWED</t>
        </is>
      </c>
      <c r="I58" s="2" t="inlineStr">
        <is>
          <t>2026-09-09T13:19:55+07:00</t>
        </is>
      </c>
      <c r="J58" s="2" t="inlineStr">
        <is>
          <t>QA opened 218_07.jpg (1500x1500) and checked against workbook observation: Additional basketball court blanket mockup.</t>
        </is>
      </c>
      <c r="K58" s="2" t="inlineStr">
        <is>
          <t>Additional basketball court blanket mockup.</t>
        </is>
      </c>
      <c r="L58" s="2" t="inlineStr">
        <is>
          <t>SET</t>
        </is>
      </c>
      <c r="M58" s="2" t="inlineStr">
        <is>
          <t>Basketball court blanket mockup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5">
        <f>IF(N58="FULL",40,IF(N58="PARTIAL",40/2,0))+IF(O58="FULL",30,IF(O58="PARTIAL",30/2,0))+IF(P58="FULL",20,IF(P58="PARTIAL",20/2,0))+IF(Q58="FULL",10,IF(Q58="PARTIAL",10/2,0))</f>
        <v/>
      </c>
      <c r="S58" s="5">
        <f>IF(N58="NOT_CHECKED",0,40)+IF(O58="NOT_CHECKED",0,30)+IF(P58="NOT_CHECKED",0,20)+IF(Q58="NOT_CHECKED",0,10)</f>
        <v/>
      </c>
      <c r="T58" s="5">
        <f>IF(S58=100,R58,"")</f>
        <v/>
      </c>
      <c r="U58" s="5">
        <f>R58</f>
        <v/>
      </c>
      <c r="V58" s="5">
        <f>R58+(100-S58)</f>
        <v/>
      </c>
      <c r="W58" s="2" t="inlineStr">
        <is>
          <t>[]</t>
        </is>
      </c>
      <c r="X58" s="2" t="inlineStr">
        <is>
          <t>["seo_runs\\jeminise.com\\20260906_234129\\qa\\20260909_131954\\images\\218_07.jpg", "https://cdn.shopify.com/s/files/1/0792/5098/1063/files/f6de009de0157da5a85a9ecb9c13df6caf4e0a469ed4043a1f702c8b6c537fc4.jpg?v=1785091229"]</t>
        </is>
      </c>
    </row>
    <row r="59" ht="66" customHeight="1">
      <c r="A59" s="3" t="inlineStr">
        <is>
          <t>jeminise.com+personalized-basketball-held-by-hand-on-court-blanket-with-name-and-number-079998b76f-079998b76f</t>
        </is>
      </c>
      <c r="B59" s="3" t="inlineStr">
        <is>
          <t>qaimg_4b6e362ac144d9d6</t>
        </is>
      </c>
      <c r="C59" s="4" t="inlineStr">
        <is>
          <t>https://cdn.shopify.com/s/files/1/0792/5098/1063/files/506208699826fd22223d7f359a17bad7d569ef0749841325cb295c2f7368bf3b.jpg?v=1785091229</t>
        </is>
      </c>
      <c r="D59" s="4" t="inlineStr">
        <is>
          <t>https://cdn.shopify.com/s/files/1/0792/5098/1063/files/506208699826fd22223d7f359a17bad7d569ef0749841325cb295c2f7368bf3b.jpg?v=1785091229</t>
        </is>
      </c>
      <c r="E59" s="3" t="inlineStr">
        <is>
          <t>47539060932807</t>
        </is>
      </c>
      <c r="F59" s="3" t="inlineStr"/>
      <c r="G59" s="3" t="inlineStr">
        <is>
          <t>GALLERY</t>
        </is>
      </c>
      <c r="H59" s="3" t="inlineStr">
        <is>
          <t>DIRECT_IMAGE_FILE_OPENED_AND_VISUALLY_REVIEWED</t>
        </is>
      </c>
      <c r="I59" s="3" t="inlineStr">
        <is>
          <t>2026-09-09T13:19:55+07:00</t>
        </is>
      </c>
      <c r="J59" s="3" t="inlineStr">
        <is>
          <t>QA opened 218_08.jpg (1000x1000) and checked against workbook observation: Basketball blanket feature panel.</t>
        </is>
      </c>
      <c r="K59" s="3" t="inlineStr">
        <is>
          <t>Basketball blanket feature panel.</t>
        </is>
      </c>
      <c r="L59" s="3" t="inlineStr">
        <is>
          <t>SET</t>
        </is>
      </c>
      <c r="M59" s="3" t="inlineStr">
        <is>
          <t>Basketball court blanket feature panel</t>
        </is>
      </c>
      <c r="N59" s="3" t="inlineStr">
        <is>
          <t>FULL</t>
        </is>
      </c>
      <c r="O59" s="3" t="inlineStr">
        <is>
          <t>FULL</t>
        </is>
      </c>
      <c r="P59" s="3" t="inlineStr">
        <is>
          <t>FULL</t>
        </is>
      </c>
      <c r="Q59" s="3" t="inlineStr">
        <is>
          <t>FULL</t>
        </is>
      </c>
      <c r="R59" s="7">
        <f>IF(N59="FULL",40,IF(N59="PARTIAL",40/2,0))+IF(O59="FULL",30,IF(O59="PARTIAL",30/2,0))+IF(P59="FULL",20,IF(P59="PARTIAL",20/2,0))+IF(Q59="FULL",10,IF(Q59="PARTIAL",10/2,0))</f>
        <v/>
      </c>
      <c r="S59" s="7">
        <f>IF(N59="NOT_CHECKED",0,40)+IF(O59="NOT_CHECKED",0,30)+IF(P59="NOT_CHECKED",0,20)+IF(Q59="NOT_CHECKED",0,10)</f>
        <v/>
      </c>
      <c r="T59" s="7">
        <f>IF(S59=100,R59,"")</f>
        <v/>
      </c>
      <c r="U59" s="7">
        <f>R59</f>
        <v/>
      </c>
      <c r="V59" s="7">
        <f>R59+(100-S59)</f>
        <v/>
      </c>
      <c r="W59" s="3" t="inlineStr">
        <is>
          <t>[]</t>
        </is>
      </c>
      <c r="X59" s="3" t="inlineStr">
        <is>
          <t>["seo_runs\\jeminise.com\\20260906_234129\\qa\\20260909_131954\\images\\218_08.jpg", "https://cdn.shopify.com/s/files/1/0792/5098/1063/files/506208699826fd22223d7f359a17bad7d569ef0749841325cb295c2f7368bf3b.jpg?v=1785091229"]</t>
        </is>
      </c>
    </row>
    <row r="60" ht="66" customHeight="1">
      <c r="A60" s="2" t="inlineStr">
        <is>
          <t>jeminise.com+personalized-basketball-held-under-player-arm-blanket-with-name-and-number-7a077c5144-7a077c5144</t>
        </is>
      </c>
      <c r="B60" s="2" t="inlineStr">
        <is>
          <t>qaimg_e81e670cff3e587b</t>
        </is>
      </c>
      <c r="C60" s="4" t="inlineStr">
        <is>
          <t>https://cdn.shopify.com/s/files/1/0792/5098/1063/files/ed96114b904034e03b92d662d6c7e17d518593009bf80dcfe921f1ab3b3498eb.jpg?v=1785090862</t>
        </is>
      </c>
      <c r="D60" s="4" t="inlineStr">
        <is>
          <t>https://cdn.shopify.com/s/files/1/0792/5098/1063/files/ed96114b904034e03b92d662d6c7e17d518593009bf80dcfe921f1ab3b3498eb.jpg?v=1785090862</t>
        </is>
      </c>
      <c r="E60" s="2" t="inlineStr">
        <is>
          <t>47538997100743</t>
        </is>
      </c>
      <c r="F60" s="2" t="inlineStr"/>
      <c r="G60" s="2" t="inlineStr">
        <is>
          <t>GALLERY</t>
        </is>
      </c>
      <c r="H60" s="2" t="inlineStr">
        <is>
          <t>DIRECT_IMAGE_FILE_OPENED_AND_VISUALLY_REVIEWED</t>
        </is>
      </c>
      <c r="I60" s="2" t="inlineStr">
        <is>
          <t>2026-09-09T13:19:55+07:00</t>
        </is>
      </c>
      <c r="J60" s="2" t="inlineStr">
        <is>
          <t>QA opened 219_01.jpg (1000x1000) and checked against workbook observation: Blanket mockup with player arm holding basketball, sample name and jersey number.</t>
        </is>
      </c>
      <c r="K60" s="2" t="inlineStr">
        <is>
          <t>Blanket mockup with player arm holding basketball, sample name and jersey number.</t>
        </is>
      </c>
      <c r="L60" s="2" t="inlineStr">
        <is>
          <t>SET</t>
        </is>
      </c>
      <c r="M60" s="2" t="inlineStr">
        <is>
          <t>Custom basketball player blanket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5">
        <f>IF(N60="FULL",40,IF(N60="PARTIAL",40/2,0))+IF(O60="FULL",30,IF(O60="PARTIAL",30/2,0))+IF(P60="FULL",20,IF(P60="PARTIAL",20/2,0))+IF(Q60="FULL",10,IF(Q60="PARTIAL",10/2,0))</f>
        <v/>
      </c>
      <c r="S60" s="5">
        <f>IF(N60="NOT_CHECKED",0,40)+IF(O60="NOT_CHECKED",0,30)+IF(P60="NOT_CHECKED",0,20)+IF(Q60="NOT_CHECKED",0,10)</f>
        <v/>
      </c>
      <c r="T60" s="5">
        <f>IF(S60=100,R60,"")</f>
        <v/>
      </c>
      <c r="U60" s="5">
        <f>R60</f>
        <v/>
      </c>
      <c r="V60" s="5">
        <f>R60+(100-S60)</f>
        <v/>
      </c>
      <c r="W60" s="2" t="inlineStr">
        <is>
          <t>[]</t>
        </is>
      </c>
      <c r="X60" s="2" t="inlineStr">
        <is>
          <t>["seo_runs\\jeminise.com\\20260906_234129\\qa\\20260909_131954\\images\\219_01.jpg", "https://cdn.shopify.com/s/files/1/0792/5098/1063/files/ed96114b904034e03b92d662d6c7e17d518593009bf80dcfe921f1ab3b3498eb.jpg?v=1785090862"]</t>
        </is>
      </c>
    </row>
    <row r="61" ht="66" customHeight="1">
      <c r="A61" s="3" t="inlineStr">
        <is>
          <t>jeminise.com+personalized-basketball-held-under-player-arm-blanket-with-name-and-number-7a077c5144-7a077c5144</t>
        </is>
      </c>
      <c r="B61" s="3" t="inlineStr">
        <is>
          <t>qaimg_e44cdc2814e7e45f</t>
        </is>
      </c>
      <c r="C61" s="4" t="inlineStr">
        <is>
          <t>https://cdn.shopify.com/s/files/1/0792/5098/1063/files/3d984792562f8010f3af68d23f4bc8a5bd85d9747526c7cd5282e1c31c693b36.jpg?v=1785090861</t>
        </is>
      </c>
      <c r="D61" s="4" t="inlineStr">
        <is>
          <t>https://cdn.shopify.com/s/files/1/0792/5098/1063/files/3d984792562f8010f3af68d23f4bc8a5bd85d9747526c7cd5282e1c31c693b36.jpg?v=1785090861</t>
        </is>
      </c>
      <c r="E61" s="3" t="inlineStr">
        <is>
          <t>47538997133511</t>
        </is>
      </c>
      <c r="F61" s="3" t="inlineStr"/>
      <c r="G61" s="3" t="inlineStr">
        <is>
          <t>GALLERY</t>
        </is>
      </c>
      <c r="H61" s="3" t="inlineStr">
        <is>
          <t>DIRECT_IMAGE_FILE_OPENED_AND_VISUALLY_REVIEWED</t>
        </is>
      </c>
      <c r="I61" s="3" t="inlineStr">
        <is>
          <t>2026-09-09T13:19:55+07:00</t>
        </is>
      </c>
      <c r="J61" s="3" t="inlineStr">
        <is>
          <t>QA opened 219_02.jpg (1000x1000) and checked against workbook observation: Basketball player blanket displayed on sofa.</t>
        </is>
      </c>
      <c r="K61" s="3" t="inlineStr">
        <is>
          <t>Basketball player blanket displayed on sofa.</t>
        </is>
      </c>
      <c r="L61" s="3" t="inlineStr">
        <is>
          <t>SET</t>
        </is>
      </c>
      <c r="M61" s="3" t="inlineStr">
        <is>
          <t>Basketball player blanket on sofa</t>
        </is>
      </c>
      <c r="N61" s="3" t="inlineStr">
        <is>
          <t>FULL</t>
        </is>
      </c>
      <c r="O61" s="3" t="inlineStr">
        <is>
          <t>FULL</t>
        </is>
      </c>
      <c r="P61" s="3" t="inlineStr">
        <is>
          <t>FULL</t>
        </is>
      </c>
      <c r="Q61" s="3" t="inlineStr">
        <is>
          <t>FULL</t>
        </is>
      </c>
      <c r="R61" s="7">
        <f>IF(N61="FULL",40,IF(N61="PARTIAL",40/2,0))+IF(O61="FULL",30,IF(O61="PARTIAL",30/2,0))+IF(P61="FULL",20,IF(P61="PARTIAL",20/2,0))+IF(Q61="FULL",10,IF(Q61="PARTIAL",10/2,0))</f>
        <v/>
      </c>
      <c r="S61" s="7">
        <f>IF(N61="NOT_CHECKED",0,40)+IF(O61="NOT_CHECKED",0,30)+IF(P61="NOT_CHECKED",0,20)+IF(Q61="NOT_CHECKED",0,10)</f>
        <v/>
      </c>
      <c r="T61" s="7">
        <f>IF(S61=100,R61,"")</f>
        <v/>
      </c>
      <c r="U61" s="7">
        <f>R61</f>
        <v/>
      </c>
      <c r="V61" s="7">
        <f>R61+(100-S61)</f>
        <v/>
      </c>
      <c r="W61" s="3" t="inlineStr">
        <is>
          <t>[]</t>
        </is>
      </c>
      <c r="X61" s="3" t="inlineStr">
        <is>
          <t>["seo_runs\\jeminise.com\\20260906_234129\\qa\\20260909_131954\\images\\219_02.jpg", "https://cdn.shopify.com/s/files/1/0792/5098/1063/files/3d984792562f8010f3af68d23f4bc8a5bd85d9747526c7cd5282e1c31c693b36.jpg?v=1785090861"]</t>
        </is>
      </c>
    </row>
    <row r="62" ht="66" customHeight="1">
      <c r="A62" s="2" t="inlineStr">
        <is>
          <t>jeminise.com+personalized-basketball-held-under-player-arm-blanket-with-name-and-number-7a077c5144-7a077c5144</t>
        </is>
      </c>
      <c r="B62" s="2" t="inlineStr">
        <is>
          <t>qaimg_68ad5f07a7501bb5</t>
        </is>
      </c>
      <c r="C62" s="4" t="inlineStr">
        <is>
          <t>https://cdn.shopify.com/s/files/1/0792/5098/1063/files/c9d88db0b17355b04ef112e8cae716929500574eab3120fa6ed32c86338180be.jpg?v=1785090862</t>
        </is>
      </c>
      <c r="D62" s="4" t="inlineStr">
        <is>
          <t>https://cdn.shopify.com/s/files/1/0792/5098/1063/files/c9d88db0b17355b04ef112e8cae716929500574eab3120fa6ed32c86338180be.jpg?v=1785090862</t>
        </is>
      </c>
      <c r="E62" s="2" t="inlineStr">
        <is>
          <t>47538997166279</t>
        </is>
      </c>
      <c r="F62" s="2" t="inlineStr"/>
      <c r="G62" s="2" t="inlineStr">
        <is>
          <t>GALLERY</t>
        </is>
      </c>
      <c r="H62" s="2" t="inlineStr">
        <is>
          <t>DIRECT_IMAGE_FILE_OPENED_AND_VISUALLY_REVIEWED</t>
        </is>
      </c>
      <c r="I62" s="2" t="inlineStr">
        <is>
          <t>2026-09-09T13:19:55+07:00</t>
        </is>
      </c>
      <c r="J62" s="2" t="inlineStr">
        <is>
          <t>QA opened 219_03.jpg (1000x1000) and checked against workbook observation: Folded basketball player blanket showing arm and ball artwork.</t>
        </is>
      </c>
      <c r="K62" s="2" t="inlineStr">
        <is>
          <t>Folded basketball player blanket showing arm and ball artwork.</t>
        </is>
      </c>
      <c r="L62" s="2" t="inlineStr">
        <is>
          <t>SET</t>
        </is>
      </c>
      <c r="M62" s="2" t="inlineStr">
        <is>
          <t>Basketball player blanket folded view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5">
        <f>IF(N62="FULL",40,IF(N62="PARTIAL",40/2,0))+IF(O62="FULL",30,IF(O62="PARTIAL",30/2,0))+IF(P62="FULL",20,IF(P62="PARTIAL",20/2,0))+IF(Q62="FULL",10,IF(Q62="PARTIAL",10/2,0))</f>
        <v/>
      </c>
      <c r="S62" s="5">
        <f>IF(N62="NOT_CHECKED",0,40)+IF(O62="NOT_CHECKED",0,30)+IF(P62="NOT_CHECKED",0,20)+IF(Q62="NOT_CHECKED",0,10)</f>
        <v/>
      </c>
      <c r="T62" s="5">
        <f>IF(S62=100,R62,"")</f>
        <v/>
      </c>
      <c r="U62" s="5">
        <f>R62</f>
        <v/>
      </c>
      <c r="V62" s="5">
        <f>R62+(100-S62)</f>
        <v/>
      </c>
      <c r="W62" s="2" t="inlineStr">
        <is>
          <t>[]</t>
        </is>
      </c>
      <c r="X62" s="2" t="inlineStr">
        <is>
          <t>["seo_runs\\jeminise.com\\20260906_234129\\qa\\20260909_131954\\images\\219_03.jpg", "https://cdn.shopify.com/s/files/1/0792/5098/1063/files/c9d88db0b17355b04ef112e8cae716929500574eab3120fa6ed32c86338180be.jpg?v=1785090862"]</t>
        </is>
      </c>
    </row>
    <row r="63" ht="66" customHeight="1">
      <c r="A63" s="3" t="inlineStr">
        <is>
          <t>jeminise.com+personalized-basketball-held-under-player-arm-blanket-with-name-and-number-7a077c5144-7a077c5144</t>
        </is>
      </c>
      <c r="B63" s="3" t="inlineStr">
        <is>
          <t>qaimg_68862f7d00eec077</t>
        </is>
      </c>
      <c r="C63" s="4" t="inlineStr">
        <is>
          <t>https://cdn.shopify.com/s/files/1/0792/5098/1063/files/83c7cb91526b0c2c1dc2996aa49d61d934ca8d5cbf5b56dd7257862a362e8c45.jpg?v=1785090862</t>
        </is>
      </c>
      <c r="D63" s="4" t="inlineStr">
        <is>
          <t>https://cdn.shopify.com/s/files/1/0792/5098/1063/files/83c7cb91526b0c2c1dc2996aa49d61d934ca8d5cbf5b56dd7257862a362e8c45.jpg?v=1785090862</t>
        </is>
      </c>
      <c r="E63" s="3" t="inlineStr">
        <is>
          <t>47538997199047</t>
        </is>
      </c>
      <c r="F63" s="3" t="inlineStr"/>
      <c r="G63" s="3" t="inlineStr">
        <is>
          <t>GALLERY</t>
        </is>
      </c>
      <c r="H63" s="3" t="inlineStr">
        <is>
          <t>DIRECT_IMAGE_FILE_OPENED_AND_VISUALLY_REVIEWED</t>
        </is>
      </c>
      <c r="I63" s="3" t="inlineStr">
        <is>
          <t>2026-09-09T13:19:55+07:00</t>
        </is>
      </c>
      <c r="J63" s="3" t="inlineStr">
        <is>
          <t>QA opened 219_04.jpg (1000x1000) and checked against workbook observation: Basketball blanket size or style panel.</t>
        </is>
      </c>
      <c r="K63" s="3" t="inlineStr">
        <is>
          <t>Basketball blanket size or style panel.</t>
        </is>
      </c>
      <c r="L63" s="3" t="inlineStr">
        <is>
          <t>SET</t>
        </is>
      </c>
      <c r="M63" s="3" t="inlineStr">
        <is>
          <t>Basketball player blanket size panel</t>
        </is>
      </c>
      <c r="N63" s="3" t="inlineStr">
        <is>
          <t>FULL</t>
        </is>
      </c>
      <c r="O63" s="3" t="inlineStr">
        <is>
          <t>FULL</t>
        </is>
      </c>
      <c r="P63" s="3" t="inlineStr">
        <is>
          <t>FULL</t>
        </is>
      </c>
      <c r="Q63" s="3" t="inlineStr">
        <is>
          <t>FULL</t>
        </is>
      </c>
      <c r="R63" s="7">
        <f>IF(N63="FULL",40,IF(N63="PARTIAL",40/2,0))+IF(O63="FULL",30,IF(O63="PARTIAL",30/2,0))+IF(P63="FULL",20,IF(P63="PARTIAL",20/2,0))+IF(Q63="FULL",10,IF(Q63="PARTIAL",10/2,0))</f>
        <v/>
      </c>
      <c r="S63" s="7">
        <f>IF(N63="NOT_CHECKED",0,40)+IF(O63="NOT_CHECKED",0,30)+IF(P63="NOT_CHECKED",0,20)+IF(Q63="NOT_CHECKED",0,10)</f>
        <v/>
      </c>
      <c r="T63" s="7">
        <f>IF(S63=100,R63,"")</f>
        <v/>
      </c>
      <c r="U63" s="7">
        <f>R63</f>
        <v/>
      </c>
      <c r="V63" s="7">
        <f>R63+(100-S63)</f>
        <v/>
      </c>
      <c r="W63" s="3" t="inlineStr">
        <is>
          <t>[]</t>
        </is>
      </c>
      <c r="X63" s="3" t="inlineStr">
        <is>
          <t>["seo_runs\\jeminise.com\\20260906_234129\\qa\\20260909_131954\\images\\219_04.jpg", "https://cdn.shopify.com/s/files/1/0792/5098/1063/files/83c7cb91526b0c2c1dc2996aa49d61d934ca8d5cbf5b56dd7257862a362e8c45.jpg?v=1785090862"]</t>
        </is>
      </c>
    </row>
    <row r="64" ht="66" customHeight="1">
      <c r="A64" s="2" t="inlineStr">
        <is>
          <t>jeminise.com+personalized-basketball-held-under-player-arm-blanket-with-name-and-number-7a077c5144-7a077c5144</t>
        </is>
      </c>
      <c r="B64" s="2" t="inlineStr">
        <is>
          <t>qaimg_239c219ece7b8ef5</t>
        </is>
      </c>
      <c r="C64" s="4" t="inlineStr">
        <is>
          <t>https://cdn.shopify.com/s/files/1/0792/5098/1063/files/906ea4d03cb8db4de23c2fcc9a13d933180f44bfbd66601c05e48337998babcb.jpg?v=1785090861</t>
        </is>
      </c>
      <c r="D64" s="4" t="inlineStr">
        <is>
          <t>https://cdn.shopify.com/s/files/1/0792/5098/1063/files/906ea4d03cb8db4de23c2fcc9a13d933180f44bfbd66601c05e48337998babcb.jpg?v=1785090861</t>
        </is>
      </c>
      <c r="E64" s="2" t="inlineStr">
        <is>
          <t>47538997231815</t>
        </is>
      </c>
      <c r="F64" s="2" t="inlineStr"/>
      <c r="G64" s="2" t="inlineStr">
        <is>
          <t>GALLERY</t>
        </is>
      </c>
      <c r="H64" s="2" t="inlineStr">
        <is>
          <t>DIRECT_IMAGE_FILE_OPENED_AND_VISUALLY_REVIEWED</t>
        </is>
      </c>
      <c r="I64" s="2" t="inlineStr">
        <is>
          <t>2026-09-09T13:19:55+07:00</t>
        </is>
      </c>
      <c r="J64" s="2" t="inlineStr">
        <is>
          <t>QA opened 219_05.jpg (1000x1000) and checked against workbook observation: Close-up fabric panel for basketball player blanket.</t>
        </is>
      </c>
      <c r="K64" s="2" t="inlineStr">
        <is>
          <t>Close-up fabric panel for basketball player blanket.</t>
        </is>
      </c>
      <c r="L64" s="2" t="inlineStr">
        <is>
          <t>SET</t>
        </is>
      </c>
      <c r="M64" s="2" t="inlineStr">
        <is>
          <t>Basketball player blanket fabric panel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5">
        <f>IF(N64="FULL",40,IF(N64="PARTIAL",40/2,0))+IF(O64="FULL",30,IF(O64="PARTIAL",30/2,0))+IF(P64="FULL",20,IF(P64="PARTIAL",20/2,0))+IF(Q64="FULL",10,IF(Q64="PARTIAL",10/2,0))</f>
        <v/>
      </c>
      <c r="S64" s="5">
        <f>IF(N64="NOT_CHECKED",0,40)+IF(O64="NOT_CHECKED",0,30)+IF(P64="NOT_CHECKED",0,20)+IF(Q64="NOT_CHECKED",0,10)</f>
        <v/>
      </c>
      <c r="T64" s="5">
        <f>IF(S64=100,R64,"")</f>
        <v/>
      </c>
      <c r="U64" s="5">
        <f>R64</f>
        <v/>
      </c>
      <c r="V64" s="5">
        <f>R64+(100-S64)</f>
        <v/>
      </c>
      <c r="W64" s="2" t="inlineStr">
        <is>
          <t>[]</t>
        </is>
      </c>
      <c r="X64" s="2" t="inlineStr">
        <is>
          <t>["seo_runs\\jeminise.com\\20260906_234129\\qa\\20260909_131954\\images\\219_05.jpg", "https://cdn.shopify.com/s/files/1/0792/5098/1063/files/906ea4d03cb8db4de23c2fcc9a13d933180f44bfbd66601c05e48337998babcb.jpg?v=1785090861"]</t>
        </is>
      </c>
    </row>
    <row r="65" ht="66" customHeight="1">
      <c r="A65" s="3" t="inlineStr">
        <is>
          <t>jeminise.com+personalized-basketball-held-under-player-arm-blanket-with-name-and-number-7a077c5144-7a077c5144</t>
        </is>
      </c>
      <c r="B65" s="3" t="inlineStr">
        <is>
          <t>qaimg_57beb255766763d6</t>
        </is>
      </c>
      <c r="C65" s="4" t="inlineStr">
        <is>
          <t>https://cdn.shopify.com/s/files/1/0792/5098/1063/files/0eb7f14597a4b2324f5769ae0f4b7f1c4ec7a1ef838ca0c6ce31ae14f169f740.jpg?v=1785090861</t>
        </is>
      </c>
      <c r="D65" s="4" t="inlineStr">
        <is>
          <t>https://cdn.shopify.com/s/files/1/0792/5098/1063/files/0eb7f14597a4b2324f5769ae0f4b7f1c4ec7a1ef838ca0c6ce31ae14f169f740.jpg?v=1785090861</t>
        </is>
      </c>
      <c r="E65" s="3" t="inlineStr">
        <is>
          <t>47538997264583</t>
        </is>
      </c>
      <c r="F65" s="3" t="inlineStr"/>
      <c r="G65" s="3" t="inlineStr">
        <is>
          <t>GALLERY</t>
        </is>
      </c>
      <c r="H65" s="3" t="inlineStr">
        <is>
          <t>DIRECT_IMAGE_FILE_OPENED_AND_VISUALLY_REVIEWED</t>
        </is>
      </c>
      <c r="I65" s="3" t="inlineStr">
        <is>
          <t>2026-09-09T13:19:55+07:00</t>
        </is>
      </c>
      <c r="J65" s="3" t="inlineStr">
        <is>
          <t>QA opened 219_06.jpg (1500x1500) and checked against workbook observation: Lifestyle use image for basketball blanket.</t>
        </is>
      </c>
      <c r="K65" s="3" t="inlineStr">
        <is>
          <t>Lifestyle use image for basketball blanket.</t>
        </is>
      </c>
      <c r="L65" s="3" t="inlineStr">
        <is>
          <t>SET</t>
        </is>
      </c>
      <c r="M65" s="3" t="inlineStr">
        <is>
          <t>Basketball blanket lifestyle image for custom basketball player blanket with optional name number</t>
        </is>
      </c>
      <c r="N65" s="3" t="inlineStr">
        <is>
          <t>FULL</t>
        </is>
      </c>
      <c r="O65" s="3" t="inlineStr">
        <is>
          <t>FULL</t>
        </is>
      </c>
      <c r="P65" s="3" t="inlineStr">
        <is>
          <t>FULL</t>
        </is>
      </c>
      <c r="Q65" s="3" t="inlineStr">
        <is>
          <t>FULL</t>
        </is>
      </c>
      <c r="R65" s="7">
        <f>IF(N65="FULL",40,IF(N65="PARTIAL",40/2,0))+IF(O65="FULL",30,IF(O65="PARTIAL",30/2,0))+IF(P65="FULL",20,IF(P65="PARTIAL",20/2,0))+IF(Q65="FULL",10,IF(Q65="PARTIAL",10/2,0))</f>
        <v/>
      </c>
      <c r="S65" s="7">
        <f>IF(N65="NOT_CHECKED",0,40)+IF(O65="NOT_CHECKED",0,30)+IF(P65="NOT_CHECKED",0,20)+IF(Q65="NOT_CHECKED",0,10)</f>
        <v/>
      </c>
      <c r="T65" s="7">
        <f>IF(S65=100,R65,"")</f>
        <v/>
      </c>
      <c r="U65" s="7">
        <f>R65</f>
        <v/>
      </c>
      <c r="V65" s="7">
        <f>R65+(100-S65)</f>
        <v/>
      </c>
      <c r="W65" s="3" t="inlineStr">
        <is>
          <t>[]</t>
        </is>
      </c>
      <c r="X65" s="3" t="inlineStr">
        <is>
          <t>["seo_runs\\jeminise.com\\20260906_234129\\qa\\20260909_131954\\images\\219_06.jpg", "https://cdn.shopify.com/s/files/1/0792/5098/1063/files/0eb7f14597a4b2324f5769ae0f4b7f1c4ec7a1ef838ca0c6ce31ae14f169f740.jpg?v=1785090861"]</t>
        </is>
      </c>
    </row>
    <row r="66" ht="66" customHeight="1">
      <c r="A66" s="2" t="inlineStr">
        <is>
          <t>jeminise.com+personalized-basketball-held-under-player-arm-blanket-with-name-and-number-7a077c5144-7a077c5144</t>
        </is>
      </c>
      <c r="B66" s="2" t="inlineStr">
        <is>
          <t>qaimg_2acf04b68dd05208</t>
        </is>
      </c>
      <c r="C66" s="4" t="inlineStr">
        <is>
          <t>https://cdn.shopify.com/s/files/1/0792/5098/1063/files/177b2fca4aad4510bee322bbee644447b293aec5d1fdb6da3933badc2d1e30fa.jpg?v=1785090862</t>
        </is>
      </c>
      <c r="D66" s="4" t="inlineStr">
        <is>
          <t>https://cdn.shopify.com/s/files/1/0792/5098/1063/files/177b2fca4aad4510bee322bbee644447b293aec5d1fdb6da3933badc2d1e30fa.jpg?v=1785090862</t>
        </is>
      </c>
      <c r="E66" s="2" t="inlineStr">
        <is>
          <t>47538997297351</t>
        </is>
      </c>
      <c r="F66" s="2" t="inlineStr"/>
      <c r="G66" s="2" t="inlineStr">
        <is>
          <t>GALLERY</t>
        </is>
      </c>
      <c r="H66" s="2" t="inlineStr">
        <is>
          <t>DIRECT_IMAGE_FILE_OPENED_AND_VISUALLY_REVIEWED</t>
        </is>
      </c>
      <c r="I66" s="2" t="inlineStr">
        <is>
          <t>2026-09-09T13:19:55+07:00</t>
        </is>
      </c>
      <c r="J66" s="2" t="inlineStr">
        <is>
          <t>QA opened 219_07.jpg (1500x1500) and checked against workbook observation: Additional basketball player blanket mockup.</t>
        </is>
      </c>
      <c r="K66" s="2" t="inlineStr">
        <is>
          <t>Additional basketball player blanket mockup.</t>
        </is>
      </c>
      <c r="L66" s="2" t="inlineStr">
        <is>
          <t>SET</t>
        </is>
      </c>
      <c r="M66" s="2" t="inlineStr">
        <is>
          <t>Basketball player blanket mockup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5">
        <f>IF(N66="FULL",40,IF(N66="PARTIAL",40/2,0))+IF(O66="FULL",30,IF(O66="PARTIAL",30/2,0))+IF(P66="FULL",20,IF(P66="PARTIAL",20/2,0))+IF(Q66="FULL",10,IF(Q66="PARTIAL",10/2,0))</f>
        <v/>
      </c>
      <c r="S66" s="5">
        <f>IF(N66="NOT_CHECKED",0,40)+IF(O66="NOT_CHECKED",0,30)+IF(P66="NOT_CHECKED",0,20)+IF(Q66="NOT_CHECKED",0,10)</f>
        <v/>
      </c>
      <c r="T66" s="5">
        <f>IF(S66=100,R66,"")</f>
        <v/>
      </c>
      <c r="U66" s="5">
        <f>R66</f>
        <v/>
      </c>
      <c r="V66" s="5">
        <f>R66+(100-S66)</f>
        <v/>
      </c>
      <c r="W66" s="2" t="inlineStr">
        <is>
          <t>[]</t>
        </is>
      </c>
      <c r="X66" s="2" t="inlineStr">
        <is>
          <t>["seo_runs\\jeminise.com\\20260906_234129\\qa\\20260909_131954\\images\\219_07.jpg", "https://cdn.shopify.com/s/files/1/0792/5098/1063/files/177b2fca4aad4510bee322bbee644447b293aec5d1fdb6da3933badc2d1e30fa.jpg?v=1785090862"]</t>
        </is>
      </c>
    </row>
    <row r="67" ht="66" customHeight="1">
      <c r="A67" s="3" t="inlineStr">
        <is>
          <t>jeminise.com+personalized-basketball-held-under-player-arm-blanket-with-name-and-number-7a077c5144-7a077c5144</t>
        </is>
      </c>
      <c r="B67" s="3" t="inlineStr">
        <is>
          <t>qaimg_8b7b43ae4d469079</t>
        </is>
      </c>
      <c r="C67" s="4" t="inlineStr">
        <is>
          <t>https://cdn.shopify.com/s/files/1/0792/5098/1063/files/7a3d547ec6317ecbc43fb993de4a14d4cdf3da8f57c4407345250c876d2c32ca.jpg?v=1785090862</t>
        </is>
      </c>
      <c r="D67" s="4" t="inlineStr">
        <is>
          <t>https://cdn.shopify.com/s/files/1/0792/5098/1063/files/7a3d547ec6317ecbc43fb993de4a14d4cdf3da8f57c4407345250c876d2c32ca.jpg?v=1785090862</t>
        </is>
      </c>
      <c r="E67" s="3" t="inlineStr">
        <is>
          <t>47538997330119</t>
        </is>
      </c>
      <c r="F67" s="3" t="inlineStr"/>
      <c r="G67" s="3" t="inlineStr">
        <is>
          <t>GALLERY</t>
        </is>
      </c>
      <c r="H67" s="3" t="inlineStr">
        <is>
          <t>DIRECT_IMAGE_FILE_OPENED_AND_VISUALLY_REVIEWED</t>
        </is>
      </c>
      <c r="I67" s="3" t="inlineStr">
        <is>
          <t>2026-09-09T13:19:55+07:00</t>
        </is>
      </c>
      <c r="J67" s="3" t="inlineStr">
        <is>
          <t>QA opened 219_08.jpg (1000x1000) and checked against workbook observation: Basketball blanket feature panel.</t>
        </is>
      </c>
      <c r="K67" s="3" t="inlineStr">
        <is>
          <t>Basketball blanket feature panel.</t>
        </is>
      </c>
      <c r="L67" s="3" t="inlineStr">
        <is>
          <t>SET</t>
        </is>
      </c>
      <c r="M67" s="3" t="inlineStr">
        <is>
          <t>Basketball player blanket feature panel</t>
        </is>
      </c>
      <c r="N67" s="3" t="inlineStr">
        <is>
          <t>FULL</t>
        </is>
      </c>
      <c r="O67" s="3" t="inlineStr">
        <is>
          <t>FULL</t>
        </is>
      </c>
      <c r="P67" s="3" t="inlineStr">
        <is>
          <t>FULL</t>
        </is>
      </c>
      <c r="Q67" s="3" t="inlineStr">
        <is>
          <t>FULL</t>
        </is>
      </c>
      <c r="R67" s="7">
        <f>IF(N67="FULL",40,IF(N67="PARTIAL",40/2,0))+IF(O67="FULL",30,IF(O67="PARTIAL",30/2,0))+IF(P67="FULL",20,IF(P67="PARTIAL",20/2,0))+IF(Q67="FULL",10,IF(Q67="PARTIAL",10/2,0))</f>
        <v/>
      </c>
      <c r="S67" s="7">
        <f>IF(N67="NOT_CHECKED",0,40)+IF(O67="NOT_CHECKED",0,30)+IF(P67="NOT_CHECKED",0,20)+IF(Q67="NOT_CHECKED",0,10)</f>
        <v/>
      </c>
      <c r="T67" s="7">
        <f>IF(S67=100,R67,"")</f>
        <v/>
      </c>
      <c r="U67" s="7">
        <f>R67</f>
        <v/>
      </c>
      <c r="V67" s="7">
        <f>R67+(100-S67)</f>
        <v/>
      </c>
      <c r="W67" s="3" t="inlineStr">
        <is>
          <t>[]</t>
        </is>
      </c>
      <c r="X67" s="3" t="inlineStr">
        <is>
          <t>["seo_runs\\jeminise.com\\20260906_234129\\qa\\20260909_131954\\images\\219_08.jpg", "https://cdn.shopify.com/s/files/1/0792/5098/1063/files/7a3d547ec6317ecbc43fb993de4a14d4cdf3da8f57c4407345250c876d2c32ca.jpg?v=1785090862"]</t>
        </is>
      </c>
    </row>
    <row r="68" ht="66" customHeight="1">
      <c r="A68" s="2" t="inlineStr">
        <is>
          <t>jeminise.com+personalized-basketball-hoop-comforter-name-number-863d6f6ff1-863d6f6ff1</t>
        </is>
      </c>
      <c r="B68" s="2" t="inlineStr">
        <is>
          <t>qaimg_3c7a99c195a4d7fa</t>
        </is>
      </c>
      <c r="C68" s="4" t="inlineStr">
        <is>
          <t>https://cdn.shopify.com/s/files/1/0792/5098/1063/files/54a5702437a6f7b02a981540b13584efcc636acaebc5e7e5190b6f4f939806bc.jpg?v=1785083993</t>
        </is>
      </c>
      <c r="D68" s="4" t="inlineStr">
        <is>
          <t>https://cdn.shopify.com/s/files/1/0792/5098/1063/files/54a5702437a6f7b02a981540b13584efcc636acaebc5e7e5190b6f4f939806bc.jpg?v=1785083993</t>
        </is>
      </c>
      <c r="E68" s="2" t="inlineStr">
        <is>
          <t>47538180849863</t>
        </is>
      </c>
      <c r="F68" s="2" t="inlineStr"/>
      <c r="G68" s="2" t="inlineStr">
        <is>
          <t>GALLERY</t>
        </is>
      </c>
      <c r="H68" s="2" t="inlineStr">
        <is>
          <t>DIRECT_IMAGE_FILE_OPENED_AND_VISUALLY_REVIEWED</t>
        </is>
      </c>
      <c r="I68" s="2" t="inlineStr">
        <is>
          <t>2026-09-09T13:19:55+07:00</t>
        </is>
      </c>
      <c r="J68" s="2" t="inlineStr">
        <is>
          <t>QA opened 220_01.jpg (1000x1000) and checked against workbook observation: Bedroom mockup of orange basketball hoop comforter with sample name and number on shams.</t>
        </is>
      </c>
      <c r="K68" s="2" t="inlineStr">
        <is>
          <t>Bedroom mockup of orange basketball hoop comforter with sample name and number on shams.</t>
        </is>
      </c>
      <c r="L68" s="2" t="inlineStr">
        <is>
          <t>SET</t>
        </is>
      </c>
      <c r="M68" s="2" t="inlineStr">
        <is>
          <t>Custom orange basketball hoop comforter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5">
        <f>IF(N68="FULL",40,IF(N68="PARTIAL",40/2,0))+IF(O68="FULL",30,IF(O68="PARTIAL",30/2,0))+IF(P68="FULL",20,IF(P68="PARTIAL",20/2,0))+IF(Q68="FULL",10,IF(Q68="PARTIAL",10/2,0))</f>
        <v/>
      </c>
      <c r="S68" s="5">
        <f>IF(N68="NOT_CHECKED",0,40)+IF(O68="NOT_CHECKED",0,30)+IF(P68="NOT_CHECKED",0,20)+IF(Q68="NOT_CHECKED",0,10)</f>
        <v/>
      </c>
      <c r="T68" s="5">
        <f>IF(S68=100,R68,"")</f>
        <v/>
      </c>
      <c r="U68" s="5">
        <f>R68</f>
        <v/>
      </c>
      <c r="V68" s="5">
        <f>R68+(100-S68)</f>
        <v/>
      </c>
      <c r="W68" s="2" t="inlineStr">
        <is>
          <t>[]</t>
        </is>
      </c>
      <c r="X68" s="2" t="inlineStr">
        <is>
          <t>["seo_runs\\jeminise.com\\20260906_234129\\qa\\20260909_131954\\images\\220_01.jpg", "https://cdn.shopify.com/s/files/1/0792/5098/1063/files/54a5702437a6f7b02a981540b13584efcc636acaebc5e7e5190b6f4f939806bc.jpg?v=1785083993"]</t>
        </is>
      </c>
    </row>
    <row r="69" ht="66" customHeight="1">
      <c r="A69" s="3" t="inlineStr">
        <is>
          <t>jeminise.com+personalized-basketball-hoop-comforter-name-number-863d6f6ff1-863d6f6ff1</t>
        </is>
      </c>
      <c r="B69" s="3" t="inlineStr">
        <is>
          <t>qaimg_b845e42717224931</t>
        </is>
      </c>
      <c r="C69" s="4" t="inlineStr">
        <is>
          <t>https://cdn.shopify.com/s/files/1/0792/5098/1063/files/b0ea4e79672d69fa5a6b0fca181f843da1f36d046535a36b3f2f44944afd8f47.jpg?v=1785083993</t>
        </is>
      </c>
      <c r="D69" s="4" t="inlineStr">
        <is>
          <t>https://cdn.shopify.com/s/files/1/0792/5098/1063/files/b0ea4e79672d69fa5a6b0fca181f843da1f36d046535a36b3f2f44944afd8f47.jpg?v=1785083993</t>
        </is>
      </c>
      <c r="E69" s="3" t="inlineStr">
        <is>
          <t>47538180882631</t>
        </is>
      </c>
      <c r="F69" s="3" t="inlineStr"/>
      <c r="G69" s="3" t="inlineStr">
        <is>
          <t>GALLERY</t>
        </is>
      </c>
      <c r="H69" s="3" t="inlineStr">
        <is>
          <t>DIRECT_IMAGE_FILE_OPENED_AND_VISUALLY_REVIEWED</t>
        </is>
      </c>
      <c r="I69" s="3" t="inlineStr">
        <is>
          <t>2026-09-09T13:19:55+07:00</t>
        </is>
      </c>
      <c r="J69" s="3" t="inlineStr">
        <is>
          <t>QA opened 220_02.jpg (1000x1000) and checked against workbook observation: Second orange basketball hoop bedding mockup with duvet fold.</t>
        </is>
      </c>
      <c r="K69" s="3" t="inlineStr">
        <is>
          <t>Second orange basketball hoop bedding mockup with duvet fold.</t>
        </is>
      </c>
      <c r="L69" s="3" t="inlineStr">
        <is>
          <t>SET</t>
        </is>
      </c>
      <c r="M69" s="3" t="inlineStr">
        <is>
          <t>Orange basketball bedding mockup</t>
        </is>
      </c>
      <c r="N69" s="3" t="inlineStr">
        <is>
          <t>FULL</t>
        </is>
      </c>
      <c r="O69" s="3" t="inlineStr">
        <is>
          <t>FULL</t>
        </is>
      </c>
      <c r="P69" s="3" t="inlineStr">
        <is>
          <t>FULL</t>
        </is>
      </c>
      <c r="Q69" s="3" t="inlineStr">
        <is>
          <t>FULL</t>
        </is>
      </c>
      <c r="R69" s="7">
        <f>IF(N69="FULL",40,IF(N69="PARTIAL",40/2,0))+IF(O69="FULL",30,IF(O69="PARTIAL",30/2,0))+IF(P69="FULL",20,IF(P69="PARTIAL",20/2,0))+IF(Q69="FULL",10,IF(Q69="PARTIAL",10/2,0))</f>
        <v/>
      </c>
      <c r="S69" s="7">
        <f>IF(N69="NOT_CHECKED",0,40)+IF(O69="NOT_CHECKED",0,30)+IF(P69="NOT_CHECKED",0,20)+IF(Q69="NOT_CHECKED",0,10)</f>
        <v/>
      </c>
      <c r="T69" s="7">
        <f>IF(S69=100,R69,"")</f>
        <v/>
      </c>
      <c r="U69" s="7">
        <f>R69</f>
        <v/>
      </c>
      <c r="V69" s="7">
        <f>R69+(100-S69)</f>
        <v/>
      </c>
      <c r="W69" s="3" t="inlineStr">
        <is>
          <t>[]</t>
        </is>
      </c>
      <c r="X69" s="3" t="inlineStr">
        <is>
          <t>["seo_runs\\jeminise.com\\20260906_234129\\qa\\20260909_131954\\images\\220_02.jpg", "https://cdn.shopify.com/s/files/1/0792/5098/1063/files/b0ea4e79672d69fa5a6b0fca181f843da1f36d046535a36b3f2f44944afd8f47.jpg?v=1785083993"]</t>
        </is>
      </c>
    </row>
    <row r="70" ht="66" customHeight="1">
      <c r="A70" s="2" t="inlineStr">
        <is>
          <t>jeminise.com+personalized-basketball-hoop-comforter-name-number-863d6f6ff1-863d6f6ff1</t>
        </is>
      </c>
      <c r="B70" s="2" t="inlineStr">
        <is>
          <t>qaimg_ac6fa5465992c4c1</t>
        </is>
      </c>
      <c r="C70" s="4" t="inlineStr">
        <is>
          <t>https://cdn.shopify.com/s/files/1/0792/5098/1063/files/8a9e1df72b5192bb43bbd21e95f23ee9fb295c1019815a38619f5e8659a891a2_b0b7a172-619d-42c9-b8d8-3a35fa38d5e9.jpg?v=1785083993</t>
        </is>
      </c>
      <c r="D70" s="4" t="inlineStr">
        <is>
          <t>https://cdn.shopify.com/s/files/1/0792/5098/1063/files/8a9e1df72b5192bb43bbd21e95f23ee9fb295c1019815a38619f5e8659a891a2_b0b7a172-619d-42c9-b8d8-3a35fa38d5e9.jpg?v=1785083993</t>
        </is>
      </c>
      <c r="E70" s="2" t="inlineStr">
        <is>
          <t>47538180915399</t>
        </is>
      </c>
      <c r="F70" s="2" t="inlineStr"/>
      <c r="G70" s="2" t="inlineStr">
        <is>
          <t>GALLERY</t>
        </is>
      </c>
      <c r="H70" s="2" t="inlineStr">
        <is>
          <t>DIRECT_IMAGE_FILE_OPENED_AND_VISUALLY_REVIEWED</t>
        </is>
      </c>
      <c r="I70" s="2" t="inlineStr">
        <is>
          <t>2026-09-09T13:19:55+07:00</t>
        </is>
      </c>
      <c r="J70" s="2" t="inlineStr">
        <is>
          <t>QA opened 220_03.jpg (1000x1000) and checked against workbook observation: Feature view of orange basketball hoop bedding with comfort icons.</t>
        </is>
      </c>
      <c r="K70" s="2" t="inlineStr">
        <is>
          <t>Feature view of orange basketball hoop bedding with comfort icons.</t>
        </is>
      </c>
      <c r="L70" s="2" t="inlineStr">
        <is>
          <t>SET</t>
        </is>
      </c>
      <c r="M70" s="2" t="inlineStr">
        <is>
          <t>Orange basketball feature view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5">
        <f>IF(N70="FULL",40,IF(N70="PARTIAL",40/2,0))+IF(O70="FULL",30,IF(O70="PARTIAL",30/2,0))+IF(P70="FULL",20,IF(P70="PARTIAL",20/2,0))+IF(Q70="FULL",10,IF(Q70="PARTIAL",10/2,0))</f>
        <v/>
      </c>
      <c r="S70" s="5">
        <f>IF(N70="NOT_CHECKED",0,40)+IF(O70="NOT_CHECKED",0,30)+IF(P70="NOT_CHECKED",0,20)+IF(Q70="NOT_CHECKED",0,10)</f>
        <v/>
      </c>
      <c r="T70" s="5">
        <f>IF(S70=100,R70,"")</f>
        <v/>
      </c>
      <c r="U70" s="5">
        <f>R70</f>
        <v/>
      </c>
      <c r="V70" s="5">
        <f>R70+(100-S70)</f>
        <v/>
      </c>
      <c r="W70" s="2" t="inlineStr">
        <is>
          <t>[]</t>
        </is>
      </c>
      <c r="X70" s="2" t="inlineStr">
        <is>
          <t>["seo_runs\\jeminise.com\\20260906_234129\\qa\\20260909_131954\\images\\220_03.jpg", "https://cdn.shopify.com/s/files/1/0792/5098/1063/files/8a9e1df72b5192bb43bbd21e95f23ee9fb295c1019815a38619f5e8659a891a2_b0b7a172-619d-42c9-b8d8-3a35fa38d5e9.jpg?v=1785083993"]</t>
        </is>
      </c>
    </row>
    <row r="71" ht="66" customHeight="1">
      <c r="A71" s="3" t="inlineStr">
        <is>
          <t>jeminise.com+personalized-basketball-hoop-comforter-name-number-863d6f6ff1-863d6f6ff1</t>
        </is>
      </c>
      <c r="B71" s="3" t="inlineStr">
        <is>
          <t>qaimg_f3357db4be10b59c</t>
        </is>
      </c>
      <c r="C71" s="4" t="inlineStr">
        <is>
          <t>https://cdn.shopify.com/s/files/1/0792/5098/1063/files/8d742af5fb825731fe7aba6234918f4afb23d3ce58d71ac70151b18a6b9d6bf1.jpg?v=1785083993</t>
        </is>
      </c>
      <c r="D71" s="4" t="inlineStr">
        <is>
          <t>https://cdn.shopify.com/s/files/1/0792/5098/1063/files/8d742af5fb825731fe7aba6234918f4afb23d3ce58d71ac70151b18a6b9d6bf1.jpg?v=1785083993</t>
        </is>
      </c>
      <c r="E71" s="3" t="inlineStr">
        <is>
          <t>47538180948167</t>
        </is>
      </c>
      <c r="F71" s="3" t="inlineStr"/>
      <c r="G71" s="3" t="inlineStr">
        <is>
          <t>GALLERY</t>
        </is>
      </c>
      <c r="H71" s="3" t="inlineStr">
        <is>
          <t>DIRECT_IMAGE_FILE_OPENED_AND_VISUALLY_REVIEWED</t>
        </is>
      </c>
      <c r="I71" s="3" t="inlineStr">
        <is>
          <t>2026-09-09T13:19:55+07:00</t>
        </is>
      </c>
      <c r="J71" s="3" t="inlineStr">
        <is>
          <t>QA opened 220_04.jpg (1000x1000) and checked against workbook observation: Microfiber panel showing orange basketball print samples.</t>
        </is>
      </c>
      <c r="K71" s="3" t="inlineStr">
        <is>
          <t>Microfiber panel showing orange basketball print samples.</t>
        </is>
      </c>
      <c r="L71" s="3" t="inlineStr">
        <is>
          <t>SET</t>
        </is>
      </c>
      <c r="M71" s="3" t="inlineStr">
        <is>
          <t>Orange basketball microfiber panel</t>
        </is>
      </c>
      <c r="N71" s="3" t="inlineStr">
        <is>
          <t>FULL</t>
        </is>
      </c>
      <c r="O71" s="3" t="inlineStr">
        <is>
          <t>FULL</t>
        </is>
      </c>
      <c r="P71" s="3" t="inlineStr">
        <is>
          <t>FULL</t>
        </is>
      </c>
      <c r="Q71" s="3" t="inlineStr">
        <is>
          <t>FULL</t>
        </is>
      </c>
      <c r="R71" s="7">
        <f>IF(N71="FULL",40,IF(N71="PARTIAL",40/2,0))+IF(O71="FULL",30,IF(O71="PARTIAL",30/2,0))+IF(P71="FULL",20,IF(P71="PARTIAL",20/2,0))+IF(Q71="FULL",10,IF(Q71="PARTIAL",10/2,0))</f>
        <v/>
      </c>
      <c r="S71" s="7">
        <f>IF(N71="NOT_CHECKED",0,40)+IF(O71="NOT_CHECKED",0,30)+IF(P71="NOT_CHECKED",0,20)+IF(Q71="NOT_CHECKED",0,10)</f>
        <v/>
      </c>
      <c r="T71" s="7">
        <f>IF(S71=100,R71,"")</f>
        <v/>
      </c>
      <c r="U71" s="7">
        <f>R71</f>
        <v/>
      </c>
      <c r="V71" s="7">
        <f>R71+(100-S71)</f>
        <v/>
      </c>
      <c r="W71" s="3" t="inlineStr">
        <is>
          <t>[]</t>
        </is>
      </c>
      <c r="X71" s="3" t="inlineStr">
        <is>
          <t>["seo_runs\\jeminise.com\\20260906_234129\\qa\\20260909_131954\\images\\220_04.jpg", "https://cdn.shopify.com/s/files/1/0792/5098/1063/files/8d742af5fb825731fe7aba6234918f4afb23d3ce58d71ac70151b18a6b9d6bf1.jpg?v=1785083993"]</t>
        </is>
      </c>
    </row>
    <row r="72" ht="66" customHeight="1">
      <c r="A72" s="2" t="inlineStr">
        <is>
          <t>jeminise.com+personalized-basketball-hoop-comforter-name-number-863d6f6ff1-863d6f6ff1</t>
        </is>
      </c>
      <c r="B72" s="2" t="inlineStr">
        <is>
          <t>qaimg_810b0b6484341922</t>
        </is>
      </c>
      <c r="C72" s="4" t="inlineStr">
        <is>
          <t>https://cdn.shopify.com/s/files/1/0792/5098/1063/files/d1358d3d9a1b6f6278e4240c97d60b46107c89a28d9b92c835a84f46d1cab7ae.jpg?v=1785083993</t>
        </is>
      </c>
      <c r="D72" s="4" t="inlineStr">
        <is>
          <t>https://cdn.shopify.com/s/files/1/0792/5098/1063/files/d1358d3d9a1b6f6278e4240c97d60b46107c89a28d9b92c835a84f46d1cab7ae.jpg?v=1785083993</t>
        </is>
      </c>
      <c r="E72" s="2" t="inlineStr">
        <is>
          <t>47538180980935</t>
        </is>
      </c>
      <c r="F72" s="2" t="inlineStr"/>
      <c r="G72" s="2" t="inlineStr">
        <is>
          <t>GALLERY</t>
        </is>
      </c>
      <c r="H72" s="2" t="inlineStr">
        <is>
          <t>DIRECT_IMAGE_FILE_OPENED_AND_VISUALLY_REVIEWED</t>
        </is>
      </c>
      <c r="I72" s="2" t="inlineStr">
        <is>
          <t>2026-09-09T13:19:55+07:00</t>
        </is>
      </c>
      <c r="J72" s="2" t="inlineStr">
        <is>
          <t>QA opened 220_05.jpg (1000x1000) and checked against workbook observation: Easy care panel for orange basketball bedding.</t>
        </is>
      </c>
      <c r="K72" s="2" t="inlineStr">
        <is>
          <t>Easy care panel for orange basketball bedding.</t>
        </is>
      </c>
      <c r="L72" s="2" t="inlineStr">
        <is>
          <t>SET</t>
        </is>
      </c>
      <c r="M72" s="2" t="inlineStr">
        <is>
          <t>Orange basketball easy care panel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5">
        <f>IF(N72="FULL",40,IF(N72="PARTIAL",40/2,0))+IF(O72="FULL",30,IF(O72="PARTIAL",30/2,0))+IF(P72="FULL",20,IF(P72="PARTIAL",20/2,0))+IF(Q72="FULL",10,IF(Q72="PARTIAL",10/2,0))</f>
        <v/>
      </c>
      <c r="S72" s="5">
        <f>IF(N72="NOT_CHECKED",0,40)+IF(O72="NOT_CHECKED",0,30)+IF(P72="NOT_CHECKED",0,20)+IF(Q72="NOT_CHECKED",0,10)</f>
        <v/>
      </c>
      <c r="T72" s="5">
        <f>IF(S72=100,R72,"")</f>
        <v/>
      </c>
      <c r="U72" s="5">
        <f>R72</f>
        <v/>
      </c>
      <c r="V72" s="5">
        <f>R72+(100-S72)</f>
        <v/>
      </c>
      <c r="W72" s="2" t="inlineStr">
        <is>
          <t>[]</t>
        </is>
      </c>
      <c r="X72" s="2" t="inlineStr">
        <is>
          <t>["seo_runs\\jeminise.com\\20260906_234129\\qa\\20260909_131954\\images\\220_05.jpg", "https://cdn.shopify.com/s/files/1/0792/5098/1063/files/d1358d3d9a1b6f6278e4240c97d60b46107c89a28d9b92c835a84f46d1cab7ae.jpg?v=1785083993"]</t>
        </is>
      </c>
    </row>
    <row r="73" ht="66" customHeight="1">
      <c r="A73" s="3" t="inlineStr">
        <is>
          <t>jeminise.com+personalized-basketball-hoop-comforter-name-number-863d6f6ff1-863d6f6ff1</t>
        </is>
      </c>
      <c r="B73" s="3" t="inlineStr">
        <is>
          <t>qaimg_b83842803f331b53</t>
        </is>
      </c>
      <c r="C73" s="4" t="inlineStr">
        <is>
          <t>https://cdn.shopify.com/s/files/1/0792/5098/1063/files/1dc01d41d7d407730feaf916a9c54d5ba771e06f6674b16473507e7a042a1831_fa773ae6-1174-4c46-9b08-e8ce678a69e6.jpg?v=1785083993</t>
        </is>
      </c>
      <c r="D73" s="4" t="inlineStr">
        <is>
          <t>https://cdn.shopify.com/s/files/1/0792/5098/1063/files/1dc01d41d7d407730feaf916a9c54d5ba771e06f6674b16473507e7a042a1831_fa773ae6-1174-4c46-9b08-e8ce678a69e6.jpg?v=1785083993</t>
        </is>
      </c>
      <c r="E73" s="3" t="inlineStr">
        <is>
          <t>47538181013703</t>
        </is>
      </c>
      <c r="F73" s="3" t="inlineStr"/>
      <c r="G73" s="3" t="inlineStr">
        <is>
          <t>GALLERY</t>
        </is>
      </c>
      <c r="H73" s="3" t="inlineStr">
        <is>
          <t>DIRECT_IMAGE_FILE_OPENED_AND_VISUALLY_REVIEWED</t>
        </is>
      </c>
      <c r="I73" s="3" t="inlineStr">
        <is>
          <t>2026-09-09T13:19:55+07:00</t>
        </is>
      </c>
      <c r="J73" s="3" t="inlineStr">
        <is>
          <t>QA opened 220_06.jpg (1000x1000) and checked against workbook observation: Bedding type comparison panel for basketball bedding.</t>
        </is>
      </c>
      <c r="K73" s="3" t="inlineStr">
        <is>
          <t>Bedding type comparison panel for basketball bedding.</t>
        </is>
      </c>
      <c r="L73" s="3" t="inlineStr">
        <is>
          <t>SET</t>
        </is>
      </c>
      <c r="M73" s="3" t="inlineStr">
        <is>
          <t>Orange basketball bedding type panel</t>
        </is>
      </c>
      <c r="N73" s="3" t="inlineStr">
        <is>
          <t>FULL</t>
        </is>
      </c>
      <c r="O73" s="3" t="inlineStr">
        <is>
          <t>FULL</t>
        </is>
      </c>
      <c r="P73" s="3" t="inlineStr">
        <is>
          <t>FULL</t>
        </is>
      </c>
      <c r="Q73" s="3" t="inlineStr">
        <is>
          <t>FULL</t>
        </is>
      </c>
      <c r="R73" s="7">
        <f>IF(N73="FULL",40,IF(N73="PARTIAL",40/2,0))+IF(O73="FULL",30,IF(O73="PARTIAL",30/2,0))+IF(P73="FULL",20,IF(P73="PARTIAL",20/2,0))+IF(Q73="FULL",10,IF(Q73="PARTIAL",10/2,0))</f>
        <v/>
      </c>
      <c r="S73" s="7">
        <f>IF(N73="NOT_CHECKED",0,40)+IF(O73="NOT_CHECKED",0,30)+IF(P73="NOT_CHECKED",0,20)+IF(Q73="NOT_CHECKED",0,10)</f>
        <v/>
      </c>
      <c r="T73" s="7">
        <f>IF(S73=100,R73,"")</f>
        <v/>
      </c>
      <c r="U73" s="7">
        <f>R73</f>
        <v/>
      </c>
      <c r="V73" s="7">
        <f>R73+(100-S73)</f>
        <v/>
      </c>
      <c r="W73" s="3" t="inlineStr">
        <is>
          <t>[]</t>
        </is>
      </c>
      <c r="X73" s="3" t="inlineStr">
        <is>
          <t>["seo_runs\\jeminise.com\\20260906_234129\\qa\\20260909_131954\\images\\220_06.jpg", "https://cdn.shopify.com/s/files/1/0792/5098/1063/files/1dc01d41d7d407730feaf916a9c54d5ba771e06f6674b16473507e7a042a1831_fa773ae6-1174-4c46-9b08-e8ce678a69e6.jpg?v=1785083993"]</t>
        </is>
      </c>
    </row>
    <row r="74" ht="66" customHeight="1">
      <c r="A74" s="2" t="inlineStr">
        <is>
          <t>jeminise.com+personalized-basketball-hoop-comforter-name-number-863d6f6ff1-863d6f6ff1</t>
        </is>
      </c>
      <c r="B74" s="2" t="inlineStr">
        <is>
          <t>qaimg_3ee8d5f35d5c9f45</t>
        </is>
      </c>
      <c r="C74" s="4" t="inlineStr">
        <is>
          <t>https://cdn.shopify.com/s/files/1/0792/5098/1063/files/c24959ab140390d63cc323f99e5e71b8352d51d82db09e1b8086064e57b3ff2f_a564f98c-d3f5-4d28-860b-0e13b9350915.jpg?v=1785083993</t>
        </is>
      </c>
      <c r="D74" s="4" t="inlineStr">
        <is>
          <t>https://cdn.shopify.com/s/files/1/0792/5098/1063/files/c24959ab140390d63cc323f99e5e71b8352d51d82db09e1b8086064e57b3ff2f_a564f98c-d3f5-4d28-860b-0e13b9350915.jpg?v=1785083993</t>
        </is>
      </c>
      <c r="E74" s="2" t="inlineStr">
        <is>
          <t>47538181046471</t>
        </is>
      </c>
      <c r="F74" s="2" t="inlineStr"/>
      <c r="G74" s="2" t="inlineStr">
        <is>
          <t>GALLERY</t>
        </is>
      </c>
      <c r="H74" s="2" t="inlineStr">
        <is>
          <t>DIRECT_IMAGE_FILE_OPENED_AND_VISUALLY_REVIEWED</t>
        </is>
      </c>
      <c r="I74" s="2" t="inlineStr">
        <is>
          <t>2026-09-09T13:19:55+07:00</t>
        </is>
      </c>
      <c r="J74" s="2" t="inlineStr">
        <is>
          <t>QA opened 220_07.jpg (1000x1000) and checked against workbook observation: Size dimension panel for orange basketball comforter.</t>
        </is>
      </c>
      <c r="K74" s="2" t="inlineStr">
        <is>
          <t>Size dimension panel for orange basketball comforter.</t>
        </is>
      </c>
      <c r="L74" s="2" t="inlineStr">
        <is>
          <t>SET</t>
        </is>
      </c>
      <c r="M74" s="2" t="inlineStr">
        <is>
          <t>Orange basketball size panel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5">
        <f>IF(N74="FULL",40,IF(N74="PARTIAL",40/2,0))+IF(O74="FULL",30,IF(O74="PARTIAL",30/2,0))+IF(P74="FULL",20,IF(P74="PARTIAL",20/2,0))+IF(Q74="FULL",10,IF(Q74="PARTIAL",10/2,0))</f>
        <v/>
      </c>
      <c r="S74" s="5">
        <f>IF(N74="NOT_CHECKED",0,40)+IF(O74="NOT_CHECKED",0,30)+IF(P74="NOT_CHECKED",0,20)+IF(Q74="NOT_CHECKED",0,10)</f>
        <v/>
      </c>
      <c r="T74" s="5">
        <f>IF(S74=100,R74,"")</f>
        <v/>
      </c>
      <c r="U74" s="5">
        <f>R74</f>
        <v/>
      </c>
      <c r="V74" s="5">
        <f>R74+(100-S74)</f>
        <v/>
      </c>
      <c r="W74" s="2" t="inlineStr">
        <is>
          <t>[]</t>
        </is>
      </c>
      <c r="X74" s="2" t="inlineStr">
        <is>
          <t>["seo_runs\\jeminise.com\\20260906_234129\\qa\\20260909_131954\\images\\220_07.jpg", "https://cdn.shopify.com/s/files/1/0792/5098/1063/files/c24959ab140390d63cc323f99e5e71b8352d51d82db09e1b8086064e57b3ff2f_a564f98c-d3f5-4d28-860b-0e13b9350915.jpg?v=1785083993"]</t>
        </is>
      </c>
    </row>
  </sheetData>
  <autoFilter ref="A1:X74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  <hyperlink xmlns:r="http://schemas.openxmlformats.org/officeDocument/2006/relationships" ref="C71" r:id="rId139"/>
    <hyperlink xmlns:r="http://schemas.openxmlformats.org/officeDocument/2006/relationships" ref="D71" r:id="rId140"/>
    <hyperlink xmlns:r="http://schemas.openxmlformats.org/officeDocument/2006/relationships" ref="C72" r:id="rId141"/>
    <hyperlink xmlns:r="http://schemas.openxmlformats.org/officeDocument/2006/relationships" ref="D72" r:id="rId142"/>
    <hyperlink xmlns:r="http://schemas.openxmlformats.org/officeDocument/2006/relationships" ref="C73" r:id="rId143"/>
    <hyperlink xmlns:r="http://schemas.openxmlformats.org/officeDocument/2006/relationships" ref="D73" r:id="rId144"/>
    <hyperlink xmlns:r="http://schemas.openxmlformats.org/officeDocument/2006/relationships" ref="C74" r:id="rId145"/>
    <hyperlink xmlns:r="http://schemas.openxmlformats.org/officeDocument/2006/relationships" ref="D74" r:id="rId146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20" customWidth="1" min="3" max="3"/>
    <col width="20" customWidth="1" min="4" max="4"/>
    <col width="23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B22R4-LIM-TRACE-001</t>
        </is>
      </c>
      <c r="B2" s="2" t="inlineStr"/>
      <c r="C2" s="2" t="inlineStr"/>
      <c r="D2" s="2" t="inlineStr">
        <is>
          <t>LIMITATION</t>
        </is>
      </c>
      <c r="E2" s="2" t="inlineStr">
        <is>
          <t>revision traceability</t>
        </is>
      </c>
      <c r="F2" s="2" t="inlineStr">
        <is>
          <t>SEO_Products/Image_Audit row-level revision values still show r3 in the r4 workbook.</t>
        </is>
      </c>
      <c r="G2" s="2" t="inlineStr">
        <is>
          <t>Workbook filename/path/hash identify qa_batch_022_r4, while row metadata was not fully relabeled after r4.</t>
        </is>
      </c>
      <c r="H2" s="2" t="inlineStr">
        <is>
          <t>Traceability limitation only; it does not prove the submitted r4 content is wrong.</t>
        </is>
      </c>
      <c r="I2" s="2" t="inlineStr">
        <is>
          <t>Update row-level revision values and revision_summary paths in the next package.</t>
        </is>
      </c>
      <c r="J2" s="2" t="inlineStr">
        <is>
          <t>D:\Shopify_Workspace\jeminise_seo\resutls\jeminise.com\20260906_234129\revisions\qa_batch_022_r4\SEO_Product_Optimization_qa_batch_022_r4.xlsx</t>
        </is>
      </c>
      <c r="K2" s="2" t="inlineStr">
        <is>
          <t>All row-level revision fields and summary paths consistently identify r4.</t>
        </is>
      </c>
    </row>
  </sheetData>
  <autoFilter ref="A1:K2"/>
  <conditionalFormatting sqref="D2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2026-09-09T06:20:10Z</dcterms:created>
  <dcterms:modified xmlns:dcterms="http://purl.org/dc/terms/" xmlns:xsi="http://www.w3.org/2001/XMLSchema-instance" xsi:type="dcterms:W3CDTF">2026-09-09T06:20:11Z</dcterms:modified>
</cp:coreProperties>
</file>