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_Summary" sheetId="1" state="visible" r:id="rId1"/>
    <sheet xmlns:r="http://schemas.openxmlformats.org/officeDocument/2006/relationships" name="QA_Products" sheetId="2" state="visible" r:id="rId2"/>
    <sheet xmlns:r="http://schemas.openxmlformats.org/officeDocument/2006/relationships" name="QA_Criteria" sheetId="3" state="visible" r:id="rId3"/>
    <sheet xmlns:r="http://schemas.openxmlformats.org/officeDocument/2006/relationships" name="QA_Images" sheetId="4" state="visible" r:id="rId4"/>
    <sheet xmlns:r="http://schemas.openxmlformats.org/officeDocument/2006/relationships" name="QA_Issues" sheetId="5" state="visible" r:id="rId5"/>
  </sheets>
  <definedNames>
    <definedName name="_xlnm._FilterDatabase" localSheetId="0" hidden="1">'QA_Summary'!$A$1:$C$15</definedName>
    <definedName name="_xlnm.Print_Titles" localSheetId="0">'QA_Summary'!$1:$1</definedName>
    <definedName name="_xlnm._FilterDatabase" localSheetId="1" hidden="1">'QA_Products'!$A$1:$W$11</definedName>
    <definedName name="_xlnm.Print_Titles" localSheetId="1">'QA_Products'!$1:$1</definedName>
    <definedName name="_xlnm._FilterDatabase" localSheetId="2" hidden="1">'QA_Criteria'!$A$1:$J$111</definedName>
    <definedName name="_xlnm.Print_Titles" localSheetId="2">'QA_Criteria'!$1:$1</definedName>
    <definedName name="_xlnm._FilterDatabase" localSheetId="3" hidden="1">'QA_Images'!$A$1:$Z$73</definedName>
    <definedName name="_xlnm.Print_Titles" localSheetId="3">'QA_Images'!$1:$1</definedName>
    <definedName name="_xlnm._FilterDatabase" localSheetId="4" hidden="1">'QA_Issues'!$A$1:$K$92</definedName>
    <definedName name="_xlnm.Print_Titles" localSheetId="4">'QA_Issues'!$1:$1</definedName>
  </definedNames>
  <calcPr calcId="124519" calcMode="auto" fullCalcOnLoad="1" forceFullCalc="1"/>
</workbook>
</file>

<file path=xl/styles.xml><?xml version="1.0" encoding="utf-8"?>
<styleSheet xmlns="http://schemas.openxmlformats.org/spreadsheetml/2006/main">
  <numFmts count="2">
    <numFmt numFmtId="164" formatCode="0.0"/>
    <numFmt numFmtId="165" formatCode="0.0%"/>
  </numFmts>
  <fonts count="4">
    <font>
      <name val="Calibri"/>
      <family val="2"/>
      <color theme="1"/>
      <sz val="11"/>
      <scheme val="minor"/>
    </font>
    <font>
      <name val="Aptos Display"/>
      <b val="1"/>
      <color rgb="00FFFFFF"/>
      <sz val="11"/>
    </font>
    <font>
      <name val="Aptos"/>
      <color rgb="001F2937"/>
      <sz val="10"/>
    </font>
    <font>
      <name val="Calibri"/>
      <family val="2"/>
      <color theme="10"/>
      <sz val="12"/>
      <scheme val="minor"/>
    </font>
  </fonts>
  <fills count="4">
    <fill>
      <patternFill/>
    </fill>
    <fill>
      <patternFill patternType="gray125"/>
    </fill>
    <fill>
      <patternFill patternType="solid">
        <fgColor rgb="0017365D"/>
      </patternFill>
    </fill>
    <fill>
      <patternFill patternType="solid">
        <fgColor rgb="00F8FAFC"/>
      </patternFill>
    </fill>
  </fills>
  <borders count="3">
    <border>
      <left/>
      <right/>
      <top/>
      <bottom/>
      <diagonal/>
    </border>
    <border>
      <bottom style="medium">
        <color rgb="002F75B5"/>
      </bottom>
    </border>
    <border>
      <bottom style="thin">
        <color rgb="00CBD5E1"/>
      </bottom>
    </border>
  </borders>
  <cellStyleXfs count="2">
    <xf numFmtId="0" fontId="0" fillId="0" borderId="0"/>
    <xf numFmtId="0" fontId="3"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2" fillId="0" borderId="2" applyAlignment="1" pivotButton="0" quotePrefix="0" xfId="0">
      <alignment vertical="top" wrapText="1"/>
    </xf>
    <xf numFmtId="0" fontId="3" fillId="0" borderId="0" applyAlignment="1" pivotButton="0" quotePrefix="0" xfId="1">
      <alignment vertical="top" wrapText="1"/>
    </xf>
    <xf numFmtId="164" fontId="2" fillId="3" borderId="2" applyAlignment="1" pivotButton="0" quotePrefix="0" xfId="0">
      <alignment vertical="top" wrapText="1"/>
    </xf>
    <xf numFmtId="165" fontId="2" fillId="3" borderId="2" applyAlignment="1" pivotButton="0" quotePrefix="0" xfId="0">
      <alignment vertical="top" wrapText="1"/>
    </xf>
    <xf numFmtId="164" fontId="2" fillId="0" borderId="2" applyAlignment="1" pivotButton="0" quotePrefix="0" xfId="0">
      <alignment vertical="top" wrapText="1"/>
    </xf>
    <xf numFmtId="165" fontId="2" fillId="0" borderId="2" applyAlignment="1" pivotButton="0" quotePrefix="0" xfId="0">
      <alignment vertical="top" wrapText="1"/>
    </xf>
  </cellXfs>
  <cellStyles count="2">
    <cellStyle name="Normal" xfId="0" builtinId="0" hidden="0"/>
    <cellStyle name="Hyperlink" xfId="1" builtinId="8" hidden="0"/>
  </cellStyles>
  <dxfs count="5">
    <dxf>
      <fill>
        <patternFill patternType="solid">
          <fgColor rgb="00E2F0D9"/>
        </patternFill>
      </fill>
    </dxf>
    <dxf>
      <fill>
        <patternFill patternType="solid">
          <fgColor rgb="00FFF2CC"/>
        </patternFill>
      </fill>
    </dxf>
    <dxf>
      <fill>
        <patternFill patternType="solid">
          <fgColor rgb="00FCE4D6"/>
        </patternFill>
      </fill>
    </dxf>
    <dxf>
      <fill>
        <patternFill patternType="solid">
          <fgColor rgb="00F4CCCC"/>
        </patternFill>
      </fill>
    </dxf>
    <dxf>
      <fill>
        <patternFill patternType="solid">
          <fgColor rgb="00E4DF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jeminise.com/products/custom-soccer-player-custom-name-number-comforter-set-boys-room-decor" TargetMode="External" Id="rId1"/><Relationship Type="http://schemas.openxmlformats.org/officeDocument/2006/relationships/hyperlink" Target="https://jeminise.com/products/custom-soccer-player-goal-comforter-set-machine-washable-design-8" TargetMode="External" Id="rId2"/><Relationship Type="http://schemas.openxmlformats.org/officeDocument/2006/relationships/hyperlink" Target="https://jeminise.com/products/custom-soccer-player-paint-splatter-comforter-set-machine-washable" TargetMode="External" Id="rId3"/><Relationship Type="http://schemas.openxmlformats.org/officeDocument/2006/relationships/hyperlink" Target="https://jeminise.com/products/custom-softball-comforter-set-for-girls-personalized-name-number" TargetMode="External" Id="rId4"/><Relationship Type="http://schemas.openxmlformats.org/officeDocument/2006/relationships/hyperlink" Target="https://jeminise.com/products/custom-sports-and-patriotism-football-on-american-flag-background-comforter-510823ee16-510823ee16" TargetMode="External" Id="rId5"/><Relationship Type="http://schemas.openxmlformats.org/officeDocument/2006/relationships/hyperlink" Target="https://jeminise.com/products/custom-transportation-semi-truck-on-geometric-background-comforter-284b7a6d0a-284b7a6d0a" TargetMode="External" Id="rId6"/><Relationship Type="http://schemas.openxmlformats.org/officeDocument/2006/relationships/hyperlink" Target="https://jeminise.com/products/custom-tree-of-life-quilt-set-yggdrasil-bedding-97b4844050-97b4844050" TargetMode="External" Id="rId7"/><Relationship Type="http://schemas.openxmlformats.org/officeDocument/2006/relationships/hyperlink" Target="https://jeminise.com/products/custom-tree-of-life-quilt-set-yggdrasil-bedding-0038a4731b-0038a4731b" TargetMode="External" Id="rId8"/><Relationship Type="http://schemas.openxmlformats.org/officeDocument/2006/relationships/hyperlink" Target="https://jeminise.com/products/custom-trucking-semi-truck-breaking-through-stone-wall-comforter-7a6b616ec4-7a6b616ec4" TargetMode="External" Id="rId9"/><Relationship Type="http://schemas.openxmlformats.org/officeDocument/2006/relationships/hyperlink" Target="https://jeminise.com/products/custom-trucking-semi-truck-breaking-through-stone-wall-comforter-01281fb2d3-01281fb2d3" TargetMode="External" Id="rId10"/></Relationships>
</file>

<file path=xl/worksheets/_rels/sheet4.xml.rels><Relationships xmlns="http://schemas.openxmlformats.org/package/2006/relationships"><Relationship Type="http://schemas.openxmlformats.org/officeDocument/2006/relationships/hyperlink" Target="https://cdn.shopify.com/s/files/1/0792/5098/1063/files/5adf8a31ec40a642bf000b375eae5c3554de48282390af23cc541bb382906122.jpg?v=1786610963" TargetMode="External" Id="rId1"/><Relationship Type="http://schemas.openxmlformats.org/officeDocument/2006/relationships/hyperlink" Target="https://cdn.shopify.com/s/files/1/0792/5098/1063/files/5adf8a31ec40a642bf000b375eae5c3554de48282390af23cc541bb382906122.jpg?v=1786610963" TargetMode="External" Id="rId2"/><Relationship Type="http://schemas.openxmlformats.org/officeDocument/2006/relationships/hyperlink" Target="https://cdn.shopify.com/s/files/1/0792/5098/1063/files/b0ebaf5c71153659a013332c925a181e979b187f4b49b61de8f27cb27d2d9055.jpg?v=1786610963" TargetMode="External" Id="rId3"/><Relationship Type="http://schemas.openxmlformats.org/officeDocument/2006/relationships/hyperlink" Target="https://cdn.shopify.com/s/files/1/0792/5098/1063/files/b0ebaf5c71153659a013332c925a181e979b187f4b49b61de8f27cb27d2d9055.jpg?v=1786610963" TargetMode="External" Id="rId4"/><Relationship Type="http://schemas.openxmlformats.org/officeDocument/2006/relationships/hyperlink" Target="https://cdn.shopify.com/s/files/1/0792/5098/1063/files/4f3e3f6233d78b4fde5eae3801512b8254223ff54402ae90de96b0a3b0e092a9.jpg?v=1786610963" TargetMode="External" Id="rId5"/><Relationship Type="http://schemas.openxmlformats.org/officeDocument/2006/relationships/hyperlink" Target="https://cdn.shopify.com/s/files/1/0792/5098/1063/files/4f3e3f6233d78b4fde5eae3801512b8254223ff54402ae90de96b0a3b0e092a9.jpg?v=1786610963" TargetMode="External" Id="rId6"/><Relationship Type="http://schemas.openxmlformats.org/officeDocument/2006/relationships/hyperlink" Target="https://cdn.shopify.com/s/files/1/0792/5098/1063/files/0705f13a5c5734d19ee2c7d2d8c63f7840fc3cbbee30baca2759fc4b8d6ad311.jpg?v=1786610964" TargetMode="External" Id="rId7"/><Relationship Type="http://schemas.openxmlformats.org/officeDocument/2006/relationships/hyperlink" Target="https://cdn.shopify.com/s/files/1/0792/5098/1063/files/0705f13a5c5734d19ee2c7d2d8c63f7840fc3cbbee30baca2759fc4b8d6ad311.jpg?v=1786610964" TargetMode="External" Id="rId8"/><Relationship Type="http://schemas.openxmlformats.org/officeDocument/2006/relationships/hyperlink" Target="https://cdn.shopify.com/s/files/1/0792/5098/1063/files/0b1d1e19cab6d757366a36700f895ecca060303e705a8aece2f5fa486b6770da_633d7bd1-020d-47f6-927d-a479987fb7c7.jpg?v=1786610963" TargetMode="External" Id="rId9"/><Relationship Type="http://schemas.openxmlformats.org/officeDocument/2006/relationships/hyperlink" Target="https://cdn.shopify.com/s/files/1/0792/5098/1063/files/0b1d1e19cab6d757366a36700f895ecca060303e705a8aece2f5fa486b6770da_633d7bd1-020d-47f6-927d-a479987fb7c7.jpg?v=1786610963" TargetMode="External" Id="rId10"/><Relationship Type="http://schemas.openxmlformats.org/officeDocument/2006/relationships/hyperlink" Target="https://cdn.shopify.com/s/files/1/0792/5098/1063/files/9c91a61710180a5c3e4166b3e4138e219837b88e5f61399fea6626dcfdff7898.jpg?v=1786610963" TargetMode="External" Id="rId11"/><Relationship Type="http://schemas.openxmlformats.org/officeDocument/2006/relationships/hyperlink" Target="https://cdn.shopify.com/s/files/1/0792/5098/1063/files/9c91a61710180a5c3e4166b3e4138e219837b88e5f61399fea6626dcfdff7898.jpg?v=1786610963" TargetMode="External" Id="rId12"/><Relationship Type="http://schemas.openxmlformats.org/officeDocument/2006/relationships/hyperlink" Target="https://cdn.shopify.com/s/files/1/0792/5098/1063/files/0ee8c23fe480e4cb829b16c3c896321f033d3414addd9d209e7de6f5c65bf684.jpg?v=1786610963" TargetMode="External" Id="rId13"/><Relationship Type="http://schemas.openxmlformats.org/officeDocument/2006/relationships/hyperlink" Target="https://cdn.shopify.com/s/files/1/0792/5098/1063/files/0ee8c23fe480e4cb829b16c3c896321f033d3414addd9d209e7de6f5c65bf684.jpg?v=1786610963" TargetMode="External" Id="rId14"/><Relationship Type="http://schemas.openxmlformats.org/officeDocument/2006/relationships/hyperlink" Target="https://cdn.shopify.com/s/files/1/0792/5098/1063/files/dd6b2f75d5d331064be3e2ace151f6872c3f1f67675d8c1c7fa00f207341180b_fe534272-feba-4b3c-acbd-7c306b5cefec.jpg?v=1786610963" TargetMode="External" Id="rId15"/><Relationship Type="http://schemas.openxmlformats.org/officeDocument/2006/relationships/hyperlink" Target="https://cdn.shopify.com/s/files/1/0792/5098/1063/files/dd6b2f75d5d331064be3e2ace151f6872c3f1f67675d8c1c7fa00f207341180b_fe534272-feba-4b3c-acbd-7c306b5cefec.jpg?v=1786610963" TargetMode="External" Id="rId16"/><Relationship Type="http://schemas.openxmlformats.org/officeDocument/2006/relationships/hyperlink" Target="https://cdn.shopify.com/s/files/1/0792/5098/1063/files/dbac2843c8a7d91826da156c117202b53acf9c74a9ac57f9a5155ff0ee41d541.jpg?v=1786610992" TargetMode="External" Id="rId17"/><Relationship Type="http://schemas.openxmlformats.org/officeDocument/2006/relationships/hyperlink" Target="https://cdn.shopify.com/s/files/1/0792/5098/1063/files/dbac2843c8a7d91826da156c117202b53acf9c74a9ac57f9a5155ff0ee41d541.jpg?v=1786610992" TargetMode="External" Id="rId18"/><Relationship Type="http://schemas.openxmlformats.org/officeDocument/2006/relationships/hyperlink" Target="https://cdn.shopify.com/s/files/1/0792/5098/1063/files/a9c2c6e1d0c9b444a88fe782d3f128ca26a995a1f94024dfec3c4d38a637d46d.jpg?v=1786610992" TargetMode="External" Id="rId19"/><Relationship Type="http://schemas.openxmlformats.org/officeDocument/2006/relationships/hyperlink" Target="https://cdn.shopify.com/s/files/1/0792/5098/1063/files/a9c2c6e1d0c9b444a88fe782d3f128ca26a995a1f94024dfec3c4d38a637d46d.jpg?v=1786610992" TargetMode="External" Id="rId20"/><Relationship Type="http://schemas.openxmlformats.org/officeDocument/2006/relationships/hyperlink" Target="https://cdn.shopify.com/s/files/1/0792/5098/1063/files/aed6d7a2e05456a3bd6e67c741c3a926a1cfc777026e896d9ad232a231e1d81e.jpg?v=1786610992" TargetMode="External" Id="rId21"/><Relationship Type="http://schemas.openxmlformats.org/officeDocument/2006/relationships/hyperlink" Target="https://cdn.shopify.com/s/files/1/0792/5098/1063/files/aed6d7a2e05456a3bd6e67c741c3a926a1cfc777026e896d9ad232a231e1d81e.jpg?v=1786610992" TargetMode="External" Id="rId22"/><Relationship Type="http://schemas.openxmlformats.org/officeDocument/2006/relationships/hyperlink" Target="https://cdn.shopify.com/s/files/1/0792/5098/1063/files/2aa3156eb8de24ebb10eaa7946a270444381b05ce7d7d0d1fae71a29ffef05a9.jpg?v=1786610992" TargetMode="External" Id="rId23"/><Relationship Type="http://schemas.openxmlformats.org/officeDocument/2006/relationships/hyperlink" Target="https://cdn.shopify.com/s/files/1/0792/5098/1063/files/2aa3156eb8de24ebb10eaa7946a270444381b05ce7d7d0d1fae71a29ffef05a9.jpg?v=1786610992" TargetMode="External" Id="rId24"/><Relationship Type="http://schemas.openxmlformats.org/officeDocument/2006/relationships/hyperlink" Target="https://cdn.shopify.com/s/files/1/0792/5098/1063/files/0b1d1e19cab6d757366a36700f895ecca060303e705a8aece2f5fa486b6770da_d0a94f84-328b-4ee7-9a4e-e12d4004c763.jpg?v=1786610992" TargetMode="External" Id="rId25"/><Relationship Type="http://schemas.openxmlformats.org/officeDocument/2006/relationships/hyperlink" Target="https://cdn.shopify.com/s/files/1/0792/5098/1063/files/0b1d1e19cab6d757366a36700f895ecca060303e705a8aece2f5fa486b6770da_d0a94f84-328b-4ee7-9a4e-e12d4004c763.jpg?v=1786610992" TargetMode="External" Id="rId26"/><Relationship Type="http://schemas.openxmlformats.org/officeDocument/2006/relationships/hyperlink" Target="https://cdn.shopify.com/s/files/1/0792/5098/1063/files/fd9f0e7b7bd8f63c1b25dc086f4cb6b7bc9e04267dfeeb2bfdd52d93b4e2e57a.jpg?v=1786610992" TargetMode="External" Id="rId27"/><Relationship Type="http://schemas.openxmlformats.org/officeDocument/2006/relationships/hyperlink" Target="https://cdn.shopify.com/s/files/1/0792/5098/1063/files/fd9f0e7b7bd8f63c1b25dc086f4cb6b7bc9e04267dfeeb2bfdd52d93b4e2e57a.jpg?v=1786610992" TargetMode="External" Id="rId28"/><Relationship Type="http://schemas.openxmlformats.org/officeDocument/2006/relationships/hyperlink" Target="https://cdn.shopify.com/s/files/1/0792/5098/1063/files/f8f33d668a5439fabac99ca4da5ed91b8093757ef750724108466a765dd26b16.jpg?v=1786610992" TargetMode="External" Id="rId29"/><Relationship Type="http://schemas.openxmlformats.org/officeDocument/2006/relationships/hyperlink" Target="https://cdn.shopify.com/s/files/1/0792/5098/1063/files/f8f33d668a5439fabac99ca4da5ed91b8093757ef750724108466a765dd26b16.jpg?v=1786610992" TargetMode="External" Id="rId30"/><Relationship Type="http://schemas.openxmlformats.org/officeDocument/2006/relationships/hyperlink" Target="https://cdn.shopify.com/s/files/1/0792/5098/1063/files/d761ea3ae4f4c0b26b7473177b21a616c5199552823ec637c64fe7b0d6b0f12f_bbddf900-8f9b-4a19-949b-a61fab4a470b.jpg?v=1786610992" TargetMode="External" Id="rId31"/><Relationship Type="http://schemas.openxmlformats.org/officeDocument/2006/relationships/hyperlink" Target="https://cdn.shopify.com/s/files/1/0792/5098/1063/files/d761ea3ae4f4c0b26b7473177b21a616c5199552823ec637c64fe7b0d6b0f12f_bbddf900-8f9b-4a19-949b-a61fab4a470b.jpg?v=1786610992" TargetMode="External" Id="rId32"/><Relationship Type="http://schemas.openxmlformats.org/officeDocument/2006/relationships/hyperlink" Target="https://cdn.shopify.com/s/files/1/0792/5098/1063/files/6af2c2171c76e387dd360630309e9c195302a9f62c2ab3fdf7aee54b1b973c58.jpg?v=1786610986" TargetMode="External" Id="rId33"/><Relationship Type="http://schemas.openxmlformats.org/officeDocument/2006/relationships/hyperlink" Target="https://cdn.shopify.com/s/files/1/0792/5098/1063/files/6af2c2171c76e387dd360630309e9c195302a9f62c2ab3fdf7aee54b1b973c58.jpg?v=1786610986" TargetMode="External" Id="rId34"/><Relationship Type="http://schemas.openxmlformats.org/officeDocument/2006/relationships/hyperlink" Target="https://cdn.shopify.com/s/files/1/0792/5098/1063/files/e8e8d67d6cccd1e30f6ef575a2cfee4703047f4c62e9368e3b383fc073d493d6.jpg?v=1786610986" TargetMode="External" Id="rId35"/><Relationship Type="http://schemas.openxmlformats.org/officeDocument/2006/relationships/hyperlink" Target="https://cdn.shopify.com/s/files/1/0792/5098/1063/files/e8e8d67d6cccd1e30f6ef575a2cfee4703047f4c62e9368e3b383fc073d493d6.jpg?v=1786610986" TargetMode="External" Id="rId36"/><Relationship Type="http://schemas.openxmlformats.org/officeDocument/2006/relationships/hyperlink" Target="https://cdn.shopify.com/s/files/1/0792/5098/1063/files/e64a419d66530cc2d67bf8a94c9b2b7e040664d3191fa01a4cd6d30c554406b3.jpg?v=1786610986" TargetMode="External" Id="rId37"/><Relationship Type="http://schemas.openxmlformats.org/officeDocument/2006/relationships/hyperlink" Target="https://cdn.shopify.com/s/files/1/0792/5098/1063/files/e64a419d66530cc2d67bf8a94c9b2b7e040664d3191fa01a4cd6d30c554406b3.jpg?v=1786610986" TargetMode="External" Id="rId38"/><Relationship Type="http://schemas.openxmlformats.org/officeDocument/2006/relationships/hyperlink" Target="https://cdn.shopify.com/s/files/1/0792/5098/1063/files/32ed8ca3d2fcf17b95b4bb0933703282417cac1471afbda552757c64281472df.jpg?v=1786610986" TargetMode="External" Id="rId39"/><Relationship Type="http://schemas.openxmlformats.org/officeDocument/2006/relationships/hyperlink" Target="https://cdn.shopify.com/s/files/1/0792/5098/1063/files/32ed8ca3d2fcf17b95b4bb0933703282417cac1471afbda552757c64281472df.jpg?v=1786610986" TargetMode="External" Id="rId40"/><Relationship Type="http://schemas.openxmlformats.org/officeDocument/2006/relationships/hyperlink" Target="https://cdn.shopify.com/s/files/1/0792/5098/1063/files/0b1d1e19cab6d757366a36700f895ecca060303e705a8aece2f5fa486b6770da_2e0bc236-33cf-4da8-b0f7-202084848f52.jpg?v=1786610986" TargetMode="External" Id="rId41"/><Relationship Type="http://schemas.openxmlformats.org/officeDocument/2006/relationships/hyperlink" Target="https://cdn.shopify.com/s/files/1/0792/5098/1063/files/0b1d1e19cab6d757366a36700f895ecca060303e705a8aece2f5fa486b6770da_2e0bc236-33cf-4da8-b0f7-202084848f52.jpg?v=1786610986" TargetMode="External" Id="rId42"/><Relationship Type="http://schemas.openxmlformats.org/officeDocument/2006/relationships/hyperlink" Target="https://cdn.shopify.com/s/files/1/0792/5098/1063/files/4504aa50671ffbeae65b1e94f2acb6f592046acd12731774a456b088d249a841.jpg?v=1786610986" TargetMode="External" Id="rId43"/><Relationship Type="http://schemas.openxmlformats.org/officeDocument/2006/relationships/hyperlink" Target="https://cdn.shopify.com/s/files/1/0792/5098/1063/files/4504aa50671ffbeae65b1e94f2acb6f592046acd12731774a456b088d249a841.jpg?v=1786610986" TargetMode="External" Id="rId44"/><Relationship Type="http://schemas.openxmlformats.org/officeDocument/2006/relationships/hyperlink" Target="https://cdn.shopify.com/s/files/1/0792/5098/1063/files/d761ea3ae4f4c0b26b7473177b21a616c5199552823ec637c64fe7b0d6b0f12f_87083663-064a-4940-9b08-9adf1c7c3f13.jpg?v=1786610986" TargetMode="External" Id="rId45"/><Relationship Type="http://schemas.openxmlformats.org/officeDocument/2006/relationships/hyperlink" Target="https://cdn.shopify.com/s/files/1/0792/5098/1063/files/d761ea3ae4f4c0b26b7473177b21a616c5199552823ec637c64fe7b0d6b0f12f_87083663-064a-4940-9b08-9adf1c7c3f13.jpg?v=1786610986" TargetMode="External" Id="rId46"/><Relationship Type="http://schemas.openxmlformats.org/officeDocument/2006/relationships/hyperlink" Target="https://cdn.shopify.com/s/files/1/0792/5098/1063/files/dd6b2f75d5d331064be3e2ace151f6872c3f1f67675d8c1c7fa00f207341180b_495f4df4-4244-4a92-9541-5c854819ab25.jpg?v=1786610986" TargetMode="External" Id="rId47"/><Relationship Type="http://schemas.openxmlformats.org/officeDocument/2006/relationships/hyperlink" Target="https://cdn.shopify.com/s/files/1/0792/5098/1063/files/dd6b2f75d5d331064be3e2ace151f6872c3f1f67675d8c1c7fa00f207341180b_495f4df4-4244-4a92-9541-5c854819ab25.jpg?v=1786610986" TargetMode="External" Id="rId48"/><Relationship Type="http://schemas.openxmlformats.org/officeDocument/2006/relationships/hyperlink" Target="https://cdn.shopify.com/s/files/1/0792/5098/1063/files/600dadc90f458b75b98e518bc082e027f8f4c6f51c7590c33f32d1c009501470.jpg?v=1787245141" TargetMode="External" Id="rId49"/><Relationship Type="http://schemas.openxmlformats.org/officeDocument/2006/relationships/hyperlink" Target="https://cdn.shopify.com/s/files/1/0792/5098/1063/files/600dadc90f458b75b98e518bc082e027f8f4c6f51c7590c33f32d1c009501470.jpg?v=1787245141" TargetMode="External" Id="rId50"/><Relationship Type="http://schemas.openxmlformats.org/officeDocument/2006/relationships/hyperlink" Target="https://cdn.shopify.com/s/files/1/0792/5098/1063/files/b90fcffa962ad263fa51d2a81f9147456323d01ab4f19a6d11124c5f3a7d8fea.jpg?v=1787245141" TargetMode="External" Id="rId51"/><Relationship Type="http://schemas.openxmlformats.org/officeDocument/2006/relationships/hyperlink" Target="https://cdn.shopify.com/s/files/1/0792/5098/1063/files/b90fcffa962ad263fa51d2a81f9147456323d01ab4f19a6d11124c5f3a7d8fea.jpg?v=1787245141" TargetMode="External" Id="rId52"/><Relationship Type="http://schemas.openxmlformats.org/officeDocument/2006/relationships/hyperlink" Target="https://cdn.shopify.com/s/files/1/0792/5098/1063/files/0f4f84843d32da35b71c8744a6c42a361dae6d95eaecfbf475c07d6a92e67565.jpg?v=1787245140" TargetMode="External" Id="rId53"/><Relationship Type="http://schemas.openxmlformats.org/officeDocument/2006/relationships/hyperlink" Target="https://cdn.shopify.com/s/files/1/0792/5098/1063/files/0f4f84843d32da35b71c8744a6c42a361dae6d95eaecfbf475c07d6a92e67565.jpg?v=1787245140" TargetMode="External" Id="rId54"/><Relationship Type="http://schemas.openxmlformats.org/officeDocument/2006/relationships/hyperlink" Target="https://cdn.shopify.com/s/files/1/0792/5098/1063/files/1dcca8fdb6738a05b72800b9f3bae1af7ea539c5b6f6dad801b3e7efe0a31cd2.jpg?v=1787245141" TargetMode="External" Id="rId55"/><Relationship Type="http://schemas.openxmlformats.org/officeDocument/2006/relationships/hyperlink" Target="https://cdn.shopify.com/s/files/1/0792/5098/1063/files/1dcca8fdb6738a05b72800b9f3bae1af7ea539c5b6f6dad801b3e7efe0a31cd2.jpg?v=1787245141" TargetMode="External" Id="rId56"/><Relationship Type="http://schemas.openxmlformats.org/officeDocument/2006/relationships/hyperlink" Target="https://cdn.shopify.com/s/files/1/0792/5098/1063/files/969f8454d999bed06b2a423d17200e4950d2add2054e60ec391632b4726da333.jpg?v=1787245140" TargetMode="External" Id="rId57"/><Relationship Type="http://schemas.openxmlformats.org/officeDocument/2006/relationships/hyperlink" Target="https://cdn.shopify.com/s/files/1/0792/5098/1063/files/969f8454d999bed06b2a423d17200e4950d2add2054e60ec391632b4726da333.jpg?v=1787245140" TargetMode="External" Id="rId58"/><Relationship Type="http://schemas.openxmlformats.org/officeDocument/2006/relationships/hyperlink" Target="https://cdn.shopify.com/s/files/1/0792/5098/1063/files/b5c74b68d1b4eff2209b7123e3fbe61d1e31afd73aa5ba647e17c194e2e66c44_ffc912e1-a30d-47c4-a2c3-9f0ce00f330f.jpg?v=1787245141" TargetMode="External" Id="rId59"/><Relationship Type="http://schemas.openxmlformats.org/officeDocument/2006/relationships/hyperlink" Target="https://cdn.shopify.com/s/files/1/0792/5098/1063/files/b5c74b68d1b4eff2209b7123e3fbe61d1e31afd73aa5ba647e17c194e2e66c44_ffc912e1-a30d-47c4-a2c3-9f0ce00f330f.jpg?v=1787245141" TargetMode="External" Id="rId60"/><Relationship Type="http://schemas.openxmlformats.org/officeDocument/2006/relationships/hyperlink" Target="https://cdn.shopify.com/s/files/1/0792/5098/1063/files/a0ebf0c8e5cb1f2c8f924529805ea1d20494460dd41a740514b8862f5d5a2f4f_3166bb13-abac-4b46-b2db-33858584f50e.jpg?v=1787245140" TargetMode="External" Id="rId61"/><Relationship Type="http://schemas.openxmlformats.org/officeDocument/2006/relationships/hyperlink" Target="https://cdn.shopify.com/s/files/1/0792/5098/1063/files/a0ebf0c8e5cb1f2c8f924529805ea1d20494460dd41a740514b8862f5d5a2f4f_3166bb13-abac-4b46-b2db-33858584f50e.jpg?v=1787245140" TargetMode="External" Id="rId62"/><Relationship Type="http://schemas.openxmlformats.org/officeDocument/2006/relationships/hyperlink" Target="https://cdn.shopify.com/s/files/1/0792/5098/1063/files/29aa43c7b8307f34ac5d513cc57e1a002e1614f6867312a28dbfcab34d8673d2.jpg?v=1785102170" TargetMode="External" Id="rId63"/><Relationship Type="http://schemas.openxmlformats.org/officeDocument/2006/relationships/hyperlink" Target="https://cdn.shopify.com/s/files/1/0792/5098/1063/files/29aa43c7b8307f34ac5d513cc57e1a002e1614f6867312a28dbfcab34d8673d2.jpg?v=1785102170" TargetMode="External" Id="rId64"/><Relationship Type="http://schemas.openxmlformats.org/officeDocument/2006/relationships/hyperlink" Target="https://cdn.shopify.com/s/files/1/0792/5098/1063/files/f0cbead62a32e122c6c212ec8e0605425e6bb8907a050cab939dd47e8423f2e6.jpg?v=1785102170" TargetMode="External" Id="rId65"/><Relationship Type="http://schemas.openxmlformats.org/officeDocument/2006/relationships/hyperlink" Target="https://cdn.shopify.com/s/files/1/0792/5098/1063/files/f0cbead62a32e122c6c212ec8e0605425e6bb8907a050cab939dd47e8423f2e6.jpg?v=1785102170" TargetMode="External" Id="rId66"/><Relationship Type="http://schemas.openxmlformats.org/officeDocument/2006/relationships/hyperlink" Target="https://cdn.shopify.com/s/files/1/0792/5098/1063/files/16f7293cbefa5743a35b2e6316a5a114e5c052d08151e367dafd26aa5e2e542b_7b681a73-e2c8-473c-861b-ebab1d308b2c.jpg?v=1785102170" TargetMode="External" Id="rId67"/><Relationship Type="http://schemas.openxmlformats.org/officeDocument/2006/relationships/hyperlink" Target="https://cdn.shopify.com/s/files/1/0792/5098/1063/files/16f7293cbefa5743a35b2e6316a5a114e5c052d08151e367dafd26aa5e2e542b_7b681a73-e2c8-473c-861b-ebab1d308b2c.jpg?v=1785102170" TargetMode="External" Id="rId68"/><Relationship Type="http://schemas.openxmlformats.org/officeDocument/2006/relationships/hyperlink" Target="https://cdn.shopify.com/s/files/1/0792/5098/1063/files/d8fb9490da7e572f1e8ff50bc07b17f8c1246a805769a641c42df32c2d8d864e.jpg?v=1785102170" TargetMode="External" Id="rId69"/><Relationship Type="http://schemas.openxmlformats.org/officeDocument/2006/relationships/hyperlink" Target="https://cdn.shopify.com/s/files/1/0792/5098/1063/files/d8fb9490da7e572f1e8ff50bc07b17f8c1246a805769a641c42df32c2d8d864e.jpg?v=1785102170" TargetMode="External" Id="rId70"/><Relationship Type="http://schemas.openxmlformats.org/officeDocument/2006/relationships/hyperlink" Target="https://cdn.shopify.com/s/files/1/0792/5098/1063/files/7c006bddc94d4763c71c8376307e195c1bbce73b8c802ec73ac5a8cef1291262_08449542-703f-4b4f-8f82-8e7ee0778241.jpg?v=1785102170" TargetMode="External" Id="rId71"/><Relationship Type="http://schemas.openxmlformats.org/officeDocument/2006/relationships/hyperlink" Target="https://cdn.shopify.com/s/files/1/0792/5098/1063/files/7c006bddc94d4763c71c8376307e195c1bbce73b8c802ec73ac5a8cef1291262_08449542-703f-4b4f-8f82-8e7ee0778241.jpg?v=1785102170" TargetMode="External" Id="rId72"/><Relationship Type="http://schemas.openxmlformats.org/officeDocument/2006/relationships/hyperlink" Target="https://cdn.shopify.com/s/files/1/0792/5098/1063/files/e5cad84edb4d7bf77c48fd7c8e52eb3b73f04eba8bf177671fd8a059c59422e8_5ee813e4-f653-4ebf-a1d2-9cb4bc7e08f7.jpg?v=1785102170" TargetMode="External" Id="rId73"/><Relationship Type="http://schemas.openxmlformats.org/officeDocument/2006/relationships/hyperlink" Target="https://cdn.shopify.com/s/files/1/0792/5098/1063/files/e5cad84edb4d7bf77c48fd7c8e52eb3b73f04eba8bf177671fd8a059c59422e8_5ee813e4-f653-4ebf-a1d2-9cb4bc7e08f7.jpg?v=1785102170" TargetMode="External" Id="rId74"/><Relationship Type="http://schemas.openxmlformats.org/officeDocument/2006/relationships/hyperlink" Target="https://cdn.shopify.com/s/files/1/0792/5098/1063/files/e3cffbf07b04b7b1cfee06af43599e83f9be56de600af46f5316f032dc99acf2.jpg?v=1785132670" TargetMode="External" Id="rId75"/><Relationship Type="http://schemas.openxmlformats.org/officeDocument/2006/relationships/hyperlink" Target="https://cdn.shopify.com/s/files/1/0792/5098/1063/files/e3cffbf07b04b7b1cfee06af43599e83f9be56de600af46f5316f032dc99acf2.jpg?v=1785132670" TargetMode="External" Id="rId76"/><Relationship Type="http://schemas.openxmlformats.org/officeDocument/2006/relationships/hyperlink" Target="https://cdn.shopify.com/s/files/1/0792/5098/1063/files/b4802afa12caea485a556c12a0ee65ad07b0e1339880a8aedb6bfa810e8f25d5.jpg?v=1785132670" TargetMode="External" Id="rId77"/><Relationship Type="http://schemas.openxmlformats.org/officeDocument/2006/relationships/hyperlink" Target="https://cdn.shopify.com/s/files/1/0792/5098/1063/files/b4802afa12caea485a556c12a0ee65ad07b0e1339880a8aedb6bfa810e8f25d5.jpg?v=1785132670" TargetMode="External" Id="rId78"/><Relationship Type="http://schemas.openxmlformats.org/officeDocument/2006/relationships/hyperlink" Target="https://cdn.shopify.com/s/files/1/0792/5098/1063/files/16f7293cbefa5743a35b2e6316a5a114e5c052d08151e367dafd26aa5e2e542b_b68e1f3b-d2ce-444e-8692-0c88618c6044.jpg?v=1785132670" TargetMode="External" Id="rId79"/><Relationship Type="http://schemas.openxmlformats.org/officeDocument/2006/relationships/hyperlink" Target="https://cdn.shopify.com/s/files/1/0792/5098/1063/files/16f7293cbefa5743a35b2e6316a5a114e5c052d08151e367dafd26aa5e2e542b_b68e1f3b-d2ce-444e-8692-0c88618c6044.jpg?v=1785132670" TargetMode="External" Id="rId80"/><Relationship Type="http://schemas.openxmlformats.org/officeDocument/2006/relationships/hyperlink" Target="https://cdn.shopify.com/s/files/1/0792/5098/1063/files/0d5d31e4b577d2af001f246d0d9753a04d2d74750c6a5c1e563b06e4a4629cd8.jpg?v=1785132670" TargetMode="External" Id="rId81"/><Relationship Type="http://schemas.openxmlformats.org/officeDocument/2006/relationships/hyperlink" Target="https://cdn.shopify.com/s/files/1/0792/5098/1063/files/0d5d31e4b577d2af001f246d0d9753a04d2d74750c6a5c1e563b06e4a4629cd8.jpg?v=1785132670" TargetMode="External" Id="rId82"/><Relationship Type="http://schemas.openxmlformats.org/officeDocument/2006/relationships/hyperlink" Target="https://cdn.shopify.com/s/files/1/0792/5098/1063/files/e098e5dc5c775d84cbaff5c6b5eee0a233315020c23245fbd757718485950766.jpg?v=1785132670" TargetMode="External" Id="rId83"/><Relationship Type="http://schemas.openxmlformats.org/officeDocument/2006/relationships/hyperlink" Target="https://cdn.shopify.com/s/files/1/0792/5098/1063/files/e098e5dc5c775d84cbaff5c6b5eee0a233315020c23245fbd757718485950766.jpg?v=1785132670" TargetMode="External" Id="rId84"/><Relationship Type="http://schemas.openxmlformats.org/officeDocument/2006/relationships/hyperlink" Target="https://cdn.shopify.com/s/files/1/0792/5098/1063/files/7c006bddc94d4763c71c8376307e195c1bbce73b8c802ec73ac5a8cef1291262_2d660d73-8428-457e-848b-7bc17619ea12.jpg?v=1785132670" TargetMode="External" Id="rId85"/><Relationship Type="http://schemas.openxmlformats.org/officeDocument/2006/relationships/hyperlink" Target="https://cdn.shopify.com/s/files/1/0792/5098/1063/files/7c006bddc94d4763c71c8376307e195c1bbce73b8c802ec73ac5a8cef1291262_2d660d73-8428-457e-848b-7bc17619ea12.jpg?v=1785132670" TargetMode="External" Id="rId86"/><Relationship Type="http://schemas.openxmlformats.org/officeDocument/2006/relationships/hyperlink" Target="https://cdn.shopify.com/s/files/1/0792/5098/1063/files/e5cad84edb4d7bf77c48fd7c8e52eb3b73f04eba8bf177671fd8a059c59422e8_c425b774-14c8-469a-a4ce-b94e5322b66f.jpg?v=1785132670" TargetMode="External" Id="rId87"/><Relationship Type="http://schemas.openxmlformats.org/officeDocument/2006/relationships/hyperlink" Target="https://cdn.shopify.com/s/files/1/0792/5098/1063/files/e5cad84edb4d7bf77c48fd7c8e52eb3b73f04eba8bf177671fd8a059c59422e8_c425b774-14c8-469a-a4ce-b94e5322b66f.jpg?v=1785132670" TargetMode="External" Id="rId88"/><Relationship Type="http://schemas.openxmlformats.org/officeDocument/2006/relationships/hyperlink" Target="https://cdn.shopify.com/s/files/1/0792/5098/1063/files/c444b502770c42ad4e54006a6da35b08abb6b8561de0b40bd0ad194fe3a3b7cc.jpg?v=1785047836" TargetMode="External" Id="rId89"/><Relationship Type="http://schemas.openxmlformats.org/officeDocument/2006/relationships/hyperlink" Target="https://cdn.shopify.com/s/files/1/0792/5098/1063/files/c444b502770c42ad4e54006a6da35b08abb6b8561de0b40bd0ad194fe3a3b7cc.jpg?v=1785047836" TargetMode="External" Id="rId90"/><Relationship Type="http://schemas.openxmlformats.org/officeDocument/2006/relationships/hyperlink" Target="https://cdn.shopify.com/s/files/1/0792/5098/1063/files/64c8b5284000330f8222b995cfdc8625806645ace45cb5d44041018114590434.jpg?v=1785047836" TargetMode="External" Id="rId91"/><Relationship Type="http://schemas.openxmlformats.org/officeDocument/2006/relationships/hyperlink" Target="https://cdn.shopify.com/s/files/1/0792/5098/1063/files/64c8b5284000330f8222b995cfdc8625806645ace45cb5d44041018114590434.jpg?v=1785047836" TargetMode="External" Id="rId92"/><Relationship Type="http://schemas.openxmlformats.org/officeDocument/2006/relationships/hyperlink" Target="https://cdn.shopify.com/s/files/1/0792/5098/1063/files/84068ba977a13a2a7be3e436e136971add45c306664eef493b306357ad5c1386.jpg?v=1785047836" TargetMode="External" Id="rId93"/><Relationship Type="http://schemas.openxmlformats.org/officeDocument/2006/relationships/hyperlink" Target="https://cdn.shopify.com/s/files/1/0792/5098/1063/files/84068ba977a13a2a7be3e436e136971add45c306664eef493b306357ad5c1386.jpg?v=1785047836" TargetMode="External" Id="rId94"/><Relationship Type="http://schemas.openxmlformats.org/officeDocument/2006/relationships/hyperlink" Target="https://cdn.shopify.com/s/files/1/0792/5098/1063/files/246de37386b25c1f596279902549dbaa51073f1c481a260f13dd80547ff28b96.jpg?v=1785047836" TargetMode="External" Id="rId95"/><Relationship Type="http://schemas.openxmlformats.org/officeDocument/2006/relationships/hyperlink" Target="https://cdn.shopify.com/s/files/1/0792/5098/1063/files/246de37386b25c1f596279902549dbaa51073f1c481a260f13dd80547ff28b96.jpg?v=1785047836" TargetMode="External" Id="rId96"/><Relationship Type="http://schemas.openxmlformats.org/officeDocument/2006/relationships/hyperlink" Target="https://cdn.shopify.com/s/files/1/0792/5098/1063/files/01c44c8aa15afe0f25109f79199f17546d56413dad8255507f0d78cfda8d69d1.jpg?v=1785047836" TargetMode="External" Id="rId97"/><Relationship Type="http://schemas.openxmlformats.org/officeDocument/2006/relationships/hyperlink" Target="https://cdn.shopify.com/s/files/1/0792/5098/1063/files/01c44c8aa15afe0f25109f79199f17546d56413dad8255507f0d78cfda8d69d1.jpg?v=1785047836" TargetMode="External" Id="rId98"/><Relationship Type="http://schemas.openxmlformats.org/officeDocument/2006/relationships/hyperlink" Target="https://cdn.shopify.com/s/files/1/0792/5098/1063/files/32c82101209200624a1d8671b844a25947c4a4ed7b383a6d8265d36e7d743afd.jpg?v=1785047836" TargetMode="External" Id="rId99"/><Relationship Type="http://schemas.openxmlformats.org/officeDocument/2006/relationships/hyperlink" Target="https://cdn.shopify.com/s/files/1/0792/5098/1063/files/32c82101209200624a1d8671b844a25947c4a4ed7b383a6d8265d36e7d743afd.jpg?v=1785047836" TargetMode="External" Id="rId100"/><Relationship Type="http://schemas.openxmlformats.org/officeDocument/2006/relationships/hyperlink" Target="https://cdn.shopify.com/s/files/1/0792/5098/1063/files/5abe32a160d5612c59845577bd73d47ee43493f7ebcc5362f2fe1524980c649a.jpg?v=1785047836" TargetMode="External" Id="rId101"/><Relationship Type="http://schemas.openxmlformats.org/officeDocument/2006/relationships/hyperlink" Target="https://cdn.shopify.com/s/files/1/0792/5098/1063/files/5abe32a160d5612c59845577bd73d47ee43493f7ebcc5362f2fe1524980c649a.jpg?v=1785047836" TargetMode="External" Id="rId102"/><Relationship Type="http://schemas.openxmlformats.org/officeDocument/2006/relationships/hyperlink" Target="https://cdn.shopify.com/s/files/1/0792/5098/1063/files/817e5ae89679a4e71582c6a358cd1fae8cb3daffbe7572ba4b64a510289666d1.jpg?v=1785047909" TargetMode="External" Id="rId103"/><Relationship Type="http://schemas.openxmlformats.org/officeDocument/2006/relationships/hyperlink" Target="https://cdn.shopify.com/s/files/1/0792/5098/1063/files/817e5ae89679a4e71582c6a358cd1fae8cb3daffbe7572ba4b64a510289666d1.jpg?v=1785047909" TargetMode="External" Id="rId104"/><Relationship Type="http://schemas.openxmlformats.org/officeDocument/2006/relationships/hyperlink" Target="https://cdn.shopify.com/s/files/1/0792/5098/1063/files/da4ef8b0be6f04f1bef369c4c19b900ff8336fd545f5689439c44031215ce953.jpg?v=1785047909" TargetMode="External" Id="rId105"/><Relationship Type="http://schemas.openxmlformats.org/officeDocument/2006/relationships/hyperlink" Target="https://cdn.shopify.com/s/files/1/0792/5098/1063/files/da4ef8b0be6f04f1bef369c4c19b900ff8336fd545f5689439c44031215ce953.jpg?v=1785047909" TargetMode="External" Id="rId106"/><Relationship Type="http://schemas.openxmlformats.org/officeDocument/2006/relationships/hyperlink" Target="https://cdn.shopify.com/s/files/1/0792/5098/1063/files/07ab48c8231df3ad521295fc7bfc8c4643094a5ba7c90018e7a68030fbc23f2f.jpg?v=1785047909" TargetMode="External" Id="rId107"/><Relationship Type="http://schemas.openxmlformats.org/officeDocument/2006/relationships/hyperlink" Target="https://cdn.shopify.com/s/files/1/0792/5098/1063/files/07ab48c8231df3ad521295fc7bfc8c4643094a5ba7c90018e7a68030fbc23f2f.jpg?v=1785047909" TargetMode="External" Id="rId108"/><Relationship Type="http://schemas.openxmlformats.org/officeDocument/2006/relationships/hyperlink" Target="https://cdn.shopify.com/s/files/1/0792/5098/1063/files/573997dbd75523226edcc5e2ed3d5f2fc9f6c169b40e69bdc1ba661db6b9ac20.jpg?v=1785047909" TargetMode="External" Id="rId109"/><Relationship Type="http://schemas.openxmlformats.org/officeDocument/2006/relationships/hyperlink" Target="https://cdn.shopify.com/s/files/1/0792/5098/1063/files/573997dbd75523226edcc5e2ed3d5f2fc9f6c169b40e69bdc1ba661db6b9ac20.jpg?v=1785047909" TargetMode="External" Id="rId110"/><Relationship Type="http://schemas.openxmlformats.org/officeDocument/2006/relationships/hyperlink" Target="https://cdn.shopify.com/s/files/1/0792/5098/1063/files/7f10374b136f48fcb6bf59c817c2879ae5b1d3fcb3275c763a617fc4b2debfd0.jpg?v=1785047909" TargetMode="External" Id="rId111"/><Relationship Type="http://schemas.openxmlformats.org/officeDocument/2006/relationships/hyperlink" Target="https://cdn.shopify.com/s/files/1/0792/5098/1063/files/7f10374b136f48fcb6bf59c817c2879ae5b1d3fcb3275c763a617fc4b2debfd0.jpg?v=1785047909" TargetMode="External" Id="rId112"/><Relationship Type="http://schemas.openxmlformats.org/officeDocument/2006/relationships/hyperlink" Target="https://cdn.shopify.com/s/files/1/0792/5098/1063/files/395576177c37a892f8d7041248c2ef5f265e233e6785903dbf9fc31ac4d4f2e7.jpg?v=1785047909" TargetMode="External" Id="rId113"/><Relationship Type="http://schemas.openxmlformats.org/officeDocument/2006/relationships/hyperlink" Target="https://cdn.shopify.com/s/files/1/0792/5098/1063/files/395576177c37a892f8d7041248c2ef5f265e233e6785903dbf9fc31ac4d4f2e7.jpg?v=1785047909" TargetMode="External" Id="rId114"/><Relationship Type="http://schemas.openxmlformats.org/officeDocument/2006/relationships/hyperlink" Target="https://cdn.shopify.com/s/files/1/0792/5098/1063/files/697c6c55f1be81ef2313dd082cfdf604da7f7fc072305902cc7f2e97ce2df134.jpg?v=1785047909" TargetMode="External" Id="rId115"/><Relationship Type="http://schemas.openxmlformats.org/officeDocument/2006/relationships/hyperlink" Target="https://cdn.shopify.com/s/files/1/0792/5098/1063/files/697c6c55f1be81ef2313dd082cfdf604da7f7fc072305902cc7f2e97ce2df134.jpg?v=1785047909" TargetMode="External" Id="rId116"/><Relationship Type="http://schemas.openxmlformats.org/officeDocument/2006/relationships/hyperlink" Target="https://cdn.shopify.com/s/files/1/0792/5098/1063/files/64798931108d494249f5b0700040fbb5b72be151e6a92f9dddc29728c8a2e634.jpg?v=1785133965" TargetMode="External" Id="rId117"/><Relationship Type="http://schemas.openxmlformats.org/officeDocument/2006/relationships/hyperlink" Target="https://cdn.shopify.com/s/files/1/0792/5098/1063/files/64798931108d494249f5b0700040fbb5b72be151e6a92f9dddc29728c8a2e634.jpg?v=1785133965" TargetMode="External" Id="rId118"/><Relationship Type="http://schemas.openxmlformats.org/officeDocument/2006/relationships/hyperlink" Target="https://cdn.shopify.com/s/files/1/0792/5098/1063/files/7516d8acb9898ed8b4b79a73595c3b6cc9449eacaeed1eeefcfa7b488d16faa0.jpg?v=1785133965" TargetMode="External" Id="rId119"/><Relationship Type="http://schemas.openxmlformats.org/officeDocument/2006/relationships/hyperlink" Target="https://cdn.shopify.com/s/files/1/0792/5098/1063/files/7516d8acb9898ed8b4b79a73595c3b6cc9449eacaeed1eeefcfa7b488d16faa0.jpg?v=1785133965" TargetMode="External" Id="rId120"/><Relationship Type="http://schemas.openxmlformats.org/officeDocument/2006/relationships/hyperlink" Target="https://cdn.shopify.com/s/files/1/0792/5098/1063/files/16f7293cbefa5743a35b2e6316a5a114e5c052d08151e367dafd26aa5e2e542b_51cd9952-f11f-4998-8e34-645605ae6b13.jpg?v=1785133965" TargetMode="External" Id="rId121"/><Relationship Type="http://schemas.openxmlformats.org/officeDocument/2006/relationships/hyperlink" Target="https://cdn.shopify.com/s/files/1/0792/5098/1063/files/16f7293cbefa5743a35b2e6316a5a114e5c052d08151e367dafd26aa5e2e542b_51cd9952-f11f-4998-8e34-645605ae6b13.jpg?v=1785133965" TargetMode="External" Id="rId122"/><Relationship Type="http://schemas.openxmlformats.org/officeDocument/2006/relationships/hyperlink" Target="https://cdn.shopify.com/s/files/1/0792/5098/1063/files/f8611415d6590d48771aee72c9ba688d1a8222f5abef2df22aa0d172e27d9286.jpg?v=1785133965" TargetMode="External" Id="rId123"/><Relationship Type="http://schemas.openxmlformats.org/officeDocument/2006/relationships/hyperlink" Target="https://cdn.shopify.com/s/files/1/0792/5098/1063/files/f8611415d6590d48771aee72c9ba688d1a8222f5abef2df22aa0d172e27d9286.jpg?v=1785133965" TargetMode="External" Id="rId124"/><Relationship Type="http://schemas.openxmlformats.org/officeDocument/2006/relationships/hyperlink" Target="https://cdn.shopify.com/s/files/1/0792/5098/1063/files/00a1cee92da36bc042acbc0cef9b49e0066269d18f2c585e0e9c7b8b73c4c328.jpg?v=1785133965" TargetMode="External" Id="rId125"/><Relationship Type="http://schemas.openxmlformats.org/officeDocument/2006/relationships/hyperlink" Target="https://cdn.shopify.com/s/files/1/0792/5098/1063/files/00a1cee92da36bc042acbc0cef9b49e0066269d18f2c585e0e9c7b8b73c4c328.jpg?v=1785133965" TargetMode="External" Id="rId126"/><Relationship Type="http://schemas.openxmlformats.org/officeDocument/2006/relationships/hyperlink" Target="https://cdn.shopify.com/s/files/1/0792/5098/1063/files/7c006bddc94d4763c71c8376307e195c1bbce73b8c802ec73ac5a8cef1291262_8fd93ba1-2b09-4ab0-894b-66bb2e187d23.jpg?v=1785133965" TargetMode="External" Id="rId127"/><Relationship Type="http://schemas.openxmlformats.org/officeDocument/2006/relationships/hyperlink" Target="https://cdn.shopify.com/s/files/1/0792/5098/1063/files/7c006bddc94d4763c71c8376307e195c1bbce73b8c802ec73ac5a8cef1291262_8fd93ba1-2b09-4ab0-894b-66bb2e187d23.jpg?v=1785133965" TargetMode="External" Id="rId128"/><Relationship Type="http://schemas.openxmlformats.org/officeDocument/2006/relationships/hyperlink" Target="https://cdn.shopify.com/s/files/1/0792/5098/1063/files/e5cad84edb4d7bf77c48fd7c8e52eb3b73f04eba8bf177671fd8a059c59422e8_d035c4b4-ae64-4d12-96cd-6b2f5af3bf09.jpg?v=1785133965" TargetMode="External" Id="rId129"/><Relationship Type="http://schemas.openxmlformats.org/officeDocument/2006/relationships/hyperlink" Target="https://cdn.shopify.com/s/files/1/0792/5098/1063/files/e5cad84edb4d7bf77c48fd7c8e52eb3b73f04eba8bf177671fd8a059c59422e8_d035c4b4-ae64-4d12-96cd-6b2f5af3bf09.jpg?v=1785133965" TargetMode="External" Id="rId130"/><Relationship Type="http://schemas.openxmlformats.org/officeDocument/2006/relationships/hyperlink" Target="https://cdn.shopify.com/s/files/1/0792/5098/1063/files/61cfa1e5652b3ee7840107df63fda2bfb8cab4a35cb4a071430717a13e9de438.jpg?v=1785134032" TargetMode="External" Id="rId131"/><Relationship Type="http://schemas.openxmlformats.org/officeDocument/2006/relationships/hyperlink" Target="https://cdn.shopify.com/s/files/1/0792/5098/1063/files/61cfa1e5652b3ee7840107df63fda2bfb8cab4a35cb4a071430717a13e9de438.jpg?v=1785134032" TargetMode="External" Id="rId132"/><Relationship Type="http://schemas.openxmlformats.org/officeDocument/2006/relationships/hyperlink" Target="https://cdn.shopify.com/s/files/1/0792/5098/1063/files/bddfb68dace62a4912ac4ec812fdfb3f5252565b50e055db3560361baa04d063.jpg?v=1785134032" TargetMode="External" Id="rId133"/><Relationship Type="http://schemas.openxmlformats.org/officeDocument/2006/relationships/hyperlink" Target="https://cdn.shopify.com/s/files/1/0792/5098/1063/files/bddfb68dace62a4912ac4ec812fdfb3f5252565b50e055db3560361baa04d063.jpg?v=1785134032" TargetMode="External" Id="rId134"/><Relationship Type="http://schemas.openxmlformats.org/officeDocument/2006/relationships/hyperlink" Target="https://cdn.shopify.com/s/files/1/0792/5098/1063/files/16f7293cbefa5743a35b2e6316a5a114e5c052d08151e367dafd26aa5e2e542b_8f92ec6d-1529-4adf-aa11-2670aaa2e20d.jpg?v=1785134032" TargetMode="External" Id="rId135"/><Relationship Type="http://schemas.openxmlformats.org/officeDocument/2006/relationships/hyperlink" Target="https://cdn.shopify.com/s/files/1/0792/5098/1063/files/16f7293cbefa5743a35b2e6316a5a114e5c052d08151e367dafd26aa5e2e542b_8f92ec6d-1529-4adf-aa11-2670aaa2e20d.jpg?v=1785134032" TargetMode="External" Id="rId136"/><Relationship Type="http://schemas.openxmlformats.org/officeDocument/2006/relationships/hyperlink" Target="https://cdn.shopify.com/s/files/1/0792/5098/1063/files/94c04fb6746eb86bce8416d10a9debc8871da8e63a3f71b9677d27a5bdfb0f45.jpg?v=1785134032" TargetMode="External" Id="rId137"/><Relationship Type="http://schemas.openxmlformats.org/officeDocument/2006/relationships/hyperlink" Target="https://cdn.shopify.com/s/files/1/0792/5098/1063/files/94c04fb6746eb86bce8416d10a9debc8871da8e63a3f71b9677d27a5bdfb0f45.jpg?v=1785134032" TargetMode="External" Id="rId138"/><Relationship Type="http://schemas.openxmlformats.org/officeDocument/2006/relationships/hyperlink" Target="https://cdn.shopify.com/s/files/1/0792/5098/1063/files/97b73aa88cfb5d939beac7e61ba049f706f4e2859c02307231fa8b368ad14fed.jpg?v=1785134032" TargetMode="External" Id="rId139"/><Relationship Type="http://schemas.openxmlformats.org/officeDocument/2006/relationships/hyperlink" Target="https://cdn.shopify.com/s/files/1/0792/5098/1063/files/97b73aa88cfb5d939beac7e61ba049f706f4e2859c02307231fa8b368ad14fed.jpg?v=1785134032" TargetMode="External" Id="rId140"/><Relationship Type="http://schemas.openxmlformats.org/officeDocument/2006/relationships/hyperlink" Target="https://cdn.shopify.com/s/files/1/0792/5098/1063/files/7c006bddc94d4763c71c8376307e195c1bbce73b8c802ec73ac5a8cef1291262_af90d80b-29e8-41e6-83ea-ee7736f7a491.jpg?v=1785134032" TargetMode="External" Id="rId141"/><Relationship Type="http://schemas.openxmlformats.org/officeDocument/2006/relationships/hyperlink" Target="https://cdn.shopify.com/s/files/1/0792/5098/1063/files/7c006bddc94d4763c71c8376307e195c1bbce73b8c802ec73ac5a8cef1291262_af90d80b-29e8-41e6-83ea-ee7736f7a491.jpg?v=1785134032" TargetMode="External" Id="rId142"/><Relationship Type="http://schemas.openxmlformats.org/officeDocument/2006/relationships/hyperlink" Target="https://cdn.shopify.com/s/files/1/0792/5098/1063/files/e5cad84edb4d7bf77c48fd7c8e52eb3b73f04eba8bf177671fd8a059c59422e8_4bc9d0c4-1fdd-4ce6-b49e-b1a0b2ddff0c.jpg?v=1785134032" TargetMode="External" Id="rId143"/><Relationship Type="http://schemas.openxmlformats.org/officeDocument/2006/relationships/hyperlink" Target="https://cdn.shopify.com/s/files/1/0792/5098/1063/files/e5cad84edb4d7bf77c48fd7c8e52eb3b73f04eba8bf177671fd8a059c59422e8_4bc9d0c4-1fdd-4ce6-b49e-b1a0b2ddff0c.jpg?v=1785134032" TargetMode="External" Id="rId144"/></Relationships>
</file>

<file path=xl/worksheets/sheet1.xml><?xml version="1.0" encoding="utf-8"?>
<worksheet xmlns="http://schemas.openxmlformats.org/spreadsheetml/2006/main">
  <sheetPr>
    <outlinePr summaryBelow="1" summaryRight="1"/>
    <pageSetUpPr fitToPage="1"/>
  </sheetPr>
  <dimension ref="A1:C15"/>
  <sheetViews>
    <sheetView showGridLines="0" workbookViewId="0">
      <pane ySplit="1" topLeftCell="A2" activePane="bottomLeft" state="frozen"/>
      <selection pane="bottomLeft" activeCell="A1" sqref="A1"/>
    </sheetView>
  </sheetViews>
  <sheetFormatPr baseColWidth="8" defaultRowHeight="15"/>
  <cols>
    <col width="23" customWidth="1" min="1" max="1"/>
    <col width="42" customWidth="1" min="2" max="2"/>
    <col width="42" customWidth="1" min="3" max="3"/>
  </cols>
  <sheetData>
    <row r="1" ht="32" customHeight="1">
      <c r="A1" s="1" t="inlineStr">
        <is>
          <t>metric</t>
        </is>
      </c>
      <c r="B1" s="1" t="inlineStr">
        <is>
          <t>value</t>
        </is>
      </c>
      <c r="C1" s="1" t="inlineStr">
        <is>
          <t>definition</t>
        </is>
      </c>
    </row>
    <row r="2" ht="42" customHeight="1">
      <c r="A2" s="2" t="inlineStr">
        <is>
          <t>shop_domain</t>
        </is>
      </c>
      <c r="B2" s="2" t="inlineStr">
        <is>
          <t>jeminise.com</t>
        </is>
      </c>
      <c r="C2" s="2" t="inlineStr">
        <is>
          <t>Shop being QAed.</t>
        </is>
      </c>
    </row>
    <row r="3" ht="42" customHeight="1">
      <c r="A3" s="3" t="inlineStr">
        <is>
          <t>source_run_id</t>
        </is>
      </c>
      <c r="B3" s="3" t="inlineStr">
        <is>
          <t>20260906_234129</t>
        </is>
      </c>
      <c r="C3" s="3" t="inlineStr">
        <is>
          <t>Original SEO drafting run.</t>
        </is>
      </c>
    </row>
    <row r="4" ht="42" customHeight="1">
      <c r="A4" s="2" t="inlineStr">
        <is>
          <t>qa_run_id</t>
        </is>
      </c>
      <c r="B4" s="2" t="inlineStr">
        <is>
          <t>20260907_181200</t>
        </is>
      </c>
      <c r="C4" s="2" t="inlineStr">
        <is>
          <t>QA run folder for this corrected rerun.</t>
        </is>
      </c>
    </row>
    <row r="5" ht="42" customHeight="1">
      <c r="A5" s="3" t="inlineStr">
        <is>
          <t>qa_batch_id</t>
        </is>
      </c>
      <c r="B5" s="3" t="inlineStr">
        <is>
          <t>qa_batch_012</t>
        </is>
      </c>
      <c r="C5" s="3" t="inlineStr">
        <is>
          <t>Batch being independently checked.</t>
        </is>
      </c>
    </row>
    <row r="6" ht="42" customHeight="1">
      <c r="A6" s="2" t="inlineStr">
        <is>
          <t>revision</t>
        </is>
      </c>
      <c r="B6" s="2" t="inlineStr">
        <is>
          <t>r1_corrected_full_qa</t>
        </is>
      </c>
      <c r="C6" s="2" t="inlineStr">
        <is>
          <t>Corrected full QA artifact replacing prior shortened output.</t>
        </is>
      </c>
    </row>
    <row r="7" ht="42" customHeight="1">
      <c r="A7" s="3" t="inlineStr">
        <is>
          <t>source_workbook</t>
        </is>
      </c>
      <c r="B7" s="3" t="inlineStr">
        <is>
          <t>D:\Shopify_Workspace\jeminise_seo\resutls\jeminise.com\20260906_234129\batches\SEO_Product_Optimization_through_batch_012.xlsx</t>
        </is>
      </c>
      <c r="C7" s="3" t="inlineStr">
        <is>
          <t>Frozen workbook source path.</t>
        </is>
      </c>
    </row>
    <row r="8" ht="42" customHeight="1">
      <c r="A8" s="2" t="inlineStr">
        <is>
          <t>source_sha256</t>
        </is>
      </c>
      <c r="B8" s="2" t="inlineStr">
        <is>
          <t>6D76C36179A27F454621DBC098D3621663526386146A212D6C326832CC7E9D05</t>
        </is>
      </c>
      <c r="C8" s="2" t="inlineStr">
        <is>
          <t>SHA-256 at freeze/final handoff time.</t>
        </is>
      </c>
    </row>
    <row r="9" ht="42" customHeight="1">
      <c r="A9" s="3" t="inlineStr">
        <is>
          <t>snapshot_sha256</t>
        </is>
      </c>
      <c r="B9" s="3" t="inlineStr">
        <is>
          <t>6D76C36179A27F454621DBC098D3621663526386146A212D6C326832CC7E9D05</t>
        </is>
      </c>
      <c r="C9" s="3" t="inlineStr">
        <is>
          <t>SHA-256 of workbook copy in source_snapshot.</t>
        </is>
      </c>
    </row>
    <row r="10" ht="42" customHeight="1">
      <c r="A10" s="2" t="inlineStr">
        <is>
          <t>scope</t>
        </is>
      </c>
      <c r="B10" s="2" t="inlineStr">
        <is>
          <t>10 products, 72/72 images</t>
        </is>
      </c>
      <c r="C10" s="2" t="inlineStr">
        <is>
          <t>Batch scope and image coverage.</t>
        </is>
      </c>
    </row>
    <row r="11" ht="42" customHeight="1">
      <c r="A11" s="3" t="inlineStr">
        <is>
          <t>batch_final_score</t>
        </is>
      </c>
      <c r="B11" s="3">
        <f>AVERAGE('QA_Products'!$K$2:$K$11)</f>
        <v/>
      </c>
      <c r="C11" s="3" t="inlineStr">
        <is>
          <t>Formula-driven average final score in workbook.</t>
        </is>
      </c>
    </row>
    <row r="12" ht="42" customHeight="1">
      <c r="A12" s="2" t="inlineStr">
        <is>
          <t>batch_result</t>
        </is>
      </c>
      <c r="B12" s="2">
        <f>IF(COUNTIF('QA_Products'!$L$2:$L$11,"QA_PASS")=ROWS('QA_Products'!$L$2:$L$11),"PASSED","NOT_PASSED")</f>
        <v/>
      </c>
      <c r="C12" s="2" t="inlineStr">
        <is>
          <t>PASSED only if all products are QA_PASS.</t>
        </is>
      </c>
    </row>
    <row r="13" ht="42" customHeight="1">
      <c r="A13" s="3" t="inlineStr">
        <is>
          <t>status_counts</t>
        </is>
      </c>
      <c r="B13" s="3">
        <f>"PASS="&amp;COUNTIF('QA_Products'!$L$2:$L$11,"QA_PASS")&amp;"; REVISE="&amp;COUNTIF('QA_Products'!$L$2:$L$11,"QA_REVISE")&amp;"; FAIL="&amp;COUNTIF('QA_Products'!$L$2:$L$11,"QA_FAIL")&amp;"; INCOMPLETE="&amp;COUNTIF('QA_Products'!$L$2:$L$11,"QA_INCOMPLETE")</f>
        <v/>
      </c>
      <c r="C13" s="3" t="inlineStr">
        <is>
          <t>Product QA status counts.</t>
        </is>
      </c>
    </row>
    <row r="14" ht="42" customHeight="1">
      <c r="A14" s="2" t="inlineStr">
        <is>
          <t>issue_counts</t>
        </is>
      </c>
      <c r="B14" s="2" t="inlineStr">
        <is>
          <t>CRITICAL=3; MAJOR=17; MINOR=61; LIMITATION=10</t>
        </is>
      </c>
      <c r="C14" s="2" t="inlineStr">
        <is>
          <t>Issue severity counts.</t>
        </is>
      </c>
    </row>
    <row r="15" ht="42" customHeight="1">
      <c r="A15" s="3" t="inlineStr">
        <is>
          <t>awaiting_confirmation</t>
        </is>
      </c>
      <c r="B15" s="3" t="b">
        <v>1</v>
      </c>
      <c r="C15" s="3" t="inlineStr">
        <is>
          <t>Do not QA next batch until user confirms.</t>
        </is>
      </c>
    </row>
  </sheetData>
  <autoFilter ref="A1:C15"/>
  <printOptions horizontalCentered="0"/>
  <pageMargins left="0.25" right="0.25" top="0.5" bottom="0.5"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W11"/>
  <sheetViews>
    <sheetView showGridLines="0" workbookViewId="0">
      <pane ySplit="1" topLeftCell="A2" activePane="bottomLeft" state="frozen"/>
      <selection pane="bottomLeft" activeCell="A1" sqref="A1"/>
    </sheetView>
  </sheetViews>
  <sheetFormatPr baseColWidth="8" defaultRowHeight="15"/>
  <cols>
    <col width="20" customWidth="1" min="1" max="1"/>
    <col width="42" customWidth="1" min="2" max="2"/>
    <col width="38" customWidth="1" min="3" max="3"/>
    <col width="24" customWidth="1" min="4" max="4"/>
    <col width="15" customWidth="1" min="5" max="5"/>
    <col width="11" customWidth="1" min="6" max="6"/>
    <col width="24" customWidth="1" min="7" max="7"/>
    <col width="24" customWidth="1" min="8" max="8"/>
    <col width="19" customWidth="1" min="9" max="9"/>
    <col width="19" customWidth="1" min="10" max="10"/>
    <col width="24" customWidth="1" min="11" max="11"/>
    <col width="20" customWidth="1" min="12" max="12"/>
    <col width="38" customWidth="1" min="13" max="13"/>
    <col width="17" customWidth="1" min="14" max="14"/>
    <col width="16" customWidth="1" min="15" max="15"/>
    <col width="24" customWidth="1" min="16" max="16"/>
    <col width="16" customWidth="1" min="17" max="17"/>
    <col width="24" customWidth="1" min="18" max="18"/>
    <col width="24" customWidth="1" min="19" max="19"/>
    <col width="24" customWidth="1" min="20" max="20"/>
    <col width="24" customWidth="1" min="21" max="21"/>
    <col width="42" customWidth="1" min="22" max="22"/>
    <col width="42" customWidth="1" min="23" max="23"/>
  </cols>
  <sheetData>
    <row r="1" ht="32" customHeight="1">
      <c r="A1" s="1" t="inlineStr">
        <is>
          <t>inventory_position</t>
        </is>
      </c>
      <c r="B1" s="1" t="inlineStr">
        <is>
          <t>product_key</t>
        </is>
      </c>
      <c r="C1" s="1" t="inlineStr">
        <is>
          <t>url</t>
        </is>
      </c>
      <c r="D1" s="1" t="inlineStr">
        <is>
          <t>handle</t>
        </is>
      </c>
      <c r="E1" s="1" t="inlineStr">
        <is>
          <t>product_id</t>
        </is>
      </c>
      <c r="F1" s="1" t="inlineStr">
        <is>
          <t>revision</t>
        </is>
      </c>
      <c r="G1" s="1" t="inlineStr">
        <is>
          <t>verified_points</t>
        </is>
      </c>
      <c r="H1" s="1" t="inlineStr">
        <is>
          <t>assessed_weight</t>
        </is>
      </c>
      <c r="I1" s="1" t="inlineStr">
        <is>
          <t>score_lower_bound</t>
        </is>
      </c>
      <c r="J1" s="1" t="inlineStr">
        <is>
          <t>score_upper_bound</t>
        </is>
      </c>
      <c r="K1" s="1" t="inlineStr">
        <is>
          <t>final_score</t>
        </is>
      </c>
      <c r="L1" s="1" t="inlineStr">
        <is>
          <t>qa_status</t>
        </is>
      </c>
      <c r="M1" s="1" t="inlineStr">
        <is>
          <t>keyword_evidence_level</t>
        </is>
      </c>
      <c r="N1" s="1" t="inlineStr">
        <is>
          <t>images_expected</t>
        </is>
      </c>
      <c r="O1" s="1" t="inlineStr">
        <is>
          <t>images_checked</t>
        </is>
      </c>
      <c r="P1" s="1" t="inlineStr">
        <is>
          <t>image_inventory_complete</t>
        </is>
      </c>
      <c r="Q1" s="1" t="inlineStr">
        <is>
          <t>image_coverage</t>
        </is>
      </c>
      <c r="R1" s="1" t="inlineStr">
        <is>
          <t>critical_count</t>
        </is>
      </c>
      <c r="S1" s="1" t="inlineStr">
        <is>
          <t>major_count</t>
        </is>
      </c>
      <c r="T1" s="1" t="inlineStr">
        <is>
          <t>minor_count</t>
        </is>
      </c>
      <c r="U1" s="1" t="inlineStr">
        <is>
          <t>limitation_count</t>
        </is>
      </c>
      <c r="V1" s="1" t="inlineStr">
        <is>
          <t>issue_refs</t>
        </is>
      </c>
      <c r="W1" s="1" t="inlineStr">
        <is>
          <t>evidence_refs</t>
        </is>
      </c>
    </row>
    <row r="2" ht="42" customHeight="1">
      <c r="A2" s="2" t="n">
        <v>111</v>
      </c>
      <c r="B2" s="2" t="inlineStr">
        <is>
          <t>jeminise.com+custom-soccer-player-custom-name-number-comforter-set-boys-room-decor</t>
        </is>
      </c>
      <c r="C2" s="4" t="inlineStr">
        <is>
          <t>https://jeminise.com/products/custom-soccer-player-custom-name-number-comforter-set-boys-room-decor</t>
        </is>
      </c>
      <c r="D2" s="2" t="inlineStr">
        <is>
          <t>custom-soccer-player-custom-name-number-comforter-set-boys-room-decor</t>
        </is>
      </c>
      <c r="E2" s="2" t="inlineStr">
        <is>
          <t>8860497772743</t>
        </is>
      </c>
      <c r="F2" s="2" t="inlineStr">
        <is>
          <t>r1</t>
        </is>
      </c>
      <c r="G2" s="5">
        <f>SUMIF('QA_Criteria'!$A$2:$A$111,B2,'QA_Criteria'!$F$2:$F$111)</f>
        <v/>
      </c>
      <c r="H2" s="5">
        <f>SUMIF('QA_Criteria'!$A$2:$A$111,B2,'QA_Criteria'!$G$2:$G$111)</f>
        <v/>
      </c>
      <c r="I2" s="5">
        <f>G2</f>
        <v/>
      </c>
      <c r="J2" s="5">
        <f>G2+(100-H2)</f>
        <v/>
      </c>
      <c r="K2" s="5">
        <f>IF(AND(H2=100,Q2=1,P2=TRUE),G2,"")</f>
        <v/>
      </c>
      <c r="L2" s="2">
        <f>IF(R2&gt;0,"QA_FAIL",IF(K2="","QA_INCOMPLETE",IF(K2&lt;70,"QA_FAIL",IF(OR(K2&lt;85,S2&gt;0),"QA_REVISE","QA_PASS"))))</f>
        <v/>
      </c>
      <c r="M2" s="2" t="inlineStr">
        <is>
          <t>SERP_ONLY</t>
        </is>
      </c>
      <c r="N2" s="2" t="n">
        <v>8</v>
      </c>
      <c r="O2" s="2" t="n">
        <v>8</v>
      </c>
      <c r="P2" s="2" t="b">
        <v>1</v>
      </c>
      <c r="Q2" s="6" t="n">
        <v>1</v>
      </c>
      <c r="R2" s="2">
        <f>COUNTIFS('QA_Issues'!$B$2:$B$92,B2,'QA_Issues'!$D$2:$D$92,"CRITICAL")</f>
        <v/>
      </c>
      <c r="S2" s="2">
        <f>COUNTIFS('QA_Issues'!$B$2:$B$92,B2,'QA_Issues'!$D$2:$D$92,"MAJOR")</f>
        <v/>
      </c>
      <c r="T2" s="2">
        <f>COUNTIFS('QA_Issues'!$B$2:$B$92,B2,'QA_Issues'!$D$2:$D$92,"MINOR")</f>
        <v/>
      </c>
      <c r="U2" s="2">
        <f>COUNTIFS('QA_Issues'!$B$2:$B$92,B2,'QA_Issues'!$D$2:$D$92,"LIMITATION")</f>
        <v/>
      </c>
      <c r="V2" s="2" t="inlineStr">
        <is>
          <t>ISSUE-0001; ISSUE-0002; ISSUE-0003; ISSUE-0004; ISSUE-0005; ISSUE-0006; ISSUE-0007; ISSUE-0008; ISSUE-0009; ISSUE-0010; ISSUE-0011</t>
        </is>
      </c>
      <c r="W2" s="2" t="inlineStr">
        <is>
          <t>evidence_batch_012_111; live_source_comparison; customizer_audit; serp_evidence</t>
        </is>
      </c>
    </row>
    <row r="3" ht="42" customHeight="1">
      <c r="A3" s="3" t="n">
        <v>112</v>
      </c>
      <c r="B3" s="3" t="inlineStr">
        <is>
          <t>jeminise.com+custom-soccer-player-goal-comforter-set-machine-washable-design-8</t>
        </is>
      </c>
      <c r="C3" s="4" t="inlineStr">
        <is>
          <t>https://jeminise.com/products/custom-soccer-player-goal-comforter-set-machine-washable-design-8</t>
        </is>
      </c>
      <c r="D3" s="3" t="inlineStr">
        <is>
          <t>custom-soccer-player-goal-comforter-set-machine-washable-design-8</t>
        </is>
      </c>
      <c r="E3" s="3" t="inlineStr">
        <is>
          <t>8860498198727</t>
        </is>
      </c>
      <c r="F3" s="3" t="inlineStr">
        <is>
          <t>r1</t>
        </is>
      </c>
      <c r="G3" s="7">
        <f>SUMIF('QA_Criteria'!$A$2:$A$111,B3,'QA_Criteria'!$F$2:$F$111)</f>
        <v/>
      </c>
      <c r="H3" s="7">
        <f>SUMIF('QA_Criteria'!$A$2:$A$111,B3,'QA_Criteria'!$G$2:$G$111)</f>
        <v/>
      </c>
      <c r="I3" s="7">
        <f>G3</f>
        <v/>
      </c>
      <c r="J3" s="7">
        <f>G3+(100-H3)</f>
        <v/>
      </c>
      <c r="K3" s="7">
        <f>IF(AND(H3=100,Q3=1,P3=TRUE),G3,"")</f>
        <v/>
      </c>
      <c r="L3" s="3">
        <f>IF(R3&gt;0,"QA_FAIL",IF(K3="","QA_INCOMPLETE",IF(K3&lt;70,"QA_FAIL",IF(OR(K3&lt;85,S3&gt;0),"QA_REVISE","QA_PASS"))))</f>
        <v/>
      </c>
      <c r="M3" s="3" t="inlineStr">
        <is>
          <t>SERP_ONLY</t>
        </is>
      </c>
      <c r="N3" s="3" t="n">
        <v>8</v>
      </c>
      <c r="O3" s="3" t="n">
        <v>8</v>
      </c>
      <c r="P3" s="3" t="b">
        <v>1</v>
      </c>
      <c r="Q3" s="8" t="n">
        <v>1</v>
      </c>
      <c r="R3" s="3">
        <f>COUNTIFS('QA_Issues'!$B$2:$B$92,B3,'QA_Issues'!$D$2:$D$92,"CRITICAL")</f>
        <v/>
      </c>
      <c r="S3" s="3">
        <f>COUNTIFS('QA_Issues'!$B$2:$B$92,B3,'QA_Issues'!$D$2:$D$92,"MAJOR")</f>
        <v/>
      </c>
      <c r="T3" s="3">
        <f>COUNTIFS('QA_Issues'!$B$2:$B$92,B3,'QA_Issues'!$D$2:$D$92,"MINOR")</f>
        <v/>
      </c>
      <c r="U3" s="3">
        <f>COUNTIFS('QA_Issues'!$B$2:$B$92,B3,'QA_Issues'!$D$2:$D$92,"LIMITATION")</f>
        <v/>
      </c>
      <c r="V3" s="3" t="inlineStr">
        <is>
          <t>ISSUE-0012; ISSUE-0013; ISSUE-0014; ISSUE-0015; ISSUE-0016; ISSUE-0017; ISSUE-0018; ISSUE-0019; ISSUE-0020; ISSUE-0021</t>
        </is>
      </c>
      <c r="W3" s="3" t="inlineStr">
        <is>
          <t>evidence_batch_012_112; live_source_comparison; customizer_audit; serp_evidence</t>
        </is>
      </c>
    </row>
    <row r="4" ht="42" customHeight="1">
      <c r="A4" s="2" t="n">
        <v>113</v>
      </c>
      <c r="B4" s="2" t="inlineStr">
        <is>
          <t>jeminise.com+custom-soccer-player-paint-splatter-comforter-set-machine-washable</t>
        </is>
      </c>
      <c r="C4" s="4" t="inlineStr">
        <is>
          <t>https://jeminise.com/products/custom-soccer-player-paint-splatter-comforter-set-machine-washable</t>
        </is>
      </c>
      <c r="D4" s="2" t="inlineStr">
        <is>
          <t>custom-soccer-player-paint-splatter-comforter-set-machine-washable</t>
        </is>
      </c>
      <c r="E4" s="2" t="inlineStr">
        <is>
          <t>8860498133191</t>
        </is>
      </c>
      <c r="F4" s="2" t="inlineStr">
        <is>
          <t>r1</t>
        </is>
      </c>
      <c r="G4" s="5">
        <f>SUMIF('QA_Criteria'!$A$2:$A$111,B4,'QA_Criteria'!$F$2:$F$111)</f>
        <v/>
      </c>
      <c r="H4" s="5">
        <f>SUMIF('QA_Criteria'!$A$2:$A$111,B4,'QA_Criteria'!$G$2:$G$111)</f>
        <v/>
      </c>
      <c r="I4" s="5">
        <f>G4</f>
        <v/>
      </c>
      <c r="J4" s="5">
        <f>G4+(100-H4)</f>
        <v/>
      </c>
      <c r="K4" s="5">
        <f>IF(AND(H4=100,Q4=1,P4=TRUE),G4,"")</f>
        <v/>
      </c>
      <c r="L4" s="2">
        <f>IF(R4&gt;0,"QA_FAIL",IF(K4="","QA_INCOMPLETE",IF(K4&lt;70,"QA_FAIL",IF(OR(K4&lt;85,S4&gt;0),"QA_REVISE","QA_PASS"))))</f>
        <v/>
      </c>
      <c r="M4" s="2" t="inlineStr">
        <is>
          <t>SERP_ONLY</t>
        </is>
      </c>
      <c r="N4" s="2" t="n">
        <v>8</v>
      </c>
      <c r="O4" s="2" t="n">
        <v>8</v>
      </c>
      <c r="P4" s="2" t="b">
        <v>1</v>
      </c>
      <c r="Q4" s="6" t="n">
        <v>1</v>
      </c>
      <c r="R4" s="2">
        <f>COUNTIFS('QA_Issues'!$B$2:$B$92,B4,'QA_Issues'!$D$2:$D$92,"CRITICAL")</f>
        <v/>
      </c>
      <c r="S4" s="2">
        <f>COUNTIFS('QA_Issues'!$B$2:$B$92,B4,'QA_Issues'!$D$2:$D$92,"MAJOR")</f>
        <v/>
      </c>
      <c r="T4" s="2">
        <f>COUNTIFS('QA_Issues'!$B$2:$B$92,B4,'QA_Issues'!$D$2:$D$92,"MINOR")</f>
        <v/>
      </c>
      <c r="U4" s="2">
        <f>COUNTIFS('QA_Issues'!$B$2:$B$92,B4,'QA_Issues'!$D$2:$D$92,"LIMITATION")</f>
        <v/>
      </c>
      <c r="V4" s="2" t="inlineStr">
        <is>
          <t>ISSUE-0022; ISSUE-0023; ISSUE-0024; ISSUE-0025; ISSUE-0026; ISSUE-0027; ISSUE-0028; ISSUE-0029; ISSUE-0030; ISSUE-0031; ISSUE-0032</t>
        </is>
      </c>
      <c r="W4" s="2" t="inlineStr">
        <is>
          <t>evidence_batch_012_113; live_source_comparison; customizer_audit; serp_evidence</t>
        </is>
      </c>
    </row>
    <row r="5" ht="42" customHeight="1">
      <c r="A5" s="3" t="n">
        <v>114</v>
      </c>
      <c r="B5" s="3" t="inlineStr">
        <is>
          <t>jeminise.com+custom-softball-comforter-set-for-girls-personalized-name-number</t>
        </is>
      </c>
      <c r="C5" s="4" t="inlineStr">
        <is>
          <t>https://jeminise.com/products/custom-softball-comforter-set-for-girls-personalized-name-number</t>
        </is>
      </c>
      <c r="D5" s="3" t="inlineStr">
        <is>
          <t>custom-softball-comforter-set-for-girls-personalized-name-number</t>
        </is>
      </c>
      <c r="E5" s="3" t="inlineStr">
        <is>
          <t>8867220553927</t>
        </is>
      </c>
      <c r="F5" s="3" t="inlineStr">
        <is>
          <t>r1</t>
        </is>
      </c>
      <c r="G5" s="7">
        <f>SUMIF('QA_Criteria'!$A$2:$A$111,B5,'QA_Criteria'!$F$2:$F$111)</f>
        <v/>
      </c>
      <c r="H5" s="7">
        <f>SUMIF('QA_Criteria'!$A$2:$A$111,B5,'QA_Criteria'!$G$2:$G$111)</f>
        <v/>
      </c>
      <c r="I5" s="7">
        <f>G5</f>
        <v/>
      </c>
      <c r="J5" s="7">
        <f>G5+(100-H5)</f>
        <v/>
      </c>
      <c r="K5" s="7">
        <f>IF(AND(H5=100,Q5=1,P5=TRUE),G5,"")</f>
        <v/>
      </c>
      <c r="L5" s="3">
        <f>IF(R5&gt;0,"QA_FAIL",IF(K5="","QA_INCOMPLETE",IF(K5&lt;70,"QA_FAIL",IF(OR(K5&lt;85,S5&gt;0),"QA_REVISE","QA_PASS"))))</f>
        <v/>
      </c>
      <c r="M5" s="3" t="inlineStr">
        <is>
          <t>SERP_ONLY</t>
        </is>
      </c>
      <c r="N5" s="3" t="n">
        <v>7</v>
      </c>
      <c r="O5" s="3" t="n">
        <v>7</v>
      </c>
      <c r="P5" s="3" t="b">
        <v>1</v>
      </c>
      <c r="Q5" s="8" t="n">
        <v>1</v>
      </c>
      <c r="R5" s="3">
        <f>COUNTIFS('QA_Issues'!$B$2:$B$92,B5,'QA_Issues'!$D$2:$D$92,"CRITICAL")</f>
        <v/>
      </c>
      <c r="S5" s="3">
        <f>COUNTIFS('QA_Issues'!$B$2:$B$92,B5,'QA_Issues'!$D$2:$D$92,"MAJOR")</f>
        <v/>
      </c>
      <c r="T5" s="3">
        <f>COUNTIFS('QA_Issues'!$B$2:$B$92,B5,'QA_Issues'!$D$2:$D$92,"MINOR")</f>
        <v/>
      </c>
      <c r="U5" s="3">
        <f>COUNTIFS('QA_Issues'!$B$2:$B$92,B5,'QA_Issues'!$D$2:$D$92,"LIMITATION")</f>
        <v/>
      </c>
      <c r="V5" s="3" t="inlineStr">
        <is>
          <t>ISSUE-0033; ISSUE-0034; ISSUE-0035; ISSUE-0036; ISSUE-0037; ISSUE-0038; ISSUE-0039; ISSUE-0040</t>
        </is>
      </c>
      <c r="W5" s="3" t="inlineStr">
        <is>
          <t>evidence_batch_012_114; live_source_comparison; customizer_audit; serp_evidence</t>
        </is>
      </c>
    </row>
    <row r="6" ht="42" customHeight="1">
      <c r="A6" s="2" t="n">
        <v>115</v>
      </c>
      <c r="B6" s="2" t="inlineStr">
        <is>
          <t>jeminise.com+custom-sports-and-patriotism-football-on-american-flag-background-comforter-510823ee16-510823ee16</t>
        </is>
      </c>
      <c r="C6" s="4" t="inlineStr">
        <is>
          <t>https://jeminise.com/products/custom-sports-and-patriotism-football-on-american-flag-background-comforter-510823ee16-510823ee16</t>
        </is>
      </c>
      <c r="D6" s="2" t="inlineStr">
        <is>
          <t>custom-sports-and-patriotism-football-on-american-flag-background-comforter-510823ee16-510823ee16</t>
        </is>
      </c>
      <c r="E6" s="2" t="inlineStr">
        <is>
          <t>8834771779783</t>
        </is>
      </c>
      <c r="F6" s="2" t="inlineStr">
        <is>
          <t>r1</t>
        </is>
      </c>
      <c r="G6" s="5">
        <f>SUMIF('QA_Criteria'!$A$2:$A$111,B6,'QA_Criteria'!$F$2:$F$111)</f>
        <v/>
      </c>
      <c r="H6" s="5">
        <f>SUMIF('QA_Criteria'!$A$2:$A$111,B6,'QA_Criteria'!$G$2:$G$111)</f>
        <v/>
      </c>
      <c r="I6" s="5">
        <f>G6</f>
        <v/>
      </c>
      <c r="J6" s="5">
        <f>G6+(100-H6)</f>
        <v/>
      </c>
      <c r="K6" s="5">
        <f>IF(AND(H6=100,Q6=1,P6=TRUE),G6,"")</f>
        <v/>
      </c>
      <c r="L6" s="2">
        <f>IF(R6&gt;0,"QA_FAIL",IF(K6="","QA_INCOMPLETE",IF(K6&lt;70,"QA_FAIL",IF(OR(K6&lt;85,S6&gt;0),"QA_REVISE","QA_PASS"))))</f>
        <v/>
      </c>
      <c r="M6" s="2" t="inlineStr">
        <is>
          <t>SERP_ONLY</t>
        </is>
      </c>
      <c r="N6" s="2" t="n">
        <v>6</v>
      </c>
      <c r="O6" s="2" t="n">
        <v>6</v>
      </c>
      <c r="P6" s="2" t="b">
        <v>1</v>
      </c>
      <c r="Q6" s="6" t="n">
        <v>1</v>
      </c>
      <c r="R6" s="2">
        <f>COUNTIFS('QA_Issues'!$B$2:$B$92,B6,'QA_Issues'!$D$2:$D$92,"CRITICAL")</f>
        <v/>
      </c>
      <c r="S6" s="2">
        <f>COUNTIFS('QA_Issues'!$B$2:$B$92,B6,'QA_Issues'!$D$2:$D$92,"MAJOR")</f>
        <v/>
      </c>
      <c r="T6" s="2">
        <f>COUNTIFS('QA_Issues'!$B$2:$B$92,B6,'QA_Issues'!$D$2:$D$92,"MINOR")</f>
        <v/>
      </c>
      <c r="U6" s="2">
        <f>COUNTIFS('QA_Issues'!$B$2:$B$92,B6,'QA_Issues'!$D$2:$D$92,"LIMITATION")</f>
        <v/>
      </c>
      <c r="V6" s="2" t="inlineStr">
        <is>
          <t>ISSUE-0041; ISSUE-0042; ISSUE-0043; ISSUE-0044; ISSUE-0045; ISSUE-0046; ISSUE-0047; ISSUE-0048</t>
        </is>
      </c>
      <c r="W6" s="2" t="inlineStr">
        <is>
          <t>evidence_batch_012_115; live_source_comparison; customizer_audit; serp_evidence</t>
        </is>
      </c>
    </row>
    <row r="7" ht="42" customHeight="1">
      <c r="A7" s="3" t="n">
        <v>116</v>
      </c>
      <c r="B7" s="3" t="inlineStr">
        <is>
          <t>jeminise.com+custom-transportation-semi-truck-on-geometric-background-comforter-284b7a6d0a-284b7a6d0a</t>
        </is>
      </c>
      <c r="C7" s="4" t="inlineStr">
        <is>
          <t>https://jeminise.com/products/custom-transportation-semi-truck-on-geometric-background-comforter-284b7a6d0a-284b7a6d0a</t>
        </is>
      </c>
      <c r="D7" s="3" t="inlineStr">
        <is>
          <t>custom-transportation-semi-truck-on-geometric-background-comforter-284b7a6d0a-284b7a6d0a</t>
        </is>
      </c>
      <c r="E7" s="3" t="inlineStr">
        <is>
          <t>8835553001671</t>
        </is>
      </c>
      <c r="F7" s="3" t="inlineStr">
        <is>
          <t>r1</t>
        </is>
      </c>
      <c r="G7" s="7">
        <f>SUMIF('QA_Criteria'!$A$2:$A$111,B7,'QA_Criteria'!$F$2:$F$111)</f>
        <v/>
      </c>
      <c r="H7" s="7">
        <f>SUMIF('QA_Criteria'!$A$2:$A$111,B7,'QA_Criteria'!$G$2:$G$111)</f>
        <v/>
      </c>
      <c r="I7" s="7">
        <f>G7</f>
        <v/>
      </c>
      <c r="J7" s="7">
        <f>G7+(100-H7)</f>
        <v/>
      </c>
      <c r="K7" s="7">
        <f>IF(AND(H7=100,Q7=1,P7=TRUE),G7,"")</f>
        <v/>
      </c>
      <c r="L7" s="3">
        <f>IF(R7&gt;0,"QA_FAIL",IF(K7="","QA_INCOMPLETE",IF(K7&lt;70,"QA_FAIL",IF(OR(K7&lt;85,S7&gt;0),"QA_REVISE","QA_PASS"))))</f>
        <v/>
      </c>
      <c r="M7" s="3" t="inlineStr">
        <is>
          <t>SERP_ONLY</t>
        </is>
      </c>
      <c r="N7" s="3" t="n">
        <v>7</v>
      </c>
      <c r="O7" s="3" t="n">
        <v>7</v>
      </c>
      <c r="P7" s="3" t="b">
        <v>1</v>
      </c>
      <c r="Q7" s="8" t="n">
        <v>1</v>
      </c>
      <c r="R7" s="3">
        <f>COUNTIFS('QA_Issues'!$B$2:$B$92,B7,'QA_Issues'!$D$2:$D$92,"CRITICAL")</f>
        <v/>
      </c>
      <c r="S7" s="3">
        <f>COUNTIFS('QA_Issues'!$B$2:$B$92,B7,'QA_Issues'!$D$2:$D$92,"MAJOR")</f>
        <v/>
      </c>
      <c r="T7" s="3">
        <f>COUNTIFS('QA_Issues'!$B$2:$B$92,B7,'QA_Issues'!$D$2:$D$92,"MINOR")</f>
        <v/>
      </c>
      <c r="U7" s="3">
        <f>COUNTIFS('QA_Issues'!$B$2:$B$92,B7,'QA_Issues'!$D$2:$D$92,"LIMITATION")</f>
        <v/>
      </c>
      <c r="V7" s="3" t="inlineStr">
        <is>
          <t>ISSUE-0049; ISSUE-0050; ISSUE-0051; ISSUE-0052; ISSUE-0053; ISSUE-0054; ISSUE-0055; ISSUE-0056; ISSUE-0057</t>
        </is>
      </c>
      <c r="W7" s="3" t="inlineStr">
        <is>
          <t>evidence_batch_012_116; live_source_comparison; customizer_audit; serp_evidence</t>
        </is>
      </c>
    </row>
    <row r="8" ht="42" customHeight="1">
      <c r="A8" s="2" t="n">
        <v>117</v>
      </c>
      <c r="B8" s="2" t="inlineStr">
        <is>
          <t>jeminise.com+custom-tree-of-life-quilt-set-yggdrasil-bedding-97b4844050-97b4844050</t>
        </is>
      </c>
      <c r="C8" s="4" t="inlineStr">
        <is>
          <t>https://jeminise.com/products/custom-tree-of-life-quilt-set-yggdrasil-bedding-97b4844050-97b4844050</t>
        </is>
      </c>
      <c r="D8" s="2" t="inlineStr">
        <is>
          <t>custom-tree-of-life-quilt-set-yggdrasil-bedding-97b4844050-97b4844050</t>
        </is>
      </c>
      <c r="E8" s="2" t="inlineStr">
        <is>
          <t>8833356955847</t>
        </is>
      </c>
      <c r="F8" s="2" t="inlineStr">
        <is>
          <t>r1</t>
        </is>
      </c>
      <c r="G8" s="5">
        <f>SUMIF('QA_Criteria'!$A$2:$A$111,B8,'QA_Criteria'!$F$2:$F$111)</f>
        <v/>
      </c>
      <c r="H8" s="5">
        <f>SUMIF('QA_Criteria'!$A$2:$A$111,B8,'QA_Criteria'!$G$2:$G$111)</f>
        <v/>
      </c>
      <c r="I8" s="5">
        <f>G8</f>
        <v/>
      </c>
      <c r="J8" s="5">
        <f>G8+(100-H8)</f>
        <v/>
      </c>
      <c r="K8" s="5">
        <f>IF(AND(H8=100,Q8=1,P8=TRUE),G8,"")</f>
        <v/>
      </c>
      <c r="L8" s="2">
        <f>IF(R8&gt;0,"QA_FAIL",IF(K8="","QA_INCOMPLETE",IF(K8&lt;70,"QA_FAIL",IF(OR(K8&lt;85,S8&gt;0),"QA_REVISE","QA_PASS"))))</f>
        <v/>
      </c>
      <c r="M8" s="2" t="inlineStr">
        <is>
          <t>SERP_ONLY</t>
        </is>
      </c>
      <c r="N8" s="2" t="n">
        <v>7</v>
      </c>
      <c r="O8" s="2" t="n">
        <v>7</v>
      </c>
      <c r="P8" s="2" t="b">
        <v>1</v>
      </c>
      <c r="Q8" s="6" t="n">
        <v>1</v>
      </c>
      <c r="R8" s="2">
        <f>COUNTIFS('QA_Issues'!$B$2:$B$92,B8,'QA_Issues'!$D$2:$D$92,"CRITICAL")</f>
        <v/>
      </c>
      <c r="S8" s="2">
        <f>COUNTIFS('QA_Issues'!$B$2:$B$92,B8,'QA_Issues'!$D$2:$D$92,"MAJOR")</f>
        <v/>
      </c>
      <c r="T8" s="2">
        <f>COUNTIFS('QA_Issues'!$B$2:$B$92,B8,'QA_Issues'!$D$2:$D$92,"MINOR")</f>
        <v/>
      </c>
      <c r="U8" s="2">
        <f>COUNTIFS('QA_Issues'!$B$2:$B$92,B8,'QA_Issues'!$D$2:$D$92,"LIMITATION")</f>
        <v/>
      </c>
      <c r="V8" s="2" t="inlineStr">
        <is>
          <t>ISSUE-0058; ISSUE-0059; ISSUE-0060; ISSUE-0061; ISSUE-0062; ISSUE-0063; ISSUE-0064; ISSUE-0065</t>
        </is>
      </c>
      <c r="W8" s="2" t="inlineStr">
        <is>
          <t>evidence_batch_012_117; live_source_comparison; customizer_audit; serp_evidence</t>
        </is>
      </c>
    </row>
    <row r="9" ht="42" customHeight="1">
      <c r="A9" s="3" t="n">
        <v>118</v>
      </c>
      <c r="B9" s="3" t="inlineStr">
        <is>
          <t>jeminise.com+custom-tree-of-life-quilt-set-yggdrasil-bedding-0038a4731b-0038a4731b</t>
        </is>
      </c>
      <c r="C9" s="4" t="inlineStr">
        <is>
          <t>https://jeminise.com/products/custom-tree-of-life-quilt-set-yggdrasil-bedding-0038a4731b-0038a4731b</t>
        </is>
      </c>
      <c r="D9" s="3" t="inlineStr">
        <is>
          <t>custom-tree-of-life-quilt-set-yggdrasil-bedding-0038a4731b-0038a4731b</t>
        </is>
      </c>
      <c r="E9" s="3" t="inlineStr">
        <is>
          <t>8833357742279</t>
        </is>
      </c>
      <c r="F9" s="3" t="inlineStr">
        <is>
          <t>r1</t>
        </is>
      </c>
      <c r="G9" s="7">
        <f>SUMIF('QA_Criteria'!$A$2:$A$111,B9,'QA_Criteria'!$F$2:$F$111)</f>
        <v/>
      </c>
      <c r="H9" s="7">
        <f>SUMIF('QA_Criteria'!$A$2:$A$111,B9,'QA_Criteria'!$G$2:$G$111)</f>
        <v/>
      </c>
      <c r="I9" s="7">
        <f>G9</f>
        <v/>
      </c>
      <c r="J9" s="7">
        <f>G9+(100-H9)</f>
        <v/>
      </c>
      <c r="K9" s="7">
        <f>IF(AND(H9=100,Q9=1,P9=TRUE),G9,"")</f>
        <v/>
      </c>
      <c r="L9" s="3">
        <f>IF(R9&gt;0,"QA_FAIL",IF(K9="","QA_INCOMPLETE",IF(K9&lt;70,"QA_FAIL",IF(OR(K9&lt;85,S9&gt;0),"QA_REVISE","QA_PASS"))))</f>
        <v/>
      </c>
      <c r="M9" s="3" t="inlineStr">
        <is>
          <t>SERP_ONLY</t>
        </is>
      </c>
      <c r="N9" s="3" t="n">
        <v>7</v>
      </c>
      <c r="O9" s="3" t="n">
        <v>7</v>
      </c>
      <c r="P9" s="3" t="b">
        <v>1</v>
      </c>
      <c r="Q9" s="8" t="n">
        <v>1</v>
      </c>
      <c r="R9" s="3">
        <f>COUNTIFS('QA_Issues'!$B$2:$B$92,B9,'QA_Issues'!$D$2:$D$92,"CRITICAL")</f>
        <v/>
      </c>
      <c r="S9" s="3">
        <f>COUNTIFS('QA_Issues'!$B$2:$B$92,B9,'QA_Issues'!$D$2:$D$92,"MAJOR")</f>
        <v/>
      </c>
      <c r="T9" s="3">
        <f>COUNTIFS('QA_Issues'!$B$2:$B$92,B9,'QA_Issues'!$D$2:$D$92,"MINOR")</f>
        <v/>
      </c>
      <c r="U9" s="3">
        <f>COUNTIFS('QA_Issues'!$B$2:$B$92,B9,'QA_Issues'!$D$2:$D$92,"LIMITATION")</f>
        <v/>
      </c>
      <c r="V9" s="3" t="inlineStr">
        <is>
          <t>ISSUE-0066; ISSUE-0067; ISSUE-0068; ISSUE-0069; ISSUE-0070; ISSUE-0071; ISSUE-0072; ISSUE-0073</t>
        </is>
      </c>
      <c r="W9" s="3" t="inlineStr">
        <is>
          <t>evidence_batch_012_118; live_source_comparison; customizer_audit; serp_evidence</t>
        </is>
      </c>
    </row>
    <row r="10" ht="42" customHeight="1">
      <c r="A10" s="2" t="n">
        <v>119</v>
      </c>
      <c r="B10" s="2" t="inlineStr">
        <is>
          <t>jeminise.com+custom-trucking-semi-truck-breaking-through-stone-wall-comforter-7a6b616ec4-7a6b616ec4</t>
        </is>
      </c>
      <c r="C10" s="4" t="inlineStr">
        <is>
          <t>https://jeminise.com/products/custom-trucking-semi-truck-breaking-through-stone-wall-comforter-7a6b616ec4-7a6b616ec4</t>
        </is>
      </c>
      <c r="D10" s="2" t="inlineStr">
        <is>
          <t>custom-trucking-semi-truck-breaking-through-stone-wall-comforter-7a6b616ec4-7a6b616ec4</t>
        </is>
      </c>
      <c r="E10" s="2" t="inlineStr">
        <is>
          <t>8835559260359</t>
        </is>
      </c>
      <c r="F10" s="2" t="inlineStr">
        <is>
          <t>r1</t>
        </is>
      </c>
      <c r="G10" s="5">
        <f>SUMIF('QA_Criteria'!$A$2:$A$111,B10,'QA_Criteria'!$F$2:$F$111)</f>
        <v/>
      </c>
      <c r="H10" s="5">
        <f>SUMIF('QA_Criteria'!$A$2:$A$111,B10,'QA_Criteria'!$G$2:$G$111)</f>
        <v/>
      </c>
      <c r="I10" s="5">
        <f>G10</f>
        <v/>
      </c>
      <c r="J10" s="5">
        <f>G10+(100-H10)</f>
        <v/>
      </c>
      <c r="K10" s="5">
        <f>IF(AND(H10=100,Q10=1,P10=TRUE),G10,"")</f>
        <v/>
      </c>
      <c r="L10" s="2">
        <f>IF(R10&gt;0,"QA_FAIL",IF(K10="","QA_INCOMPLETE",IF(K10&lt;70,"QA_FAIL",IF(OR(K10&lt;85,S10&gt;0),"QA_REVISE","QA_PASS"))))</f>
        <v/>
      </c>
      <c r="M10" s="2" t="inlineStr">
        <is>
          <t>SERP_ONLY</t>
        </is>
      </c>
      <c r="N10" s="2" t="n">
        <v>7</v>
      </c>
      <c r="O10" s="2" t="n">
        <v>7</v>
      </c>
      <c r="P10" s="2" t="b">
        <v>1</v>
      </c>
      <c r="Q10" s="6" t="n">
        <v>1</v>
      </c>
      <c r="R10" s="2">
        <f>COUNTIFS('QA_Issues'!$B$2:$B$92,B10,'QA_Issues'!$D$2:$D$92,"CRITICAL")</f>
        <v/>
      </c>
      <c r="S10" s="2">
        <f>COUNTIFS('QA_Issues'!$B$2:$B$92,B10,'QA_Issues'!$D$2:$D$92,"MAJOR")</f>
        <v/>
      </c>
      <c r="T10" s="2">
        <f>COUNTIFS('QA_Issues'!$B$2:$B$92,B10,'QA_Issues'!$D$2:$D$92,"MINOR")</f>
        <v/>
      </c>
      <c r="U10" s="2">
        <f>COUNTIFS('QA_Issues'!$B$2:$B$92,B10,'QA_Issues'!$D$2:$D$92,"LIMITATION")</f>
        <v/>
      </c>
      <c r="V10" s="2" t="inlineStr">
        <is>
          <t>ISSUE-0074; ISSUE-0075; ISSUE-0076; ISSUE-0077; ISSUE-0078; ISSUE-0079; ISSUE-0080; ISSUE-0081; ISSUE-0082</t>
        </is>
      </c>
      <c r="W10" s="2" t="inlineStr">
        <is>
          <t>evidence_batch_012_119; live_source_comparison; customizer_audit; serp_evidence</t>
        </is>
      </c>
    </row>
    <row r="11" ht="42" customHeight="1">
      <c r="A11" s="3" t="n">
        <v>120</v>
      </c>
      <c r="B11" s="3" t="inlineStr">
        <is>
          <t>jeminise.com+custom-trucking-semi-truck-breaking-through-stone-wall-comforter-01281fb2d3-01281fb2d3</t>
        </is>
      </c>
      <c r="C11" s="4" t="inlineStr">
        <is>
          <t>https://jeminise.com/products/custom-trucking-semi-truck-breaking-through-stone-wall-comforter-01281fb2d3-01281fb2d3</t>
        </is>
      </c>
      <c r="D11" s="3" t="inlineStr">
        <is>
          <t>custom-trucking-semi-truck-breaking-through-stone-wall-comforter-01281fb2d3-01281fb2d3</t>
        </is>
      </c>
      <c r="E11" s="3" t="inlineStr">
        <is>
          <t>8835560276167</t>
        </is>
      </c>
      <c r="F11" s="3" t="inlineStr">
        <is>
          <t>r1</t>
        </is>
      </c>
      <c r="G11" s="7">
        <f>SUMIF('QA_Criteria'!$A$2:$A$111,B11,'QA_Criteria'!$F$2:$F$111)</f>
        <v/>
      </c>
      <c r="H11" s="7">
        <f>SUMIF('QA_Criteria'!$A$2:$A$111,B11,'QA_Criteria'!$G$2:$G$111)</f>
        <v/>
      </c>
      <c r="I11" s="7">
        <f>G11</f>
        <v/>
      </c>
      <c r="J11" s="7">
        <f>G11+(100-H11)</f>
        <v/>
      </c>
      <c r="K11" s="7">
        <f>IF(AND(H11=100,Q11=1,P11=TRUE),G11,"")</f>
        <v/>
      </c>
      <c r="L11" s="3">
        <f>IF(R11&gt;0,"QA_FAIL",IF(K11="","QA_INCOMPLETE",IF(K11&lt;70,"QA_FAIL",IF(OR(K11&lt;85,S11&gt;0),"QA_REVISE","QA_PASS"))))</f>
        <v/>
      </c>
      <c r="M11" s="3" t="inlineStr">
        <is>
          <t>SERP_ONLY</t>
        </is>
      </c>
      <c r="N11" s="3" t="n">
        <v>7</v>
      </c>
      <c r="O11" s="3" t="n">
        <v>7</v>
      </c>
      <c r="P11" s="3" t="b">
        <v>1</v>
      </c>
      <c r="Q11" s="8" t="n">
        <v>1</v>
      </c>
      <c r="R11" s="3">
        <f>COUNTIFS('QA_Issues'!$B$2:$B$92,B11,'QA_Issues'!$D$2:$D$92,"CRITICAL")</f>
        <v/>
      </c>
      <c r="S11" s="3">
        <f>COUNTIFS('QA_Issues'!$B$2:$B$92,B11,'QA_Issues'!$D$2:$D$92,"MAJOR")</f>
        <v/>
      </c>
      <c r="T11" s="3">
        <f>COUNTIFS('QA_Issues'!$B$2:$B$92,B11,'QA_Issues'!$D$2:$D$92,"MINOR")</f>
        <v/>
      </c>
      <c r="U11" s="3">
        <f>COUNTIFS('QA_Issues'!$B$2:$B$92,B11,'QA_Issues'!$D$2:$D$92,"LIMITATION")</f>
        <v/>
      </c>
      <c r="V11" s="3" t="inlineStr">
        <is>
          <t>ISSUE-0083; ISSUE-0084; ISSUE-0085; ISSUE-0086; ISSUE-0087; ISSUE-0088; ISSUE-0089; ISSUE-0090; ISSUE-0091</t>
        </is>
      </c>
      <c r="W11" s="3" t="inlineStr">
        <is>
          <t>evidence_batch_012_120; live_source_comparison; customizer_audit; serp_evidence</t>
        </is>
      </c>
    </row>
  </sheetData>
  <autoFilter ref="A1:W11"/>
  <conditionalFormatting sqref="L2:L11">
    <cfRule type="expression" priority="1" dxfId="0">
      <formula>L2="QA_PASS"</formula>
    </cfRule>
    <cfRule type="expression" priority="2" dxfId="1">
      <formula>L2="QA_REVISE"</formula>
    </cfRule>
    <cfRule type="expression" priority="3" dxfId="2">
      <formula>L2="QA_FAIL"</formula>
    </cfRule>
  </conditionalFormatting>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s>
  <printOptions horizontalCentered="0"/>
  <pageMargins left="0.25" right="0.25" top="0.5" bottom="0.5" header="0.5" footer="0.5"/>
  <pageSetup orientation="landscape" fitToHeight="0" fitToWidth="2"/>
</worksheet>
</file>

<file path=xl/worksheets/sheet3.xml><?xml version="1.0" encoding="utf-8"?>
<worksheet xmlns="http://schemas.openxmlformats.org/spreadsheetml/2006/main">
  <sheetPr>
    <outlinePr summaryBelow="1" summaryRight="1"/>
    <pageSetUpPr fitToPage="1"/>
  </sheetPr>
  <dimension ref="A1:J111"/>
  <sheetViews>
    <sheetView showGridLines="0" workbookViewId="0">
      <pane ySplit="1" topLeftCell="A2" activePane="bottomLeft" state="frozen"/>
      <selection pane="bottomLeft" activeCell="A1" sqref="A1"/>
    </sheetView>
  </sheetViews>
  <sheetFormatPr baseColWidth="8" defaultRowHeight="15"/>
  <cols>
    <col width="42" customWidth="1" min="1" max="1"/>
    <col width="20" customWidth="1" min="2" max="2"/>
    <col width="11" customWidth="1" min="3" max="3"/>
    <col width="12" customWidth="1" min="4" max="4"/>
    <col width="24" customWidth="1" min="5" max="5"/>
    <col width="23" customWidth="1" min="6" max="6"/>
    <col width="24" customWidth="1" min="7" max="7"/>
    <col width="42" customWidth="1" min="8" max="8"/>
    <col width="42" customWidth="1" min="9" max="9"/>
    <col width="42" customWidth="1" min="10" max="10"/>
  </cols>
  <sheetData>
    <row r="1" ht="32" customHeight="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ht="42" customHeight="1">
      <c r="A2" s="2" t="inlineStr">
        <is>
          <t>jeminise.com+custom-soccer-player-custom-name-number-comforter-set-boys-room-decor</t>
        </is>
      </c>
      <c r="B2" s="2" t="inlineStr">
        <is>
          <t>P1</t>
        </is>
      </c>
      <c r="C2" s="2" t="n">
        <v>15</v>
      </c>
      <c r="D2" s="2" t="inlineStr">
        <is>
          <t>FULL</t>
        </is>
      </c>
      <c r="E2" s="5">
        <f>IF(B2="I1",AVERAGEIF('QA_Images'!$A$2:$A$73,A2,'QA_Images'!$T$2:$T$73)/100,IF(D2="FULL",1,IF(D2="PARTIAL",0.5,IF(D2="FAIL",0,""))))</f>
        <v/>
      </c>
      <c r="F2" s="5">
        <f>IF(E2="",0,C2*E2)</f>
        <v/>
      </c>
      <c r="G2" s="5">
        <f>IF(B2="I1",20*AVERAGEIF('QA_Images'!$A$2:$A$73,A2,'QA_Images'!$U$2:$U$73)/100,IF(D2="NOT_CHECKED",0,C2))</f>
        <v/>
      </c>
      <c r="H2" s="2" t="inlineStr">
        <is>
          <t>Product identity, handle, product ID, URL and canonical match source/live evidence. Product key/handle/product ID/canonical checked against frozen workbook and live product evidence.</t>
        </is>
      </c>
      <c r="I2" s="2" t="inlineStr">
        <is>
          <t>evidence_batch_012_111</t>
        </is>
      </c>
      <c r="J2" s="2" t="inlineStr">
        <is>
          <t>ISSUE-0001; ISSUE-0002; ISSUE-0003; ISSUE-0004; ISSUE-0005</t>
        </is>
      </c>
    </row>
    <row r="3" ht="42" customHeight="1">
      <c r="A3" s="3" t="inlineStr">
        <is>
          <t>jeminise.com+custom-soccer-player-custom-name-number-comforter-set-boys-room-decor</t>
        </is>
      </c>
      <c r="B3" s="3" t="inlineStr">
        <is>
          <t>P2</t>
        </is>
      </c>
      <c r="C3" s="3" t="n">
        <v>10</v>
      </c>
      <c r="D3" s="3" t="inlineStr">
        <is>
          <t>FAIL</t>
        </is>
      </c>
      <c r="E3" s="7">
        <f>IF(B3="I1",AVERAGEIF('QA_Images'!$A$2:$A$73,A3,'QA_Images'!$T$2:$T$73)/100,IF(D3="FULL",1,IF(D3="PARTIAL",0.5,IF(D3="FAIL",0,""))))</f>
        <v/>
      </c>
      <c r="F3" s="7">
        <f>IF(E3="",0,C3*E3)</f>
        <v/>
      </c>
      <c r="G3" s="7">
        <f>IF(B3="I1",20*AVERAGEIF('QA_Images'!$A$2:$A$73,A3,'QA_Images'!$U$2:$U$73)/100,IF(D3="NOT_CHECKED",0,C3))</f>
        <v/>
      </c>
      <c r="H3" s="3" t="inlineStr">
        <is>
          <t>Source product facts, variants, specifications and personalization claims are evidence-backed. Personalization/specification claims checked against storefront product.js and static customizer config.</t>
        </is>
      </c>
      <c r="I3" s="3" t="inlineStr">
        <is>
          <t>evidence_batch_012_111</t>
        </is>
      </c>
      <c r="J3" s="3" t="inlineStr">
        <is>
          <t>ISSUE-0001; ISSUE-0002; ISSUE-0003; ISSUE-0004; ISSUE-0005</t>
        </is>
      </c>
    </row>
    <row r="4" ht="42" customHeight="1">
      <c r="A4" s="2" t="inlineStr">
        <is>
          <t>jeminise.com+custom-soccer-player-custom-name-number-comforter-set-boys-room-decor</t>
        </is>
      </c>
      <c r="B4" s="2" t="inlineStr">
        <is>
          <t>K1</t>
        </is>
      </c>
      <c r="C4" s="2" t="n">
        <v>10</v>
      </c>
      <c r="D4" s="2" t="inlineStr">
        <is>
          <t>PARTIAL</t>
        </is>
      </c>
      <c r="E4" s="5">
        <f>IF(B4="I1",AVERAGEIF('QA_Images'!$A$2:$A$73,A4,'QA_Images'!$T$2:$T$73)/100,IF(D4="FULL",1,IF(D4="PARTIAL",0.5,IF(D4="FAIL",0,""))))</f>
        <v/>
      </c>
      <c r="F4" s="5">
        <f>IF(E4="",0,C4*E4)</f>
        <v/>
      </c>
      <c r="G4" s="5">
        <f>IF(B4="I1",20*AVERAGEIF('QA_Images'!$A$2:$A$73,A4,'QA_Images'!$U$2:$U$73)/100,IF(D4="NOT_CHECKED",0,C4))</f>
        <v/>
      </c>
      <c r="H4" s="2" t="inlineStr">
        <is>
          <t>Primary keyword aligns with product-level US purchase intent. Primary keyword rechecked against US product-level SERP comparables.</t>
        </is>
      </c>
      <c r="I4" s="2" t="inlineStr">
        <is>
          <t>evidence_batch_012_111</t>
        </is>
      </c>
      <c r="J4" s="2" t="inlineStr">
        <is>
          <t>ISSUE-0001; ISSUE-0002; ISSUE-0003; ISSUE-0004; ISSUE-0005</t>
        </is>
      </c>
    </row>
    <row r="5" ht="42" customHeight="1">
      <c r="A5" s="3" t="inlineStr">
        <is>
          <t>jeminise.com+custom-soccer-player-custom-name-number-comforter-set-boys-room-decor</t>
        </is>
      </c>
      <c r="B5" s="3" t="inlineStr">
        <is>
          <t>K2</t>
        </is>
      </c>
      <c r="C5" s="3" t="n">
        <v>5</v>
      </c>
      <c r="D5" s="3" t="inlineStr">
        <is>
          <t>PARTIAL</t>
        </is>
      </c>
      <c r="E5" s="7">
        <f>IF(B5="I1",AVERAGEIF('QA_Images'!$A$2:$A$73,A5,'QA_Images'!$T$2:$T$73)/100,IF(D5="FULL",1,IF(D5="PARTIAL",0.5,IF(D5="FAIL",0,""))))</f>
        <v/>
      </c>
      <c r="F5" s="7">
        <f>IF(E5="",0,C5*E5)</f>
        <v/>
      </c>
      <c r="G5" s="7">
        <f>IF(B5="I1",20*AVERAGEIF('QA_Images'!$A$2:$A$73,A5,'QA_Images'!$U$2:$U$73)/100,IF(D5="NOT_CHECKED",0,C5))</f>
        <v/>
      </c>
      <c r="H5" s="3" t="inlineStr">
        <is>
          <t>Intent/cannibalization check distinguishes nearby products. Nearby product cluster has overlap risk, so intent distinction remains only partial.</t>
        </is>
      </c>
      <c r="I5" s="3" t="inlineStr">
        <is>
          <t>evidence_batch_012_111</t>
        </is>
      </c>
      <c r="J5" s="3" t="inlineStr">
        <is>
          <t>ISSUE-0001; ISSUE-0002; ISSUE-0003; ISSUE-0004; ISSUE-0005</t>
        </is>
      </c>
    </row>
    <row r="6" ht="42" customHeight="1">
      <c r="A6" s="2" t="inlineStr">
        <is>
          <t>jeminise.com+custom-soccer-player-custom-name-number-comforter-set-boys-room-decor</t>
        </is>
      </c>
      <c r="B6" s="2" t="inlineStr">
        <is>
          <t>K3</t>
        </is>
      </c>
      <c r="C6" s="2" t="n">
        <v>5</v>
      </c>
      <c r="D6" s="2" t="inlineStr">
        <is>
          <t>PARTIAL</t>
        </is>
      </c>
      <c r="E6" s="5">
        <f>IF(B6="I1",AVERAGEIF('QA_Images'!$A$2:$A$73,A6,'QA_Images'!$T$2:$T$73)/100,IF(D6="FULL",1,IF(D6="PARTIAL",0.5,IF(D6="FAIL",0,""))))</f>
        <v/>
      </c>
      <c r="F6" s="5">
        <f>IF(E6="",0,C6*E6)</f>
        <v/>
      </c>
      <c r="G6" s="5">
        <f>IF(B6="I1",20*AVERAGEIF('QA_Images'!$A$2:$A$73,A6,'QA_Images'!$U$2:$U$73)/100,IF(D6="NOT_CHECKED",0,C6))</f>
        <v/>
      </c>
      <c r="H6" s="2" t="inlineStr">
        <is>
          <t>Keyword evidence is supported by SERP comparables without unsupported volume claims. Evidence is public SERP only; no Search Console, keyword volume or customer-search corpus provided.</t>
        </is>
      </c>
      <c r="I6" s="2" t="inlineStr">
        <is>
          <t>evidence_batch_012_111</t>
        </is>
      </c>
      <c r="J6" s="2" t="inlineStr">
        <is>
          <t>ISSUE-0001; ISSUE-0002; ISSUE-0003; ISSUE-0004; ISSUE-0005</t>
        </is>
      </c>
    </row>
    <row r="7" ht="42" customHeight="1">
      <c r="A7" s="3" t="inlineStr">
        <is>
          <t>jeminise.com+custom-soccer-player-custom-name-number-comforter-set-boys-room-decor</t>
        </is>
      </c>
      <c r="B7" s="3" t="inlineStr">
        <is>
          <t>T1</t>
        </is>
      </c>
      <c r="C7" s="3" t="n">
        <v>10</v>
      </c>
      <c r="D7" s="3" t="inlineStr">
        <is>
          <t>FULL</t>
        </is>
      </c>
      <c r="E7" s="7">
        <f>IF(B7="I1",AVERAGEIF('QA_Images'!$A$2:$A$73,A7,'QA_Images'!$T$2:$T$73)/100,IF(D7="FULL",1,IF(D7="PARTIAL",0.5,IF(D7="FAIL",0,""))))</f>
        <v/>
      </c>
      <c r="F7" s="7">
        <f>IF(E7="",0,C7*E7)</f>
        <v/>
      </c>
      <c r="G7" s="7">
        <f>IF(B7="I1",20*AVERAGEIF('QA_Images'!$A$2:$A$73,A7,'QA_Images'!$U$2:$U$73)/100,IF(D7="NOT_CHECKED",0,C7))</f>
        <v/>
      </c>
      <c r="H7" s="3" t="inlineStr">
        <is>
          <t>SEO title and H1 are relevant, specific and grounded in visible/source facts. Title/H1 are product-specific and tied to visible motif/product type.</t>
        </is>
      </c>
      <c r="I7" s="3" t="inlineStr">
        <is>
          <t>evidence_batch_012_111</t>
        </is>
      </c>
      <c r="J7" s="3" t="inlineStr">
        <is>
          <t>ISSUE-0001; ISSUE-0002; ISSUE-0003; ISSUE-0004; ISSUE-0005</t>
        </is>
      </c>
    </row>
    <row r="8" ht="42" customHeight="1">
      <c r="A8" s="2" t="inlineStr">
        <is>
          <t>jeminise.com+custom-soccer-player-custom-name-number-comforter-set-boys-room-decor</t>
        </is>
      </c>
      <c r="B8" s="2" t="inlineStr">
        <is>
          <t>T2</t>
        </is>
      </c>
      <c r="C8" s="2" t="n">
        <v>5</v>
      </c>
      <c r="D8" s="2" t="inlineStr">
        <is>
          <t>PARTIAL</t>
        </is>
      </c>
      <c r="E8" s="5">
        <f>IF(B8="I1",AVERAGEIF('QA_Images'!$A$2:$A$73,A8,'QA_Images'!$T$2:$T$73)/100,IF(D8="FULL",1,IF(D8="PARTIAL",0.5,IF(D8="FAIL",0,""))))</f>
        <v/>
      </c>
      <c r="F8" s="5">
        <f>IF(E8="",0,C8*E8)</f>
        <v/>
      </c>
      <c r="G8" s="5">
        <f>IF(B8="I1",20*AVERAGEIF('QA_Images'!$A$2:$A$73,A8,'QA_Images'!$U$2:$U$73)/100,IF(D8="NOT_CHECKED",0,C8))</f>
        <v/>
      </c>
      <c r="H8" s="2" t="inlineStr">
        <is>
          <t>Meta description is concise, publish-ready and avoids unsupported claims. Meta description checked for length, specificity and supportable claims.</t>
        </is>
      </c>
      <c r="I8" s="2" t="inlineStr">
        <is>
          <t>evidence_batch_012_111</t>
        </is>
      </c>
      <c r="J8" s="2" t="inlineStr">
        <is>
          <t>ISSUE-0001; ISSUE-0002; ISSUE-0003; ISSUE-0004; ISSUE-0005</t>
        </is>
      </c>
    </row>
    <row r="9" ht="42" customHeight="1">
      <c r="A9" s="3" t="inlineStr">
        <is>
          <t>jeminise.com+custom-soccer-player-custom-name-number-comforter-set-boys-room-decor</t>
        </is>
      </c>
      <c r="B9" s="3" t="inlineStr">
        <is>
          <t>D1</t>
        </is>
      </c>
      <c r="C9" s="3" t="n">
        <v>10</v>
      </c>
      <c r="D9" s="3" t="inlineStr">
        <is>
          <t>FAIL</t>
        </is>
      </c>
      <c r="E9" s="7">
        <f>IF(B9="I1",AVERAGEIF('QA_Images'!$A$2:$A$73,A9,'QA_Images'!$T$2:$T$73)/100,IF(D9="FULL",1,IF(D9="PARTIAL",0.5,IF(D9="FAIL",0,""))))</f>
        <v/>
      </c>
      <c r="F9" s="7">
        <f>IF(E9="",0,C9*E9)</f>
        <v/>
      </c>
      <c r="G9" s="7">
        <f>IF(B9="I1",20*AVERAGEIF('QA_Images'!$A$2:$A$73,A9,'QA_Images'!$U$2:$U$73)/100,IF(D9="NOT_CHECKED",0,C9))</f>
        <v/>
      </c>
      <c r="H9" s="3" t="inlineStr">
        <is>
          <t>Description HTML is publish-ready and free of internal draft/QA instructions. Description HTML still contains internal QA/import language.</t>
        </is>
      </c>
      <c r="I9" s="3" t="inlineStr">
        <is>
          <t>evidence_batch_012_111</t>
        </is>
      </c>
      <c r="J9" s="3" t="inlineStr">
        <is>
          <t>ISSUE-0001; ISSUE-0002; ISSUE-0003; ISSUE-0004; ISSUE-0005</t>
        </is>
      </c>
    </row>
    <row r="10" ht="42" customHeight="1">
      <c r="A10" s="2" t="inlineStr">
        <is>
          <t>jeminise.com+custom-soccer-player-custom-name-number-comforter-set-boys-room-decor</t>
        </is>
      </c>
      <c r="B10" s="2" t="inlineStr">
        <is>
          <t>D2</t>
        </is>
      </c>
      <c r="C10" s="2" t="n">
        <v>5</v>
      </c>
      <c r="D10" s="2" t="inlineStr">
        <is>
          <t>PARTIAL</t>
        </is>
      </c>
      <c r="E10" s="5">
        <f>IF(B10="I1",AVERAGEIF('QA_Images'!$A$2:$A$73,A10,'QA_Images'!$T$2:$T$73)/100,IF(D10="FULL",1,IF(D10="PARTIAL",0.5,IF(D10="FAIL",0,""))))</f>
        <v/>
      </c>
      <c r="F10" s="5">
        <f>IF(E10="",0,C10*E10)</f>
        <v/>
      </c>
      <c r="G10" s="5">
        <f>IF(B10="I1",20*AVERAGEIF('QA_Images'!$A$2:$A$73,A10,'QA_Images'!$U$2:$U$73)/100,IF(D10="NOT_CHECKED",0,C10))</f>
        <v/>
      </c>
      <c r="H10" s="2" t="inlineStr">
        <is>
          <t>Description content covers verified design, product type, use case and constraints. Description covers motif/product type but remains templated and does not always map every verified constraint.</t>
        </is>
      </c>
      <c r="I10" s="2" t="inlineStr">
        <is>
          <t>evidence_batch_012_111</t>
        </is>
      </c>
      <c r="J10" s="2" t="inlineStr">
        <is>
          <t>ISSUE-0001; ISSUE-0002; ISSUE-0003; ISSUE-0004; ISSUE-0005</t>
        </is>
      </c>
    </row>
    <row r="11" ht="42" customHeight="1">
      <c r="A11" s="3" t="inlineStr">
        <is>
          <t>jeminise.com+custom-soccer-player-custom-name-number-comforter-set-boys-room-decor</t>
        </is>
      </c>
      <c r="B11" s="3" t="inlineStr">
        <is>
          <t>I1</t>
        </is>
      </c>
      <c r="C11" s="3" t="n">
        <v>20</v>
      </c>
      <c r="D11" s="3" t="inlineStr">
        <is>
          <t>FULL</t>
        </is>
      </c>
      <c r="E11" s="7">
        <f>IF(B11="I1",AVERAGEIF('QA_Images'!$A$2:$A$73,A11,'QA_Images'!$T$2:$T$73)/100,IF(D11="FULL",1,IF(D11="PARTIAL",0.5,IF(D11="FAIL",0,""))))</f>
        <v/>
      </c>
      <c r="F11" s="7">
        <f>IF(E11="",0,C11*E11)</f>
        <v/>
      </c>
      <c r="G11" s="7">
        <f>IF(B11="I1",20*AVERAGEIF('QA_Images'!$A$2:$A$73,A11,'QA_Images'!$U$2:$U$73)/100,IF(D11="NOT_CHECKED",0,C11))</f>
        <v/>
      </c>
      <c r="H11" s="3" t="inlineStr">
        <is>
          <t>Image coverage, image observations and alt text quality, derived from QA_Images. Derived from average image QA score; see QA_Images.</t>
        </is>
      </c>
      <c r="I11" s="3" t="inlineStr">
        <is>
          <t>evidence_batch_012_111</t>
        </is>
      </c>
      <c r="J11" s="3" t="inlineStr">
        <is>
          <t>ISSUE-0001; ISSUE-0002; ISSUE-0003; ISSUE-0004; ISSUE-0005</t>
        </is>
      </c>
    </row>
    <row r="12" ht="42" customHeight="1">
      <c r="A12" s="2" t="inlineStr">
        <is>
          <t>jeminise.com+custom-soccer-player-custom-name-number-comforter-set-boys-room-decor</t>
        </is>
      </c>
      <c r="B12" s="2" t="inlineStr">
        <is>
          <t>E1</t>
        </is>
      </c>
      <c r="C12" s="2" t="n">
        <v>5</v>
      </c>
      <c r="D12" s="2" t="inlineStr">
        <is>
          <t>PARTIAL</t>
        </is>
      </c>
      <c r="E12" s="5">
        <f>IF(B12="I1",AVERAGEIF('QA_Images'!$A$2:$A$73,A12,'QA_Images'!$T$2:$T$73)/100,IF(D12="FULL",1,IF(D12="PARTIAL",0.5,IF(D12="FAIL",0,""))))</f>
        <v/>
      </c>
      <c r="F12" s="5">
        <f>IF(E12="",0,C12*E12)</f>
        <v/>
      </c>
      <c r="G12" s="5">
        <f>IF(B12="I1",20*AVERAGEIF('QA_Images'!$A$2:$A$73,A12,'QA_Images'!$U$2:$U$73)/100,IF(D12="NOT_CHECKED",0,C12))</f>
        <v/>
      </c>
      <c r="H12" s="2" t="inlineStr">
        <is>
          <t>Evidence chain is traceable and limitations are explicitly separated from failures. Evidence chain is traceable, with admin-export limitation explicitly separated.</t>
        </is>
      </c>
      <c r="I12" s="2" t="inlineStr">
        <is>
          <t>evidence_batch_012_111</t>
        </is>
      </c>
      <c r="J12" s="2" t="inlineStr">
        <is>
          <t>ISSUE-0001; ISSUE-0002; ISSUE-0003; ISSUE-0004; ISSUE-0005</t>
        </is>
      </c>
    </row>
    <row r="13" ht="42" customHeight="1">
      <c r="A13" s="3" t="inlineStr">
        <is>
          <t>jeminise.com+custom-soccer-player-goal-comforter-set-machine-washable-design-8</t>
        </is>
      </c>
      <c r="B13" s="3" t="inlineStr">
        <is>
          <t>P1</t>
        </is>
      </c>
      <c r="C13" s="3" t="n">
        <v>15</v>
      </c>
      <c r="D13" s="3" t="inlineStr">
        <is>
          <t>FULL</t>
        </is>
      </c>
      <c r="E13" s="7">
        <f>IF(B13="I1",AVERAGEIF('QA_Images'!$A$2:$A$73,A13,'QA_Images'!$T$2:$T$73)/100,IF(D13="FULL",1,IF(D13="PARTIAL",0.5,IF(D13="FAIL",0,""))))</f>
        <v/>
      </c>
      <c r="F13" s="7">
        <f>IF(E13="",0,C13*E13)</f>
        <v/>
      </c>
      <c r="G13" s="7">
        <f>IF(B13="I1",20*AVERAGEIF('QA_Images'!$A$2:$A$73,A13,'QA_Images'!$U$2:$U$73)/100,IF(D13="NOT_CHECKED",0,C13))</f>
        <v/>
      </c>
      <c r="H13" s="3" t="inlineStr">
        <is>
          <t>Product identity, handle, product ID, URL and canonical match source/live evidence. Product key/handle/product ID/canonical checked against frozen workbook and live product evidence.</t>
        </is>
      </c>
      <c r="I13" s="3" t="inlineStr">
        <is>
          <t>evidence_batch_012_112</t>
        </is>
      </c>
      <c r="J13" s="3" t="inlineStr">
        <is>
          <t>ISSUE-0012; ISSUE-0013; ISSUE-0014; ISSUE-0015</t>
        </is>
      </c>
    </row>
    <row r="14" ht="42" customHeight="1">
      <c r="A14" s="2" t="inlineStr">
        <is>
          <t>jeminise.com+custom-soccer-player-goal-comforter-set-machine-washable-design-8</t>
        </is>
      </c>
      <c r="B14" s="2" t="inlineStr">
        <is>
          <t>P2</t>
        </is>
      </c>
      <c r="C14" s="2" t="n">
        <v>10</v>
      </c>
      <c r="D14" s="2" t="inlineStr">
        <is>
          <t>FAIL</t>
        </is>
      </c>
      <c r="E14" s="5">
        <f>IF(B14="I1",AVERAGEIF('QA_Images'!$A$2:$A$73,A14,'QA_Images'!$T$2:$T$73)/100,IF(D14="FULL",1,IF(D14="PARTIAL",0.5,IF(D14="FAIL",0,""))))</f>
        <v/>
      </c>
      <c r="F14" s="5">
        <f>IF(E14="",0,C14*E14)</f>
        <v/>
      </c>
      <c r="G14" s="5">
        <f>IF(B14="I1",20*AVERAGEIF('QA_Images'!$A$2:$A$73,A14,'QA_Images'!$U$2:$U$73)/100,IF(D14="NOT_CHECKED",0,C14))</f>
        <v/>
      </c>
      <c r="H14" s="2" t="inlineStr">
        <is>
          <t>Source product facts, variants, specifications and personalization claims are evidence-backed. Personalization/specification claims checked against storefront product.js and static customizer config.</t>
        </is>
      </c>
      <c r="I14" s="2" t="inlineStr">
        <is>
          <t>evidence_batch_012_112</t>
        </is>
      </c>
      <c r="J14" s="2" t="inlineStr">
        <is>
          <t>ISSUE-0012; ISSUE-0013; ISSUE-0014; ISSUE-0015</t>
        </is>
      </c>
    </row>
    <row r="15" ht="42" customHeight="1">
      <c r="A15" s="3" t="inlineStr">
        <is>
          <t>jeminise.com+custom-soccer-player-goal-comforter-set-machine-washable-design-8</t>
        </is>
      </c>
      <c r="B15" s="3" t="inlineStr">
        <is>
          <t>K1</t>
        </is>
      </c>
      <c r="C15" s="3" t="n">
        <v>10</v>
      </c>
      <c r="D15" s="3" t="inlineStr">
        <is>
          <t>PARTIAL</t>
        </is>
      </c>
      <c r="E15" s="7">
        <f>IF(B15="I1",AVERAGEIF('QA_Images'!$A$2:$A$73,A15,'QA_Images'!$T$2:$T$73)/100,IF(D15="FULL",1,IF(D15="PARTIAL",0.5,IF(D15="FAIL",0,""))))</f>
        <v/>
      </c>
      <c r="F15" s="7">
        <f>IF(E15="",0,C15*E15)</f>
        <v/>
      </c>
      <c r="G15" s="7">
        <f>IF(B15="I1",20*AVERAGEIF('QA_Images'!$A$2:$A$73,A15,'QA_Images'!$U$2:$U$73)/100,IF(D15="NOT_CHECKED",0,C15))</f>
        <v/>
      </c>
      <c r="H15" s="3" t="inlineStr">
        <is>
          <t>Primary keyword aligns with product-level US purchase intent. Primary keyword rechecked against US product-level SERP comparables.</t>
        </is>
      </c>
      <c r="I15" s="3" t="inlineStr">
        <is>
          <t>evidence_batch_012_112</t>
        </is>
      </c>
      <c r="J15" s="3" t="inlineStr">
        <is>
          <t>ISSUE-0012; ISSUE-0013; ISSUE-0014; ISSUE-0015</t>
        </is>
      </c>
    </row>
    <row r="16" ht="42" customHeight="1">
      <c r="A16" s="2" t="inlineStr">
        <is>
          <t>jeminise.com+custom-soccer-player-goal-comforter-set-machine-washable-design-8</t>
        </is>
      </c>
      <c r="B16" s="2" t="inlineStr">
        <is>
          <t>K2</t>
        </is>
      </c>
      <c r="C16" s="2" t="n">
        <v>5</v>
      </c>
      <c r="D16" s="2" t="inlineStr">
        <is>
          <t>PARTIAL</t>
        </is>
      </c>
      <c r="E16" s="5">
        <f>IF(B16="I1",AVERAGEIF('QA_Images'!$A$2:$A$73,A16,'QA_Images'!$T$2:$T$73)/100,IF(D16="FULL",1,IF(D16="PARTIAL",0.5,IF(D16="FAIL",0,""))))</f>
        <v/>
      </c>
      <c r="F16" s="5">
        <f>IF(E16="",0,C16*E16)</f>
        <v/>
      </c>
      <c r="G16" s="5">
        <f>IF(B16="I1",20*AVERAGEIF('QA_Images'!$A$2:$A$73,A16,'QA_Images'!$U$2:$U$73)/100,IF(D16="NOT_CHECKED",0,C16))</f>
        <v/>
      </c>
      <c r="H16" s="2" t="inlineStr">
        <is>
          <t>Intent/cannibalization check distinguishes nearby products. Nearby product cluster has overlap risk, so intent distinction remains only partial.</t>
        </is>
      </c>
      <c r="I16" s="2" t="inlineStr">
        <is>
          <t>evidence_batch_012_112</t>
        </is>
      </c>
      <c r="J16" s="2" t="inlineStr">
        <is>
          <t>ISSUE-0012; ISSUE-0013; ISSUE-0014; ISSUE-0015</t>
        </is>
      </c>
    </row>
    <row r="17" ht="42" customHeight="1">
      <c r="A17" s="3" t="inlineStr">
        <is>
          <t>jeminise.com+custom-soccer-player-goal-comforter-set-machine-washable-design-8</t>
        </is>
      </c>
      <c r="B17" s="3" t="inlineStr">
        <is>
          <t>K3</t>
        </is>
      </c>
      <c r="C17" s="3" t="n">
        <v>5</v>
      </c>
      <c r="D17" s="3" t="inlineStr">
        <is>
          <t>PARTIAL</t>
        </is>
      </c>
      <c r="E17" s="7">
        <f>IF(B17="I1",AVERAGEIF('QA_Images'!$A$2:$A$73,A17,'QA_Images'!$T$2:$T$73)/100,IF(D17="FULL",1,IF(D17="PARTIAL",0.5,IF(D17="FAIL",0,""))))</f>
        <v/>
      </c>
      <c r="F17" s="7">
        <f>IF(E17="",0,C17*E17)</f>
        <v/>
      </c>
      <c r="G17" s="7">
        <f>IF(B17="I1",20*AVERAGEIF('QA_Images'!$A$2:$A$73,A17,'QA_Images'!$U$2:$U$73)/100,IF(D17="NOT_CHECKED",0,C17))</f>
        <v/>
      </c>
      <c r="H17" s="3" t="inlineStr">
        <is>
          <t>Keyword evidence is supported by SERP comparables without unsupported volume claims. Evidence is public SERP only; no Search Console, keyword volume or customer-search corpus provided.</t>
        </is>
      </c>
      <c r="I17" s="3" t="inlineStr">
        <is>
          <t>evidence_batch_012_112</t>
        </is>
      </c>
      <c r="J17" s="3" t="inlineStr">
        <is>
          <t>ISSUE-0012; ISSUE-0013; ISSUE-0014; ISSUE-0015</t>
        </is>
      </c>
    </row>
    <row r="18" ht="42" customHeight="1">
      <c r="A18" s="2" t="inlineStr">
        <is>
          <t>jeminise.com+custom-soccer-player-goal-comforter-set-machine-washable-design-8</t>
        </is>
      </c>
      <c r="B18" s="2" t="inlineStr">
        <is>
          <t>T1</t>
        </is>
      </c>
      <c r="C18" s="2" t="n">
        <v>10</v>
      </c>
      <c r="D18" s="2" t="inlineStr">
        <is>
          <t>FULL</t>
        </is>
      </c>
      <c r="E18" s="5">
        <f>IF(B18="I1",AVERAGEIF('QA_Images'!$A$2:$A$73,A18,'QA_Images'!$T$2:$T$73)/100,IF(D18="FULL",1,IF(D18="PARTIAL",0.5,IF(D18="FAIL",0,""))))</f>
        <v/>
      </c>
      <c r="F18" s="5">
        <f>IF(E18="",0,C18*E18)</f>
        <v/>
      </c>
      <c r="G18" s="5">
        <f>IF(B18="I1",20*AVERAGEIF('QA_Images'!$A$2:$A$73,A18,'QA_Images'!$U$2:$U$73)/100,IF(D18="NOT_CHECKED",0,C18))</f>
        <v/>
      </c>
      <c r="H18" s="2" t="inlineStr">
        <is>
          <t>SEO title and H1 are relevant, specific and grounded in visible/source facts. Title/H1 are product-specific and tied to visible motif/product type.</t>
        </is>
      </c>
      <c r="I18" s="2" t="inlineStr">
        <is>
          <t>evidence_batch_012_112</t>
        </is>
      </c>
      <c r="J18" s="2" t="inlineStr">
        <is>
          <t>ISSUE-0012; ISSUE-0013; ISSUE-0014; ISSUE-0015</t>
        </is>
      </c>
    </row>
    <row r="19" ht="42" customHeight="1">
      <c r="A19" s="3" t="inlineStr">
        <is>
          <t>jeminise.com+custom-soccer-player-goal-comforter-set-machine-washable-design-8</t>
        </is>
      </c>
      <c r="B19" s="3" t="inlineStr">
        <is>
          <t>T2</t>
        </is>
      </c>
      <c r="C19" s="3" t="n">
        <v>5</v>
      </c>
      <c r="D19" s="3" t="inlineStr">
        <is>
          <t>FULL</t>
        </is>
      </c>
      <c r="E19" s="7">
        <f>IF(B19="I1",AVERAGEIF('QA_Images'!$A$2:$A$73,A19,'QA_Images'!$T$2:$T$73)/100,IF(D19="FULL",1,IF(D19="PARTIAL",0.5,IF(D19="FAIL",0,""))))</f>
        <v/>
      </c>
      <c r="F19" s="7">
        <f>IF(E19="",0,C19*E19)</f>
        <v/>
      </c>
      <c r="G19" s="7">
        <f>IF(B19="I1",20*AVERAGEIF('QA_Images'!$A$2:$A$73,A19,'QA_Images'!$U$2:$U$73)/100,IF(D19="NOT_CHECKED",0,C19))</f>
        <v/>
      </c>
      <c r="H19" s="3" t="inlineStr">
        <is>
          <t>Meta description is concise, publish-ready and avoids unsupported claims. Meta description checked for length, specificity and supportable claims.</t>
        </is>
      </c>
      <c r="I19" s="3" t="inlineStr">
        <is>
          <t>evidence_batch_012_112</t>
        </is>
      </c>
      <c r="J19" s="3" t="inlineStr">
        <is>
          <t>ISSUE-0012; ISSUE-0013; ISSUE-0014; ISSUE-0015</t>
        </is>
      </c>
    </row>
    <row r="20" ht="42" customHeight="1">
      <c r="A20" s="2" t="inlineStr">
        <is>
          <t>jeminise.com+custom-soccer-player-goal-comforter-set-machine-washable-design-8</t>
        </is>
      </c>
      <c r="B20" s="2" t="inlineStr">
        <is>
          <t>D1</t>
        </is>
      </c>
      <c r="C20" s="2" t="n">
        <v>10</v>
      </c>
      <c r="D20" s="2" t="inlineStr">
        <is>
          <t>FAIL</t>
        </is>
      </c>
      <c r="E20" s="5">
        <f>IF(B20="I1",AVERAGEIF('QA_Images'!$A$2:$A$73,A20,'QA_Images'!$T$2:$T$73)/100,IF(D20="FULL",1,IF(D20="PARTIAL",0.5,IF(D20="FAIL",0,""))))</f>
        <v/>
      </c>
      <c r="F20" s="5">
        <f>IF(E20="",0,C20*E20)</f>
        <v/>
      </c>
      <c r="G20" s="5">
        <f>IF(B20="I1",20*AVERAGEIF('QA_Images'!$A$2:$A$73,A20,'QA_Images'!$U$2:$U$73)/100,IF(D20="NOT_CHECKED",0,C20))</f>
        <v/>
      </c>
      <c r="H20" s="2" t="inlineStr">
        <is>
          <t>Description HTML is publish-ready and free of internal draft/QA instructions. Description HTML still contains internal QA/import language.</t>
        </is>
      </c>
      <c r="I20" s="2" t="inlineStr">
        <is>
          <t>evidence_batch_012_112</t>
        </is>
      </c>
      <c r="J20" s="2" t="inlineStr">
        <is>
          <t>ISSUE-0012; ISSUE-0013; ISSUE-0014; ISSUE-0015</t>
        </is>
      </c>
    </row>
    <row r="21" ht="42" customHeight="1">
      <c r="A21" s="3" t="inlineStr">
        <is>
          <t>jeminise.com+custom-soccer-player-goal-comforter-set-machine-washable-design-8</t>
        </is>
      </c>
      <c r="B21" s="3" t="inlineStr">
        <is>
          <t>D2</t>
        </is>
      </c>
      <c r="C21" s="3" t="n">
        <v>5</v>
      </c>
      <c r="D21" s="3" t="inlineStr">
        <is>
          <t>PARTIAL</t>
        </is>
      </c>
      <c r="E21" s="7">
        <f>IF(B21="I1",AVERAGEIF('QA_Images'!$A$2:$A$73,A21,'QA_Images'!$T$2:$T$73)/100,IF(D21="FULL",1,IF(D21="PARTIAL",0.5,IF(D21="FAIL",0,""))))</f>
        <v/>
      </c>
      <c r="F21" s="7">
        <f>IF(E21="",0,C21*E21)</f>
        <v/>
      </c>
      <c r="G21" s="7">
        <f>IF(B21="I1",20*AVERAGEIF('QA_Images'!$A$2:$A$73,A21,'QA_Images'!$U$2:$U$73)/100,IF(D21="NOT_CHECKED",0,C21))</f>
        <v/>
      </c>
      <c r="H21" s="3" t="inlineStr">
        <is>
          <t>Description content covers verified design, product type, use case and constraints. Description covers motif/product type but remains templated and does not always map every verified constraint.</t>
        </is>
      </c>
      <c r="I21" s="3" t="inlineStr">
        <is>
          <t>evidence_batch_012_112</t>
        </is>
      </c>
      <c r="J21" s="3" t="inlineStr">
        <is>
          <t>ISSUE-0012; ISSUE-0013; ISSUE-0014; ISSUE-0015</t>
        </is>
      </c>
    </row>
    <row r="22" ht="42" customHeight="1">
      <c r="A22" s="2" t="inlineStr">
        <is>
          <t>jeminise.com+custom-soccer-player-goal-comforter-set-machine-washable-design-8</t>
        </is>
      </c>
      <c r="B22" s="2" t="inlineStr">
        <is>
          <t>I1</t>
        </is>
      </c>
      <c r="C22" s="2" t="n">
        <v>20</v>
      </c>
      <c r="D22" s="2" t="inlineStr">
        <is>
          <t>FULL</t>
        </is>
      </c>
      <c r="E22" s="5">
        <f>IF(B22="I1",AVERAGEIF('QA_Images'!$A$2:$A$73,A22,'QA_Images'!$T$2:$T$73)/100,IF(D22="FULL",1,IF(D22="PARTIAL",0.5,IF(D22="FAIL",0,""))))</f>
        <v/>
      </c>
      <c r="F22" s="5">
        <f>IF(E22="",0,C22*E22)</f>
        <v/>
      </c>
      <c r="G22" s="5">
        <f>IF(B22="I1",20*AVERAGEIF('QA_Images'!$A$2:$A$73,A22,'QA_Images'!$U$2:$U$73)/100,IF(D22="NOT_CHECKED",0,C22))</f>
        <v/>
      </c>
      <c r="H22" s="2" t="inlineStr">
        <is>
          <t>Image coverage, image observations and alt text quality, derived from QA_Images. Derived from average image QA score; see QA_Images.</t>
        </is>
      </c>
      <c r="I22" s="2" t="inlineStr">
        <is>
          <t>evidence_batch_012_112</t>
        </is>
      </c>
      <c r="J22" s="2" t="inlineStr">
        <is>
          <t>ISSUE-0012; ISSUE-0013; ISSUE-0014; ISSUE-0015</t>
        </is>
      </c>
    </row>
    <row r="23" ht="42" customHeight="1">
      <c r="A23" s="3" t="inlineStr">
        <is>
          <t>jeminise.com+custom-soccer-player-goal-comforter-set-machine-washable-design-8</t>
        </is>
      </c>
      <c r="B23" s="3" t="inlineStr">
        <is>
          <t>E1</t>
        </is>
      </c>
      <c r="C23" s="3" t="n">
        <v>5</v>
      </c>
      <c r="D23" s="3" t="inlineStr">
        <is>
          <t>PARTIAL</t>
        </is>
      </c>
      <c r="E23" s="7">
        <f>IF(B23="I1",AVERAGEIF('QA_Images'!$A$2:$A$73,A23,'QA_Images'!$T$2:$T$73)/100,IF(D23="FULL",1,IF(D23="PARTIAL",0.5,IF(D23="FAIL",0,""))))</f>
        <v/>
      </c>
      <c r="F23" s="7">
        <f>IF(E23="",0,C23*E23)</f>
        <v/>
      </c>
      <c r="G23" s="7">
        <f>IF(B23="I1",20*AVERAGEIF('QA_Images'!$A$2:$A$73,A23,'QA_Images'!$U$2:$U$73)/100,IF(D23="NOT_CHECKED",0,C23))</f>
        <v/>
      </c>
      <c r="H23" s="3" t="inlineStr">
        <is>
          <t>Evidence chain is traceable and limitations are explicitly separated from failures. Evidence chain is traceable, with admin-export limitation explicitly separated.</t>
        </is>
      </c>
      <c r="I23" s="3" t="inlineStr">
        <is>
          <t>evidence_batch_012_112</t>
        </is>
      </c>
      <c r="J23" s="3" t="inlineStr">
        <is>
          <t>ISSUE-0012; ISSUE-0013; ISSUE-0014; ISSUE-0015</t>
        </is>
      </c>
    </row>
    <row r="24" ht="42" customHeight="1">
      <c r="A24" s="2" t="inlineStr">
        <is>
          <t>jeminise.com+custom-soccer-player-paint-splatter-comforter-set-machine-washable</t>
        </is>
      </c>
      <c r="B24" s="2" t="inlineStr">
        <is>
          <t>P1</t>
        </is>
      </c>
      <c r="C24" s="2" t="n">
        <v>15</v>
      </c>
      <c r="D24" s="2" t="inlineStr">
        <is>
          <t>FULL</t>
        </is>
      </c>
      <c r="E24" s="5">
        <f>IF(B24="I1",AVERAGEIF('QA_Images'!$A$2:$A$73,A24,'QA_Images'!$T$2:$T$73)/100,IF(D24="FULL",1,IF(D24="PARTIAL",0.5,IF(D24="FAIL",0,""))))</f>
        <v/>
      </c>
      <c r="F24" s="5">
        <f>IF(E24="",0,C24*E24)</f>
        <v/>
      </c>
      <c r="G24" s="5">
        <f>IF(B24="I1",20*AVERAGEIF('QA_Images'!$A$2:$A$73,A24,'QA_Images'!$U$2:$U$73)/100,IF(D24="NOT_CHECKED",0,C24))</f>
        <v/>
      </c>
      <c r="H24" s="2" t="inlineStr">
        <is>
          <t>Product identity, handle, product ID, URL and canonical match source/live evidence. Product key/handle/product ID/canonical checked against frozen workbook and live product evidence.</t>
        </is>
      </c>
      <c r="I24" s="2" t="inlineStr">
        <is>
          <t>evidence_batch_012_113</t>
        </is>
      </c>
      <c r="J24" s="2" t="inlineStr">
        <is>
          <t>ISSUE-0022; ISSUE-0023; ISSUE-0024; ISSUE-0025; ISSUE-0026</t>
        </is>
      </c>
    </row>
    <row r="25" ht="42" customHeight="1">
      <c r="A25" s="3" t="inlineStr">
        <is>
          <t>jeminise.com+custom-soccer-player-paint-splatter-comforter-set-machine-washable</t>
        </is>
      </c>
      <c r="B25" s="3" t="inlineStr">
        <is>
          <t>P2</t>
        </is>
      </c>
      <c r="C25" s="3" t="n">
        <v>10</v>
      </c>
      <c r="D25" s="3" t="inlineStr">
        <is>
          <t>FAIL</t>
        </is>
      </c>
      <c r="E25" s="7">
        <f>IF(B25="I1",AVERAGEIF('QA_Images'!$A$2:$A$73,A25,'QA_Images'!$T$2:$T$73)/100,IF(D25="FULL",1,IF(D25="PARTIAL",0.5,IF(D25="FAIL",0,""))))</f>
        <v/>
      </c>
      <c r="F25" s="7">
        <f>IF(E25="",0,C25*E25)</f>
        <v/>
      </c>
      <c r="G25" s="7">
        <f>IF(B25="I1",20*AVERAGEIF('QA_Images'!$A$2:$A$73,A25,'QA_Images'!$U$2:$U$73)/100,IF(D25="NOT_CHECKED",0,C25))</f>
        <v/>
      </c>
      <c r="H25" s="3" t="inlineStr">
        <is>
          <t>Source product facts, variants, specifications and personalization claims are evidence-backed. Personalization/specification claims checked against storefront product.js and static customizer config.</t>
        </is>
      </c>
      <c r="I25" s="3" t="inlineStr">
        <is>
          <t>evidence_batch_012_113</t>
        </is>
      </c>
      <c r="J25" s="3" t="inlineStr">
        <is>
          <t>ISSUE-0022; ISSUE-0023; ISSUE-0024; ISSUE-0025; ISSUE-0026</t>
        </is>
      </c>
    </row>
    <row r="26" ht="42" customHeight="1">
      <c r="A26" s="2" t="inlineStr">
        <is>
          <t>jeminise.com+custom-soccer-player-paint-splatter-comforter-set-machine-washable</t>
        </is>
      </c>
      <c r="B26" s="2" t="inlineStr">
        <is>
          <t>K1</t>
        </is>
      </c>
      <c r="C26" s="2" t="n">
        <v>10</v>
      </c>
      <c r="D26" s="2" t="inlineStr">
        <is>
          <t>PARTIAL</t>
        </is>
      </c>
      <c r="E26" s="5">
        <f>IF(B26="I1",AVERAGEIF('QA_Images'!$A$2:$A$73,A26,'QA_Images'!$T$2:$T$73)/100,IF(D26="FULL",1,IF(D26="PARTIAL",0.5,IF(D26="FAIL",0,""))))</f>
        <v/>
      </c>
      <c r="F26" s="5">
        <f>IF(E26="",0,C26*E26)</f>
        <v/>
      </c>
      <c r="G26" s="5">
        <f>IF(B26="I1",20*AVERAGEIF('QA_Images'!$A$2:$A$73,A26,'QA_Images'!$U$2:$U$73)/100,IF(D26="NOT_CHECKED",0,C26))</f>
        <v/>
      </c>
      <c r="H26" s="2" t="inlineStr">
        <is>
          <t>Primary keyword aligns with product-level US purchase intent. Primary keyword rechecked against US product-level SERP comparables.</t>
        </is>
      </c>
      <c r="I26" s="2" t="inlineStr">
        <is>
          <t>evidence_batch_012_113</t>
        </is>
      </c>
      <c r="J26" s="2" t="inlineStr">
        <is>
          <t>ISSUE-0022; ISSUE-0023; ISSUE-0024; ISSUE-0025; ISSUE-0026</t>
        </is>
      </c>
    </row>
    <row r="27" ht="42" customHeight="1">
      <c r="A27" s="3" t="inlineStr">
        <is>
          <t>jeminise.com+custom-soccer-player-paint-splatter-comforter-set-machine-washable</t>
        </is>
      </c>
      <c r="B27" s="3" t="inlineStr">
        <is>
          <t>K2</t>
        </is>
      </c>
      <c r="C27" s="3" t="n">
        <v>5</v>
      </c>
      <c r="D27" s="3" t="inlineStr">
        <is>
          <t>PARTIAL</t>
        </is>
      </c>
      <c r="E27" s="7">
        <f>IF(B27="I1",AVERAGEIF('QA_Images'!$A$2:$A$73,A27,'QA_Images'!$T$2:$T$73)/100,IF(D27="FULL",1,IF(D27="PARTIAL",0.5,IF(D27="FAIL",0,""))))</f>
        <v/>
      </c>
      <c r="F27" s="7">
        <f>IF(E27="",0,C27*E27)</f>
        <v/>
      </c>
      <c r="G27" s="7">
        <f>IF(B27="I1",20*AVERAGEIF('QA_Images'!$A$2:$A$73,A27,'QA_Images'!$U$2:$U$73)/100,IF(D27="NOT_CHECKED",0,C27))</f>
        <v/>
      </c>
      <c r="H27" s="3" t="inlineStr">
        <is>
          <t>Intent/cannibalization check distinguishes nearby products. Nearby product cluster has overlap risk, so intent distinction remains only partial.</t>
        </is>
      </c>
      <c r="I27" s="3" t="inlineStr">
        <is>
          <t>evidence_batch_012_113</t>
        </is>
      </c>
      <c r="J27" s="3" t="inlineStr">
        <is>
          <t>ISSUE-0022; ISSUE-0023; ISSUE-0024; ISSUE-0025; ISSUE-0026</t>
        </is>
      </c>
    </row>
    <row r="28" ht="42" customHeight="1">
      <c r="A28" s="2" t="inlineStr">
        <is>
          <t>jeminise.com+custom-soccer-player-paint-splatter-comforter-set-machine-washable</t>
        </is>
      </c>
      <c r="B28" s="2" t="inlineStr">
        <is>
          <t>K3</t>
        </is>
      </c>
      <c r="C28" s="2" t="n">
        <v>5</v>
      </c>
      <c r="D28" s="2" t="inlineStr">
        <is>
          <t>PARTIAL</t>
        </is>
      </c>
      <c r="E28" s="5">
        <f>IF(B28="I1",AVERAGEIF('QA_Images'!$A$2:$A$73,A28,'QA_Images'!$T$2:$T$73)/100,IF(D28="FULL",1,IF(D28="PARTIAL",0.5,IF(D28="FAIL",0,""))))</f>
        <v/>
      </c>
      <c r="F28" s="5">
        <f>IF(E28="",0,C28*E28)</f>
        <v/>
      </c>
      <c r="G28" s="5">
        <f>IF(B28="I1",20*AVERAGEIF('QA_Images'!$A$2:$A$73,A28,'QA_Images'!$U$2:$U$73)/100,IF(D28="NOT_CHECKED",0,C28))</f>
        <v/>
      </c>
      <c r="H28" s="2" t="inlineStr">
        <is>
          <t>Keyword evidence is supported by SERP comparables without unsupported volume claims. Evidence is public SERP only; no Search Console, keyword volume or customer-search corpus provided.</t>
        </is>
      </c>
      <c r="I28" s="2" t="inlineStr">
        <is>
          <t>evidence_batch_012_113</t>
        </is>
      </c>
      <c r="J28" s="2" t="inlineStr">
        <is>
          <t>ISSUE-0022; ISSUE-0023; ISSUE-0024; ISSUE-0025; ISSUE-0026</t>
        </is>
      </c>
    </row>
    <row r="29" ht="42" customHeight="1">
      <c r="A29" s="3" t="inlineStr">
        <is>
          <t>jeminise.com+custom-soccer-player-paint-splatter-comforter-set-machine-washable</t>
        </is>
      </c>
      <c r="B29" s="3" t="inlineStr">
        <is>
          <t>T1</t>
        </is>
      </c>
      <c r="C29" s="3" t="n">
        <v>10</v>
      </c>
      <c r="D29" s="3" t="inlineStr">
        <is>
          <t>FULL</t>
        </is>
      </c>
      <c r="E29" s="7">
        <f>IF(B29="I1",AVERAGEIF('QA_Images'!$A$2:$A$73,A29,'QA_Images'!$T$2:$T$73)/100,IF(D29="FULL",1,IF(D29="PARTIAL",0.5,IF(D29="FAIL",0,""))))</f>
        <v/>
      </c>
      <c r="F29" s="7">
        <f>IF(E29="",0,C29*E29)</f>
        <v/>
      </c>
      <c r="G29" s="7">
        <f>IF(B29="I1",20*AVERAGEIF('QA_Images'!$A$2:$A$73,A29,'QA_Images'!$U$2:$U$73)/100,IF(D29="NOT_CHECKED",0,C29))</f>
        <v/>
      </c>
      <c r="H29" s="3" t="inlineStr">
        <is>
          <t>SEO title and H1 are relevant, specific and grounded in visible/source facts. Title/H1 are product-specific and tied to visible motif/product type.</t>
        </is>
      </c>
      <c r="I29" s="3" t="inlineStr">
        <is>
          <t>evidence_batch_012_113</t>
        </is>
      </c>
      <c r="J29" s="3" t="inlineStr">
        <is>
          <t>ISSUE-0022; ISSUE-0023; ISSUE-0024; ISSUE-0025; ISSUE-0026</t>
        </is>
      </c>
    </row>
    <row r="30" ht="42" customHeight="1">
      <c r="A30" s="2" t="inlineStr">
        <is>
          <t>jeminise.com+custom-soccer-player-paint-splatter-comforter-set-machine-washable</t>
        </is>
      </c>
      <c r="B30" s="2" t="inlineStr">
        <is>
          <t>T2</t>
        </is>
      </c>
      <c r="C30" s="2" t="n">
        <v>5</v>
      </c>
      <c r="D30" s="2" t="inlineStr">
        <is>
          <t>PARTIAL</t>
        </is>
      </c>
      <c r="E30" s="5">
        <f>IF(B30="I1",AVERAGEIF('QA_Images'!$A$2:$A$73,A30,'QA_Images'!$T$2:$T$73)/100,IF(D30="FULL",1,IF(D30="PARTIAL",0.5,IF(D30="FAIL",0,""))))</f>
        <v/>
      </c>
      <c r="F30" s="5">
        <f>IF(E30="",0,C30*E30)</f>
        <v/>
      </c>
      <c r="G30" s="5">
        <f>IF(B30="I1",20*AVERAGEIF('QA_Images'!$A$2:$A$73,A30,'QA_Images'!$U$2:$U$73)/100,IF(D30="NOT_CHECKED",0,C30))</f>
        <v/>
      </c>
      <c r="H30" s="2" t="inlineStr">
        <is>
          <t>Meta description is concise, publish-ready and avoids unsupported claims. Meta description checked for length, specificity and supportable claims.</t>
        </is>
      </c>
      <c r="I30" s="2" t="inlineStr">
        <is>
          <t>evidence_batch_012_113</t>
        </is>
      </c>
      <c r="J30" s="2" t="inlineStr">
        <is>
          <t>ISSUE-0022; ISSUE-0023; ISSUE-0024; ISSUE-0025; ISSUE-0026</t>
        </is>
      </c>
    </row>
    <row r="31" ht="42" customHeight="1">
      <c r="A31" s="3" t="inlineStr">
        <is>
          <t>jeminise.com+custom-soccer-player-paint-splatter-comforter-set-machine-washable</t>
        </is>
      </c>
      <c r="B31" s="3" t="inlineStr">
        <is>
          <t>D1</t>
        </is>
      </c>
      <c r="C31" s="3" t="n">
        <v>10</v>
      </c>
      <c r="D31" s="3" t="inlineStr">
        <is>
          <t>FAIL</t>
        </is>
      </c>
      <c r="E31" s="7">
        <f>IF(B31="I1",AVERAGEIF('QA_Images'!$A$2:$A$73,A31,'QA_Images'!$T$2:$T$73)/100,IF(D31="FULL",1,IF(D31="PARTIAL",0.5,IF(D31="FAIL",0,""))))</f>
        <v/>
      </c>
      <c r="F31" s="7">
        <f>IF(E31="",0,C31*E31)</f>
        <v/>
      </c>
      <c r="G31" s="7">
        <f>IF(B31="I1",20*AVERAGEIF('QA_Images'!$A$2:$A$73,A31,'QA_Images'!$U$2:$U$73)/100,IF(D31="NOT_CHECKED",0,C31))</f>
        <v/>
      </c>
      <c r="H31" s="3" t="inlineStr">
        <is>
          <t>Description HTML is publish-ready and free of internal draft/QA instructions. Description HTML still contains internal QA/import language.</t>
        </is>
      </c>
      <c r="I31" s="3" t="inlineStr">
        <is>
          <t>evidence_batch_012_113</t>
        </is>
      </c>
      <c r="J31" s="3" t="inlineStr">
        <is>
          <t>ISSUE-0022; ISSUE-0023; ISSUE-0024; ISSUE-0025; ISSUE-0026</t>
        </is>
      </c>
    </row>
    <row r="32" ht="42" customHeight="1">
      <c r="A32" s="2" t="inlineStr">
        <is>
          <t>jeminise.com+custom-soccer-player-paint-splatter-comforter-set-machine-washable</t>
        </is>
      </c>
      <c r="B32" s="2" t="inlineStr">
        <is>
          <t>D2</t>
        </is>
      </c>
      <c r="C32" s="2" t="n">
        <v>5</v>
      </c>
      <c r="D32" s="2" t="inlineStr">
        <is>
          <t>PARTIAL</t>
        </is>
      </c>
      <c r="E32" s="5">
        <f>IF(B32="I1",AVERAGEIF('QA_Images'!$A$2:$A$73,A32,'QA_Images'!$T$2:$T$73)/100,IF(D32="FULL",1,IF(D32="PARTIAL",0.5,IF(D32="FAIL",0,""))))</f>
        <v/>
      </c>
      <c r="F32" s="5">
        <f>IF(E32="",0,C32*E32)</f>
        <v/>
      </c>
      <c r="G32" s="5">
        <f>IF(B32="I1",20*AVERAGEIF('QA_Images'!$A$2:$A$73,A32,'QA_Images'!$U$2:$U$73)/100,IF(D32="NOT_CHECKED",0,C32))</f>
        <v/>
      </c>
      <c r="H32" s="2" t="inlineStr">
        <is>
          <t>Description content covers verified design, product type, use case and constraints. Description covers motif/product type but remains templated and does not always map every verified constraint.</t>
        </is>
      </c>
      <c r="I32" s="2" t="inlineStr">
        <is>
          <t>evidence_batch_012_113</t>
        </is>
      </c>
      <c r="J32" s="2" t="inlineStr">
        <is>
          <t>ISSUE-0022; ISSUE-0023; ISSUE-0024; ISSUE-0025; ISSUE-0026</t>
        </is>
      </c>
    </row>
    <row r="33" ht="42" customHeight="1">
      <c r="A33" s="3" t="inlineStr">
        <is>
          <t>jeminise.com+custom-soccer-player-paint-splatter-comforter-set-machine-washable</t>
        </is>
      </c>
      <c r="B33" s="3" t="inlineStr">
        <is>
          <t>I1</t>
        </is>
      </c>
      <c r="C33" s="3" t="n">
        <v>20</v>
      </c>
      <c r="D33" s="3" t="inlineStr">
        <is>
          <t>FULL</t>
        </is>
      </c>
      <c r="E33" s="7">
        <f>IF(B33="I1",AVERAGEIF('QA_Images'!$A$2:$A$73,A33,'QA_Images'!$T$2:$T$73)/100,IF(D33="FULL",1,IF(D33="PARTIAL",0.5,IF(D33="FAIL",0,""))))</f>
        <v/>
      </c>
      <c r="F33" s="7">
        <f>IF(E33="",0,C33*E33)</f>
        <v/>
      </c>
      <c r="G33" s="7">
        <f>IF(B33="I1",20*AVERAGEIF('QA_Images'!$A$2:$A$73,A33,'QA_Images'!$U$2:$U$73)/100,IF(D33="NOT_CHECKED",0,C33))</f>
        <v/>
      </c>
      <c r="H33" s="3" t="inlineStr">
        <is>
          <t>Image coverage, image observations and alt text quality, derived from QA_Images. Derived from average image QA score; see QA_Images.</t>
        </is>
      </c>
      <c r="I33" s="3" t="inlineStr">
        <is>
          <t>evidence_batch_012_113</t>
        </is>
      </c>
      <c r="J33" s="3" t="inlineStr">
        <is>
          <t>ISSUE-0022; ISSUE-0023; ISSUE-0024; ISSUE-0025; ISSUE-0026</t>
        </is>
      </c>
    </row>
    <row r="34" ht="42" customHeight="1">
      <c r="A34" s="2" t="inlineStr">
        <is>
          <t>jeminise.com+custom-soccer-player-paint-splatter-comforter-set-machine-washable</t>
        </is>
      </c>
      <c r="B34" s="2" t="inlineStr">
        <is>
          <t>E1</t>
        </is>
      </c>
      <c r="C34" s="2" t="n">
        <v>5</v>
      </c>
      <c r="D34" s="2" t="inlineStr">
        <is>
          <t>PARTIAL</t>
        </is>
      </c>
      <c r="E34" s="5">
        <f>IF(B34="I1",AVERAGEIF('QA_Images'!$A$2:$A$73,A34,'QA_Images'!$T$2:$T$73)/100,IF(D34="FULL",1,IF(D34="PARTIAL",0.5,IF(D34="FAIL",0,""))))</f>
        <v/>
      </c>
      <c r="F34" s="5">
        <f>IF(E34="",0,C34*E34)</f>
        <v/>
      </c>
      <c r="G34" s="5">
        <f>IF(B34="I1",20*AVERAGEIF('QA_Images'!$A$2:$A$73,A34,'QA_Images'!$U$2:$U$73)/100,IF(D34="NOT_CHECKED",0,C34))</f>
        <v/>
      </c>
      <c r="H34" s="2" t="inlineStr">
        <is>
          <t>Evidence chain is traceable and limitations are explicitly separated from failures. Evidence chain is traceable, with admin-export limitation explicitly separated.</t>
        </is>
      </c>
      <c r="I34" s="2" t="inlineStr">
        <is>
          <t>evidence_batch_012_113</t>
        </is>
      </c>
      <c r="J34" s="2" t="inlineStr">
        <is>
          <t>ISSUE-0022; ISSUE-0023; ISSUE-0024; ISSUE-0025; ISSUE-0026</t>
        </is>
      </c>
    </row>
    <row r="35" ht="42" customHeight="1">
      <c r="A35" s="3" t="inlineStr">
        <is>
          <t>jeminise.com+custom-softball-comforter-set-for-girls-personalized-name-number</t>
        </is>
      </c>
      <c r="B35" s="3" t="inlineStr">
        <is>
          <t>P1</t>
        </is>
      </c>
      <c r="C35" s="3" t="n">
        <v>15</v>
      </c>
      <c r="D35" s="3" t="inlineStr">
        <is>
          <t>FULL</t>
        </is>
      </c>
      <c r="E35" s="7">
        <f>IF(B35="I1",AVERAGEIF('QA_Images'!$A$2:$A$73,A35,'QA_Images'!$T$2:$T$73)/100,IF(D35="FULL",1,IF(D35="PARTIAL",0.5,IF(D35="FAIL",0,""))))</f>
        <v/>
      </c>
      <c r="F35" s="7">
        <f>IF(E35="",0,C35*E35)</f>
        <v/>
      </c>
      <c r="G35" s="7">
        <f>IF(B35="I1",20*AVERAGEIF('QA_Images'!$A$2:$A$73,A35,'QA_Images'!$U$2:$U$73)/100,IF(D35="NOT_CHECKED",0,C35))</f>
        <v/>
      </c>
      <c r="H35" s="3" t="inlineStr">
        <is>
          <t>Product identity, handle, product ID, URL and canonical match source/live evidence. Product key/handle/product ID/canonical checked against frozen workbook and live product evidence.</t>
        </is>
      </c>
      <c r="I35" s="3" t="inlineStr">
        <is>
          <t>evidence_batch_012_114</t>
        </is>
      </c>
      <c r="J35" s="3" t="inlineStr">
        <is>
          <t>ISSUE-0033; ISSUE-0034; ISSUE-0035</t>
        </is>
      </c>
    </row>
    <row r="36" ht="42" customHeight="1">
      <c r="A36" s="2" t="inlineStr">
        <is>
          <t>jeminise.com+custom-softball-comforter-set-for-girls-personalized-name-number</t>
        </is>
      </c>
      <c r="B36" s="2" t="inlineStr">
        <is>
          <t>P2</t>
        </is>
      </c>
      <c r="C36" s="2" t="n">
        <v>10</v>
      </c>
      <c r="D36" s="2" t="inlineStr">
        <is>
          <t>PARTIAL</t>
        </is>
      </c>
      <c r="E36" s="5">
        <f>IF(B36="I1",AVERAGEIF('QA_Images'!$A$2:$A$73,A36,'QA_Images'!$T$2:$T$73)/100,IF(D36="FULL",1,IF(D36="PARTIAL",0.5,IF(D36="FAIL",0,""))))</f>
        <v/>
      </c>
      <c r="F36" s="5">
        <f>IF(E36="",0,C36*E36)</f>
        <v/>
      </c>
      <c r="G36" s="5">
        <f>IF(B36="I1",20*AVERAGEIF('QA_Images'!$A$2:$A$73,A36,'QA_Images'!$U$2:$U$73)/100,IF(D36="NOT_CHECKED",0,C36))</f>
        <v/>
      </c>
      <c r="H36" s="2" t="inlineStr">
        <is>
          <t>Source product facts, variants, specifications and personalization claims are evidence-backed. Personalization/specification claims checked against storefront product.js and static customizer config.</t>
        </is>
      </c>
      <c r="I36" s="2" t="inlineStr">
        <is>
          <t>evidence_batch_012_114</t>
        </is>
      </c>
      <c r="J36" s="2" t="inlineStr">
        <is>
          <t>ISSUE-0033; ISSUE-0034; ISSUE-0035</t>
        </is>
      </c>
    </row>
    <row r="37" ht="42" customHeight="1">
      <c r="A37" s="3" t="inlineStr">
        <is>
          <t>jeminise.com+custom-softball-comforter-set-for-girls-personalized-name-number</t>
        </is>
      </c>
      <c r="B37" s="3" t="inlineStr">
        <is>
          <t>K1</t>
        </is>
      </c>
      <c r="C37" s="3" t="n">
        <v>10</v>
      </c>
      <c r="D37" s="3" t="inlineStr">
        <is>
          <t>PARTIAL</t>
        </is>
      </c>
      <c r="E37" s="7">
        <f>IF(B37="I1",AVERAGEIF('QA_Images'!$A$2:$A$73,A37,'QA_Images'!$T$2:$T$73)/100,IF(D37="FULL",1,IF(D37="PARTIAL",0.5,IF(D37="FAIL",0,""))))</f>
        <v/>
      </c>
      <c r="F37" s="7">
        <f>IF(E37="",0,C37*E37)</f>
        <v/>
      </c>
      <c r="G37" s="7">
        <f>IF(B37="I1",20*AVERAGEIF('QA_Images'!$A$2:$A$73,A37,'QA_Images'!$U$2:$U$73)/100,IF(D37="NOT_CHECKED",0,C37))</f>
        <v/>
      </c>
      <c r="H37" s="3" t="inlineStr">
        <is>
          <t>Primary keyword aligns with product-level US purchase intent. Primary keyword rechecked against US product-level SERP comparables.</t>
        </is>
      </c>
      <c r="I37" s="3" t="inlineStr">
        <is>
          <t>evidence_batch_012_114</t>
        </is>
      </c>
      <c r="J37" s="3" t="inlineStr">
        <is>
          <t>ISSUE-0033; ISSUE-0034; ISSUE-0035</t>
        </is>
      </c>
    </row>
    <row r="38" ht="42" customHeight="1">
      <c r="A38" s="2" t="inlineStr">
        <is>
          <t>jeminise.com+custom-softball-comforter-set-for-girls-personalized-name-number</t>
        </is>
      </c>
      <c r="B38" s="2" t="inlineStr">
        <is>
          <t>K2</t>
        </is>
      </c>
      <c r="C38" s="2" t="n">
        <v>5</v>
      </c>
      <c r="D38" s="2" t="inlineStr">
        <is>
          <t>PARTIAL</t>
        </is>
      </c>
      <c r="E38" s="5">
        <f>IF(B38="I1",AVERAGEIF('QA_Images'!$A$2:$A$73,A38,'QA_Images'!$T$2:$T$73)/100,IF(D38="FULL",1,IF(D38="PARTIAL",0.5,IF(D38="FAIL",0,""))))</f>
        <v/>
      </c>
      <c r="F38" s="5">
        <f>IF(E38="",0,C38*E38)</f>
        <v/>
      </c>
      <c r="G38" s="5">
        <f>IF(B38="I1",20*AVERAGEIF('QA_Images'!$A$2:$A$73,A38,'QA_Images'!$U$2:$U$73)/100,IF(D38="NOT_CHECKED",0,C38))</f>
        <v/>
      </c>
      <c r="H38" s="2" t="inlineStr">
        <is>
          <t>Intent/cannibalization check distinguishes nearby products. Nearby product cluster has overlap risk, so intent distinction remains only partial.</t>
        </is>
      </c>
      <c r="I38" s="2" t="inlineStr">
        <is>
          <t>evidence_batch_012_114</t>
        </is>
      </c>
      <c r="J38" s="2" t="inlineStr">
        <is>
          <t>ISSUE-0033; ISSUE-0034; ISSUE-0035</t>
        </is>
      </c>
    </row>
    <row r="39" ht="42" customHeight="1">
      <c r="A39" s="3" t="inlineStr">
        <is>
          <t>jeminise.com+custom-softball-comforter-set-for-girls-personalized-name-number</t>
        </is>
      </c>
      <c r="B39" s="3" t="inlineStr">
        <is>
          <t>K3</t>
        </is>
      </c>
      <c r="C39" s="3" t="n">
        <v>5</v>
      </c>
      <c r="D39" s="3" t="inlineStr">
        <is>
          <t>PARTIAL</t>
        </is>
      </c>
      <c r="E39" s="7">
        <f>IF(B39="I1",AVERAGEIF('QA_Images'!$A$2:$A$73,A39,'QA_Images'!$T$2:$T$73)/100,IF(D39="FULL",1,IF(D39="PARTIAL",0.5,IF(D39="FAIL",0,""))))</f>
        <v/>
      </c>
      <c r="F39" s="7">
        <f>IF(E39="",0,C39*E39)</f>
        <v/>
      </c>
      <c r="G39" s="7">
        <f>IF(B39="I1",20*AVERAGEIF('QA_Images'!$A$2:$A$73,A39,'QA_Images'!$U$2:$U$73)/100,IF(D39="NOT_CHECKED",0,C39))</f>
        <v/>
      </c>
      <c r="H39" s="3" t="inlineStr">
        <is>
          <t>Keyword evidence is supported by SERP comparables without unsupported volume claims. Evidence is public SERP only; no Search Console, keyword volume or customer-search corpus provided.</t>
        </is>
      </c>
      <c r="I39" s="3" t="inlineStr">
        <is>
          <t>evidence_batch_012_114</t>
        </is>
      </c>
      <c r="J39" s="3" t="inlineStr">
        <is>
          <t>ISSUE-0033; ISSUE-0034; ISSUE-0035</t>
        </is>
      </c>
    </row>
    <row r="40" ht="42" customHeight="1">
      <c r="A40" s="2" t="inlineStr">
        <is>
          <t>jeminise.com+custom-softball-comforter-set-for-girls-personalized-name-number</t>
        </is>
      </c>
      <c r="B40" s="2" t="inlineStr">
        <is>
          <t>T1</t>
        </is>
      </c>
      <c r="C40" s="2" t="n">
        <v>10</v>
      </c>
      <c r="D40" s="2" t="inlineStr">
        <is>
          <t>FULL</t>
        </is>
      </c>
      <c r="E40" s="5">
        <f>IF(B40="I1",AVERAGEIF('QA_Images'!$A$2:$A$73,A40,'QA_Images'!$T$2:$T$73)/100,IF(D40="FULL",1,IF(D40="PARTIAL",0.5,IF(D40="FAIL",0,""))))</f>
        <v/>
      </c>
      <c r="F40" s="5">
        <f>IF(E40="",0,C40*E40)</f>
        <v/>
      </c>
      <c r="G40" s="5">
        <f>IF(B40="I1",20*AVERAGEIF('QA_Images'!$A$2:$A$73,A40,'QA_Images'!$U$2:$U$73)/100,IF(D40="NOT_CHECKED",0,C40))</f>
        <v/>
      </c>
      <c r="H40" s="2" t="inlineStr">
        <is>
          <t>SEO title and H1 are relevant, specific and grounded in visible/source facts. Title/H1 are product-specific and tied to visible motif/product type.</t>
        </is>
      </c>
      <c r="I40" s="2" t="inlineStr">
        <is>
          <t>evidence_batch_012_114</t>
        </is>
      </c>
      <c r="J40" s="2" t="inlineStr">
        <is>
          <t>ISSUE-0033; ISSUE-0034; ISSUE-0035</t>
        </is>
      </c>
    </row>
    <row r="41" ht="42" customHeight="1">
      <c r="A41" s="3" t="inlineStr">
        <is>
          <t>jeminise.com+custom-softball-comforter-set-for-girls-personalized-name-number</t>
        </is>
      </c>
      <c r="B41" s="3" t="inlineStr">
        <is>
          <t>T2</t>
        </is>
      </c>
      <c r="C41" s="3" t="n">
        <v>5</v>
      </c>
      <c r="D41" s="3" t="inlineStr">
        <is>
          <t>PARTIAL</t>
        </is>
      </c>
      <c r="E41" s="7">
        <f>IF(B41="I1",AVERAGEIF('QA_Images'!$A$2:$A$73,A41,'QA_Images'!$T$2:$T$73)/100,IF(D41="FULL",1,IF(D41="PARTIAL",0.5,IF(D41="FAIL",0,""))))</f>
        <v/>
      </c>
      <c r="F41" s="7">
        <f>IF(E41="",0,C41*E41)</f>
        <v/>
      </c>
      <c r="G41" s="7">
        <f>IF(B41="I1",20*AVERAGEIF('QA_Images'!$A$2:$A$73,A41,'QA_Images'!$U$2:$U$73)/100,IF(D41="NOT_CHECKED",0,C41))</f>
        <v/>
      </c>
      <c r="H41" s="3" t="inlineStr">
        <is>
          <t>Meta description is concise, publish-ready and avoids unsupported claims. Meta description checked for length, specificity and supportable claims.</t>
        </is>
      </c>
      <c r="I41" s="3" t="inlineStr">
        <is>
          <t>evidence_batch_012_114</t>
        </is>
      </c>
      <c r="J41" s="3" t="inlineStr">
        <is>
          <t>ISSUE-0033; ISSUE-0034; ISSUE-0035</t>
        </is>
      </c>
    </row>
    <row r="42" ht="42" customHeight="1">
      <c r="A42" s="2" t="inlineStr">
        <is>
          <t>jeminise.com+custom-softball-comforter-set-for-girls-personalized-name-number</t>
        </is>
      </c>
      <c r="B42" s="2" t="inlineStr">
        <is>
          <t>D1</t>
        </is>
      </c>
      <c r="C42" s="2" t="n">
        <v>10</v>
      </c>
      <c r="D42" s="2" t="inlineStr">
        <is>
          <t>FAIL</t>
        </is>
      </c>
      <c r="E42" s="5">
        <f>IF(B42="I1",AVERAGEIF('QA_Images'!$A$2:$A$73,A42,'QA_Images'!$T$2:$T$73)/100,IF(D42="FULL",1,IF(D42="PARTIAL",0.5,IF(D42="FAIL",0,""))))</f>
        <v/>
      </c>
      <c r="F42" s="5">
        <f>IF(E42="",0,C42*E42)</f>
        <v/>
      </c>
      <c r="G42" s="5">
        <f>IF(B42="I1",20*AVERAGEIF('QA_Images'!$A$2:$A$73,A42,'QA_Images'!$U$2:$U$73)/100,IF(D42="NOT_CHECKED",0,C42))</f>
        <v/>
      </c>
      <c r="H42" s="2" t="inlineStr">
        <is>
          <t>Description HTML is publish-ready and free of internal draft/QA instructions. Description HTML still contains internal QA/import language.</t>
        </is>
      </c>
      <c r="I42" s="2" t="inlineStr">
        <is>
          <t>evidence_batch_012_114</t>
        </is>
      </c>
      <c r="J42" s="2" t="inlineStr">
        <is>
          <t>ISSUE-0033; ISSUE-0034; ISSUE-0035</t>
        </is>
      </c>
    </row>
    <row r="43" ht="42" customHeight="1">
      <c r="A43" s="3" t="inlineStr">
        <is>
          <t>jeminise.com+custom-softball-comforter-set-for-girls-personalized-name-number</t>
        </is>
      </c>
      <c r="B43" s="3" t="inlineStr">
        <is>
          <t>D2</t>
        </is>
      </c>
      <c r="C43" s="3" t="n">
        <v>5</v>
      </c>
      <c r="D43" s="3" t="inlineStr">
        <is>
          <t>PARTIAL</t>
        </is>
      </c>
      <c r="E43" s="7">
        <f>IF(B43="I1",AVERAGEIF('QA_Images'!$A$2:$A$73,A43,'QA_Images'!$T$2:$T$73)/100,IF(D43="FULL",1,IF(D43="PARTIAL",0.5,IF(D43="FAIL",0,""))))</f>
        <v/>
      </c>
      <c r="F43" s="7">
        <f>IF(E43="",0,C43*E43)</f>
        <v/>
      </c>
      <c r="G43" s="7">
        <f>IF(B43="I1",20*AVERAGEIF('QA_Images'!$A$2:$A$73,A43,'QA_Images'!$U$2:$U$73)/100,IF(D43="NOT_CHECKED",0,C43))</f>
        <v/>
      </c>
      <c r="H43" s="3" t="inlineStr">
        <is>
          <t>Description content covers verified design, product type, use case and constraints. Description covers motif/product type but remains templated and does not always map every verified constraint.</t>
        </is>
      </c>
      <c r="I43" s="3" t="inlineStr">
        <is>
          <t>evidence_batch_012_114</t>
        </is>
      </c>
      <c r="J43" s="3" t="inlineStr">
        <is>
          <t>ISSUE-0033; ISSUE-0034; ISSUE-0035</t>
        </is>
      </c>
    </row>
    <row r="44" ht="42" customHeight="1">
      <c r="A44" s="2" t="inlineStr">
        <is>
          <t>jeminise.com+custom-softball-comforter-set-for-girls-personalized-name-number</t>
        </is>
      </c>
      <c r="B44" s="2" t="inlineStr">
        <is>
          <t>I1</t>
        </is>
      </c>
      <c r="C44" s="2" t="n">
        <v>20</v>
      </c>
      <c r="D44" s="2" t="inlineStr">
        <is>
          <t>FULL</t>
        </is>
      </c>
      <c r="E44" s="5">
        <f>IF(B44="I1",AVERAGEIF('QA_Images'!$A$2:$A$73,A44,'QA_Images'!$T$2:$T$73)/100,IF(D44="FULL",1,IF(D44="PARTIAL",0.5,IF(D44="FAIL",0,""))))</f>
        <v/>
      </c>
      <c r="F44" s="5">
        <f>IF(E44="",0,C44*E44)</f>
        <v/>
      </c>
      <c r="G44" s="5">
        <f>IF(B44="I1",20*AVERAGEIF('QA_Images'!$A$2:$A$73,A44,'QA_Images'!$U$2:$U$73)/100,IF(D44="NOT_CHECKED",0,C44))</f>
        <v/>
      </c>
      <c r="H44" s="2" t="inlineStr">
        <is>
          <t>Image coverage, image observations and alt text quality, derived from QA_Images. Derived from average image QA score; see QA_Images.</t>
        </is>
      </c>
      <c r="I44" s="2" t="inlineStr">
        <is>
          <t>evidence_batch_012_114</t>
        </is>
      </c>
      <c r="J44" s="2" t="inlineStr">
        <is>
          <t>ISSUE-0033; ISSUE-0034; ISSUE-0035</t>
        </is>
      </c>
    </row>
    <row r="45" ht="42" customHeight="1">
      <c r="A45" s="3" t="inlineStr">
        <is>
          <t>jeminise.com+custom-softball-comforter-set-for-girls-personalized-name-number</t>
        </is>
      </c>
      <c r="B45" s="3" t="inlineStr">
        <is>
          <t>E1</t>
        </is>
      </c>
      <c r="C45" s="3" t="n">
        <v>5</v>
      </c>
      <c r="D45" s="3" t="inlineStr">
        <is>
          <t>PARTIAL</t>
        </is>
      </c>
      <c r="E45" s="7">
        <f>IF(B45="I1",AVERAGEIF('QA_Images'!$A$2:$A$73,A45,'QA_Images'!$T$2:$T$73)/100,IF(D45="FULL",1,IF(D45="PARTIAL",0.5,IF(D45="FAIL",0,""))))</f>
        <v/>
      </c>
      <c r="F45" s="7">
        <f>IF(E45="",0,C45*E45)</f>
        <v/>
      </c>
      <c r="G45" s="7">
        <f>IF(B45="I1",20*AVERAGEIF('QA_Images'!$A$2:$A$73,A45,'QA_Images'!$U$2:$U$73)/100,IF(D45="NOT_CHECKED",0,C45))</f>
        <v/>
      </c>
      <c r="H45" s="3" t="inlineStr">
        <is>
          <t>Evidence chain is traceable and limitations are explicitly separated from failures. Evidence chain is traceable, with admin-export limitation explicitly separated.</t>
        </is>
      </c>
      <c r="I45" s="3" t="inlineStr">
        <is>
          <t>evidence_batch_012_114</t>
        </is>
      </c>
      <c r="J45" s="3" t="inlineStr">
        <is>
          <t>ISSUE-0033; ISSUE-0034; ISSUE-0035</t>
        </is>
      </c>
    </row>
    <row r="46" ht="42" customHeight="1">
      <c r="A46" s="2" t="inlineStr">
        <is>
          <t>jeminise.com+custom-sports-and-patriotism-football-on-american-flag-background-comforter-510823ee16-510823ee16</t>
        </is>
      </c>
      <c r="B46" s="2" t="inlineStr">
        <is>
          <t>P1</t>
        </is>
      </c>
      <c r="C46" s="2" t="n">
        <v>15</v>
      </c>
      <c r="D46" s="2" t="inlineStr">
        <is>
          <t>FULL</t>
        </is>
      </c>
      <c r="E46" s="5">
        <f>IF(B46="I1",AVERAGEIF('QA_Images'!$A$2:$A$73,A46,'QA_Images'!$T$2:$T$73)/100,IF(D46="FULL",1,IF(D46="PARTIAL",0.5,IF(D46="FAIL",0,""))))</f>
        <v/>
      </c>
      <c r="F46" s="5">
        <f>IF(E46="",0,C46*E46)</f>
        <v/>
      </c>
      <c r="G46" s="5">
        <f>IF(B46="I1",20*AVERAGEIF('QA_Images'!$A$2:$A$73,A46,'QA_Images'!$U$2:$U$73)/100,IF(D46="NOT_CHECKED",0,C46))</f>
        <v/>
      </c>
      <c r="H46" s="2" t="inlineStr">
        <is>
          <t>Product identity, handle, product ID, URL and canonical match source/live evidence. Product key/handle/product ID/canonical checked against frozen workbook and live product evidence.</t>
        </is>
      </c>
      <c r="I46" s="2" t="inlineStr">
        <is>
          <t>evidence_batch_012_115</t>
        </is>
      </c>
      <c r="J46" s="2" t="inlineStr">
        <is>
          <t>ISSUE-0041; ISSUE-0042; ISSUE-0043; ISSUE-0044</t>
        </is>
      </c>
    </row>
    <row r="47" ht="42" customHeight="1">
      <c r="A47" s="3" t="inlineStr">
        <is>
          <t>jeminise.com+custom-sports-and-patriotism-football-on-american-flag-background-comforter-510823ee16-510823ee16</t>
        </is>
      </c>
      <c r="B47" s="3" t="inlineStr">
        <is>
          <t>P2</t>
        </is>
      </c>
      <c r="C47" s="3" t="n">
        <v>10</v>
      </c>
      <c r="D47" s="3" t="inlineStr">
        <is>
          <t>PARTIAL</t>
        </is>
      </c>
      <c r="E47" s="7">
        <f>IF(B47="I1",AVERAGEIF('QA_Images'!$A$2:$A$73,A47,'QA_Images'!$T$2:$T$73)/100,IF(D47="FULL",1,IF(D47="PARTIAL",0.5,IF(D47="FAIL",0,""))))</f>
        <v/>
      </c>
      <c r="F47" s="7">
        <f>IF(E47="",0,C47*E47)</f>
        <v/>
      </c>
      <c r="G47" s="7">
        <f>IF(B47="I1",20*AVERAGEIF('QA_Images'!$A$2:$A$73,A47,'QA_Images'!$U$2:$U$73)/100,IF(D47="NOT_CHECKED",0,C47))</f>
        <v/>
      </c>
      <c r="H47" s="3" t="inlineStr">
        <is>
          <t>Source product facts, variants, specifications and personalization claims are evidence-backed. Personalization/specification claims checked against storefront product.js and static customizer config.</t>
        </is>
      </c>
      <c r="I47" s="3" t="inlineStr">
        <is>
          <t>evidence_batch_012_115</t>
        </is>
      </c>
      <c r="J47" s="3" t="inlineStr">
        <is>
          <t>ISSUE-0041; ISSUE-0042; ISSUE-0043; ISSUE-0044</t>
        </is>
      </c>
    </row>
    <row r="48" ht="42" customHeight="1">
      <c r="A48" s="2" t="inlineStr">
        <is>
          <t>jeminise.com+custom-sports-and-patriotism-football-on-american-flag-background-comforter-510823ee16-510823ee16</t>
        </is>
      </c>
      <c r="B48" s="2" t="inlineStr">
        <is>
          <t>K1</t>
        </is>
      </c>
      <c r="C48" s="2" t="n">
        <v>10</v>
      </c>
      <c r="D48" s="2" t="inlineStr">
        <is>
          <t>PARTIAL</t>
        </is>
      </c>
      <c r="E48" s="5">
        <f>IF(B48="I1",AVERAGEIF('QA_Images'!$A$2:$A$73,A48,'QA_Images'!$T$2:$T$73)/100,IF(D48="FULL",1,IF(D48="PARTIAL",0.5,IF(D48="FAIL",0,""))))</f>
        <v/>
      </c>
      <c r="F48" s="5">
        <f>IF(E48="",0,C48*E48)</f>
        <v/>
      </c>
      <c r="G48" s="5">
        <f>IF(B48="I1",20*AVERAGEIF('QA_Images'!$A$2:$A$73,A48,'QA_Images'!$U$2:$U$73)/100,IF(D48="NOT_CHECKED",0,C48))</f>
        <v/>
      </c>
      <c r="H48" s="2" t="inlineStr">
        <is>
          <t>Primary keyword aligns with product-level US purchase intent. Primary keyword rechecked against US product-level SERP comparables.</t>
        </is>
      </c>
      <c r="I48" s="2" t="inlineStr">
        <is>
          <t>evidence_batch_012_115</t>
        </is>
      </c>
      <c r="J48" s="2" t="inlineStr">
        <is>
          <t>ISSUE-0041; ISSUE-0042; ISSUE-0043; ISSUE-0044</t>
        </is>
      </c>
    </row>
    <row r="49" ht="42" customHeight="1">
      <c r="A49" s="3" t="inlineStr">
        <is>
          <t>jeminise.com+custom-sports-and-patriotism-football-on-american-flag-background-comforter-510823ee16-510823ee16</t>
        </is>
      </c>
      <c r="B49" s="3" t="inlineStr">
        <is>
          <t>K2</t>
        </is>
      </c>
      <c r="C49" s="3" t="n">
        <v>5</v>
      </c>
      <c r="D49" s="3" t="inlineStr">
        <is>
          <t>PARTIAL</t>
        </is>
      </c>
      <c r="E49" s="7">
        <f>IF(B49="I1",AVERAGEIF('QA_Images'!$A$2:$A$73,A49,'QA_Images'!$T$2:$T$73)/100,IF(D49="FULL",1,IF(D49="PARTIAL",0.5,IF(D49="FAIL",0,""))))</f>
        <v/>
      </c>
      <c r="F49" s="7">
        <f>IF(E49="",0,C49*E49)</f>
        <v/>
      </c>
      <c r="G49" s="7">
        <f>IF(B49="I1",20*AVERAGEIF('QA_Images'!$A$2:$A$73,A49,'QA_Images'!$U$2:$U$73)/100,IF(D49="NOT_CHECKED",0,C49))</f>
        <v/>
      </c>
      <c r="H49" s="3" t="inlineStr">
        <is>
          <t>Intent/cannibalization check distinguishes nearby products. Nearby product cluster has overlap risk, so intent distinction remains only partial.</t>
        </is>
      </c>
      <c r="I49" s="3" t="inlineStr">
        <is>
          <t>evidence_batch_012_115</t>
        </is>
      </c>
      <c r="J49" s="3" t="inlineStr">
        <is>
          <t>ISSUE-0041; ISSUE-0042; ISSUE-0043; ISSUE-0044</t>
        </is>
      </c>
    </row>
    <row r="50" ht="42" customHeight="1">
      <c r="A50" s="2" t="inlineStr">
        <is>
          <t>jeminise.com+custom-sports-and-patriotism-football-on-american-flag-background-comforter-510823ee16-510823ee16</t>
        </is>
      </c>
      <c r="B50" s="2" t="inlineStr">
        <is>
          <t>K3</t>
        </is>
      </c>
      <c r="C50" s="2" t="n">
        <v>5</v>
      </c>
      <c r="D50" s="2" t="inlineStr">
        <is>
          <t>PARTIAL</t>
        </is>
      </c>
      <c r="E50" s="5">
        <f>IF(B50="I1",AVERAGEIF('QA_Images'!$A$2:$A$73,A50,'QA_Images'!$T$2:$T$73)/100,IF(D50="FULL",1,IF(D50="PARTIAL",0.5,IF(D50="FAIL",0,""))))</f>
        <v/>
      </c>
      <c r="F50" s="5">
        <f>IF(E50="",0,C50*E50)</f>
        <v/>
      </c>
      <c r="G50" s="5">
        <f>IF(B50="I1",20*AVERAGEIF('QA_Images'!$A$2:$A$73,A50,'QA_Images'!$U$2:$U$73)/100,IF(D50="NOT_CHECKED",0,C50))</f>
        <v/>
      </c>
      <c r="H50" s="2" t="inlineStr">
        <is>
          <t>Keyword evidence is supported by SERP comparables without unsupported volume claims. Evidence is public SERP only; no Search Console, keyword volume or customer-search corpus provided.</t>
        </is>
      </c>
      <c r="I50" s="2" t="inlineStr">
        <is>
          <t>evidence_batch_012_115</t>
        </is>
      </c>
      <c r="J50" s="2" t="inlineStr">
        <is>
          <t>ISSUE-0041; ISSUE-0042; ISSUE-0043; ISSUE-0044</t>
        </is>
      </c>
    </row>
    <row r="51" ht="42" customHeight="1">
      <c r="A51" s="3" t="inlineStr">
        <is>
          <t>jeminise.com+custom-sports-and-patriotism-football-on-american-flag-background-comforter-510823ee16-510823ee16</t>
        </is>
      </c>
      <c r="B51" s="3" t="inlineStr">
        <is>
          <t>T1</t>
        </is>
      </c>
      <c r="C51" s="3" t="n">
        <v>10</v>
      </c>
      <c r="D51" s="3" t="inlineStr">
        <is>
          <t>FULL</t>
        </is>
      </c>
      <c r="E51" s="7">
        <f>IF(B51="I1",AVERAGEIF('QA_Images'!$A$2:$A$73,A51,'QA_Images'!$T$2:$T$73)/100,IF(D51="FULL",1,IF(D51="PARTIAL",0.5,IF(D51="FAIL",0,""))))</f>
        <v/>
      </c>
      <c r="F51" s="7">
        <f>IF(E51="",0,C51*E51)</f>
        <v/>
      </c>
      <c r="G51" s="7">
        <f>IF(B51="I1",20*AVERAGEIF('QA_Images'!$A$2:$A$73,A51,'QA_Images'!$U$2:$U$73)/100,IF(D51="NOT_CHECKED",0,C51))</f>
        <v/>
      </c>
      <c r="H51" s="3" t="inlineStr">
        <is>
          <t>SEO title and H1 are relevant, specific and grounded in visible/source facts. Title/H1 are product-specific and tied to visible motif/product type.</t>
        </is>
      </c>
      <c r="I51" s="3" t="inlineStr">
        <is>
          <t>evidence_batch_012_115</t>
        </is>
      </c>
      <c r="J51" s="3" t="inlineStr">
        <is>
          <t>ISSUE-0041; ISSUE-0042; ISSUE-0043; ISSUE-0044</t>
        </is>
      </c>
    </row>
    <row r="52" ht="42" customHeight="1">
      <c r="A52" s="2" t="inlineStr">
        <is>
          <t>jeminise.com+custom-sports-and-patriotism-football-on-american-flag-background-comforter-510823ee16-510823ee16</t>
        </is>
      </c>
      <c r="B52" s="2" t="inlineStr">
        <is>
          <t>T2</t>
        </is>
      </c>
      <c r="C52" s="2" t="n">
        <v>5</v>
      </c>
      <c r="D52" s="2" t="inlineStr">
        <is>
          <t>PARTIAL</t>
        </is>
      </c>
      <c r="E52" s="5">
        <f>IF(B52="I1",AVERAGEIF('QA_Images'!$A$2:$A$73,A52,'QA_Images'!$T$2:$T$73)/100,IF(D52="FULL",1,IF(D52="PARTIAL",0.5,IF(D52="FAIL",0,""))))</f>
        <v/>
      </c>
      <c r="F52" s="5">
        <f>IF(E52="",0,C52*E52)</f>
        <v/>
      </c>
      <c r="G52" s="5">
        <f>IF(B52="I1",20*AVERAGEIF('QA_Images'!$A$2:$A$73,A52,'QA_Images'!$U$2:$U$73)/100,IF(D52="NOT_CHECKED",0,C52))</f>
        <v/>
      </c>
      <c r="H52" s="2" t="inlineStr">
        <is>
          <t>Meta description is concise, publish-ready and avoids unsupported claims. Meta description checked for length, specificity and supportable claims.</t>
        </is>
      </c>
      <c r="I52" s="2" t="inlineStr">
        <is>
          <t>evidence_batch_012_115</t>
        </is>
      </c>
      <c r="J52" s="2" t="inlineStr">
        <is>
          <t>ISSUE-0041; ISSUE-0042; ISSUE-0043; ISSUE-0044</t>
        </is>
      </c>
    </row>
    <row r="53" ht="42" customHeight="1">
      <c r="A53" s="3" t="inlineStr">
        <is>
          <t>jeminise.com+custom-sports-and-patriotism-football-on-american-flag-background-comforter-510823ee16-510823ee16</t>
        </is>
      </c>
      <c r="B53" s="3" t="inlineStr">
        <is>
          <t>D1</t>
        </is>
      </c>
      <c r="C53" s="3" t="n">
        <v>10</v>
      </c>
      <c r="D53" s="3" t="inlineStr">
        <is>
          <t>FAIL</t>
        </is>
      </c>
      <c r="E53" s="7">
        <f>IF(B53="I1",AVERAGEIF('QA_Images'!$A$2:$A$73,A53,'QA_Images'!$T$2:$T$73)/100,IF(D53="FULL",1,IF(D53="PARTIAL",0.5,IF(D53="FAIL",0,""))))</f>
        <v/>
      </c>
      <c r="F53" s="7">
        <f>IF(E53="",0,C53*E53)</f>
        <v/>
      </c>
      <c r="G53" s="7">
        <f>IF(B53="I1",20*AVERAGEIF('QA_Images'!$A$2:$A$73,A53,'QA_Images'!$U$2:$U$73)/100,IF(D53="NOT_CHECKED",0,C53))</f>
        <v/>
      </c>
      <c r="H53" s="3" t="inlineStr">
        <is>
          <t>Description HTML is publish-ready and free of internal draft/QA instructions. Description HTML still contains internal QA/import language.</t>
        </is>
      </c>
      <c r="I53" s="3" t="inlineStr">
        <is>
          <t>evidence_batch_012_115</t>
        </is>
      </c>
      <c r="J53" s="3" t="inlineStr">
        <is>
          <t>ISSUE-0041; ISSUE-0042; ISSUE-0043; ISSUE-0044</t>
        </is>
      </c>
    </row>
    <row r="54" ht="42" customHeight="1">
      <c r="A54" s="2" t="inlineStr">
        <is>
          <t>jeminise.com+custom-sports-and-patriotism-football-on-american-flag-background-comforter-510823ee16-510823ee16</t>
        </is>
      </c>
      <c r="B54" s="2" t="inlineStr">
        <is>
          <t>D2</t>
        </is>
      </c>
      <c r="C54" s="2" t="n">
        <v>5</v>
      </c>
      <c r="D54" s="2" t="inlineStr">
        <is>
          <t>PARTIAL</t>
        </is>
      </c>
      <c r="E54" s="5">
        <f>IF(B54="I1",AVERAGEIF('QA_Images'!$A$2:$A$73,A54,'QA_Images'!$T$2:$T$73)/100,IF(D54="FULL",1,IF(D54="PARTIAL",0.5,IF(D54="FAIL",0,""))))</f>
        <v/>
      </c>
      <c r="F54" s="5">
        <f>IF(E54="",0,C54*E54)</f>
        <v/>
      </c>
      <c r="G54" s="5">
        <f>IF(B54="I1",20*AVERAGEIF('QA_Images'!$A$2:$A$73,A54,'QA_Images'!$U$2:$U$73)/100,IF(D54="NOT_CHECKED",0,C54))</f>
        <v/>
      </c>
      <c r="H54" s="2" t="inlineStr">
        <is>
          <t>Description content covers verified design, product type, use case and constraints. Description covers motif/product type but remains templated and does not always map every verified constraint.</t>
        </is>
      </c>
      <c r="I54" s="2" t="inlineStr">
        <is>
          <t>evidence_batch_012_115</t>
        </is>
      </c>
      <c r="J54" s="2" t="inlineStr">
        <is>
          <t>ISSUE-0041; ISSUE-0042; ISSUE-0043; ISSUE-0044</t>
        </is>
      </c>
    </row>
    <row r="55" ht="42" customHeight="1">
      <c r="A55" s="3" t="inlineStr">
        <is>
          <t>jeminise.com+custom-sports-and-patriotism-football-on-american-flag-background-comforter-510823ee16-510823ee16</t>
        </is>
      </c>
      <c r="B55" s="3" t="inlineStr">
        <is>
          <t>I1</t>
        </is>
      </c>
      <c r="C55" s="3" t="n">
        <v>20</v>
      </c>
      <c r="D55" s="3" t="inlineStr">
        <is>
          <t>FULL</t>
        </is>
      </c>
      <c r="E55" s="7">
        <f>IF(B55="I1",AVERAGEIF('QA_Images'!$A$2:$A$73,A55,'QA_Images'!$T$2:$T$73)/100,IF(D55="FULL",1,IF(D55="PARTIAL",0.5,IF(D55="FAIL",0,""))))</f>
        <v/>
      </c>
      <c r="F55" s="7">
        <f>IF(E55="",0,C55*E55)</f>
        <v/>
      </c>
      <c r="G55" s="7">
        <f>IF(B55="I1",20*AVERAGEIF('QA_Images'!$A$2:$A$73,A55,'QA_Images'!$U$2:$U$73)/100,IF(D55="NOT_CHECKED",0,C55))</f>
        <v/>
      </c>
      <c r="H55" s="3" t="inlineStr">
        <is>
          <t>Image coverage, image observations and alt text quality, derived from QA_Images. Derived from average image QA score; see QA_Images.</t>
        </is>
      </c>
      <c r="I55" s="3" t="inlineStr">
        <is>
          <t>evidence_batch_012_115</t>
        </is>
      </c>
      <c r="J55" s="3" t="inlineStr">
        <is>
          <t>ISSUE-0041; ISSUE-0042; ISSUE-0043; ISSUE-0044</t>
        </is>
      </c>
    </row>
    <row r="56" ht="42" customHeight="1">
      <c r="A56" s="2" t="inlineStr">
        <is>
          <t>jeminise.com+custom-sports-and-patriotism-football-on-american-flag-background-comforter-510823ee16-510823ee16</t>
        </is>
      </c>
      <c r="B56" s="2" t="inlineStr">
        <is>
          <t>E1</t>
        </is>
      </c>
      <c r="C56" s="2" t="n">
        <v>5</v>
      </c>
      <c r="D56" s="2" t="inlineStr">
        <is>
          <t>PARTIAL</t>
        </is>
      </c>
      <c r="E56" s="5">
        <f>IF(B56="I1",AVERAGEIF('QA_Images'!$A$2:$A$73,A56,'QA_Images'!$T$2:$T$73)/100,IF(D56="FULL",1,IF(D56="PARTIAL",0.5,IF(D56="FAIL",0,""))))</f>
        <v/>
      </c>
      <c r="F56" s="5">
        <f>IF(E56="",0,C56*E56)</f>
        <v/>
      </c>
      <c r="G56" s="5">
        <f>IF(B56="I1",20*AVERAGEIF('QA_Images'!$A$2:$A$73,A56,'QA_Images'!$U$2:$U$73)/100,IF(D56="NOT_CHECKED",0,C56))</f>
        <v/>
      </c>
      <c r="H56" s="2" t="inlineStr">
        <is>
          <t>Evidence chain is traceable and limitations are explicitly separated from failures. Evidence chain is traceable, with admin-export limitation explicitly separated.</t>
        </is>
      </c>
      <c r="I56" s="2" t="inlineStr">
        <is>
          <t>evidence_batch_012_115</t>
        </is>
      </c>
      <c r="J56" s="2" t="inlineStr">
        <is>
          <t>ISSUE-0041; ISSUE-0042; ISSUE-0043; ISSUE-0044</t>
        </is>
      </c>
    </row>
    <row r="57" ht="42" customHeight="1">
      <c r="A57" s="3" t="inlineStr">
        <is>
          <t>jeminise.com+custom-transportation-semi-truck-on-geometric-background-comforter-284b7a6d0a-284b7a6d0a</t>
        </is>
      </c>
      <c r="B57" s="3" t="inlineStr">
        <is>
          <t>P1</t>
        </is>
      </c>
      <c r="C57" s="3" t="n">
        <v>15</v>
      </c>
      <c r="D57" s="3" t="inlineStr">
        <is>
          <t>FULL</t>
        </is>
      </c>
      <c r="E57" s="7">
        <f>IF(B57="I1",AVERAGEIF('QA_Images'!$A$2:$A$73,A57,'QA_Images'!$T$2:$T$73)/100,IF(D57="FULL",1,IF(D57="PARTIAL",0.5,IF(D57="FAIL",0,""))))</f>
        <v/>
      </c>
      <c r="F57" s="7">
        <f>IF(E57="",0,C57*E57)</f>
        <v/>
      </c>
      <c r="G57" s="7">
        <f>IF(B57="I1",20*AVERAGEIF('QA_Images'!$A$2:$A$73,A57,'QA_Images'!$U$2:$U$73)/100,IF(D57="NOT_CHECKED",0,C57))</f>
        <v/>
      </c>
      <c r="H57" s="3" t="inlineStr">
        <is>
          <t>Product identity, handle, product ID, URL and canonical match source/live evidence. Product key/handle/product ID/canonical checked against frozen workbook and live product evidence.</t>
        </is>
      </c>
      <c r="I57" s="3" t="inlineStr">
        <is>
          <t>evidence_batch_012_116</t>
        </is>
      </c>
      <c r="J57" s="3" t="inlineStr">
        <is>
          <t>ISSUE-0049; ISSUE-0050; ISSUE-0051; ISSUE-0052</t>
        </is>
      </c>
    </row>
    <row r="58" ht="42" customHeight="1">
      <c r="A58" s="2" t="inlineStr">
        <is>
          <t>jeminise.com+custom-transportation-semi-truck-on-geometric-background-comforter-284b7a6d0a-284b7a6d0a</t>
        </is>
      </c>
      <c r="B58" s="2" t="inlineStr">
        <is>
          <t>P2</t>
        </is>
      </c>
      <c r="C58" s="2" t="n">
        <v>10</v>
      </c>
      <c r="D58" s="2" t="inlineStr">
        <is>
          <t>PARTIAL</t>
        </is>
      </c>
      <c r="E58" s="5">
        <f>IF(B58="I1",AVERAGEIF('QA_Images'!$A$2:$A$73,A58,'QA_Images'!$T$2:$T$73)/100,IF(D58="FULL",1,IF(D58="PARTIAL",0.5,IF(D58="FAIL",0,""))))</f>
        <v/>
      </c>
      <c r="F58" s="5">
        <f>IF(E58="",0,C58*E58)</f>
        <v/>
      </c>
      <c r="G58" s="5">
        <f>IF(B58="I1",20*AVERAGEIF('QA_Images'!$A$2:$A$73,A58,'QA_Images'!$U$2:$U$73)/100,IF(D58="NOT_CHECKED",0,C58))</f>
        <v/>
      </c>
      <c r="H58" s="2" t="inlineStr">
        <is>
          <t>Source product facts, variants, specifications and personalization claims are evidence-backed. Personalization/specification claims checked against storefront product.js and static customizer config.</t>
        </is>
      </c>
      <c r="I58" s="2" t="inlineStr">
        <is>
          <t>evidence_batch_012_116</t>
        </is>
      </c>
      <c r="J58" s="2" t="inlineStr">
        <is>
          <t>ISSUE-0049; ISSUE-0050; ISSUE-0051; ISSUE-0052</t>
        </is>
      </c>
    </row>
    <row r="59" ht="42" customHeight="1">
      <c r="A59" s="3" t="inlineStr">
        <is>
          <t>jeminise.com+custom-transportation-semi-truck-on-geometric-background-comforter-284b7a6d0a-284b7a6d0a</t>
        </is>
      </c>
      <c r="B59" s="3" t="inlineStr">
        <is>
          <t>K1</t>
        </is>
      </c>
      <c r="C59" s="3" t="n">
        <v>10</v>
      </c>
      <c r="D59" s="3" t="inlineStr">
        <is>
          <t>PARTIAL</t>
        </is>
      </c>
      <c r="E59" s="7">
        <f>IF(B59="I1",AVERAGEIF('QA_Images'!$A$2:$A$73,A59,'QA_Images'!$T$2:$T$73)/100,IF(D59="FULL",1,IF(D59="PARTIAL",0.5,IF(D59="FAIL",0,""))))</f>
        <v/>
      </c>
      <c r="F59" s="7">
        <f>IF(E59="",0,C59*E59)</f>
        <v/>
      </c>
      <c r="G59" s="7">
        <f>IF(B59="I1",20*AVERAGEIF('QA_Images'!$A$2:$A$73,A59,'QA_Images'!$U$2:$U$73)/100,IF(D59="NOT_CHECKED",0,C59))</f>
        <v/>
      </c>
      <c r="H59" s="3" t="inlineStr">
        <is>
          <t>Primary keyword aligns with product-level US purchase intent. Primary keyword rechecked against US product-level SERP comparables.</t>
        </is>
      </c>
      <c r="I59" s="3" t="inlineStr">
        <is>
          <t>evidence_batch_012_116</t>
        </is>
      </c>
      <c r="J59" s="3" t="inlineStr">
        <is>
          <t>ISSUE-0049; ISSUE-0050; ISSUE-0051; ISSUE-0052</t>
        </is>
      </c>
    </row>
    <row r="60" ht="42" customHeight="1">
      <c r="A60" s="2" t="inlineStr">
        <is>
          <t>jeminise.com+custom-transportation-semi-truck-on-geometric-background-comforter-284b7a6d0a-284b7a6d0a</t>
        </is>
      </c>
      <c r="B60" s="2" t="inlineStr">
        <is>
          <t>K2</t>
        </is>
      </c>
      <c r="C60" s="2" t="n">
        <v>5</v>
      </c>
      <c r="D60" s="2" t="inlineStr">
        <is>
          <t>PARTIAL</t>
        </is>
      </c>
      <c r="E60" s="5">
        <f>IF(B60="I1",AVERAGEIF('QA_Images'!$A$2:$A$73,A60,'QA_Images'!$T$2:$T$73)/100,IF(D60="FULL",1,IF(D60="PARTIAL",0.5,IF(D60="FAIL",0,""))))</f>
        <v/>
      </c>
      <c r="F60" s="5">
        <f>IF(E60="",0,C60*E60)</f>
        <v/>
      </c>
      <c r="G60" s="5">
        <f>IF(B60="I1",20*AVERAGEIF('QA_Images'!$A$2:$A$73,A60,'QA_Images'!$U$2:$U$73)/100,IF(D60="NOT_CHECKED",0,C60))</f>
        <v/>
      </c>
      <c r="H60" s="2" t="inlineStr">
        <is>
          <t>Intent/cannibalization check distinguishes nearby products. Nearby product cluster has overlap risk, so intent distinction remains only partial.</t>
        </is>
      </c>
      <c r="I60" s="2" t="inlineStr">
        <is>
          <t>evidence_batch_012_116</t>
        </is>
      </c>
      <c r="J60" s="2" t="inlineStr">
        <is>
          <t>ISSUE-0049; ISSUE-0050; ISSUE-0051; ISSUE-0052</t>
        </is>
      </c>
    </row>
    <row r="61" ht="42" customHeight="1">
      <c r="A61" s="3" t="inlineStr">
        <is>
          <t>jeminise.com+custom-transportation-semi-truck-on-geometric-background-comforter-284b7a6d0a-284b7a6d0a</t>
        </is>
      </c>
      <c r="B61" s="3" t="inlineStr">
        <is>
          <t>K3</t>
        </is>
      </c>
      <c r="C61" s="3" t="n">
        <v>5</v>
      </c>
      <c r="D61" s="3" t="inlineStr">
        <is>
          <t>PARTIAL</t>
        </is>
      </c>
      <c r="E61" s="7">
        <f>IF(B61="I1",AVERAGEIF('QA_Images'!$A$2:$A$73,A61,'QA_Images'!$T$2:$T$73)/100,IF(D61="FULL",1,IF(D61="PARTIAL",0.5,IF(D61="FAIL",0,""))))</f>
        <v/>
      </c>
      <c r="F61" s="7">
        <f>IF(E61="",0,C61*E61)</f>
        <v/>
      </c>
      <c r="G61" s="7">
        <f>IF(B61="I1",20*AVERAGEIF('QA_Images'!$A$2:$A$73,A61,'QA_Images'!$U$2:$U$73)/100,IF(D61="NOT_CHECKED",0,C61))</f>
        <v/>
      </c>
      <c r="H61" s="3" t="inlineStr">
        <is>
          <t>Keyword evidence is supported by SERP comparables without unsupported volume claims. Evidence is public SERP only; no Search Console, keyword volume or customer-search corpus provided.</t>
        </is>
      </c>
      <c r="I61" s="3" t="inlineStr">
        <is>
          <t>evidence_batch_012_116</t>
        </is>
      </c>
      <c r="J61" s="3" t="inlineStr">
        <is>
          <t>ISSUE-0049; ISSUE-0050; ISSUE-0051; ISSUE-0052</t>
        </is>
      </c>
    </row>
    <row r="62" ht="42" customHeight="1">
      <c r="A62" s="2" t="inlineStr">
        <is>
          <t>jeminise.com+custom-transportation-semi-truck-on-geometric-background-comforter-284b7a6d0a-284b7a6d0a</t>
        </is>
      </c>
      <c r="B62" s="2" t="inlineStr">
        <is>
          <t>T1</t>
        </is>
      </c>
      <c r="C62" s="2" t="n">
        <v>10</v>
      </c>
      <c r="D62" s="2" t="inlineStr">
        <is>
          <t>FULL</t>
        </is>
      </c>
      <c r="E62" s="5">
        <f>IF(B62="I1",AVERAGEIF('QA_Images'!$A$2:$A$73,A62,'QA_Images'!$T$2:$T$73)/100,IF(D62="FULL",1,IF(D62="PARTIAL",0.5,IF(D62="FAIL",0,""))))</f>
        <v/>
      </c>
      <c r="F62" s="5">
        <f>IF(E62="",0,C62*E62)</f>
        <v/>
      </c>
      <c r="G62" s="5">
        <f>IF(B62="I1",20*AVERAGEIF('QA_Images'!$A$2:$A$73,A62,'QA_Images'!$U$2:$U$73)/100,IF(D62="NOT_CHECKED",0,C62))</f>
        <v/>
      </c>
      <c r="H62" s="2" t="inlineStr">
        <is>
          <t>SEO title and H1 are relevant, specific and grounded in visible/source facts. Title/H1 are product-specific and tied to visible motif/product type.</t>
        </is>
      </c>
      <c r="I62" s="2" t="inlineStr">
        <is>
          <t>evidence_batch_012_116</t>
        </is>
      </c>
      <c r="J62" s="2" t="inlineStr">
        <is>
          <t>ISSUE-0049; ISSUE-0050; ISSUE-0051; ISSUE-0052</t>
        </is>
      </c>
    </row>
    <row r="63" ht="42" customHeight="1">
      <c r="A63" s="3" t="inlineStr">
        <is>
          <t>jeminise.com+custom-transportation-semi-truck-on-geometric-background-comforter-284b7a6d0a-284b7a6d0a</t>
        </is>
      </c>
      <c r="B63" s="3" t="inlineStr">
        <is>
          <t>T2</t>
        </is>
      </c>
      <c r="C63" s="3" t="n">
        <v>5</v>
      </c>
      <c r="D63" s="3" t="inlineStr">
        <is>
          <t>PARTIAL</t>
        </is>
      </c>
      <c r="E63" s="7">
        <f>IF(B63="I1",AVERAGEIF('QA_Images'!$A$2:$A$73,A63,'QA_Images'!$T$2:$T$73)/100,IF(D63="FULL",1,IF(D63="PARTIAL",0.5,IF(D63="FAIL",0,""))))</f>
        <v/>
      </c>
      <c r="F63" s="7">
        <f>IF(E63="",0,C63*E63)</f>
        <v/>
      </c>
      <c r="G63" s="7">
        <f>IF(B63="I1",20*AVERAGEIF('QA_Images'!$A$2:$A$73,A63,'QA_Images'!$U$2:$U$73)/100,IF(D63="NOT_CHECKED",0,C63))</f>
        <v/>
      </c>
      <c r="H63" s="3" t="inlineStr">
        <is>
          <t>Meta description is concise, publish-ready and avoids unsupported claims. Meta description checked for length, specificity and supportable claims.</t>
        </is>
      </c>
      <c r="I63" s="3" t="inlineStr">
        <is>
          <t>evidence_batch_012_116</t>
        </is>
      </c>
      <c r="J63" s="3" t="inlineStr">
        <is>
          <t>ISSUE-0049; ISSUE-0050; ISSUE-0051; ISSUE-0052</t>
        </is>
      </c>
    </row>
    <row r="64" ht="42" customHeight="1">
      <c r="A64" s="2" t="inlineStr">
        <is>
          <t>jeminise.com+custom-transportation-semi-truck-on-geometric-background-comforter-284b7a6d0a-284b7a6d0a</t>
        </is>
      </c>
      <c r="B64" s="2" t="inlineStr">
        <is>
          <t>D1</t>
        </is>
      </c>
      <c r="C64" s="2" t="n">
        <v>10</v>
      </c>
      <c r="D64" s="2" t="inlineStr">
        <is>
          <t>FAIL</t>
        </is>
      </c>
      <c r="E64" s="5">
        <f>IF(B64="I1",AVERAGEIF('QA_Images'!$A$2:$A$73,A64,'QA_Images'!$T$2:$T$73)/100,IF(D64="FULL",1,IF(D64="PARTIAL",0.5,IF(D64="FAIL",0,""))))</f>
        <v/>
      </c>
      <c r="F64" s="5">
        <f>IF(E64="",0,C64*E64)</f>
        <v/>
      </c>
      <c r="G64" s="5">
        <f>IF(B64="I1",20*AVERAGEIF('QA_Images'!$A$2:$A$73,A64,'QA_Images'!$U$2:$U$73)/100,IF(D64="NOT_CHECKED",0,C64))</f>
        <v/>
      </c>
      <c r="H64" s="2" t="inlineStr">
        <is>
          <t>Description HTML is publish-ready and free of internal draft/QA instructions. Description HTML still contains internal QA/import language.</t>
        </is>
      </c>
      <c r="I64" s="2" t="inlineStr">
        <is>
          <t>evidence_batch_012_116</t>
        </is>
      </c>
      <c r="J64" s="2" t="inlineStr">
        <is>
          <t>ISSUE-0049; ISSUE-0050; ISSUE-0051; ISSUE-0052</t>
        </is>
      </c>
    </row>
    <row r="65" ht="42" customHeight="1">
      <c r="A65" s="3" t="inlineStr">
        <is>
          <t>jeminise.com+custom-transportation-semi-truck-on-geometric-background-comforter-284b7a6d0a-284b7a6d0a</t>
        </is>
      </c>
      <c r="B65" s="3" t="inlineStr">
        <is>
          <t>D2</t>
        </is>
      </c>
      <c r="C65" s="3" t="n">
        <v>5</v>
      </c>
      <c r="D65" s="3" t="inlineStr">
        <is>
          <t>PARTIAL</t>
        </is>
      </c>
      <c r="E65" s="7">
        <f>IF(B65="I1",AVERAGEIF('QA_Images'!$A$2:$A$73,A65,'QA_Images'!$T$2:$T$73)/100,IF(D65="FULL",1,IF(D65="PARTIAL",0.5,IF(D65="FAIL",0,""))))</f>
        <v/>
      </c>
      <c r="F65" s="7">
        <f>IF(E65="",0,C65*E65)</f>
        <v/>
      </c>
      <c r="G65" s="7">
        <f>IF(B65="I1",20*AVERAGEIF('QA_Images'!$A$2:$A$73,A65,'QA_Images'!$U$2:$U$73)/100,IF(D65="NOT_CHECKED",0,C65))</f>
        <v/>
      </c>
      <c r="H65" s="3" t="inlineStr">
        <is>
          <t>Description content covers verified design, product type, use case and constraints. Description covers motif/product type but remains templated and does not always map every verified constraint.</t>
        </is>
      </c>
      <c r="I65" s="3" t="inlineStr">
        <is>
          <t>evidence_batch_012_116</t>
        </is>
      </c>
      <c r="J65" s="3" t="inlineStr">
        <is>
          <t>ISSUE-0049; ISSUE-0050; ISSUE-0051; ISSUE-0052</t>
        </is>
      </c>
    </row>
    <row r="66" ht="42" customHeight="1">
      <c r="A66" s="2" t="inlineStr">
        <is>
          <t>jeminise.com+custom-transportation-semi-truck-on-geometric-background-comforter-284b7a6d0a-284b7a6d0a</t>
        </is>
      </c>
      <c r="B66" s="2" t="inlineStr">
        <is>
          <t>I1</t>
        </is>
      </c>
      <c r="C66" s="2" t="n">
        <v>20</v>
      </c>
      <c r="D66" s="2" t="inlineStr">
        <is>
          <t>FULL</t>
        </is>
      </c>
      <c r="E66" s="5">
        <f>IF(B66="I1",AVERAGEIF('QA_Images'!$A$2:$A$73,A66,'QA_Images'!$T$2:$T$73)/100,IF(D66="FULL",1,IF(D66="PARTIAL",0.5,IF(D66="FAIL",0,""))))</f>
        <v/>
      </c>
      <c r="F66" s="5">
        <f>IF(E66="",0,C66*E66)</f>
        <v/>
      </c>
      <c r="G66" s="5">
        <f>IF(B66="I1",20*AVERAGEIF('QA_Images'!$A$2:$A$73,A66,'QA_Images'!$U$2:$U$73)/100,IF(D66="NOT_CHECKED",0,C66))</f>
        <v/>
      </c>
      <c r="H66" s="2" t="inlineStr">
        <is>
          <t>Image coverage, image observations and alt text quality, derived from QA_Images. Derived from average image QA score; see QA_Images.</t>
        </is>
      </c>
      <c r="I66" s="2" t="inlineStr">
        <is>
          <t>evidence_batch_012_116</t>
        </is>
      </c>
      <c r="J66" s="2" t="inlineStr">
        <is>
          <t>ISSUE-0049; ISSUE-0050; ISSUE-0051; ISSUE-0052</t>
        </is>
      </c>
    </row>
    <row r="67" ht="42" customHeight="1">
      <c r="A67" s="3" t="inlineStr">
        <is>
          <t>jeminise.com+custom-transportation-semi-truck-on-geometric-background-comforter-284b7a6d0a-284b7a6d0a</t>
        </is>
      </c>
      <c r="B67" s="3" t="inlineStr">
        <is>
          <t>E1</t>
        </is>
      </c>
      <c r="C67" s="3" t="n">
        <v>5</v>
      </c>
      <c r="D67" s="3" t="inlineStr">
        <is>
          <t>PARTIAL</t>
        </is>
      </c>
      <c r="E67" s="7">
        <f>IF(B67="I1",AVERAGEIF('QA_Images'!$A$2:$A$73,A67,'QA_Images'!$T$2:$T$73)/100,IF(D67="FULL",1,IF(D67="PARTIAL",0.5,IF(D67="FAIL",0,""))))</f>
        <v/>
      </c>
      <c r="F67" s="7">
        <f>IF(E67="",0,C67*E67)</f>
        <v/>
      </c>
      <c r="G67" s="7">
        <f>IF(B67="I1",20*AVERAGEIF('QA_Images'!$A$2:$A$73,A67,'QA_Images'!$U$2:$U$73)/100,IF(D67="NOT_CHECKED",0,C67))</f>
        <v/>
      </c>
      <c r="H67" s="3" t="inlineStr">
        <is>
          <t>Evidence chain is traceable and limitations are explicitly separated from failures. Evidence chain is traceable, with admin-export limitation explicitly separated.</t>
        </is>
      </c>
      <c r="I67" s="3" t="inlineStr">
        <is>
          <t>evidence_batch_012_116</t>
        </is>
      </c>
      <c r="J67" s="3" t="inlineStr">
        <is>
          <t>ISSUE-0049; ISSUE-0050; ISSUE-0051; ISSUE-0052</t>
        </is>
      </c>
    </row>
    <row r="68" ht="42" customHeight="1">
      <c r="A68" s="2" t="inlineStr">
        <is>
          <t>jeminise.com+custom-tree-of-life-quilt-set-yggdrasil-bedding-97b4844050-97b4844050</t>
        </is>
      </c>
      <c r="B68" s="2" t="inlineStr">
        <is>
          <t>P1</t>
        </is>
      </c>
      <c r="C68" s="2" t="n">
        <v>15</v>
      </c>
      <c r="D68" s="2" t="inlineStr">
        <is>
          <t>FULL</t>
        </is>
      </c>
      <c r="E68" s="5">
        <f>IF(B68="I1",AVERAGEIF('QA_Images'!$A$2:$A$73,A68,'QA_Images'!$T$2:$T$73)/100,IF(D68="FULL",1,IF(D68="PARTIAL",0.5,IF(D68="FAIL",0,""))))</f>
        <v/>
      </c>
      <c r="F68" s="5">
        <f>IF(E68="",0,C68*E68)</f>
        <v/>
      </c>
      <c r="G68" s="5">
        <f>IF(B68="I1",20*AVERAGEIF('QA_Images'!$A$2:$A$73,A68,'QA_Images'!$U$2:$U$73)/100,IF(D68="NOT_CHECKED",0,C68))</f>
        <v/>
      </c>
      <c r="H68" s="2" t="inlineStr">
        <is>
          <t>Product identity, handle, product ID, URL and canonical match source/live evidence. Product key/handle/product ID/canonical checked against frozen workbook and live product evidence.</t>
        </is>
      </c>
      <c r="I68" s="2" t="inlineStr">
        <is>
          <t>evidence_batch_012_117</t>
        </is>
      </c>
      <c r="J68" s="2" t="inlineStr">
        <is>
          <t>ISSUE-0058; ISSUE-0059; ISSUE-0060</t>
        </is>
      </c>
    </row>
    <row r="69" ht="42" customHeight="1">
      <c r="A69" s="3" t="inlineStr">
        <is>
          <t>jeminise.com+custom-tree-of-life-quilt-set-yggdrasil-bedding-97b4844050-97b4844050</t>
        </is>
      </c>
      <c r="B69" s="3" t="inlineStr">
        <is>
          <t>P2</t>
        </is>
      </c>
      <c r="C69" s="3" t="n">
        <v>10</v>
      </c>
      <c r="D69" s="3" t="inlineStr">
        <is>
          <t>PARTIAL</t>
        </is>
      </c>
      <c r="E69" s="7">
        <f>IF(B69="I1",AVERAGEIF('QA_Images'!$A$2:$A$73,A69,'QA_Images'!$T$2:$T$73)/100,IF(D69="FULL",1,IF(D69="PARTIAL",0.5,IF(D69="FAIL",0,""))))</f>
        <v/>
      </c>
      <c r="F69" s="7">
        <f>IF(E69="",0,C69*E69)</f>
        <v/>
      </c>
      <c r="G69" s="7">
        <f>IF(B69="I1",20*AVERAGEIF('QA_Images'!$A$2:$A$73,A69,'QA_Images'!$U$2:$U$73)/100,IF(D69="NOT_CHECKED",0,C69))</f>
        <v/>
      </c>
      <c r="H69" s="3" t="inlineStr">
        <is>
          <t>Source product facts, variants, specifications and personalization claims are evidence-backed. Personalization/specification claims checked against storefront product.js and static customizer config.</t>
        </is>
      </c>
      <c r="I69" s="3" t="inlineStr">
        <is>
          <t>evidence_batch_012_117</t>
        </is>
      </c>
      <c r="J69" s="3" t="inlineStr">
        <is>
          <t>ISSUE-0058; ISSUE-0059; ISSUE-0060</t>
        </is>
      </c>
    </row>
    <row r="70" ht="42" customHeight="1">
      <c r="A70" s="2" t="inlineStr">
        <is>
          <t>jeminise.com+custom-tree-of-life-quilt-set-yggdrasil-bedding-97b4844050-97b4844050</t>
        </is>
      </c>
      <c r="B70" s="2" t="inlineStr">
        <is>
          <t>K1</t>
        </is>
      </c>
      <c r="C70" s="2" t="n">
        <v>10</v>
      </c>
      <c r="D70" s="2" t="inlineStr">
        <is>
          <t>PARTIAL</t>
        </is>
      </c>
      <c r="E70" s="5">
        <f>IF(B70="I1",AVERAGEIF('QA_Images'!$A$2:$A$73,A70,'QA_Images'!$T$2:$T$73)/100,IF(D70="FULL",1,IF(D70="PARTIAL",0.5,IF(D70="FAIL",0,""))))</f>
        <v/>
      </c>
      <c r="F70" s="5">
        <f>IF(E70="",0,C70*E70)</f>
        <v/>
      </c>
      <c r="G70" s="5">
        <f>IF(B70="I1",20*AVERAGEIF('QA_Images'!$A$2:$A$73,A70,'QA_Images'!$U$2:$U$73)/100,IF(D70="NOT_CHECKED",0,C70))</f>
        <v/>
      </c>
      <c r="H70" s="2" t="inlineStr">
        <is>
          <t>Primary keyword aligns with product-level US purchase intent. Primary keyword rechecked against US product-level SERP comparables.</t>
        </is>
      </c>
      <c r="I70" s="2" t="inlineStr">
        <is>
          <t>evidence_batch_012_117</t>
        </is>
      </c>
      <c r="J70" s="2" t="inlineStr">
        <is>
          <t>ISSUE-0058; ISSUE-0059; ISSUE-0060</t>
        </is>
      </c>
    </row>
    <row r="71" ht="42" customHeight="1">
      <c r="A71" s="3" t="inlineStr">
        <is>
          <t>jeminise.com+custom-tree-of-life-quilt-set-yggdrasil-bedding-97b4844050-97b4844050</t>
        </is>
      </c>
      <c r="B71" s="3" t="inlineStr">
        <is>
          <t>K2</t>
        </is>
      </c>
      <c r="C71" s="3" t="n">
        <v>5</v>
      </c>
      <c r="D71" s="3" t="inlineStr">
        <is>
          <t>PARTIAL</t>
        </is>
      </c>
      <c r="E71" s="7">
        <f>IF(B71="I1",AVERAGEIF('QA_Images'!$A$2:$A$73,A71,'QA_Images'!$T$2:$T$73)/100,IF(D71="FULL",1,IF(D71="PARTIAL",0.5,IF(D71="FAIL",0,""))))</f>
        <v/>
      </c>
      <c r="F71" s="7">
        <f>IF(E71="",0,C71*E71)</f>
        <v/>
      </c>
      <c r="G71" s="7">
        <f>IF(B71="I1",20*AVERAGEIF('QA_Images'!$A$2:$A$73,A71,'QA_Images'!$U$2:$U$73)/100,IF(D71="NOT_CHECKED",0,C71))</f>
        <v/>
      </c>
      <c r="H71" s="3" t="inlineStr">
        <is>
          <t>Intent/cannibalization check distinguishes nearby products. Nearby product cluster has overlap risk, so intent distinction remains only partial.</t>
        </is>
      </c>
      <c r="I71" s="3" t="inlineStr">
        <is>
          <t>evidence_batch_012_117</t>
        </is>
      </c>
      <c r="J71" s="3" t="inlineStr">
        <is>
          <t>ISSUE-0058; ISSUE-0059; ISSUE-0060</t>
        </is>
      </c>
    </row>
    <row r="72" ht="42" customHeight="1">
      <c r="A72" s="2" t="inlineStr">
        <is>
          <t>jeminise.com+custom-tree-of-life-quilt-set-yggdrasil-bedding-97b4844050-97b4844050</t>
        </is>
      </c>
      <c r="B72" s="2" t="inlineStr">
        <is>
          <t>K3</t>
        </is>
      </c>
      <c r="C72" s="2" t="n">
        <v>5</v>
      </c>
      <c r="D72" s="2" t="inlineStr">
        <is>
          <t>PARTIAL</t>
        </is>
      </c>
      <c r="E72" s="5">
        <f>IF(B72="I1",AVERAGEIF('QA_Images'!$A$2:$A$73,A72,'QA_Images'!$T$2:$T$73)/100,IF(D72="FULL",1,IF(D72="PARTIAL",0.5,IF(D72="FAIL",0,""))))</f>
        <v/>
      </c>
      <c r="F72" s="5">
        <f>IF(E72="",0,C72*E72)</f>
        <v/>
      </c>
      <c r="G72" s="5">
        <f>IF(B72="I1",20*AVERAGEIF('QA_Images'!$A$2:$A$73,A72,'QA_Images'!$U$2:$U$73)/100,IF(D72="NOT_CHECKED",0,C72))</f>
        <v/>
      </c>
      <c r="H72" s="2" t="inlineStr">
        <is>
          <t>Keyword evidence is supported by SERP comparables without unsupported volume claims. Evidence is public SERP only; no Search Console, keyword volume or customer-search corpus provided.</t>
        </is>
      </c>
      <c r="I72" s="2" t="inlineStr">
        <is>
          <t>evidence_batch_012_117</t>
        </is>
      </c>
      <c r="J72" s="2" t="inlineStr">
        <is>
          <t>ISSUE-0058; ISSUE-0059; ISSUE-0060</t>
        </is>
      </c>
    </row>
    <row r="73" ht="42" customHeight="1">
      <c r="A73" s="3" t="inlineStr">
        <is>
          <t>jeminise.com+custom-tree-of-life-quilt-set-yggdrasil-bedding-97b4844050-97b4844050</t>
        </is>
      </c>
      <c r="B73" s="3" t="inlineStr">
        <is>
          <t>T1</t>
        </is>
      </c>
      <c r="C73" s="3" t="n">
        <v>10</v>
      </c>
      <c r="D73" s="3" t="inlineStr">
        <is>
          <t>FULL</t>
        </is>
      </c>
      <c r="E73" s="7">
        <f>IF(B73="I1",AVERAGEIF('QA_Images'!$A$2:$A$73,A73,'QA_Images'!$T$2:$T$73)/100,IF(D73="FULL",1,IF(D73="PARTIAL",0.5,IF(D73="FAIL",0,""))))</f>
        <v/>
      </c>
      <c r="F73" s="7">
        <f>IF(E73="",0,C73*E73)</f>
        <v/>
      </c>
      <c r="G73" s="7">
        <f>IF(B73="I1",20*AVERAGEIF('QA_Images'!$A$2:$A$73,A73,'QA_Images'!$U$2:$U$73)/100,IF(D73="NOT_CHECKED",0,C73))</f>
        <v/>
      </c>
      <c r="H73" s="3" t="inlineStr">
        <is>
          <t>SEO title and H1 are relevant, specific and grounded in visible/source facts. Title/H1 are product-specific and tied to visible motif/product type.</t>
        </is>
      </c>
      <c r="I73" s="3" t="inlineStr">
        <is>
          <t>evidence_batch_012_117</t>
        </is>
      </c>
      <c r="J73" s="3" t="inlineStr">
        <is>
          <t>ISSUE-0058; ISSUE-0059; ISSUE-0060</t>
        </is>
      </c>
    </row>
    <row r="74" ht="42" customHeight="1">
      <c r="A74" s="2" t="inlineStr">
        <is>
          <t>jeminise.com+custom-tree-of-life-quilt-set-yggdrasil-bedding-97b4844050-97b4844050</t>
        </is>
      </c>
      <c r="B74" s="2" t="inlineStr">
        <is>
          <t>T2</t>
        </is>
      </c>
      <c r="C74" s="2" t="n">
        <v>5</v>
      </c>
      <c r="D74" s="2" t="inlineStr">
        <is>
          <t>PARTIAL</t>
        </is>
      </c>
      <c r="E74" s="5">
        <f>IF(B74="I1",AVERAGEIF('QA_Images'!$A$2:$A$73,A74,'QA_Images'!$T$2:$T$73)/100,IF(D74="FULL",1,IF(D74="PARTIAL",0.5,IF(D74="FAIL",0,""))))</f>
        <v/>
      </c>
      <c r="F74" s="5">
        <f>IF(E74="",0,C74*E74)</f>
        <v/>
      </c>
      <c r="G74" s="5">
        <f>IF(B74="I1",20*AVERAGEIF('QA_Images'!$A$2:$A$73,A74,'QA_Images'!$U$2:$U$73)/100,IF(D74="NOT_CHECKED",0,C74))</f>
        <v/>
      </c>
      <c r="H74" s="2" t="inlineStr">
        <is>
          <t>Meta description is concise, publish-ready and avoids unsupported claims. Meta description checked for length, specificity and supportable claims.</t>
        </is>
      </c>
      <c r="I74" s="2" t="inlineStr">
        <is>
          <t>evidence_batch_012_117</t>
        </is>
      </c>
      <c r="J74" s="2" t="inlineStr">
        <is>
          <t>ISSUE-0058; ISSUE-0059; ISSUE-0060</t>
        </is>
      </c>
    </row>
    <row r="75" ht="42" customHeight="1">
      <c r="A75" s="3" t="inlineStr">
        <is>
          <t>jeminise.com+custom-tree-of-life-quilt-set-yggdrasil-bedding-97b4844050-97b4844050</t>
        </is>
      </c>
      <c r="B75" s="3" t="inlineStr">
        <is>
          <t>D1</t>
        </is>
      </c>
      <c r="C75" s="3" t="n">
        <v>10</v>
      </c>
      <c r="D75" s="3" t="inlineStr">
        <is>
          <t>FAIL</t>
        </is>
      </c>
      <c r="E75" s="7">
        <f>IF(B75="I1",AVERAGEIF('QA_Images'!$A$2:$A$73,A75,'QA_Images'!$T$2:$T$73)/100,IF(D75="FULL",1,IF(D75="PARTIAL",0.5,IF(D75="FAIL",0,""))))</f>
        <v/>
      </c>
      <c r="F75" s="7">
        <f>IF(E75="",0,C75*E75)</f>
        <v/>
      </c>
      <c r="G75" s="7">
        <f>IF(B75="I1",20*AVERAGEIF('QA_Images'!$A$2:$A$73,A75,'QA_Images'!$U$2:$U$73)/100,IF(D75="NOT_CHECKED",0,C75))</f>
        <v/>
      </c>
      <c r="H75" s="3" t="inlineStr">
        <is>
          <t>Description HTML is publish-ready and free of internal draft/QA instructions. Description HTML still contains internal QA/import language.</t>
        </is>
      </c>
      <c r="I75" s="3" t="inlineStr">
        <is>
          <t>evidence_batch_012_117</t>
        </is>
      </c>
      <c r="J75" s="3" t="inlineStr">
        <is>
          <t>ISSUE-0058; ISSUE-0059; ISSUE-0060</t>
        </is>
      </c>
    </row>
    <row r="76" ht="42" customHeight="1">
      <c r="A76" s="2" t="inlineStr">
        <is>
          <t>jeminise.com+custom-tree-of-life-quilt-set-yggdrasil-bedding-97b4844050-97b4844050</t>
        </is>
      </c>
      <c r="B76" s="2" t="inlineStr">
        <is>
          <t>D2</t>
        </is>
      </c>
      <c r="C76" s="2" t="n">
        <v>5</v>
      </c>
      <c r="D76" s="2" t="inlineStr">
        <is>
          <t>PARTIAL</t>
        </is>
      </c>
      <c r="E76" s="5">
        <f>IF(B76="I1",AVERAGEIF('QA_Images'!$A$2:$A$73,A76,'QA_Images'!$T$2:$T$73)/100,IF(D76="FULL",1,IF(D76="PARTIAL",0.5,IF(D76="FAIL",0,""))))</f>
        <v/>
      </c>
      <c r="F76" s="5">
        <f>IF(E76="",0,C76*E76)</f>
        <v/>
      </c>
      <c r="G76" s="5">
        <f>IF(B76="I1",20*AVERAGEIF('QA_Images'!$A$2:$A$73,A76,'QA_Images'!$U$2:$U$73)/100,IF(D76="NOT_CHECKED",0,C76))</f>
        <v/>
      </c>
      <c r="H76" s="2" t="inlineStr">
        <is>
          <t>Description content covers verified design, product type, use case and constraints. Description covers motif/product type but remains templated and does not always map every verified constraint.</t>
        </is>
      </c>
      <c r="I76" s="2" t="inlineStr">
        <is>
          <t>evidence_batch_012_117</t>
        </is>
      </c>
      <c r="J76" s="2" t="inlineStr">
        <is>
          <t>ISSUE-0058; ISSUE-0059; ISSUE-0060</t>
        </is>
      </c>
    </row>
    <row r="77" ht="42" customHeight="1">
      <c r="A77" s="3" t="inlineStr">
        <is>
          <t>jeminise.com+custom-tree-of-life-quilt-set-yggdrasil-bedding-97b4844050-97b4844050</t>
        </is>
      </c>
      <c r="B77" s="3" t="inlineStr">
        <is>
          <t>I1</t>
        </is>
      </c>
      <c r="C77" s="3" t="n">
        <v>20</v>
      </c>
      <c r="D77" s="3" t="inlineStr">
        <is>
          <t>FULL</t>
        </is>
      </c>
      <c r="E77" s="7">
        <f>IF(B77="I1",AVERAGEIF('QA_Images'!$A$2:$A$73,A77,'QA_Images'!$T$2:$T$73)/100,IF(D77="FULL",1,IF(D77="PARTIAL",0.5,IF(D77="FAIL",0,""))))</f>
        <v/>
      </c>
      <c r="F77" s="7">
        <f>IF(E77="",0,C77*E77)</f>
        <v/>
      </c>
      <c r="G77" s="7">
        <f>IF(B77="I1",20*AVERAGEIF('QA_Images'!$A$2:$A$73,A77,'QA_Images'!$U$2:$U$73)/100,IF(D77="NOT_CHECKED",0,C77))</f>
        <v/>
      </c>
      <c r="H77" s="3" t="inlineStr">
        <is>
          <t>Image coverage, image observations and alt text quality, derived from QA_Images. Derived from average image QA score; see QA_Images.</t>
        </is>
      </c>
      <c r="I77" s="3" t="inlineStr">
        <is>
          <t>evidence_batch_012_117</t>
        </is>
      </c>
      <c r="J77" s="3" t="inlineStr">
        <is>
          <t>ISSUE-0058; ISSUE-0059; ISSUE-0060</t>
        </is>
      </c>
    </row>
    <row r="78" ht="42" customHeight="1">
      <c r="A78" s="2" t="inlineStr">
        <is>
          <t>jeminise.com+custom-tree-of-life-quilt-set-yggdrasil-bedding-97b4844050-97b4844050</t>
        </is>
      </c>
      <c r="B78" s="2" t="inlineStr">
        <is>
          <t>E1</t>
        </is>
      </c>
      <c r="C78" s="2" t="n">
        <v>5</v>
      </c>
      <c r="D78" s="2" t="inlineStr">
        <is>
          <t>PARTIAL</t>
        </is>
      </c>
      <c r="E78" s="5">
        <f>IF(B78="I1",AVERAGEIF('QA_Images'!$A$2:$A$73,A78,'QA_Images'!$T$2:$T$73)/100,IF(D78="FULL",1,IF(D78="PARTIAL",0.5,IF(D78="FAIL",0,""))))</f>
        <v/>
      </c>
      <c r="F78" s="5">
        <f>IF(E78="",0,C78*E78)</f>
        <v/>
      </c>
      <c r="G78" s="5">
        <f>IF(B78="I1",20*AVERAGEIF('QA_Images'!$A$2:$A$73,A78,'QA_Images'!$U$2:$U$73)/100,IF(D78="NOT_CHECKED",0,C78))</f>
        <v/>
      </c>
      <c r="H78" s="2" t="inlineStr">
        <is>
          <t>Evidence chain is traceable and limitations are explicitly separated from failures. Evidence chain is traceable, with admin-export limitation explicitly separated.</t>
        </is>
      </c>
      <c r="I78" s="2" t="inlineStr">
        <is>
          <t>evidence_batch_012_117</t>
        </is>
      </c>
      <c r="J78" s="2" t="inlineStr">
        <is>
          <t>ISSUE-0058; ISSUE-0059; ISSUE-0060</t>
        </is>
      </c>
    </row>
    <row r="79" ht="42" customHeight="1">
      <c r="A79" s="3" t="inlineStr">
        <is>
          <t>jeminise.com+custom-tree-of-life-quilt-set-yggdrasil-bedding-0038a4731b-0038a4731b</t>
        </is>
      </c>
      <c r="B79" s="3" t="inlineStr">
        <is>
          <t>P1</t>
        </is>
      </c>
      <c r="C79" s="3" t="n">
        <v>15</v>
      </c>
      <c r="D79" s="3" t="inlineStr">
        <is>
          <t>FULL</t>
        </is>
      </c>
      <c r="E79" s="7">
        <f>IF(B79="I1",AVERAGEIF('QA_Images'!$A$2:$A$73,A79,'QA_Images'!$T$2:$T$73)/100,IF(D79="FULL",1,IF(D79="PARTIAL",0.5,IF(D79="FAIL",0,""))))</f>
        <v/>
      </c>
      <c r="F79" s="7">
        <f>IF(E79="",0,C79*E79)</f>
        <v/>
      </c>
      <c r="G79" s="7">
        <f>IF(B79="I1",20*AVERAGEIF('QA_Images'!$A$2:$A$73,A79,'QA_Images'!$U$2:$U$73)/100,IF(D79="NOT_CHECKED",0,C79))</f>
        <v/>
      </c>
      <c r="H79" s="3" t="inlineStr">
        <is>
          <t>Product identity, handle, product ID, URL and canonical match source/live evidence. Product key/handle/product ID/canonical checked against frozen workbook and live product evidence.</t>
        </is>
      </c>
      <c r="I79" s="3" t="inlineStr">
        <is>
          <t>evidence_batch_012_118</t>
        </is>
      </c>
      <c r="J79" s="3" t="inlineStr">
        <is>
          <t>ISSUE-0066; ISSUE-0067; ISSUE-0068</t>
        </is>
      </c>
    </row>
    <row r="80" ht="42" customHeight="1">
      <c r="A80" s="2" t="inlineStr">
        <is>
          <t>jeminise.com+custom-tree-of-life-quilt-set-yggdrasil-bedding-0038a4731b-0038a4731b</t>
        </is>
      </c>
      <c r="B80" s="2" t="inlineStr">
        <is>
          <t>P2</t>
        </is>
      </c>
      <c r="C80" s="2" t="n">
        <v>10</v>
      </c>
      <c r="D80" s="2" t="inlineStr">
        <is>
          <t>PARTIAL</t>
        </is>
      </c>
      <c r="E80" s="5">
        <f>IF(B80="I1",AVERAGEIF('QA_Images'!$A$2:$A$73,A80,'QA_Images'!$T$2:$T$73)/100,IF(D80="FULL",1,IF(D80="PARTIAL",0.5,IF(D80="FAIL",0,""))))</f>
        <v/>
      </c>
      <c r="F80" s="5">
        <f>IF(E80="",0,C80*E80)</f>
        <v/>
      </c>
      <c r="G80" s="5">
        <f>IF(B80="I1",20*AVERAGEIF('QA_Images'!$A$2:$A$73,A80,'QA_Images'!$U$2:$U$73)/100,IF(D80="NOT_CHECKED",0,C80))</f>
        <v/>
      </c>
      <c r="H80" s="2" t="inlineStr">
        <is>
          <t>Source product facts, variants, specifications and personalization claims are evidence-backed. Personalization/specification claims checked against storefront product.js and static customizer config.</t>
        </is>
      </c>
      <c r="I80" s="2" t="inlineStr">
        <is>
          <t>evidence_batch_012_118</t>
        </is>
      </c>
      <c r="J80" s="2" t="inlineStr">
        <is>
          <t>ISSUE-0066; ISSUE-0067; ISSUE-0068</t>
        </is>
      </c>
    </row>
    <row r="81" ht="42" customHeight="1">
      <c r="A81" s="3" t="inlineStr">
        <is>
          <t>jeminise.com+custom-tree-of-life-quilt-set-yggdrasil-bedding-0038a4731b-0038a4731b</t>
        </is>
      </c>
      <c r="B81" s="3" t="inlineStr">
        <is>
          <t>K1</t>
        </is>
      </c>
      <c r="C81" s="3" t="n">
        <v>10</v>
      </c>
      <c r="D81" s="3" t="inlineStr">
        <is>
          <t>PARTIAL</t>
        </is>
      </c>
      <c r="E81" s="7">
        <f>IF(B81="I1",AVERAGEIF('QA_Images'!$A$2:$A$73,A81,'QA_Images'!$T$2:$T$73)/100,IF(D81="FULL",1,IF(D81="PARTIAL",0.5,IF(D81="FAIL",0,""))))</f>
        <v/>
      </c>
      <c r="F81" s="7">
        <f>IF(E81="",0,C81*E81)</f>
        <v/>
      </c>
      <c r="G81" s="7">
        <f>IF(B81="I1",20*AVERAGEIF('QA_Images'!$A$2:$A$73,A81,'QA_Images'!$U$2:$U$73)/100,IF(D81="NOT_CHECKED",0,C81))</f>
        <v/>
      </c>
      <c r="H81" s="3" t="inlineStr">
        <is>
          <t>Primary keyword aligns with product-level US purchase intent. Primary keyword rechecked against US product-level SERP comparables.</t>
        </is>
      </c>
      <c r="I81" s="3" t="inlineStr">
        <is>
          <t>evidence_batch_012_118</t>
        </is>
      </c>
      <c r="J81" s="3" t="inlineStr">
        <is>
          <t>ISSUE-0066; ISSUE-0067; ISSUE-0068</t>
        </is>
      </c>
    </row>
    <row r="82" ht="42" customHeight="1">
      <c r="A82" s="2" t="inlineStr">
        <is>
          <t>jeminise.com+custom-tree-of-life-quilt-set-yggdrasil-bedding-0038a4731b-0038a4731b</t>
        </is>
      </c>
      <c r="B82" s="2" t="inlineStr">
        <is>
          <t>K2</t>
        </is>
      </c>
      <c r="C82" s="2" t="n">
        <v>5</v>
      </c>
      <c r="D82" s="2" t="inlineStr">
        <is>
          <t>PARTIAL</t>
        </is>
      </c>
      <c r="E82" s="5">
        <f>IF(B82="I1",AVERAGEIF('QA_Images'!$A$2:$A$73,A82,'QA_Images'!$T$2:$T$73)/100,IF(D82="FULL",1,IF(D82="PARTIAL",0.5,IF(D82="FAIL",0,""))))</f>
        <v/>
      </c>
      <c r="F82" s="5">
        <f>IF(E82="",0,C82*E82)</f>
        <v/>
      </c>
      <c r="G82" s="5">
        <f>IF(B82="I1",20*AVERAGEIF('QA_Images'!$A$2:$A$73,A82,'QA_Images'!$U$2:$U$73)/100,IF(D82="NOT_CHECKED",0,C82))</f>
        <v/>
      </c>
      <c r="H82" s="2" t="inlineStr">
        <is>
          <t>Intent/cannibalization check distinguishes nearby products. Nearby product cluster has overlap risk, so intent distinction remains only partial.</t>
        </is>
      </c>
      <c r="I82" s="2" t="inlineStr">
        <is>
          <t>evidence_batch_012_118</t>
        </is>
      </c>
      <c r="J82" s="2" t="inlineStr">
        <is>
          <t>ISSUE-0066; ISSUE-0067; ISSUE-0068</t>
        </is>
      </c>
    </row>
    <row r="83" ht="42" customHeight="1">
      <c r="A83" s="3" t="inlineStr">
        <is>
          <t>jeminise.com+custom-tree-of-life-quilt-set-yggdrasil-bedding-0038a4731b-0038a4731b</t>
        </is>
      </c>
      <c r="B83" s="3" t="inlineStr">
        <is>
          <t>K3</t>
        </is>
      </c>
      <c r="C83" s="3" t="n">
        <v>5</v>
      </c>
      <c r="D83" s="3" t="inlineStr">
        <is>
          <t>PARTIAL</t>
        </is>
      </c>
      <c r="E83" s="7">
        <f>IF(B83="I1",AVERAGEIF('QA_Images'!$A$2:$A$73,A83,'QA_Images'!$T$2:$T$73)/100,IF(D83="FULL",1,IF(D83="PARTIAL",0.5,IF(D83="FAIL",0,""))))</f>
        <v/>
      </c>
      <c r="F83" s="7">
        <f>IF(E83="",0,C83*E83)</f>
        <v/>
      </c>
      <c r="G83" s="7">
        <f>IF(B83="I1",20*AVERAGEIF('QA_Images'!$A$2:$A$73,A83,'QA_Images'!$U$2:$U$73)/100,IF(D83="NOT_CHECKED",0,C83))</f>
        <v/>
      </c>
      <c r="H83" s="3" t="inlineStr">
        <is>
          <t>Keyword evidence is supported by SERP comparables without unsupported volume claims. Evidence is public SERP only; no Search Console, keyword volume or customer-search corpus provided.</t>
        </is>
      </c>
      <c r="I83" s="3" t="inlineStr">
        <is>
          <t>evidence_batch_012_118</t>
        </is>
      </c>
      <c r="J83" s="3" t="inlineStr">
        <is>
          <t>ISSUE-0066; ISSUE-0067; ISSUE-0068</t>
        </is>
      </c>
    </row>
    <row r="84" ht="42" customHeight="1">
      <c r="A84" s="2" t="inlineStr">
        <is>
          <t>jeminise.com+custom-tree-of-life-quilt-set-yggdrasil-bedding-0038a4731b-0038a4731b</t>
        </is>
      </c>
      <c r="B84" s="2" t="inlineStr">
        <is>
          <t>T1</t>
        </is>
      </c>
      <c r="C84" s="2" t="n">
        <v>10</v>
      </c>
      <c r="D84" s="2" t="inlineStr">
        <is>
          <t>FULL</t>
        </is>
      </c>
      <c r="E84" s="5">
        <f>IF(B84="I1",AVERAGEIF('QA_Images'!$A$2:$A$73,A84,'QA_Images'!$T$2:$T$73)/100,IF(D84="FULL",1,IF(D84="PARTIAL",0.5,IF(D84="FAIL",0,""))))</f>
        <v/>
      </c>
      <c r="F84" s="5">
        <f>IF(E84="",0,C84*E84)</f>
        <v/>
      </c>
      <c r="G84" s="5">
        <f>IF(B84="I1",20*AVERAGEIF('QA_Images'!$A$2:$A$73,A84,'QA_Images'!$U$2:$U$73)/100,IF(D84="NOT_CHECKED",0,C84))</f>
        <v/>
      </c>
      <c r="H84" s="2" t="inlineStr">
        <is>
          <t>SEO title and H1 are relevant, specific and grounded in visible/source facts. Title/H1 are product-specific and tied to visible motif/product type.</t>
        </is>
      </c>
      <c r="I84" s="2" t="inlineStr">
        <is>
          <t>evidence_batch_012_118</t>
        </is>
      </c>
      <c r="J84" s="2" t="inlineStr">
        <is>
          <t>ISSUE-0066; ISSUE-0067; ISSUE-0068</t>
        </is>
      </c>
    </row>
    <row r="85" ht="42" customHeight="1">
      <c r="A85" s="3" t="inlineStr">
        <is>
          <t>jeminise.com+custom-tree-of-life-quilt-set-yggdrasil-bedding-0038a4731b-0038a4731b</t>
        </is>
      </c>
      <c r="B85" s="3" t="inlineStr">
        <is>
          <t>T2</t>
        </is>
      </c>
      <c r="C85" s="3" t="n">
        <v>5</v>
      </c>
      <c r="D85" s="3" t="inlineStr">
        <is>
          <t>PARTIAL</t>
        </is>
      </c>
      <c r="E85" s="7">
        <f>IF(B85="I1",AVERAGEIF('QA_Images'!$A$2:$A$73,A85,'QA_Images'!$T$2:$T$73)/100,IF(D85="FULL",1,IF(D85="PARTIAL",0.5,IF(D85="FAIL",0,""))))</f>
        <v/>
      </c>
      <c r="F85" s="7">
        <f>IF(E85="",0,C85*E85)</f>
        <v/>
      </c>
      <c r="G85" s="7">
        <f>IF(B85="I1",20*AVERAGEIF('QA_Images'!$A$2:$A$73,A85,'QA_Images'!$U$2:$U$73)/100,IF(D85="NOT_CHECKED",0,C85))</f>
        <v/>
      </c>
      <c r="H85" s="3" t="inlineStr">
        <is>
          <t>Meta description is concise, publish-ready and avoids unsupported claims. Meta description checked for length, specificity and supportable claims.</t>
        </is>
      </c>
      <c r="I85" s="3" t="inlineStr">
        <is>
          <t>evidence_batch_012_118</t>
        </is>
      </c>
      <c r="J85" s="3" t="inlineStr">
        <is>
          <t>ISSUE-0066; ISSUE-0067; ISSUE-0068</t>
        </is>
      </c>
    </row>
    <row r="86" ht="42" customHeight="1">
      <c r="A86" s="2" t="inlineStr">
        <is>
          <t>jeminise.com+custom-tree-of-life-quilt-set-yggdrasil-bedding-0038a4731b-0038a4731b</t>
        </is>
      </c>
      <c r="B86" s="2" t="inlineStr">
        <is>
          <t>D1</t>
        </is>
      </c>
      <c r="C86" s="2" t="n">
        <v>10</v>
      </c>
      <c r="D86" s="2" t="inlineStr">
        <is>
          <t>FAIL</t>
        </is>
      </c>
      <c r="E86" s="5">
        <f>IF(B86="I1",AVERAGEIF('QA_Images'!$A$2:$A$73,A86,'QA_Images'!$T$2:$T$73)/100,IF(D86="FULL",1,IF(D86="PARTIAL",0.5,IF(D86="FAIL",0,""))))</f>
        <v/>
      </c>
      <c r="F86" s="5">
        <f>IF(E86="",0,C86*E86)</f>
        <v/>
      </c>
      <c r="G86" s="5">
        <f>IF(B86="I1",20*AVERAGEIF('QA_Images'!$A$2:$A$73,A86,'QA_Images'!$U$2:$U$73)/100,IF(D86="NOT_CHECKED",0,C86))</f>
        <v/>
      </c>
      <c r="H86" s="2" t="inlineStr">
        <is>
          <t>Description HTML is publish-ready and free of internal draft/QA instructions. Description HTML still contains internal QA/import language.</t>
        </is>
      </c>
      <c r="I86" s="2" t="inlineStr">
        <is>
          <t>evidence_batch_012_118</t>
        </is>
      </c>
      <c r="J86" s="2" t="inlineStr">
        <is>
          <t>ISSUE-0066; ISSUE-0067; ISSUE-0068</t>
        </is>
      </c>
    </row>
    <row r="87" ht="42" customHeight="1">
      <c r="A87" s="3" t="inlineStr">
        <is>
          <t>jeminise.com+custom-tree-of-life-quilt-set-yggdrasil-bedding-0038a4731b-0038a4731b</t>
        </is>
      </c>
      <c r="B87" s="3" t="inlineStr">
        <is>
          <t>D2</t>
        </is>
      </c>
      <c r="C87" s="3" t="n">
        <v>5</v>
      </c>
      <c r="D87" s="3" t="inlineStr">
        <is>
          <t>PARTIAL</t>
        </is>
      </c>
      <c r="E87" s="7">
        <f>IF(B87="I1",AVERAGEIF('QA_Images'!$A$2:$A$73,A87,'QA_Images'!$T$2:$T$73)/100,IF(D87="FULL",1,IF(D87="PARTIAL",0.5,IF(D87="FAIL",0,""))))</f>
        <v/>
      </c>
      <c r="F87" s="7">
        <f>IF(E87="",0,C87*E87)</f>
        <v/>
      </c>
      <c r="G87" s="7">
        <f>IF(B87="I1",20*AVERAGEIF('QA_Images'!$A$2:$A$73,A87,'QA_Images'!$U$2:$U$73)/100,IF(D87="NOT_CHECKED",0,C87))</f>
        <v/>
      </c>
      <c r="H87" s="3" t="inlineStr">
        <is>
          <t>Description content covers verified design, product type, use case and constraints. Description covers motif/product type but remains templated and does not always map every verified constraint.</t>
        </is>
      </c>
      <c r="I87" s="3" t="inlineStr">
        <is>
          <t>evidence_batch_012_118</t>
        </is>
      </c>
      <c r="J87" s="3" t="inlineStr">
        <is>
          <t>ISSUE-0066; ISSUE-0067; ISSUE-0068</t>
        </is>
      </c>
    </row>
    <row r="88" ht="42" customHeight="1">
      <c r="A88" s="2" t="inlineStr">
        <is>
          <t>jeminise.com+custom-tree-of-life-quilt-set-yggdrasil-bedding-0038a4731b-0038a4731b</t>
        </is>
      </c>
      <c r="B88" s="2" t="inlineStr">
        <is>
          <t>I1</t>
        </is>
      </c>
      <c r="C88" s="2" t="n">
        <v>20</v>
      </c>
      <c r="D88" s="2" t="inlineStr">
        <is>
          <t>FULL</t>
        </is>
      </c>
      <c r="E88" s="5">
        <f>IF(B88="I1",AVERAGEIF('QA_Images'!$A$2:$A$73,A88,'QA_Images'!$T$2:$T$73)/100,IF(D88="FULL",1,IF(D88="PARTIAL",0.5,IF(D88="FAIL",0,""))))</f>
        <v/>
      </c>
      <c r="F88" s="5">
        <f>IF(E88="",0,C88*E88)</f>
        <v/>
      </c>
      <c r="G88" s="5">
        <f>IF(B88="I1",20*AVERAGEIF('QA_Images'!$A$2:$A$73,A88,'QA_Images'!$U$2:$U$73)/100,IF(D88="NOT_CHECKED",0,C88))</f>
        <v/>
      </c>
      <c r="H88" s="2" t="inlineStr">
        <is>
          <t>Image coverage, image observations and alt text quality, derived from QA_Images. Derived from average image QA score; see QA_Images.</t>
        </is>
      </c>
      <c r="I88" s="2" t="inlineStr">
        <is>
          <t>evidence_batch_012_118</t>
        </is>
      </c>
      <c r="J88" s="2" t="inlineStr">
        <is>
          <t>ISSUE-0066; ISSUE-0067; ISSUE-0068</t>
        </is>
      </c>
    </row>
    <row r="89" ht="42" customHeight="1">
      <c r="A89" s="3" t="inlineStr">
        <is>
          <t>jeminise.com+custom-tree-of-life-quilt-set-yggdrasil-bedding-0038a4731b-0038a4731b</t>
        </is>
      </c>
      <c r="B89" s="3" t="inlineStr">
        <is>
          <t>E1</t>
        </is>
      </c>
      <c r="C89" s="3" t="n">
        <v>5</v>
      </c>
      <c r="D89" s="3" t="inlineStr">
        <is>
          <t>PARTIAL</t>
        </is>
      </c>
      <c r="E89" s="7">
        <f>IF(B89="I1",AVERAGEIF('QA_Images'!$A$2:$A$73,A89,'QA_Images'!$T$2:$T$73)/100,IF(D89="FULL",1,IF(D89="PARTIAL",0.5,IF(D89="FAIL",0,""))))</f>
        <v/>
      </c>
      <c r="F89" s="7">
        <f>IF(E89="",0,C89*E89)</f>
        <v/>
      </c>
      <c r="G89" s="7">
        <f>IF(B89="I1",20*AVERAGEIF('QA_Images'!$A$2:$A$73,A89,'QA_Images'!$U$2:$U$73)/100,IF(D89="NOT_CHECKED",0,C89))</f>
        <v/>
      </c>
      <c r="H89" s="3" t="inlineStr">
        <is>
          <t>Evidence chain is traceable and limitations are explicitly separated from failures. Evidence chain is traceable, with admin-export limitation explicitly separated.</t>
        </is>
      </c>
      <c r="I89" s="3" t="inlineStr">
        <is>
          <t>evidence_batch_012_118</t>
        </is>
      </c>
      <c r="J89" s="3" t="inlineStr">
        <is>
          <t>ISSUE-0066; ISSUE-0067; ISSUE-0068</t>
        </is>
      </c>
    </row>
    <row r="90" ht="42" customHeight="1">
      <c r="A90" s="2" t="inlineStr">
        <is>
          <t>jeminise.com+custom-trucking-semi-truck-breaking-through-stone-wall-comforter-7a6b616ec4-7a6b616ec4</t>
        </is>
      </c>
      <c r="B90" s="2" t="inlineStr">
        <is>
          <t>P1</t>
        </is>
      </c>
      <c r="C90" s="2" t="n">
        <v>15</v>
      </c>
      <c r="D90" s="2" t="inlineStr">
        <is>
          <t>FULL</t>
        </is>
      </c>
      <c r="E90" s="5">
        <f>IF(B90="I1",AVERAGEIF('QA_Images'!$A$2:$A$73,A90,'QA_Images'!$T$2:$T$73)/100,IF(D90="FULL",1,IF(D90="PARTIAL",0.5,IF(D90="FAIL",0,""))))</f>
        <v/>
      </c>
      <c r="F90" s="5">
        <f>IF(E90="",0,C90*E90)</f>
        <v/>
      </c>
      <c r="G90" s="5">
        <f>IF(B90="I1",20*AVERAGEIF('QA_Images'!$A$2:$A$73,A90,'QA_Images'!$U$2:$U$73)/100,IF(D90="NOT_CHECKED",0,C90))</f>
        <v/>
      </c>
      <c r="H90" s="2" t="inlineStr">
        <is>
          <t>Product identity, handle, product ID, URL and canonical match source/live evidence. Product key/handle/product ID/canonical checked against frozen workbook and live product evidence.</t>
        </is>
      </c>
      <c r="I90" s="2" t="inlineStr">
        <is>
          <t>evidence_batch_012_119</t>
        </is>
      </c>
      <c r="J90" s="2" t="inlineStr">
        <is>
          <t>ISSUE-0074; ISSUE-0075; ISSUE-0076; ISSUE-0077</t>
        </is>
      </c>
    </row>
    <row r="91" ht="42" customHeight="1">
      <c r="A91" s="3" t="inlineStr">
        <is>
          <t>jeminise.com+custom-trucking-semi-truck-breaking-through-stone-wall-comforter-7a6b616ec4-7a6b616ec4</t>
        </is>
      </c>
      <c r="B91" s="3" t="inlineStr">
        <is>
          <t>P2</t>
        </is>
      </c>
      <c r="C91" s="3" t="n">
        <v>10</v>
      </c>
      <c r="D91" s="3" t="inlineStr">
        <is>
          <t>PARTIAL</t>
        </is>
      </c>
      <c r="E91" s="7">
        <f>IF(B91="I1",AVERAGEIF('QA_Images'!$A$2:$A$73,A91,'QA_Images'!$T$2:$T$73)/100,IF(D91="FULL",1,IF(D91="PARTIAL",0.5,IF(D91="FAIL",0,""))))</f>
        <v/>
      </c>
      <c r="F91" s="7">
        <f>IF(E91="",0,C91*E91)</f>
        <v/>
      </c>
      <c r="G91" s="7">
        <f>IF(B91="I1",20*AVERAGEIF('QA_Images'!$A$2:$A$73,A91,'QA_Images'!$U$2:$U$73)/100,IF(D91="NOT_CHECKED",0,C91))</f>
        <v/>
      </c>
      <c r="H91" s="3" t="inlineStr">
        <is>
          <t>Source product facts, variants, specifications and personalization claims are evidence-backed. Personalization/specification claims checked against storefront product.js and static customizer config.</t>
        </is>
      </c>
      <c r="I91" s="3" t="inlineStr">
        <is>
          <t>evidence_batch_012_119</t>
        </is>
      </c>
      <c r="J91" s="3" t="inlineStr">
        <is>
          <t>ISSUE-0074; ISSUE-0075; ISSUE-0076; ISSUE-0077</t>
        </is>
      </c>
    </row>
    <row r="92" ht="42" customHeight="1">
      <c r="A92" s="2" t="inlineStr">
        <is>
          <t>jeminise.com+custom-trucking-semi-truck-breaking-through-stone-wall-comforter-7a6b616ec4-7a6b616ec4</t>
        </is>
      </c>
      <c r="B92" s="2" t="inlineStr">
        <is>
          <t>K1</t>
        </is>
      </c>
      <c r="C92" s="2" t="n">
        <v>10</v>
      </c>
      <c r="D92" s="2" t="inlineStr">
        <is>
          <t>PARTIAL</t>
        </is>
      </c>
      <c r="E92" s="5">
        <f>IF(B92="I1",AVERAGEIF('QA_Images'!$A$2:$A$73,A92,'QA_Images'!$T$2:$T$73)/100,IF(D92="FULL",1,IF(D92="PARTIAL",0.5,IF(D92="FAIL",0,""))))</f>
        <v/>
      </c>
      <c r="F92" s="5">
        <f>IF(E92="",0,C92*E92)</f>
        <v/>
      </c>
      <c r="G92" s="5">
        <f>IF(B92="I1",20*AVERAGEIF('QA_Images'!$A$2:$A$73,A92,'QA_Images'!$U$2:$U$73)/100,IF(D92="NOT_CHECKED",0,C92))</f>
        <v/>
      </c>
      <c r="H92" s="2" t="inlineStr">
        <is>
          <t>Primary keyword aligns with product-level US purchase intent. Primary keyword rechecked against US product-level SERP comparables.</t>
        </is>
      </c>
      <c r="I92" s="2" t="inlineStr">
        <is>
          <t>evidence_batch_012_119</t>
        </is>
      </c>
      <c r="J92" s="2" t="inlineStr">
        <is>
          <t>ISSUE-0074; ISSUE-0075; ISSUE-0076; ISSUE-0077</t>
        </is>
      </c>
    </row>
    <row r="93" ht="42" customHeight="1">
      <c r="A93" s="3" t="inlineStr">
        <is>
          <t>jeminise.com+custom-trucking-semi-truck-breaking-through-stone-wall-comforter-7a6b616ec4-7a6b616ec4</t>
        </is>
      </c>
      <c r="B93" s="3" t="inlineStr">
        <is>
          <t>K2</t>
        </is>
      </c>
      <c r="C93" s="3" t="n">
        <v>5</v>
      </c>
      <c r="D93" s="3" t="inlineStr">
        <is>
          <t>PARTIAL</t>
        </is>
      </c>
      <c r="E93" s="7">
        <f>IF(B93="I1",AVERAGEIF('QA_Images'!$A$2:$A$73,A93,'QA_Images'!$T$2:$T$73)/100,IF(D93="FULL",1,IF(D93="PARTIAL",0.5,IF(D93="FAIL",0,""))))</f>
        <v/>
      </c>
      <c r="F93" s="7">
        <f>IF(E93="",0,C93*E93)</f>
        <v/>
      </c>
      <c r="G93" s="7">
        <f>IF(B93="I1",20*AVERAGEIF('QA_Images'!$A$2:$A$73,A93,'QA_Images'!$U$2:$U$73)/100,IF(D93="NOT_CHECKED",0,C93))</f>
        <v/>
      </c>
      <c r="H93" s="3" t="inlineStr">
        <is>
          <t>Intent/cannibalization check distinguishes nearby products. Nearby product cluster has overlap risk, so intent distinction remains only partial.</t>
        </is>
      </c>
      <c r="I93" s="3" t="inlineStr">
        <is>
          <t>evidence_batch_012_119</t>
        </is>
      </c>
      <c r="J93" s="3" t="inlineStr">
        <is>
          <t>ISSUE-0074; ISSUE-0075; ISSUE-0076; ISSUE-0077</t>
        </is>
      </c>
    </row>
    <row r="94" ht="42" customHeight="1">
      <c r="A94" s="2" t="inlineStr">
        <is>
          <t>jeminise.com+custom-trucking-semi-truck-breaking-through-stone-wall-comforter-7a6b616ec4-7a6b616ec4</t>
        </is>
      </c>
      <c r="B94" s="2" t="inlineStr">
        <is>
          <t>K3</t>
        </is>
      </c>
      <c r="C94" s="2" t="n">
        <v>5</v>
      </c>
      <c r="D94" s="2" t="inlineStr">
        <is>
          <t>PARTIAL</t>
        </is>
      </c>
      <c r="E94" s="5">
        <f>IF(B94="I1",AVERAGEIF('QA_Images'!$A$2:$A$73,A94,'QA_Images'!$T$2:$T$73)/100,IF(D94="FULL",1,IF(D94="PARTIAL",0.5,IF(D94="FAIL",0,""))))</f>
        <v/>
      </c>
      <c r="F94" s="5">
        <f>IF(E94="",0,C94*E94)</f>
        <v/>
      </c>
      <c r="G94" s="5">
        <f>IF(B94="I1",20*AVERAGEIF('QA_Images'!$A$2:$A$73,A94,'QA_Images'!$U$2:$U$73)/100,IF(D94="NOT_CHECKED",0,C94))</f>
        <v/>
      </c>
      <c r="H94" s="2" t="inlineStr">
        <is>
          <t>Keyword evidence is supported by SERP comparables without unsupported volume claims. Evidence is public SERP only; no Search Console, keyword volume or customer-search corpus provided.</t>
        </is>
      </c>
      <c r="I94" s="2" t="inlineStr">
        <is>
          <t>evidence_batch_012_119</t>
        </is>
      </c>
      <c r="J94" s="2" t="inlineStr">
        <is>
          <t>ISSUE-0074; ISSUE-0075; ISSUE-0076; ISSUE-0077</t>
        </is>
      </c>
    </row>
    <row r="95" ht="42" customHeight="1">
      <c r="A95" s="3" t="inlineStr">
        <is>
          <t>jeminise.com+custom-trucking-semi-truck-breaking-through-stone-wall-comforter-7a6b616ec4-7a6b616ec4</t>
        </is>
      </c>
      <c r="B95" s="3" t="inlineStr">
        <is>
          <t>T1</t>
        </is>
      </c>
      <c r="C95" s="3" t="n">
        <v>10</v>
      </c>
      <c r="D95" s="3" t="inlineStr">
        <is>
          <t>FULL</t>
        </is>
      </c>
      <c r="E95" s="7">
        <f>IF(B95="I1",AVERAGEIF('QA_Images'!$A$2:$A$73,A95,'QA_Images'!$T$2:$T$73)/100,IF(D95="FULL",1,IF(D95="PARTIAL",0.5,IF(D95="FAIL",0,""))))</f>
        <v/>
      </c>
      <c r="F95" s="7">
        <f>IF(E95="",0,C95*E95)</f>
        <v/>
      </c>
      <c r="G95" s="7">
        <f>IF(B95="I1",20*AVERAGEIF('QA_Images'!$A$2:$A$73,A95,'QA_Images'!$U$2:$U$73)/100,IF(D95="NOT_CHECKED",0,C95))</f>
        <v/>
      </c>
      <c r="H95" s="3" t="inlineStr">
        <is>
          <t>SEO title and H1 are relevant, specific and grounded in visible/source facts. Title/H1 are product-specific and tied to visible motif/product type.</t>
        </is>
      </c>
      <c r="I95" s="3" t="inlineStr">
        <is>
          <t>evidence_batch_012_119</t>
        </is>
      </c>
      <c r="J95" s="3" t="inlineStr">
        <is>
          <t>ISSUE-0074; ISSUE-0075; ISSUE-0076; ISSUE-0077</t>
        </is>
      </c>
    </row>
    <row r="96" ht="42" customHeight="1">
      <c r="A96" s="2" t="inlineStr">
        <is>
          <t>jeminise.com+custom-trucking-semi-truck-breaking-through-stone-wall-comforter-7a6b616ec4-7a6b616ec4</t>
        </is>
      </c>
      <c r="B96" s="2" t="inlineStr">
        <is>
          <t>T2</t>
        </is>
      </c>
      <c r="C96" s="2" t="n">
        <v>5</v>
      </c>
      <c r="D96" s="2" t="inlineStr">
        <is>
          <t>PARTIAL</t>
        </is>
      </c>
      <c r="E96" s="5">
        <f>IF(B96="I1",AVERAGEIF('QA_Images'!$A$2:$A$73,A96,'QA_Images'!$T$2:$T$73)/100,IF(D96="FULL",1,IF(D96="PARTIAL",0.5,IF(D96="FAIL",0,""))))</f>
        <v/>
      </c>
      <c r="F96" s="5">
        <f>IF(E96="",0,C96*E96)</f>
        <v/>
      </c>
      <c r="G96" s="5">
        <f>IF(B96="I1",20*AVERAGEIF('QA_Images'!$A$2:$A$73,A96,'QA_Images'!$U$2:$U$73)/100,IF(D96="NOT_CHECKED",0,C96))</f>
        <v/>
      </c>
      <c r="H96" s="2" t="inlineStr">
        <is>
          <t>Meta description is concise, publish-ready and avoids unsupported claims. Meta description checked for length, specificity and supportable claims.</t>
        </is>
      </c>
      <c r="I96" s="2" t="inlineStr">
        <is>
          <t>evidence_batch_012_119</t>
        </is>
      </c>
      <c r="J96" s="2" t="inlineStr">
        <is>
          <t>ISSUE-0074; ISSUE-0075; ISSUE-0076; ISSUE-0077</t>
        </is>
      </c>
    </row>
    <row r="97" ht="42" customHeight="1">
      <c r="A97" s="3" t="inlineStr">
        <is>
          <t>jeminise.com+custom-trucking-semi-truck-breaking-through-stone-wall-comforter-7a6b616ec4-7a6b616ec4</t>
        </is>
      </c>
      <c r="B97" s="3" t="inlineStr">
        <is>
          <t>D1</t>
        </is>
      </c>
      <c r="C97" s="3" t="n">
        <v>10</v>
      </c>
      <c r="D97" s="3" t="inlineStr">
        <is>
          <t>FAIL</t>
        </is>
      </c>
      <c r="E97" s="7">
        <f>IF(B97="I1",AVERAGEIF('QA_Images'!$A$2:$A$73,A97,'QA_Images'!$T$2:$T$73)/100,IF(D97="FULL",1,IF(D97="PARTIAL",0.5,IF(D97="FAIL",0,""))))</f>
        <v/>
      </c>
      <c r="F97" s="7">
        <f>IF(E97="",0,C97*E97)</f>
        <v/>
      </c>
      <c r="G97" s="7">
        <f>IF(B97="I1",20*AVERAGEIF('QA_Images'!$A$2:$A$73,A97,'QA_Images'!$U$2:$U$73)/100,IF(D97="NOT_CHECKED",0,C97))</f>
        <v/>
      </c>
      <c r="H97" s="3" t="inlineStr">
        <is>
          <t>Description HTML is publish-ready and free of internal draft/QA instructions. Description HTML still contains internal QA/import language.</t>
        </is>
      </c>
      <c r="I97" s="3" t="inlineStr">
        <is>
          <t>evidence_batch_012_119</t>
        </is>
      </c>
      <c r="J97" s="3" t="inlineStr">
        <is>
          <t>ISSUE-0074; ISSUE-0075; ISSUE-0076; ISSUE-0077</t>
        </is>
      </c>
    </row>
    <row r="98" ht="42" customHeight="1">
      <c r="A98" s="2" t="inlineStr">
        <is>
          <t>jeminise.com+custom-trucking-semi-truck-breaking-through-stone-wall-comforter-7a6b616ec4-7a6b616ec4</t>
        </is>
      </c>
      <c r="B98" s="2" t="inlineStr">
        <is>
          <t>D2</t>
        </is>
      </c>
      <c r="C98" s="2" t="n">
        <v>5</v>
      </c>
      <c r="D98" s="2" t="inlineStr">
        <is>
          <t>PARTIAL</t>
        </is>
      </c>
      <c r="E98" s="5">
        <f>IF(B98="I1",AVERAGEIF('QA_Images'!$A$2:$A$73,A98,'QA_Images'!$T$2:$T$73)/100,IF(D98="FULL",1,IF(D98="PARTIAL",0.5,IF(D98="FAIL",0,""))))</f>
        <v/>
      </c>
      <c r="F98" s="5">
        <f>IF(E98="",0,C98*E98)</f>
        <v/>
      </c>
      <c r="G98" s="5">
        <f>IF(B98="I1",20*AVERAGEIF('QA_Images'!$A$2:$A$73,A98,'QA_Images'!$U$2:$U$73)/100,IF(D98="NOT_CHECKED",0,C98))</f>
        <v/>
      </c>
      <c r="H98" s="2" t="inlineStr">
        <is>
          <t>Description content covers verified design, product type, use case and constraints. Description covers motif/product type but remains templated and does not always map every verified constraint.</t>
        </is>
      </c>
      <c r="I98" s="2" t="inlineStr">
        <is>
          <t>evidence_batch_012_119</t>
        </is>
      </c>
      <c r="J98" s="2" t="inlineStr">
        <is>
          <t>ISSUE-0074; ISSUE-0075; ISSUE-0076; ISSUE-0077</t>
        </is>
      </c>
    </row>
    <row r="99" ht="42" customHeight="1">
      <c r="A99" s="3" t="inlineStr">
        <is>
          <t>jeminise.com+custom-trucking-semi-truck-breaking-through-stone-wall-comforter-7a6b616ec4-7a6b616ec4</t>
        </is>
      </c>
      <c r="B99" s="3" t="inlineStr">
        <is>
          <t>I1</t>
        </is>
      </c>
      <c r="C99" s="3" t="n">
        <v>20</v>
      </c>
      <c r="D99" s="3" t="inlineStr">
        <is>
          <t>FULL</t>
        </is>
      </c>
      <c r="E99" s="7">
        <f>IF(B99="I1",AVERAGEIF('QA_Images'!$A$2:$A$73,A99,'QA_Images'!$T$2:$T$73)/100,IF(D99="FULL",1,IF(D99="PARTIAL",0.5,IF(D99="FAIL",0,""))))</f>
        <v/>
      </c>
      <c r="F99" s="7">
        <f>IF(E99="",0,C99*E99)</f>
        <v/>
      </c>
      <c r="G99" s="7">
        <f>IF(B99="I1",20*AVERAGEIF('QA_Images'!$A$2:$A$73,A99,'QA_Images'!$U$2:$U$73)/100,IF(D99="NOT_CHECKED",0,C99))</f>
        <v/>
      </c>
      <c r="H99" s="3" t="inlineStr">
        <is>
          <t>Image coverage, image observations and alt text quality, derived from QA_Images. Derived from average image QA score; see QA_Images.</t>
        </is>
      </c>
      <c r="I99" s="3" t="inlineStr">
        <is>
          <t>evidence_batch_012_119</t>
        </is>
      </c>
      <c r="J99" s="3" t="inlineStr">
        <is>
          <t>ISSUE-0074; ISSUE-0075; ISSUE-0076; ISSUE-0077</t>
        </is>
      </c>
    </row>
    <row r="100" ht="42" customHeight="1">
      <c r="A100" s="2" t="inlineStr">
        <is>
          <t>jeminise.com+custom-trucking-semi-truck-breaking-through-stone-wall-comforter-7a6b616ec4-7a6b616ec4</t>
        </is>
      </c>
      <c r="B100" s="2" t="inlineStr">
        <is>
          <t>E1</t>
        </is>
      </c>
      <c r="C100" s="2" t="n">
        <v>5</v>
      </c>
      <c r="D100" s="2" t="inlineStr">
        <is>
          <t>PARTIAL</t>
        </is>
      </c>
      <c r="E100" s="5">
        <f>IF(B100="I1",AVERAGEIF('QA_Images'!$A$2:$A$73,A100,'QA_Images'!$T$2:$T$73)/100,IF(D100="FULL",1,IF(D100="PARTIAL",0.5,IF(D100="FAIL",0,""))))</f>
        <v/>
      </c>
      <c r="F100" s="5">
        <f>IF(E100="",0,C100*E100)</f>
        <v/>
      </c>
      <c r="G100" s="5">
        <f>IF(B100="I1",20*AVERAGEIF('QA_Images'!$A$2:$A$73,A100,'QA_Images'!$U$2:$U$73)/100,IF(D100="NOT_CHECKED",0,C100))</f>
        <v/>
      </c>
      <c r="H100" s="2" t="inlineStr">
        <is>
          <t>Evidence chain is traceable and limitations are explicitly separated from failures. Evidence chain is traceable, with admin-export limitation explicitly separated.</t>
        </is>
      </c>
      <c r="I100" s="2" t="inlineStr">
        <is>
          <t>evidence_batch_012_119</t>
        </is>
      </c>
      <c r="J100" s="2" t="inlineStr">
        <is>
          <t>ISSUE-0074; ISSUE-0075; ISSUE-0076; ISSUE-0077</t>
        </is>
      </c>
    </row>
    <row r="101" ht="42" customHeight="1">
      <c r="A101" s="3" t="inlineStr">
        <is>
          <t>jeminise.com+custom-trucking-semi-truck-breaking-through-stone-wall-comforter-01281fb2d3-01281fb2d3</t>
        </is>
      </c>
      <c r="B101" s="3" t="inlineStr">
        <is>
          <t>P1</t>
        </is>
      </c>
      <c r="C101" s="3" t="n">
        <v>15</v>
      </c>
      <c r="D101" s="3" t="inlineStr">
        <is>
          <t>FULL</t>
        </is>
      </c>
      <c r="E101" s="7">
        <f>IF(B101="I1",AVERAGEIF('QA_Images'!$A$2:$A$73,A101,'QA_Images'!$T$2:$T$73)/100,IF(D101="FULL",1,IF(D101="PARTIAL",0.5,IF(D101="FAIL",0,""))))</f>
        <v/>
      </c>
      <c r="F101" s="7">
        <f>IF(E101="",0,C101*E101)</f>
        <v/>
      </c>
      <c r="G101" s="7">
        <f>IF(B101="I1",20*AVERAGEIF('QA_Images'!$A$2:$A$73,A101,'QA_Images'!$U$2:$U$73)/100,IF(D101="NOT_CHECKED",0,C101))</f>
        <v/>
      </c>
      <c r="H101" s="3" t="inlineStr">
        <is>
          <t>Product identity, handle, product ID, URL and canonical match source/live evidence. Product key/handle/product ID/canonical checked against frozen workbook and live product evidence.</t>
        </is>
      </c>
      <c r="I101" s="3" t="inlineStr">
        <is>
          <t>evidence_batch_012_120</t>
        </is>
      </c>
      <c r="J101" s="3" t="inlineStr">
        <is>
          <t>ISSUE-0083; ISSUE-0084; ISSUE-0085; ISSUE-0086</t>
        </is>
      </c>
    </row>
    <row r="102" ht="42" customHeight="1">
      <c r="A102" s="2" t="inlineStr">
        <is>
          <t>jeminise.com+custom-trucking-semi-truck-breaking-through-stone-wall-comforter-01281fb2d3-01281fb2d3</t>
        </is>
      </c>
      <c r="B102" s="2" t="inlineStr">
        <is>
          <t>P2</t>
        </is>
      </c>
      <c r="C102" s="2" t="n">
        <v>10</v>
      </c>
      <c r="D102" s="2" t="inlineStr">
        <is>
          <t>PARTIAL</t>
        </is>
      </c>
      <c r="E102" s="5">
        <f>IF(B102="I1",AVERAGEIF('QA_Images'!$A$2:$A$73,A102,'QA_Images'!$T$2:$T$73)/100,IF(D102="FULL",1,IF(D102="PARTIAL",0.5,IF(D102="FAIL",0,""))))</f>
        <v/>
      </c>
      <c r="F102" s="5">
        <f>IF(E102="",0,C102*E102)</f>
        <v/>
      </c>
      <c r="G102" s="5">
        <f>IF(B102="I1",20*AVERAGEIF('QA_Images'!$A$2:$A$73,A102,'QA_Images'!$U$2:$U$73)/100,IF(D102="NOT_CHECKED",0,C102))</f>
        <v/>
      </c>
      <c r="H102" s="2" t="inlineStr">
        <is>
          <t>Source product facts, variants, specifications and personalization claims are evidence-backed. Personalization/specification claims checked against storefront product.js and static customizer config.</t>
        </is>
      </c>
      <c r="I102" s="2" t="inlineStr">
        <is>
          <t>evidence_batch_012_120</t>
        </is>
      </c>
      <c r="J102" s="2" t="inlineStr">
        <is>
          <t>ISSUE-0083; ISSUE-0084; ISSUE-0085; ISSUE-0086</t>
        </is>
      </c>
    </row>
    <row r="103" ht="42" customHeight="1">
      <c r="A103" s="3" t="inlineStr">
        <is>
          <t>jeminise.com+custom-trucking-semi-truck-breaking-through-stone-wall-comforter-01281fb2d3-01281fb2d3</t>
        </is>
      </c>
      <c r="B103" s="3" t="inlineStr">
        <is>
          <t>K1</t>
        </is>
      </c>
      <c r="C103" s="3" t="n">
        <v>10</v>
      </c>
      <c r="D103" s="3" t="inlineStr">
        <is>
          <t>PARTIAL</t>
        </is>
      </c>
      <c r="E103" s="7">
        <f>IF(B103="I1",AVERAGEIF('QA_Images'!$A$2:$A$73,A103,'QA_Images'!$T$2:$T$73)/100,IF(D103="FULL",1,IF(D103="PARTIAL",0.5,IF(D103="FAIL",0,""))))</f>
        <v/>
      </c>
      <c r="F103" s="7">
        <f>IF(E103="",0,C103*E103)</f>
        <v/>
      </c>
      <c r="G103" s="7">
        <f>IF(B103="I1",20*AVERAGEIF('QA_Images'!$A$2:$A$73,A103,'QA_Images'!$U$2:$U$73)/100,IF(D103="NOT_CHECKED",0,C103))</f>
        <v/>
      </c>
      <c r="H103" s="3" t="inlineStr">
        <is>
          <t>Primary keyword aligns with product-level US purchase intent. Primary keyword rechecked against US product-level SERP comparables.</t>
        </is>
      </c>
      <c r="I103" s="3" t="inlineStr">
        <is>
          <t>evidence_batch_012_120</t>
        </is>
      </c>
      <c r="J103" s="3" t="inlineStr">
        <is>
          <t>ISSUE-0083; ISSUE-0084; ISSUE-0085; ISSUE-0086</t>
        </is>
      </c>
    </row>
    <row r="104" ht="42" customHeight="1">
      <c r="A104" s="2" t="inlineStr">
        <is>
          <t>jeminise.com+custom-trucking-semi-truck-breaking-through-stone-wall-comforter-01281fb2d3-01281fb2d3</t>
        </is>
      </c>
      <c r="B104" s="2" t="inlineStr">
        <is>
          <t>K2</t>
        </is>
      </c>
      <c r="C104" s="2" t="n">
        <v>5</v>
      </c>
      <c r="D104" s="2" t="inlineStr">
        <is>
          <t>PARTIAL</t>
        </is>
      </c>
      <c r="E104" s="5">
        <f>IF(B104="I1",AVERAGEIF('QA_Images'!$A$2:$A$73,A104,'QA_Images'!$T$2:$T$73)/100,IF(D104="FULL",1,IF(D104="PARTIAL",0.5,IF(D104="FAIL",0,""))))</f>
        <v/>
      </c>
      <c r="F104" s="5">
        <f>IF(E104="",0,C104*E104)</f>
        <v/>
      </c>
      <c r="G104" s="5">
        <f>IF(B104="I1",20*AVERAGEIF('QA_Images'!$A$2:$A$73,A104,'QA_Images'!$U$2:$U$73)/100,IF(D104="NOT_CHECKED",0,C104))</f>
        <v/>
      </c>
      <c r="H104" s="2" t="inlineStr">
        <is>
          <t>Intent/cannibalization check distinguishes nearby products. Nearby product cluster has overlap risk, so intent distinction remains only partial.</t>
        </is>
      </c>
      <c r="I104" s="2" t="inlineStr">
        <is>
          <t>evidence_batch_012_120</t>
        </is>
      </c>
      <c r="J104" s="2" t="inlineStr">
        <is>
          <t>ISSUE-0083; ISSUE-0084; ISSUE-0085; ISSUE-0086</t>
        </is>
      </c>
    </row>
    <row r="105" ht="42" customHeight="1">
      <c r="A105" s="3" t="inlineStr">
        <is>
          <t>jeminise.com+custom-trucking-semi-truck-breaking-through-stone-wall-comforter-01281fb2d3-01281fb2d3</t>
        </is>
      </c>
      <c r="B105" s="3" t="inlineStr">
        <is>
          <t>K3</t>
        </is>
      </c>
      <c r="C105" s="3" t="n">
        <v>5</v>
      </c>
      <c r="D105" s="3" t="inlineStr">
        <is>
          <t>PARTIAL</t>
        </is>
      </c>
      <c r="E105" s="7">
        <f>IF(B105="I1",AVERAGEIF('QA_Images'!$A$2:$A$73,A105,'QA_Images'!$T$2:$T$73)/100,IF(D105="FULL",1,IF(D105="PARTIAL",0.5,IF(D105="FAIL",0,""))))</f>
        <v/>
      </c>
      <c r="F105" s="7">
        <f>IF(E105="",0,C105*E105)</f>
        <v/>
      </c>
      <c r="G105" s="7">
        <f>IF(B105="I1",20*AVERAGEIF('QA_Images'!$A$2:$A$73,A105,'QA_Images'!$U$2:$U$73)/100,IF(D105="NOT_CHECKED",0,C105))</f>
        <v/>
      </c>
      <c r="H105" s="3" t="inlineStr">
        <is>
          <t>Keyword evidence is supported by SERP comparables without unsupported volume claims. Evidence is public SERP only; no Search Console, keyword volume or customer-search corpus provided.</t>
        </is>
      </c>
      <c r="I105" s="3" t="inlineStr">
        <is>
          <t>evidence_batch_012_120</t>
        </is>
      </c>
      <c r="J105" s="3" t="inlineStr">
        <is>
          <t>ISSUE-0083; ISSUE-0084; ISSUE-0085; ISSUE-0086</t>
        </is>
      </c>
    </row>
    <row r="106" ht="42" customHeight="1">
      <c r="A106" s="2" t="inlineStr">
        <is>
          <t>jeminise.com+custom-trucking-semi-truck-breaking-through-stone-wall-comforter-01281fb2d3-01281fb2d3</t>
        </is>
      </c>
      <c r="B106" s="2" t="inlineStr">
        <is>
          <t>T1</t>
        </is>
      </c>
      <c r="C106" s="2" t="n">
        <v>10</v>
      </c>
      <c r="D106" s="2" t="inlineStr">
        <is>
          <t>FULL</t>
        </is>
      </c>
      <c r="E106" s="5">
        <f>IF(B106="I1",AVERAGEIF('QA_Images'!$A$2:$A$73,A106,'QA_Images'!$T$2:$T$73)/100,IF(D106="FULL",1,IF(D106="PARTIAL",0.5,IF(D106="FAIL",0,""))))</f>
        <v/>
      </c>
      <c r="F106" s="5">
        <f>IF(E106="",0,C106*E106)</f>
        <v/>
      </c>
      <c r="G106" s="5">
        <f>IF(B106="I1",20*AVERAGEIF('QA_Images'!$A$2:$A$73,A106,'QA_Images'!$U$2:$U$73)/100,IF(D106="NOT_CHECKED",0,C106))</f>
        <v/>
      </c>
      <c r="H106" s="2" t="inlineStr">
        <is>
          <t>SEO title and H1 are relevant, specific and grounded in visible/source facts. Title/H1 are product-specific and tied to visible motif/product type.</t>
        </is>
      </c>
      <c r="I106" s="2" t="inlineStr">
        <is>
          <t>evidence_batch_012_120</t>
        </is>
      </c>
      <c r="J106" s="2" t="inlineStr">
        <is>
          <t>ISSUE-0083; ISSUE-0084; ISSUE-0085; ISSUE-0086</t>
        </is>
      </c>
    </row>
    <row r="107" ht="42" customHeight="1">
      <c r="A107" s="3" t="inlineStr">
        <is>
          <t>jeminise.com+custom-trucking-semi-truck-breaking-through-stone-wall-comforter-01281fb2d3-01281fb2d3</t>
        </is>
      </c>
      <c r="B107" s="3" t="inlineStr">
        <is>
          <t>T2</t>
        </is>
      </c>
      <c r="C107" s="3" t="n">
        <v>5</v>
      </c>
      <c r="D107" s="3" t="inlineStr">
        <is>
          <t>PARTIAL</t>
        </is>
      </c>
      <c r="E107" s="7">
        <f>IF(B107="I1",AVERAGEIF('QA_Images'!$A$2:$A$73,A107,'QA_Images'!$T$2:$T$73)/100,IF(D107="FULL",1,IF(D107="PARTIAL",0.5,IF(D107="FAIL",0,""))))</f>
        <v/>
      </c>
      <c r="F107" s="7">
        <f>IF(E107="",0,C107*E107)</f>
        <v/>
      </c>
      <c r="G107" s="7">
        <f>IF(B107="I1",20*AVERAGEIF('QA_Images'!$A$2:$A$73,A107,'QA_Images'!$U$2:$U$73)/100,IF(D107="NOT_CHECKED",0,C107))</f>
        <v/>
      </c>
      <c r="H107" s="3" t="inlineStr">
        <is>
          <t>Meta description is concise, publish-ready and avoids unsupported claims. Meta description checked for length, specificity and supportable claims.</t>
        </is>
      </c>
      <c r="I107" s="3" t="inlineStr">
        <is>
          <t>evidence_batch_012_120</t>
        </is>
      </c>
      <c r="J107" s="3" t="inlineStr">
        <is>
          <t>ISSUE-0083; ISSUE-0084; ISSUE-0085; ISSUE-0086</t>
        </is>
      </c>
    </row>
    <row r="108" ht="42" customHeight="1">
      <c r="A108" s="2" t="inlineStr">
        <is>
          <t>jeminise.com+custom-trucking-semi-truck-breaking-through-stone-wall-comforter-01281fb2d3-01281fb2d3</t>
        </is>
      </c>
      <c r="B108" s="2" t="inlineStr">
        <is>
          <t>D1</t>
        </is>
      </c>
      <c r="C108" s="2" t="n">
        <v>10</v>
      </c>
      <c r="D108" s="2" t="inlineStr">
        <is>
          <t>FAIL</t>
        </is>
      </c>
      <c r="E108" s="5">
        <f>IF(B108="I1",AVERAGEIF('QA_Images'!$A$2:$A$73,A108,'QA_Images'!$T$2:$T$73)/100,IF(D108="FULL",1,IF(D108="PARTIAL",0.5,IF(D108="FAIL",0,""))))</f>
        <v/>
      </c>
      <c r="F108" s="5">
        <f>IF(E108="",0,C108*E108)</f>
        <v/>
      </c>
      <c r="G108" s="5">
        <f>IF(B108="I1",20*AVERAGEIF('QA_Images'!$A$2:$A$73,A108,'QA_Images'!$U$2:$U$73)/100,IF(D108="NOT_CHECKED",0,C108))</f>
        <v/>
      </c>
      <c r="H108" s="2" t="inlineStr">
        <is>
          <t>Description HTML is publish-ready and free of internal draft/QA instructions. Description HTML still contains internal QA/import language.</t>
        </is>
      </c>
      <c r="I108" s="2" t="inlineStr">
        <is>
          <t>evidence_batch_012_120</t>
        </is>
      </c>
      <c r="J108" s="2" t="inlineStr">
        <is>
          <t>ISSUE-0083; ISSUE-0084; ISSUE-0085; ISSUE-0086</t>
        </is>
      </c>
    </row>
    <row r="109" ht="42" customHeight="1">
      <c r="A109" s="3" t="inlineStr">
        <is>
          <t>jeminise.com+custom-trucking-semi-truck-breaking-through-stone-wall-comforter-01281fb2d3-01281fb2d3</t>
        </is>
      </c>
      <c r="B109" s="3" t="inlineStr">
        <is>
          <t>D2</t>
        </is>
      </c>
      <c r="C109" s="3" t="n">
        <v>5</v>
      </c>
      <c r="D109" s="3" t="inlineStr">
        <is>
          <t>PARTIAL</t>
        </is>
      </c>
      <c r="E109" s="7">
        <f>IF(B109="I1",AVERAGEIF('QA_Images'!$A$2:$A$73,A109,'QA_Images'!$T$2:$T$73)/100,IF(D109="FULL",1,IF(D109="PARTIAL",0.5,IF(D109="FAIL",0,""))))</f>
        <v/>
      </c>
      <c r="F109" s="7">
        <f>IF(E109="",0,C109*E109)</f>
        <v/>
      </c>
      <c r="G109" s="7">
        <f>IF(B109="I1",20*AVERAGEIF('QA_Images'!$A$2:$A$73,A109,'QA_Images'!$U$2:$U$73)/100,IF(D109="NOT_CHECKED",0,C109))</f>
        <v/>
      </c>
      <c r="H109" s="3" t="inlineStr">
        <is>
          <t>Description content covers verified design, product type, use case and constraints. Description covers motif/product type but remains templated and does not always map every verified constraint.</t>
        </is>
      </c>
      <c r="I109" s="3" t="inlineStr">
        <is>
          <t>evidence_batch_012_120</t>
        </is>
      </c>
      <c r="J109" s="3" t="inlineStr">
        <is>
          <t>ISSUE-0083; ISSUE-0084; ISSUE-0085; ISSUE-0086</t>
        </is>
      </c>
    </row>
    <row r="110" ht="42" customHeight="1">
      <c r="A110" s="2" t="inlineStr">
        <is>
          <t>jeminise.com+custom-trucking-semi-truck-breaking-through-stone-wall-comforter-01281fb2d3-01281fb2d3</t>
        </is>
      </c>
      <c r="B110" s="2" t="inlineStr">
        <is>
          <t>I1</t>
        </is>
      </c>
      <c r="C110" s="2" t="n">
        <v>20</v>
      </c>
      <c r="D110" s="2" t="inlineStr">
        <is>
          <t>FULL</t>
        </is>
      </c>
      <c r="E110" s="5">
        <f>IF(B110="I1",AVERAGEIF('QA_Images'!$A$2:$A$73,A110,'QA_Images'!$T$2:$T$73)/100,IF(D110="FULL",1,IF(D110="PARTIAL",0.5,IF(D110="FAIL",0,""))))</f>
        <v/>
      </c>
      <c r="F110" s="5">
        <f>IF(E110="",0,C110*E110)</f>
        <v/>
      </c>
      <c r="G110" s="5">
        <f>IF(B110="I1",20*AVERAGEIF('QA_Images'!$A$2:$A$73,A110,'QA_Images'!$U$2:$U$73)/100,IF(D110="NOT_CHECKED",0,C110))</f>
        <v/>
      </c>
      <c r="H110" s="2" t="inlineStr">
        <is>
          <t>Image coverage, image observations and alt text quality, derived from QA_Images. Derived from average image QA score; see QA_Images.</t>
        </is>
      </c>
      <c r="I110" s="2" t="inlineStr">
        <is>
          <t>evidence_batch_012_120</t>
        </is>
      </c>
      <c r="J110" s="2" t="inlineStr">
        <is>
          <t>ISSUE-0083; ISSUE-0084; ISSUE-0085; ISSUE-0086</t>
        </is>
      </c>
    </row>
    <row r="111" ht="42" customHeight="1">
      <c r="A111" s="3" t="inlineStr">
        <is>
          <t>jeminise.com+custom-trucking-semi-truck-breaking-through-stone-wall-comforter-01281fb2d3-01281fb2d3</t>
        </is>
      </c>
      <c r="B111" s="3" t="inlineStr">
        <is>
          <t>E1</t>
        </is>
      </c>
      <c r="C111" s="3" t="n">
        <v>5</v>
      </c>
      <c r="D111" s="3" t="inlineStr">
        <is>
          <t>PARTIAL</t>
        </is>
      </c>
      <c r="E111" s="7">
        <f>IF(B111="I1",AVERAGEIF('QA_Images'!$A$2:$A$73,A111,'QA_Images'!$T$2:$T$73)/100,IF(D111="FULL",1,IF(D111="PARTIAL",0.5,IF(D111="FAIL",0,""))))</f>
        <v/>
      </c>
      <c r="F111" s="7">
        <f>IF(E111="",0,C111*E111)</f>
        <v/>
      </c>
      <c r="G111" s="7">
        <f>IF(B111="I1",20*AVERAGEIF('QA_Images'!$A$2:$A$73,A111,'QA_Images'!$U$2:$U$73)/100,IF(D111="NOT_CHECKED",0,C111))</f>
        <v/>
      </c>
      <c r="H111" s="3" t="inlineStr">
        <is>
          <t>Evidence chain is traceable and limitations are explicitly separated from failures. Evidence chain is traceable, with admin-export limitation explicitly separated.</t>
        </is>
      </c>
      <c r="I111" s="3" t="inlineStr">
        <is>
          <t>evidence_batch_012_120</t>
        </is>
      </c>
      <c r="J111" s="3" t="inlineStr">
        <is>
          <t>ISSUE-0083; ISSUE-0084; ISSUE-0085; ISSUE-0086</t>
        </is>
      </c>
    </row>
  </sheetData>
  <autoFilter ref="A1:J111"/>
  <printOptions horizontalCentered="0"/>
  <pageMargins left="0.25" right="0.25" top="0.5" bottom="0.5"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Z73"/>
  <sheetViews>
    <sheetView showGridLines="0" workbookViewId="0">
      <pane ySplit="1" topLeftCell="A2" activePane="bottomLeft" state="frozen"/>
      <selection pane="bottomLeft" activeCell="A1" sqref="A1"/>
    </sheetView>
  </sheetViews>
  <sheetFormatPr baseColWidth="8" defaultRowHeight="15"/>
  <cols>
    <col width="42" customWidth="1" min="1" max="1"/>
    <col width="20" customWidth="1" min="2" max="2"/>
    <col width="38" customWidth="1" min="3" max="3"/>
    <col width="38" customWidth="1" min="4" max="4"/>
    <col width="20" customWidth="1" min="5" max="5"/>
    <col width="38" customWidth="1" min="6" max="6"/>
    <col width="11" customWidth="1" min="7" max="7"/>
    <col width="16" customWidth="1" min="8" max="8"/>
    <col width="24" customWidth="1" min="9" max="9"/>
    <col width="24" customWidth="1" min="10" max="10"/>
    <col width="42" customWidth="1" min="11" max="11"/>
    <col width="42" customWidth="1" min="12" max="12"/>
    <col width="24" customWidth="1" min="13" max="13"/>
    <col width="12" customWidth="1" min="14" max="14"/>
    <col width="42" customWidth="1" min="15" max="15"/>
    <col width="11" customWidth="1" min="16" max="16"/>
    <col width="11" customWidth="1" min="17" max="17"/>
    <col width="11" customWidth="1" min="18" max="18"/>
    <col width="11" customWidth="1" min="19" max="19"/>
    <col width="24" customWidth="1" min="20" max="20"/>
    <col width="24" customWidth="1" min="21" max="21"/>
    <col width="21" customWidth="1" min="22" max="22"/>
    <col width="24" customWidth="1" min="23" max="23"/>
    <col width="24" customWidth="1" min="24" max="24"/>
    <col width="42" customWidth="1" min="25" max="25"/>
    <col width="42" customWidth="1" min="26" max="26"/>
  </cols>
  <sheetData>
    <row r="1" ht="32" customHeight="1">
      <c r="A1" s="1" t="inlineStr">
        <is>
          <t>product_key</t>
        </is>
      </c>
      <c r="B1" s="1" t="inlineStr">
        <is>
          <t>qa_image_key</t>
        </is>
      </c>
      <c r="C1" s="1" t="inlineStr">
        <is>
          <t>image_url_source</t>
        </is>
      </c>
      <c r="D1" s="1" t="inlineStr">
        <is>
          <t>image_url_workbook</t>
        </is>
      </c>
      <c r="E1" s="1" t="inlineStr">
        <is>
          <t>media_id</t>
        </is>
      </c>
      <c r="F1" s="1" t="inlineStr">
        <is>
          <t>workbook_image_id</t>
        </is>
      </c>
      <c r="G1" s="1" t="inlineStr">
        <is>
          <t>variant</t>
        </is>
      </c>
      <c r="H1" s="1" t="inlineStr">
        <is>
          <t>image_location</t>
        </is>
      </c>
      <c r="I1" s="1" t="inlineStr">
        <is>
          <t>check_method</t>
        </is>
      </c>
      <c r="J1" s="1" t="inlineStr">
        <is>
          <t>checked_at</t>
        </is>
      </c>
      <c r="K1" s="1" t="inlineStr">
        <is>
          <t>qa_observation</t>
        </is>
      </c>
      <c r="L1" s="1" t="inlineStr">
        <is>
          <t>submitted_observation</t>
        </is>
      </c>
      <c r="M1" s="1" t="inlineStr">
        <is>
          <t>storefront_alt_observed</t>
        </is>
      </c>
      <c r="N1" s="1" t="inlineStr">
        <is>
          <t>alt_action</t>
        </is>
      </c>
      <c r="O1" s="1" t="inlineStr">
        <is>
          <t>alt_effective</t>
        </is>
      </c>
      <c r="P1" s="1" t="inlineStr">
        <is>
          <t>IM1</t>
        </is>
      </c>
      <c r="Q1" s="1" t="inlineStr">
        <is>
          <t>IM2</t>
        </is>
      </c>
      <c r="R1" s="1" t="inlineStr">
        <is>
          <t>IM3</t>
        </is>
      </c>
      <c r="S1" s="1" t="inlineStr">
        <is>
          <t>IM4</t>
        </is>
      </c>
      <c r="T1" s="1" t="inlineStr">
        <is>
          <t>image_verified_points</t>
        </is>
      </c>
      <c r="U1" s="1" t="inlineStr">
        <is>
          <t>image_assessed_weight</t>
        </is>
      </c>
      <c r="V1" s="1" t="inlineStr">
        <is>
          <t>image_final_score</t>
        </is>
      </c>
      <c r="W1" s="1" t="inlineStr">
        <is>
          <t>image_score_lower_bound</t>
        </is>
      </c>
      <c r="X1" s="1" t="inlineStr">
        <is>
          <t>image_score_upper_bound</t>
        </is>
      </c>
      <c r="Y1" s="1" t="inlineStr">
        <is>
          <t>issue_refs</t>
        </is>
      </c>
      <c r="Z1" s="1" t="inlineStr">
        <is>
          <t>evidence_refs</t>
        </is>
      </c>
    </row>
    <row r="2" ht="66" customHeight="1">
      <c r="A2" s="2" t="inlineStr">
        <is>
          <t>jeminise.com+custom-soccer-player-custom-name-number-comforter-set-boys-room-decor</t>
        </is>
      </c>
      <c r="B2" s="2" t="inlineStr">
        <is>
          <t>img_9023e09c15643ba4</t>
        </is>
      </c>
      <c r="C2" s="4" t="inlineStr">
        <is>
          <t>https://cdn.shopify.com/s/files/1/0792/5098/1063/files/5adf8a31ec40a642bf000b375eae5c3554de48282390af23cc541bb382906122.jpg?v=1786610963</t>
        </is>
      </c>
      <c r="D2" s="4" t="inlineStr">
        <is>
          <t>https://cdn.shopify.com/s/files/1/0792/5098/1063/files/5adf8a31ec40a642bf000b375eae5c3554de48282390af23cc541bb382906122.jpg?v=1786610963</t>
        </is>
      </c>
      <c r="E2" s="2" t="inlineStr">
        <is>
          <t>47833423478983</t>
        </is>
      </c>
      <c r="F2" s="2" t="inlineStr">
        <is>
          <t>47833423478983</t>
        </is>
      </c>
      <c r="G2" s="2" t="inlineStr"/>
      <c r="H2" s="2" t="inlineStr">
        <is>
          <t>GALLERY</t>
        </is>
      </c>
      <c r="I2" s="2" t="inlineStr">
        <is>
          <t>DIRECT_IMAGE_DOWNLOAD_AND_SOURCE_ROW_REVIEW</t>
        </is>
      </c>
      <c r="J2" s="2" t="inlineStr">
        <is>
          <t>2026-09-07T18:40:21+07:00</t>
        </is>
      </c>
      <c r="K2" s="2" t="inlineStr">
        <is>
          <t>Direct QA opened downloaded image 111_01; source SHA F63417F3468782A52FEF48BF98EB103C9A047F8E00E48618E8F8C01FE3528166. Submitted observation reviewed against gallery position.</t>
        </is>
      </c>
      <c r="L2" s="2" t="inlineStr">
        <is>
          <t>Main product mockup showing personalized blue soccer player comforter with Daniel number 10.</t>
        </is>
      </c>
      <c r="M2" s="2" t="inlineStr">
        <is>
          <t>UNKNOWN</t>
        </is>
      </c>
      <c r="N2" s="2" t="inlineStr">
        <is>
          <t>SET</t>
        </is>
      </c>
      <c r="O2" s="2" t="inlineStr">
        <is>
          <t>Personalized Blue Soccer Player Comforter displayed in a main product mockup</t>
        </is>
      </c>
      <c r="P2" s="2" t="inlineStr">
        <is>
          <t>FULL</t>
        </is>
      </c>
      <c r="Q2" s="2" t="inlineStr">
        <is>
          <t>FULL</t>
        </is>
      </c>
      <c r="R2" s="2" t="inlineStr">
        <is>
          <t>PARTIAL</t>
        </is>
      </c>
      <c r="S2" s="2" t="inlineStr">
        <is>
          <t>FULL</t>
        </is>
      </c>
      <c r="T2" s="5">
        <f>IF(P2="FULL",40,IF(P2="PARTIAL",40/2,0))+IF(Q2="FULL",30,IF(Q2="PARTIAL",30/2,0))+IF(R2="FULL",20,IF(R2="PARTIAL",20/2,0))+IF(S2="FULL",10,IF(S2="PARTIAL",10/2,0))</f>
        <v/>
      </c>
      <c r="U2" s="5">
        <f>IF(P2="NOT_CHECKED",0,40)+IF(Q2="NOT_CHECKED",0,30)+IF(R2="NOT_CHECKED",0,20)+IF(S2="NOT_CHECKED",0,10)</f>
        <v/>
      </c>
      <c r="V2" s="5">
        <f>IF(U2=100,T2,"")</f>
        <v/>
      </c>
      <c r="W2" s="5">
        <f>T2</f>
        <v/>
      </c>
      <c r="X2" s="5">
        <f>T2+(100-U2)</f>
        <v/>
      </c>
      <c r="Y2" s="2" t="inlineStr">
        <is>
          <t>ISSUE-0006</t>
        </is>
      </c>
      <c r="Z2" s="2" t="inlineStr">
        <is>
          <t>D:\Shopify_Workspace\jeminise_seo\seo_runs\jeminise.com\20260906_234129\qa\20260907_181200\images\111_01.jpg; seo_runs\jeminise.com\20260906_234129\evidence\images\111_custom-soccer-player-custom-name-number-comforter-set-boys-room-decor\image_01_47833423478983.jpg; seo_runs\jeminise.com\20260906_234129\evidence\contact_sheets\111_custom-soccer-player-custom-name-number-comforter-set-boys-room-decor.jpg</t>
        </is>
      </c>
    </row>
    <row r="3" ht="66" customHeight="1">
      <c r="A3" s="3" t="inlineStr">
        <is>
          <t>jeminise.com+custom-soccer-player-custom-name-number-comforter-set-boys-room-decor</t>
        </is>
      </c>
      <c r="B3" s="3" t="inlineStr">
        <is>
          <t>img_43dd0d02a89e76bf</t>
        </is>
      </c>
      <c r="C3" s="4" t="inlineStr">
        <is>
          <t>https://cdn.shopify.com/s/files/1/0792/5098/1063/files/b0ebaf5c71153659a013332c925a181e979b187f4b49b61de8f27cb27d2d9055.jpg?v=1786610963</t>
        </is>
      </c>
      <c r="D3" s="4" t="inlineStr">
        <is>
          <t>https://cdn.shopify.com/s/files/1/0792/5098/1063/files/b0ebaf5c71153659a013332c925a181e979b187f4b49b61de8f27cb27d2d9055.jpg?v=1786610963</t>
        </is>
      </c>
      <c r="E3" s="3" t="inlineStr">
        <is>
          <t>47833423511751</t>
        </is>
      </c>
      <c r="F3" s="3" t="inlineStr">
        <is>
          <t>47833423511751</t>
        </is>
      </c>
      <c r="G3" s="3" t="inlineStr"/>
      <c r="H3" s="3" t="inlineStr">
        <is>
          <t>GALLERY</t>
        </is>
      </c>
      <c r="I3" s="3" t="inlineStr">
        <is>
          <t>DIRECT_IMAGE_DOWNLOAD_AND_SOURCE_ROW_REVIEW</t>
        </is>
      </c>
      <c r="J3" s="3" t="inlineStr">
        <is>
          <t>2026-09-07T18:40:21+07:00</t>
        </is>
      </c>
      <c r="K3" s="3" t="inlineStr">
        <is>
          <t>Direct QA opened downloaded image 111_02; source SHA B2A7184C82738FE48565AEBA7B0F63395C6834082DE4D47F44C1AA1716CEB0FB. Submitted observation reviewed against gallery position.</t>
        </is>
      </c>
      <c r="L3" s="3" t="inlineStr">
        <is>
          <t>Secondary flat, close-up or bedroom mockup showing personalized blue soccer player comforter with Daniel number 10.</t>
        </is>
      </c>
      <c r="M3" s="3" t="inlineStr">
        <is>
          <t>UNKNOWN</t>
        </is>
      </c>
      <c r="N3" s="3" t="inlineStr">
        <is>
          <t>SET</t>
        </is>
      </c>
      <c r="O3" s="3" t="inlineStr">
        <is>
          <t>Secondary mockup of Personalized Blue Soccer Player Comforter</t>
        </is>
      </c>
      <c r="P3" s="3" t="inlineStr">
        <is>
          <t>FULL</t>
        </is>
      </c>
      <c r="Q3" s="3" t="inlineStr">
        <is>
          <t>FULL</t>
        </is>
      </c>
      <c r="R3" s="3" t="inlineStr">
        <is>
          <t>FULL</t>
        </is>
      </c>
      <c r="S3" s="3" t="inlineStr">
        <is>
          <t>FULL</t>
        </is>
      </c>
      <c r="T3" s="7">
        <f>IF(P3="FULL",40,IF(P3="PARTIAL",40/2,0))+IF(Q3="FULL",30,IF(Q3="PARTIAL",30/2,0))+IF(R3="FULL",20,IF(R3="PARTIAL",20/2,0))+IF(S3="FULL",10,IF(S3="PARTIAL",10/2,0))</f>
        <v/>
      </c>
      <c r="U3" s="7">
        <f>IF(P3="NOT_CHECKED",0,40)+IF(Q3="NOT_CHECKED",0,30)+IF(R3="NOT_CHECKED",0,20)+IF(S3="NOT_CHECKED",0,10)</f>
        <v/>
      </c>
      <c r="V3" s="7">
        <f>IF(U3=100,T3,"")</f>
        <v/>
      </c>
      <c r="W3" s="7">
        <f>T3</f>
        <v/>
      </c>
      <c r="X3" s="7">
        <f>T3+(100-U3)</f>
        <v/>
      </c>
      <c r="Y3" s="3" t="inlineStr"/>
      <c r="Z3" s="3" t="inlineStr">
        <is>
          <t>D:\Shopify_Workspace\jeminise_seo\seo_runs\jeminise.com\20260906_234129\qa\20260907_181200\images\111_02.jpg; seo_runs\jeminise.com\20260906_234129\evidence\images\111_custom-soccer-player-custom-name-number-comforter-set-boys-room-decor\image_02_47833423511751.jpg; seo_runs\jeminise.com\20260906_234129\evidence\contact_sheets\111_custom-soccer-player-custom-name-number-comforter-set-boys-room-decor.jpg</t>
        </is>
      </c>
    </row>
    <row r="4" ht="66" customHeight="1">
      <c r="A4" s="2" t="inlineStr">
        <is>
          <t>jeminise.com+custom-soccer-player-custom-name-number-comforter-set-boys-room-decor</t>
        </is>
      </c>
      <c r="B4" s="2" t="inlineStr">
        <is>
          <t>img_6ce5d984e0fab4db</t>
        </is>
      </c>
      <c r="C4" s="4" t="inlineStr">
        <is>
          <t>https://cdn.shopify.com/s/files/1/0792/5098/1063/files/4f3e3f6233d78b4fde5eae3801512b8254223ff54402ae90de96b0a3b0e092a9.jpg?v=1786610963</t>
        </is>
      </c>
      <c r="D4" s="4" t="inlineStr">
        <is>
          <t>https://cdn.shopify.com/s/files/1/0792/5098/1063/files/4f3e3f6233d78b4fde5eae3801512b8254223ff54402ae90de96b0a3b0e092a9.jpg?v=1786610963</t>
        </is>
      </c>
      <c r="E4" s="2" t="inlineStr">
        <is>
          <t>47833423544519</t>
        </is>
      </c>
      <c r="F4" s="2" t="inlineStr">
        <is>
          <t>47833423544519</t>
        </is>
      </c>
      <c r="G4" s="2" t="inlineStr"/>
      <c r="H4" s="2" t="inlineStr">
        <is>
          <t>GALLERY</t>
        </is>
      </c>
      <c r="I4" s="2" t="inlineStr">
        <is>
          <t>DIRECT_IMAGE_DOWNLOAD_AND_SOURCE_ROW_REVIEW</t>
        </is>
      </c>
      <c r="J4" s="2" t="inlineStr">
        <is>
          <t>2026-09-07T18:40:21+07:00</t>
        </is>
      </c>
      <c r="K4" s="2" t="inlineStr">
        <is>
          <t>Direct QA opened downloaded image 111_03; source SHA 50BB49AEB5E45CA6B6CBFA035166A3B363170FF0EA2F0141B62D20E90B4B0514. Submitted observation reviewed against gallery position.</t>
        </is>
      </c>
      <c r="L4" s="2" t="inlineStr">
        <is>
          <t>Bedding type, feature, lifestyle or material image for personalized blue soccer player comforter with Daniel number 10.</t>
        </is>
      </c>
      <c r="M4" s="2" t="inlineStr">
        <is>
          <t>UNKNOWN</t>
        </is>
      </c>
      <c r="N4" s="2" t="inlineStr">
        <is>
          <t>SET</t>
        </is>
      </c>
      <c r="O4" s="2" t="inlineStr">
        <is>
          <t>Product option, feature or lifestyle image for Personalized Blue Soccer Player Comforter</t>
        </is>
      </c>
      <c r="P4" s="2" t="inlineStr">
        <is>
          <t>FULL</t>
        </is>
      </c>
      <c r="Q4" s="2" t="inlineStr">
        <is>
          <t>PARTIAL</t>
        </is>
      </c>
      <c r="R4" s="2" t="inlineStr">
        <is>
          <t>FULL</t>
        </is>
      </c>
      <c r="S4" s="2" t="inlineStr">
        <is>
          <t>FULL</t>
        </is>
      </c>
      <c r="T4" s="5">
        <f>IF(P4="FULL",40,IF(P4="PARTIAL",40/2,0))+IF(Q4="FULL",30,IF(Q4="PARTIAL",30/2,0))+IF(R4="FULL",20,IF(R4="PARTIAL",20/2,0))+IF(S4="FULL",10,IF(S4="PARTIAL",10/2,0))</f>
        <v/>
      </c>
      <c r="U4" s="5">
        <f>IF(P4="NOT_CHECKED",0,40)+IF(Q4="NOT_CHECKED",0,30)+IF(R4="NOT_CHECKED",0,20)+IF(S4="NOT_CHECKED",0,10)</f>
        <v/>
      </c>
      <c r="V4" s="5">
        <f>IF(U4=100,T4,"")</f>
        <v/>
      </c>
      <c r="W4" s="5">
        <f>T4</f>
        <v/>
      </c>
      <c r="X4" s="5">
        <f>T4+(100-U4)</f>
        <v/>
      </c>
      <c r="Y4" s="2" t="inlineStr">
        <is>
          <t>ISSUE-0007</t>
        </is>
      </c>
      <c r="Z4" s="2" t="inlineStr">
        <is>
          <t>D:\Shopify_Workspace\jeminise_seo\seo_runs\jeminise.com\20260906_234129\qa\20260907_181200\images\111_03.jpg; seo_runs\jeminise.com\20260906_234129\evidence\images\111_custom-soccer-player-custom-name-number-comforter-set-boys-room-decor\image_03_47833423544519.jpg; seo_runs\jeminise.com\20260906_234129\evidence\contact_sheets\111_custom-soccer-player-custom-name-number-comforter-set-boys-room-decor.jpg</t>
        </is>
      </c>
    </row>
    <row r="5" ht="66" customHeight="1">
      <c r="A5" s="3" t="inlineStr">
        <is>
          <t>jeminise.com+custom-soccer-player-custom-name-number-comforter-set-boys-room-decor</t>
        </is>
      </c>
      <c r="B5" s="3" t="inlineStr">
        <is>
          <t>img_9b091b8459f6f2d4</t>
        </is>
      </c>
      <c r="C5" s="4" t="inlineStr">
        <is>
          <t>https://cdn.shopify.com/s/files/1/0792/5098/1063/files/0705f13a5c5734d19ee2c7d2d8c63f7840fc3cbbee30baca2759fc4b8d6ad311.jpg?v=1786610964</t>
        </is>
      </c>
      <c r="D5" s="4" t="inlineStr">
        <is>
          <t>https://cdn.shopify.com/s/files/1/0792/5098/1063/files/0705f13a5c5734d19ee2c7d2d8c63f7840fc3cbbee30baca2759fc4b8d6ad311.jpg?v=1786610964</t>
        </is>
      </c>
      <c r="E5" s="3" t="inlineStr">
        <is>
          <t>47833423577287</t>
        </is>
      </c>
      <c r="F5" s="3" t="inlineStr">
        <is>
          <t>47833423577287</t>
        </is>
      </c>
      <c r="G5" s="3" t="inlineStr"/>
      <c r="H5" s="3" t="inlineStr">
        <is>
          <t>GALLERY</t>
        </is>
      </c>
      <c r="I5" s="3" t="inlineStr">
        <is>
          <t>DIRECT_IMAGE_DOWNLOAD_AND_SOURCE_ROW_REVIEW</t>
        </is>
      </c>
      <c r="J5" s="3" t="inlineStr">
        <is>
          <t>2026-09-07T18:40:21+07:00</t>
        </is>
      </c>
      <c r="K5" s="3" t="inlineStr">
        <is>
          <t>Direct QA opened downloaded image 111_04; source SHA 1D5DCBD9BB8BBBC28A4DF57169DA06395EA63EB09C30B82EE4752042DA446889. Submitted observation reviewed against gallery position.</t>
        </is>
      </c>
      <c r="L5" s="3" t="inlineStr">
        <is>
          <t>Detail, feature panel or lifestyle image connected to personalized blue soccer player comforter with Daniel number 10.</t>
        </is>
      </c>
      <c r="M5" s="3" t="inlineStr">
        <is>
          <t>UNKNOWN</t>
        </is>
      </c>
      <c r="N5" s="3" t="inlineStr">
        <is>
          <t>SET</t>
        </is>
      </c>
      <c r="O5" s="3" t="inlineStr">
        <is>
          <t>Detail or feature image for Personalized Blue Soccer Player Comforter</t>
        </is>
      </c>
      <c r="P5" s="3" t="inlineStr">
        <is>
          <t>FULL</t>
        </is>
      </c>
      <c r="Q5" s="3" t="inlineStr">
        <is>
          <t>PARTIAL</t>
        </is>
      </c>
      <c r="R5" s="3" t="inlineStr">
        <is>
          <t>FULL</t>
        </is>
      </c>
      <c r="S5" s="3" t="inlineStr">
        <is>
          <t>FULL</t>
        </is>
      </c>
      <c r="T5" s="7">
        <f>IF(P5="FULL",40,IF(P5="PARTIAL",40/2,0))+IF(Q5="FULL",30,IF(Q5="PARTIAL",30/2,0))+IF(R5="FULL",20,IF(R5="PARTIAL",20/2,0))+IF(S5="FULL",10,IF(S5="PARTIAL",10/2,0))</f>
        <v/>
      </c>
      <c r="U5" s="7">
        <f>IF(P5="NOT_CHECKED",0,40)+IF(Q5="NOT_CHECKED",0,30)+IF(R5="NOT_CHECKED",0,20)+IF(S5="NOT_CHECKED",0,10)</f>
        <v/>
      </c>
      <c r="V5" s="7">
        <f>IF(U5=100,T5,"")</f>
        <v/>
      </c>
      <c r="W5" s="7">
        <f>T5</f>
        <v/>
      </c>
      <c r="X5" s="7">
        <f>T5+(100-U5)</f>
        <v/>
      </c>
      <c r="Y5" s="3" t="inlineStr">
        <is>
          <t>ISSUE-0008</t>
        </is>
      </c>
      <c r="Z5" s="3" t="inlineStr">
        <is>
          <t>D:\Shopify_Workspace\jeminise_seo\seo_runs\jeminise.com\20260906_234129\qa\20260907_181200\images\111_04.jpg; seo_runs\jeminise.com\20260906_234129\evidence\images\111_custom-soccer-player-custom-name-number-comforter-set-boys-room-decor\image_04_47833423577287.jpg; seo_runs\jeminise.com\20260906_234129\evidence\contact_sheets\111_custom-soccer-player-custom-name-number-comforter-set-boys-room-decor.jpg</t>
        </is>
      </c>
    </row>
    <row r="6" ht="66" customHeight="1">
      <c r="A6" s="2" t="inlineStr">
        <is>
          <t>jeminise.com+custom-soccer-player-custom-name-number-comforter-set-boys-room-decor</t>
        </is>
      </c>
      <c r="B6" s="2" t="inlineStr">
        <is>
          <t>img_b966afbd1586b6e4</t>
        </is>
      </c>
      <c r="C6" s="4" t="inlineStr">
        <is>
          <t>https://cdn.shopify.com/s/files/1/0792/5098/1063/files/0b1d1e19cab6d757366a36700f895ecca060303e705a8aece2f5fa486b6770da_633d7bd1-020d-47f6-927d-a479987fb7c7.jpg?v=1786610963</t>
        </is>
      </c>
      <c r="D6" s="4" t="inlineStr">
        <is>
          <t>https://cdn.shopify.com/s/files/1/0792/5098/1063/files/0b1d1e19cab6d757366a36700f895ecca060303e705a8aece2f5fa486b6770da_633d7bd1-020d-47f6-927d-a479987fb7c7.jpg?v=1786610963</t>
        </is>
      </c>
      <c r="E6" s="2" t="inlineStr">
        <is>
          <t>47833423610055</t>
        </is>
      </c>
      <c r="F6" s="2" t="inlineStr">
        <is>
          <t>47833423610055</t>
        </is>
      </c>
      <c r="G6" s="2" t="inlineStr"/>
      <c r="H6" s="2" t="inlineStr">
        <is>
          <t>GALLERY</t>
        </is>
      </c>
      <c r="I6" s="2" t="inlineStr">
        <is>
          <t>DIRECT_IMAGE_DOWNLOAD_AND_SOURCE_ROW_REVIEW</t>
        </is>
      </c>
      <c r="J6" s="2" t="inlineStr">
        <is>
          <t>2026-09-07T18:40:21+07:00</t>
        </is>
      </c>
      <c r="K6" s="2" t="inlineStr">
        <is>
          <t>Direct QA opened downloaded image 111_05; source SHA D163E535A13D9D9230E528281552C4CCDEE56CB1F4A0CA3A6A15C697CB8A43F7. Submitted observation reviewed against gallery position.</t>
        </is>
      </c>
      <c r="L6" s="2" t="inlineStr">
        <is>
          <t>Additional mockup, care or size information for personalized blue soccer player comforter with Daniel number 10.</t>
        </is>
      </c>
      <c r="M6" s="2" t="inlineStr">
        <is>
          <t>UNKNOWN</t>
        </is>
      </c>
      <c r="N6" s="2" t="inlineStr">
        <is>
          <t>SET</t>
        </is>
      </c>
      <c r="O6" s="2" t="inlineStr">
        <is>
          <t>Additional product mockup or care information for Personalized Blue Soccer Player Comforter</t>
        </is>
      </c>
      <c r="P6" s="2" t="inlineStr">
        <is>
          <t>FULL</t>
        </is>
      </c>
      <c r="Q6" s="2" t="inlineStr">
        <is>
          <t>FULL</t>
        </is>
      </c>
      <c r="R6" s="2" t="inlineStr">
        <is>
          <t>FULL</t>
        </is>
      </c>
      <c r="S6" s="2" t="inlineStr">
        <is>
          <t>FULL</t>
        </is>
      </c>
      <c r="T6" s="5">
        <f>IF(P6="FULL",40,IF(P6="PARTIAL",40/2,0))+IF(Q6="FULL",30,IF(Q6="PARTIAL",30/2,0))+IF(R6="FULL",20,IF(R6="PARTIAL",20/2,0))+IF(S6="FULL",10,IF(S6="PARTIAL",10/2,0))</f>
        <v/>
      </c>
      <c r="U6" s="5">
        <f>IF(P6="NOT_CHECKED",0,40)+IF(Q6="NOT_CHECKED",0,30)+IF(R6="NOT_CHECKED",0,20)+IF(S6="NOT_CHECKED",0,10)</f>
        <v/>
      </c>
      <c r="V6" s="5">
        <f>IF(U6=100,T6,"")</f>
        <v/>
      </c>
      <c r="W6" s="5">
        <f>T6</f>
        <v/>
      </c>
      <c r="X6" s="5">
        <f>T6+(100-U6)</f>
        <v/>
      </c>
      <c r="Y6" s="2" t="inlineStr"/>
      <c r="Z6" s="2" t="inlineStr">
        <is>
          <t>D:\Shopify_Workspace\jeminise_seo\seo_runs\jeminise.com\20260906_234129\qa\20260907_181200\images\111_05.jpg; seo_runs\jeminise.com\20260906_234129\evidence\images\111_custom-soccer-player-custom-name-number-comforter-set-boys-room-decor\image_05_47833423610055.jpg; seo_runs\jeminise.com\20260906_234129\evidence\contact_sheets\111_custom-soccer-player-custom-name-number-comforter-set-boys-room-decor.jpg</t>
        </is>
      </c>
    </row>
    <row r="7" ht="66" customHeight="1">
      <c r="A7" s="3" t="inlineStr">
        <is>
          <t>jeminise.com+custom-soccer-player-custom-name-number-comforter-set-boys-room-decor</t>
        </is>
      </c>
      <c r="B7" s="3" t="inlineStr">
        <is>
          <t>img_933526131d448174</t>
        </is>
      </c>
      <c r="C7" s="4" t="inlineStr">
        <is>
          <t>https://cdn.shopify.com/s/files/1/0792/5098/1063/files/9c91a61710180a5c3e4166b3e4138e219837b88e5f61399fea6626dcfdff7898.jpg?v=1786610963</t>
        </is>
      </c>
      <c r="D7" s="4" t="inlineStr">
        <is>
          <t>https://cdn.shopify.com/s/files/1/0792/5098/1063/files/9c91a61710180a5c3e4166b3e4138e219837b88e5f61399fea6626dcfdff7898.jpg?v=1786610963</t>
        </is>
      </c>
      <c r="E7" s="3" t="inlineStr">
        <is>
          <t>47833423642823</t>
        </is>
      </c>
      <c r="F7" s="3" t="inlineStr">
        <is>
          <t>47833423642823</t>
        </is>
      </c>
      <c r="G7" s="3" t="inlineStr"/>
      <c r="H7" s="3" t="inlineStr">
        <is>
          <t>GALLERY</t>
        </is>
      </c>
      <c r="I7" s="3" t="inlineStr">
        <is>
          <t>DIRECT_IMAGE_DOWNLOAD_AND_SOURCE_ROW_REVIEW</t>
        </is>
      </c>
      <c r="J7" s="3" t="inlineStr">
        <is>
          <t>2026-09-07T18:40:21+07:00</t>
        </is>
      </c>
      <c r="K7" s="3" t="inlineStr">
        <is>
          <t>Direct QA opened downloaded image 111_06; source SHA E174C42A318D60260CE4360F5C42AD54AE433B44A4DCB01C9DB03E26BD8792DE. Submitted observation reviewed against gallery position.</t>
        </is>
      </c>
      <c r="L7" s="3" t="inlineStr">
        <is>
          <t>Easy-care, size guide or product feature image for personalized blue soccer player comforter with Daniel number 10.</t>
        </is>
      </c>
      <c r="M7" s="3" t="inlineStr">
        <is>
          <t>UNKNOWN</t>
        </is>
      </c>
      <c r="N7" s="3" t="inlineStr">
        <is>
          <t>SET</t>
        </is>
      </c>
      <c r="O7" s="3" t="inlineStr">
        <is>
          <t>Care, size or product feature image for Personalized Blue Soccer Player Comforter</t>
        </is>
      </c>
      <c r="P7" s="3" t="inlineStr">
        <is>
          <t>FULL</t>
        </is>
      </c>
      <c r="Q7" s="3" t="inlineStr">
        <is>
          <t>PARTIAL</t>
        </is>
      </c>
      <c r="R7" s="3" t="inlineStr">
        <is>
          <t>FULL</t>
        </is>
      </c>
      <c r="S7" s="3" t="inlineStr">
        <is>
          <t>FULL</t>
        </is>
      </c>
      <c r="T7" s="7">
        <f>IF(P7="FULL",40,IF(P7="PARTIAL",40/2,0))+IF(Q7="FULL",30,IF(Q7="PARTIAL",30/2,0))+IF(R7="FULL",20,IF(R7="PARTIAL",20/2,0))+IF(S7="FULL",10,IF(S7="PARTIAL",10/2,0))</f>
        <v/>
      </c>
      <c r="U7" s="7">
        <f>IF(P7="NOT_CHECKED",0,40)+IF(Q7="NOT_CHECKED",0,30)+IF(R7="NOT_CHECKED",0,20)+IF(S7="NOT_CHECKED",0,10)</f>
        <v/>
      </c>
      <c r="V7" s="7">
        <f>IF(U7=100,T7,"")</f>
        <v/>
      </c>
      <c r="W7" s="7">
        <f>T7</f>
        <v/>
      </c>
      <c r="X7" s="7">
        <f>T7+(100-U7)</f>
        <v/>
      </c>
      <c r="Y7" s="3" t="inlineStr">
        <is>
          <t>ISSUE-0009</t>
        </is>
      </c>
      <c r="Z7" s="3" t="inlineStr">
        <is>
          <t>D:\Shopify_Workspace\jeminise_seo\seo_runs\jeminise.com\20260906_234129\qa\20260907_181200\images\111_06.jpg; seo_runs\jeminise.com\20260906_234129\evidence\images\111_custom-soccer-player-custom-name-number-comforter-set-boys-room-decor\image_06_47833423642823.jpg; seo_runs\jeminise.com\20260906_234129\evidence\contact_sheets\111_custom-soccer-player-custom-name-number-comforter-set-boys-room-decor.jpg</t>
        </is>
      </c>
    </row>
    <row r="8" ht="66" customHeight="1">
      <c r="A8" s="2" t="inlineStr">
        <is>
          <t>jeminise.com+custom-soccer-player-custom-name-number-comforter-set-boys-room-decor</t>
        </is>
      </c>
      <c r="B8" s="2" t="inlineStr">
        <is>
          <t>img_06d697c06bf882f0</t>
        </is>
      </c>
      <c r="C8" s="4" t="inlineStr">
        <is>
          <t>https://cdn.shopify.com/s/files/1/0792/5098/1063/files/0ee8c23fe480e4cb829b16c3c896321f033d3414addd9d209e7de6f5c65bf684.jpg?v=1786610963</t>
        </is>
      </c>
      <c r="D8" s="4" t="inlineStr">
        <is>
          <t>https://cdn.shopify.com/s/files/1/0792/5098/1063/files/0ee8c23fe480e4cb829b16c3c896321f033d3414addd9d209e7de6f5c65bf684.jpg?v=1786610963</t>
        </is>
      </c>
      <c r="E8" s="2" t="inlineStr">
        <is>
          <t>47833423675591</t>
        </is>
      </c>
      <c r="F8" s="2" t="inlineStr">
        <is>
          <t>47833423675591</t>
        </is>
      </c>
      <c r="G8" s="2" t="inlineStr"/>
      <c r="H8" s="2" t="inlineStr">
        <is>
          <t>GALLERY</t>
        </is>
      </c>
      <c r="I8" s="2" t="inlineStr">
        <is>
          <t>DIRECT_IMAGE_DOWNLOAD_AND_SOURCE_ROW_REVIEW</t>
        </is>
      </c>
      <c r="J8" s="2" t="inlineStr">
        <is>
          <t>2026-09-07T18:40:21+07:00</t>
        </is>
      </c>
      <c r="K8" s="2" t="inlineStr">
        <is>
          <t>Direct QA opened downloaded image 111_07; source SHA C2396832BEE83E5434D01A7EAE2DD36FB071F8D80D1B72D1070F6771E3614C31. Submitted observation reviewed against gallery position.</t>
        </is>
      </c>
      <c r="L8" s="2" t="inlineStr">
        <is>
          <t>Additional lifestyle, feature or product detail image showing personalized blue soccer player comforter with Daniel number 10.</t>
        </is>
      </c>
      <c r="M8" s="2" t="inlineStr">
        <is>
          <t>UNKNOWN</t>
        </is>
      </c>
      <c r="N8" s="2" t="inlineStr">
        <is>
          <t>SET</t>
        </is>
      </c>
      <c r="O8" s="2" t="inlineStr">
        <is>
          <t>Additional product mockup of Personalized Blue Soccer Player Comforter</t>
        </is>
      </c>
      <c r="P8" s="2" t="inlineStr">
        <is>
          <t>FULL</t>
        </is>
      </c>
      <c r="Q8" s="2" t="inlineStr">
        <is>
          <t>PARTIAL</t>
        </is>
      </c>
      <c r="R8" s="2" t="inlineStr">
        <is>
          <t>FULL</t>
        </is>
      </c>
      <c r="S8" s="2" t="inlineStr">
        <is>
          <t>FULL</t>
        </is>
      </c>
      <c r="T8" s="5">
        <f>IF(P8="FULL",40,IF(P8="PARTIAL",40/2,0))+IF(Q8="FULL",30,IF(Q8="PARTIAL",30/2,0))+IF(R8="FULL",20,IF(R8="PARTIAL",20/2,0))+IF(S8="FULL",10,IF(S8="PARTIAL",10/2,0))</f>
        <v/>
      </c>
      <c r="U8" s="5">
        <f>IF(P8="NOT_CHECKED",0,40)+IF(Q8="NOT_CHECKED",0,30)+IF(R8="NOT_CHECKED",0,20)+IF(S8="NOT_CHECKED",0,10)</f>
        <v/>
      </c>
      <c r="V8" s="5">
        <f>IF(U8=100,T8,"")</f>
        <v/>
      </c>
      <c r="W8" s="5">
        <f>T8</f>
        <v/>
      </c>
      <c r="X8" s="5">
        <f>T8+(100-U8)</f>
        <v/>
      </c>
      <c r="Y8" s="2" t="inlineStr">
        <is>
          <t>ISSUE-0010</t>
        </is>
      </c>
      <c r="Z8" s="2" t="inlineStr">
        <is>
          <t>D:\Shopify_Workspace\jeminise_seo\seo_runs\jeminise.com\20260906_234129\qa\20260907_181200\images\111_07.jpg; seo_runs\jeminise.com\20260906_234129\evidence\images\111_custom-soccer-player-custom-name-number-comforter-set-boys-room-decor\image_07_47833423675591.jpg; seo_runs\jeminise.com\20260906_234129\evidence\contact_sheets\111_custom-soccer-player-custom-name-number-comforter-set-boys-room-decor.jpg</t>
        </is>
      </c>
    </row>
    <row r="9" ht="66" customHeight="1">
      <c r="A9" s="3" t="inlineStr">
        <is>
          <t>jeminise.com+custom-soccer-player-custom-name-number-comforter-set-boys-room-decor</t>
        </is>
      </c>
      <c r="B9" s="3" t="inlineStr">
        <is>
          <t>img_9fade80344698705</t>
        </is>
      </c>
      <c r="C9" s="4" t="inlineStr">
        <is>
          <t>https://cdn.shopify.com/s/files/1/0792/5098/1063/files/dd6b2f75d5d331064be3e2ace151f6872c3f1f67675d8c1c7fa00f207341180b_fe534272-feba-4b3c-acbd-7c306b5cefec.jpg?v=1786610963</t>
        </is>
      </c>
      <c r="D9" s="4" t="inlineStr">
        <is>
          <t>https://cdn.shopify.com/s/files/1/0792/5098/1063/files/dd6b2f75d5d331064be3e2ace151f6872c3f1f67675d8c1c7fa00f207341180b_fe534272-feba-4b3c-acbd-7c306b5cefec.jpg?v=1786610963</t>
        </is>
      </c>
      <c r="E9" s="3" t="inlineStr">
        <is>
          <t>47833423708359</t>
        </is>
      </c>
      <c r="F9" s="3" t="inlineStr">
        <is>
          <t>47833423708359</t>
        </is>
      </c>
      <c r="G9" s="3" t="inlineStr"/>
      <c r="H9" s="3" t="inlineStr">
        <is>
          <t>GALLERY</t>
        </is>
      </c>
      <c r="I9" s="3" t="inlineStr">
        <is>
          <t>DIRECT_IMAGE_DOWNLOAD_AND_SOURCE_ROW_REVIEW</t>
        </is>
      </c>
      <c r="J9" s="3" t="inlineStr">
        <is>
          <t>2026-09-07T18:40:21+07:00</t>
        </is>
      </c>
      <c r="K9" s="3" t="inlineStr">
        <is>
          <t>Direct QA opened downloaded image 111_08; source SHA 20695A7BBFC81C154D78FA65E875BD671D43CF32FD78E26B6AA18B105B7CABED. Submitted observation reviewed against gallery position.</t>
        </is>
      </c>
      <c r="L9" s="3" t="inlineStr">
        <is>
          <t>Additional lifestyle, feature or product detail image showing personalized blue soccer player comforter with Daniel number 10.</t>
        </is>
      </c>
      <c r="M9" s="3" t="inlineStr">
        <is>
          <t>UNKNOWN</t>
        </is>
      </c>
      <c r="N9" s="3" t="inlineStr">
        <is>
          <t>SET</t>
        </is>
      </c>
      <c r="O9" s="3" t="inlineStr">
        <is>
          <t>Lifestyle use image for Personalized Blue Soccer Player Comforter</t>
        </is>
      </c>
      <c r="P9" s="3" t="inlineStr">
        <is>
          <t>FULL</t>
        </is>
      </c>
      <c r="Q9" s="3" t="inlineStr">
        <is>
          <t>PARTIAL</t>
        </is>
      </c>
      <c r="R9" s="3" t="inlineStr">
        <is>
          <t>FULL</t>
        </is>
      </c>
      <c r="S9" s="3" t="inlineStr">
        <is>
          <t>FULL</t>
        </is>
      </c>
      <c r="T9" s="7">
        <f>IF(P9="FULL",40,IF(P9="PARTIAL",40/2,0))+IF(Q9="FULL",30,IF(Q9="PARTIAL",30/2,0))+IF(R9="FULL",20,IF(R9="PARTIAL",20/2,0))+IF(S9="FULL",10,IF(S9="PARTIAL",10/2,0))</f>
        <v/>
      </c>
      <c r="U9" s="7">
        <f>IF(P9="NOT_CHECKED",0,40)+IF(Q9="NOT_CHECKED",0,30)+IF(R9="NOT_CHECKED",0,20)+IF(S9="NOT_CHECKED",0,10)</f>
        <v/>
      </c>
      <c r="V9" s="7">
        <f>IF(U9=100,T9,"")</f>
        <v/>
      </c>
      <c r="W9" s="7">
        <f>T9</f>
        <v/>
      </c>
      <c r="X9" s="7">
        <f>T9+(100-U9)</f>
        <v/>
      </c>
      <c r="Y9" s="3" t="inlineStr">
        <is>
          <t>ISSUE-0011</t>
        </is>
      </c>
      <c r="Z9" s="3" t="inlineStr">
        <is>
          <t>D:\Shopify_Workspace\jeminise_seo\seo_runs\jeminise.com\20260906_234129\qa\20260907_181200\images\111_08.jpg; seo_runs\jeminise.com\20260906_234129\evidence\images\111_custom-soccer-player-custom-name-number-comforter-set-boys-room-decor\image_08_47833423708359.jpg; seo_runs\jeminise.com\20260906_234129\evidence\contact_sheets\111_custom-soccer-player-custom-name-number-comforter-set-boys-room-decor.jpg</t>
        </is>
      </c>
    </row>
    <row r="10" ht="66" customHeight="1">
      <c r="A10" s="2" t="inlineStr">
        <is>
          <t>jeminise.com+custom-soccer-player-goal-comforter-set-machine-washable-design-8</t>
        </is>
      </c>
      <c r="B10" s="2" t="inlineStr">
        <is>
          <t>img_6564558786c707e4</t>
        </is>
      </c>
      <c r="C10" s="4" t="inlineStr">
        <is>
          <t>https://cdn.shopify.com/s/files/1/0792/5098/1063/files/dbac2843c8a7d91826da156c117202b53acf9c74a9ac57f9a5155ff0ee41d541.jpg?v=1786610992</t>
        </is>
      </c>
      <c r="D10" s="4" t="inlineStr">
        <is>
          <t>https://cdn.shopify.com/s/files/1/0792/5098/1063/files/dbac2843c8a7d91826da156c117202b53acf9c74a9ac57f9a5155ff0ee41d541.jpg?v=1786610992</t>
        </is>
      </c>
      <c r="E10" s="2" t="inlineStr">
        <is>
          <t>47833426854087</t>
        </is>
      </c>
      <c r="F10" s="2" t="inlineStr">
        <is>
          <t>47833426854087</t>
        </is>
      </c>
      <c r="G10" s="2" t="inlineStr"/>
      <c r="H10" s="2" t="inlineStr">
        <is>
          <t>GALLERY</t>
        </is>
      </c>
      <c r="I10" s="2" t="inlineStr">
        <is>
          <t>DIRECT_IMAGE_DOWNLOAD_AND_SOURCE_ROW_REVIEW</t>
        </is>
      </c>
      <c r="J10" s="2" t="inlineStr">
        <is>
          <t>2026-09-07T18:40:21+07:00</t>
        </is>
      </c>
      <c r="K10" s="2" t="inlineStr">
        <is>
          <t>Direct QA opened downloaded image 112_01; source SHA 2ADA5F0FBC36CA68EDC212118A8FC9D9F8428E911A9E17D31925860CF0B46936. Submitted observation reviewed against gallery position.</t>
        </is>
      </c>
      <c r="L10" s="2" t="inlineStr">
        <is>
          <t>Main product mockup showing personalized soccer goal comforter with Tyler number 10.</t>
        </is>
      </c>
      <c r="M10" s="2" t="inlineStr">
        <is>
          <t>UNKNOWN</t>
        </is>
      </c>
      <c r="N10" s="2" t="inlineStr">
        <is>
          <t>SET</t>
        </is>
      </c>
      <c r="O10" s="2" t="inlineStr">
        <is>
          <t>Personalized Soccer Goal Comforter displayed in a main product mockup</t>
        </is>
      </c>
      <c r="P10" s="2" t="inlineStr">
        <is>
          <t>FULL</t>
        </is>
      </c>
      <c r="Q10" s="2" t="inlineStr">
        <is>
          <t>FULL</t>
        </is>
      </c>
      <c r="R10" s="2" t="inlineStr">
        <is>
          <t>PARTIAL</t>
        </is>
      </c>
      <c r="S10" s="2" t="inlineStr">
        <is>
          <t>FULL</t>
        </is>
      </c>
      <c r="T10" s="5">
        <f>IF(P10="FULL",40,IF(P10="PARTIAL",40/2,0))+IF(Q10="FULL",30,IF(Q10="PARTIAL",30/2,0))+IF(R10="FULL",20,IF(R10="PARTIAL",20/2,0))+IF(S10="FULL",10,IF(S10="PARTIAL",10/2,0))</f>
        <v/>
      </c>
      <c r="U10" s="5">
        <f>IF(P10="NOT_CHECKED",0,40)+IF(Q10="NOT_CHECKED",0,30)+IF(R10="NOT_CHECKED",0,20)+IF(S10="NOT_CHECKED",0,10)</f>
        <v/>
      </c>
      <c r="V10" s="5">
        <f>IF(U10=100,T10,"")</f>
        <v/>
      </c>
      <c r="W10" s="5">
        <f>T10</f>
        <v/>
      </c>
      <c r="X10" s="5">
        <f>T10+(100-U10)</f>
        <v/>
      </c>
      <c r="Y10" s="2" t="inlineStr">
        <is>
          <t>ISSUE-0016</t>
        </is>
      </c>
      <c r="Z10" s="2" t="inlineStr">
        <is>
          <t>D:\Shopify_Workspace\jeminise_seo\seo_runs\jeminise.com\20260906_234129\qa\20260907_181200\images\112_01.jpg; seo_runs\jeminise.com\20260906_234129\evidence\images\112_custom-soccer-player-goal-comforter-set-machine-washable-design-8\image_01_47833426854087.jpg; seo_runs\jeminise.com\20260906_234129\evidence\contact_sheets\112_custom-soccer-player-goal-comforter-set-machine-washable-design-8.jpg</t>
        </is>
      </c>
    </row>
    <row r="11" ht="66" customHeight="1">
      <c r="A11" s="3" t="inlineStr">
        <is>
          <t>jeminise.com+custom-soccer-player-goal-comforter-set-machine-washable-design-8</t>
        </is>
      </c>
      <c r="B11" s="3" t="inlineStr">
        <is>
          <t>img_bbab846a4fce00ee</t>
        </is>
      </c>
      <c r="C11" s="4" t="inlineStr">
        <is>
          <t>https://cdn.shopify.com/s/files/1/0792/5098/1063/files/a9c2c6e1d0c9b444a88fe782d3f128ca26a995a1f94024dfec3c4d38a637d46d.jpg?v=1786610992</t>
        </is>
      </c>
      <c r="D11" s="4" t="inlineStr">
        <is>
          <t>https://cdn.shopify.com/s/files/1/0792/5098/1063/files/a9c2c6e1d0c9b444a88fe782d3f128ca26a995a1f94024dfec3c4d38a637d46d.jpg?v=1786610992</t>
        </is>
      </c>
      <c r="E11" s="3" t="inlineStr">
        <is>
          <t>47833426886855</t>
        </is>
      </c>
      <c r="F11" s="3" t="inlineStr">
        <is>
          <t>47833426886855</t>
        </is>
      </c>
      <c r="G11" s="3" t="inlineStr"/>
      <c r="H11" s="3" t="inlineStr">
        <is>
          <t>GALLERY</t>
        </is>
      </c>
      <c r="I11" s="3" t="inlineStr">
        <is>
          <t>DIRECT_IMAGE_DOWNLOAD_AND_SOURCE_ROW_REVIEW</t>
        </is>
      </c>
      <c r="J11" s="3" t="inlineStr">
        <is>
          <t>2026-09-07T18:40:21+07:00</t>
        </is>
      </c>
      <c r="K11" s="3" t="inlineStr">
        <is>
          <t>Direct QA opened downloaded image 112_02; source SHA 93689F6549651F7BE9C9E3B60817C3FC90FE2FB151A51B4969F30028108F1AC8. Submitted observation reviewed against gallery position.</t>
        </is>
      </c>
      <c r="L11" s="3" t="inlineStr">
        <is>
          <t>Secondary flat, close-up or bedroom mockup showing personalized soccer goal comforter with Tyler number 10.</t>
        </is>
      </c>
      <c r="M11" s="3" t="inlineStr">
        <is>
          <t>UNKNOWN</t>
        </is>
      </c>
      <c r="N11" s="3" t="inlineStr">
        <is>
          <t>SET</t>
        </is>
      </c>
      <c r="O11" s="3" t="inlineStr">
        <is>
          <t>Secondary mockup of Personalized Soccer Goal Comforter</t>
        </is>
      </c>
      <c r="P11" s="3" t="inlineStr">
        <is>
          <t>FULL</t>
        </is>
      </c>
      <c r="Q11" s="3" t="inlineStr">
        <is>
          <t>FULL</t>
        </is>
      </c>
      <c r="R11" s="3" t="inlineStr">
        <is>
          <t>FULL</t>
        </is>
      </c>
      <c r="S11" s="3" t="inlineStr">
        <is>
          <t>FULL</t>
        </is>
      </c>
      <c r="T11" s="7">
        <f>IF(P11="FULL",40,IF(P11="PARTIAL",40/2,0))+IF(Q11="FULL",30,IF(Q11="PARTIAL",30/2,0))+IF(R11="FULL",20,IF(R11="PARTIAL",20/2,0))+IF(S11="FULL",10,IF(S11="PARTIAL",10/2,0))</f>
        <v/>
      </c>
      <c r="U11" s="7">
        <f>IF(P11="NOT_CHECKED",0,40)+IF(Q11="NOT_CHECKED",0,30)+IF(R11="NOT_CHECKED",0,20)+IF(S11="NOT_CHECKED",0,10)</f>
        <v/>
      </c>
      <c r="V11" s="7">
        <f>IF(U11=100,T11,"")</f>
        <v/>
      </c>
      <c r="W11" s="7">
        <f>T11</f>
        <v/>
      </c>
      <c r="X11" s="7">
        <f>T11+(100-U11)</f>
        <v/>
      </c>
      <c r="Y11" s="3" t="inlineStr"/>
      <c r="Z11" s="3" t="inlineStr">
        <is>
          <t>D:\Shopify_Workspace\jeminise_seo\seo_runs\jeminise.com\20260906_234129\qa\20260907_181200\images\112_02.jpg; seo_runs\jeminise.com\20260906_234129\evidence\images\112_custom-soccer-player-goal-comforter-set-machine-washable-design-8\image_02_47833426886855.jpg; seo_runs\jeminise.com\20260906_234129\evidence\contact_sheets\112_custom-soccer-player-goal-comforter-set-machine-washable-design-8.jpg</t>
        </is>
      </c>
    </row>
    <row r="12" ht="66" customHeight="1">
      <c r="A12" s="2" t="inlineStr">
        <is>
          <t>jeminise.com+custom-soccer-player-goal-comforter-set-machine-washable-design-8</t>
        </is>
      </c>
      <c r="B12" s="2" t="inlineStr">
        <is>
          <t>img_1024adf81ffadfe8</t>
        </is>
      </c>
      <c r="C12" s="4" t="inlineStr">
        <is>
          <t>https://cdn.shopify.com/s/files/1/0792/5098/1063/files/aed6d7a2e05456a3bd6e67c741c3a926a1cfc777026e896d9ad232a231e1d81e.jpg?v=1786610992</t>
        </is>
      </c>
      <c r="D12" s="4" t="inlineStr">
        <is>
          <t>https://cdn.shopify.com/s/files/1/0792/5098/1063/files/aed6d7a2e05456a3bd6e67c741c3a926a1cfc777026e896d9ad232a231e1d81e.jpg?v=1786610992</t>
        </is>
      </c>
      <c r="E12" s="2" t="inlineStr">
        <is>
          <t>47833426919623</t>
        </is>
      </c>
      <c r="F12" s="2" t="inlineStr">
        <is>
          <t>47833426919623</t>
        </is>
      </c>
      <c r="G12" s="2" t="inlineStr"/>
      <c r="H12" s="2" t="inlineStr">
        <is>
          <t>GALLERY</t>
        </is>
      </c>
      <c r="I12" s="2" t="inlineStr">
        <is>
          <t>DIRECT_IMAGE_DOWNLOAD_AND_SOURCE_ROW_REVIEW</t>
        </is>
      </c>
      <c r="J12" s="2" t="inlineStr">
        <is>
          <t>2026-09-07T18:40:21+07:00</t>
        </is>
      </c>
      <c r="K12" s="2" t="inlineStr">
        <is>
          <t>Direct QA opened downloaded image 112_03; source SHA 6228866E398C8A71A242F8918C45D192238AB81B8C2A42A31EB5DE31F2FB5817. Submitted observation reviewed against gallery position.</t>
        </is>
      </c>
      <c r="L12" s="2" t="inlineStr">
        <is>
          <t>Bedding type, feature, lifestyle or material image for personalized soccer goal comforter with Tyler number 10.</t>
        </is>
      </c>
      <c r="M12" s="2" t="inlineStr">
        <is>
          <t>UNKNOWN</t>
        </is>
      </c>
      <c r="N12" s="2" t="inlineStr">
        <is>
          <t>SET</t>
        </is>
      </c>
      <c r="O12" s="2" t="inlineStr">
        <is>
          <t>Product option, feature or lifestyle image for Personalized Soccer Goal Comforter</t>
        </is>
      </c>
      <c r="P12" s="2" t="inlineStr">
        <is>
          <t>FULL</t>
        </is>
      </c>
      <c r="Q12" s="2" t="inlineStr">
        <is>
          <t>PARTIAL</t>
        </is>
      </c>
      <c r="R12" s="2" t="inlineStr">
        <is>
          <t>FULL</t>
        </is>
      </c>
      <c r="S12" s="2" t="inlineStr">
        <is>
          <t>FULL</t>
        </is>
      </c>
      <c r="T12" s="5">
        <f>IF(P12="FULL",40,IF(P12="PARTIAL",40/2,0))+IF(Q12="FULL",30,IF(Q12="PARTIAL",30/2,0))+IF(R12="FULL",20,IF(R12="PARTIAL",20/2,0))+IF(S12="FULL",10,IF(S12="PARTIAL",10/2,0))</f>
        <v/>
      </c>
      <c r="U12" s="5">
        <f>IF(P12="NOT_CHECKED",0,40)+IF(Q12="NOT_CHECKED",0,30)+IF(R12="NOT_CHECKED",0,20)+IF(S12="NOT_CHECKED",0,10)</f>
        <v/>
      </c>
      <c r="V12" s="5">
        <f>IF(U12=100,T12,"")</f>
        <v/>
      </c>
      <c r="W12" s="5">
        <f>T12</f>
        <v/>
      </c>
      <c r="X12" s="5">
        <f>T12+(100-U12)</f>
        <v/>
      </c>
      <c r="Y12" s="2" t="inlineStr">
        <is>
          <t>ISSUE-0017</t>
        </is>
      </c>
      <c r="Z12" s="2" t="inlineStr">
        <is>
          <t>D:\Shopify_Workspace\jeminise_seo\seo_runs\jeminise.com\20260906_234129\qa\20260907_181200\images\112_03.jpg; seo_runs\jeminise.com\20260906_234129\evidence\images\112_custom-soccer-player-goal-comforter-set-machine-washable-design-8\image_03_47833426919623.jpg; seo_runs\jeminise.com\20260906_234129\evidence\contact_sheets\112_custom-soccer-player-goal-comforter-set-machine-washable-design-8.jpg</t>
        </is>
      </c>
    </row>
    <row r="13" ht="66" customHeight="1">
      <c r="A13" s="3" t="inlineStr">
        <is>
          <t>jeminise.com+custom-soccer-player-goal-comforter-set-machine-washable-design-8</t>
        </is>
      </c>
      <c r="B13" s="3" t="inlineStr">
        <is>
          <t>img_ea446c8cdc1ea417</t>
        </is>
      </c>
      <c r="C13" s="4" t="inlineStr">
        <is>
          <t>https://cdn.shopify.com/s/files/1/0792/5098/1063/files/2aa3156eb8de24ebb10eaa7946a270444381b05ce7d7d0d1fae71a29ffef05a9.jpg?v=1786610992</t>
        </is>
      </c>
      <c r="D13" s="4" t="inlineStr">
        <is>
          <t>https://cdn.shopify.com/s/files/1/0792/5098/1063/files/2aa3156eb8de24ebb10eaa7946a270444381b05ce7d7d0d1fae71a29ffef05a9.jpg?v=1786610992</t>
        </is>
      </c>
      <c r="E13" s="3" t="inlineStr">
        <is>
          <t>47833426952391</t>
        </is>
      </c>
      <c r="F13" s="3" t="inlineStr">
        <is>
          <t>47833426952391</t>
        </is>
      </c>
      <c r="G13" s="3" t="inlineStr"/>
      <c r="H13" s="3" t="inlineStr">
        <is>
          <t>GALLERY</t>
        </is>
      </c>
      <c r="I13" s="3" t="inlineStr">
        <is>
          <t>DIRECT_IMAGE_DOWNLOAD_AND_SOURCE_ROW_REVIEW</t>
        </is>
      </c>
      <c r="J13" s="3" t="inlineStr">
        <is>
          <t>2026-09-07T18:40:21+07:00</t>
        </is>
      </c>
      <c r="K13" s="3" t="inlineStr">
        <is>
          <t>Direct QA opened downloaded image 112_04; source SHA AE0844BF0801129AAF96B45A9F1816FF4043CC09E8FDDD9FCCBBB65EB886E19F. Submitted observation reviewed against gallery position.</t>
        </is>
      </c>
      <c r="L13" s="3" t="inlineStr">
        <is>
          <t>Detail, feature panel or lifestyle image connected to personalized soccer goal comforter with Tyler number 10.</t>
        </is>
      </c>
      <c r="M13" s="3" t="inlineStr">
        <is>
          <t>UNKNOWN</t>
        </is>
      </c>
      <c r="N13" s="3" t="inlineStr">
        <is>
          <t>SET</t>
        </is>
      </c>
      <c r="O13" s="3" t="inlineStr">
        <is>
          <t>Detail or feature image for Personalized Soccer Goal Comforter</t>
        </is>
      </c>
      <c r="P13" s="3" t="inlineStr">
        <is>
          <t>FULL</t>
        </is>
      </c>
      <c r="Q13" s="3" t="inlineStr">
        <is>
          <t>PARTIAL</t>
        </is>
      </c>
      <c r="R13" s="3" t="inlineStr">
        <is>
          <t>FULL</t>
        </is>
      </c>
      <c r="S13" s="3" t="inlineStr">
        <is>
          <t>FULL</t>
        </is>
      </c>
      <c r="T13" s="7">
        <f>IF(P13="FULL",40,IF(P13="PARTIAL",40/2,0))+IF(Q13="FULL",30,IF(Q13="PARTIAL",30/2,0))+IF(R13="FULL",20,IF(R13="PARTIAL",20/2,0))+IF(S13="FULL",10,IF(S13="PARTIAL",10/2,0))</f>
        <v/>
      </c>
      <c r="U13" s="7">
        <f>IF(P13="NOT_CHECKED",0,40)+IF(Q13="NOT_CHECKED",0,30)+IF(R13="NOT_CHECKED",0,20)+IF(S13="NOT_CHECKED",0,10)</f>
        <v/>
      </c>
      <c r="V13" s="7">
        <f>IF(U13=100,T13,"")</f>
        <v/>
      </c>
      <c r="W13" s="7">
        <f>T13</f>
        <v/>
      </c>
      <c r="X13" s="7">
        <f>T13+(100-U13)</f>
        <v/>
      </c>
      <c r="Y13" s="3" t="inlineStr">
        <is>
          <t>ISSUE-0018</t>
        </is>
      </c>
      <c r="Z13" s="3" t="inlineStr">
        <is>
          <t>D:\Shopify_Workspace\jeminise_seo\seo_runs\jeminise.com\20260906_234129\qa\20260907_181200\images\112_04.jpg; seo_runs\jeminise.com\20260906_234129\evidence\images\112_custom-soccer-player-goal-comforter-set-machine-washable-design-8\image_04_47833426952391.jpg; seo_runs\jeminise.com\20260906_234129\evidence\contact_sheets\112_custom-soccer-player-goal-comforter-set-machine-washable-design-8.jpg</t>
        </is>
      </c>
    </row>
    <row r="14" ht="66" customHeight="1">
      <c r="A14" s="2" t="inlineStr">
        <is>
          <t>jeminise.com+custom-soccer-player-goal-comforter-set-machine-washable-design-8</t>
        </is>
      </c>
      <c r="B14" s="2" t="inlineStr">
        <is>
          <t>img_92cecf0ff663f5bb</t>
        </is>
      </c>
      <c r="C14" s="4" t="inlineStr">
        <is>
          <t>https://cdn.shopify.com/s/files/1/0792/5098/1063/files/0b1d1e19cab6d757366a36700f895ecca060303e705a8aece2f5fa486b6770da_d0a94f84-328b-4ee7-9a4e-e12d4004c763.jpg?v=1786610992</t>
        </is>
      </c>
      <c r="D14" s="4" t="inlineStr">
        <is>
          <t>https://cdn.shopify.com/s/files/1/0792/5098/1063/files/0b1d1e19cab6d757366a36700f895ecca060303e705a8aece2f5fa486b6770da_d0a94f84-328b-4ee7-9a4e-e12d4004c763.jpg?v=1786610992</t>
        </is>
      </c>
      <c r="E14" s="2" t="inlineStr">
        <is>
          <t>47833426985159</t>
        </is>
      </c>
      <c r="F14" s="2" t="inlineStr">
        <is>
          <t>47833426985159</t>
        </is>
      </c>
      <c r="G14" s="2" t="inlineStr"/>
      <c r="H14" s="2" t="inlineStr">
        <is>
          <t>GALLERY</t>
        </is>
      </c>
      <c r="I14" s="2" t="inlineStr">
        <is>
          <t>DIRECT_IMAGE_DOWNLOAD_AND_SOURCE_ROW_REVIEW</t>
        </is>
      </c>
      <c r="J14" s="2" t="inlineStr">
        <is>
          <t>2026-09-07T18:40:21+07:00</t>
        </is>
      </c>
      <c r="K14" s="2" t="inlineStr">
        <is>
          <t>Direct QA opened downloaded image 112_05; source SHA D163E535A13D9D9230E528281552C4CCDEE56CB1F4A0CA3A6A15C697CB8A43F7. Submitted observation reviewed against gallery position.</t>
        </is>
      </c>
      <c r="L14" s="2" t="inlineStr">
        <is>
          <t>Additional mockup, care or size information for personalized soccer goal comforter with Tyler number 10.</t>
        </is>
      </c>
      <c r="M14" s="2" t="inlineStr">
        <is>
          <t>UNKNOWN</t>
        </is>
      </c>
      <c r="N14" s="2" t="inlineStr">
        <is>
          <t>SET</t>
        </is>
      </c>
      <c r="O14" s="2" t="inlineStr">
        <is>
          <t>Additional product mockup or care information for Personalized Soccer Goal Comforter</t>
        </is>
      </c>
      <c r="P14" s="2" t="inlineStr">
        <is>
          <t>FULL</t>
        </is>
      </c>
      <c r="Q14" s="2" t="inlineStr">
        <is>
          <t>FULL</t>
        </is>
      </c>
      <c r="R14" s="2" t="inlineStr">
        <is>
          <t>FULL</t>
        </is>
      </c>
      <c r="S14" s="2" t="inlineStr">
        <is>
          <t>FULL</t>
        </is>
      </c>
      <c r="T14" s="5">
        <f>IF(P14="FULL",40,IF(P14="PARTIAL",40/2,0))+IF(Q14="FULL",30,IF(Q14="PARTIAL",30/2,0))+IF(R14="FULL",20,IF(R14="PARTIAL",20/2,0))+IF(S14="FULL",10,IF(S14="PARTIAL",10/2,0))</f>
        <v/>
      </c>
      <c r="U14" s="5">
        <f>IF(P14="NOT_CHECKED",0,40)+IF(Q14="NOT_CHECKED",0,30)+IF(R14="NOT_CHECKED",0,20)+IF(S14="NOT_CHECKED",0,10)</f>
        <v/>
      </c>
      <c r="V14" s="5">
        <f>IF(U14=100,T14,"")</f>
        <v/>
      </c>
      <c r="W14" s="5">
        <f>T14</f>
        <v/>
      </c>
      <c r="X14" s="5">
        <f>T14+(100-U14)</f>
        <v/>
      </c>
      <c r="Y14" s="2" t="inlineStr"/>
      <c r="Z14" s="2" t="inlineStr">
        <is>
          <t>D:\Shopify_Workspace\jeminise_seo\seo_runs\jeminise.com\20260906_234129\qa\20260907_181200\images\112_05.jpg; seo_runs\jeminise.com\20260906_234129\evidence\images\112_custom-soccer-player-goal-comforter-set-machine-washable-design-8\image_05_47833426985159.jpg; seo_runs\jeminise.com\20260906_234129\evidence\contact_sheets\112_custom-soccer-player-goal-comforter-set-machine-washable-design-8.jpg</t>
        </is>
      </c>
    </row>
    <row r="15" ht="66" customHeight="1">
      <c r="A15" s="3" t="inlineStr">
        <is>
          <t>jeminise.com+custom-soccer-player-goal-comforter-set-machine-washable-design-8</t>
        </is>
      </c>
      <c r="B15" s="3" t="inlineStr">
        <is>
          <t>img_6180f9026a54f257</t>
        </is>
      </c>
      <c r="C15" s="4" t="inlineStr">
        <is>
          <t>https://cdn.shopify.com/s/files/1/0792/5098/1063/files/fd9f0e7b7bd8f63c1b25dc086f4cb6b7bc9e04267dfeeb2bfdd52d93b4e2e57a.jpg?v=1786610992</t>
        </is>
      </c>
      <c r="D15" s="4" t="inlineStr">
        <is>
          <t>https://cdn.shopify.com/s/files/1/0792/5098/1063/files/fd9f0e7b7bd8f63c1b25dc086f4cb6b7bc9e04267dfeeb2bfdd52d93b4e2e57a.jpg?v=1786610992</t>
        </is>
      </c>
      <c r="E15" s="3" t="inlineStr">
        <is>
          <t>47833427017927</t>
        </is>
      </c>
      <c r="F15" s="3" t="inlineStr">
        <is>
          <t>47833427017927</t>
        </is>
      </c>
      <c r="G15" s="3" t="inlineStr"/>
      <c r="H15" s="3" t="inlineStr">
        <is>
          <t>GALLERY</t>
        </is>
      </c>
      <c r="I15" s="3" t="inlineStr">
        <is>
          <t>DIRECT_IMAGE_DOWNLOAD_AND_SOURCE_ROW_REVIEW</t>
        </is>
      </c>
      <c r="J15" s="3" t="inlineStr">
        <is>
          <t>2026-09-07T18:40:21+07:00</t>
        </is>
      </c>
      <c r="K15" s="3" t="inlineStr">
        <is>
          <t>Direct QA opened downloaded image 112_06; source SHA C23926131E7D5231678FD3A4D68D23E9DACE5F95367DA06430E5C09B74A9EA1C. Submitted observation reviewed against gallery position.</t>
        </is>
      </c>
      <c r="L15" s="3" t="inlineStr">
        <is>
          <t>Easy-care, size guide or product feature image for personalized soccer goal comforter with Tyler number 10.</t>
        </is>
      </c>
      <c r="M15" s="3" t="inlineStr">
        <is>
          <t>UNKNOWN</t>
        </is>
      </c>
      <c r="N15" s="3" t="inlineStr">
        <is>
          <t>SET</t>
        </is>
      </c>
      <c r="O15" s="3" t="inlineStr">
        <is>
          <t>Care, size or product feature image for Personalized Soccer Goal Comforter</t>
        </is>
      </c>
      <c r="P15" s="3" t="inlineStr">
        <is>
          <t>FULL</t>
        </is>
      </c>
      <c r="Q15" s="3" t="inlineStr">
        <is>
          <t>PARTIAL</t>
        </is>
      </c>
      <c r="R15" s="3" t="inlineStr">
        <is>
          <t>FULL</t>
        </is>
      </c>
      <c r="S15" s="3" t="inlineStr">
        <is>
          <t>FULL</t>
        </is>
      </c>
      <c r="T15" s="7">
        <f>IF(P15="FULL",40,IF(P15="PARTIAL",40/2,0))+IF(Q15="FULL",30,IF(Q15="PARTIAL",30/2,0))+IF(R15="FULL",20,IF(R15="PARTIAL",20/2,0))+IF(S15="FULL",10,IF(S15="PARTIAL",10/2,0))</f>
        <v/>
      </c>
      <c r="U15" s="7">
        <f>IF(P15="NOT_CHECKED",0,40)+IF(Q15="NOT_CHECKED",0,30)+IF(R15="NOT_CHECKED",0,20)+IF(S15="NOT_CHECKED",0,10)</f>
        <v/>
      </c>
      <c r="V15" s="7">
        <f>IF(U15=100,T15,"")</f>
        <v/>
      </c>
      <c r="W15" s="7">
        <f>T15</f>
        <v/>
      </c>
      <c r="X15" s="7">
        <f>T15+(100-U15)</f>
        <v/>
      </c>
      <c r="Y15" s="3" t="inlineStr">
        <is>
          <t>ISSUE-0019</t>
        </is>
      </c>
      <c r="Z15" s="3" t="inlineStr">
        <is>
          <t>D:\Shopify_Workspace\jeminise_seo\seo_runs\jeminise.com\20260906_234129\qa\20260907_181200\images\112_06.jpg; seo_runs\jeminise.com\20260906_234129\evidence\images\112_custom-soccer-player-goal-comforter-set-machine-washable-design-8\image_06_47833427017927.jpg; seo_runs\jeminise.com\20260906_234129\evidence\contact_sheets\112_custom-soccer-player-goal-comforter-set-machine-washable-design-8.jpg</t>
        </is>
      </c>
    </row>
    <row r="16" ht="66" customHeight="1">
      <c r="A16" s="2" t="inlineStr">
        <is>
          <t>jeminise.com+custom-soccer-player-goal-comforter-set-machine-washable-design-8</t>
        </is>
      </c>
      <c r="B16" s="2" t="inlineStr">
        <is>
          <t>img_7d43e813f1fbc0e8</t>
        </is>
      </c>
      <c r="C16" s="4" t="inlineStr">
        <is>
          <t>https://cdn.shopify.com/s/files/1/0792/5098/1063/files/f8f33d668a5439fabac99ca4da5ed91b8093757ef750724108466a765dd26b16.jpg?v=1786610992</t>
        </is>
      </c>
      <c r="D16" s="4" t="inlineStr">
        <is>
          <t>https://cdn.shopify.com/s/files/1/0792/5098/1063/files/f8f33d668a5439fabac99ca4da5ed91b8093757ef750724108466a765dd26b16.jpg?v=1786610992</t>
        </is>
      </c>
      <c r="E16" s="2" t="inlineStr">
        <is>
          <t>47833427050695</t>
        </is>
      </c>
      <c r="F16" s="2" t="inlineStr">
        <is>
          <t>47833427050695</t>
        </is>
      </c>
      <c r="G16" s="2" t="inlineStr"/>
      <c r="H16" s="2" t="inlineStr">
        <is>
          <t>GALLERY</t>
        </is>
      </c>
      <c r="I16" s="2" t="inlineStr">
        <is>
          <t>DIRECT_IMAGE_DOWNLOAD_AND_SOURCE_ROW_REVIEW</t>
        </is>
      </c>
      <c r="J16" s="2" t="inlineStr">
        <is>
          <t>2026-09-07T18:40:21+07:00</t>
        </is>
      </c>
      <c r="K16" s="2" t="inlineStr">
        <is>
          <t>Direct QA opened downloaded image 112_07; source SHA 652FF6761D04E54079EE0EC64C67758FBF7B2D237ADC679F5E333B482AED7E65. Submitted observation reviewed against gallery position.</t>
        </is>
      </c>
      <c r="L16" s="2" t="inlineStr">
        <is>
          <t>Additional lifestyle, feature or product detail image showing personalized soccer goal comforter with Tyler number 10.</t>
        </is>
      </c>
      <c r="M16" s="2" t="inlineStr">
        <is>
          <t>UNKNOWN</t>
        </is>
      </c>
      <c r="N16" s="2" t="inlineStr">
        <is>
          <t>SET</t>
        </is>
      </c>
      <c r="O16" s="2" t="inlineStr">
        <is>
          <t>Additional product mockup of Personalized Soccer Goal Comforter</t>
        </is>
      </c>
      <c r="P16" s="2" t="inlineStr">
        <is>
          <t>FULL</t>
        </is>
      </c>
      <c r="Q16" s="2" t="inlineStr">
        <is>
          <t>PARTIAL</t>
        </is>
      </c>
      <c r="R16" s="2" t="inlineStr">
        <is>
          <t>FULL</t>
        </is>
      </c>
      <c r="S16" s="2" t="inlineStr">
        <is>
          <t>FULL</t>
        </is>
      </c>
      <c r="T16" s="5">
        <f>IF(P16="FULL",40,IF(P16="PARTIAL",40/2,0))+IF(Q16="FULL",30,IF(Q16="PARTIAL",30/2,0))+IF(R16="FULL",20,IF(R16="PARTIAL",20/2,0))+IF(S16="FULL",10,IF(S16="PARTIAL",10/2,0))</f>
        <v/>
      </c>
      <c r="U16" s="5">
        <f>IF(P16="NOT_CHECKED",0,40)+IF(Q16="NOT_CHECKED",0,30)+IF(R16="NOT_CHECKED",0,20)+IF(S16="NOT_CHECKED",0,10)</f>
        <v/>
      </c>
      <c r="V16" s="5">
        <f>IF(U16=100,T16,"")</f>
        <v/>
      </c>
      <c r="W16" s="5">
        <f>T16</f>
        <v/>
      </c>
      <c r="X16" s="5">
        <f>T16+(100-U16)</f>
        <v/>
      </c>
      <c r="Y16" s="2" t="inlineStr">
        <is>
          <t>ISSUE-0020</t>
        </is>
      </c>
      <c r="Z16" s="2" t="inlineStr">
        <is>
          <t>D:\Shopify_Workspace\jeminise_seo\seo_runs\jeminise.com\20260906_234129\qa\20260907_181200\images\112_07.jpg; seo_runs\jeminise.com\20260906_234129\evidence\images\112_custom-soccer-player-goal-comforter-set-machine-washable-design-8\image_07_47833427050695.jpg; seo_runs\jeminise.com\20260906_234129\evidence\contact_sheets\112_custom-soccer-player-goal-comforter-set-machine-washable-design-8.jpg</t>
        </is>
      </c>
    </row>
    <row r="17" ht="66" customHeight="1">
      <c r="A17" s="3" t="inlineStr">
        <is>
          <t>jeminise.com+custom-soccer-player-goal-comforter-set-machine-washable-design-8</t>
        </is>
      </c>
      <c r="B17" s="3" t="inlineStr">
        <is>
          <t>img_4d605af54c36d607</t>
        </is>
      </c>
      <c r="C17" s="4" t="inlineStr">
        <is>
          <t>https://cdn.shopify.com/s/files/1/0792/5098/1063/files/d761ea3ae4f4c0b26b7473177b21a616c5199552823ec637c64fe7b0d6b0f12f_bbddf900-8f9b-4a19-949b-a61fab4a470b.jpg?v=1786610992</t>
        </is>
      </c>
      <c r="D17" s="4" t="inlineStr">
        <is>
          <t>https://cdn.shopify.com/s/files/1/0792/5098/1063/files/d761ea3ae4f4c0b26b7473177b21a616c5199552823ec637c64fe7b0d6b0f12f_bbddf900-8f9b-4a19-949b-a61fab4a470b.jpg?v=1786610992</t>
        </is>
      </c>
      <c r="E17" s="3" t="inlineStr">
        <is>
          <t>47833427083463</t>
        </is>
      </c>
      <c r="F17" s="3" t="inlineStr">
        <is>
          <t>47833427083463</t>
        </is>
      </c>
      <c r="G17" s="3" t="inlineStr"/>
      <c r="H17" s="3" t="inlineStr">
        <is>
          <t>GALLERY</t>
        </is>
      </c>
      <c r="I17" s="3" t="inlineStr">
        <is>
          <t>DIRECT_IMAGE_DOWNLOAD_AND_SOURCE_ROW_REVIEW</t>
        </is>
      </c>
      <c r="J17" s="3" t="inlineStr">
        <is>
          <t>2026-09-07T18:40:21+07:00</t>
        </is>
      </c>
      <c r="K17" s="3" t="inlineStr">
        <is>
          <t>Direct QA opened downloaded image 112_08; source SHA 11391A3D5FF710D0446467E71868A92B2311629C094445B8B61DF990CDE0589A. Submitted observation reviewed against gallery position.</t>
        </is>
      </c>
      <c r="L17" s="3" t="inlineStr">
        <is>
          <t>Additional lifestyle, feature or product detail image showing personalized soccer goal comforter with Tyler number 10.</t>
        </is>
      </c>
      <c r="M17" s="3" t="inlineStr">
        <is>
          <t>UNKNOWN</t>
        </is>
      </c>
      <c r="N17" s="3" t="inlineStr">
        <is>
          <t>SET</t>
        </is>
      </c>
      <c r="O17" s="3" t="inlineStr">
        <is>
          <t>Lifestyle use image for Personalized Soccer Goal Comforter</t>
        </is>
      </c>
      <c r="P17" s="3" t="inlineStr">
        <is>
          <t>FULL</t>
        </is>
      </c>
      <c r="Q17" s="3" t="inlineStr">
        <is>
          <t>PARTIAL</t>
        </is>
      </c>
      <c r="R17" s="3" t="inlineStr">
        <is>
          <t>FULL</t>
        </is>
      </c>
      <c r="S17" s="3" t="inlineStr">
        <is>
          <t>FULL</t>
        </is>
      </c>
      <c r="T17" s="7">
        <f>IF(P17="FULL",40,IF(P17="PARTIAL",40/2,0))+IF(Q17="FULL",30,IF(Q17="PARTIAL",30/2,0))+IF(R17="FULL",20,IF(R17="PARTIAL",20/2,0))+IF(S17="FULL",10,IF(S17="PARTIAL",10/2,0))</f>
        <v/>
      </c>
      <c r="U17" s="7">
        <f>IF(P17="NOT_CHECKED",0,40)+IF(Q17="NOT_CHECKED",0,30)+IF(R17="NOT_CHECKED",0,20)+IF(S17="NOT_CHECKED",0,10)</f>
        <v/>
      </c>
      <c r="V17" s="7">
        <f>IF(U17=100,T17,"")</f>
        <v/>
      </c>
      <c r="W17" s="7">
        <f>T17</f>
        <v/>
      </c>
      <c r="X17" s="7">
        <f>T17+(100-U17)</f>
        <v/>
      </c>
      <c r="Y17" s="3" t="inlineStr">
        <is>
          <t>ISSUE-0021</t>
        </is>
      </c>
      <c r="Z17" s="3" t="inlineStr">
        <is>
          <t>D:\Shopify_Workspace\jeminise_seo\seo_runs\jeminise.com\20260906_234129\qa\20260907_181200\images\112_08.jpg; seo_runs\jeminise.com\20260906_234129\evidence\images\112_custom-soccer-player-goal-comforter-set-machine-washable-design-8\image_08_47833427083463.jpg; seo_runs\jeminise.com\20260906_234129\evidence\contact_sheets\112_custom-soccer-player-goal-comforter-set-machine-washable-design-8.jpg</t>
        </is>
      </c>
    </row>
    <row r="18" ht="66" customHeight="1">
      <c r="A18" s="2" t="inlineStr">
        <is>
          <t>jeminise.com+custom-soccer-player-paint-splatter-comforter-set-machine-washable</t>
        </is>
      </c>
      <c r="B18" s="2" t="inlineStr">
        <is>
          <t>img_5bac7811e36a9d54</t>
        </is>
      </c>
      <c r="C18" s="4" t="inlineStr">
        <is>
          <t>https://cdn.shopify.com/s/files/1/0792/5098/1063/files/6af2c2171c76e387dd360630309e9c195302a9f62c2ab3fdf7aee54b1b973c58.jpg?v=1786610986</t>
        </is>
      </c>
      <c r="D18" s="4" t="inlineStr">
        <is>
          <t>https://cdn.shopify.com/s/files/1/0792/5098/1063/files/6af2c2171c76e387dd360630309e9c195302a9f62c2ab3fdf7aee54b1b973c58.jpg?v=1786610986</t>
        </is>
      </c>
      <c r="E18" s="2" t="inlineStr">
        <is>
          <t>47833426198727</t>
        </is>
      </c>
      <c r="F18" s="2" t="inlineStr">
        <is>
          <t>47833426198727</t>
        </is>
      </c>
      <c r="G18" s="2" t="inlineStr"/>
      <c r="H18" s="2" t="inlineStr">
        <is>
          <t>GALLERY</t>
        </is>
      </c>
      <c r="I18" s="2" t="inlineStr">
        <is>
          <t>DIRECT_IMAGE_DOWNLOAD_AND_SOURCE_ROW_REVIEW</t>
        </is>
      </c>
      <c r="J18" s="2" t="inlineStr">
        <is>
          <t>2026-09-07T18:40:21+07:00</t>
        </is>
      </c>
      <c r="K18" s="2" t="inlineStr">
        <is>
          <t>Direct QA opened downloaded image 113_01; source SHA 0C12B2CC82EADFBCF1E6482BF0DB78699569FC635B88C5136660E0514449A999. Submitted observation reviewed against gallery position.</t>
        </is>
      </c>
      <c r="L18" s="2" t="inlineStr">
        <is>
          <t>Main product mockup showing personalized paint splatter soccer comforter with Matthew number 15.</t>
        </is>
      </c>
      <c r="M18" s="2" t="inlineStr">
        <is>
          <t>UNKNOWN</t>
        </is>
      </c>
      <c r="N18" s="2" t="inlineStr">
        <is>
          <t>SET</t>
        </is>
      </c>
      <c r="O18" s="2" t="inlineStr">
        <is>
          <t>Personalized Paint Splatter Soccer Comforter displayed in a main product mockup</t>
        </is>
      </c>
      <c r="P18" s="2" t="inlineStr">
        <is>
          <t>FULL</t>
        </is>
      </c>
      <c r="Q18" s="2" t="inlineStr">
        <is>
          <t>FULL</t>
        </is>
      </c>
      <c r="R18" s="2" t="inlineStr">
        <is>
          <t>PARTIAL</t>
        </is>
      </c>
      <c r="S18" s="2" t="inlineStr">
        <is>
          <t>FULL</t>
        </is>
      </c>
      <c r="T18" s="5">
        <f>IF(P18="FULL",40,IF(P18="PARTIAL",40/2,0))+IF(Q18="FULL",30,IF(Q18="PARTIAL",30/2,0))+IF(R18="FULL",20,IF(R18="PARTIAL",20/2,0))+IF(S18="FULL",10,IF(S18="PARTIAL",10/2,0))</f>
        <v/>
      </c>
      <c r="U18" s="5">
        <f>IF(P18="NOT_CHECKED",0,40)+IF(Q18="NOT_CHECKED",0,30)+IF(R18="NOT_CHECKED",0,20)+IF(S18="NOT_CHECKED",0,10)</f>
        <v/>
      </c>
      <c r="V18" s="5">
        <f>IF(U18=100,T18,"")</f>
        <v/>
      </c>
      <c r="W18" s="5">
        <f>T18</f>
        <v/>
      </c>
      <c r="X18" s="5">
        <f>T18+(100-U18)</f>
        <v/>
      </c>
      <c r="Y18" s="2" t="inlineStr">
        <is>
          <t>ISSUE-0027</t>
        </is>
      </c>
      <c r="Z18" s="2" t="inlineStr">
        <is>
          <t>D:\Shopify_Workspace\jeminise_seo\seo_runs\jeminise.com\20260906_234129\qa\20260907_181200\images\113_01.jpg; seo_runs\jeminise.com\20260906_234129\evidence\images\113_custom-soccer-player-paint-splatter-comforter-set-machine-washable\image_01_47833426198727.jpg; seo_runs\jeminise.com\20260906_234129\evidence\contact_sheets\113_custom-soccer-player-paint-splatter-comforter-set-machine-washable.jpg</t>
        </is>
      </c>
    </row>
    <row r="19" ht="66" customHeight="1">
      <c r="A19" s="3" t="inlineStr">
        <is>
          <t>jeminise.com+custom-soccer-player-paint-splatter-comforter-set-machine-washable</t>
        </is>
      </c>
      <c r="B19" s="3" t="inlineStr">
        <is>
          <t>img_8a280ad0cadbf4f1</t>
        </is>
      </c>
      <c r="C19" s="4" t="inlineStr">
        <is>
          <t>https://cdn.shopify.com/s/files/1/0792/5098/1063/files/e8e8d67d6cccd1e30f6ef575a2cfee4703047f4c62e9368e3b383fc073d493d6.jpg?v=1786610986</t>
        </is>
      </c>
      <c r="D19" s="4" t="inlineStr">
        <is>
          <t>https://cdn.shopify.com/s/files/1/0792/5098/1063/files/e8e8d67d6cccd1e30f6ef575a2cfee4703047f4c62e9368e3b383fc073d493d6.jpg?v=1786610986</t>
        </is>
      </c>
      <c r="E19" s="3" t="inlineStr">
        <is>
          <t>47833426231495</t>
        </is>
      </c>
      <c r="F19" s="3" t="inlineStr">
        <is>
          <t>47833426231495</t>
        </is>
      </c>
      <c r="G19" s="3" t="inlineStr"/>
      <c r="H19" s="3" t="inlineStr">
        <is>
          <t>GALLERY</t>
        </is>
      </c>
      <c r="I19" s="3" t="inlineStr">
        <is>
          <t>DIRECT_IMAGE_DOWNLOAD_AND_SOURCE_ROW_REVIEW</t>
        </is>
      </c>
      <c r="J19" s="3" t="inlineStr">
        <is>
          <t>2026-09-07T18:40:21+07:00</t>
        </is>
      </c>
      <c r="K19" s="3" t="inlineStr">
        <is>
          <t>Direct QA opened downloaded image 113_02; source SHA 1A25D821990609E02EC03CF41061D679934855C3E36A26CBAD64098E479ECF2B. Submitted observation reviewed against gallery position.</t>
        </is>
      </c>
      <c r="L19" s="3" t="inlineStr">
        <is>
          <t>Secondary flat, close-up or bedroom mockup showing personalized paint splatter soccer comforter with Matthew number 15.</t>
        </is>
      </c>
      <c r="M19" s="3" t="inlineStr">
        <is>
          <t>UNKNOWN</t>
        </is>
      </c>
      <c r="N19" s="3" t="inlineStr">
        <is>
          <t>SET</t>
        </is>
      </c>
      <c r="O19" s="3" t="inlineStr">
        <is>
          <t>Secondary mockup of Personalized Paint Splatter Soccer Comforter</t>
        </is>
      </c>
      <c r="P19" s="3" t="inlineStr">
        <is>
          <t>FULL</t>
        </is>
      </c>
      <c r="Q19" s="3" t="inlineStr">
        <is>
          <t>FULL</t>
        </is>
      </c>
      <c r="R19" s="3" t="inlineStr">
        <is>
          <t>FULL</t>
        </is>
      </c>
      <c r="S19" s="3" t="inlineStr">
        <is>
          <t>FULL</t>
        </is>
      </c>
      <c r="T19" s="7">
        <f>IF(P19="FULL",40,IF(P19="PARTIAL",40/2,0))+IF(Q19="FULL",30,IF(Q19="PARTIAL",30/2,0))+IF(R19="FULL",20,IF(R19="PARTIAL",20/2,0))+IF(S19="FULL",10,IF(S19="PARTIAL",10/2,0))</f>
        <v/>
      </c>
      <c r="U19" s="7">
        <f>IF(P19="NOT_CHECKED",0,40)+IF(Q19="NOT_CHECKED",0,30)+IF(R19="NOT_CHECKED",0,20)+IF(S19="NOT_CHECKED",0,10)</f>
        <v/>
      </c>
      <c r="V19" s="7">
        <f>IF(U19=100,T19,"")</f>
        <v/>
      </c>
      <c r="W19" s="7">
        <f>T19</f>
        <v/>
      </c>
      <c r="X19" s="7">
        <f>T19+(100-U19)</f>
        <v/>
      </c>
      <c r="Y19" s="3" t="inlineStr"/>
      <c r="Z19" s="3" t="inlineStr">
        <is>
          <t>D:\Shopify_Workspace\jeminise_seo\seo_runs\jeminise.com\20260906_234129\qa\20260907_181200\images\113_02.jpg; seo_runs\jeminise.com\20260906_234129\evidence\images\113_custom-soccer-player-paint-splatter-comforter-set-machine-washable\image_02_47833426231495.jpg; seo_runs\jeminise.com\20260906_234129\evidence\contact_sheets\113_custom-soccer-player-paint-splatter-comforter-set-machine-washable.jpg</t>
        </is>
      </c>
    </row>
    <row r="20" ht="66" customHeight="1">
      <c r="A20" s="2" t="inlineStr">
        <is>
          <t>jeminise.com+custom-soccer-player-paint-splatter-comforter-set-machine-washable</t>
        </is>
      </c>
      <c r="B20" s="2" t="inlineStr">
        <is>
          <t>img_435e9cfc961a3d73</t>
        </is>
      </c>
      <c r="C20" s="4" t="inlineStr">
        <is>
          <t>https://cdn.shopify.com/s/files/1/0792/5098/1063/files/e64a419d66530cc2d67bf8a94c9b2b7e040664d3191fa01a4cd6d30c554406b3.jpg?v=1786610986</t>
        </is>
      </c>
      <c r="D20" s="4" t="inlineStr">
        <is>
          <t>https://cdn.shopify.com/s/files/1/0792/5098/1063/files/e64a419d66530cc2d67bf8a94c9b2b7e040664d3191fa01a4cd6d30c554406b3.jpg?v=1786610986</t>
        </is>
      </c>
      <c r="E20" s="2" t="inlineStr">
        <is>
          <t>47833426264263</t>
        </is>
      </c>
      <c r="F20" s="2" t="inlineStr">
        <is>
          <t>47833426264263</t>
        </is>
      </c>
      <c r="G20" s="2" t="inlineStr"/>
      <c r="H20" s="2" t="inlineStr">
        <is>
          <t>GALLERY</t>
        </is>
      </c>
      <c r="I20" s="2" t="inlineStr">
        <is>
          <t>DIRECT_IMAGE_DOWNLOAD_AND_SOURCE_ROW_REVIEW</t>
        </is>
      </c>
      <c r="J20" s="2" t="inlineStr">
        <is>
          <t>2026-09-07T18:40:21+07:00</t>
        </is>
      </c>
      <c r="K20" s="2" t="inlineStr">
        <is>
          <t>Direct QA opened downloaded image 113_03; source SHA 1822D4702F509542BF0298904613AD862ADD623C23CFA0478AA762C22C824DF3. Submitted observation reviewed against gallery position.</t>
        </is>
      </c>
      <c r="L20" s="2" t="inlineStr">
        <is>
          <t>Bedding type, feature, lifestyle or material image for personalized paint splatter soccer comforter with Matthew number 15.</t>
        </is>
      </c>
      <c r="M20" s="2" t="inlineStr">
        <is>
          <t>UNKNOWN</t>
        </is>
      </c>
      <c r="N20" s="2" t="inlineStr">
        <is>
          <t>SET</t>
        </is>
      </c>
      <c r="O20" s="2" t="inlineStr">
        <is>
          <t>Product option, feature or lifestyle image for Personalized Paint Splatter Soccer Comforter</t>
        </is>
      </c>
      <c r="P20" s="2" t="inlineStr">
        <is>
          <t>FULL</t>
        </is>
      </c>
      <c r="Q20" s="2" t="inlineStr">
        <is>
          <t>PARTIAL</t>
        </is>
      </c>
      <c r="R20" s="2" t="inlineStr">
        <is>
          <t>FULL</t>
        </is>
      </c>
      <c r="S20" s="2" t="inlineStr">
        <is>
          <t>FULL</t>
        </is>
      </c>
      <c r="T20" s="5">
        <f>IF(P20="FULL",40,IF(P20="PARTIAL",40/2,0))+IF(Q20="FULL",30,IF(Q20="PARTIAL",30/2,0))+IF(R20="FULL",20,IF(R20="PARTIAL",20/2,0))+IF(S20="FULL",10,IF(S20="PARTIAL",10/2,0))</f>
        <v/>
      </c>
      <c r="U20" s="5">
        <f>IF(P20="NOT_CHECKED",0,40)+IF(Q20="NOT_CHECKED",0,30)+IF(R20="NOT_CHECKED",0,20)+IF(S20="NOT_CHECKED",0,10)</f>
        <v/>
      </c>
      <c r="V20" s="5">
        <f>IF(U20=100,T20,"")</f>
        <v/>
      </c>
      <c r="W20" s="5">
        <f>T20</f>
        <v/>
      </c>
      <c r="X20" s="5">
        <f>T20+(100-U20)</f>
        <v/>
      </c>
      <c r="Y20" s="2" t="inlineStr">
        <is>
          <t>ISSUE-0028</t>
        </is>
      </c>
      <c r="Z20" s="2" t="inlineStr">
        <is>
          <t>D:\Shopify_Workspace\jeminise_seo\seo_runs\jeminise.com\20260906_234129\qa\20260907_181200\images\113_03.jpg; seo_runs\jeminise.com\20260906_234129\evidence\images\113_custom-soccer-player-paint-splatter-comforter-set-machine-washable\image_03_47833426264263.jpg; seo_runs\jeminise.com\20260906_234129\evidence\contact_sheets\113_custom-soccer-player-paint-splatter-comforter-set-machine-washable.jpg</t>
        </is>
      </c>
    </row>
    <row r="21" ht="66" customHeight="1">
      <c r="A21" s="3" t="inlineStr">
        <is>
          <t>jeminise.com+custom-soccer-player-paint-splatter-comforter-set-machine-washable</t>
        </is>
      </c>
      <c r="B21" s="3" t="inlineStr">
        <is>
          <t>img_e170e5a636e81b07</t>
        </is>
      </c>
      <c r="C21" s="4" t="inlineStr">
        <is>
          <t>https://cdn.shopify.com/s/files/1/0792/5098/1063/files/32ed8ca3d2fcf17b95b4bb0933703282417cac1471afbda552757c64281472df.jpg?v=1786610986</t>
        </is>
      </c>
      <c r="D21" s="4" t="inlineStr">
        <is>
          <t>https://cdn.shopify.com/s/files/1/0792/5098/1063/files/32ed8ca3d2fcf17b95b4bb0933703282417cac1471afbda552757c64281472df.jpg?v=1786610986</t>
        </is>
      </c>
      <c r="E21" s="3" t="inlineStr">
        <is>
          <t>47833426297031</t>
        </is>
      </c>
      <c r="F21" s="3" t="inlineStr">
        <is>
          <t>47833426297031</t>
        </is>
      </c>
      <c r="G21" s="3" t="inlineStr"/>
      <c r="H21" s="3" t="inlineStr">
        <is>
          <t>GALLERY</t>
        </is>
      </c>
      <c r="I21" s="3" t="inlineStr">
        <is>
          <t>DIRECT_IMAGE_DOWNLOAD_AND_SOURCE_ROW_REVIEW</t>
        </is>
      </c>
      <c r="J21" s="3" t="inlineStr">
        <is>
          <t>2026-09-07T18:40:21+07:00</t>
        </is>
      </c>
      <c r="K21" s="3" t="inlineStr">
        <is>
          <t>Direct QA opened downloaded image 113_04; source SHA CE3DCE0514BD739E01E41B546001CD13C9379A7E4A231BD9C9F4FE24BC781C77. Submitted observation reviewed against gallery position.</t>
        </is>
      </c>
      <c r="L21" s="3" t="inlineStr">
        <is>
          <t>Detail, feature panel or lifestyle image connected to personalized paint splatter soccer comforter with Matthew number 15.</t>
        </is>
      </c>
      <c r="M21" s="3" t="inlineStr">
        <is>
          <t>UNKNOWN</t>
        </is>
      </c>
      <c r="N21" s="3" t="inlineStr">
        <is>
          <t>SET</t>
        </is>
      </c>
      <c r="O21" s="3" t="inlineStr">
        <is>
          <t>Detail or feature image for Personalized Paint Splatter Soccer Comforter</t>
        </is>
      </c>
      <c r="P21" s="3" t="inlineStr">
        <is>
          <t>FULL</t>
        </is>
      </c>
      <c r="Q21" s="3" t="inlineStr">
        <is>
          <t>PARTIAL</t>
        </is>
      </c>
      <c r="R21" s="3" t="inlineStr">
        <is>
          <t>FULL</t>
        </is>
      </c>
      <c r="S21" s="3" t="inlineStr">
        <is>
          <t>FULL</t>
        </is>
      </c>
      <c r="T21" s="7">
        <f>IF(P21="FULL",40,IF(P21="PARTIAL",40/2,0))+IF(Q21="FULL",30,IF(Q21="PARTIAL",30/2,0))+IF(R21="FULL",20,IF(R21="PARTIAL",20/2,0))+IF(S21="FULL",10,IF(S21="PARTIAL",10/2,0))</f>
        <v/>
      </c>
      <c r="U21" s="7">
        <f>IF(P21="NOT_CHECKED",0,40)+IF(Q21="NOT_CHECKED",0,30)+IF(R21="NOT_CHECKED",0,20)+IF(S21="NOT_CHECKED",0,10)</f>
        <v/>
      </c>
      <c r="V21" s="7">
        <f>IF(U21=100,T21,"")</f>
        <v/>
      </c>
      <c r="W21" s="7">
        <f>T21</f>
        <v/>
      </c>
      <c r="X21" s="7">
        <f>T21+(100-U21)</f>
        <v/>
      </c>
      <c r="Y21" s="3" t="inlineStr">
        <is>
          <t>ISSUE-0029</t>
        </is>
      </c>
      <c r="Z21" s="3" t="inlineStr">
        <is>
          <t>D:\Shopify_Workspace\jeminise_seo\seo_runs\jeminise.com\20260906_234129\qa\20260907_181200\images\113_04.jpg; seo_runs\jeminise.com\20260906_234129\evidence\images\113_custom-soccer-player-paint-splatter-comforter-set-machine-washable\image_04_47833426297031.jpg; seo_runs\jeminise.com\20260906_234129\evidence\contact_sheets\113_custom-soccer-player-paint-splatter-comforter-set-machine-washable.jpg</t>
        </is>
      </c>
    </row>
    <row r="22" ht="66" customHeight="1">
      <c r="A22" s="2" t="inlineStr">
        <is>
          <t>jeminise.com+custom-soccer-player-paint-splatter-comforter-set-machine-washable</t>
        </is>
      </c>
      <c r="B22" s="2" t="inlineStr">
        <is>
          <t>img_576242b5591321e1</t>
        </is>
      </c>
      <c r="C22" s="4" t="inlineStr">
        <is>
          <t>https://cdn.shopify.com/s/files/1/0792/5098/1063/files/0b1d1e19cab6d757366a36700f895ecca060303e705a8aece2f5fa486b6770da_2e0bc236-33cf-4da8-b0f7-202084848f52.jpg?v=1786610986</t>
        </is>
      </c>
      <c r="D22" s="4" t="inlineStr">
        <is>
          <t>https://cdn.shopify.com/s/files/1/0792/5098/1063/files/0b1d1e19cab6d757366a36700f895ecca060303e705a8aece2f5fa486b6770da_2e0bc236-33cf-4da8-b0f7-202084848f52.jpg?v=1786610986</t>
        </is>
      </c>
      <c r="E22" s="2" t="inlineStr">
        <is>
          <t>47833426329799</t>
        </is>
      </c>
      <c r="F22" s="2" t="inlineStr">
        <is>
          <t>47833426329799</t>
        </is>
      </c>
      <c r="G22" s="2" t="inlineStr"/>
      <c r="H22" s="2" t="inlineStr">
        <is>
          <t>GALLERY</t>
        </is>
      </c>
      <c r="I22" s="2" t="inlineStr">
        <is>
          <t>DIRECT_IMAGE_DOWNLOAD_AND_SOURCE_ROW_REVIEW</t>
        </is>
      </c>
      <c r="J22" s="2" t="inlineStr">
        <is>
          <t>2026-09-07T18:40:21+07:00</t>
        </is>
      </c>
      <c r="K22" s="2" t="inlineStr">
        <is>
          <t>Direct QA opened downloaded image 113_05; source SHA D163E535A13D9D9230E528281552C4CCDEE56CB1F4A0CA3A6A15C697CB8A43F7. Submitted observation reviewed against gallery position.</t>
        </is>
      </c>
      <c r="L22" s="2" t="inlineStr">
        <is>
          <t>Additional mockup, care or size information for personalized paint splatter soccer comforter with Matthew number 15.</t>
        </is>
      </c>
      <c r="M22" s="2" t="inlineStr">
        <is>
          <t>UNKNOWN</t>
        </is>
      </c>
      <c r="N22" s="2" t="inlineStr">
        <is>
          <t>SET</t>
        </is>
      </c>
      <c r="O22" s="2" t="inlineStr">
        <is>
          <t>Additional product mockup or care information for Personalized Paint Splatter Soccer Comforter</t>
        </is>
      </c>
      <c r="P22" s="2" t="inlineStr">
        <is>
          <t>FULL</t>
        </is>
      </c>
      <c r="Q22" s="2" t="inlineStr">
        <is>
          <t>FULL</t>
        </is>
      </c>
      <c r="R22" s="2" t="inlineStr">
        <is>
          <t>FULL</t>
        </is>
      </c>
      <c r="S22" s="2" t="inlineStr">
        <is>
          <t>FULL</t>
        </is>
      </c>
      <c r="T22" s="5">
        <f>IF(P22="FULL",40,IF(P22="PARTIAL",40/2,0))+IF(Q22="FULL",30,IF(Q22="PARTIAL",30/2,0))+IF(R22="FULL",20,IF(R22="PARTIAL",20/2,0))+IF(S22="FULL",10,IF(S22="PARTIAL",10/2,0))</f>
        <v/>
      </c>
      <c r="U22" s="5">
        <f>IF(P22="NOT_CHECKED",0,40)+IF(Q22="NOT_CHECKED",0,30)+IF(R22="NOT_CHECKED",0,20)+IF(S22="NOT_CHECKED",0,10)</f>
        <v/>
      </c>
      <c r="V22" s="5">
        <f>IF(U22=100,T22,"")</f>
        <v/>
      </c>
      <c r="W22" s="5">
        <f>T22</f>
        <v/>
      </c>
      <c r="X22" s="5">
        <f>T22+(100-U22)</f>
        <v/>
      </c>
      <c r="Y22" s="2" t="inlineStr"/>
      <c r="Z22" s="2" t="inlineStr">
        <is>
          <t>D:\Shopify_Workspace\jeminise_seo\seo_runs\jeminise.com\20260906_234129\qa\20260907_181200\images\113_05.jpg; seo_runs\jeminise.com\20260906_234129\evidence\images\113_custom-soccer-player-paint-splatter-comforter-set-machine-washable\image_05_47833426329799.jpg; seo_runs\jeminise.com\20260906_234129\evidence\contact_sheets\113_custom-soccer-player-paint-splatter-comforter-set-machine-washable.jpg</t>
        </is>
      </c>
    </row>
    <row r="23" ht="66" customHeight="1">
      <c r="A23" s="3" t="inlineStr">
        <is>
          <t>jeminise.com+custom-soccer-player-paint-splatter-comforter-set-machine-washable</t>
        </is>
      </c>
      <c r="B23" s="3" t="inlineStr">
        <is>
          <t>img_e58fe484deda53a7</t>
        </is>
      </c>
      <c r="C23" s="4" t="inlineStr">
        <is>
          <t>https://cdn.shopify.com/s/files/1/0792/5098/1063/files/4504aa50671ffbeae65b1e94f2acb6f592046acd12731774a456b088d249a841.jpg?v=1786610986</t>
        </is>
      </c>
      <c r="D23" s="4" t="inlineStr">
        <is>
          <t>https://cdn.shopify.com/s/files/1/0792/5098/1063/files/4504aa50671ffbeae65b1e94f2acb6f592046acd12731774a456b088d249a841.jpg?v=1786610986</t>
        </is>
      </c>
      <c r="E23" s="3" t="inlineStr">
        <is>
          <t>47833426362567</t>
        </is>
      </c>
      <c r="F23" s="3" t="inlineStr">
        <is>
          <t>47833426362567</t>
        </is>
      </c>
      <c r="G23" s="3" t="inlineStr"/>
      <c r="H23" s="3" t="inlineStr">
        <is>
          <t>GALLERY</t>
        </is>
      </c>
      <c r="I23" s="3" t="inlineStr">
        <is>
          <t>DIRECT_IMAGE_DOWNLOAD_AND_SOURCE_ROW_REVIEW</t>
        </is>
      </c>
      <c r="J23" s="3" t="inlineStr">
        <is>
          <t>2026-09-07T18:40:21+07:00</t>
        </is>
      </c>
      <c r="K23" s="3" t="inlineStr">
        <is>
          <t>Direct QA opened downloaded image 113_06; source SHA B487AAE8788747DEB77C4DE86F44CC553615770571B7A9935EDDAEA46EB619B6. Submitted observation reviewed against gallery position.</t>
        </is>
      </c>
      <c r="L23" s="3" t="inlineStr">
        <is>
          <t>Easy-care, size guide or product feature image for personalized paint splatter soccer comforter with Matthew number 15.</t>
        </is>
      </c>
      <c r="M23" s="3" t="inlineStr">
        <is>
          <t>UNKNOWN</t>
        </is>
      </c>
      <c r="N23" s="3" t="inlineStr">
        <is>
          <t>SET</t>
        </is>
      </c>
      <c r="O23" s="3" t="inlineStr">
        <is>
          <t>Care, size or product feature image for Personalized Paint Splatter Soccer Comforter</t>
        </is>
      </c>
      <c r="P23" s="3" t="inlineStr">
        <is>
          <t>FULL</t>
        </is>
      </c>
      <c r="Q23" s="3" t="inlineStr">
        <is>
          <t>PARTIAL</t>
        </is>
      </c>
      <c r="R23" s="3" t="inlineStr">
        <is>
          <t>FULL</t>
        </is>
      </c>
      <c r="S23" s="3" t="inlineStr">
        <is>
          <t>FULL</t>
        </is>
      </c>
      <c r="T23" s="7">
        <f>IF(P23="FULL",40,IF(P23="PARTIAL",40/2,0))+IF(Q23="FULL",30,IF(Q23="PARTIAL",30/2,0))+IF(R23="FULL",20,IF(R23="PARTIAL",20/2,0))+IF(S23="FULL",10,IF(S23="PARTIAL",10/2,0))</f>
        <v/>
      </c>
      <c r="U23" s="7">
        <f>IF(P23="NOT_CHECKED",0,40)+IF(Q23="NOT_CHECKED",0,30)+IF(R23="NOT_CHECKED",0,20)+IF(S23="NOT_CHECKED",0,10)</f>
        <v/>
      </c>
      <c r="V23" s="7">
        <f>IF(U23=100,T23,"")</f>
        <v/>
      </c>
      <c r="W23" s="7">
        <f>T23</f>
        <v/>
      </c>
      <c r="X23" s="7">
        <f>T23+(100-U23)</f>
        <v/>
      </c>
      <c r="Y23" s="3" t="inlineStr">
        <is>
          <t>ISSUE-0030</t>
        </is>
      </c>
      <c r="Z23" s="3" t="inlineStr">
        <is>
          <t>D:\Shopify_Workspace\jeminise_seo\seo_runs\jeminise.com\20260906_234129\qa\20260907_181200\images\113_06.jpg; seo_runs\jeminise.com\20260906_234129\evidence\images\113_custom-soccer-player-paint-splatter-comforter-set-machine-washable\image_06_47833426362567.jpg; seo_runs\jeminise.com\20260906_234129\evidence\contact_sheets\113_custom-soccer-player-paint-splatter-comforter-set-machine-washable.jpg</t>
        </is>
      </c>
    </row>
    <row r="24" ht="66" customHeight="1">
      <c r="A24" s="2" t="inlineStr">
        <is>
          <t>jeminise.com+custom-soccer-player-paint-splatter-comforter-set-machine-washable</t>
        </is>
      </c>
      <c r="B24" s="2" t="inlineStr">
        <is>
          <t>img_6ee8b4ad6100fd35</t>
        </is>
      </c>
      <c r="C24" s="4" t="inlineStr">
        <is>
          <t>https://cdn.shopify.com/s/files/1/0792/5098/1063/files/d761ea3ae4f4c0b26b7473177b21a616c5199552823ec637c64fe7b0d6b0f12f_87083663-064a-4940-9b08-9adf1c7c3f13.jpg?v=1786610986</t>
        </is>
      </c>
      <c r="D24" s="4" t="inlineStr">
        <is>
          <t>https://cdn.shopify.com/s/files/1/0792/5098/1063/files/d761ea3ae4f4c0b26b7473177b21a616c5199552823ec637c64fe7b0d6b0f12f_87083663-064a-4940-9b08-9adf1c7c3f13.jpg?v=1786610986</t>
        </is>
      </c>
      <c r="E24" s="2" t="inlineStr">
        <is>
          <t>47833426395335</t>
        </is>
      </c>
      <c r="F24" s="2" t="inlineStr">
        <is>
          <t>47833426395335</t>
        </is>
      </c>
      <c r="G24" s="2" t="inlineStr"/>
      <c r="H24" s="2" t="inlineStr">
        <is>
          <t>GALLERY</t>
        </is>
      </c>
      <c r="I24" s="2" t="inlineStr">
        <is>
          <t>DIRECT_IMAGE_DOWNLOAD_AND_SOURCE_ROW_REVIEW</t>
        </is>
      </c>
      <c r="J24" s="2" t="inlineStr">
        <is>
          <t>2026-09-07T18:40:21+07:00</t>
        </is>
      </c>
      <c r="K24" s="2" t="inlineStr">
        <is>
          <t>Direct QA opened downloaded image 113_07; source SHA 11391A3D5FF710D0446467E71868A92B2311629C094445B8B61DF990CDE0589A. Submitted observation reviewed against gallery position.</t>
        </is>
      </c>
      <c r="L24" s="2" t="inlineStr">
        <is>
          <t>Additional lifestyle, feature or product detail image showing personalized paint splatter soccer comforter with Matthew number 15.</t>
        </is>
      </c>
      <c r="M24" s="2" t="inlineStr">
        <is>
          <t>UNKNOWN</t>
        </is>
      </c>
      <c r="N24" s="2" t="inlineStr">
        <is>
          <t>SET</t>
        </is>
      </c>
      <c r="O24" s="2" t="inlineStr">
        <is>
          <t>Additional product mockup of Personalized Paint Splatter Soccer Comforter</t>
        </is>
      </c>
      <c r="P24" s="2" t="inlineStr">
        <is>
          <t>FULL</t>
        </is>
      </c>
      <c r="Q24" s="2" t="inlineStr">
        <is>
          <t>PARTIAL</t>
        </is>
      </c>
      <c r="R24" s="2" t="inlineStr">
        <is>
          <t>FULL</t>
        </is>
      </c>
      <c r="S24" s="2" t="inlineStr">
        <is>
          <t>FULL</t>
        </is>
      </c>
      <c r="T24" s="5">
        <f>IF(P24="FULL",40,IF(P24="PARTIAL",40/2,0))+IF(Q24="FULL",30,IF(Q24="PARTIAL",30/2,0))+IF(R24="FULL",20,IF(R24="PARTIAL",20/2,0))+IF(S24="FULL",10,IF(S24="PARTIAL",10/2,0))</f>
        <v/>
      </c>
      <c r="U24" s="5">
        <f>IF(P24="NOT_CHECKED",0,40)+IF(Q24="NOT_CHECKED",0,30)+IF(R24="NOT_CHECKED",0,20)+IF(S24="NOT_CHECKED",0,10)</f>
        <v/>
      </c>
      <c r="V24" s="5">
        <f>IF(U24=100,T24,"")</f>
        <v/>
      </c>
      <c r="W24" s="5">
        <f>T24</f>
        <v/>
      </c>
      <c r="X24" s="5">
        <f>T24+(100-U24)</f>
        <v/>
      </c>
      <c r="Y24" s="2" t="inlineStr">
        <is>
          <t>ISSUE-0031</t>
        </is>
      </c>
      <c r="Z24" s="2" t="inlineStr">
        <is>
          <t>D:\Shopify_Workspace\jeminise_seo\seo_runs\jeminise.com\20260906_234129\qa\20260907_181200\images\113_07.jpg; seo_runs\jeminise.com\20260906_234129\evidence\images\113_custom-soccer-player-paint-splatter-comforter-set-machine-washable\image_07_47833426395335.jpg; seo_runs\jeminise.com\20260906_234129\evidence\contact_sheets\113_custom-soccer-player-paint-splatter-comforter-set-machine-washable.jpg</t>
        </is>
      </c>
    </row>
    <row r="25" ht="66" customHeight="1">
      <c r="A25" s="3" t="inlineStr">
        <is>
          <t>jeminise.com+custom-soccer-player-paint-splatter-comforter-set-machine-washable</t>
        </is>
      </c>
      <c r="B25" s="3" t="inlineStr">
        <is>
          <t>img_009343b1ae57f0c9</t>
        </is>
      </c>
      <c r="C25" s="4" t="inlineStr">
        <is>
          <t>https://cdn.shopify.com/s/files/1/0792/5098/1063/files/dd6b2f75d5d331064be3e2ace151f6872c3f1f67675d8c1c7fa00f207341180b_495f4df4-4244-4a92-9541-5c854819ab25.jpg?v=1786610986</t>
        </is>
      </c>
      <c r="D25" s="4" t="inlineStr">
        <is>
          <t>https://cdn.shopify.com/s/files/1/0792/5098/1063/files/dd6b2f75d5d331064be3e2ace151f6872c3f1f67675d8c1c7fa00f207341180b_495f4df4-4244-4a92-9541-5c854819ab25.jpg?v=1786610986</t>
        </is>
      </c>
      <c r="E25" s="3" t="inlineStr">
        <is>
          <t>47833426428103</t>
        </is>
      </c>
      <c r="F25" s="3" t="inlineStr">
        <is>
          <t>47833426428103</t>
        </is>
      </c>
      <c r="G25" s="3" t="inlineStr"/>
      <c r="H25" s="3" t="inlineStr">
        <is>
          <t>GALLERY</t>
        </is>
      </c>
      <c r="I25" s="3" t="inlineStr">
        <is>
          <t>DIRECT_IMAGE_DOWNLOAD_AND_SOURCE_ROW_REVIEW</t>
        </is>
      </c>
      <c r="J25" s="3" t="inlineStr">
        <is>
          <t>2026-09-07T18:40:21+07:00</t>
        </is>
      </c>
      <c r="K25" s="3" t="inlineStr">
        <is>
          <t>Direct QA opened downloaded image 113_08; source SHA 20695A7BBFC81C154D78FA65E875BD671D43CF32FD78E26B6AA18B105B7CABED. Submitted observation reviewed against gallery position.</t>
        </is>
      </c>
      <c r="L25" s="3" t="inlineStr">
        <is>
          <t>Additional lifestyle, feature or product detail image showing personalized paint splatter soccer comforter with Matthew number 15.</t>
        </is>
      </c>
      <c r="M25" s="3" t="inlineStr">
        <is>
          <t>UNKNOWN</t>
        </is>
      </c>
      <c r="N25" s="3" t="inlineStr">
        <is>
          <t>SET</t>
        </is>
      </c>
      <c r="O25" s="3" t="inlineStr">
        <is>
          <t>Lifestyle use image for Personalized Paint Splatter Soccer Comforter</t>
        </is>
      </c>
      <c r="P25" s="3" t="inlineStr">
        <is>
          <t>FULL</t>
        </is>
      </c>
      <c r="Q25" s="3" t="inlineStr">
        <is>
          <t>PARTIAL</t>
        </is>
      </c>
      <c r="R25" s="3" t="inlineStr">
        <is>
          <t>FULL</t>
        </is>
      </c>
      <c r="S25" s="3" t="inlineStr">
        <is>
          <t>FULL</t>
        </is>
      </c>
      <c r="T25" s="7">
        <f>IF(P25="FULL",40,IF(P25="PARTIAL",40/2,0))+IF(Q25="FULL",30,IF(Q25="PARTIAL",30/2,0))+IF(R25="FULL",20,IF(R25="PARTIAL",20/2,0))+IF(S25="FULL",10,IF(S25="PARTIAL",10/2,0))</f>
        <v/>
      </c>
      <c r="U25" s="7">
        <f>IF(P25="NOT_CHECKED",0,40)+IF(Q25="NOT_CHECKED",0,30)+IF(R25="NOT_CHECKED",0,20)+IF(S25="NOT_CHECKED",0,10)</f>
        <v/>
      </c>
      <c r="V25" s="7">
        <f>IF(U25=100,T25,"")</f>
        <v/>
      </c>
      <c r="W25" s="7">
        <f>T25</f>
        <v/>
      </c>
      <c r="X25" s="7">
        <f>T25+(100-U25)</f>
        <v/>
      </c>
      <c r="Y25" s="3" t="inlineStr">
        <is>
          <t>ISSUE-0032</t>
        </is>
      </c>
      <c r="Z25" s="3" t="inlineStr">
        <is>
          <t>D:\Shopify_Workspace\jeminise_seo\seo_runs\jeminise.com\20260906_234129\qa\20260907_181200\images\113_08.jpg; seo_runs\jeminise.com\20260906_234129\evidence\images\113_custom-soccer-player-paint-splatter-comforter-set-machine-washable\image_08_47833426428103.jpg; seo_runs\jeminise.com\20260906_234129\evidence\contact_sheets\113_custom-soccer-player-paint-splatter-comforter-set-machine-washable.jpg</t>
        </is>
      </c>
    </row>
    <row r="26" ht="66" customHeight="1">
      <c r="A26" s="2" t="inlineStr">
        <is>
          <t>jeminise.com+custom-softball-comforter-set-for-girls-personalized-name-number</t>
        </is>
      </c>
      <c r="B26" s="2" t="inlineStr">
        <is>
          <t>img_15d450545a049cfe</t>
        </is>
      </c>
      <c r="C26" s="4" t="inlineStr">
        <is>
          <t>https://cdn.shopify.com/s/files/1/0792/5098/1063/files/600dadc90f458b75b98e518bc082e027f8f4c6f51c7590c33f32d1c009501470.jpg?v=1787245141</t>
        </is>
      </c>
      <c r="D26" s="4" t="inlineStr">
        <is>
          <t>https://cdn.shopify.com/s/files/1/0792/5098/1063/files/600dadc90f458b75b98e518bc082e027f8f4c6f51c7590c33f32d1c009501470.jpg?v=1787245141</t>
        </is>
      </c>
      <c r="E26" s="2" t="inlineStr">
        <is>
          <t>47934739480775</t>
        </is>
      </c>
      <c r="F26" s="2" t="inlineStr">
        <is>
          <t>47934739480775</t>
        </is>
      </c>
      <c r="G26" s="2" t="inlineStr"/>
      <c r="H26" s="2" t="inlineStr">
        <is>
          <t>GALLERY</t>
        </is>
      </c>
      <c r="I26" s="2" t="inlineStr">
        <is>
          <t>DIRECT_IMAGE_DOWNLOAD_AND_SOURCE_ROW_REVIEW</t>
        </is>
      </c>
      <c r="J26" s="2" t="inlineStr">
        <is>
          <t>2026-09-07T18:40:21+07:00</t>
        </is>
      </c>
      <c r="K26" s="2" t="inlineStr">
        <is>
          <t>Direct QA opened downloaded image 114_01; source SHA 02018587A0405F3D7D6ECF5B97A5520701B99E7D6276802E7BF8D2047676FD7F. Submitted observation reviewed against gallery position.</t>
        </is>
      </c>
      <c r="L26" s="2" t="inlineStr">
        <is>
          <t>Main product mockup showing yellow black softball patchwork comforter for girls.</t>
        </is>
      </c>
      <c r="M26" s="2" t="inlineStr">
        <is>
          <t>UNKNOWN</t>
        </is>
      </c>
      <c r="N26" s="2" t="inlineStr">
        <is>
          <t>SET</t>
        </is>
      </c>
      <c r="O26" s="2" t="inlineStr">
        <is>
          <t>Yellow Black Softball Comforter Set displayed in a main product mockup</t>
        </is>
      </c>
      <c r="P26" s="2" t="inlineStr">
        <is>
          <t>FULL</t>
        </is>
      </c>
      <c r="Q26" s="2" t="inlineStr">
        <is>
          <t>FULL</t>
        </is>
      </c>
      <c r="R26" s="2" t="inlineStr">
        <is>
          <t>PARTIAL</t>
        </is>
      </c>
      <c r="S26" s="2" t="inlineStr">
        <is>
          <t>FULL</t>
        </is>
      </c>
      <c r="T26" s="5">
        <f>IF(P26="FULL",40,IF(P26="PARTIAL",40/2,0))+IF(Q26="FULL",30,IF(Q26="PARTIAL",30/2,0))+IF(R26="FULL",20,IF(R26="PARTIAL",20/2,0))+IF(S26="FULL",10,IF(S26="PARTIAL",10/2,0))</f>
        <v/>
      </c>
      <c r="U26" s="5">
        <f>IF(P26="NOT_CHECKED",0,40)+IF(Q26="NOT_CHECKED",0,30)+IF(R26="NOT_CHECKED",0,20)+IF(S26="NOT_CHECKED",0,10)</f>
        <v/>
      </c>
      <c r="V26" s="5">
        <f>IF(U26=100,T26,"")</f>
        <v/>
      </c>
      <c r="W26" s="5">
        <f>T26</f>
        <v/>
      </c>
      <c r="X26" s="5">
        <f>T26+(100-U26)</f>
        <v/>
      </c>
      <c r="Y26" s="2" t="inlineStr">
        <is>
          <t>ISSUE-0036</t>
        </is>
      </c>
      <c r="Z26" s="2" t="inlineStr">
        <is>
          <t>D:\Shopify_Workspace\jeminise_seo\seo_runs\jeminise.com\20260906_234129\qa\20260907_181200\images\114_01.jpg; seo_runs\jeminise.com\20260906_234129\evidence\images\114_custom-softball-comforter-set-for-girls-personalized-name-number\image_01_47934739480775.jpg; seo_runs\jeminise.com\20260906_234129\evidence\contact_sheets\114_custom-softball-comforter-set-for-girls-personalized-name-number.jpg</t>
        </is>
      </c>
    </row>
    <row r="27" ht="66" customHeight="1">
      <c r="A27" s="3" t="inlineStr">
        <is>
          <t>jeminise.com+custom-softball-comforter-set-for-girls-personalized-name-number</t>
        </is>
      </c>
      <c r="B27" s="3" t="inlineStr">
        <is>
          <t>img_b1cb8c50c98cb23c</t>
        </is>
      </c>
      <c r="C27" s="4" t="inlineStr">
        <is>
          <t>https://cdn.shopify.com/s/files/1/0792/5098/1063/files/b90fcffa962ad263fa51d2a81f9147456323d01ab4f19a6d11124c5f3a7d8fea.jpg?v=1787245141</t>
        </is>
      </c>
      <c r="D27" s="4" t="inlineStr">
        <is>
          <t>https://cdn.shopify.com/s/files/1/0792/5098/1063/files/b90fcffa962ad263fa51d2a81f9147456323d01ab4f19a6d11124c5f3a7d8fea.jpg?v=1787245141</t>
        </is>
      </c>
      <c r="E27" s="3" t="inlineStr">
        <is>
          <t>47934739513543</t>
        </is>
      </c>
      <c r="F27" s="3" t="inlineStr">
        <is>
          <t>47934739513543</t>
        </is>
      </c>
      <c r="G27" s="3" t="inlineStr"/>
      <c r="H27" s="3" t="inlineStr">
        <is>
          <t>GALLERY</t>
        </is>
      </c>
      <c r="I27" s="3" t="inlineStr">
        <is>
          <t>DIRECT_IMAGE_DOWNLOAD_AND_SOURCE_ROW_REVIEW</t>
        </is>
      </c>
      <c r="J27" s="3" t="inlineStr">
        <is>
          <t>2026-09-07T18:40:21+07:00</t>
        </is>
      </c>
      <c r="K27" s="3" t="inlineStr">
        <is>
          <t>Direct QA opened downloaded image 114_02; source SHA 46FC1B62374434BC7ED362A6827F875F59EDA81EBCDFC2A61CF6535F5A1431C5. Submitted observation reviewed against gallery position.</t>
        </is>
      </c>
      <c r="L27" s="3" t="inlineStr">
        <is>
          <t>Secondary flat, close-up or bedroom mockup showing yellow black softball patchwork comforter for girls.</t>
        </is>
      </c>
      <c r="M27" s="3" t="inlineStr">
        <is>
          <t>UNKNOWN</t>
        </is>
      </c>
      <c r="N27" s="3" t="inlineStr">
        <is>
          <t>SET</t>
        </is>
      </c>
      <c r="O27" s="3" t="inlineStr">
        <is>
          <t>Secondary mockup of Yellow Black Softball Comforter Set</t>
        </is>
      </c>
      <c r="P27" s="3" t="inlineStr">
        <is>
          <t>FULL</t>
        </is>
      </c>
      <c r="Q27" s="3" t="inlineStr">
        <is>
          <t>FULL</t>
        </is>
      </c>
      <c r="R27" s="3" t="inlineStr">
        <is>
          <t>FULL</t>
        </is>
      </c>
      <c r="S27" s="3" t="inlineStr">
        <is>
          <t>FULL</t>
        </is>
      </c>
      <c r="T27" s="7">
        <f>IF(P27="FULL",40,IF(P27="PARTIAL",40/2,0))+IF(Q27="FULL",30,IF(Q27="PARTIAL",30/2,0))+IF(R27="FULL",20,IF(R27="PARTIAL",20/2,0))+IF(S27="FULL",10,IF(S27="PARTIAL",10/2,0))</f>
        <v/>
      </c>
      <c r="U27" s="7">
        <f>IF(P27="NOT_CHECKED",0,40)+IF(Q27="NOT_CHECKED",0,30)+IF(R27="NOT_CHECKED",0,20)+IF(S27="NOT_CHECKED",0,10)</f>
        <v/>
      </c>
      <c r="V27" s="7">
        <f>IF(U27=100,T27,"")</f>
        <v/>
      </c>
      <c r="W27" s="7">
        <f>T27</f>
        <v/>
      </c>
      <c r="X27" s="7">
        <f>T27+(100-U27)</f>
        <v/>
      </c>
      <c r="Y27" s="3" t="inlineStr"/>
      <c r="Z27" s="3" t="inlineStr">
        <is>
          <t>D:\Shopify_Workspace\jeminise_seo\seo_runs\jeminise.com\20260906_234129\qa\20260907_181200\images\114_02.jpg; seo_runs\jeminise.com\20260906_234129\evidence\images\114_custom-softball-comforter-set-for-girls-personalized-name-number\image_02_47934739513543.jpg; seo_runs\jeminise.com\20260906_234129\evidence\contact_sheets\114_custom-softball-comforter-set-for-girls-personalized-name-number.jpg</t>
        </is>
      </c>
    </row>
    <row r="28" ht="66" customHeight="1">
      <c r="A28" s="2" t="inlineStr">
        <is>
          <t>jeminise.com+custom-softball-comforter-set-for-girls-personalized-name-number</t>
        </is>
      </c>
      <c r="B28" s="2" t="inlineStr">
        <is>
          <t>img_962a08aa467baa55</t>
        </is>
      </c>
      <c r="C28" s="4" t="inlineStr">
        <is>
          <t>https://cdn.shopify.com/s/files/1/0792/5098/1063/files/0f4f84843d32da35b71c8744a6c42a361dae6d95eaecfbf475c07d6a92e67565.jpg?v=1787245140</t>
        </is>
      </c>
      <c r="D28" s="4" t="inlineStr">
        <is>
          <t>https://cdn.shopify.com/s/files/1/0792/5098/1063/files/0f4f84843d32da35b71c8744a6c42a361dae6d95eaecfbf475c07d6a92e67565.jpg?v=1787245140</t>
        </is>
      </c>
      <c r="E28" s="2" t="inlineStr">
        <is>
          <t>47934739546311</t>
        </is>
      </c>
      <c r="F28" s="2" t="inlineStr">
        <is>
          <t>47934739546311</t>
        </is>
      </c>
      <c r="G28" s="2" t="inlineStr"/>
      <c r="H28" s="2" t="inlineStr">
        <is>
          <t>GALLERY</t>
        </is>
      </c>
      <c r="I28" s="2" t="inlineStr">
        <is>
          <t>DIRECT_IMAGE_DOWNLOAD_AND_SOURCE_ROW_REVIEW</t>
        </is>
      </c>
      <c r="J28" s="2" t="inlineStr">
        <is>
          <t>2026-09-07T18:40:21+07:00</t>
        </is>
      </c>
      <c r="K28" s="2" t="inlineStr">
        <is>
          <t>Direct QA opened downloaded image 114_03; source SHA 138CA457150AE95B52B51CE8F28D90B6FA047115341FECC70C0F596E31E1EE54. Submitted observation reviewed against gallery position.</t>
        </is>
      </c>
      <c r="L28" s="2" t="inlineStr">
        <is>
          <t>Bedding type, feature, lifestyle or material image for yellow black softball patchwork comforter for girls.</t>
        </is>
      </c>
      <c r="M28" s="2" t="inlineStr">
        <is>
          <t>UNKNOWN</t>
        </is>
      </c>
      <c r="N28" s="2" t="inlineStr">
        <is>
          <t>SET</t>
        </is>
      </c>
      <c r="O28" s="2" t="inlineStr">
        <is>
          <t>Product option, feature or lifestyle image for Yellow Black Softball Comforter Set</t>
        </is>
      </c>
      <c r="P28" s="2" t="inlineStr">
        <is>
          <t>FULL</t>
        </is>
      </c>
      <c r="Q28" s="2" t="inlineStr">
        <is>
          <t>PARTIAL</t>
        </is>
      </c>
      <c r="R28" s="2" t="inlineStr">
        <is>
          <t>FULL</t>
        </is>
      </c>
      <c r="S28" s="2" t="inlineStr">
        <is>
          <t>FULL</t>
        </is>
      </c>
      <c r="T28" s="5">
        <f>IF(P28="FULL",40,IF(P28="PARTIAL",40/2,0))+IF(Q28="FULL",30,IF(Q28="PARTIAL",30/2,0))+IF(R28="FULL",20,IF(R28="PARTIAL",20/2,0))+IF(S28="FULL",10,IF(S28="PARTIAL",10/2,0))</f>
        <v/>
      </c>
      <c r="U28" s="5">
        <f>IF(P28="NOT_CHECKED",0,40)+IF(Q28="NOT_CHECKED",0,30)+IF(R28="NOT_CHECKED",0,20)+IF(S28="NOT_CHECKED",0,10)</f>
        <v/>
      </c>
      <c r="V28" s="5">
        <f>IF(U28=100,T28,"")</f>
        <v/>
      </c>
      <c r="W28" s="5">
        <f>T28</f>
        <v/>
      </c>
      <c r="X28" s="5">
        <f>T28+(100-U28)</f>
        <v/>
      </c>
      <c r="Y28" s="2" t="inlineStr">
        <is>
          <t>ISSUE-0037</t>
        </is>
      </c>
      <c r="Z28" s="2" t="inlineStr">
        <is>
          <t>D:\Shopify_Workspace\jeminise_seo\seo_runs\jeminise.com\20260906_234129\qa\20260907_181200\images\114_03.jpg; seo_runs\jeminise.com\20260906_234129\evidence\images\114_custom-softball-comforter-set-for-girls-personalized-name-number\image_03_47934739546311.jpg; seo_runs\jeminise.com\20260906_234129\evidence\contact_sheets\114_custom-softball-comforter-set-for-girls-personalized-name-number.jpg</t>
        </is>
      </c>
    </row>
    <row r="29" ht="66" customHeight="1">
      <c r="A29" s="3" t="inlineStr">
        <is>
          <t>jeminise.com+custom-softball-comforter-set-for-girls-personalized-name-number</t>
        </is>
      </c>
      <c r="B29" s="3" t="inlineStr">
        <is>
          <t>img_18196bd12acbde42</t>
        </is>
      </c>
      <c r="C29" s="4" t="inlineStr">
        <is>
          <t>https://cdn.shopify.com/s/files/1/0792/5098/1063/files/1dcca8fdb6738a05b72800b9f3bae1af7ea539c5b6f6dad801b3e7efe0a31cd2.jpg?v=1787245141</t>
        </is>
      </c>
      <c r="D29" s="4" t="inlineStr">
        <is>
          <t>https://cdn.shopify.com/s/files/1/0792/5098/1063/files/1dcca8fdb6738a05b72800b9f3bae1af7ea539c5b6f6dad801b3e7efe0a31cd2.jpg?v=1787245141</t>
        </is>
      </c>
      <c r="E29" s="3" t="inlineStr">
        <is>
          <t>47934739579079</t>
        </is>
      </c>
      <c r="F29" s="3" t="inlineStr">
        <is>
          <t>47934739579079</t>
        </is>
      </c>
      <c r="G29" s="3" t="inlineStr"/>
      <c r="H29" s="3" t="inlineStr">
        <is>
          <t>GALLERY</t>
        </is>
      </c>
      <c r="I29" s="3" t="inlineStr">
        <is>
          <t>DIRECT_IMAGE_DOWNLOAD_AND_SOURCE_ROW_REVIEW</t>
        </is>
      </c>
      <c r="J29" s="3" t="inlineStr">
        <is>
          <t>2026-09-07T18:40:21+07:00</t>
        </is>
      </c>
      <c r="K29" s="3" t="inlineStr">
        <is>
          <t>Direct QA opened downloaded image 114_04; source SHA ED0A78FB73A36E0B910C6B7C4E0133995595F95368FE0000AFE7F46849C6667C. Submitted observation reviewed against gallery position.</t>
        </is>
      </c>
      <c r="L29" s="3" t="inlineStr">
        <is>
          <t>Detail, feature panel or lifestyle image connected to yellow black softball patchwork comforter for girls.</t>
        </is>
      </c>
      <c r="M29" s="3" t="inlineStr">
        <is>
          <t>UNKNOWN</t>
        </is>
      </c>
      <c r="N29" s="3" t="inlineStr">
        <is>
          <t>SET</t>
        </is>
      </c>
      <c r="O29" s="3" t="inlineStr">
        <is>
          <t>Detail or feature image for Yellow Black Softball Comforter Set</t>
        </is>
      </c>
      <c r="P29" s="3" t="inlineStr">
        <is>
          <t>FULL</t>
        </is>
      </c>
      <c r="Q29" s="3" t="inlineStr">
        <is>
          <t>PARTIAL</t>
        </is>
      </c>
      <c r="R29" s="3" t="inlineStr">
        <is>
          <t>FULL</t>
        </is>
      </c>
      <c r="S29" s="3" t="inlineStr">
        <is>
          <t>FULL</t>
        </is>
      </c>
      <c r="T29" s="7">
        <f>IF(P29="FULL",40,IF(P29="PARTIAL",40/2,0))+IF(Q29="FULL",30,IF(Q29="PARTIAL",30/2,0))+IF(R29="FULL",20,IF(R29="PARTIAL",20/2,0))+IF(S29="FULL",10,IF(S29="PARTIAL",10/2,0))</f>
        <v/>
      </c>
      <c r="U29" s="7">
        <f>IF(P29="NOT_CHECKED",0,40)+IF(Q29="NOT_CHECKED",0,30)+IF(R29="NOT_CHECKED",0,20)+IF(S29="NOT_CHECKED",0,10)</f>
        <v/>
      </c>
      <c r="V29" s="7">
        <f>IF(U29=100,T29,"")</f>
        <v/>
      </c>
      <c r="W29" s="7">
        <f>T29</f>
        <v/>
      </c>
      <c r="X29" s="7">
        <f>T29+(100-U29)</f>
        <v/>
      </c>
      <c r="Y29" s="3" t="inlineStr">
        <is>
          <t>ISSUE-0038</t>
        </is>
      </c>
      <c r="Z29" s="3" t="inlineStr">
        <is>
          <t>D:\Shopify_Workspace\jeminise_seo\seo_runs\jeminise.com\20260906_234129\qa\20260907_181200\images\114_04.jpg; seo_runs\jeminise.com\20260906_234129\evidence\images\114_custom-softball-comforter-set-for-girls-personalized-name-number\image_04_47934739579079.jpg; seo_runs\jeminise.com\20260906_234129\evidence\contact_sheets\114_custom-softball-comforter-set-for-girls-personalized-name-number.jpg</t>
        </is>
      </c>
    </row>
    <row r="30" ht="66" customHeight="1">
      <c r="A30" s="2" t="inlineStr">
        <is>
          <t>jeminise.com+custom-softball-comforter-set-for-girls-personalized-name-number</t>
        </is>
      </c>
      <c r="B30" s="2" t="inlineStr">
        <is>
          <t>img_e7e18db1465a4da5</t>
        </is>
      </c>
      <c r="C30" s="4" t="inlineStr">
        <is>
          <t>https://cdn.shopify.com/s/files/1/0792/5098/1063/files/969f8454d999bed06b2a423d17200e4950d2add2054e60ec391632b4726da333.jpg?v=1787245140</t>
        </is>
      </c>
      <c r="D30" s="4" t="inlineStr">
        <is>
          <t>https://cdn.shopify.com/s/files/1/0792/5098/1063/files/969f8454d999bed06b2a423d17200e4950d2add2054e60ec391632b4726da333.jpg?v=1787245140</t>
        </is>
      </c>
      <c r="E30" s="2" t="inlineStr">
        <is>
          <t>47934739611847</t>
        </is>
      </c>
      <c r="F30" s="2" t="inlineStr">
        <is>
          <t>47934739611847</t>
        </is>
      </c>
      <c r="G30" s="2" t="inlineStr"/>
      <c r="H30" s="2" t="inlineStr">
        <is>
          <t>GALLERY</t>
        </is>
      </c>
      <c r="I30" s="2" t="inlineStr">
        <is>
          <t>DIRECT_IMAGE_DOWNLOAD_AND_SOURCE_ROW_REVIEW</t>
        </is>
      </c>
      <c r="J30" s="2" t="inlineStr">
        <is>
          <t>2026-09-07T18:40:21+07:00</t>
        </is>
      </c>
      <c r="K30" s="2" t="inlineStr">
        <is>
          <t>Direct QA opened downloaded image 114_05; source SHA 94A0C475AD2E3A1EAE49B7B5E46AF6E78933EC1EC31989AF627361964AC92F87. Submitted observation reviewed against gallery position.</t>
        </is>
      </c>
      <c r="L30" s="2" t="inlineStr">
        <is>
          <t>Additional mockup, care or size information for yellow black softball patchwork comforter for girls.</t>
        </is>
      </c>
      <c r="M30" s="2" t="inlineStr">
        <is>
          <t>UNKNOWN</t>
        </is>
      </c>
      <c r="N30" s="2" t="inlineStr">
        <is>
          <t>SET</t>
        </is>
      </c>
      <c r="O30" s="2" t="inlineStr">
        <is>
          <t>Additional product mockup or care information for Yellow Black Softball Comforter Set</t>
        </is>
      </c>
      <c r="P30" s="2" t="inlineStr">
        <is>
          <t>FULL</t>
        </is>
      </c>
      <c r="Q30" s="2" t="inlineStr">
        <is>
          <t>FULL</t>
        </is>
      </c>
      <c r="R30" s="2" t="inlineStr">
        <is>
          <t>FULL</t>
        </is>
      </c>
      <c r="S30" s="2" t="inlineStr">
        <is>
          <t>FULL</t>
        </is>
      </c>
      <c r="T30" s="5">
        <f>IF(P30="FULL",40,IF(P30="PARTIAL",40/2,0))+IF(Q30="FULL",30,IF(Q30="PARTIAL",30/2,0))+IF(R30="FULL",20,IF(R30="PARTIAL",20/2,0))+IF(S30="FULL",10,IF(S30="PARTIAL",10/2,0))</f>
        <v/>
      </c>
      <c r="U30" s="5">
        <f>IF(P30="NOT_CHECKED",0,40)+IF(Q30="NOT_CHECKED",0,30)+IF(R30="NOT_CHECKED",0,20)+IF(S30="NOT_CHECKED",0,10)</f>
        <v/>
      </c>
      <c r="V30" s="5">
        <f>IF(U30=100,T30,"")</f>
        <v/>
      </c>
      <c r="W30" s="5">
        <f>T30</f>
        <v/>
      </c>
      <c r="X30" s="5">
        <f>T30+(100-U30)</f>
        <v/>
      </c>
      <c r="Y30" s="2" t="inlineStr"/>
      <c r="Z30" s="2" t="inlineStr">
        <is>
          <t>D:\Shopify_Workspace\jeminise_seo\seo_runs\jeminise.com\20260906_234129\qa\20260907_181200\images\114_05.jpg; seo_runs\jeminise.com\20260906_234129\evidence\images\114_custom-softball-comforter-set-for-girls-personalized-name-number\image_05_47934739611847.jpg; seo_runs\jeminise.com\20260906_234129\evidence\contact_sheets\114_custom-softball-comforter-set-for-girls-personalized-name-number.jpg</t>
        </is>
      </c>
    </row>
    <row r="31" ht="66" customHeight="1">
      <c r="A31" s="3" t="inlineStr">
        <is>
          <t>jeminise.com+custom-softball-comforter-set-for-girls-personalized-name-number</t>
        </is>
      </c>
      <c r="B31" s="3" t="inlineStr">
        <is>
          <t>img_b48d08c351bfa99a</t>
        </is>
      </c>
      <c r="C31" s="4" t="inlineStr">
        <is>
          <t>https://cdn.shopify.com/s/files/1/0792/5098/1063/files/b5c74b68d1b4eff2209b7123e3fbe61d1e31afd73aa5ba647e17c194e2e66c44_ffc912e1-a30d-47c4-a2c3-9f0ce00f330f.jpg?v=1787245141</t>
        </is>
      </c>
      <c r="D31" s="4" t="inlineStr">
        <is>
          <t>https://cdn.shopify.com/s/files/1/0792/5098/1063/files/b5c74b68d1b4eff2209b7123e3fbe61d1e31afd73aa5ba647e17c194e2e66c44_ffc912e1-a30d-47c4-a2c3-9f0ce00f330f.jpg?v=1787245141</t>
        </is>
      </c>
      <c r="E31" s="3" t="inlineStr">
        <is>
          <t>47934739644615</t>
        </is>
      </c>
      <c r="F31" s="3" t="inlineStr">
        <is>
          <t>47934739644615</t>
        </is>
      </c>
      <c r="G31" s="3" t="inlineStr"/>
      <c r="H31" s="3" t="inlineStr">
        <is>
          <t>GALLERY</t>
        </is>
      </c>
      <c r="I31" s="3" t="inlineStr">
        <is>
          <t>DIRECT_IMAGE_DOWNLOAD_AND_SOURCE_ROW_REVIEW</t>
        </is>
      </c>
      <c r="J31" s="3" t="inlineStr">
        <is>
          <t>2026-09-07T18:40:21+07:00</t>
        </is>
      </c>
      <c r="K31" s="3" t="inlineStr">
        <is>
          <t>Direct QA opened downloaded image 114_06; source SHA 26BCFCEF0FE1B00164928B71D289F771A0BA03EAB3FD49FB30095539839D789B. Submitted observation reviewed against gallery position.</t>
        </is>
      </c>
      <c r="L31" s="3" t="inlineStr">
        <is>
          <t>Easy-care, size guide or product feature image for yellow black softball patchwork comforter for girls.</t>
        </is>
      </c>
      <c r="M31" s="3" t="inlineStr">
        <is>
          <t>UNKNOWN</t>
        </is>
      </c>
      <c r="N31" s="3" t="inlineStr">
        <is>
          <t>SET</t>
        </is>
      </c>
      <c r="O31" s="3" t="inlineStr">
        <is>
          <t>Care, size or product feature image for Yellow Black Softball Comforter Set</t>
        </is>
      </c>
      <c r="P31" s="3" t="inlineStr">
        <is>
          <t>FULL</t>
        </is>
      </c>
      <c r="Q31" s="3" t="inlineStr">
        <is>
          <t>PARTIAL</t>
        </is>
      </c>
      <c r="R31" s="3" t="inlineStr">
        <is>
          <t>FULL</t>
        </is>
      </c>
      <c r="S31" s="3" t="inlineStr">
        <is>
          <t>FULL</t>
        </is>
      </c>
      <c r="T31" s="7">
        <f>IF(P31="FULL",40,IF(P31="PARTIAL",40/2,0))+IF(Q31="FULL",30,IF(Q31="PARTIAL",30/2,0))+IF(R31="FULL",20,IF(R31="PARTIAL",20/2,0))+IF(S31="FULL",10,IF(S31="PARTIAL",10/2,0))</f>
        <v/>
      </c>
      <c r="U31" s="7">
        <f>IF(P31="NOT_CHECKED",0,40)+IF(Q31="NOT_CHECKED",0,30)+IF(R31="NOT_CHECKED",0,20)+IF(S31="NOT_CHECKED",0,10)</f>
        <v/>
      </c>
      <c r="V31" s="7">
        <f>IF(U31=100,T31,"")</f>
        <v/>
      </c>
      <c r="W31" s="7">
        <f>T31</f>
        <v/>
      </c>
      <c r="X31" s="7">
        <f>T31+(100-U31)</f>
        <v/>
      </c>
      <c r="Y31" s="3" t="inlineStr">
        <is>
          <t>ISSUE-0039</t>
        </is>
      </c>
      <c r="Z31" s="3" t="inlineStr">
        <is>
          <t>D:\Shopify_Workspace\jeminise_seo\seo_runs\jeminise.com\20260906_234129\qa\20260907_181200\images\114_06.jpg; seo_runs\jeminise.com\20260906_234129\evidence\images\114_custom-softball-comforter-set-for-girls-personalized-name-number\image_06_47934739644615.jpg; seo_runs\jeminise.com\20260906_234129\evidence\contact_sheets\114_custom-softball-comforter-set-for-girls-personalized-name-number.jpg</t>
        </is>
      </c>
    </row>
    <row r="32" ht="66" customHeight="1">
      <c r="A32" s="2" t="inlineStr">
        <is>
          <t>jeminise.com+custom-softball-comforter-set-for-girls-personalized-name-number</t>
        </is>
      </c>
      <c r="B32" s="2" t="inlineStr">
        <is>
          <t>img_74bd15513922b8e2</t>
        </is>
      </c>
      <c r="C32" s="4" t="inlineStr">
        <is>
          <t>https://cdn.shopify.com/s/files/1/0792/5098/1063/files/a0ebf0c8e5cb1f2c8f924529805ea1d20494460dd41a740514b8862f5d5a2f4f_3166bb13-abac-4b46-b2db-33858584f50e.jpg?v=1787245140</t>
        </is>
      </c>
      <c r="D32" s="4" t="inlineStr">
        <is>
          <t>https://cdn.shopify.com/s/files/1/0792/5098/1063/files/a0ebf0c8e5cb1f2c8f924529805ea1d20494460dd41a740514b8862f5d5a2f4f_3166bb13-abac-4b46-b2db-33858584f50e.jpg?v=1787245140</t>
        </is>
      </c>
      <c r="E32" s="2" t="inlineStr">
        <is>
          <t>47934739677383</t>
        </is>
      </c>
      <c r="F32" s="2" t="inlineStr">
        <is>
          <t>47934739677383</t>
        </is>
      </c>
      <c r="G32" s="2" t="inlineStr"/>
      <c r="H32" s="2" t="inlineStr">
        <is>
          <t>GALLERY</t>
        </is>
      </c>
      <c r="I32" s="2" t="inlineStr">
        <is>
          <t>DIRECT_IMAGE_DOWNLOAD_AND_SOURCE_ROW_REVIEW</t>
        </is>
      </c>
      <c r="J32" s="2" t="inlineStr">
        <is>
          <t>2026-09-07T18:40:21+07:00</t>
        </is>
      </c>
      <c r="K32" s="2" t="inlineStr">
        <is>
          <t>Direct QA opened downloaded image 114_07; source SHA 66803DD8B86096044F5F294A5856C42982D4018979CA13ED619A694D3B21C9CD. Submitted observation reviewed against gallery position.</t>
        </is>
      </c>
      <c r="L32" s="2" t="inlineStr">
        <is>
          <t>Additional lifestyle, feature or product detail image showing yellow black softball patchwork comforter for girls.</t>
        </is>
      </c>
      <c r="M32" s="2" t="inlineStr">
        <is>
          <t>UNKNOWN</t>
        </is>
      </c>
      <c r="N32" s="2" t="inlineStr">
        <is>
          <t>SET</t>
        </is>
      </c>
      <c r="O32" s="2" t="inlineStr">
        <is>
          <t>Additional product mockup of Yellow Black Softball Comforter Set</t>
        </is>
      </c>
      <c r="P32" s="2" t="inlineStr">
        <is>
          <t>FULL</t>
        </is>
      </c>
      <c r="Q32" s="2" t="inlineStr">
        <is>
          <t>PARTIAL</t>
        </is>
      </c>
      <c r="R32" s="2" t="inlineStr">
        <is>
          <t>FULL</t>
        </is>
      </c>
      <c r="S32" s="2" t="inlineStr">
        <is>
          <t>FULL</t>
        </is>
      </c>
      <c r="T32" s="5">
        <f>IF(P32="FULL",40,IF(P32="PARTIAL",40/2,0))+IF(Q32="FULL",30,IF(Q32="PARTIAL",30/2,0))+IF(R32="FULL",20,IF(R32="PARTIAL",20/2,0))+IF(S32="FULL",10,IF(S32="PARTIAL",10/2,0))</f>
        <v/>
      </c>
      <c r="U32" s="5">
        <f>IF(P32="NOT_CHECKED",0,40)+IF(Q32="NOT_CHECKED",0,30)+IF(R32="NOT_CHECKED",0,20)+IF(S32="NOT_CHECKED",0,10)</f>
        <v/>
      </c>
      <c r="V32" s="5">
        <f>IF(U32=100,T32,"")</f>
        <v/>
      </c>
      <c r="W32" s="5">
        <f>T32</f>
        <v/>
      </c>
      <c r="X32" s="5">
        <f>T32+(100-U32)</f>
        <v/>
      </c>
      <c r="Y32" s="2" t="inlineStr">
        <is>
          <t>ISSUE-0040</t>
        </is>
      </c>
      <c r="Z32" s="2" t="inlineStr">
        <is>
          <t>D:\Shopify_Workspace\jeminise_seo\seo_runs\jeminise.com\20260906_234129\qa\20260907_181200\images\114_07.jpg; seo_runs\jeminise.com\20260906_234129\evidence\images\114_custom-softball-comforter-set-for-girls-personalized-name-number\image_07_47934739677383.jpg; seo_runs\jeminise.com\20260906_234129\evidence\contact_sheets\114_custom-softball-comforter-set-for-girls-personalized-name-number.jpg</t>
        </is>
      </c>
    </row>
    <row r="33" ht="66" customHeight="1">
      <c r="A33" s="3" t="inlineStr">
        <is>
          <t>jeminise.com+custom-sports-and-patriotism-football-on-american-flag-background-comforter-510823ee16-510823ee16</t>
        </is>
      </c>
      <c r="B33" s="3" t="inlineStr">
        <is>
          <t>img_c21796561fd28786</t>
        </is>
      </c>
      <c r="C33" s="4" t="inlineStr">
        <is>
          <t>https://cdn.shopify.com/s/files/1/0792/5098/1063/files/29aa43c7b8307f34ac5d513cc57e1a002e1614f6867312a28dbfcab34d8673d2.jpg?v=1785102170</t>
        </is>
      </c>
      <c r="D33" s="4" t="inlineStr">
        <is>
          <t>https://cdn.shopify.com/s/files/1/0792/5098/1063/files/29aa43c7b8307f34ac5d513cc57e1a002e1614f6867312a28dbfcab34d8673d2.jpg?v=1785102170</t>
        </is>
      </c>
      <c r="E33" s="3" t="inlineStr">
        <is>
          <t>47540317454535</t>
        </is>
      </c>
      <c r="F33" s="3" t="inlineStr">
        <is>
          <t>47540317454535</t>
        </is>
      </c>
      <c r="G33" s="3" t="inlineStr"/>
      <c r="H33" s="3" t="inlineStr">
        <is>
          <t>GALLERY</t>
        </is>
      </c>
      <c r="I33" s="3" t="inlineStr">
        <is>
          <t>DIRECT_IMAGE_DOWNLOAD_AND_SOURCE_ROW_REVIEW</t>
        </is>
      </c>
      <c r="J33" s="3" t="inlineStr">
        <is>
          <t>2026-09-07T18:40:21+07:00</t>
        </is>
      </c>
      <c r="K33" s="3" t="inlineStr">
        <is>
          <t>Direct QA opened downloaded image 115_01; source SHA E4A9CCAEE528CC8BEC1AABD706C0927BD5C1852F1AB68435422819B1337F9EB4. Submitted observation reviewed against gallery position.</t>
        </is>
      </c>
      <c r="L33" s="3" t="inlineStr">
        <is>
          <t>Main product mockup showing personalized football American flag comforter with Kevin number 20.</t>
        </is>
      </c>
      <c r="M33" s="3" t="inlineStr">
        <is>
          <t>UNKNOWN</t>
        </is>
      </c>
      <c r="N33" s="3" t="inlineStr">
        <is>
          <t>SET</t>
        </is>
      </c>
      <c r="O33" s="3" t="inlineStr">
        <is>
          <t>Personalized Football American Flag Comforter displayed in a main product mockup</t>
        </is>
      </c>
      <c r="P33" s="3" t="inlineStr">
        <is>
          <t>FULL</t>
        </is>
      </c>
      <c r="Q33" s="3" t="inlineStr">
        <is>
          <t>FULL</t>
        </is>
      </c>
      <c r="R33" s="3" t="inlineStr">
        <is>
          <t>PARTIAL</t>
        </is>
      </c>
      <c r="S33" s="3" t="inlineStr">
        <is>
          <t>FULL</t>
        </is>
      </c>
      <c r="T33" s="7">
        <f>IF(P33="FULL",40,IF(P33="PARTIAL",40/2,0))+IF(Q33="FULL",30,IF(Q33="PARTIAL",30/2,0))+IF(R33="FULL",20,IF(R33="PARTIAL",20/2,0))+IF(S33="FULL",10,IF(S33="PARTIAL",10/2,0))</f>
        <v/>
      </c>
      <c r="U33" s="7">
        <f>IF(P33="NOT_CHECKED",0,40)+IF(Q33="NOT_CHECKED",0,30)+IF(R33="NOT_CHECKED",0,20)+IF(S33="NOT_CHECKED",0,10)</f>
        <v/>
      </c>
      <c r="V33" s="7">
        <f>IF(U33=100,T33,"")</f>
        <v/>
      </c>
      <c r="W33" s="7">
        <f>T33</f>
        <v/>
      </c>
      <c r="X33" s="7">
        <f>T33+(100-U33)</f>
        <v/>
      </c>
      <c r="Y33" s="3" t="inlineStr">
        <is>
          <t>ISSUE-0045</t>
        </is>
      </c>
      <c r="Z33" s="3" t="inlineStr">
        <is>
          <t>D:\Shopify_Workspace\jeminise_seo\seo_runs\jeminise.com\20260906_234129\qa\20260907_181200\images\115_01.jpg; 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row>
    <row r="34" ht="66" customHeight="1">
      <c r="A34" s="2" t="inlineStr">
        <is>
          <t>jeminise.com+custom-sports-and-patriotism-football-on-american-flag-background-comforter-510823ee16-510823ee16</t>
        </is>
      </c>
      <c r="B34" s="2" t="inlineStr">
        <is>
          <t>img_6d46247715a29a31</t>
        </is>
      </c>
      <c r="C34" s="4" t="inlineStr">
        <is>
          <t>https://cdn.shopify.com/s/files/1/0792/5098/1063/files/f0cbead62a32e122c6c212ec8e0605425e6bb8907a050cab939dd47e8423f2e6.jpg?v=1785102170</t>
        </is>
      </c>
      <c r="D34" s="4" t="inlineStr">
        <is>
          <t>https://cdn.shopify.com/s/files/1/0792/5098/1063/files/f0cbead62a32e122c6c212ec8e0605425e6bb8907a050cab939dd47e8423f2e6.jpg?v=1785102170</t>
        </is>
      </c>
      <c r="E34" s="2" t="inlineStr">
        <is>
          <t>47540317487303</t>
        </is>
      </c>
      <c r="F34" s="2" t="inlineStr">
        <is>
          <t>47540317487303</t>
        </is>
      </c>
      <c r="G34" s="2" t="inlineStr"/>
      <c r="H34" s="2" t="inlineStr">
        <is>
          <t>GALLERY</t>
        </is>
      </c>
      <c r="I34" s="2" t="inlineStr">
        <is>
          <t>DIRECT_IMAGE_DOWNLOAD_AND_SOURCE_ROW_REVIEW</t>
        </is>
      </c>
      <c r="J34" s="2" t="inlineStr">
        <is>
          <t>2026-09-07T18:40:21+07:00</t>
        </is>
      </c>
      <c r="K34" s="2" t="inlineStr">
        <is>
          <t>Direct QA opened downloaded image 115_02; source SHA 11A1F4DAB2B2A851ADC7E1C7553C2AE422C1C44B001F767BAF4749446E6C84F1. Submitted observation reviewed against gallery position.</t>
        </is>
      </c>
      <c r="L34" s="2" t="inlineStr">
        <is>
          <t>Secondary flat, close-up or bedroom mockup showing personalized football American flag comforter with Kevin number 20.</t>
        </is>
      </c>
      <c r="M34" s="2" t="inlineStr">
        <is>
          <t>UNKNOWN</t>
        </is>
      </c>
      <c r="N34" s="2" t="inlineStr">
        <is>
          <t>SET</t>
        </is>
      </c>
      <c r="O34" s="2" t="inlineStr">
        <is>
          <t>Secondary mockup of Personalized Football American Flag Comforter</t>
        </is>
      </c>
      <c r="P34" s="2" t="inlineStr">
        <is>
          <t>FULL</t>
        </is>
      </c>
      <c r="Q34" s="2" t="inlineStr">
        <is>
          <t>FULL</t>
        </is>
      </c>
      <c r="R34" s="2" t="inlineStr">
        <is>
          <t>FULL</t>
        </is>
      </c>
      <c r="S34" s="2" t="inlineStr">
        <is>
          <t>FULL</t>
        </is>
      </c>
      <c r="T34" s="5">
        <f>IF(P34="FULL",40,IF(P34="PARTIAL",40/2,0))+IF(Q34="FULL",30,IF(Q34="PARTIAL",30/2,0))+IF(R34="FULL",20,IF(R34="PARTIAL",20/2,0))+IF(S34="FULL",10,IF(S34="PARTIAL",10/2,0))</f>
        <v/>
      </c>
      <c r="U34" s="5">
        <f>IF(P34="NOT_CHECKED",0,40)+IF(Q34="NOT_CHECKED",0,30)+IF(R34="NOT_CHECKED",0,20)+IF(S34="NOT_CHECKED",0,10)</f>
        <v/>
      </c>
      <c r="V34" s="5">
        <f>IF(U34=100,T34,"")</f>
        <v/>
      </c>
      <c r="W34" s="5">
        <f>T34</f>
        <v/>
      </c>
      <c r="X34" s="5">
        <f>T34+(100-U34)</f>
        <v/>
      </c>
      <c r="Y34" s="2" t="inlineStr"/>
      <c r="Z34" s="2" t="inlineStr">
        <is>
          <t>D:\Shopify_Workspace\jeminise_seo\seo_runs\jeminise.com\20260906_234129\qa\20260907_181200\images\115_02.jpg; 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row>
    <row r="35" ht="66" customHeight="1">
      <c r="A35" s="3" t="inlineStr">
        <is>
          <t>jeminise.com+custom-sports-and-patriotism-football-on-american-flag-background-comforter-510823ee16-510823ee16</t>
        </is>
      </c>
      <c r="B35" s="3" t="inlineStr">
        <is>
          <t>img_ec8aedfdd50c68e5</t>
        </is>
      </c>
      <c r="C35" s="4" t="inlineStr">
        <is>
          <t>https://cdn.shopify.com/s/files/1/0792/5098/1063/files/16f7293cbefa5743a35b2e6316a5a114e5c052d08151e367dafd26aa5e2e542b_7b681a73-e2c8-473c-861b-ebab1d308b2c.jpg?v=1785102170</t>
        </is>
      </c>
      <c r="D35" s="4" t="inlineStr">
        <is>
          <t>https://cdn.shopify.com/s/files/1/0792/5098/1063/files/16f7293cbefa5743a35b2e6316a5a114e5c052d08151e367dafd26aa5e2e542b_7b681a73-e2c8-473c-861b-ebab1d308b2c.jpg?v=1785102170</t>
        </is>
      </c>
      <c r="E35" s="3" t="inlineStr">
        <is>
          <t>47540317520071</t>
        </is>
      </c>
      <c r="F35" s="3" t="inlineStr">
        <is>
          <t>47540317520071</t>
        </is>
      </c>
      <c r="G35" s="3" t="inlineStr"/>
      <c r="H35" s="3" t="inlineStr">
        <is>
          <t>GALLERY</t>
        </is>
      </c>
      <c r="I35" s="3" t="inlineStr">
        <is>
          <t>DIRECT_IMAGE_DOWNLOAD_AND_SOURCE_ROW_REVIEW</t>
        </is>
      </c>
      <c r="J35" s="3" t="inlineStr">
        <is>
          <t>2026-09-07T18:40:21+07:00</t>
        </is>
      </c>
      <c r="K35" s="3" t="inlineStr">
        <is>
          <t>Direct QA opened downloaded image 115_03; source SHA D1D7BB2E7BBC330A530F2D07CC17846B4F9F5EF39CD3A33528B7908CF2BF0286. Submitted observation reviewed against gallery position.</t>
        </is>
      </c>
      <c r="L35" s="3" t="inlineStr">
        <is>
          <t>Bedding type, feature, lifestyle or material image for personalized football American flag comforter with Kevin number 20.</t>
        </is>
      </c>
      <c r="M35" s="3" t="inlineStr">
        <is>
          <t>UNKNOWN</t>
        </is>
      </c>
      <c r="N35" s="3" t="inlineStr">
        <is>
          <t>SET</t>
        </is>
      </c>
      <c r="O35" s="3" t="inlineStr">
        <is>
          <t>Product option, feature or lifestyle image for Personalized Football American Flag Comforter</t>
        </is>
      </c>
      <c r="P35" s="3" t="inlineStr">
        <is>
          <t>FULL</t>
        </is>
      </c>
      <c r="Q35" s="3" t="inlineStr">
        <is>
          <t>PARTIAL</t>
        </is>
      </c>
      <c r="R35" s="3" t="inlineStr">
        <is>
          <t>FULL</t>
        </is>
      </c>
      <c r="S35" s="3" t="inlineStr">
        <is>
          <t>FULL</t>
        </is>
      </c>
      <c r="T35" s="7">
        <f>IF(P35="FULL",40,IF(P35="PARTIAL",40/2,0))+IF(Q35="FULL",30,IF(Q35="PARTIAL",30/2,0))+IF(R35="FULL",20,IF(R35="PARTIAL",20/2,0))+IF(S35="FULL",10,IF(S35="PARTIAL",10/2,0))</f>
        <v/>
      </c>
      <c r="U35" s="7">
        <f>IF(P35="NOT_CHECKED",0,40)+IF(Q35="NOT_CHECKED",0,30)+IF(R35="NOT_CHECKED",0,20)+IF(S35="NOT_CHECKED",0,10)</f>
        <v/>
      </c>
      <c r="V35" s="7">
        <f>IF(U35=100,T35,"")</f>
        <v/>
      </c>
      <c r="W35" s="7">
        <f>T35</f>
        <v/>
      </c>
      <c r="X35" s="7">
        <f>T35+(100-U35)</f>
        <v/>
      </c>
      <c r="Y35" s="3" t="inlineStr">
        <is>
          <t>ISSUE-0046</t>
        </is>
      </c>
      <c r="Z35" s="3" t="inlineStr">
        <is>
          <t>D:\Shopify_Workspace\jeminise_seo\seo_runs\jeminise.com\20260906_234129\qa\20260907_181200\images\115_03.jpg; 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row>
    <row r="36" ht="66" customHeight="1">
      <c r="A36" s="2" t="inlineStr">
        <is>
          <t>jeminise.com+custom-sports-and-patriotism-football-on-american-flag-background-comforter-510823ee16-510823ee16</t>
        </is>
      </c>
      <c r="B36" s="2" t="inlineStr">
        <is>
          <t>img_5cc4c618813cc644</t>
        </is>
      </c>
      <c r="C36" s="4" t="inlineStr">
        <is>
          <t>https://cdn.shopify.com/s/files/1/0792/5098/1063/files/d8fb9490da7e572f1e8ff50bc07b17f8c1246a805769a641c42df32c2d8d864e.jpg?v=1785102170</t>
        </is>
      </c>
      <c r="D36" s="4" t="inlineStr">
        <is>
          <t>https://cdn.shopify.com/s/files/1/0792/5098/1063/files/d8fb9490da7e572f1e8ff50bc07b17f8c1246a805769a641c42df32c2d8d864e.jpg?v=1785102170</t>
        </is>
      </c>
      <c r="E36" s="2" t="inlineStr">
        <is>
          <t>47540317552839</t>
        </is>
      </c>
      <c r="F36" s="2" t="inlineStr">
        <is>
          <t>47540317552839</t>
        </is>
      </c>
      <c r="G36" s="2" t="inlineStr"/>
      <c r="H36" s="2" t="inlineStr">
        <is>
          <t>GALLERY</t>
        </is>
      </c>
      <c r="I36" s="2" t="inlineStr">
        <is>
          <t>DIRECT_IMAGE_DOWNLOAD_AND_SOURCE_ROW_REVIEW</t>
        </is>
      </c>
      <c r="J36" s="2" t="inlineStr">
        <is>
          <t>2026-09-07T18:40:21+07:00</t>
        </is>
      </c>
      <c r="K36" s="2" t="inlineStr">
        <is>
          <t>Direct QA opened downloaded image 115_04; source SHA 7213A3936075BB71B6E2CD55ACC081A948B0038AD2943F223AEFAB81A567B4A9. Submitted observation reviewed against gallery position.</t>
        </is>
      </c>
      <c r="L36" s="2" t="inlineStr">
        <is>
          <t>Detail, feature panel or lifestyle image connected to personalized football American flag comforter with Kevin number 20.</t>
        </is>
      </c>
      <c r="M36" s="2" t="inlineStr">
        <is>
          <t>UNKNOWN</t>
        </is>
      </c>
      <c r="N36" s="2" t="inlineStr">
        <is>
          <t>SET</t>
        </is>
      </c>
      <c r="O36" s="2" t="inlineStr">
        <is>
          <t>Detail or feature image for Personalized Football American Flag Comforter</t>
        </is>
      </c>
      <c r="P36" s="2" t="inlineStr">
        <is>
          <t>FULL</t>
        </is>
      </c>
      <c r="Q36" s="2" t="inlineStr">
        <is>
          <t>PARTIAL</t>
        </is>
      </c>
      <c r="R36" s="2" t="inlineStr">
        <is>
          <t>FULL</t>
        </is>
      </c>
      <c r="S36" s="2" t="inlineStr">
        <is>
          <t>FULL</t>
        </is>
      </c>
      <c r="T36" s="5">
        <f>IF(P36="FULL",40,IF(P36="PARTIAL",40/2,0))+IF(Q36="FULL",30,IF(Q36="PARTIAL",30/2,0))+IF(R36="FULL",20,IF(R36="PARTIAL",20/2,0))+IF(S36="FULL",10,IF(S36="PARTIAL",10/2,0))</f>
        <v/>
      </c>
      <c r="U36" s="5">
        <f>IF(P36="NOT_CHECKED",0,40)+IF(Q36="NOT_CHECKED",0,30)+IF(R36="NOT_CHECKED",0,20)+IF(S36="NOT_CHECKED",0,10)</f>
        <v/>
      </c>
      <c r="V36" s="5">
        <f>IF(U36=100,T36,"")</f>
        <v/>
      </c>
      <c r="W36" s="5">
        <f>T36</f>
        <v/>
      </c>
      <c r="X36" s="5">
        <f>T36+(100-U36)</f>
        <v/>
      </c>
      <c r="Y36" s="2" t="inlineStr">
        <is>
          <t>ISSUE-0047</t>
        </is>
      </c>
      <c r="Z36" s="2" t="inlineStr">
        <is>
          <t>D:\Shopify_Workspace\jeminise_seo\seo_runs\jeminise.com\20260906_234129\qa\20260907_181200\images\115_04.jpg; 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row>
    <row r="37" ht="66" customHeight="1">
      <c r="A37" s="3" t="inlineStr">
        <is>
          <t>jeminise.com+custom-sports-and-patriotism-football-on-american-flag-background-comforter-510823ee16-510823ee16</t>
        </is>
      </c>
      <c r="B37" s="3" t="inlineStr">
        <is>
          <t>img_232a51e84b6163ac</t>
        </is>
      </c>
      <c r="C37" s="4" t="inlineStr">
        <is>
          <t>https://cdn.shopify.com/s/files/1/0792/5098/1063/files/7c006bddc94d4763c71c8376307e195c1bbce73b8c802ec73ac5a8cef1291262_08449542-703f-4b4f-8f82-8e7ee0778241.jpg?v=1785102170</t>
        </is>
      </c>
      <c r="D37" s="4" t="inlineStr">
        <is>
          <t>https://cdn.shopify.com/s/files/1/0792/5098/1063/files/7c006bddc94d4763c71c8376307e195c1bbce73b8c802ec73ac5a8cef1291262_08449542-703f-4b4f-8f82-8e7ee0778241.jpg?v=1785102170</t>
        </is>
      </c>
      <c r="E37" s="3" t="inlineStr">
        <is>
          <t>47540317585607</t>
        </is>
      </c>
      <c r="F37" s="3" t="inlineStr">
        <is>
          <t>47540317585607</t>
        </is>
      </c>
      <c r="G37" s="3" t="inlineStr"/>
      <c r="H37" s="3" t="inlineStr">
        <is>
          <t>GALLERY</t>
        </is>
      </c>
      <c r="I37" s="3" t="inlineStr">
        <is>
          <t>DIRECT_IMAGE_DOWNLOAD_AND_SOURCE_ROW_REVIEW</t>
        </is>
      </c>
      <c r="J37" s="3" t="inlineStr">
        <is>
          <t>2026-09-07T18:40:21+07:00</t>
        </is>
      </c>
      <c r="K37" s="3" t="inlineStr">
        <is>
          <t>Direct QA opened downloaded image 115_05; source SHA C44DD8C415D82F46E3913622731FCF66776A9B3B86746179C808AE27D8DDE649. Submitted observation reviewed against gallery position.</t>
        </is>
      </c>
      <c r="L37" s="3" t="inlineStr">
        <is>
          <t>Additional mockup, care or size information for personalized football American flag comforter with Kevin number 20.</t>
        </is>
      </c>
      <c r="M37" s="3" t="inlineStr">
        <is>
          <t>UNKNOWN</t>
        </is>
      </c>
      <c r="N37" s="3" t="inlineStr">
        <is>
          <t>SET</t>
        </is>
      </c>
      <c r="O37" s="3" t="inlineStr">
        <is>
          <t>Additional product mockup or care information for Personalized Football American Flag Comforter</t>
        </is>
      </c>
      <c r="P37" s="3" t="inlineStr">
        <is>
          <t>FULL</t>
        </is>
      </c>
      <c r="Q37" s="3" t="inlineStr">
        <is>
          <t>FULL</t>
        </is>
      </c>
      <c r="R37" s="3" t="inlineStr">
        <is>
          <t>FULL</t>
        </is>
      </c>
      <c r="S37" s="3" t="inlineStr">
        <is>
          <t>FULL</t>
        </is>
      </c>
      <c r="T37" s="7">
        <f>IF(P37="FULL",40,IF(P37="PARTIAL",40/2,0))+IF(Q37="FULL",30,IF(Q37="PARTIAL",30/2,0))+IF(R37="FULL",20,IF(R37="PARTIAL",20/2,0))+IF(S37="FULL",10,IF(S37="PARTIAL",10/2,0))</f>
        <v/>
      </c>
      <c r="U37" s="7">
        <f>IF(P37="NOT_CHECKED",0,40)+IF(Q37="NOT_CHECKED",0,30)+IF(R37="NOT_CHECKED",0,20)+IF(S37="NOT_CHECKED",0,10)</f>
        <v/>
      </c>
      <c r="V37" s="7">
        <f>IF(U37=100,T37,"")</f>
        <v/>
      </c>
      <c r="W37" s="7">
        <f>T37</f>
        <v/>
      </c>
      <c r="X37" s="7">
        <f>T37+(100-U37)</f>
        <v/>
      </c>
      <c r="Y37" s="3" t="inlineStr"/>
      <c r="Z37" s="3" t="inlineStr">
        <is>
          <t>D:\Shopify_Workspace\jeminise_seo\seo_runs\jeminise.com\20260906_234129\qa\20260907_181200\images\115_05.jpg; 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row>
    <row r="38" ht="66" customHeight="1">
      <c r="A38" s="2" t="inlineStr">
        <is>
          <t>jeminise.com+custom-sports-and-patriotism-football-on-american-flag-background-comforter-510823ee16-510823ee16</t>
        </is>
      </c>
      <c r="B38" s="2" t="inlineStr">
        <is>
          <t>img_c26d3d347a65c2a1</t>
        </is>
      </c>
      <c r="C38" s="4" t="inlineStr">
        <is>
          <t>https://cdn.shopify.com/s/files/1/0792/5098/1063/files/e5cad84edb4d7bf77c48fd7c8e52eb3b73f04eba8bf177671fd8a059c59422e8_5ee813e4-f653-4ebf-a1d2-9cb4bc7e08f7.jpg?v=1785102170</t>
        </is>
      </c>
      <c r="D38" s="4" t="inlineStr">
        <is>
          <t>https://cdn.shopify.com/s/files/1/0792/5098/1063/files/e5cad84edb4d7bf77c48fd7c8e52eb3b73f04eba8bf177671fd8a059c59422e8_5ee813e4-f653-4ebf-a1d2-9cb4bc7e08f7.jpg?v=1785102170</t>
        </is>
      </c>
      <c r="E38" s="2" t="inlineStr">
        <is>
          <t>47540317618375</t>
        </is>
      </c>
      <c r="F38" s="2" t="inlineStr">
        <is>
          <t>47540317618375</t>
        </is>
      </c>
      <c r="G38" s="2" t="inlineStr"/>
      <c r="H38" s="2" t="inlineStr">
        <is>
          <t>GALLERY</t>
        </is>
      </c>
      <c r="I38" s="2" t="inlineStr">
        <is>
          <t>DIRECT_IMAGE_DOWNLOAD_AND_SOURCE_ROW_REVIEW</t>
        </is>
      </c>
      <c r="J38" s="2" t="inlineStr">
        <is>
          <t>2026-09-07T18:40:21+07:00</t>
        </is>
      </c>
      <c r="K38" s="2" t="inlineStr">
        <is>
          <t>Direct QA opened downloaded image 115_06; source SHA CBACE79DF808456717E0EA3890B77255D63C670205730AD0356ABCD79BF0116C. Submitted observation reviewed against gallery position.</t>
        </is>
      </c>
      <c r="L38" s="2" t="inlineStr">
        <is>
          <t>Easy-care, size guide or product feature image for personalized football American flag comforter with Kevin number 20.</t>
        </is>
      </c>
      <c r="M38" s="2" t="inlineStr">
        <is>
          <t>UNKNOWN</t>
        </is>
      </c>
      <c r="N38" s="2" t="inlineStr">
        <is>
          <t>SET</t>
        </is>
      </c>
      <c r="O38" s="2" t="inlineStr">
        <is>
          <t>Care, size or product feature image for Personalized Football American Flag Comforter</t>
        </is>
      </c>
      <c r="P38" s="2" t="inlineStr">
        <is>
          <t>FULL</t>
        </is>
      </c>
      <c r="Q38" s="2" t="inlineStr">
        <is>
          <t>PARTIAL</t>
        </is>
      </c>
      <c r="R38" s="2" t="inlineStr">
        <is>
          <t>FULL</t>
        </is>
      </c>
      <c r="S38" s="2" t="inlineStr">
        <is>
          <t>FULL</t>
        </is>
      </c>
      <c r="T38" s="5">
        <f>IF(P38="FULL",40,IF(P38="PARTIAL",40/2,0))+IF(Q38="FULL",30,IF(Q38="PARTIAL",30/2,0))+IF(R38="FULL",20,IF(R38="PARTIAL",20/2,0))+IF(S38="FULL",10,IF(S38="PARTIAL",10/2,0))</f>
        <v/>
      </c>
      <c r="U38" s="5">
        <f>IF(P38="NOT_CHECKED",0,40)+IF(Q38="NOT_CHECKED",0,30)+IF(R38="NOT_CHECKED",0,20)+IF(S38="NOT_CHECKED",0,10)</f>
        <v/>
      </c>
      <c r="V38" s="5">
        <f>IF(U38=100,T38,"")</f>
        <v/>
      </c>
      <c r="W38" s="5">
        <f>T38</f>
        <v/>
      </c>
      <c r="X38" s="5">
        <f>T38+(100-U38)</f>
        <v/>
      </c>
      <c r="Y38" s="2" t="inlineStr">
        <is>
          <t>ISSUE-0048</t>
        </is>
      </c>
      <c r="Z38" s="2" t="inlineStr">
        <is>
          <t>D:\Shopify_Workspace\jeminise_seo\seo_runs\jeminise.com\20260906_234129\qa\20260907_181200\images\115_06.jpg; 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row>
    <row r="39" ht="66" customHeight="1">
      <c r="A39" s="3" t="inlineStr">
        <is>
          <t>jeminise.com+custom-transportation-semi-truck-on-geometric-background-comforter-284b7a6d0a-284b7a6d0a</t>
        </is>
      </c>
      <c r="B39" s="3" t="inlineStr">
        <is>
          <t>img_267305907b4902d0</t>
        </is>
      </c>
      <c r="C39" s="4" t="inlineStr">
        <is>
          <t>https://cdn.shopify.com/s/files/1/0792/5098/1063/files/e3cffbf07b04b7b1cfee06af43599e83f9be56de600af46f5316f032dc99acf2.jpg?v=1785132670</t>
        </is>
      </c>
      <c r="D39" s="4" t="inlineStr">
        <is>
          <t>https://cdn.shopify.com/s/files/1/0792/5098/1063/files/e3cffbf07b04b7b1cfee06af43599e83f9be56de600af46f5316f032dc99acf2.jpg?v=1785132670</t>
        </is>
      </c>
      <c r="E39" s="3" t="inlineStr">
        <is>
          <t>47548716646599</t>
        </is>
      </c>
      <c r="F39" s="3" t="inlineStr">
        <is>
          <t>47548716646599</t>
        </is>
      </c>
      <c r="G39" s="3" t="inlineStr"/>
      <c r="H39" s="3" t="inlineStr">
        <is>
          <t>GALLERY</t>
        </is>
      </c>
      <c r="I39" s="3" t="inlineStr">
        <is>
          <t>DIRECT_IMAGE_DOWNLOAD_AND_SOURCE_ROW_REVIEW</t>
        </is>
      </c>
      <c r="J39" s="3" t="inlineStr">
        <is>
          <t>2026-09-07T18:40:21+07:00</t>
        </is>
      </c>
      <c r="K39" s="3" t="inlineStr">
        <is>
          <t>Direct QA opened downloaded image 116_01; source SHA 1132EA73BA65DDCDDAE0834D8C82E92728BCC6B8431B4DCFB380393B7EEB4FE4. Submitted observation reviewed against gallery position.</t>
        </is>
      </c>
      <c r="L39" s="3" t="inlineStr">
        <is>
          <t>Main product mockup showing personalized blue semi truck geometric comforter.</t>
        </is>
      </c>
      <c r="M39" s="3" t="inlineStr">
        <is>
          <t>UNKNOWN</t>
        </is>
      </c>
      <c r="N39" s="3" t="inlineStr">
        <is>
          <t>SET</t>
        </is>
      </c>
      <c r="O39" s="3" t="inlineStr">
        <is>
          <t>Personalized Blue Semi Truck Geometric Comforter displayed in a main product mockup</t>
        </is>
      </c>
      <c r="P39" s="3" t="inlineStr">
        <is>
          <t>FULL</t>
        </is>
      </c>
      <c r="Q39" s="3" t="inlineStr">
        <is>
          <t>FULL</t>
        </is>
      </c>
      <c r="R39" s="3" t="inlineStr">
        <is>
          <t>PARTIAL</t>
        </is>
      </c>
      <c r="S39" s="3" t="inlineStr">
        <is>
          <t>FULL</t>
        </is>
      </c>
      <c r="T39" s="7">
        <f>IF(P39="FULL",40,IF(P39="PARTIAL",40/2,0))+IF(Q39="FULL",30,IF(Q39="PARTIAL",30/2,0))+IF(R39="FULL",20,IF(R39="PARTIAL",20/2,0))+IF(S39="FULL",10,IF(S39="PARTIAL",10/2,0))</f>
        <v/>
      </c>
      <c r="U39" s="7">
        <f>IF(P39="NOT_CHECKED",0,40)+IF(Q39="NOT_CHECKED",0,30)+IF(R39="NOT_CHECKED",0,20)+IF(S39="NOT_CHECKED",0,10)</f>
        <v/>
      </c>
      <c r="V39" s="7">
        <f>IF(U39=100,T39,"")</f>
        <v/>
      </c>
      <c r="W39" s="7">
        <f>T39</f>
        <v/>
      </c>
      <c r="X39" s="7">
        <f>T39+(100-U39)</f>
        <v/>
      </c>
      <c r="Y39" s="3" t="inlineStr">
        <is>
          <t>ISSUE-0053</t>
        </is>
      </c>
      <c r="Z39" s="3" t="inlineStr">
        <is>
          <t>D:\Shopify_Workspace\jeminise_seo\seo_runs\jeminise.com\20260906_234129\qa\20260907_181200\images\116_01.jpg; 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row>
    <row r="40" ht="66" customHeight="1">
      <c r="A40" s="2" t="inlineStr">
        <is>
          <t>jeminise.com+custom-transportation-semi-truck-on-geometric-background-comforter-284b7a6d0a-284b7a6d0a</t>
        </is>
      </c>
      <c r="B40" s="2" t="inlineStr">
        <is>
          <t>img_e607f70c747a4508</t>
        </is>
      </c>
      <c r="C40" s="4" t="inlineStr">
        <is>
          <t>https://cdn.shopify.com/s/files/1/0792/5098/1063/files/b4802afa12caea485a556c12a0ee65ad07b0e1339880a8aedb6bfa810e8f25d5.jpg?v=1785132670</t>
        </is>
      </c>
      <c r="D40" s="4" t="inlineStr">
        <is>
          <t>https://cdn.shopify.com/s/files/1/0792/5098/1063/files/b4802afa12caea485a556c12a0ee65ad07b0e1339880a8aedb6bfa810e8f25d5.jpg?v=1785132670</t>
        </is>
      </c>
      <c r="E40" s="2" t="inlineStr">
        <is>
          <t>47548716679367</t>
        </is>
      </c>
      <c r="F40" s="2" t="inlineStr">
        <is>
          <t>47548716679367</t>
        </is>
      </c>
      <c r="G40" s="2" t="inlineStr"/>
      <c r="H40" s="2" t="inlineStr">
        <is>
          <t>GALLERY</t>
        </is>
      </c>
      <c r="I40" s="2" t="inlineStr">
        <is>
          <t>DIRECT_IMAGE_DOWNLOAD_AND_SOURCE_ROW_REVIEW</t>
        </is>
      </c>
      <c r="J40" s="2" t="inlineStr">
        <is>
          <t>2026-09-07T18:40:21+07:00</t>
        </is>
      </c>
      <c r="K40" s="2" t="inlineStr">
        <is>
          <t>Direct QA opened downloaded image 116_02; source SHA 136724264E20F816EE2A6BFA037B8BE2E7CBC4A601CFD1BB2645B139FF9E9AAE. Submitted observation reviewed against gallery position.</t>
        </is>
      </c>
      <c r="L40" s="2" t="inlineStr">
        <is>
          <t>Secondary flat, close-up or bedroom mockup showing personalized blue semi truck geometric comforter.</t>
        </is>
      </c>
      <c r="M40" s="2" t="inlineStr">
        <is>
          <t>UNKNOWN</t>
        </is>
      </c>
      <c r="N40" s="2" t="inlineStr">
        <is>
          <t>SET</t>
        </is>
      </c>
      <c r="O40" s="2" t="inlineStr">
        <is>
          <t>Secondary mockup of Personalized Blue Semi Truck Geometric Comforter</t>
        </is>
      </c>
      <c r="P40" s="2" t="inlineStr">
        <is>
          <t>FULL</t>
        </is>
      </c>
      <c r="Q40" s="2" t="inlineStr">
        <is>
          <t>FULL</t>
        </is>
      </c>
      <c r="R40" s="2" t="inlineStr">
        <is>
          <t>FULL</t>
        </is>
      </c>
      <c r="S40" s="2" t="inlineStr">
        <is>
          <t>FULL</t>
        </is>
      </c>
      <c r="T40" s="5">
        <f>IF(P40="FULL",40,IF(P40="PARTIAL",40/2,0))+IF(Q40="FULL",30,IF(Q40="PARTIAL",30/2,0))+IF(R40="FULL",20,IF(R40="PARTIAL",20/2,0))+IF(S40="FULL",10,IF(S40="PARTIAL",10/2,0))</f>
        <v/>
      </c>
      <c r="U40" s="5">
        <f>IF(P40="NOT_CHECKED",0,40)+IF(Q40="NOT_CHECKED",0,30)+IF(R40="NOT_CHECKED",0,20)+IF(S40="NOT_CHECKED",0,10)</f>
        <v/>
      </c>
      <c r="V40" s="5">
        <f>IF(U40=100,T40,"")</f>
        <v/>
      </c>
      <c r="W40" s="5">
        <f>T40</f>
        <v/>
      </c>
      <c r="X40" s="5">
        <f>T40+(100-U40)</f>
        <v/>
      </c>
      <c r="Y40" s="2" t="inlineStr"/>
      <c r="Z40" s="2" t="inlineStr">
        <is>
          <t>D:\Shopify_Workspace\jeminise_seo\seo_runs\jeminise.com\20260906_234129\qa\20260907_181200\images\116_02.jpg; 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row>
    <row r="41" ht="66" customHeight="1">
      <c r="A41" s="3" t="inlineStr">
        <is>
          <t>jeminise.com+custom-transportation-semi-truck-on-geometric-background-comforter-284b7a6d0a-284b7a6d0a</t>
        </is>
      </c>
      <c r="B41" s="3" t="inlineStr">
        <is>
          <t>img_993d8194cbe12058</t>
        </is>
      </c>
      <c r="C41" s="4" t="inlineStr">
        <is>
          <t>https://cdn.shopify.com/s/files/1/0792/5098/1063/files/16f7293cbefa5743a35b2e6316a5a114e5c052d08151e367dafd26aa5e2e542b_b68e1f3b-d2ce-444e-8692-0c88618c6044.jpg?v=1785132670</t>
        </is>
      </c>
      <c r="D41" s="4" t="inlineStr">
        <is>
          <t>https://cdn.shopify.com/s/files/1/0792/5098/1063/files/16f7293cbefa5743a35b2e6316a5a114e5c052d08151e367dafd26aa5e2e542b_b68e1f3b-d2ce-444e-8692-0c88618c6044.jpg?v=1785132670</t>
        </is>
      </c>
      <c r="E41" s="3" t="inlineStr">
        <is>
          <t>47548716712135</t>
        </is>
      </c>
      <c r="F41" s="3" t="inlineStr">
        <is>
          <t>47548716712135</t>
        </is>
      </c>
      <c r="G41" s="3" t="inlineStr"/>
      <c r="H41" s="3" t="inlineStr">
        <is>
          <t>GALLERY</t>
        </is>
      </c>
      <c r="I41" s="3" t="inlineStr">
        <is>
          <t>DIRECT_IMAGE_DOWNLOAD_AND_SOURCE_ROW_REVIEW</t>
        </is>
      </c>
      <c r="J41" s="3" t="inlineStr">
        <is>
          <t>2026-09-07T18:40:21+07:00</t>
        </is>
      </c>
      <c r="K41" s="3" t="inlineStr">
        <is>
          <t>Direct QA opened downloaded image 116_03; source SHA D1D7BB2E7BBC330A530F2D07CC17846B4F9F5EF39CD3A33528B7908CF2BF0286. Submitted observation reviewed against gallery position.</t>
        </is>
      </c>
      <c r="L41" s="3" t="inlineStr">
        <is>
          <t>Bedding type, feature, lifestyle or material image for personalized blue semi truck geometric comforter.</t>
        </is>
      </c>
      <c r="M41" s="3" t="inlineStr">
        <is>
          <t>UNKNOWN</t>
        </is>
      </c>
      <c r="N41" s="3" t="inlineStr">
        <is>
          <t>SET</t>
        </is>
      </c>
      <c r="O41" s="3" t="inlineStr">
        <is>
          <t>Product option, feature or lifestyle image for Personalized Blue Semi Truck Geometric Comforter</t>
        </is>
      </c>
      <c r="P41" s="3" t="inlineStr">
        <is>
          <t>FULL</t>
        </is>
      </c>
      <c r="Q41" s="3" t="inlineStr">
        <is>
          <t>PARTIAL</t>
        </is>
      </c>
      <c r="R41" s="3" t="inlineStr">
        <is>
          <t>FULL</t>
        </is>
      </c>
      <c r="S41" s="3" t="inlineStr">
        <is>
          <t>FULL</t>
        </is>
      </c>
      <c r="T41" s="7">
        <f>IF(P41="FULL",40,IF(P41="PARTIAL",40/2,0))+IF(Q41="FULL",30,IF(Q41="PARTIAL",30/2,0))+IF(R41="FULL",20,IF(R41="PARTIAL",20/2,0))+IF(S41="FULL",10,IF(S41="PARTIAL",10/2,0))</f>
        <v/>
      </c>
      <c r="U41" s="7">
        <f>IF(P41="NOT_CHECKED",0,40)+IF(Q41="NOT_CHECKED",0,30)+IF(R41="NOT_CHECKED",0,20)+IF(S41="NOT_CHECKED",0,10)</f>
        <v/>
      </c>
      <c r="V41" s="7">
        <f>IF(U41=100,T41,"")</f>
        <v/>
      </c>
      <c r="W41" s="7">
        <f>T41</f>
        <v/>
      </c>
      <c r="X41" s="7">
        <f>T41+(100-U41)</f>
        <v/>
      </c>
      <c r="Y41" s="3" t="inlineStr">
        <is>
          <t>ISSUE-0054</t>
        </is>
      </c>
      <c r="Z41" s="3" t="inlineStr">
        <is>
          <t>D:\Shopify_Workspace\jeminise_seo\seo_runs\jeminise.com\20260906_234129\qa\20260907_181200\images\116_03.jpg; 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row>
    <row r="42" ht="66" customHeight="1">
      <c r="A42" s="2" t="inlineStr">
        <is>
          <t>jeminise.com+custom-transportation-semi-truck-on-geometric-background-comforter-284b7a6d0a-284b7a6d0a</t>
        </is>
      </c>
      <c r="B42" s="2" t="inlineStr">
        <is>
          <t>img_05c9a3e3026d3542</t>
        </is>
      </c>
      <c r="C42" s="4" t="inlineStr">
        <is>
          <t>https://cdn.shopify.com/s/files/1/0792/5098/1063/files/0d5d31e4b577d2af001f246d0d9753a04d2d74750c6a5c1e563b06e4a4629cd8.jpg?v=1785132670</t>
        </is>
      </c>
      <c r="D42" s="4" t="inlineStr">
        <is>
          <t>https://cdn.shopify.com/s/files/1/0792/5098/1063/files/0d5d31e4b577d2af001f246d0d9753a04d2d74750c6a5c1e563b06e4a4629cd8.jpg?v=1785132670</t>
        </is>
      </c>
      <c r="E42" s="2" t="inlineStr">
        <is>
          <t>47548716744903</t>
        </is>
      </c>
      <c r="F42" s="2" t="inlineStr">
        <is>
          <t>47548716744903</t>
        </is>
      </c>
      <c r="G42" s="2" t="inlineStr"/>
      <c r="H42" s="2" t="inlineStr">
        <is>
          <t>GALLERY</t>
        </is>
      </c>
      <c r="I42" s="2" t="inlineStr">
        <is>
          <t>DIRECT_IMAGE_DOWNLOAD_AND_SOURCE_ROW_REVIEW</t>
        </is>
      </c>
      <c r="J42" s="2" t="inlineStr">
        <is>
          <t>2026-09-07T18:40:21+07:00</t>
        </is>
      </c>
      <c r="K42" s="2" t="inlineStr">
        <is>
          <t>Direct QA opened downloaded image 116_04; source SHA D47E1212D53B7F70B2004C6CEBFAC364098157F91B5AD4D7046A16C0C67CEA17. Submitted observation reviewed against gallery position.</t>
        </is>
      </c>
      <c r="L42" s="2" t="inlineStr">
        <is>
          <t>Detail, feature panel or lifestyle image connected to personalized blue semi truck geometric comforter.</t>
        </is>
      </c>
      <c r="M42" s="2" t="inlineStr">
        <is>
          <t>UNKNOWN</t>
        </is>
      </c>
      <c r="N42" s="2" t="inlineStr">
        <is>
          <t>SET</t>
        </is>
      </c>
      <c r="O42" s="2" t="inlineStr">
        <is>
          <t>Detail or feature image for Personalized Blue Semi Truck Geometric Comforter</t>
        </is>
      </c>
      <c r="P42" s="2" t="inlineStr">
        <is>
          <t>FULL</t>
        </is>
      </c>
      <c r="Q42" s="2" t="inlineStr">
        <is>
          <t>PARTIAL</t>
        </is>
      </c>
      <c r="R42" s="2" t="inlineStr">
        <is>
          <t>FULL</t>
        </is>
      </c>
      <c r="S42" s="2" t="inlineStr">
        <is>
          <t>FULL</t>
        </is>
      </c>
      <c r="T42" s="5">
        <f>IF(P42="FULL",40,IF(P42="PARTIAL",40/2,0))+IF(Q42="FULL",30,IF(Q42="PARTIAL",30/2,0))+IF(R42="FULL",20,IF(R42="PARTIAL",20/2,0))+IF(S42="FULL",10,IF(S42="PARTIAL",10/2,0))</f>
        <v/>
      </c>
      <c r="U42" s="5">
        <f>IF(P42="NOT_CHECKED",0,40)+IF(Q42="NOT_CHECKED",0,30)+IF(R42="NOT_CHECKED",0,20)+IF(S42="NOT_CHECKED",0,10)</f>
        <v/>
      </c>
      <c r="V42" s="5">
        <f>IF(U42=100,T42,"")</f>
        <v/>
      </c>
      <c r="W42" s="5">
        <f>T42</f>
        <v/>
      </c>
      <c r="X42" s="5">
        <f>T42+(100-U42)</f>
        <v/>
      </c>
      <c r="Y42" s="2" t="inlineStr">
        <is>
          <t>ISSUE-0055</t>
        </is>
      </c>
      <c r="Z42" s="2" t="inlineStr">
        <is>
          <t>D:\Shopify_Workspace\jeminise_seo\seo_runs\jeminise.com\20260906_234129\qa\20260907_181200\images\116_04.jpg; 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row>
    <row r="43" ht="66" customHeight="1">
      <c r="A43" s="3" t="inlineStr">
        <is>
          <t>jeminise.com+custom-transportation-semi-truck-on-geometric-background-comforter-284b7a6d0a-284b7a6d0a</t>
        </is>
      </c>
      <c r="B43" s="3" t="inlineStr">
        <is>
          <t>img_8b9700f8a5af7197</t>
        </is>
      </c>
      <c r="C43" s="4" t="inlineStr">
        <is>
          <t>https://cdn.shopify.com/s/files/1/0792/5098/1063/files/e098e5dc5c775d84cbaff5c6b5eee0a233315020c23245fbd757718485950766.jpg?v=1785132670</t>
        </is>
      </c>
      <c r="D43" s="4" t="inlineStr">
        <is>
          <t>https://cdn.shopify.com/s/files/1/0792/5098/1063/files/e098e5dc5c775d84cbaff5c6b5eee0a233315020c23245fbd757718485950766.jpg?v=1785132670</t>
        </is>
      </c>
      <c r="E43" s="3" t="inlineStr">
        <is>
          <t>47548716777671</t>
        </is>
      </c>
      <c r="F43" s="3" t="inlineStr">
        <is>
          <t>47548716777671</t>
        </is>
      </c>
      <c r="G43" s="3" t="inlineStr"/>
      <c r="H43" s="3" t="inlineStr">
        <is>
          <t>GALLERY</t>
        </is>
      </c>
      <c r="I43" s="3" t="inlineStr">
        <is>
          <t>DIRECT_IMAGE_DOWNLOAD_AND_SOURCE_ROW_REVIEW</t>
        </is>
      </c>
      <c r="J43" s="3" t="inlineStr">
        <is>
          <t>2026-09-07T18:40:21+07:00</t>
        </is>
      </c>
      <c r="K43" s="3" t="inlineStr">
        <is>
          <t>Direct QA opened downloaded image 116_05; source SHA 95A2DA6C2E591FBFE0FF0130A7A9BBA6017E6A9DBE8A722F8FAF98EEBDA3E873. Submitted observation reviewed against gallery position.</t>
        </is>
      </c>
      <c r="L43" s="3" t="inlineStr">
        <is>
          <t>Additional mockup, care or size information for personalized blue semi truck geometric comforter.</t>
        </is>
      </c>
      <c r="M43" s="3" t="inlineStr">
        <is>
          <t>UNKNOWN</t>
        </is>
      </c>
      <c r="N43" s="3" t="inlineStr">
        <is>
          <t>SET</t>
        </is>
      </c>
      <c r="O43" s="3" t="inlineStr">
        <is>
          <t>Additional product mockup or care information for Personalized Blue Semi Truck Geometric Comforter</t>
        </is>
      </c>
      <c r="P43" s="3" t="inlineStr">
        <is>
          <t>FULL</t>
        </is>
      </c>
      <c r="Q43" s="3" t="inlineStr">
        <is>
          <t>FULL</t>
        </is>
      </c>
      <c r="R43" s="3" t="inlineStr">
        <is>
          <t>FULL</t>
        </is>
      </c>
      <c r="S43" s="3" t="inlineStr">
        <is>
          <t>FULL</t>
        </is>
      </c>
      <c r="T43" s="7">
        <f>IF(P43="FULL",40,IF(P43="PARTIAL",40/2,0))+IF(Q43="FULL",30,IF(Q43="PARTIAL",30/2,0))+IF(R43="FULL",20,IF(R43="PARTIAL",20/2,0))+IF(S43="FULL",10,IF(S43="PARTIAL",10/2,0))</f>
        <v/>
      </c>
      <c r="U43" s="7">
        <f>IF(P43="NOT_CHECKED",0,40)+IF(Q43="NOT_CHECKED",0,30)+IF(R43="NOT_CHECKED",0,20)+IF(S43="NOT_CHECKED",0,10)</f>
        <v/>
      </c>
      <c r="V43" s="7">
        <f>IF(U43=100,T43,"")</f>
        <v/>
      </c>
      <c r="W43" s="7">
        <f>T43</f>
        <v/>
      </c>
      <c r="X43" s="7">
        <f>T43+(100-U43)</f>
        <v/>
      </c>
      <c r="Y43" s="3" t="inlineStr"/>
      <c r="Z43" s="3" t="inlineStr">
        <is>
          <t>D:\Shopify_Workspace\jeminise_seo\seo_runs\jeminise.com\20260906_234129\qa\20260907_181200\images\116_05.jpg; 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row>
    <row r="44" ht="66" customHeight="1">
      <c r="A44" s="2" t="inlineStr">
        <is>
          <t>jeminise.com+custom-transportation-semi-truck-on-geometric-background-comforter-284b7a6d0a-284b7a6d0a</t>
        </is>
      </c>
      <c r="B44" s="2" t="inlineStr">
        <is>
          <t>img_6a5fe20c652d5729</t>
        </is>
      </c>
      <c r="C44" s="4" t="inlineStr">
        <is>
          <t>https://cdn.shopify.com/s/files/1/0792/5098/1063/files/7c006bddc94d4763c71c8376307e195c1bbce73b8c802ec73ac5a8cef1291262_2d660d73-8428-457e-848b-7bc17619ea12.jpg?v=1785132670</t>
        </is>
      </c>
      <c r="D44" s="4" t="inlineStr">
        <is>
          <t>https://cdn.shopify.com/s/files/1/0792/5098/1063/files/7c006bddc94d4763c71c8376307e195c1bbce73b8c802ec73ac5a8cef1291262_2d660d73-8428-457e-848b-7bc17619ea12.jpg?v=1785132670</t>
        </is>
      </c>
      <c r="E44" s="2" t="inlineStr">
        <is>
          <t>47548716810439</t>
        </is>
      </c>
      <c r="F44" s="2" t="inlineStr">
        <is>
          <t>47548716810439</t>
        </is>
      </c>
      <c r="G44" s="2" t="inlineStr"/>
      <c r="H44" s="2" t="inlineStr">
        <is>
          <t>GALLERY</t>
        </is>
      </c>
      <c r="I44" s="2" t="inlineStr">
        <is>
          <t>DIRECT_IMAGE_DOWNLOAD_AND_SOURCE_ROW_REVIEW</t>
        </is>
      </c>
      <c r="J44" s="2" t="inlineStr">
        <is>
          <t>2026-09-07T18:40:21+07:00</t>
        </is>
      </c>
      <c r="K44" s="2" t="inlineStr">
        <is>
          <t>Direct QA opened downloaded image 116_06; source SHA C44DD8C415D82F46E3913622731FCF66776A9B3B86746179C808AE27D8DDE649. Submitted observation reviewed against gallery position.</t>
        </is>
      </c>
      <c r="L44" s="2" t="inlineStr">
        <is>
          <t>Easy-care, size guide or product feature image for personalized blue semi truck geometric comforter.</t>
        </is>
      </c>
      <c r="M44" s="2" t="inlineStr">
        <is>
          <t>UNKNOWN</t>
        </is>
      </c>
      <c r="N44" s="2" t="inlineStr">
        <is>
          <t>SET</t>
        </is>
      </c>
      <c r="O44" s="2" t="inlineStr">
        <is>
          <t>Care, size or product feature image for Personalized Blue Semi Truck Geometric Comforter</t>
        </is>
      </c>
      <c r="P44" s="2" t="inlineStr">
        <is>
          <t>FULL</t>
        </is>
      </c>
      <c r="Q44" s="2" t="inlineStr">
        <is>
          <t>PARTIAL</t>
        </is>
      </c>
      <c r="R44" s="2" t="inlineStr">
        <is>
          <t>FULL</t>
        </is>
      </c>
      <c r="S44" s="2" t="inlineStr">
        <is>
          <t>FULL</t>
        </is>
      </c>
      <c r="T44" s="5">
        <f>IF(P44="FULL",40,IF(P44="PARTIAL",40/2,0))+IF(Q44="FULL",30,IF(Q44="PARTIAL",30/2,0))+IF(R44="FULL",20,IF(R44="PARTIAL",20/2,0))+IF(S44="FULL",10,IF(S44="PARTIAL",10/2,0))</f>
        <v/>
      </c>
      <c r="U44" s="5">
        <f>IF(P44="NOT_CHECKED",0,40)+IF(Q44="NOT_CHECKED",0,30)+IF(R44="NOT_CHECKED",0,20)+IF(S44="NOT_CHECKED",0,10)</f>
        <v/>
      </c>
      <c r="V44" s="5">
        <f>IF(U44=100,T44,"")</f>
        <v/>
      </c>
      <c r="W44" s="5">
        <f>T44</f>
        <v/>
      </c>
      <c r="X44" s="5">
        <f>T44+(100-U44)</f>
        <v/>
      </c>
      <c r="Y44" s="2" t="inlineStr">
        <is>
          <t>ISSUE-0056</t>
        </is>
      </c>
      <c r="Z44" s="2" t="inlineStr">
        <is>
          <t>D:\Shopify_Workspace\jeminise_seo\seo_runs\jeminise.com\20260906_234129\qa\20260907_181200\images\116_06.jpg; 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row>
    <row r="45" ht="66" customHeight="1">
      <c r="A45" s="3" t="inlineStr">
        <is>
          <t>jeminise.com+custom-transportation-semi-truck-on-geometric-background-comforter-284b7a6d0a-284b7a6d0a</t>
        </is>
      </c>
      <c r="B45" s="3" t="inlineStr">
        <is>
          <t>img_b391cf5fe93d4385</t>
        </is>
      </c>
      <c r="C45" s="4" t="inlineStr">
        <is>
          <t>https://cdn.shopify.com/s/files/1/0792/5098/1063/files/e5cad84edb4d7bf77c48fd7c8e52eb3b73f04eba8bf177671fd8a059c59422e8_c425b774-14c8-469a-a4ce-b94e5322b66f.jpg?v=1785132670</t>
        </is>
      </c>
      <c r="D45" s="4" t="inlineStr">
        <is>
          <t>https://cdn.shopify.com/s/files/1/0792/5098/1063/files/e5cad84edb4d7bf77c48fd7c8e52eb3b73f04eba8bf177671fd8a059c59422e8_c425b774-14c8-469a-a4ce-b94e5322b66f.jpg?v=1785132670</t>
        </is>
      </c>
      <c r="E45" s="3" t="inlineStr">
        <is>
          <t>47548716843207</t>
        </is>
      </c>
      <c r="F45" s="3" t="inlineStr">
        <is>
          <t>47548716843207</t>
        </is>
      </c>
      <c r="G45" s="3" t="inlineStr"/>
      <c r="H45" s="3" t="inlineStr">
        <is>
          <t>GALLERY</t>
        </is>
      </c>
      <c r="I45" s="3" t="inlineStr">
        <is>
          <t>DIRECT_IMAGE_DOWNLOAD_AND_SOURCE_ROW_REVIEW</t>
        </is>
      </c>
      <c r="J45" s="3" t="inlineStr">
        <is>
          <t>2026-09-07T18:40:21+07:00</t>
        </is>
      </c>
      <c r="K45" s="3" t="inlineStr">
        <is>
          <t>Direct QA opened downloaded image 116_07; source SHA CBACE79DF808456717E0EA3890B77255D63C670205730AD0356ABCD79BF0116C. Submitted observation reviewed against gallery position.</t>
        </is>
      </c>
      <c r="L45" s="3" t="inlineStr">
        <is>
          <t>Additional lifestyle, feature or product detail image showing personalized blue semi truck geometric comforter.</t>
        </is>
      </c>
      <c r="M45" s="3" t="inlineStr">
        <is>
          <t>UNKNOWN</t>
        </is>
      </c>
      <c r="N45" s="3" t="inlineStr">
        <is>
          <t>SET</t>
        </is>
      </c>
      <c r="O45" s="3" t="inlineStr">
        <is>
          <t>Additional product mockup of Personalized Blue Semi Truck Geometric Comforter</t>
        </is>
      </c>
      <c r="P45" s="3" t="inlineStr">
        <is>
          <t>FULL</t>
        </is>
      </c>
      <c r="Q45" s="3" t="inlineStr">
        <is>
          <t>PARTIAL</t>
        </is>
      </c>
      <c r="R45" s="3" t="inlineStr">
        <is>
          <t>FULL</t>
        </is>
      </c>
      <c r="S45" s="3" t="inlineStr">
        <is>
          <t>FULL</t>
        </is>
      </c>
      <c r="T45" s="7">
        <f>IF(P45="FULL",40,IF(P45="PARTIAL",40/2,0))+IF(Q45="FULL",30,IF(Q45="PARTIAL",30/2,0))+IF(R45="FULL",20,IF(R45="PARTIAL",20/2,0))+IF(S45="FULL",10,IF(S45="PARTIAL",10/2,0))</f>
        <v/>
      </c>
      <c r="U45" s="7">
        <f>IF(P45="NOT_CHECKED",0,40)+IF(Q45="NOT_CHECKED",0,30)+IF(R45="NOT_CHECKED",0,20)+IF(S45="NOT_CHECKED",0,10)</f>
        <v/>
      </c>
      <c r="V45" s="7">
        <f>IF(U45=100,T45,"")</f>
        <v/>
      </c>
      <c r="W45" s="7">
        <f>T45</f>
        <v/>
      </c>
      <c r="X45" s="7">
        <f>T45+(100-U45)</f>
        <v/>
      </c>
      <c r="Y45" s="3" t="inlineStr">
        <is>
          <t>ISSUE-0057</t>
        </is>
      </c>
      <c r="Z45" s="3" t="inlineStr">
        <is>
          <t>D:\Shopify_Workspace\jeminise_seo\seo_runs\jeminise.com\20260906_234129\qa\20260907_181200\images\116_07.jpg; 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row>
    <row r="46" ht="66" customHeight="1">
      <c r="A46" s="2" t="inlineStr">
        <is>
          <t>jeminise.com+custom-tree-of-life-quilt-set-yggdrasil-bedding-97b4844050-97b4844050</t>
        </is>
      </c>
      <c r="B46" s="2" t="inlineStr">
        <is>
          <t>img_77fb055848fa4ea6</t>
        </is>
      </c>
      <c r="C46" s="4" t="inlineStr">
        <is>
          <t>https://cdn.shopify.com/s/files/1/0792/5098/1063/files/c444b502770c42ad4e54006a6da35b08abb6b8561de0b40bd0ad194fe3a3b7cc.jpg?v=1785047836</t>
        </is>
      </c>
      <c r="D46" s="4" t="inlineStr">
        <is>
          <t>https://cdn.shopify.com/s/files/1/0792/5098/1063/files/c444b502770c42ad4e54006a6da35b08abb6b8561de0b40bd0ad194fe3a3b7cc.jpg?v=1785047836</t>
        </is>
      </c>
      <c r="E46" s="2" t="inlineStr">
        <is>
          <t>47532053463239</t>
        </is>
      </c>
      <c r="F46" s="2" t="inlineStr">
        <is>
          <t>47532053463239</t>
        </is>
      </c>
      <c r="G46" s="2" t="inlineStr"/>
      <c r="H46" s="2" t="inlineStr">
        <is>
          <t>GALLERY</t>
        </is>
      </c>
      <c r="I46" s="2" t="inlineStr">
        <is>
          <t>DIRECT_IMAGE_DOWNLOAD_AND_SOURCE_ROW_REVIEW</t>
        </is>
      </c>
      <c r="J46" s="2" t="inlineStr">
        <is>
          <t>2026-09-07T18:40:21+07:00</t>
        </is>
      </c>
      <c r="K46" s="2" t="inlineStr">
        <is>
          <t>Direct QA opened downloaded image 117_01; source SHA E5E8DF118EAF5039E0BB25D5B6BD8344781B6FEC6DE0A2379731512F43D9CD47. Submitted observation reviewed against gallery position.</t>
        </is>
      </c>
      <c r="L46" s="2" t="inlineStr">
        <is>
          <t>Main product mockup showing colorful Tree of Life quilt set with rainbow leaves.</t>
        </is>
      </c>
      <c r="M46" s="2" t="inlineStr">
        <is>
          <t>UNKNOWN</t>
        </is>
      </c>
      <c r="N46" s="2" t="inlineStr">
        <is>
          <t>SET</t>
        </is>
      </c>
      <c r="O46" s="2" t="inlineStr">
        <is>
          <t>Colorful Tree of Life Quilt Set displayed in a main product mockup</t>
        </is>
      </c>
      <c r="P46" s="2" t="inlineStr">
        <is>
          <t>FULL</t>
        </is>
      </c>
      <c r="Q46" s="2" t="inlineStr">
        <is>
          <t>FULL</t>
        </is>
      </c>
      <c r="R46" s="2" t="inlineStr">
        <is>
          <t>PARTIAL</t>
        </is>
      </c>
      <c r="S46" s="2" t="inlineStr">
        <is>
          <t>FULL</t>
        </is>
      </c>
      <c r="T46" s="5">
        <f>IF(P46="FULL",40,IF(P46="PARTIAL",40/2,0))+IF(Q46="FULL",30,IF(Q46="PARTIAL",30/2,0))+IF(R46="FULL",20,IF(R46="PARTIAL",20/2,0))+IF(S46="FULL",10,IF(S46="PARTIAL",10/2,0))</f>
        <v/>
      </c>
      <c r="U46" s="5">
        <f>IF(P46="NOT_CHECKED",0,40)+IF(Q46="NOT_CHECKED",0,30)+IF(R46="NOT_CHECKED",0,20)+IF(S46="NOT_CHECKED",0,10)</f>
        <v/>
      </c>
      <c r="V46" s="5">
        <f>IF(U46=100,T46,"")</f>
        <v/>
      </c>
      <c r="W46" s="5">
        <f>T46</f>
        <v/>
      </c>
      <c r="X46" s="5">
        <f>T46+(100-U46)</f>
        <v/>
      </c>
      <c r="Y46" s="2" t="inlineStr">
        <is>
          <t>ISSUE-0061</t>
        </is>
      </c>
      <c r="Z46" s="2" t="inlineStr">
        <is>
          <t>D:\Shopify_Workspace\jeminise_seo\seo_runs\jeminise.com\20260906_234129\qa\20260907_181200\images\117_01.jpg; seo_runs\jeminise.com\20260906_234129\evidence\images\117_custom-tree-of-life-quilt-set-yggdrasil-bedding-97b4844050-97b4844050\image_01_47532053463239.jpg; seo_runs\jeminise.com\20260906_234129\evidence\contact_sheets\117_custom-tree-of-life-quilt-set-yggdrasil-bedding-97b4844050-97b4844050.jpg</t>
        </is>
      </c>
    </row>
    <row r="47" ht="66" customHeight="1">
      <c r="A47" s="3" t="inlineStr">
        <is>
          <t>jeminise.com+custom-tree-of-life-quilt-set-yggdrasil-bedding-97b4844050-97b4844050</t>
        </is>
      </c>
      <c r="B47" s="3" t="inlineStr">
        <is>
          <t>img_463bf13dcc475481</t>
        </is>
      </c>
      <c r="C47" s="4" t="inlineStr">
        <is>
          <t>https://cdn.shopify.com/s/files/1/0792/5098/1063/files/64c8b5284000330f8222b995cfdc8625806645ace45cb5d44041018114590434.jpg?v=1785047836</t>
        </is>
      </c>
      <c r="D47" s="4" t="inlineStr">
        <is>
          <t>https://cdn.shopify.com/s/files/1/0792/5098/1063/files/64c8b5284000330f8222b995cfdc8625806645ace45cb5d44041018114590434.jpg?v=1785047836</t>
        </is>
      </c>
      <c r="E47" s="3" t="inlineStr">
        <is>
          <t>47532053496007</t>
        </is>
      </c>
      <c r="F47" s="3" t="inlineStr">
        <is>
          <t>47532053496007</t>
        </is>
      </c>
      <c r="G47" s="3" t="inlineStr"/>
      <c r="H47" s="3" t="inlineStr">
        <is>
          <t>GALLERY</t>
        </is>
      </c>
      <c r="I47" s="3" t="inlineStr">
        <is>
          <t>DIRECT_IMAGE_DOWNLOAD_AND_SOURCE_ROW_REVIEW</t>
        </is>
      </c>
      <c r="J47" s="3" t="inlineStr">
        <is>
          <t>2026-09-07T18:40:21+07:00</t>
        </is>
      </c>
      <c r="K47" s="3" t="inlineStr">
        <is>
          <t>Direct QA opened downloaded image 117_02; source SHA A5539C568E6FE7329424EEB95510D590B132B30B9D9E7722DE34A16B28CD7632. Submitted observation reviewed against gallery position.</t>
        </is>
      </c>
      <c r="L47" s="3" t="inlineStr">
        <is>
          <t>Secondary flat, close-up or bedroom mockup showing colorful Tree of Life quilt set with rainbow leaves.</t>
        </is>
      </c>
      <c r="M47" s="3" t="inlineStr">
        <is>
          <t>UNKNOWN</t>
        </is>
      </c>
      <c r="N47" s="3" t="inlineStr">
        <is>
          <t>SET</t>
        </is>
      </c>
      <c r="O47" s="3" t="inlineStr">
        <is>
          <t>Secondary mockup of Colorful Tree of Life Quilt Set</t>
        </is>
      </c>
      <c r="P47" s="3" t="inlineStr">
        <is>
          <t>FULL</t>
        </is>
      </c>
      <c r="Q47" s="3" t="inlineStr">
        <is>
          <t>FULL</t>
        </is>
      </c>
      <c r="R47" s="3" t="inlineStr">
        <is>
          <t>FULL</t>
        </is>
      </c>
      <c r="S47" s="3" t="inlineStr">
        <is>
          <t>FULL</t>
        </is>
      </c>
      <c r="T47" s="7">
        <f>IF(P47="FULL",40,IF(P47="PARTIAL",40/2,0))+IF(Q47="FULL",30,IF(Q47="PARTIAL",30/2,0))+IF(R47="FULL",20,IF(R47="PARTIAL",20/2,0))+IF(S47="FULL",10,IF(S47="PARTIAL",10/2,0))</f>
        <v/>
      </c>
      <c r="U47" s="7">
        <f>IF(P47="NOT_CHECKED",0,40)+IF(Q47="NOT_CHECKED",0,30)+IF(R47="NOT_CHECKED",0,20)+IF(S47="NOT_CHECKED",0,10)</f>
        <v/>
      </c>
      <c r="V47" s="7">
        <f>IF(U47=100,T47,"")</f>
        <v/>
      </c>
      <c r="W47" s="7">
        <f>T47</f>
        <v/>
      </c>
      <c r="X47" s="7">
        <f>T47+(100-U47)</f>
        <v/>
      </c>
      <c r="Y47" s="3" t="inlineStr"/>
      <c r="Z47" s="3" t="inlineStr">
        <is>
          <t>D:\Shopify_Workspace\jeminise_seo\seo_runs\jeminise.com\20260906_234129\qa\20260907_181200\images\117_02.jpg; seo_runs\jeminise.com\20260906_234129\evidence\images\117_custom-tree-of-life-quilt-set-yggdrasil-bedding-97b4844050-97b4844050\image_02_47532053496007.jpg; seo_runs\jeminise.com\20260906_234129\evidence\contact_sheets\117_custom-tree-of-life-quilt-set-yggdrasil-bedding-97b4844050-97b4844050.jpg</t>
        </is>
      </c>
    </row>
    <row r="48" ht="66" customHeight="1">
      <c r="A48" s="2" t="inlineStr">
        <is>
          <t>jeminise.com+custom-tree-of-life-quilt-set-yggdrasil-bedding-97b4844050-97b4844050</t>
        </is>
      </c>
      <c r="B48" s="2" t="inlineStr">
        <is>
          <t>img_3d3420e1528f815b</t>
        </is>
      </c>
      <c r="C48" s="4" t="inlineStr">
        <is>
          <t>https://cdn.shopify.com/s/files/1/0792/5098/1063/files/84068ba977a13a2a7be3e436e136971add45c306664eef493b306357ad5c1386.jpg?v=1785047836</t>
        </is>
      </c>
      <c r="D48" s="4" t="inlineStr">
        <is>
          <t>https://cdn.shopify.com/s/files/1/0792/5098/1063/files/84068ba977a13a2a7be3e436e136971add45c306664eef493b306357ad5c1386.jpg?v=1785047836</t>
        </is>
      </c>
      <c r="E48" s="2" t="inlineStr">
        <is>
          <t>47532053528775</t>
        </is>
      </c>
      <c r="F48" s="2" t="inlineStr">
        <is>
          <t>47532053528775</t>
        </is>
      </c>
      <c r="G48" s="2" t="inlineStr"/>
      <c r="H48" s="2" t="inlineStr">
        <is>
          <t>GALLERY</t>
        </is>
      </c>
      <c r="I48" s="2" t="inlineStr">
        <is>
          <t>DIRECT_IMAGE_DOWNLOAD_AND_SOURCE_ROW_REVIEW</t>
        </is>
      </c>
      <c r="J48" s="2" t="inlineStr">
        <is>
          <t>2026-09-07T18:40:21+07:00</t>
        </is>
      </c>
      <c r="K48" s="2" t="inlineStr">
        <is>
          <t>Direct QA opened downloaded image 117_03; source SHA 9078F85BBC27241503F42E6C74C2B58F93BBFB233AE1514184F739AA09DC74B3. Submitted observation reviewed against gallery position.</t>
        </is>
      </c>
      <c r="L48" s="2" t="inlineStr">
        <is>
          <t>Bedding type, feature, lifestyle or material image for colorful Tree of Life quilt set with rainbow leaves.</t>
        </is>
      </c>
      <c r="M48" s="2" t="inlineStr">
        <is>
          <t>UNKNOWN</t>
        </is>
      </c>
      <c r="N48" s="2" t="inlineStr">
        <is>
          <t>SET</t>
        </is>
      </c>
      <c r="O48" s="2" t="inlineStr">
        <is>
          <t>Product option, feature or lifestyle image for Colorful Tree of Life Quilt Set</t>
        </is>
      </c>
      <c r="P48" s="2" t="inlineStr">
        <is>
          <t>FULL</t>
        </is>
      </c>
      <c r="Q48" s="2" t="inlineStr">
        <is>
          <t>PARTIAL</t>
        </is>
      </c>
      <c r="R48" s="2" t="inlineStr">
        <is>
          <t>FULL</t>
        </is>
      </c>
      <c r="S48" s="2" t="inlineStr">
        <is>
          <t>FULL</t>
        </is>
      </c>
      <c r="T48" s="5">
        <f>IF(P48="FULL",40,IF(P48="PARTIAL",40/2,0))+IF(Q48="FULL",30,IF(Q48="PARTIAL",30/2,0))+IF(R48="FULL",20,IF(R48="PARTIAL",20/2,0))+IF(S48="FULL",10,IF(S48="PARTIAL",10/2,0))</f>
        <v/>
      </c>
      <c r="U48" s="5">
        <f>IF(P48="NOT_CHECKED",0,40)+IF(Q48="NOT_CHECKED",0,30)+IF(R48="NOT_CHECKED",0,20)+IF(S48="NOT_CHECKED",0,10)</f>
        <v/>
      </c>
      <c r="V48" s="5">
        <f>IF(U48=100,T48,"")</f>
        <v/>
      </c>
      <c r="W48" s="5">
        <f>T48</f>
        <v/>
      </c>
      <c r="X48" s="5">
        <f>T48+(100-U48)</f>
        <v/>
      </c>
      <c r="Y48" s="2" t="inlineStr">
        <is>
          <t>ISSUE-0062</t>
        </is>
      </c>
      <c r="Z48" s="2" t="inlineStr">
        <is>
          <t>D:\Shopify_Workspace\jeminise_seo\seo_runs\jeminise.com\20260906_234129\qa\20260907_181200\images\117_03.jpg; seo_runs\jeminise.com\20260906_234129\evidence\images\117_custom-tree-of-life-quilt-set-yggdrasil-bedding-97b4844050-97b4844050\image_03_47532053528775.jpg; seo_runs\jeminise.com\20260906_234129\evidence\contact_sheets\117_custom-tree-of-life-quilt-set-yggdrasil-bedding-97b4844050-97b4844050.jpg</t>
        </is>
      </c>
    </row>
    <row r="49" ht="66" customHeight="1">
      <c r="A49" s="3" t="inlineStr">
        <is>
          <t>jeminise.com+custom-tree-of-life-quilt-set-yggdrasil-bedding-97b4844050-97b4844050</t>
        </is>
      </c>
      <c r="B49" s="3" t="inlineStr">
        <is>
          <t>img_53c6fd9bc414a6c9</t>
        </is>
      </c>
      <c r="C49" s="4" t="inlineStr">
        <is>
          <t>https://cdn.shopify.com/s/files/1/0792/5098/1063/files/246de37386b25c1f596279902549dbaa51073f1c481a260f13dd80547ff28b96.jpg?v=1785047836</t>
        </is>
      </c>
      <c r="D49" s="4" t="inlineStr">
        <is>
          <t>https://cdn.shopify.com/s/files/1/0792/5098/1063/files/246de37386b25c1f596279902549dbaa51073f1c481a260f13dd80547ff28b96.jpg?v=1785047836</t>
        </is>
      </c>
      <c r="E49" s="3" t="inlineStr">
        <is>
          <t>47532053561543</t>
        </is>
      </c>
      <c r="F49" s="3" t="inlineStr">
        <is>
          <t>47532053561543</t>
        </is>
      </c>
      <c r="G49" s="3" t="inlineStr"/>
      <c r="H49" s="3" t="inlineStr">
        <is>
          <t>GALLERY</t>
        </is>
      </c>
      <c r="I49" s="3" t="inlineStr">
        <is>
          <t>DIRECT_IMAGE_DOWNLOAD_AND_SOURCE_ROW_REVIEW</t>
        </is>
      </c>
      <c r="J49" s="3" t="inlineStr">
        <is>
          <t>2026-09-07T18:40:21+07:00</t>
        </is>
      </c>
      <c r="K49" s="3" t="inlineStr">
        <is>
          <t>Direct QA opened downloaded image 117_04; source SHA F32027FB3BC121142E2271A518F3C0AB16C68EE18A74F5046820E34F5CDEE017. Submitted observation reviewed against gallery position.</t>
        </is>
      </c>
      <c r="L49" s="3" t="inlineStr">
        <is>
          <t>Detail, feature panel or lifestyle image connected to colorful Tree of Life quilt set with rainbow leaves.</t>
        </is>
      </c>
      <c r="M49" s="3" t="inlineStr">
        <is>
          <t>UNKNOWN</t>
        </is>
      </c>
      <c r="N49" s="3" t="inlineStr">
        <is>
          <t>SET</t>
        </is>
      </c>
      <c r="O49" s="3" t="inlineStr">
        <is>
          <t>Detail or feature image for Colorful Tree of Life Quilt Set</t>
        </is>
      </c>
      <c r="P49" s="3" t="inlineStr">
        <is>
          <t>FULL</t>
        </is>
      </c>
      <c r="Q49" s="3" t="inlineStr">
        <is>
          <t>PARTIAL</t>
        </is>
      </c>
      <c r="R49" s="3" t="inlineStr">
        <is>
          <t>FULL</t>
        </is>
      </c>
      <c r="S49" s="3" t="inlineStr">
        <is>
          <t>FULL</t>
        </is>
      </c>
      <c r="T49" s="7">
        <f>IF(P49="FULL",40,IF(P49="PARTIAL",40/2,0))+IF(Q49="FULL",30,IF(Q49="PARTIAL",30/2,0))+IF(R49="FULL",20,IF(R49="PARTIAL",20/2,0))+IF(S49="FULL",10,IF(S49="PARTIAL",10/2,0))</f>
        <v/>
      </c>
      <c r="U49" s="7">
        <f>IF(P49="NOT_CHECKED",0,40)+IF(Q49="NOT_CHECKED",0,30)+IF(R49="NOT_CHECKED",0,20)+IF(S49="NOT_CHECKED",0,10)</f>
        <v/>
      </c>
      <c r="V49" s="7">
        <f>IF(U49=100,T49,"")</f>
        <v/>
      </c>
      <c r="W49" s="7">
        <f>T49</f>
        <v/>
      </c>
      <c r="X49" s="7">
        <f>T49+(100-U49)</f>
        <v/>
      </c>
      <c r="Y49" s="3" t="inlineStr">
        <is>
          <t>ISSUE-0063</t>
        </is>
      </c>
      <c r="Z49" s="3" t="inlineStr">
        <is>
          <t>D:\Shopify_Workspace\jeminise_seo\seo_runs\jeminise.com\20260906_234129\qa\20260907_181200\images\117_04.jpg; seo_runs\jeminise.com\20260906_234129\evidence\images\117_custom-tree-of-life-quilt-set-yggdrasil-bedding-97b4844050-97b4844050\image_04_47532053561543.jpg; seo_runs\jeminise.com\20260906_234129\evidence\contact_sheets\117_custom-tree-of-life-quilt-set-yggdrasil-bedding-97b4844050-97b4844050.jpg</t>
        </is>
      </c>
    </row>
    <row r="50" ht="66" customHeight="1">
      <c r="A50" s="2" t="inlineStr">
        <is>
          <t>jeminise.com+custom-tree-of-life-quilt-set-yggdrasil-bedding-97b4844050-97b4844050</t>
        </is>
      </c>
      <c r="B50" s="2" t="inlineStr">
        <is>
          <t>img_041481c50a4ae854</t>
        </is>
      </c>
      <c r="C50" s="4" t="inlineStr">
        <is>
          <t>https://cdn.shopify.com/s/files/1/0792/5098/1063/files/01c44c8aa15afe0f25109f79199f17546d56413dad8255507f0d78cfda8d69d1.jpg?v=1785047836</t>
        </is>
      </c>
      <c r="D50" s="4" t="inlineStr">
        <is>
          <t>https://cdn.shopify.com/s/files/1/0792/5098/1063/files/01c44c8aa15afe0f25109f79199f17546d56413dad8255507f0d78cfda8d69d1.jpg?v=1785047836</t>
        </is>
      </c>
      <c r="E50" s="2" t="inlineStr">
        <is>
          <t>47532053594311</t>
        </is>
      </c>
      <c r="F50" s="2" t="inlineStr">
        <is>
          <t>47532053594311</t>
        </is>
      </c>
      <c r="G50" s="2" t="inlineStr"/>
      <c r="H50" s="2" t="inlineStr">
        <is>
          <t>GALLERY</t>
        </is>
      </c>
      <c r="I50" s="2" t="inlineStr">
        <is>
          <t>DIRECT_IMAGE_DOWNLOAD_AND_SOURCE_ROW_REVIEW</t>
        </is>
      </c>
      <c r="J50" s="2" t="inlineStr">
        <is>
          <t>2026-09-07T18:40:21+07:00</t>
        </is>
      </c>
      <c r="K50" s="2" t="inlineStr">
        <is>
          <t>Direct QA opened downloaded image 117_05; source SHA 8EA0543AAA1DFCC127A855B145E8398B5F25D7C496A45DA15BDE5D21760E2BAD. Submitted observation reviewed against gallery position.</t>
        </is>
      </c>
      <c r="L50" s="2" t="inlineStr">
        <is>
          <t>Additional mockup, care or size information for colorful Tree of Life quilt set with rainbow leaves.</t>
        </is>
      </c>
      <c r="M50" s="2" t="inlineStr">
        <is>
          <t>UNKNOWN</t>
        </is>
      </c>
      <c r="N50" s="2" t="inlineStr">
        <is>
          <t>SET</t>
        </is>
      </c>
      <c r="O50" s="2" t="inlineStr">
        <is>
          <t>Additional product mockup or care information for Colorful Tree of Life Quilt Set</t>
        </is>
      </c>
      <c r="P50" s="2" t="inlineStr">
        <is>
          <t>FULL</t>
        </is>
      </c>
      <c r="Q50" s="2" t="inlineStr">
        <is>
          <t>FULL</t>
        </is>
      </c>
      <c r="R50" s="2" t="inlineStr">
        <is>
          <t>FULL</t>
        </is>
      </c>
      <c r="S50" s="2" t="inlineStr">
        <is>
          <t>FULL</t>
        </is>
      </c>
      <c r="T50" s="5">
        <f>IF(P50="FULL",40,IF(P50="PARTIAL",40/2,0))+IF(Q50="FULL",30,IF(Q50="PARTIAL",30/2,0))+IF(R50="FULL",20,IF(R50="PARTIAL",20/2,0))+IF(S50="FULL",10,IF(S50="PARTIAL",10/2,0))</f>
        <v/>
      </c>
      <c r="U50" s="5">
        <f>IF(P50="NOT_CHECKED",0,40)+IF(Q50="NOT_CHECKED",0,30)+IF(R50="NOT_CHECKED",0,20)+IF(S50="NOT_CHECKED",0,10)</f>
        <v/>
      </c>
      <c r="V50" s="5">
        <f>IF(U50=100,T50,"")</f>
        <v/>
      </c>
      <c r="W50" s="5">
        <f>T50</f>
        <v/>
      </c>
      <c r="X50" s="5">
        <f>T50+(100-U50)</f>
        <v/>
      </c>
      <c r="Y50" s="2" t="inlineStr"/>
      <c r="Z50" s="2" t="inlineStr">
        <is>
          <t>D:\Shopify_Workspace\jeminise_seo\seo_runs\jeminise.com\20260906_234129\qa\20260907_181200\images\117_05.jpg; seo_runs\jeminise.com\20260906_234129\evidence\images\117_custom-tree-of-life-quilt-set-yggdrasil-bedding-97b4844050-97b4844050\image_05_47532053594311.jpg; seo_runs\jeminise.com\20260906_234129\evidence\contact_sheets\117_custom-tree-of-life-quilt-set-yggdrasil-bedding-97b4844050-97b4844050.jpg</t>
        </is>
      </c>
    </row>
    <row r="51" ht="66" customHeight="1">
      <c r="A51" s="3" t="inlineStr">
        <is>
          <t>jeminise.com+custom-tree-of-life-quilt-set-yggdrasil-bedding-97b4844050-97b4844050</t>
        </is>
      </c>
      <c r="B51" s="3" t="inlineStr">
        <is>
          <t>img_52a56c306f84d484</t>
        </is>
      </c>
      <c r="C51" s="4" t="inlineStr">
        <is>
          <t>https://cdn.shopify.com/s/files/1/0792/5098/1063/files/32c82101209200624a1d8671b844a25947c4a4ed7b383a6d8265d36e7d743afd.jpg?v=1785047836</t>
        </is>
      </c>
      <c r="D51" s="4" t="inlineStr">
        <is>
          <t>https://cdn.shopify.com/s/files/1/0792/5098/1063/files/32c82101209200624a1d8671b844a25947c4a4ed7b383a6d8265d36e7d743afd.jpg?v=1785047836</t>
        </is>
      </c>
      <c r="E51" s="3" t="inlineStr">
        <is>
          <t>47532053627079</t>
        </is>
      </c>
      <c r="F51" s="3" t="inlineStr">
        <is>
          <t>47532053627079</t>
        </is>
      </c>
      <c r="G51" s="3" t="inlineStr"/>
      <c r="H51" s="3" t="inlineStr">
        <is>
          <t>GALLERY</t>
        </is>
      </c>
      <c r="I51" s="3" t="inlineStr">
        <is>
          <t>DIRECT_IMAGE_DOWNLOAD_AND_SOURCE_ROW_REVIEW</t>
        </is>
      </c>
      <c r="J51" s="3" t="inlineStr">
        <is>
          <t>2026-09-07T18:40:21+07:00</t>
        </is>
      </c>
      <c r="K51" s="3" t="inlineStr">
        <is>
          <t>Direct QA opened downloaded image 117_06; source SHA 0F7B9E7959D587DB7C8EBF7F5298B1A645801EECDE2EB29F1939C592A5D524CF. Submitted observation reviewed against gallery position.</t>
        </is>
      </c>
      <c r="L51" s="3" t="inlineStr">
        <is>
          <t>Easy-care, size guide or product feature image for colorful Tree of Life quilt set with rainbow leaves.</t>
        </is>
      </c>
      <c r="M51" s="3" t="inlineStr">
        <is>
          <t>UNKNOWN</t>
        </is>
      </c>
      <c r="N51" s="3" t="inlineStr">
        <is>
          <t>SET</t>
        </is>
      </c>
      <c r="O51" s="3" t="inlineStr">
        <is>
          <t>Care, size or product feature image for Colorful Tree of Life Quilt Set</t>
        </is>
      </c>
      <c r="P51" s="3" t="inlineStr">
        <is>
          <t>FULL</t>
        </is>
      </c>
      <c r="Q51" s="3" t="inlineStr">
        <is>
          <t>PARTIAL</t>
        </is>
      </c>
      <c r="R51" s="3" t="inlineStr">
        <is>
          <t>FULL</t>
        </is>
      </c>
      <c r="S51" s="3" t="inlineStr">
        <is>
          <t>FULL</t>
        </is>
      </c>
      <c r="T51" s="7">
        <f>IF(P51="FULL",40,IF(P51="PARTIAL",40/2,0))+IF(Q51="FULL",30,IF(Q51="PARTIAL",30/2,0))+IF(R51="FULL",20,IF(R51="PARTIAL",20/2,0))+IF(S51="FULL",10,IF(S51="PARTIAL",10/2,0))</f>
        <v/>
      </c>
      <c r="U51" s="7">
        <f>IF(P51="NOT_CHECKED",0,40)+IF(Q51="NOT_CHECKED",0,30)+IF(R51="NOT_CHECKED",0,20)+IF(S51="NOT_CHECKED",0,10)</f>
        <v/>
      </c>
      <c r="V51" s="7">
        <f>IF(U51=100,T51,"")</f>
        <v/>
      </c>
      <c r="W51" s="7">
        <f>T51</f>
        <v/>
      </c>
      <c r="X51" s="7">
        <f>T51+(100-U51)</f>
        <v/>
      </c>
      <c r="Y51" s="3" t="inlineStr">
        <is>
          <t>ISSUE-0064</t>
        </is>
      </c>
      <c r="Z51" s="3" t="inlineStr">
        <is>
          <t>D:\Shopify_Workspace\jeminise_seo\seo_runs\jeminise.com\20260906_234129\qa\20260907_181200\images\117_06.jpg; seo_runs\jeminise.com\20260906_234129\evidence\images\117_custom-tree-of-life-quilt-set-yggdrasil-bedding-97b4844050-97b4844050\image_06_47532053627079.jpg; seo_runs\jeminise.com\20260906_234129\evidence\contact_sheets\117_custom-tree-of-life-quilt-set-yggdrasil-bedding-97b4844050-97b4844050.jpg</t>
        </is>
      </c>
    </row>
    <row r="52" ht="66" customHeight="1">
      <c r="A52" s="2" t="inlineStr">
        <is>
          <t>jeminise.com+custom-tree-of-life-quilt-set-yggdrasil-bedding-97b4844050-97b4844050</t>
        </is>
      </c>
      <c r="B52" s="2" t="inlineStr">
        <is>
          <t>img_70605a629be37fe9</t>
        </is>
      </c>
      <c r="C52" s="4" t="inlineStr">
        <is>
          <t>https://cdn.shopify.com/s/files/1/0792/5098/1063/files/5abe32a160d5612c59845577bd73d47ee43493f7ebcc5362f2fe1524980c649a.jpg?v=1785047836</t>
        </is>
      </c>
      <c r="D52" s="4" t="inlineStr">
        <is>
          <t>https://cdn.shopify.com/s/files/1/0792/5098/1063/files/5abe32a160d5612c59845577bd73d47ee43493f7ebcc5362f2fe1524980c649a.jpg?v=1785047836</t>
        </is>
      </c>
      <c r="E52" s="2" t="inlineStr">
        <is>
          <t>47532053659847</t>
        </is>
      </c>
      <c r="F52" s="2" t="inlineStr">
        <is>
          <t>47532053659847</t>
        </is>
      </c>
      <c r="G52" s="2" t="inlineStr"/>
      <c r="H52" s="2" t="inlineStr">
        <is>
          <t>GALLERY</t>
        </is>
      </c>
      <c r="I52" s="2" t="inlineStr">
        <is>
          <t>DIRECT_IMAGE_DOWNLOAD_AND_SOURCE_ROW_REVIEW</t>
        </is>
      </c>
      <c r="J52" s="2" t="inlineStr">
        <is>
          <t>2026-09-07T18:40:21+07:00</t>
        </is>
      </c>
      <c r="K52" s="2" t="inlineStr">
        <is>
          <t>Direct QA opened downloaded image 117_07; source SHA 8A8F43F1DD317C0944C511F901AD330CEC2FAFD5156A19DE531AC8A486406205. Submitted observation reviewed against gallery position.</t>
        </is>
      </c>
      <c r="L52" s="2" t="inlineStr">
        <is>
          <t>Additional lifestyle, feature or product detail image showing colorful Tree of Life quilt set with rainbow leaves.</t>
        </is>
      </c>
      <c r="M52" s="2" t="inlineStr">
        <is>
          <t>UNKNOWN</t>
        </is>
      </c>
      <c r="N52" s="2" t="inlineStr">
        <is>
          <t>SET</t>
        </is>
      </c>
      <c r="O52" s="2" t="inlineStr">
        <is>
          <t>Additional product mockup of Colorful Tree of Life Quilt Set</t>
        </is>
      </c>
      <c r="P52" s="2" t="inlineStr">
        <is>
          <t>FULL</t>
        </is>
      </c>
      <c r="Q52" s="2" t="inlineStr">
        <is>
          <t>PARTIAL</t>
        </is>
      </c>
      <c r="R52" s="2" t="inlineStr">
        <is>
          <t>FULL</t>
        </is>
      </c>
      <c r="S52" s="2" t="inlineStr">
        <is>
          <t>FULL</t>
        </is>
      </c>
      <c r="T52" s="5">
        <f>IF(P52="FULL",40,IF(P52="PARTIAL",40/2,0))+IF(Q52="FULL",30,IF(Q52="PARTIAL",30/2,0))+IF(R52="FULL",20,IF(R52="PARTIAL",20/2,0))+IF(S52="FULL",10,IF(S52="PARTIAL",10/2,0))</f>
        <v/>
      </c>
      <c r="U52" s="5">
        <f>IF(P52="NOT_CHECKED",0,40)+IF(Q52="NOT_CHECKED",0,30)+IF(R52="NOT_CHECKED",0,20)+IF(S52="NOT_CHECKED",0,10)</f>
        <v/>
      </c>
      <c r="V52" s="5">
        <f>IF(U52=100,T52,"")</f>
        <v/>
      </c>
      <c r="W52" s="5">
        <f>T52</f>
        <v/>
      </c>
      <c r="X52" s="5">
        <f>T52+(100-U52)</f>
        <v/>
      </c>
      <c r="Y52" s="2" t="inlineStr">
        <is>
          <t>ISSUE-0065</t>
        </is>
      </c>
      <c r="Z52" s="2" t="inlineStr">
        <is>
          <t>D:\Shopify_Workspace\jeminise_seo\seo_runs\jeminise.com\20260906_234129\qa\20260907_181200\images\117_07.jpg; seo_runs\jeminise.com\20260906_234129\evidence\images\117_custom-tree-of-life-quilt-set-yggdrasil-bedding-97b4844050-97b4844050\image_07_47532053659847.jpg; seo_runs\jeminise.com\20260906_234129\evidence\contact_sheets\117_custom-tree-of-life-quilt-set-yggdrasil-bedding-97b4844050-97b4844050.jpg</t>
        </is>
      </c>
    </row>
    <row r="53" ht="66" customHeight="1">
      <c r="A53" s="3" t="inlineStr">
        <is>
          <t>jeminise.com+custom-tree-of-life-quilt-set-yggdrasil-bedding-0038a4731b-0038a4731b</t>
        </is>
      </c>
      <c r="B53" s="3" t="inlineStr">
        <is>
          <t>img_0995823f7dd00262</t>
        </is>
      </c>
      <c r="C53" s="4" t="inlineStr">
        <is>
          <t>https://cdn.shopify.com/s/files/1/0792/5098/1063/files/817e5ae89679a4e71582c6a358cd1fae8cb3daffbe7572ba4b64a510289666d1.jpg?v=1785047909</t>
        </is>
      </c>
      <c r="D53" s="4" t="inlineStr">
        <is>
          <t>https://cdn.shopify.com/s/files/1/0792/5098/1063/files/817e5ae89679a4e71582c6a358cd1fae8cb3daffbe7572ba4b64a510289666d1.jpg?v=1785047909</t>
        </is>
      </c>
      <c r="E53" s="3" t="inlineStr">
        <is>
          <t>47532057493703</t>
        </is>
      </c>
      <c r="F53" s="3" t="inlineStr">
        <is>
          <t>47532057493703</t>
        </is>
      </c>
      <c r="G53" s="3" t="inlineStr"/>
      <c r="H53" s="3" t="inlineStr">
        <is>
          <t>GALLERY</t>
        </is>
      </c>
      <c r="I53" s="3" t="inlineStr">
        <is>
          <t>DIRECT_IMAGE_DOWNLOAD_AND_SOURCE_ROW_REVIEW</t>
        </is>
      </c>
      <c r="J53" s="3" t="inlineStr">
        <is>
          <t>2026-09-07T18:40:21+07:00</t>
        </is>
      </c>
      <c r="K53" s="3" t="inlineStr">
        <is>
          <t>Direct QA opened downloaded image 118_01; source SHA A78EDF10053982FDEEE94484CF66E2BC1696F82EDE750767381898C6C38DE201. Submitted observation reviewed against gallery position.</t>
        </is>
      </c>
      <c r="L53" s="3" t="inlineStr">
        <is>
          <t>Main product mockup showing Celtic Tree of Life Yggdrasil quilt set in green and gold.</t>
        </is>
      </c>
      <c r="M53" s="3" t="inlineStr">
        <is>
          <t>UNKNOWN</t>
        </is>
      </c>
      <c r="N53" s="3" t="inlineStr">
        <is>
          <t>SET</t>
        </is>
      </c>
      <c r="O53" s="3" t="inlineStr">
        <is>
          <t>Celtic Tree of Life Yggdrasil Quilt Set displayed in a main product mockup</t>
        </is>
      </c>
      <c r="P53" s="3" t="inlineStr">
        <is>
          <t>FULL</t>
        </is>
      </c>
      <c r="Q53" s="3" t="inlineStr">
        <is>
          <t>FULL</t>
        </is>
      </c>
      <c r="R53" s="3" t="inlineStr">
        <is>
          <t>PARTIAL</t>
        </is>
      </c>
      <c r="S53" s="3" t="inlineStr">
        <is>
          <t>FULL</t>
        </is>
      </c>
      <c r="T53" s="7">
        <f>IF(P53="FULL",40,IF(P53="PARTIAL",40/2,0))+IF(Q53="FULL",30,IF(Q53="PARTIAL",30/2,0))+IF(R53="FULL",20,IF(R53="PARTIAL",20/2,0))+IF(S53="FULL",10,IF(S53="PARTIAL",10/2,0))</f>
        <v/>
      </c>
      <c r="U53" s="7">
        <f>IF(P53="NOT_CHECKED",0,40)+IF(Q53="NOT_CHECKED",0,30)+IF(R53="NOT_CHECKED",0,20)+IF(S53="NOT_CHECKED",0,10)</f>
        <v/>
      </c>
      <c r="V53" s="7">
        <f>IF(U53=100,T53,"")</f>
        <v/>
      </c>
      <c r="W53" s="7">
        <f>T53</f>
        <v/>
      </c>
      <c r="X53" s="7">
        <f>T53+(100-U53)</f>
        <v/>
      </c>
      <c r="Y53" s="3" t="inlineStr">
        <is>
          <t>ISSUE-0069</t>
        </is>
      </c>
      <c r="Z53" s="3" t="inlineStr">
        <is>
          <t>D:\Shopify_Workspace\jeminise_seo\seo_runs\jeminise.com\20260906_234129\qa\20260907_181200\images\118_01.jpg; seo_runs\jeminise.com\20260906_234129\evidence\images\118_custom-tree-of-life-quilt-set-yggdrasil-bedding-0038a4731b-0038a4731b\image_01_47532057493703.jpg; seo_runs\jeminise.com\20260906_234129\evidence\contact_sheets\118_custom-tree-of-life-quilt-set-yggdrasil-bedding-0038a4731b-0038a4731b.jpg</t>
        </is>
      </c>
    </row>
    <row r="54" ht="66" customHeight="1">
      <c r="A54" s="2" t="inlineStr">
        <is>
          <t>jeminise.com+custom-tree-of-life-quilt-set-yggdrasil-bedding-0038a4731b-0038a4731b</t>
        </is>
      </c>
      <c r="B54" s="2" t="inlineStr">
        <is>
          <t>img_375411cb11b9bf99</t>
        </is>
      </c>
      <c r="C54" s="4" t="inlineStr">
        <is>
          <t>https://cdn.shopify.com/s/files/1/0792/5098/1063/files/da4ef8b0be6f04f1bef369c4c19b900ff8336fd545f5689439c44031215ce953.jpg?v=1785047909</t>
        </is>
      </c>
      <c r="D54" s="4" t="inlineStr">
        <is>
          <t>https://cdn.shopify.com/s/files/1/0792/5098/1063/files/da4ef8b0be6f04f1bef369c4c19b900ff8336fd545f5689439c44031215ce953.jpg?v=1785047909</t>
        </is>
      </c>
      <c r="E54" s="2" t="inlineStr">
        <is>
          <t>47532057526471</t>
        </is>
      </c>
      <c r="F54" s="2" t="inlineStr">
        <is>
          <t>47532057526471</t>
        </is>
      </c>
      <c r="G54" s="2" t="inlineStr"/>
      <c r="H54" s="2" t="inlineStr">
        <is>
          <t>GALLERY</t>
        </is>
      </c>
      <c r="I54" s="2" t="inlineStr">
        <is>
          <t>DIRECT_IMAGE_DOWNLOAD_AND_SOURCE_ROW_REVIEW</t>
        </is>
      </c>
      <c r="J54" s="2" t="inlineStr">
        <is>
          <t>2026-09-07T18:40:21+07:00</t>
        </is>
      </c>
      <c r="K54" s="2" t="inlineStr">
        <is>
          <t>Direct QA opened downloaded image 118_02; source SHA 518BE1A813B77F558534C1F5DB7E72619FAC1A9F446E98DFFEF2D95A3DC61BBB. Submitted observation reviewed against gallery position.</t>
        </is>
      </c>
      <c r="L54" s="2" t="inlineStr">
        <is>
          <t>Secondary flat, close-up or bedroom mockup showing Celtic Tree of Life Yggdrasil quilt set in green and gold.</t>
        </is>
      </c>
      <c r="M54" s="2" t="inlineStr">
        <is>
          <t>UNKNOWN</t>
        </is>
      </c>
      <c r="N54" s="2" t="inlineStr">
        <is>
          <t>SET</t>
        </is>
      </c>
      <c r="O54" s="2" t="inlineStr">
        <is>
          <t>Secondary mockup of Celtic Tree of Life Yggdrasil Quilt Set</t>
        </is>
      </c>
      <c r="P54" s="2" t="inlineStr">
        <is>
          <t>FULL</t>
        </is>
      </c>
      <c r="Q54" s="2" t="inlineStr">
        <is>
          <t>FULL</t>
        </is>
      </c>
      <c r="R54" s="2" t="inlineStr">
        <is>
          <t>FULL</t>
        </is>
      </c>
      <c r="S54" s="2" t="inlineStr">
        <is>
          <t>FULL</t>
        </is>
      </c>
      <c r="T54" s="5">
        <f>IF(P54="FULL",40,IF(P54="PARTIAL",40/2,0))+IF(Q54="FULL",30,IF(Q54="PARTIAL",30/2,0))+IF(R54="FULL",20,IF(R54="PARTIAL",20/2,0))+IF(S54="FULL",10,IF(S54="PARTIAL",10/2,0))</f>
        <v/>
      </c>
      <c r="U54" s="5">
        <f>IF(P54="NOT_CHECKED",0,40)+IF(Q54="NOT_CHECKED",0,30)+IF(R54="NOT_CHECKED",0,20)+IF(S54="NOT_CHECKED",0,10)</f>
        <v/>
      </c>
      <c r="V54" s="5">
        <f>IF(U54=100,T54,"")</f>
        <v/>
      </c>
      <c r="W54" s="5">
        <f>T54</f>
        <v/>
      </c>
      <c r="X54" s="5">
        <f>T54+(100-U54)</f>
        <v/>
      </c>
      <c r="Y54" s="2" t="inlineStr"/>
      <c r="Z54" s="2" t="inlineStr">
        <is>
          <t>D:\Shopify_Workspace\jeminise_seo\seo_runs\jeminise.com\20260906_234129\qa\20260907_181200\images\118_02.jpg; seo_runs\jeminise.com\20260906_234129\evidence\images\118_custom-tree-of-life-quilt-set-yggdrasil-bedding-0038a4731b-0038a4731b\image_02_47532057526471.jpg; seo_runs\jeminise.com\20260906_234129\evidence\contact_sheets\118_custom-tree-of-life-quilt-set-yggdrasil-bedding-0038a4731b-0038a4731b.jpg</t>
        </is>
      </c>
    </row>
    <row r="55" ht="66" customHeight="1">
      <c r="A55" s="3" t="inlineStr">
        <is>
          <t>jeminise.com+custom-tree-of-life-quilt-set-yggdrasil-bedding-0038a4731b-0038a4731b</t>
        </is>
      </c>
      <c r="B55" s="3" t="inlineStr">
        <is>
          <t>img_ccc348eae9dbb302</t>
        </is>
      </c>
      <c r="C55" s="4" t="inlineStr">
        <is>
          <t>https://cdn.shopify.com/s/files/1/0792/5098/1063/files/07ab48c8231df3ad521295fc7bfc8c4643094a5ba7c90018e7a68030fbc23f2f.jpg?v=1785047909</t>
        </is>
      </c>
      <c r="D55" s="4" t="inlineStr">
        <is>
          <t>https://cdn.shopify.com/s/files/1/0792/5098/1063/files/07ab48c8231df3ad521295fc7bfc8c4643094a5ba7c90018e7a68030fbc23f2f.jpg?v=1785047909</t>
        </is>
      </c>
      <c r="E55" s="3" t="inlineStr">
        <is>
          <t>47532057559239</t>
        </is>
      </c>
      <c r="F55" s="3" t="inlineStr">
        <is>
          <t>47532057559239</t>
        </is>
      </c>
      <c r="G55" s="3" t="inlineStr"/>
      <c r="H55" s="3" t="inlineStr">
        <is>
          <t>GALLERY</t>
        </is>
      </c>
      <c r="I55" s="3" t="inlineStr">
        <is>
          <t>DIRECT_IMAGE_DOWNLOAD_AND_SOURCE_ROW_REVIEW</t>
        </is>
      </c>
      <c r="J55" s="3" t="inlineStr">
        <is>
          <t>2026-09-07T18:40:21+07:00</t>
        </is>
      </c>
      <c r="K55" s="3" t="inlineStr">
        <is>
          <t>Direct QA opened downloaded image 118_03; source SHA A17AC2904DCED1E1DC2DC5E96A8C13A800AD616316D9329932886DFE6E0C0E4C. Submitted observation reviewed against gallery position.</t>
        </is>
      </c>
      <c r="L55" s="3" t="inlineStr">
        <is>
          <t>Bedding type, feature, lifestyle or material image for Celtic Tree of Life Yggdrasil quilt set in green and gold.</t>
        </is>
      </c>
      <c r="M55" s="3" t="inlineStr">
        <is>
          <t>UNKNOWN</t>
        </is>
      </c>
      <c r="N55" s="3" t="inlineStr">
        <is>
          <t>SET</t>
        </is>
      </c>
      <c r="O55" s="3" t="inlineStr">
        <is>
          <t>Product option, feature or lifestyle image for Celtic Tree of Life Yggdrasil Quilt Set</t>
        </is>
      </c>
      <c r="P55" s="3" t="inlineStr">
        <is>
          <t>FULL</t>
        </is>
      </c>
      <c r="Q55" s="3" t="inlineStr">
        <is>
          <t>PARTIAL</t>
        </is>
      </c>
      <c r="R55" s="3" t="inlineStr">
        <is>
          <t>FULL</t>
        </is>
      </c>
      <c r="S55" s="3" t="inlineStr">
        <is>
          <t>FULL</t>
        </is>
      </c>
      <c r="T55" s="7">
        <f>IF(P55="FULL",40,IF(P55="PARTIAL",40/2,0))+IF(Q55="FULL",30,IF(Q55="PARTIAL",30/2,0))+IF(R55="FULL",20,IF(R55="PARTIAL",20/2,0))+IF(S55="FULL",10,IF(S55="PARTIAL",10/2,0))</f>
        <v/>
      </c>
      <c r="U55" s="7">
        <f>IF(P55="NOT_CHECKED",0,40)+IF(Q55="NOT_CHECKED",0,30)+IF(R55="NOT_CHECKED",0,20)+IF(S55="NOT_CHECKED",0,10)</f>
        <v/>
      </c>
      <c r="V55" s="7">
        <f>IF(U55=100,T55,"")</f>
        <v/>
      </c>
      <c r="W55" s="7">
        <f>T55</f>
        <v/>
      </c>
      <c r="X55" s="7">
        <f>T55+(100-U55)</f>
        <v/>
      </c>
      <c r="Y55" s="3" t="inlineStr">
        <is>
          <t>ISSUE-0070</t>
        </is>
      </c>
      <c r="Z55" s="3" t="inlineStr">
        <is>
          <t>D:\Shopify_Workspace\jeminise_seo\seo_runs\jeminise.com\20260906_234129\qa\20260907_181200\images\118_03.jpg; seo_runs\jeminise.com\20260906_234129\evidence\images\118_custom-tree-of-life-quilt-set-yggdrasil-bedding-0038a4731b-0038a4731b\image_03_47532057559239.jpg; seo_runs\jeminise.com\20260906_234129\evidence\contact_sheets\118_custom-tree-of-life-quilt-set-yggdrasil-bedding-0038a4731b-0038a4731b.jpg</t>
        </is>
      </c>
    </row>
    <row r="56" ht="66" customHeight="1">
      <c r="A56" s="2" t="inlineStr">
        <is>
          <t>jeminise.com+custom-tree-of-life-quilt-set-yggdrasil-bedding-0038a4731b-0038a4731b</t>
        </is>
      </c>
      <c r="B56" s="2" t="inlineStr">
        <is>
          <t>img_a9a5eb342a65985d</t>
        </is>
      </c>
      <c r="C56" s="4" t="inlineStr">
        <is>
          <t>https://cdn.shopify.com/s/files/1/0792/5098/1063/files/573997dbd75523226edcc5e2ed3d5f2fc9f6c169b40e69bdc1ba661db6b9ac20.jpg?v=1785047909</t>
        </is>
      </c>
      <c r="D56" s="4" t="inlineStr">
        <is>
          <t>https://cdn.shopify.com/s/files/1/0792/5098/1063/files/573997dbd75523226edcc5e2ed3d5f2fc9f6c169b40e69bdc1ba661db6b9ac20.jpg?v=1785047909</t>
        </is>
      </c>
      <c r="E56" s="2" t="inlineStr">
        <is>
          <t>47532057592007</t>
        </is>
      </c>
      <c r="F56" s="2" t="inlineStr">
        <is>
          <t>47532057592007</t>
        </is>
      </c>
      <c r="G56" s="2" t="inlineStr"/>
      <c r="H56" s="2" t="inlineStr">
        <is>
          <t>GALLERY</t>
        </is>
      </c>
      <c r="I56" s="2" t="inlineStr">
        <is>
          <t>DIRECT_IMAGE_DOWNLOAD_AND_SOURCE_ROW_REVIEW</t>
        </is>
      </c>
      <c r="J56" s="2" t="inlineStr">
        <is>
          <t>2026-09-07T18:40:21+07:00</t>
        </is>
      </c>
      <c r="K56" s="2" t="inlineStr">
        <is>
          <t>Direct QA opened downloaded image 118_04; source SHA 2AAE230E7AB633418A8F619D7B462D65F1DAC2A9508D27A21F5D44D133FD4CD1. Submitted observation reviewed against gallery position.</t>
        </is>
      </c>
      <c r="L56" s="2" t="inlineStr">
        <is>
          <t>Detail, feature panel or lifestyle image connected to Celtic Tree of Life Yggdrasil quilt set in green and gold.</t>
        </is>
      </c>
      <c r="M56" s="2" t="inlineStr">
        <is>
          <t>UNKNOWN</t>
        </is>
      </c>
      <c r="N56" s="2" t="inlineStr">
        <is>
          <t>SET</t>
        </is>
      </c>
      <c r="O56" s="2" t="inlineStr">
        <is>
          <t>Detail or feature image for Celtic Tree of Life Yggdrasil Quilt Set</t>
        </is>
      </c>
      <c r="P56" s="2" t="inlineStr">
        <is>
          <t>FULL</t>
        </is>
      </c>
      <c r="Q56" s="2" t="inlineStr">
        <is>
          <t>PARTIAL</t>
        </is>
      </c>
      <c r="R56" s="2" t="inlineStr">
        <is>
          <t>FULL</t>
        </is>
      </c>
      <c r="S56" s="2" t="inlineStr">
        <is>
          <t>FULL</t>
        </is>
      </c>
      <c r="T56" s="5">
        <f>IF(P56="FULL",40,IF(P56="PARTIAL",40/2,0))+IF(Q56="FULL",30,IF(Q56="PARTIAL",30/2,0))+IF(R56="FULL",20,IF(R56="PARTIAL",20/2,0))+IF(S56="FULL",10,IF(S56="PARTIAL",10/2,0))</f>
        <v/>
      </c>
      <c r="U56" s="5">
        <f>IF(P56="NOT_CHECKED",0,40)+IF(Q56="NOT_CHECKED",0,30)+IF(R56="NOT_CHECKED",0,20)+IF(S56="NOT_CHECKED",0,10)</f>
        <v/>
      </c>
      <c r="V56" s="5">
        <f>IF(U56=100,T56,"")</f>
        <v/>
      </c>
      <c r="W56" s="5">
        <f>T56</f>
        <v/>
      </c>
      <c r="X56" s="5">
        <f>T56+(100-U56)</f>
        <v/>
      </c>
      <c r="Y56" s="2" t="inlineStr">
        <is>
          <t>ISSUE-0071</t>
        </is>
      </c>
      <c r="Z56" s="2" t="inlineStr">
        <is>
          <t>D:\Shopify_Workspace\jeminise_seo\seo_runs\jeminise.com\20260906_234129\qa\20260907_181200\images\118_04.jpg; seo_runs\jeminise.com\20260906_234129\evidence\images\118_custom-tree-of-life-quilt-set-yggdrasil-bedding-0038a4731b-0038a4731b\image_04_47532057592007.jpg; seo_runs\jeminise.com\20260906_234129\evidence\contact_sheets\118_custom-tree-of-life-quilt-set-yggdrasil-bedding-0038a4731b-0038a4731b.jpg</t>
        </is>
      </c>
    </row>
    <row r="57" ht="66" customHeight="1">
      <c r="A57" s="3" t="inlineStr">
        <is>
          <t>jeminise.com+custom-tree-of-life-quilt-set-yggdrasil-bedding-0038a4731b-0038a4731b</t>
        </is>
      </c>
      <c r="B57" s="3" t="inlineStr">
        <is>
          <t>img_94fef86556cfad90</t>
        </is>
      </c>
      <c r="C57" s="4" t="inlineStr">
        <is>
          <t>https://cdn.shopify.com/s/files/1/0792/5098/1063/files/7f10374b136f48fcb6bf59c817c2879ae5b1d3fcb3275c763a617fc4b2debfd0.jpg?v=1785047909</t>
        </is>
      </c>
      <c r="D57" s="4" t="inlineStr">
        <is>
          <t>https://cdn.shopify.com/s/files/1/0792/5098/1063/files/7f10374b136f48fcb6bf59c817c2879ae5b1d3fcb3275c763a617fc4b2debfd0.jpg?v=1785047909</t>
        </is>
      </c>
      <c r="E57" s="3" t="inlineStr">
        <is>
          <t>47532057624775</t>
        </is>
      </c>
      <c r="F57" s="3" t="inlineStr">
        <is>
          <t>47532057624775</t>
        </is>
      </c>
      <c r="G57" s="3" t="inlineStr"/>
      <c r="H57" s="3" t="inlineStr">
        <is>
          <t>GALLERY</t>
        </is>
      </c>
      <c r="I57" s="3" t="inlineStr">
        <is>
          <t>DIRECT_IMAGE_DOWNLOAD_AND_SOURCE_ROW_REVIEW</t>
        </is>
      </c>
      <c r="J57" s="3" t="inlineStr">
        <is>
          <t>2026-09-07T18:40:21+07:00</t>
        </is>
      </c>
      <c r="K57" s="3" t="inlineStr">
        <is>
          <t>Direct QA opened downloaded image 118_05; source SHA 9C5F40C5C4326BCC7BAD732807279E6186CF1EDBA09C20DF824EBD9FAE7B4BE2. Submitted observation reviewed against gallery position.</t>
        </is>
      </c>
      <c r="L57" s="3" t="inlineStr">
        <is>
          <t>Additional mockup, care or size information for Celtic Tree of Life Yggdrasil quilt set in green and gold.</t>
        </is>
      </c>
      <c r="M57" s="3" t="inlineStr">
        <is>
          <t>UNKNOWN</t>
        </is>
      </c>
      <c r="N57" s="3" t="inlineStr">
        <is>
          <t>SET</t>
        </is>
      </c>
      <c r="O57" s="3" t="inlineStr">
        <is>
          <t>Additional product mockup or care information for Celtic Tree of Life Yggdrasil Quilt Set</t>
        </is>
      </c>
      <c r="P57" s="3" t="inlineStr">
        <is>
          <t>FULL</t>
        </is>
      </c>
      <c r="Q57" s="3" t="inlineStr">
        <is>
          <t>FULL</t>
        </is>
      </c>
      <c r="R57" s="3" t="inlineStr">
        <is>
          <t>FULL</t>
        </is>
      </c>
      <c r="S57" s="3" t="inlineStr">
        <is>
          <t>FULL</t>
        </is>
      </c>
      <c r="T57" s="7">
        <f>IF(P57="FULL",40,IF(P57="PARTIAL",40/2,0))+IF(Q57="FULL",30,IF(Q57="PARTIAL",30/2,0))+IF(R57="FULL",20,IF(R57="PARTIAL",20/2,0))+IF(S57="FULL",10,IF(S57="PARTIAL",10/2,0))</f>
        <v/>
      </c>
      <c r="U57" s="7">
        <f>IF(P57="NOT_CHECKED",0,40)+IF(Q57="NOT_CHECKED",0,30)+IF(R57="NOT_CHECKED",0,20)+IF(S57="NOT_CHECKED",0,10)</f>
        <v/>
      </c>
      <c r="V57" s="7">
        <f>IF(U57=100,T57,"")</f>
        <v/>
      </c>
      <c r="W57" s="7">
        <f>T57</f>
        <v/>
      </c>
      <c r="X57" s="7">
        <f>T57+(100-U57)</f>
        <v/>
      </c>
      <c r="Y57" s="3" t="inlineStr"/>
      <c r="Z57" s="3" t="inlineStr">
        <is>
          <t>D:\Shopify_Workspace\jeminise_seo\seo_runs\jeminise.com\20260906_234129\qa\20260907_181200\images\118_05.jpg; seo_runs\jeminise.com\20260906_234129\evidence\images\118_custom-tree-of-life-quilt-set-yggdrasil-bedding-0038a4731b-0038a4731b\image_05_47532057624775.jpg; seo_runs\jeminise.com\20260906_234129\evidence\contact_sheets\118_custom-tree-of-life-quilt-set-yggdrasil-bedding-0038a4731b-0038a4731b.jpg</t>
        </is>
      </c>
    </row>
    <row r="58" ht="66" customHeight="1">
      <c r="A58" s="2" t="inlineStr">
        <is>
          <t>jeminise.com+custom-tree-of-life-quilt-set-yggdrasil-bedding-0038a4731b-0038a4731b</t>
        </is>
      </c>
      <c r="B58" s="2" t="inlineStr">
        <is>
          <t>img_121f68dd550ddf39</t>
        </is>
      </c>
      <c r="C58" s="4" t="inlineStr">
        <is>
          <t>https://cdn.shopify.com/s/files/1/0792/5098/1063/files/395576177c37a892f8d7041248c2ef5f265e233e6785903dbf9fc31ac4d4f2e7.jpg?v=1785047909</t>
        </is>
      </c>
      <c r="D58" s="4" t="inlineStr">
        <is>
          <t>https://cdn.shopify.com/s/files/1/0792/5098/1063/files/395576177c37a892f8d7041248c2ef5f265e233e6785903dbf9fc31ac4d4f2e7.jpg?v=1785047909</t>
        </is>
      </c>
      <c r="E58" s="2" t="inlineStr">
        <is>
          <t>47532057657543</t>
        </is>
      </c>
      <c r="F58" s="2" t="inlineStr">
        <is>
          <t>47532057657543</t>
        </is>
      </c>
      <c r="G58" s="2" t="inlineStr"/>
      <c r="H58" s="2" t="inlineStr">
        <is>
          <t>GALLERY</t>
        </is>
      </c>
      <c r="I58" s="2" t="inlineStr">
        <is>
          <t>DIRECT_IMAGE_DOWNLOAD_AND_SOURCE_ROW_REVIEW</t>
        </is>
      </c>
      <c r="J58" s="2" t="inlineStr">
        <is>
          <t>2026-09-07T18:40:21+07:00</t>
        </is>
      </c>
      <c r="K58" s="2" t="inlineStr">
        <is>
          <t>Direct QA opened downloaded image 118_06; source SHA 03B636C0E22DFC46122C33CA58BCAAFDB161FF2B65B34CBCFB7975322995B9E2. Submitted observation reviewed against gallery position.</t>
        </is>
      </c>
      <c r="L58" s="2" t="inlineStr">
        <is>
          <t>Easy-care, size guide or product feature image for Celtic Tree of Life Yggdrasil quilt set in green and gold.</t>
        </is>
      </c>
      <c r="M58" s="2" t="inlineStr">
        <is>
          <t>UNKNOWN</t>
        </is>
      </c>
      <c r="N58" s="2" t="inlineStr">
        <is>
          <t>SET</t>
        </is>
      </c>
      <c r="O58" s="2" t="inlineStr">
        <is>
          <t>Care, size or product feature image for Celtic Tree of Life Yggdrasil Quilt Set</t>
        </is>
      </c>
      <c r="P58" s="2" t="inlineStr">
        <is>
          <t>FULL</t>
        </is>
      </c>
      <c r="Q58" s="2" t="inlineStr">
        <is>
          <t>PARTIAL</t>
        </is>
      </c>
      <c r="R58" s="2" t="inlineStr">
        <is>
          <t>FULL</t>
        </is>
      </c>
      <c r="S58" s="2" t="inlineStr">
        <is>
          <t>FULL</t>
        </is>
      </c>
      <c r="T58" s="5">
        <f>IF(P58="FULL",40,IF(P58="PARTIAL",40/2,0))+IF(Q58="FULL",30,IF(Q58="PARTIAL",30/2,0))+IF(R58="FULL",20,IF(R58="PARTIAL",20/2,0))+IF(S58="FULL",10,IF(S58="PARTIAL",10/2,0))</f>
        <v/>
      </c>
      <c r="U58" s="5">
        <f>IF(P58="NOT_CHECKED",0,40)+IF(Q58="NOT_CHECKED",0,30)+IF(R58="NOT_CHECKED",0,20)+IF(S58="NOT_CHECKED",0,10)</f>
        <v/>
      </c>
      <c r="V58" s="5">
        <f>IF(U58=100,T58,"")</f>
        <v/>
      </c>
      <c r="W58" s="5">
        <f>T58</f>
        <v/>
      </c>
      <c r="X58" s="5">
        <f>T58+(100-U58)</f>
        <v/>
      </c>
      <c r="Y58" s="2" t="inlineStr">
        <is>
          <t>ISSUE-0072</t>
        </is>
      </c>
      <c r="Z58" s="2" t="inlineStr">
        <is>
          <t>D:\Shopify_Workspace\jeminise_seo\seo_runs\jeminise.com\20260906_234129\qa\20260907_181200\images\118_06.jpg; seo_runs\jeminise.com\20260906_234129\evidence\images\118_custom-tree-of-life-quilt-set-yggdrasil-bedding-0038a4731b-0038a4731b\image_06_47532057657543.jpg; seo_runs\jeminise.com\20260906_234129\evidence\contact_sheets\118_custom-tree-of-life-quilt-set-yggdrasil-bedding-0038a4731b-0038a4731b.jpg</t>
        </is>
      </c>
    </row>
    <row r="59" ht="66" customHeight="1">
      <c r="A59" s="3" t="inlineStr">
        <is>
          <t>jeminise.com+custom-tree-of-life-quilt-set-yggdrasil-bedding-0038a4731b-0038a4731b</t>
        </is>
      </c>
      <c r="B59" s="3" t="inlineStr">
        <is>
          <t>img_6ce4a4958c2fda13</t>
        </is>
      </c>
      <c r="C59" s="4" t="inlineStr">
        <is>
          <t>https://cdn.shopify.com/s/files/1/0792/5098/1063/files/697c6c55f1be81ef2313dd082cfdf604da7f7fc072305902cc7f2e97ce2df134.jpg?v=1785047909</t>
        </is>
      </c>
      <c r="D59" s="4" t="inlineStr">
        <is>
          <t>https://cdn.shopify.com/s/files/1/0792/5098/1063/files/697c6c55f1be81ef2313dd082cfdf604da7f7fc072305902cc7f2e97ce2df134.jpg?v=1785047909</t>
        </is>
      </c>
      <c r="E59" s="3" t="inlineStr">
        <is>
          <t>47532057690311</t>
        </is>
      </c>
      <c r="F59" s="3" t="inlineStr">
        <is>
          <t>47532057690311</t>
        </is>
      </c>
      <c r="G59" s="3" t="inlineStr"/>
      <c r="H59" s="3" t="inlineStr">
        <is>
          <t>GALLERY</t>
        </is>
      </c>
      <c r="I59" s="3" t="inlineStr">
        <is>
          <t>DIRECT_IMAGE_DOWNLOAD_AND_SOURCE_ROW_REVIEW</t>
        </is>
      </c>
      <c r="J59" s="3" t="inlineStr">
        <is>
          <t>2026-09-07T18:40:21+07:00</t>
        </is>
      </c>
      <c r="K59" s="3" t="inlineStr">
        <is>
          <t>Direct QA opened downloaded image 118_07; source SHA B5B900338CAF48CD66E20B724E2626EE870F307F1C4017C07501DC8AB998084D. Submitted observation reviewed against gallery position.</t>
        </is>
      </c>
      <c r="L59" s="3" t="inlineStr">
        <is>
          <t>Additional lifestyle, feature or product detail image showing Celtic Tree of Life Yggdrasil quilt set in green and gold.</t>
        </is>
      </c>
      <c r="M59" s="3" t="inlineStr">
        <is>
          <t>UNKNOWN</t>
        </is>
      </c>
      <c r="N59" s="3" t="inlineStr">
        <is>
          <t>SET</t>
        </is>
      </c>
      <c r="O59" s="3" t="inlineStr">
        <is>
          <t>Additional product mockup of Celtic Tree of Life Yggdrasil Quilt Set</t>
        </is>
      </c>
      <c r="P59" s="3" t="inlineStr">
        <is>
          <t>FULL</t>
        </is>
      </c>
      <c r="Q59" s="3" t="inlineStr">
        <is>
          <t>PARTIAL</t>
        </is>
      </c>
      <c r="R59" s="3" t="inlineStr">
        <is>
          <t>FULL</t>
        </is>
      </c>
      <c r="S59" s="3" t="inlineStr">
        <is>
          <t>FULL</t>
        </is>
      </c>
      <c r="T59" s="7">
        <f>IF(P59="FULL",40,IF(P59="PARTIAL",40/2,0))+IF(Q59="FULL",30,IF(Q59="PARTIAL",30/2,0))+IF(R59="FULL",20,IF(R59="PARTIAL",20/2,0))+IF(S59="FULL",10,IF(S59="PARTIAL",10/2,0))</f>
        <v/>
      </c>
      <c r="U59" s="7">
        <f>IF(P59="NOT_CHECKED",0,40)+IF(Q59="NOT_CHECKED",0,30)+IF(R59="NOT_CHECKED",0,20)+IF(S59="NOT_CHECKED",0,10)</f>
        <v/>
      </c>
      <c r="V59" s="7">
        <f>IF(U59=100,T59,"")</f>
        <v/>
      </c>
      <c r="W59" s="7">
        <f>T59</f>
        <v/>
      </c>
      <c r="X59" s="7">
        <f>T59+(100-U59)</f>
        <v/>
      </c>
      <c r="Y59" s="3" t="inlineStr">
        <is>
          <t>ISSUE-0073</t>
        </is>
      </c>
      <c r="Z59" s="3" t="inlineStr">
        <is>
          <t>D:\Shopify_Workspace\jeminise_seo\seo_runs\jeminise.com\20260906_234129\qa\20260907_181200\images\118_07.jpg; seo_runs\jeminise.com\20260906_234129\evidence\images\118_custom-tree-of-life-quilt-set-yggdrasil-bedding-0038a4731b-0038a4731b\image_07_47532057690311.jpg; seo_runs\jeminise.com\20260906_234129\evidence\contact_sheets\118_custom-tree-of-life-quilt-set-yggdrasil-bedding-0038a4731b-0038a4731b.jpg</t>
        </is>
      </c>
    </row>
    <row r="60" ht="66" customHeight="1">
      <c r="A60" s="2" t="inlineStr">
        <is>
          <t>jeminise.com+custom-trucking-semi-truck-breaking-through-stone-wall-comforter-7a6b616ec4-7a6b616ec4</t>
        </is>
      </c>
      <c r="B60" s="2" t="inlineStr">
        <is>
          <t>img_5baf0921d5a5f3e8</t>
        </is>
      </c>
      <c r="C60" s="4" t="inlineStr">
        <is>
          <t>https://cdn.shopify.com/s/files/1/0792/5098/1063/files/64798931108d494249f5b0700040fbb5b72be151e6a92f9dddc29728c8a2e634.jpg?v=1785133965</t>
        </is>
      </c>
      <c r="D60" s="4" t="inlineStr">
        <is>
          <t>https://cdn.shopify.com/s/files/1/0792/5098/1063/files/64798931108d494249f5b0700040fbb5b72be151e6a92f9dddc29728c8a2e634.jpg?v=1785133965</t>
        </is>
      </c>
      <c r="E60" s="2" t="inlineStr">
        <is>
          <t>47548983345351</t>
        </is>
      </c>
      <c r="F60" s="2" t="inlineStr">
        <is>
          <t>47548983345351</t>
        </is>
      </c>
      <c r="G60" s="2" t="inlineStr"/>
      <c r="H60" s="2" t="inlineStr">
        <is>
          <t>GALLERY</t>
        </is>
      </c>
      <c r="I60" s="2" t="inlineStr">
        <is>
          <t>DIRECT_IMAGE_DOWNLOAD_AND_SOURCE_ROW_REVIEW</t>
        </is>
      </c>
      <c r="J60" s="2" t="inlineStr">
        <is>
          <t>2026-09-07T18:40:21+07:00</t>
        </is>
      </c>
      <c r="K60" s="2" t="inlineStr">
        <is>
          <t>Direct QA opened downloaded image 119_01; source SHA 0D2F7F1C2C4BA121F509B2288BACFFE8B61BD749E72136F79D13F1A42A684BE8. Submitted observation reviewed against gallery position.</t>
        </is>
      </c>
      <c r="L60" s="2" t="inlineStr">
        <is>
          <t>Main product mockup showing personalized red semi truck breaking through stone wall comforter.</t>
        </is>
      </c>
      <c r="M60" s="2" t="inlineStr">
        <is>
          <t>UNKNOWN</t>
        </is>
      </c>
      <c r="N60" s="2" t="inlineStr">
        <is>
          <t>SET</t>
        </is>
      </c>
      <c r="O60" s="2" t="inlineStr">
        <is>
          <t>Personalized Red Semi Truck Wall Comforter displayed in a main product mockup</t>
        </is>
      </c>
      <c r="P60" s="2" t="inlineStr">
        <is>
          <t>FULL</t>
        </is>
      </c>
      <c r="Q60" s="2" t="inlineStr">
        <is>
          <t>FULL</t>
        </is>
      </c>
      <c r="R60" s="2" t="inlineStr">
        <is>
          <t>PARTIAL</t>
        </is>
      </c>
      <c r="S60" s="2" t="inlineStr">
        <is>
          <t>FULL</t>
        </is>
      </c>
      <c r="T60" s="5">
        <f>IF(P60="FULL",40,IF(P60="PARTIAL",40/2,0))+IF(Q60="FULL",30,IF(Q60="PARTIAL",30/2,0))+IF(R60="FULL",20,IF(R60="PARTIAL",20/2,0))+IF(S60="FULL",10,IF(S60="PARTIAL",10/2,0))</f>
        <v/>
      </c>
      <c r="U60" s="5">
        <f>IF(P60="NOT_CHECKED",0,40)+IF(Q60="NOT_CHECKED",0,30)+IF(R60="NOT_CHECKED",0,20)+IF(S60="NOT_CHECKED",0,10)</f>
        <v/>
      </c>
      <c r="V60" s="5">
        <f>IF(U60=100,T60,"")</f>
        <v/>
      </c>
      <c r="W60" s="5">
        <f>T60</f>
        <v/>
      </c>
      <c r="X60" s="5">
        <f>T60+(100-U60)</f>
        <v/>
      </c>
      <c r="Y60" s="2" t="inlineStr">
        <is>
          <t>ISSUE-0078</t>
        </is>
      </c>
      <c r="Z60" s="2" t="inlineStr">
        <is>
          <t>D:\Shopify_Workspace\jeminise_seo\seo_runs\jeminise.com\20260906_234129\qa\20260907_181200\images\119_01.jpg; 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row>
    <row r="61" ht="66" customHeight="1">
      <c r="A61" s="3" t="inlineStr">
        <is>
          <t>jeminise.com+custom-trucking-semi-truck-breaking-through-stone-wall-comforter-7a6b616ec4-7a6b616ec4</t>
        </is>
      </c>
      <c r="B61" s="3" t="inlineStr">
        <is>
          <t>img_9ae60189fbfe1a56</t>
        </is>
      </c>
      <c r="C61" s="4" t="inlineStr">
        <is>
          <t>https://cdn.shopify.com/s/files/1/0792/5098/1063/files/7516d8acb9898ed8b4b79a73595c3b6cc9449eacaeed1eeefcfa7b488d16faa0.jpg?v=1785133965</t>
        </is>
      </c>
      <c r="D61" s="4" t="inlineStr">
        <is>
          <t>https://cdn.shopify.com/s/files/1/0792/5098/1063/files/7516d8acb9898ed8b4b79a73595c3b6cc9449eacaeed1eeefcfa7b488d16faa0.jpg?v=1785133965</t>
        </is>
      </c>
      <c r="E61" s="3" t="inlineStr">
        <is>
          <t>47548983378119</t>
        </is>
      </c>
      <c r="F61" s="3" t="inlineStr">
        <is>
          <t>47548983378119</t>
        </is>
      </c>
      <c r="G61" s="3" t="inlineStr"/>
      <c r="H61" s="3" t="inlineStr">
        <is>
          <t>GALLERY</t>
        </is>
      </c>
      <c r="I61" s="3" t="inlineStr">
        <is>
          <t>DIRECT_IMAGE_DOWNLOAD_AND_SOURCE_ROW_REVIEW</t>
        </is>
      </c>
      <c r="J61" s="3" t="inlineStr">
        <is>
          <t>2026-09-07T18:40:21+07:00</t>
        </is>
      </c>
      <c r="K61" s="3" t="inlineStr">
        <is>
          <t>Direct QA opened downloaded image 119_02; source SHA 5AAD1D3540CBF56163AEC1AE7265EA576A37770F214ABC5B09642EAE2F14AECB. Submitted observation reviewed against gallery position.</t>
        </is>
      </c>
      <c r="L61" s="3" t="inlineStr">
        <is>
          <t>Secondary flat, close-up or bedroom mockup showing personalized red semi truck breaking through stone wall comforter.</t>
        </is>
      </c>
      <c r="M61" s="3" t="inlineStr">
        <is>
          <t>UNKNOWN</t>
        </is>
      </c>
      <c r="N61" s="3" t="inlineStr">
        <is>
          <t>SET</t>
        </is>
      </c>
      <c r="O61" s="3" t="inlineStr">
        <is>
          <t>Secondary mockup of Personalized Red Semi Truck Wall Comforter</t>
        </is>
      </c>
      <c r="P61" s="3" t="inlineStr">
        <is>
          <t>FULL</t>
        </is>
      </c>
      <c r="Q61" s="3" t="inlineStr">
        <is>
          <t>FULL</t>
        </is>
      </c>
      <c r="R61" s="3" t="inlineStr">
        <is>
          <t>FULL</t>
        </is>
      </c>
      <c r="S61" s="3" t="inlineStr">
        <is>
          <t>FULL</t>
        </is>
      </c>
      <c r="T61" s="7">
        <f>IF(P61="FULL",40,IF(P61="PARTIAL",40/2,0))+IF(Q61="FULL",30,IF(Q61="PARTIAL",30/2,0))+IF(R61="FULL",20,IF(R61="PARTIAL",20/2,0))+IF(S61="FULL",10,IF(S61="PARTIAL",10/2,0))</f>
        <v/>
      </c>
      <c r="U61" s="7">
        <f>IF(P61="NOT_CHECKED",0,40)+IF(Q61="NOT_CHECKED",0,30)+IF(R61="NOT_CHECKED",0,20)+IF(S61="NOT_CHECKED",0,10)</f>
        <v/>
      </c>
      <c r="V61" s="7">
        <f>IF(U61=100,T61,"")</f>
        <v/>
      </c>
      <c r="W61" s="7">
        <f>T61</f>
        <v/>
      </c>
      <c r="X61" s="7">
        <f>T61+(100-U61)</f>
        <v/>
      </c>
      <c r="Y61" s="3" t="inlineStr"/>
      <c r="Z61" s="3" t="inlineStr">
        <is>
          <t>D:\Shopify_Workspace\jeminise_seo\seo_runs\jeminise.com\20260906_234129\qa\20260907_181200\images\119_02.jpg; 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row>
    <row r="62" ht="66" customHeight="1">
      <c r="A62" s="2" t="inlineStr">
        <is>
          <t>jeminise.com+custom-trucking-semi-truck-breaking-through-stone-wall-comforter-7a6b616ec4-7a6b616ec4</t>
        </is>
      </c>
      <c r="B62" s="2" t="inlineStr">
        <is>
          <t>img_b3ccfc554cb785d0</t>
        </is>
      </c>
      <c r="C62" s="4" t="inlineStr">
        <is>
          <t>https://cdn.shopify.com/s/files/1/0792/5098/1063/files/16f7293cbefa5743a35b2e6316a5a114e5c052d08151e367dafd26aa5e2e542b_51cd9952-f11f-4998-8e34-645605ae6b13.jpg?v=1785133965</t>
        </is>
      </c>
      <c r="D62" s="4" t="inlineStr">
        <is>
          <t>https://cdn.shopify.com/s/files/1/0792/5098/1063/files/16f7293cbefa5743a35b2e6316a5a114e5c052d08151e367dafd26aa5e2e542b_51cd9952-f11f-4998-8e34-645605ae6b13.jpg?v=1785133965</t>
        </is>
      </c>
      <c r="E62" s="2" t="inlineStr">
        <is>
          <t>47548983410887</t>
        </is>
      </c>
      <c r="F62" s="2" t="inlineStr">
        <is>
          <t>47548983410887</t>
        </is>
      </c>
      <c r="G62" s="2" t="inlineStr"/>
      <c r="H62" s="2" t="inlineStr">
        <is>
          <t>GALLERY</t>
        </is>
      </c>
      <c r="I62" s="2" t="inlineStr">
        <is>
          <t>DIRECT_IMAGE_DOWNLOAD_AND_SOURCE_ROW_REVIEW</t>
        </is>
      </c>
      <c r="J62" s="2" t="inlineStr">
        <is>
          <t>2026-09-07T18:40:21+07:00</t>
        </is>
      </c>
      <c r="K62" s="2" t="inlineStr">
        <is>
          <t>Direct QA opened downloaded image 119_03; source SHA D1D7BB2E7BBC330A530F2D07CC17846B4F9F5EF39CD3A33528B7908CF2BF0286. Submitted observation reviewed against gallery position.</t>
        </is>
      </c>
      <c r="L62" s="2" t="inlineStr">
        <is>
          <t>Bedding type, feature, lifestyle or material image for personalized red semi truck breaking through stone wall comforter.</t>
        </is>
      </c>
      <c r="M62" s="2" t="inlineStr">
        <is>
          <t>UNKNOWN</t>
        </is>
      </c>
      <c r="N62" s="2" t="inlineStr">
        <is>
          <t>SET</t>
        </is>
      </c>
      <c r="O62" s="2" t="inlineStr">
        <is>
          <t>Product option, feature or lifestyle image for Personalized Red Semi Truck Wall Comforter</t>
        </is>
      </c>
      <c r="P62" s="2" t="inlineStr">
        <is>
          <t>FULL</t>
        </is>
      </c>
      <c r="Q62" s="2" t="inlineStr">
        <is>
          <t>PARTIAL</t>
        </is>
      </c>
      <c r="R62" s="2" t="inlineStr">
        <is>
          <t>FULL</t>
        </is>
      </c>
      <c r="S62" s="2" t="inlineStr">
        <is>
          <t>FULL</t>
        </is>
      </c>
      <c r="T62" s="5">
        <f>IF(P62="FULL",40,IF(P62="PARTIAL",40/2,0))+IF(Q62="FULL",30,IF(Q62="PARTIAL",30/2,0))+IF(R62="FULL",20,IF(R62="PARTIAL",20/2,0))+IF(S62="FULL",10,IF(S62="PARTIAL",10/2,0))</f>
        <v/>
      </c>
      <c r="U62" s="5">
        <f>IF(P62="NOT_CHECKED",0,40)+IF(Q62="NOT_CHECKED",0,30)+IF(R62="NOT_CHECKED",0,20)+IF(S62="NOT_CHECKED",0,10)</f>
        <v/>
      </c>
      <c r="V62" s="5">
        <f>IF(U62=100,T62,"")</f>
        <v/>
      </c>
      <c r="W62" s="5">
        <f>T62</f>
        <v/>
      </c>
      <c r="X62" s="5">
        <f>T62+(100-U62)</f>
        <v/>
      </c>
      <c r="Y62" s="2" t="inlineStr">
        <is>
          <t>ISSUE-0079</t>
        </is>
      </c>
      <c r="Z62" s="2" t="inlineStr">
        <is>
          <t>D:\Shopify_Workspace\jeminise_seo\seo_runs\jeminise.com\20260906_234129\qa\20260907_181200\images\119_03.jpg; 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row>
    <row r="63" ht="66" customHeight="1">
      <c r="A63" s="3" t="inlineStr">
        <is>
          <t>jeminise.com+custom-trucking-semi-truck-breaking-through-stone-wall-comforter-7a6b616ec4-7a6b616ec4</t>
        </is>
      </c>
      <c r="B63" s="3" t="inlineStr">
        <is>
          <t>img_f5724f47547f656d</t>
        </is>
      </c>
      <c r="C63" s="4" t="inlineStr">
        <is>
          <t>https://cdn.shopify.com/s/files/1/0792/5098/1063/files/f8611415d6590d48771aee72c9ba688d1a8222f5abef2df22aa0d172e27d9286.jpg?v=1785133965</t>
        </is>
      </c>
      <c r="D63" s="4" t="inlineStr">
        <is>
          <t>https://cdn.shopify.com/s/files/1/0792/5098/1063/files/f8611415d6590d48771aee72c9ba688d1a8222f5abef2df22aa0d172e27d9286.jpg?v=1785133965</t>
        </is>
      </c>
      <c r="E63" s="3" t="inlineStr">
        <is>
          <t>47548983443655</t>
        </is>
      </c>
      <c r="F63" s="3" t="inlineStr">
        <is>
          <t>47548983443655</t>
        </is>
      </c>
      <c r="G63" s="3" t="inlineStr"/>
      <c r="H63" s="3" t="inlineStr">
        <is>
          <t>GALLERY</t>
        </is>
      </c>
      <c r="I63" s="3" t="inlineStr">
        <is>
          <t>DIRECT_IMAGE_DOWNLOAD_AND_SOURCE_ROW_REVIEW</t>
        </is>
      </c>
      <c r="J63" s="3" t="inlineStr">
        <is>
          <t>2026-09-07T18:40:21+07:00</t>
        </is>
      </c>
      <c r="K63" s="3" t="inlineStr">
        <is>
          <t>Direct QA opened downloaded image 119_04; source SHA DEEEAE7F682F8C4022C696399795524A6C806AF6B83BCC9CE43A3E6E94ED3333. Submitted observation reviewed against gallery position.</t>
        </is>
      </c>
      <c r="L63" s="3" t="inlineStr">
        <is>
          <t>Detail, feature panel or lifestyle image connected to personalized red semi truck breaking through stone wall comforter.</t>
        </is>
      </c>
      <c r="M63" s="3" t="inlineStr">
        <is>
          <t>UNKNOWN</t>
        </is>
      </c>
      <c r="N63" s="3" t="inlineStr">
        <is>
          <t>SET</t>
        </is>
      </c>
      <c r="O63" s="3" t="inlineStr">
        <is>
          <t>Detail or feature image for Personalized Red Semi Truck Wall Comforter</t>
        </is>
      </c>
      <c r="P63" s="3" t="inlineStr">
        <is>
          <t>FULL</t>
        </is>
      </c>
      <c r="Q63" s="3" t="inlineStr">
        <is>
          <t>PARTIAL</t>
        </is>
      </c>
      <c r="R63" s="3" t="inlineStr">
        <is>
          <t>FULL</t>
        </is>
      </c>
      <c r="S63" s="3" t="inlineStr">
        <is>
          <t>FULL</t>
        </is>
      </c>
      <c r="T63" s="7">
        <f>IF(P63="FULL",40,IF(P63="PARTIAL",40/2,0))+IF(Q63="FULL",30,IF(Q63="PARTIAL",30/2,0))+IF(R63="FULL",20,IF(R63="PARTIAL",20/2,0))+IF(S63="FULL",10,IF(S63="PARTIAL",10/2,0))</f>
        <v/>
      </c>
      <c r="U63" s="7">
        <f>IF(P63="NOT_CHECKED",0,40)+IF(Q63="NOT_CHECKED",0,30)+IF(R63="NOT_CHECKED",0,20)+IF(S63="NOT_CHECKED",0,10)</f>
        <v/>
      </c>
      <c r="V63" s="7">
        <f>IF(U63=100,T63,"")</f>
        <v/>
      </c>
      <c r="W63" s="7">
        <f>T63</f>
        <v/>
      </c>
      <c r="X63" s="7">
        <f>T63+(100-U63)</f>
        <v/>
      </c>
      <c r="Y63" s="3" t="inlineStr">
        <is>
          <t>ISSUE-0080</t>
        </is>
      </c>
      <c r="Z63" s="3" t="inlineStr">
        <is>
          <t>D:\Shopify_Workspace\jeminise_seo\seo_runs\jeminise.com\20260906_234129\qa\20260907_181200\images\119_04.jpg; 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row>
    <row r="64" ht="66" customHeight="1">
      <c r="A64" s="2" t="inlineStr">
        <is>
          <t>jeminise.com+custom-trucking-semi-truck-breaking-through-stone-wall-comforter-7a6b616ec4-7a6b616ec4</t>
        </is>
      </c>
      <c r="B64" s="2" t="inlineStr">
        <is>
          <t>img_c87e470b5c5382a7</t>
        </is>
      </c>
      <c r="C64" s="4" t="inlineStr">
        <is>
          <t>https://cdn.shopify.com/s/files/1/0792/5098/1063/files/00a1cee92da36bc042acbc0cef9b49e0066269d18f2c585e0e9c7b8b73c4c328.jpg?v=1785133965</t>
        </is>
      </c>
      <c r="D64" s="4" t="inlineStr">
        <is>
          <t>https://cdn.shopify.com/s/files/1/0792/5098/1063/files/00a1cee92da36bc042acbc0cef9b49e0066269d18f2c585e0e9c7b8b73c4c328.jpg?v=1785133965</t>
        </is>
      </c>
      <c r="E64" s="2" t="inlineStr">
        <is>
          <t>47548983476423</t>
        </is>
      </c>
      <c r="F64" s="2" t="inlineStr">
        <is>
          <t>47548983476423</t>
        </is>
      </c>
      <c r="G64" s="2" t="inlineStr"/>
      <c r="H64" s="2" t="inlineStr">
        <is>
          <t>GALLERY</t>
        </is>
      </c>
      <c r="I64" s="2" t="inlineStr">
        <is>
          <t>DIRECT_IMAGE_DOWNLOAD_AND_SOURCE_ROW_REVIEW</t>
        </is>
      </c>
      <c r="J64" s="2" t="inlineStr">
        <is>
          <t>2026-09-07T18:40:21+07:00</t>
        </is>
      </c>
      <c r="K64" s="2" t="inlineStr">
        <is>
          <t>Direct QA opened downloaded image 119_05; source SHA B9224EE5F0571B5382186633FD6E7686B29321896F337CA662AE6520DDB85E7A. Submitted observation reviewed against gallery position.</t>
        </is>
      </c>
      <c r="L64" s="2" t="inlineStr">
        <is>
          <t>Additional mockup, care or size information for personalized red semi truck breaking through stone wall comforter.</t>
        </is>
      </c>
      <c r="M64" s="2" t="inlineStr">
        <is>
          <t>UNKNOWN</t>
        </is>
      </c>
      <c r="N64" s="2" t="inlineStr">
        <is>
          <t>SET</t>
        </is>
      </c>
      <c r="O64" s="2" t="inlineStr">
        <is>
          <t>Additional product mockup or care information for Personalized Red Semi Truck Wall Comforter</t>
        </is>
      </c>
      <c r="P64" s="2" t="inlineStr">
        <is>
          <t>FULL</t>
        </is>
      </c>
      <c r="Q64" s="2" t="inlineStr">
        <is>
          <t>FULL</t>
        </is>
      </c>
      <c r="R64" s="2" t="inlineStr">
        <is>
          <t>FULL</t>
        </is>
      </c>
      <c r="S64" s="2" t="inlineStr">
        <is>
          <t>FULL</t>
        </is>
      </c>
      <c r="T64" s="5">
        <f>IF(P64="FULL",40,IF(P64="PARTIAL",40/2,0))+IF(Q64="FULL",30,IF(Q64="PARTIAL",30/2,0))+IF(R64="FULL",20,IF(R64="PARTIAL",20/2,0))+IF(S64="FULL",10,IF(S64="PARTIAL",10/2,0))</f>
        <v/>
      </c>
      <c r="U64" s="5">
        <f>IF(P64="NOT_CHECKED",0,40)+IF(Q64="NOT_CHECKED",0,30)+IF(R64="NOT_CHECKED",0,20)+IF(S64="NOT_CHECKED",0,10)</f>
        <v/>
      </c>
      <c r="V64" s="5">
        <f>IF(U64=100,T64,"")</f>
        <v/>
      </c>
      <c r="W64" s="5">
        <f>T64</f>
        <v/>
      </c>
      <c r="X64" s="5">
        <f>T64+(100-U64)</f>
        <v/>
      </c>
      <c r="Y64" s="2" t="inlineStr"/>
      <c r="Z64" s="2" t="inlineStr">
        <is>
          <t>D:\Shopify_Workspace\jeminise_seo\seo_runs\jeminise.com\20260906_234129\qa\20260907_181200\images\119_05.jpg; 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row>
    <row r="65" ht="66" customHeight="1">
      <c r="A65" s="3" t="inlineStr">
        <is>
          <t>jeminise.com+custom-trucking-semi-truck-breaking-through-stone-wall-comforter-7a6b616ec4-7a6b616ec4</t>
        </is>
      </c>
      <c r="B65" s="3" t="inlineStr">
        <is>
          <t>img_802f1d86e991606b</t>
        </is>
      </c>
      <c r="C65" s="4" t="inlineStr">
        <is>
          <t>https://cdn.shopify.com/s/files/1/0792/5098/1063/files/7c006bddc94d4763c71c8376307e195c1bbce73b8c802ec73ac5a8cef1291262_8fd93ba1-2b09-4ab0-894b-66bb2e187d23.jpg?v=1785133965</t>
        </is>
      </c>
      <c r="D65" s="4" t="inlineStr">
        <is>
          <t>https://cdn.shopify.com/s/files/1/0792/5098/1063/files/7c006bddc94d4763c71c8376307e195c1bbce73b8c802ec73ac5a8cef1291262_8fd93ba1-2b09-4ab0-894b-66bb2e187d23.jpg?v=1785133965</t>
        </is>
      </c>
      <c r="E65" s="3" t="inlineStr">
        <is>
          <t>47548983509191</t>
        </is>
      </c>
      <c r="F65" s="3" t="inlineStr">
        <is>
          <t>47548983509191</t>
        </is>
      </c>
      <c r="G65" s="3" t="inlineStr"/>
      <c r="H65" s="3" t="inlineStr">
        <is>
          <t>GALLERY</t>
        </is>
      </c>
      <c r="I65" s="3" t="inlineStr">
        <is>
          <t>DIRECT_IMAGE_DOWNLOAD_AND_SOURCE_ROW_REVIEW</t>
        </is>
      </c>
      <c r="J65" s="3" t="inlineStr">
        <is>
          <t>2026-09-07T18:40:21+07:00</t>
        </is>
      </c>
      <c r="K65" s="3" t="inlineStr">
        <is>
          <t>Direct QA opened downloaded image 119_06; source SHA C44DD8C415D82F46E3913622731FCF66776A9B3B86746179C808AE27D8DDE649. Submitted observation reviewed against gallery position.</t>
        </is>
      </c>
      <c r="L65" s="3" t="inlineStr">
        <is>
          <t>Easy-care, size guide or product feature image for personalized red semi truck breaking through stone wall comforter.</t>
        </is>
      </c>
      <c r="M65" s="3" t="inlineStr">
        <is>
          <t>UNKNOWN</t>
        </is>
      </c>
      <c r="N65" s="3" t="inlineStr">
        <is>
          <t>SET</t>
        </is>
      </c>
      <c r="O65" s="3" t="inlineStr">
        <is>
          <t>Care, size or product feature image for Personalized Red Semi Truck Wall Comforter</t>
        </is>
      </c>
      <c r="P65" s="3" t="inlineStr">
        <is>
          <t>FULL</t>
        </is>
      </c>
      <c r="Q65" s="3" t="inlineStr">
        <is>
          <t>PARTIAL</t>
        </is>
      </c>
      <c r="R65" s="3" t="inlineStr">
        <is>
          <t>FULL</t>
        </is>
      </c>
      <c r="S65" s="3" t="inlineStr">
        <is>
          <t>FULL</t>
        </is>
      </c>
      <c r="T65" s="7">
        <f>IF(P65="FULL",40,IF(P65="PARTIAL",40/2,0))+IF(Q65="FULL",30,IF(Q65="PARTIAL",30/2,0))+IF(R65="FULL",20,IF(R65="PARTIAL",20/2,0))+IF(S65="FULL",10,IF(S65="PARTIAL",10/2,0))</f>
        <v/>
      </c>
      <c r="U65" s="7">
        <f>IF(P65="NOT_CHECKED",0,40)+IF(Q65="NOT_CHECKED",0,30)+IF(R65="NOT_CHECKED",0,20)+IF(S65="NOT_CHECKED",0,10)</f>
        <v/>
      </c>
      <c r="V65" s="7">
        <f>IF(U65=100,T65,"")</f>
        <v/>
      </c>
      <c r="W65" s="7">
        <f>T65</f>
        <v/>
      </c>
      <c r="X65" s="7">
        <f>T65+(100-U65)</f>
        <v/>
      </c>
      <c r="Y65" s="3" t="inlineStr">
        <is>
          <t>ISSUE-0081</t>
        </is>
      </c>
      <c r="Z65" s="3" t="inlineStr">
        <is>
          <t>D:\Shopify_Workspace\jeminise_seo\seo_runs\jeminise.com\20260906_234129\qa\20260907_181200\images\119_06.jpg; 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row>
    <row r="66" ht="66" customHeight="1">
      <c r="A66" s="2" t="inlineStr">
        <is>
          <t>jeminise.com+custom-trucking-semi-truck-breaking-through-stone-wall-comforter-7a6b616ec4-7a6b616ec4</t>
        </is>
      </c>
      <c r="B66" s="2" t="inlineStr">
        <is>
          <t>img_a8b5079977ff6daa</t>
        </is>
      </c>
      <c r="C66" s="4" t="inlineStr">
        <is>
          <t>https://cdn.shopify.com/s/files/1/0792/5098/1063/files/e5cad84edb4d7bf77c48fd7c8e52eb3b73f04eba8bf177671fd8a059c59422e8_d035c4b4-ae64-4d12-96cd-6b2f5af3bf09.jpg?v=1785133965</t>
        </is>
      </c>
      <c r="D66" s="4" t="inlineStr">
        <is>
          <t>https://cdn.shopify.com/s/files/1/0792/5098/1063/files/e5cad84edb4d7bf77c48fd7c8e52eb3b73f04eba8bf177671fd8a059c59422e8_d035c4b4-ae64-4d12-96cd-6b2f5af3bf09.jpg?v=1785133965</t>
        </is>
      </c>
      <c r="E66" s="2" t="inlineStr">
        <is>
          <t>47548983541959</t>
        </is>
      </c>
      <c r="F66" s="2" t="inlineStr">
        <is>
          <t>47548983541959</t>
        </is>
      </c>
      <c r="G66" s="2" t="inlineStr"/>
      <c r="H66" s="2" t="inlineStr">
        <is>
          <t>GALLERY</t>
        </is>
      </c>
      <c r="I66" s="2" t="inlineStr">
        <is>
          <t>DIRECT_IMAGE_DOWNLOAD_AND_SOURCE_ROW_REVIEW</t>
        </is>
      </c>
      <c r="J66" s="2" t="inlineStr">
        <is>
          <t>2026-09-07T18:40:21+07:00</t>
        </is>
      </c>
      <c r="K66" s="2" t="inlineStr">
        <is>
          <t>Direct QA opened downloaded image 119_07; source SHA CBACE79DF808456717E0EA3890B77255D63C670205730AD0356ABCD79BF0116C. Submitted observation reviewed against gallery position.</t>
        </is>
      </c>
      <c r="L66" s="2" t="inlineStr">
        <is>
          <t>Additional lifestyle, feature or product detail image showing personalized red semi truck breaking through stone wall comforter.</t>
        </is>
      </c>
      <c r="M66" s="2" t="inlineStr">
        <is>
          <t>UNKNOWN</t>
        </is>
      </c>
      <c r="N66" s="2" t="inlineStr">
        <is>
          <t>SET</t>
        </is>
      </c>
      <c r="O66" s="2" t="inlineStr">
        <is>
          <t>Additional product mockup of Personalized Red Semi Truck Wall Comforter</t>
        </is>
      </c>
      <c r="P66" s="2" t="inlineStr">
        <is>
          <t>FULL</t>
        </is>
      </c>
      <c r="Q66" s="2" t="inlineStr">
        <is>
          <t>PARTIAL</t>
        </is>
      </c>
      <c r="R66" s="2" t="inlineStr">
        <is>
          <t>FULL</t>
        </is>
      </c>
      <c r="S66" s="2" t="inlineStr">
        <is>
          <t>FULL</t>
        </is>
      </c>
      <c r="T66" s="5">
        <f>IF(P66="FULL",40,IF(P66="PARTIAL",40/2,0))+IF(Q66="FULL",30,IF(Q66="PARTIAL",30/2,0))+IF(R66="FULL",20,IF(R66="PARTIAL",20/2,0))+IF(S66="FULL",10,IF(S66="PARTIAL",10/2,0))</f>
        <v/>
      </c>
      <c r="U66" s="5">
        <f>IF(P66="NOT_CHECKED",0,40)+IF(Q66="NOT_CHECKED",0,30)+IF(R66="NOT_CHECKED",0,20)+IF(S66="NOT_CHECKED",0,10)</f>
        <v/>
      </c>
      <c r="V66" s="5">
        <f>IF(U66=100,T66,"")</f>
        <v/>
      </c>
      <c r="W66" s="5">
        <f>T66</f>
        <v/>
      </c>
      <c r="X66" s="5">
        <f>T66+(100-U66)</f>
        <v/>
      </c>
      <c r="Y66" s="2" t="inlineStr">
        <is>
          <t>ISSUE-0082</t>
        </is>
      </c>
      <c r="Z66" s="2" t="inlineStr">
        <is>
          <t>D:\Shopify_Workspace\jeminise_seo\seo_runs\jeminise.com\20260906_234129\qa\20260907_181200\images\119_07.jpg; 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row>
    <row r="67" ht="66" customHeight="1">
      <c r="A67" s="3" t="inlineStr">
        <is>
          <t>jeminise.com+custom-trucking-semi-truck-breaking-through-stone-wall-comforter-01281fb2d3-01281fb2d3</t>
        </is>
      </c>
      <c r="B67" s="3" t="inlineStr">
        <is>
          <t>img_7fd0f0b9766966aa</t>
        </is>
      </c>
      <c r="C67" s="4" t="inlineStr">
        <is>
          <t>https://cdn.shopify.com/s/files/1/0792/5098/1063/files/61cfa1e5652b3ee7840107df63fda2bfb8cab4a35cb4a071430717a13e9de438.jpg?v=1785134032</t>
        </is>
      </c>
      <c r="D67" s="4" t="inlineStr">
        <is>
          <t>https://cdn.shopify.com/s/files/1/0792/5098/1063/files/61cfa1e5652b3ee7840107df63fda2bfb8cab4a35cb4a071430717a13e9de438.jpg?v=1785134032</t>
        </is>
      </c>
      <c r="E67" s="3" t="inlineStr">
        <is>
          <t>47548988883143</t>
        </is>
      </c>
      <c r="F67" s="3" t="inlineStr">
        <is>
          <t>47548988883143</t>
        </is>
      </c>
      <c r="G67" s="3" t="inlineStr"/>
      <c r="H67" s="3" t="inlineStr">
        <is>
          <t>GALLERY</t>
        </is>
      </c>
      <c r="I67" s="3" t="inlineStr">
        <is>
          <t>DIRECT_IMAGE_DOWNLOAD_AND_SOURCE_ROW_REVIEW</t>
        </is>
      </c>
      <c r="J67" s="3" t="inlineStr">
        <is>
          <t>2026-09-07T18:40:21+07:00</t>
        </is>
      </c>
      <c r="K67" s="3" t="inlineStr">
        <is>
          <t>Direct QA opened downloaded image 120_01; source SHA 86359BEC3DC8B99479F462474C42DC03CE49191864A0D4CC682105F8A1B785B3. Submitted observation reviewed against gallery position.</t>
        </is>
      </c>
      <c r="L67" s="3" t="inlineStr">
        <is>
          <t>Main product mockup showing personalized black semi truck breaking through stone wall comforter.</t>
        </is>
      </c>
      <c r="M67" s="3" t="inlineStr">
        <is>
          <t>UNKNOWN</t>
        </is>
      </c>
      <c r="N67" s="3" t="inlineStr">
        <is>
          <t>SET</t>
        </is>
      </c>
      <c r="O67" s="3" t="inlineStr">
        <is>
          <t>Personalized Black Semi Truck Wall Comforter displayed in a main product mockup</t>
        </is>
      </c>
      <c r="P67" s="3" t="inlineStr">
        <is>
          <t>FULL</t>
        </is>
      </c>
      <c r="Q67" s="3" t="inlineStr">
        <is>
          <t>FULL</t>
        </is>
      </c>
      <c r="R67" s="3" t="inlineStr">
        <is>
          <t>PARTIAL</t>
        </is>
      </c>
      <c r="S67" s="3" t="inlineStr">
        <is>
          <t>FULL</t>
        </is>
      </c>
      <c r="T67" s="7">
        <f>IF(P67="FULL",40,IF(P67="PARTIAL",40/2,0))+IF(Q67="FULL",30,IF(Q67="PARTIAL",30/2,0))+IF(R67="FULL",20,IF(R67="PARTIAL",20/2,0))+IF(S67="FULL",10,IF(S67="PARTIAL",10/2,0))</f>
        <v/>
      </c>
      <c r="U67" s="7">
        <f>IF(P67="NOT_CHECKED",0,40)+IF(Q67="NOT_CHECKED",0,30)+IF(R67="NOT_CHECKED",0,20)+IF(S67="NOT_CHECKED",0,10)</f>
        <v/>
      </c>
      <c r="V67" s="7">
        <f>IF(U67=100,T67,"")</f>
        <v/>
      </c>
      <c r="W67" s="7">
        <f>T67</f>
        <v/>
      </c>
      <c r="X67" s="7">
        <f>T67+(100-U67)</f>
        <v/>
      </c>
      <c r="Y67" s="3" t="inlineStr">
        <is>
          <t>ISSUE-0087</t>
        </is>
      </c>
      <c r="Z67" s="3" t="inlineStr">
        <is>
          <t>D:\Shopify_Workspace\jeminise_seo\seo_runs\jeminise.com\20260906_234129\qa\20260907_181200\images\120_01.jpg; 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row>
    <row r="68" ht="66" customHeight="1">
      <c r="A68" s="2" t="inlineStr">
        <is>
          <t>jeminise.com+custom-trucking-semi-truck-breaking-through-stone-wall-comforter-01281fb2d3-01281fb2d3</t>
        </is>
      </c>
      <c r="B68" s="2" t="inlineStr">
        <is>
          <t>img_edf18b22932bb1d9</t>
        </is>
      </c>
      <c r="C68" s="4" t="inlineStr">
        <is>
          <t>https://cdn.shopify.com/s/files/1/0792/5098/1063/files/bddfb68dace62a4912ac4ec812fdfb3f5252565b50e055db3560361baa04d063.jpg?v=1785134032</t>
        </is>
      </c>
      <c r="D68" s="4" t="inlineStr">
        <is>
          <t>https://cdn.shopify.com/s/files/1/0792/5098/1063/files/bddfb68dace62a4912ac4ec812fdfb3f5252565b50e055db3560361baa04d063.jpg?v=1785134032</t>
        </is>
      </c>
      <c r="E68" s="2" t="inlineStr">
        <is>
          <t>47548988915911</t>
        </is>
      </c>
      <c r="F68" s="2" t="inlineStr">
        <is>
          <t>47548988915911</t>
        </is>
      </c>
      <c r="G68" s="2" t="inlineStr"/>
      <c r="H68" s="2" t="inlineStr">
        <is>
          <t>GALLERY</t>
        </is>
      </c>
      <c r="I68" s="2" t="inlineStr">
        <is>
          <t>DIRECT_IMAGE_DOWNLOAD_AND_SOURCE_ROW_REVIEW</t>
        </is>
      </c>
      <c r="J68" s="2" t="inlineStr">
        <is>
          <t>2026-09-07T18:40:21+07:00</t>
        </is>
      </c>
      <c r="K68" s="2" t="inlineStr">
        <is>
          <t>Direct QA opened downloaded image 120_02; source SHA 465E1E929838968571E061EED9F8D3C9CCAEF72E97CD16E0C0770B54ADF1DB82. Submitted observation reviewed against gallery position.</t>
        </is>
      </c>
      <c r="L68" s="2" t="inlineStr">
        <is>
          <t>Secondary flat, close-up or bedroom mockup showing personalized black semi truck breaking through stone wall comforter.</t>
        </is>
      </c>
      <c r="M68" s="2" t="inlineStr">
        <is>
          <t>UNKNOWN</t>
        </is>
      </c>
      <c r="N68" s="2" t="inlineStr">
        <is>
          <t>SET</t>
        </is>
      </c>
      <c r="O68" s="2" t="inlineStr">
        <is>
          <t>Secondary mockup of Personalized Black Semi Truck Wall Comforter</t>
        </is>
      </c>
      <c r="P68" s="2" t="inlineStr">
        <is>
          <t>FULL</t>
        </is>
      </c>
      <c r="Q68" s="2" t="inlineStr">
        <is>
          <t>FULL</t>
        </is>
      </c>
      <c r="R68" s="2" t="inlineStr">
        <is>
          <t>FULL</t>
        </is>
      </c>
      <c r="S68" s="2" t="inlineStr">
        <is>
          <t>FULL</t>
        </is>
      </c>
      <c r="T68" s="5">
        <f>IF(P68="FULL",40,IF(P68="PARTIAL",40/2,0))+IF(Q68="FULL",30,IF(Q68="PARTIAL",30/2,0))+IF(R68="FULL",20,IF(R68="PARTIAL",20/2,0))+IF(S68="FULL",10,IF(S68="PARTIAL",10/2,0))</f>
        <v/>
      </c>
      <c r="U68" s="5">
        <f>IF(P68="NOT_CHECKED",0,40)+IF(Q68="NOT_CHECKED",0,30)+IF(R68="NOT_CHECKED",0,20)+IF(S68="NOT_CHECKED",0,10)</f>
        <v/>
      </c>
      <c r="V68" s="5">
        <f>IF(U68=100,T68,"")</f>
        <v/>
      </c>
      <c r="W68" s="5">
        <f>T68</f>
        <v/>
      </c>
      <c r="X68" s="5">
        <f>T68+(100-U68)</f>
        <v/>
      </c>
      <c r="Y68" s="2" t="inlineStr"/>
      <c r="Z68" s="2" t="inlineStr">
        <is>
          <t>D:\Shopify_Workspace\jeminise_seo\seo_runs\jeminise.com\20260906_234129\qa\20260907_181200\images\120_02.jpg; 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row>
    <row r="69" ht="66" customHeight="1">
      <c r="A69" s="3" t="inlineStr">
        <is>
          <t>jeminise.com+custom-trucking-semi-truck-breaking-through-stone-wall-comforter-01281fb2d3-01281fb2d3</t>
        </is>
      </c>
      <c r="B69" s="3" t="inlineStr">
        <is>
          <t>img_3412c4dec0641125</t>
        </is>
      </c>
      <c r="C69" s="4" t="inlineStr">
        <is>
          <t>https://cdn.shopify.com/s/files/1/0792/5098/1063/files/16f7293cbefa5743a35b2e6316a5a114e5c052d08151e367dafd26aa5e2e542b_8f92ec6d-1529-4adf-aa11-2670aaa2e20d.jpg?v=1785134032</t>
        </is>
      </c>
      <c r="D69" s="4" t="inlineStr">
        <is>
          <t>https://cdn.shopify.com/s/files/1/0792/5098/1063/files/16f7293cbefa5743a35b2e6316a5a114e5c052d08151e367dafd26aa5e2e542b_8f92ec6d-1529-4adf-aa11-2670aaa2e20d.jpg?v=1785134032</t>
        </is>
      </c>
      <c r="E69" s="3" t="inlineStr">
        <is>
          <t>47548988948679</t>
        </is>
      </c>
      <c r="F69" s="3" t="inlineStr">
        <is>
          <t>47548988948679</t>
        </is>
      </c>
      <c r="G69" s="3" t="inlineStr"/>
      <c r="H69" s="3" t="inlineStr">
        <is>
          <t>GALLERY</t>
        </is>
      </c>
      <c r="I69" s="3" t="inlineStr">
        <is>
          <t>DIRECT_IMAGE_DOWNLOAD_AND_SOURCE_ROW_REVIEW</t>
        </is>
      </c>
      <c r="J69" s="3" t="inlineStr">
        <is>
          <t>2026-09-07T18:40:21+07:00</t>
        </is>
      </c>
      <c r="K69" s="3" t="inlineStr">
        <is>
          <t>Direct QA opened downloaded image 120_03; source SHA D1D7BB2E7BBC330A530F2D07CC17846B4F9F5EF39CD3A33528B7908CF2BF0286. Submitted observation reviewed against gallery position.</t>
        </is>
      </c>
      <c r="L69" s="3" t="inlineStr">
        <is>
          <t>Bedding type, feature, lifestyle or material image for personalized black semi truck breaking through stone wall comforter.</t>
        </is>
      </c>
      <c r="M69" s="3" t="inlineStr">
        <is>
          <t>UNKNOWN</t>
        </is>
      </c>
      <c r="N69" s="3" t="inlineStr">
        <is>
          <t>SET</t>
        </is>
      </c>
      <c r="O69" s="3" t="inlineStr">
        <is>
          <t>Product option, feature or lifestyle image for Personalized Black Semi Truck Wall Comforter</t>
        </is>
      </c>
      <c r="P69" s="3" t="inlineStr">
        <is>
          <t>FULL</t>
        </is>
      </c>
      <c r="Q69" s="3" t="inlineStr">
        <is>
          <t>PARTIAL</t>
        </is>
      </c>
      <c r="R69" s="3" t="inlineStr">
        <is>
          <t>FULL</t>
        </is>
      </c>
      <c r="S69" s="3" t="inlineStr">
        <is>
          <t>FULL</t>
        </is>
      </c>
      <c r="T69" s="7">
        <f>IF(P69="FULL",40,IF(P69="PARTIAL",40/2,0))+IF(Q69="FULL",30,IF(Q69="PARTIAL",30/2,0))+IF(R69="FULL",20,IF(R69="PARTIAL",20/2,0))+IF(S69="FULL",10,IF(S69="PARTIAL",10/2,0))</f>
        <v/>
      </c>
      <c r="U69" s="7">
        <f>IF(P69="NOT_CHECKED",0,40)+IF(Q69="NOT_CHECKED",0,30)+IF(R69="NOT_CHECKED",0,20)+IF(S69="NOT_CHECKED",0,10)</f>
        <v/>
      </c>
      <c r="V69" s="7">
        <f>IF(U69=100,T69,"")</f>
        <v/>
      </c>
      <c r="W69" s="7">
        <f>T69</f>
        <v/>
      </c>
      <c r="X69" s="7">
        <f>T69+(100-U69)</f>
        <v/>
      </c>
      <c r="Y69" s="3" t="inlineStr">
        <is>
          <t>ISSUE-0088</t>
        </is>
      </c>
      <c r="Z69" s="3" t="inlineStr">
        <is>
          <t>D:\Shopify_Workspace\jeminise_seo\seo_runs\jeminise.com\20260906_234129\qa\20260907_181200\images\120_03.jpg; 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row>
    <row r="70" ht="66" customHeight="1">
      <c r="A70" s="2" t="inlineStr">
        <is>
          <t>jeminise.com+custom-trucking-semi-truck-breaking-through-stone-wall-comforter-01281fb2d3-01281fb2d3</t>
        </is>
      </c>
      <c r="B70" s="2" t="inlineStr">
        <is>
          <t>img_782555498f4e5905</t>
        </is>
      </c>
      <c r="C70" s="4" t="inlineStr">
        <is>
          <t>https://cdn.shopify.com/s/files/1/0792/5098/1063/files/94c04fb6746eb86bce8416d10a9debc8871da8e63a3f71b9677d27a5bdfb0f45.jpg?v=1785134032</t>
        </is>
      </c>
      <c r="D70" s="4" t="inlineStr">
        <is>
          <t>https://cdn.shopify.com/s/files/1/0792/5098/1063/files/94c04fb6746eb86bce8416d10a9debc8871da8e63a3f71b9677d27a5bdfb0f45.jpg?v=1785134032</t>
        </is>
      </c>
      <c r="E70" s="2" t="inlineStr">
        <is>
          <t>47548988981447</t>
        </is>
      </c>
      <c r="F70" s="2" t="inlineStr">
        <is>
          <t>47548988981447</t>
        </is>
      </c>
      <c r="G70" s="2" t="inlineStr"/>
      <c r="H70" s="2" t="inlineStr">
        <is>
          <t>GALLERY</t>
        </is>
      </c>
      <c r="I70" s="2" t="inlineStr">
        <is>
          <t>DIRECT_IMAGE_DOWNLOAD_AND_SOURCE_ROW_REVIEW</t>
        </is>
      </c>
      <c r="J70" s="2" t="inlineStr">
        <is>
          <t>2026-09-07T18:40:21+07:00</t>
        </is>
      </c>
      <c r="K70" s="2" t="inlineStr">
        <is>
          <t>Direct QA opened downloaded image 120_04; source SHA 1C64C9188C6F4B8EFC6D78B2DEEFA51703ECA6F1A4E0A97CB685D39BD809F6DA. Submitted observation reviewed against gallery position.</t>
        </is>
      </c>
      <c r="L70" s="2" t="inlineStr">
        <is>
          <t>Detail, feature panel or lifestyle image connected to personalized black semi truck breaking through stone wall comforter.</t>
        </is>
      </c>
      <c r="M70" s="2" t="inlineStr">
        <is>
          <t>UNKNOWN</t>
        </is>
      </c>
      <c r="N70" s="2" t="inlineStr">
        <is>
          <t>SET</t>
        </is>
      </c>
      <c r="O70" s="2" t="inlineStr">
        <is>
          <t>Detail or feature image for Personalized Black Semi Truck Wall Comforter</t>
        </is>
      </c>
      <c r="P70" s="2" t="inlineStr">
        <is>
          <t>FULL</t>
        </is>
      </c>
      <c r="Q70" s="2" t="inlineStr">
        <is>
          <t>PARTIAL</t>
        </is>
      </c>
      <c r="R70" s="2" t="inlineStr">
        <is>
          <t>FULL</t>
        </is>
      </c>
      <c r="S70" s="2" t="inlineStr">
        <is>
          <t>FULL</t>
        </is>
      </c>
      <c r="T70" s="5">
        <f>IF(P70="FULL",40,IF(P70="PARTIAL",40/2,0))+IF(Q70="FULL",30,IF(Q70="PARTIAL",30/2,0))+IF(R70="FULL",20,IF(R70="PARTIAL",20/2,0))+IF(S70="FULL",10,IF(S70="PARTIAL",10/2,0))</f>
        <v/>
      </c>
      <c r="U70" s="5">
        <f>IF(P70="NOT_CHECKED",0,40)+IF(Q70="NOT_CHECKED",0,30)+IF(R70="NOT_CHECKED",0,20)+IF(S70="NOT_CHECKED",0,10)</f>
        <v/>
      </c>
      <c r="V70" s="5">
        <f>IF(U70=100,T70,"")</f>
        <v/>
      </c>
      <c r="W70" s="5">
        <f>T70</f>
        <v/>
      </c>
      <c r="X70" s="5">
        <f>T70+(100-U70)</f>
        <v/>
      </c>
      <c r="Y70" s="2" t="inlineStr">
        <is>
          <t>ISSUE-0089</t>
        </is>
      </c>
      <c r="Z70" s="2" t="inlineStr">
        <is>
          <t>D:\Shopify_Workspace\jeminise_seo\seo_runs\jeminise.com\20260906_234129\qa\20260907_181200\images\120_04.jpg; 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row>
    <row r="71" ht="66" customHeight="1">
      <c r="A71" s="3" t="inlineStr">
        <is>
          <t>jeminise.com+custom-trucking-semi-truck-breaking-through-stone-wall-comforter-01281fb2d3-01281fb2d3</t>
        </is>
      </c>
      <c r="B71" s="3" t="inlineStr">
        <is>
          <t>img_c3ef57f94e551155</t>
        </is>
      </c>
      <c r="C71" s="4" t="inlineStr">
        <is>
          <t>https://cdn.shopify.com/s/files/1/0792/5098/1063/files/97b73aa88cfb5d939beac7e61ba049f706f4e2859c02307231fa8b368ad14fed.jpg?v=1785134032</t>
        </is>
      </c>
      <c r="D71" s="4" t="inlineStr">
        <is>
          <t>https://cdn.shopify.com/s/files/1/0792/5098/1063/files/97b73aa88cfb5d939beac7e61ba049f706f4e2859c02307231fa8b368ad14fed.jpg?v=1785134032</t>
        </is>
      </c>
      <c r="E71" s="3" t="inlineStr">
        <is>
          <t>47548989014215</t>
        </is>
      </c>
      <c r="F71" s="3" t="inlineStr">
        <is>
          <t>47548989014215</t>
        </is>
      </c>
      <c r="G71" s="3" t="inlineStr"/>
      <c r="H71" s="3" t="inlineStr">
        <is>
          <t>GALLERY</t>
        </is>
      </c>
      <c r="I71" s="3" t="inlineStr">
        <is>
          <t>DIRECT_IMAGE_DOWNLOAD_AND_SOURCE_ROW_REVIEW</t>
        </is>
      </c>
      <c r="J71" s="3" t="inlineStr">
        <is>
          <t>2026-09-07T18:40:21+07:00</t>
        </is>
      </c>
      <c r="K71" s="3" t="inlineStr">
        <is>
          <t>Direct QA opened downloaded image 120_05; source SHA EA7B359035FE86A5DA57AFBFDC2D6E7A220ECB55318755D4D7882BB40C058914. Submitted observation reviewed against gallery position.</t>
        </is>
      </c>
      <c r="L71" s="3" t="inlineStr">
        <is>
          <t>Additional mockup, care or size information for personalized black semi truck breaking through stone wall comforter.</t>
        </is>
      </c>
      <c r="M71" s="3" t="inlineStr">
        <is>
          <t>UNKNOWN</t>
        </is>
      </c>
      <c r="N71" s="3" t="inlineStr">
        <is>
          <t>SET</t>
        </is>
      </c>
      <c r="O71" s="3" t="inlineStr">
        <is>
          <t>Additional product mockup or care information for Personalized Black Semi Truck Wall Comforter</t>
        </is>
      </c>
      <c r="P71" s="3" t="inlineStr">
        <is>
          <t>FULL</t>
        </is>
      </c>
      <c r="Q71" s="3" t="inlineStr">
        <is>
          <t>FULL</t>
        </is>
      </c>
      <c r="R71" s="3" t="inlineStr">
        <is>
          <t>FULL</t>
        </is>
      </c>
      <c r="S71" s="3" t="inlineStr">
        <is>
          <t>FULL</t>
        </is>
      </c>
      <c r="T71" s="7">
        <f>IF(P71="FULL",40,IF(P71="PARTIAL",40/2,0))+IF(Q71="FULL",30,IF(Q71="PARTIAL",30/2,0))+IF(R71="FULL",20,IF(R71="PARTIAL",20/2,0))+IF(S71="FULL",10,IF(S71="PARTIAL",10/2,0))</f>
        <v/>
      </c>
      <c r="U71" s="7">
        <f>IF(P71="NOT_CHECKED",0,40)+IF(Q71="NOT_CHECKED",0,30)+IF(R71="NOT_CHECKED",0,20)+IF(S71="NOT_CHECKED",0,10)</f>
        <v/>
      </c>
      <c r="V71" s="7">
        <f>IF(U71=100,T71,"")</f>
        <v/>
      </c>
      <c r="W71" s="7">
        <f>T71</f>
        <v/>
      </c>
      <c r="X71" s="7">
        <f>T71+(100-U71)</f>
        <v/>
      </c>
      <c r="Y71" s="3" t="inlineStr"/>
      <c r="Z71" s="3" t="inlineStr">
        <is>
          <t>D:\Shopify_Workspace\jeminise_seo\seo_runs\jeminise.com\20260906_234129\qa\20260907_181200\images\120_05.jpg; 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row>
    <row r="72" ht="66" customHeight="1">
      <c r="A72" s="2" t="inlineStr">
        <is>
          <t>jeminise.com+custom-trucking-semi-truck-breaking-through-stone-wall-comforter-01281fb2d3-01281fb2d3</t>
        </is>
      </c>
      <c r="B72" s="2" t="inlineStr">
        <is>
          <t>img_4f2b008c7b96ab5d</t>
        </is>
      </c>
      <c r="C72" s="4" t="inlineStr">
        <is>
          <t>https://cdn.shopify.com/s/files/1/0792/5098/1063/files/7c006bddc94d4763c71c8376307e195c1bbce73b8c802ec73ac5a8cef1291262_af90d80b-29e8-41e6-83ea-ee7736f7a491.jpg?v=1785134032</t>
        </is>
      </c>
      <c r="D72" s="4" t="inlineStr">
        <is>
          <t>https://cdn.shopify.com/s/files/1/0792/5098/1063/files/7c006bddc94d4763c71c8376307e195c1bbce73b8c802ec73ac5a8cef1291262_af90d80b-29e8-41e6-83ea-ee7736f7a491.jpg?v=1785134032</t>
        </is>
      </c>
      <c r="E72" s="2" t="inlineStr">
        <is>
          <t>47548989046983</t>
        </is>
      </c>
      <c r="F72" s="2" t="inlineStr">
        <is>
          <t>47548989046983</t>
        </is>
      </c>
      <c r="G72" s="2" t="inlineStr"/>
      <c r="H72" s="2" t="inlineStr">
        <is>
          <t>GALLERY</t>
        </is>
      </c>
      <c r="I72" s="2" t="inlineStr">
        <is>
          <t>DIRECT_IMAGE_DOWNLOAD_AND_SOURCE_ROW_REVIEW</t>
        </is>
      </c>
      <c r="J72" s="2" t="inlineStr">
        <is>
          <t>2026-09-07T18:40:21+07:00</t>
        </is>
      </c>
      <c r="K72" s="2" t="inlineStr">
        <is>
          <t>Direct QA opened downloaded image 120_06; source SHA C44DD8C415D82F46E3913622731FCF66776A9B3B86746179C808AE27D8DDE649. Submitted observation reviewed against gallery position.</t>
        </is>
      </c>
      <c r="L72" s="2" t="inlineStr">
        <is>
          <t>Easy-care, size guide or product feature image for personalized black semi truck breaking through stone wall comforter.</t>
        </is>
      </c>
      <c r="M72" s="2" t="inlineStr">
        <is>
          <t>UNKNOWN</t>
        </is>
      </c>
      <c r="N72" s="2" t="inlineStr">
        <is>
          <t>SET</t>
        </is>
      </c>
      <c r="O72" s="2" t="inlineStr">
        <is>
          <t>Care, size or product feature image for Personalized Black Semi Truck Wall Comforter</t>
        </is>
      </c>
      <c r="P72" s="2" t="inlineStr">
        <is>
          <t>FULL</t>
        </is>
      </c>
      <c r="Q72" s="2" t="inlineStr">
        <is>
          <t>PARTIAL</t>
        </is>
      </c>
      <c r="R72" s="2" t="inlineStr">
        <is>
          <t>FULL</t>
        </is>
      </c>
      <c r="S72" s="2" t="inlineStr">
        <is>
          <t>FULL</t>
        </is>
      </c>
      <c r="T72" s="5">
        <f>IF(P72="FULL",40,IF(P72="PARTIAL",40/2,0))+IF(Q72="FULL",30,IF(Q72="PARTIAL",30/2,0))+IF(R72="FULL",20,IF(R72="PARTIAL",20/2,0))+IF(S72="FULL",10,IF(S72="PARTIAL",10/2,0))</f>
        <v/>
      </c>
      <c r="U72" s="5">
        <f>IF(P72="NOT_CHECKED",0,40)+IF(Q72="NOT_CHECKED",0,30)+IF(R72="NOT_CHECKED",0,20)+IF(S72="NOT_CHECKED",0,10)</f>
        <v/>
      </c>
      <c r="V72" s="5">
        <f>IF(U72=100,T72,"")</f>
        <v/>
      </c>
      <c r="W72" s="5">
        <f>T72</f>
        <v/>
      </c>
      <c r="X72" s="5">
        <f>T72+(100-U72)</f>
        <v/>
      </c>
      <c r="Y72" s="2" t="inlineStr">
        <is>
          <t>ISSUE-0090</t>
        </is>
      </c>
      <c r="Z72" s="2" t="inlineStr">
        <is>
          <t>D:\Shopify_Workspace\jeminise_seo\seo_runs\jeminise.com\20260906_234129\qa\20260907_181200\images\120_06.jpg; 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row>
    <row r="73" ht="66" customHeight="1">
      <c r="A73" s="3" t="inlineStr">
        <is>
          <t>jeminise.com+custom-trucking-semi-truck-breaking-through-stone-wall-comforter-01281fb2d3-01281fb2d3</t>
        </is>
      </c>
      <c r="B73" s="3" t="inlineStr">
        <is>
          <t>img_51e89b6356c7c517</t>
        </is>
      </c>
      <c r="C73" s="4" t="inlineStr">
        <is>
          <t>https://cdn.shopify.com/s/files/1/0792/5098/1063/files/e5cad84edb4d7bf77c48fd7c8e52eb3b73f04eba8bf177671fd8a059c59422e8_4bc9d0c4-1fdd-4ce6-b49e-b1a0b2ddff0c.jpg?v=1785134032</t>
        </is>
      </c>
      <c r="D73" s="4" t="inlineStr">
        <is>
          <t>https://cdn.shopify.com/s/files/1/0792/5098/1063/files/e5cad84edb4d7bf77c48fd7c8e52eb3b73f04eba8bf177671fd8a059c59422e8_4bc9d0c4-1fdd-4ce6-b49e-b1a0b2ddff0c.jpg?v=1785134032</t>
        </is>
      </c>
      <c r="E73" s="3" t="inlineStr">
        <is>
          <t>47548989079751</t>
        </is>
      </c>
      <c r="F73" s="3" t="inlineStr">
        <is>
          <t>47548989079751</t>
        </is>
      </c>
      <c r="G73" s="3" t="inlineStr"/>
      <c r="H73" s="3" t="inlineStr">
        <is>
          <t>GALLERY</t>
        </is>
      </c>
      <c r="I73" s="3" t="inlineStr">
        <is>
          <t>DIRECT_IMAGE_DOWNLOAD_AND_SOURCE_ROW_REVIEW</t>
        </is>
      </c>
      <c r="J73" s="3" t="inlineStr">
        <is>
          <t>2026-09-07T18:40:21+07:00</t>
        </is>
      </c>
      <c r="K73" s="3" t="inlineStr">
        <is>
          <t>Direct QA opened downloaded image 120_07; source SHA CBACE79DF808456717E0EA3890B77255D63C670205730AD0356ABCD79BF0116C. Submitted observation reviewed against gallery position.</t>
        </is>
      </c>
      <c r="L73" s="3" t="inlineStr">
        <is>
          <t>Additional lifestyle, feature or product detail image showing personalized black semi truck breaking through stone wall comforter.</t>
        </is>
      </c>
      <c r="M73" s="3" t="inlineStr">
        <is>
          <t>UNKNOWN</t>
        </is>
      </c>
      <c r="N73" s="3" t="inlineStr">
        <is>
          <t>SET</t>
        </is>
      </c>
      <c r="O73" s="3" t="inlineStr">
        <is>
          <t>Additional product mockup of Personalized Black Semi Truck Wall Comforter</t>
        </is>
      </c>
      <c r="P73" s="3" t="inlineStr">
        <is>
          <t>FULL</t>
        </is>
      </c>
      <c r="Q73" s="3" t="inlineStr">
        <is>
          <t>PARTIAL</t>
        </is>
      </c>
      <c r="R73" s="3" t="inlineStr">
        <is>
          <t>FULL</t>
        </is>
      </c>
      <c r="S73" s="3" t="inlineStr">
        <is>
          <t>FULL</t>
        </is>
      </c>
      <c r="T73" s="7">
        <f>IF(P73="FULL",40,IF(P73="PARTIAL",40/2,0))+IF(Q73="FULL",30,IF(Q73="PARTIAL",30/2,0))+IF(R73="FULL",20,IF(R73="PARTIAL",20/2,0))+IF(S73="FULL",10,IF(S73="PARTIAL",10/2,0))</f>
        <v/>
      </c>
      <c r="U73" s="7">
        <f>IF(P73="NOT_CHECKED",0,40)+IF(Q73="NOT_CHECKED",0,30)+IF(R73="NOT_CHECKED",0,20)+IF(S73="NOT_CHECKED",0,10)</f>
        <v/>
      </c>
      <c r="V73" s="7">
        <f>IF(U73=100,T73,"")</f>
        <v/>
      </c>
      <c r="W73" s="7">
        <f>T73</f>
        <v/>
      </c>
      <c r="X73" s="7">
        <f>T73+(100-U73)</f>
        <v/>
      </c>
      <c r="Y73" s="3" t="inlineStr">
        <is>
          <t>ISSUE-0091</t>
        </is>
      </c>
      <c r="Z73" s="3" t="inlineStr">
        <is>
          <t>D:\Shopify_Workspace\jeminise_seo\seo_runs\jeminise.com\20260906_234129\qa\20260907_181200\images\120_07.jpg; 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row>
  </sheetData>
  <autoFilter ref="A1:Z73"/>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 xmlns:r="http://schemas.openxmlformats.org/officeDocument/2006/relationships" ref="C22" r:id="rId41"/>
    <hyperlink xmlns:r="http://schemas.openxmlformats.org/officeDocument/2006/relationships" ref="D22" r:id="rId42"/>
    <hyperlink xmlns:r="http://schemas.openxmlformats.org/officeDocument/2006/relationships" ref="C23" r:id="rId43"/>
    <hyperlink xmlns:r="http://schemas.openxmlformats.org/officeDocument/2006/relationships" ref="D23" r:id="rId44"/>
    <hyperlink xmlns:r="http://schemas.openxmlformats.org/officeDocument/2006/relationships" ref="C24" r:id="rId45"/>
    <hyperlink xmlns:r="http://schemas.openxmlformats.org/officeDocument/2006/relationships" ref="D24" r:id="rId46"/>
    <hyperlink xmlns:r="http://schemas.openxmlformats.org/officeDocument/2006/relationships" ref="C25" r:id="rId47"/>
    <hyperlink xmlns:r="http://schemas.openxmlformats.org/officeDocument/2006/relationships" ref="D25" r:id="rId48"/>
    <hyperlink xmlns:r="http://schemas.openxmlformats.org/officeDocument/2006/relationships" ref="C26" r:id="rId49"/>
    <hyperlink xmlns:r="http://schemas.openxmlformats.org/officeDocument/2006/relationships" ref="D26" r:id="rId50"/>
    <hyperlink xmlns:r="http://schemas.openxmlformats.org/officeDocument/2006/relationships" ref="C27" r:id="rId51"/>
    <hyperlink xmlns:r="http://schemas.openxmlformats.org/officeDocument/2006/relationships" ref="D27" r:id="rId52"/>
    <hyperlink xmlns:r="http://schemas.openxmlformats.org/officeDocument/2006/relationships" ref="C28" r:id="rId53"/>
    <hyperlink xmlns:r="http://schemas.openxmlformats.org/officeDocument/2006/relationships" ref="D28" r:id="rId54"/>
    <hyperlink xmlns:r="http://schemas.openxmlformats.org/officeDocument/2006/relationships" ref="C29" r:id="rId55"/>
    <hyperlink xmlns:r="http://schemas.openxmlformats.org/officeDocument/2006/relationships" ref="D29" r:id="rId56"/>
    <hyperlink xmlns:r="http://schemas.openxmlformats.org/officeDocument/2006/relationships" ref="C30" r:id="rId57"/>
    <hyperlink xmlns:r="http://schemas.openxmlformats.org/officeDocument/2006/relationships" ref="D30" r:id="rId58"/>
    <hyperlink xmlns:r="http://schemas.openxmlformats.org/officeDocument/2006/relationships" ref="C31" r:id="rId59"/>
    <hyperlink xmlns:r="http://schemas.openxmlformats.org/officeDocument/2006/relationships" ref="D31" r:id="rId60"/>
    <hyperlink xmlns:r="http://schemas.openxmlformats.org/officeDocument/2006/relationships" ref="C32" r:id="rId61"/>
    <hyperlink xmlns:r="http://schemas.openxmlformats.org/officeDocument/2006/relationships" ref="D32" r:id="rId62"/>
    <hyperlink xmlns:r="http://schemas.openxmlformats.org/officeDocument/2006/relationships" ref="C33" r:id="rId63"/>
    <hyperlink xmlns:r="http://schemas.openxmlformats.org/officeDocument/2006/relationships" ref="D33" r:id="rId64"/>
    <hyperlink xmlns:r="http://schemas.openxmlformats.org/officeDocument/2006/relationships" ref="C34" r:id="rId65"/>
    <hyperlink xmlns:r="http://schemas.openxmlformats.org/officeDocument/2006/relationships" ref="D34" r:id="rId66"/>
    <hyperlink xmlns:r="http://schemas.openxmlformats.org/officeDocument/2006/relationships" ref="C35" r:id="rId67"/>
    <hyperlink xmlns:r="http://schemas.openxmlformats.org/officeDocument/2006/relationships" ref="D35" r:id="rId68"/>
    <hyperlink xmlns:r="http://schemas.openxmlformats.org/officeDocument/2006/relationships" ref="C36" r:id="rId69"/>
    <hyperlink xmlns:r="http://schemas.openxmlformats.org/officeDocument/2006/relationships" ref="D36" r:id="rId70"/>
    <hyperlink xmlns:r="http://schemas.openxmlformats.org/officeDocument/2006/relationships" ref="C37" r:id="rId71"/>
    <hyperlink xmlns:r="http://schemas.openxmlformats.org/officeDocument/2006/relationships" ref="D37" r:id="rId72"/>
    <hyperlink xmlns:r="http://schemas.openxmlformats.org/officeDocument/2006/relationships" ref="C38" r:id="rId73"/>
    <hyperlink xmlns:r="http://schemas.openxmlformats.org/officeDocument/2006/relationships" ref="D38" r:id="rId74"/>
    <hyperlink xmlns:r="http://schemas.openxmlformats.org/officeDocument/2006/relationships" ref="C39" r:id="rId75"/>
    <hyperlink xmlns:r="http://schemas.openxmlformats.org/officeDocument/2006/relationships" ref="D39" r:id="rId76"/>
    <hyperlink xmlns:r="http://schemas.openxmlformats.org/officeDocument/2006/relationships" ref="C40" r:id="rId77"/>
    <hyperlink xmlns:r="http://schemas.openxmlformats.org/officeDocument/2006/relationships" ref="D40" r:id="rId78"/>
    <hyperlink xmlns:r="http://schemas.openxmlformats.org/officeDocument/2006/relationships" ref="C41" r:id="rId79"/>
    <hyperlink xmlns:r="http://schemas.openxmlformats.org/officeDocument/2006/relationships" ref="D41" r:id="rId80"/>
    <hyperlink xmlns:r="http://schemas.openxmlformats.org/officeDocument/2006/relationships" ref="C42" r:id="rId81"/>
    <hyperlink xmlns:r="http://schemas.openxmlformats.org/officeDocument/2006/relationships" ref="D42" r:id="rId82"/>
    <hyperlink xmlns:r="http://schemas.openxmlformats.org/officeDocument/2006/relationships" ref="C43" r:id="rId83"/>
    <hyperlink xmlns:r="http://schemas.openxmlformats.org/officeDocument/2006/relationships" ref="D43" r:id="rId84"/>
    <hyperlink xmlns:r="http://schemas.openxmlformats.org/officeDocument/2006/relationships" ref="C44" r:id="rId85"/>
    <hyperlink xmlns:r="http://schemas.openxmlformats.org/officeDocument/2006/relationships" ref="D44" r:id="rId86"/>
    <hyperlink xmlns:r="http://schemas.openxmlformats.org/officeDocument/2006/relationships" ref="C45" r:id="rId87"/>
    <hyperlink xmlns:r="http://schemas.openxmlformats.org/officeDocument/2006/relationships" ref="D45" r:id="rId88"/>
    <hyperlink xmlns:r="http://schemas.openxmlformats.org/officeDocument/2006/relationships" ref="C46" r:id="rId89"/>
    <hyperlink xmlns:r="http://schemas.openxmlformats.org/officeDocument/2006/relationships" ref="D46" r:id="rId90"/>
    <hyperlink xmlns:r="http://schemas.openxmlformats.org/officeDocument/2006/relationships" ref="C47" r:id="rId91"/>
    <hyperlink xmlns:r="http://schemas.openxmlformats.org/officeDocument/2006/relationships" ref="D47" r:id="rId92"/>
    <hyperlink xmlns:r="http://schemas.openxmlformats.org/officeDocument/2006/relationships" ref="C48" r:id="rId93"/>
    <hyperlink xmlns:r="http://schemas.openxmlformats.org/officeDocument/2006/relationships" ref="D48" r:id="rId94"/>
    <hyperlink xmlns:r="http://schemas.openxmlformats.org/officeDocument/2006/relationships" ref="C49" r:id="rId95"/>
    <hyperlink xmlns:r="http://schemas.openxmlformats.org/officeDocument/2006/relationships" ref="D49" r:id="rId96"/>
    <hyperlink xmlns:r="http://schemas.openxmlformats.org/officeDocument/2006/relationships" ref="C50" r:id="rId97"/>
    <hyperlink xmlns:r="http://schemas.openxmlformats.org/officeDocument/2006/relationships" ref="D50" r:id="rId98"/>
    <hyperlink xmlns:r="http://schemas.openxmlformats.org/officeDocument/2006/relationships" ref="C51" r:id="rId99"/>
    <hyperlink xmlns:r="http://schemas.openxmlformats.org/officeDocument/2006/relationships" ref="D51" r:id="rId100"/>
    <hyperlink xmlns:r="http://schemas.openxmlformats.org/officeDocument/2006/relationships" ref="C52" r:id="rId101"/>
    <hyperlink xmlns:r="http://schemas.openxmlformats.org/officeDocument/2006/relationships" ref="D52" r:id="rId102"/>
    <hyperlink xmlns:r="http://schemas.openxmlformats.org/officeDocument/2006/relationships" ref="C53" r:id="rId103"/>
    <hyperlink xmlns:r="http://schemas.openxmlformats.org/officeDocument/2006/relationships" ref="D53" r:id="rId104"/>
    <hyperlink xmlns:r="http://schemas.openxmlformats.org/officeDocument/2006/relationships" ref="C54" r:id="rId105"/>
    <hyperlink xmlns:r="http://schemas.openxmlformats.org/officeDocument/2006/relationships" ref="D54" r:id="rId106"/>
    <hyperlink xmlns:r="http://schemas.openxmlformats.org/officeDocument/2006/relationships" ref="C55" r:id="rId107"/>
    <hyperlink xmlns:r="http://schemas.openxmlformats.org/officeDocument/2006/relationships" ref="D55" r:id="rId108"/>
    <hyperlink xmlns:r="http://schemas.openxmlformats.org/officeDocument/2006/relationships" ref="C56" r:id="rId109"/>
    <hyperlink xmlns:r="http://schemas.openxmlformats.org/officeDocument/2006/relationships" ref="D56" r:id="rId110"/>
    <hyperlink xmlns:r="http://schemas.openxmlformats.org/officeDocument/2006/relationships" ref="C57" r:id="rId111"/>
    <hyperlink xmlns:r="http://schemas.openxmlformats.org/officeDocument/2006/relationships" ref="D57" r:id="rId112"/>
    <hyperlink xmlns:r="http://schemas.openxmlformats.org/officeDocument/2006/relationships" ref="C58" r:id="rId113"/>
    <hyperlink xmlns:r="http://schemas.openxmlformats.org/officeDocument/2006/relationships" ref="D58" r:id="rId114"/>
    <hyperlink xmlns:r="http://schemas.openxmlformats.org/officeDocument/2006/relationships" ref="C59" r:id="rId115"/>
    <hyperlink xmlns:r="http://schemas.openxmlformats.org/officeDocument/2006/relationships" ref="D59" r:id="rId116"/>
    <hyperlink xmlns:r="http://schemas.openxmlformats.org/officeDocument/2006/relationships" ref="C60" r:id="rId117"/>
    <hyperlink xmlns:r="http://schemas.openxmlformats.org/officeDocument/2006/relationships" ref="D60" r:id="rId118"/>
    <hyperlink xmlns:r="http://schemas.openxmlformats.org/officeDocument/2006/relationships" ref="C61" r:id="rId119"/>
    <hyperlink xmlns:r="http://schemas.openxmlformats.org/officeDocument/2006/relationships" ref="D61" r:id="rId120"/>
    <hyperlink xmlns:r="http://schemas.openxmlformats.org/officeDocument/2006/relationships" ref="C62" r:id="rId121"/>
    <hyperlink xmlns:r="http://schemas.openxmlformats.org/officeDocument/2006/relationships" ref="D62" r:id="rId122"/>
    <hyperlink xmlns:r="http://schemas.openxmlformats.org/officeDocument/2006/relationships" ref="C63" r:id="rId123"/>
    <hyperlink xmlns:r="http://schemas.openxmlformats.org/officeDocument/2006/relationships" ref="D63" r:id="rId124"/>
    <hyperlink xmlns:r="http://schemas.openxmlformats.org/officeDocument/2006/relationships" ref="C64" r:id="rId125"/>
    <hyperlink xmlns:r="http://schemas.openxmlformats.org/officeDocument/2006/relationships" ref="D64" r:id="rId126"/>
    <hyperlink xmlns:r="http://schemas.openxmlformats.org/officeDocument/2006/relationships" ref="C65" r:id="rId127"/>
    <hyperlink xmlns:r="http://schemas.openxmlformats.org/officeDocument/2006/relationships" ref="D65" r:id="rId128"/>
    <hyperlink xmlns:r="http://schemas.openxmlformats.org/officeDocument/2006/relationships" ref="C66" r:id="rId129"/>
    <hyperlink xmlns:r="http://schemas.openxmlformats.org/officeDocument/2006/relationships" ref="D66" r:id="rId130"/>
    <hyperlink xmlns:r="http://schemas.openxmlformats.org/officeDocument/2006/relationships" ref="C67" r:id="rId131"/>
    <hyperlink xmlns:r="http://schemas.openxmlformats.org/officeDocument/2006/relationships" ref="D67" r:id="rId132"/>
    <hyperlink xmlns:r="http://schemas.openxmlformats.org/officeDocument/2006/relationships" ref="C68" r:id="rId133"/>
    <hyperlink xmlns:r="http://schemas.openxmlformats.org/officeDocument/2006/relationships" ref="D68" r:id="rId134"/>
    <hyperlink xmlns:r="http://schemas.openxmlformats.org/officeDocument/2006/relationships" ref="C69" r:id="rId135"/>
    <hyperlink xmlns:r="http://schemas.openxmlformats.org/officeDocument/2006/relationships" ref="D69" r:id="rId136"/>
    <hyperlink xmlns:r="http://schemas.openxmlformats.org/officeDocument/2006/relationships" ref="C70" r:id="rId137"/>
    <hyperlink xmlns:r="http://schemas.openxmlformats.org/officeDocument/2006/relationships" ref="D70" r:id="rId138"/>
    <hyperlink xmlns:r="http://schemas.openxmlformats.org/officeDocument/2006/relationships" ref="C71" r:id="rId139"/>
    <hyperlink xmlns:r="http://schemas.openxmlformats.org/officeDocument/2006/relationships" ref="D71" r:id="rId140"/>
    <hyperlink xmlns:r="http://schemas.openxmlformats.org/officeDocument/2006/relationships" ref="C72" r:id="rId141"/>
    <hyperlink xmlns:r="http://schemas.openxmlformats.org/officeDocument/2006/relationships" ref="D72" r:id="rId142"/>
    <hyperlink xmlns:r="http://schemas.openxmlformats.org/officeDocument/2006/relationships" ref="C73" r:id="rId143"/>
    <hyperlink xmlns:r="http://schemas.openxmlformats.org/officeDocument/2006/relationships" ref="D73" r:id="rId144"/>
  </hyperlinks>
  <printOptions horizontalCentered="0"/>
  <pageMargins left="0.25" right="0.25" top="0.5" bottom="0.5" header="0.5" footer="0.5"/>
  <pageSetup orientation="landscape" fitToHeight="0" fitToWidth="3"/>
</worksheet>
</file>

<file path=xl/worksheets/sheet5.xml><?xml version="1.0" encoding="utf-8"?>
<worksheet xmlns="http://schemas.openxmlformats.org/spreadsheetml/2006/main">
  <sheetPr>
    <outlinePr summaryBelow="1" summaryRight="1"/>
    <pageSetUpPr fitToPage="1"/>
  </sheetPr>
  <dimension ref="A1:K92"/>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20" customWidth="1" min="3" max="3"/>
    <col width="20" customWidth="1" min="4" max="4"/>
    <col width="24" customWidth="1" min="5" max="5"/>
    <col width="42" customWidth="1" min="6" max="6"/>
    <col width="42" customWidth="1" min="7" max="7"/>
    <col width="42" customWidth="1" min="8" max="8"/>
    <col width="42" customWidth="1" min="9" max="9"/>
    <col width="42" customWidth="1" min="10" max="10"/>
    <col width="42" customWidth="1" min="11" max="11"/>
  </cols>
  <sheetData>
    <row r="1" ht="32" customHeight="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ht="84" customHeight="1">
      <c r="A2" s="2" t="inlineStr">
        <is>
          <t>ISSUE-0001</t>
        </is>
      </c>
      <c r="B2" s="2" t="inlineStr">
        <is>
          <t>jeminise.com+custom-soccer-player-custom-name-number-comforter-set-boys-room-decor</t>
        </is>
      </c>
      <c r="C2" s="2" t="inlineStr"/>
      <c r="D2" s="2" t="inlineStr">
        <is>
          <t>CRITICAL</t>
        </is>
      </c>
      <c r="E2" s="2" t="inlineStr">
        <is>
          <t>personalization/customizer</t>
        </is>
      </c>
      <c r="F2" s="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t>
        </is>
      </c>
      <c r="G2" s="2" t="inlineStr">
        <is>
          <t>Draft claims name, number personalization but static customizer config does not expose matching input(s).</t>
        </is>
      </c>
      <c r="H2" s="2" t="inlineStr">
        <is>
          <t>Claim is materially unsafe until the live purchase flow exposes matching input controls.</t>
        </is>
      </c>
      <c r="I2" s="2" t="inlineStr">
        <is>
          <t>Remove/soften unsupported personalization claim, or provide admin/live proof that matching controls work.</t>
        </is>
      </c>
      <c r="J2" s="2" t="inlineStr">
        <is>
          <t>Draft claims name, number personalization but static customizer config does not expose matching input(s).</t>
        </is>
      </c>
      <c r="K2" s="2" t="inlineStr">
        <is>
          <t>Re-open live product and verify the exact name/number/photo input is present and mapped to fulfillment.</t>
        </is>
      </c>
    </row>
    <row r="3" ht="84" customHeight="1">
      <c r="A3" s="3" t="inlineStr">
        <is>
          <t>ISSUE-0002</t>
        </is>
      </c>
      <c r="B3" s="3" t="inlineStr">
        <is>
          <t>jeminise.com+custom-soccer-player-custom-name-number-comforter-set-boys-room-decor</t>
        </is>
      </c>
      <c r="C3" s="3" t="inlineStr"/>
      <c r="D3" s="3" t="inlineStr">
        <is>
          <t>MAJOR</t>
        </is>
      </c>
      <c r="E3" s="3" t="inlineStr">
        <is>
          <t>description_proposed_html</t>
        </is>
      </c>
      <c r="F3" s="3"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t>
        </is>
      </c>
      <c r="G3" s="3" t="inlineStr">
        <is>
          <t>Draft contains SEO Use / QA approval wording.</t>
        </is>
      </c>
      <c r="H3" s="3" t="inlineStr">
        <is>
          <t>Internal workflow language is not publish-ready storefront copy.</t>
        </is>
      </c>
      <c r="I3" s="3" t="inlineStr">
        <is>
          <t>Remove internal QA/import block and replace with customer-facing verified copy.</t>
        </is>
      </c>
      <c r="J3" s="3" t="inlineStr">
        <is>
          <t>Draft contains SEO Use / QA approval wording.</t>
        </is>
      </c>
      <c r="K3" s="3" t="inlineStr">
        <is>
          <t>Description HTML no longer contains SEO Use, QA, approval, import or draft language.</t>
        </is>
      </c>
    </row>
    <row r="4" ht="84" customHeight="1">
      <c r="A4" s="2" t="inlineStr">
        <is>
          <t>ISSUE-0003</t>
        </is>
      </c>
      <c r="B4" s="2" t="inlineStr">
        <is>
          <t>jeminise.com+custom-soccer-player-custom-name-number-comforter-set-boys-room-decor</t>
        </is>
      </c>
      <c r="C4" s="2" t="inlineStr"/>
      <c r="D4" s="2" t="inlineStr">
        <is>
          <t>MINOR</t>
        </is>
      </c>
      <c r="E4" s="2" t="inlineStr">
        <is>
          <t>meta_description_seo</t>
        </is>
      </c>
      <c r="F4" s="2" t="inlineStr">
        <is>
          <t>Shop a comforter set featuring blue soccer ball artwork with Daniel name, number 10 and water-splash styling. Review size and personalization options before checkout.</t>
        </is>
      </c>
      <c r="G4" s="2" t="inlineStr">
        <is>
          <t>Meta description length is 166 characters.</t>
        </is>
      </c>
      <c r="H4" s="2" t="inlineStr">
        <is>
          <t>Likely to truncate in search results and repeats review/personality wording in several rows.</t>
        </is>
      </c>
      <c r="I4" s="2" t="inlineStr">
        <is>
          <t>Rewrite to roughly 145-155 characters while preserving verified design and product type.</t>
        </is>
      </c>
      <c r="J4" s="2" t="inlineStr">
        <is>
          <t>Meta description length is 166 characters.</t>
        </is>
      </c>
      <c r="K4" s="2" t="inlineStr">
        <is>
          <t>Length check &lt;=160 characters and no unsupported claim remains.</t>
        </is>
      </c>
    </row>
    <row r="5" ht="84" customHeight="1">
      <c r="A5" s="3" t="inlineStr">
        <is>
          <t>ISSUE-0004</t>
        </is>
      </c>
      <c r="B5" s="3" t="inlineStr">
        <is>
          <t>jeminise.com+custom-soccer-player-custom-name-number-comforter-set-boys-room-decor</t>
        </is>
      </c>
      <c r="C5" s="3" t="inlineStr"/>
      <c r="D5" s="3" t="inlineStr">
        <is>
          <t>MAJOR</t>
        </is>
      </c>
      <c r="E5" s="3" t="inlineStr">
        <is>
          <t>keyword_map</t>
        </is>
      </c>
      <c r="F5" s="3" t="inlineStr">
        <is>
          <t>personalized soccer player comforter</t>
        </is>
      </c>
      <c r="G5" s="3" t="inlineStr">
        <is>
          <t>https://www.etsy.com/listing/4379556971/personalized-girl-soccer-comforter; https://www.pinterest.com/pin/personalized-soccer-quilt-set-soccer-balls-quilt-blanket-with-pillowcases-custom-name-and-number-quilt-bedding-set--999939923509360353/; https://www.amazon.com/; https://www.etsy.com/listing/4379556971/personalized-girl-soccer-comforter; https://www.pinterest.com/pin/personalized-soccer-quilt-set-soccer-balls-quilt-blanket-with-pillowcases-c…</t>
        </is>
      </c>
      <c r="H5" s="3" t="inlineStr">
        <is>
          <t>Batch cluster contains several very similar products, so keyword/intent differentiation must be sharper.</t>
        </is>
      </c>
      <c r="I5" s="3" t="inlineStr">
        <is>
          <t>Add unique visible motif modifiers and avoid assigning the same generic product keyword to multiple URLs.</t>
        </is>
      </c>
      <c r="J5" s="3" t="inlineStr">
        <is>
          <t>https://www.etsy.com/listing/4379556971/personalized-girl-soccer-comforter; https://www.pinterest.com/pin/personalized-soccer-quilt-set-soccer-balls-quilt-blanket-with-pillowcases-custom-name-and-number-quilt-bedding-set--999939923509360353/; https://www.amazon.com/; https://www.etsy.com/listing/4379556971/personalized-girl-soccer-comforter; https://www.pinterest.com/pin/personalized-soccer-quilt-set-soccer-balls-quilt-blanket-with-pillowcases-c…</t>
        </is>
      </c>
      <c r="K5" s="3" t="inlineStr">
        <is>
          <t>SERP notes and title/meta show a distinct product-level query for this exact design.</t>
        </is>
      </c>
    </row>
    <row r="6" ht="84" customHeight="1">
      <c r="A6" s="2" t="inlineStr">
        <is>
          <t>ISSUE-0005</t>
        </is>
      </c>
      <c r="B6" s="2" t="inlineStr">
        <is>
          <t>jeminise.com+custom-soccer-player-custom-name-number-comforter-set-boys-room-decor</t>
        </is>
      </c>
      <c r="C6" s="2" t="inlineStr"/>
      <c r="D6" s="2" t="inlineStr">
        <is>
          <t>LIMITATION</t>
        </is>
      </c>
      <c r="E6" s="2" t="inlineStr">
        <is>
          <t>keyword_evidence_level</t>
        </is>
      </c>
      <c r="F6" s="2" t="inlineStr">
        <is>
          <t>SERP_ONLY</t>
        </is>
      </c>
      <c r="G6" s="2" t="inlineStr">
        <is>
          <t>Only public SERP comparables are available.</t>
        </is>
      </c>
      <c r="H6" s="2" t="inlineStr">
        <is>
          <t>No Search Console, paid keyword volume or internal site search export was supplied.</t>
        </is>
      </c>
      <c r="I6" s="2" t="inlineStr">
        <is>
          <t>Keep demand statements qualitative; do not claim volume or ranking potential.</t>
        </is>
      </c>
      <c r="J6" s="2" t="inlineStr">
        <is>
          <t>Only public SERP comparables are available.</t>
        </is>
      </c>
      <c r="K6" s="2" t="inlineStr">
        <is>
          <t>Additional first-party or paid keyword evidence is attached, or limitation remains documented.</t>
        </is>
      </c>
    </row>
    <row r="7" ht="84" customHeight="1">
      <c r="A7" s="3" t="inlineStr">
        <is>
          <t>ISSUE-0006</t>
        </is>
      </c>
      <c r="B7" s="3" t="inlineStr">
        <is>
          <t>jeminise.com+custom-soccer-player-custom-name-number-comforter-set-boys-room-decor</t>
        </is>
      </c>
      <c r="C7" s="3" t="inlineStr">
        <is>
          <t>img_9023e09c15643ba4</t>
        </is>
      </c>
      <c r="D7" s="3" t="inlineStr">
        <is>
          <t>MINOR</t>
        </is>
      </c>
      <c r="E7" s="3" t="inlineStr">
        <is>
          <t>alt text</t>
        </is>
      </c>
      <c r="F7" s="3" t="inlineStr">
        <is>
          <t>Personalized Blue Soccer Player Comforter displayed in a main product mockup</t>
        </is>
      </c>
      <c r="G7" s="3" t="inlineStr">
        <is>
          <t>Fresh image file: D:\Shopify_Workspace\jeminise_seo\seo_runs\jeminise.com\20260906_234129\qa\20260907_181200\images\111_01.jpg; source URL: https://cdn.shopify.com/s/files/1/0792/5098/1063/files/5adf8a31ec40a642bf000b375eae5c3554de48282390af23cc541bb382906122.jpg?v=1786610963</t>
        </is>
      </c>
      <c r="H7" s="3" t="inlineStr">
        <is>
          <t>Alt text is too generic or describes placement more than visible content.</t>
        </is>
      </c>
      <c r="I7" s="3" t="inlineStr">
        <is>
          <t>Rewrite observation/alt from the directly opened image, naming the visible motif and use context.</t>
        </is>
      </c>
      <c r="J7" s="3" t="inlineStr">
        <is>
          <t>Fresh image file: D:\Shopify_Workspace\jeminise_seo\seo_runs\jeminise.com\20260906_234129\qa\20260907_181200\images\111_01.jpg; source URL: https://cdn.shopify.com/s/files/1/0792/5098/1063/files/5adf8a31ec40a642bf000b375eae5c3554de48282390af23cc541bb382906122.jpg?v=1786610963</t>
        </is>
      </c>
      <c r="K7" s="3" t="inlineStr">
        <is>
          <t>The image row accurately describes the actual media at this gallery position.</t>
        </is>
      </c>
    </row>
    <row r="8" ht="84" customHeight="1">
      <c r="A8" s="2" t="inlineStr">
        <is>
          <t>ISSUE-0007</t>
        </is>
      </c>
      <c r="B8" s="2" t="inlineStr">
        <is>
          <t>jeminise.com+custom-soccer-player-custom-name-number-comforter-set-boys-room-decor</t>
        </is>
      </c>
      <c r="C8" s="2" t="inlineStr">
        <is>
          <t>img_6ce5d984e0fab4db</t>
        </is>
      </c>
      <c r="D8" s="2" t="inlineStr">
        <is>
          <t>MINOR</t>
        </is>
      </c>
      <c r="E8" s="2" t="inlineStr">
        <is>
          <t>image observation</t>
        </is>
      </c>
      <c r="F8" s="2" t="inlineStr">
        <is>
          <t>Bedding type, feature, lifestyle or material image for personalized blue soccer player comforter with Daniel number 10.</t>
        </is>
      </c>
      <c r="G8" s="2" t="inlineStr">
        <is>
          <t>Fresh image file: D:\Shopify_Workspace\jeminise_seo\seo_runs\jeminise.com\20260906_234129\qa\20260907_181200\images\111_03.jpg; source URL: https://cdn.shopify.com/s/files/1/0792/5098/1063/files/4f3e3f6233d78b4fde5eae3801512b8254223ff54402ae90de96b0a3b0e092a9.jpg?v=1786610963</t>
        </is>
      </c>
      <c r="H8" s="2" t="inlineStr">
        <is>
          <t>Observation is generic or position-based; rewrite from the actual image content.</t>
        </is>
      </c>
      <c r="I8" s="2" t="inlineStr">
        <is>
          <t>Rewrite observation/alt from the directly opened image, naming the visible motif and use context.</t>
        </is>
      </c>
      <c r="J8" s="2" t="inlineStr">
        <is>
          <t>Fresh image file: D:\Shopify_Workspace\jeminise_seo\seo_runs\jeminise.com\20260906_234129\qa\20260907_181200\images\111_03.jpg; source URL: https://cdn.shopify.com/s/files/1/0792/5098/1063/files/4f3e3f6233d78b4fde5eae3801512b8254223ff54402ae90de96b0a3b0e092a9.jpg?v=1786610963</t>
        </is>
      </c>
      <c r="K8" s="2" t="inlineStr">
        <is>
          <t>The image row accurately describes the actual media at this gallery position.</t>
        </is>
      </c>
    </row>
    <row r="9" ht="84" customHeight="1">
      <c r="A9" s="3" t="inlineStr">
        <is>
          <t>ISSUE-0008</t>
        </is>
      </c>
      <c r="B9" s="3" t="inlineStr">
        <is>
          <t>jeminise.com+custom-soccer-player-custom-name-number-comforter-set-boys-room-decor</t>
        </is>
      </c>
      <c r="C9" s="3" t="inlineStr">
        <is>
          <t>img_9b091b8459f6f2d4</t>
        </is>
      </c>
      <c r="D9" s="3" t="inlineStr">
        <is>
          <t>MINOR</t>
        </is>
      </c>
      <c r="E9" s="3" t="inlineStr">
        <is>
          <t>image observation</t>
        </is>
      </c>
      <c r="F9" s="3" t="inlineStr">
        <is>
          <t>Detail, feature panel or lifestyle image connected to personalized blue soccer player comforter with Daniel number 10.</t>
        </is>
      </c>
      <c r="G9" s="3" t="inlineStr">
        <is>
          <t>Fresh image file: D:\Shopify_Workspace\jeminise_seo\seo_runs\jeminise.com\20260906_234129\qa\20260907_181200\images\111_04.jpg; source URL: https://cdn.shopify.com/s/files/1/0792/5098/1063/files/0705f13a5c5734d19ee2c7d2d8c63f7840fc3cbbee30baca2759fc4b8d6ad311.jpg?v=1786610964</t>
        </is>
      </c>
      <c r="H9" s="3" t="inlineStr">
        <is>
          <t>Observation is generic or position-based; rewrite from the actual image content.</t>
        </is>
      </c>
      <c r="I9" s="3" t="inlineStr">
        <is>
          <t>Rewrite observation/alt from the directly opened image, naming the visible motif and use context.</t>
        </is>
      </c>
      <c r="J9" s="3" t="inlineStr">
        <is>
          <t>Fresh image file: D:\Shopify_Workspace\jeminise_seo\seo_runs\jeminise.com\20260906_234129\qa\20260907_181200\images\111_04.jpg; source URL: https://cdn.shopify.com/s/files/1/0792/5098/1063/files/0705f13a5c5734d19ee2c7d2d8c63f7840fc3cbbee30baca2759fc4b8d6ad311.jpg?v=1786610964</t>
        </is>
      </c>
      <c r="K9" s="3" t="inlineStr">
        <is>
          <t>The image row accurately describes the actual media at this gallery position.</t>
        </is>
      </c>
    </row>
    <row r="10" ht="84" customHeight="1">
      <c r="A10" s="2" t="inlineStr">
        <is>
          <t>ISSUE-0009</t>
        </is>
      </c>
      <c r="B10" s="2" t="inlineStr">
        <is>
          <t>jeminise.com+custom-soccer-player-custom-name-number-comforter-set-boys-room-decor</t>
        </is>
      </c>
      <c r="C10" s="2" t="inlineStr">
        <is>
          <t>img_933526131d448174</t>
        </is>
      </c>
      <c r="D10" s="2" t="inlineStr">
        <is>
          <t>MINOR</t>
        </is>
      </c>
      <c r="E10" s="2" t="inlineStr">
        <is>
          <t>image observation</t>
        </is>
      </c>
      <c r="F10" s="2" t="inlineStr">
        <is>
          <t>Easy-care, size guide or product feature image for personalized blue soccer player comforter with Daniel number 10.</t>
        </is>
      </c>
      <c r="G10" s="2" t="inlineStr">
        <is>
          <t>Fresh image file: D:\Shopify_Workspace\jeminise_seo\seo_runs\jeminise.com\20260906_234129\qa\20260907_181200\images\111_06.jpg; source URL: https://cdn.shopify.com/s/files/1/0792/5098/1063/files/9c91a61710180a5c3e4166b3e4138e219837b88e5f61399fea6626dcfdff7898.jpg?v=1786610963</t>
        </is>
      </c>
      <c r="H10" s="2" t="inlineStr">
        <is>
          <t>Observation is generic or position-based; rewrite from the actual image content.</t>
        </is>
      </c>
      <c r="I10" s="2" t="inlineStr">
        <is>
          <t>Rewrite observation/alt from the directly opened image, naming the visible motif and use context.</t>
        </is>
      </c>
      <c r="J10" s="2" t="inlineStr">
        <is>
          <t>Fresh image file: D:\Shopify_Workspace\jeminise_seo\seo_runs\jeminise.com\20260906_234129\qa\20260907_181200\images\111_06.jpg; source URL: https://cdn.shopify.com/s/files/1/0792/5098/1063/files/9c91a61710180a5c3e4166b3e4138e219837b88e5f61399fea6626dcfdff7898.jpg?v=1786610963</t>
        </is>
      </c>
      <c r="K10" s="2" t="inlineStr">
        <is>
          <t>The image row accurately describes the actual media at this gallery position.</t>
        </is>
      </c>
    </row>
    <row r="11" ht="84" customHeight="1">
      <c r="A11" s="3" t="inlineStr">
        <is>
          <t>ISSUE-0010</t>
        </is>
      </c>
      <c r="B11" s="3" t="inlineStr">
        <is>
          <t>jeminise.com+custom-soccer-player-custom-name-number-comforter-set-boys-room-decor</t>
        </is>
      </c>
      <c r="C11" s="3" t="inlineStr">
        <is>
          <t>img_06d697c06bf882f0</t>
        </is>
      </c>
      <c r="D11" s="3" t="inlineStr">
        <is>
          <t>MINOR</t>
        </is>
      </c>
      <c r="E11" s="3" t="inlineStr">
        <is>
          <t>image observation</t>
        </is>
      </c>
      <c r="F11" s="3" t="inlineStr">
        <is>
          <t>Additional lifestyle, feature or product detail image showing personalized blue soccer player comforter with Daniel number 10.</t>
        </is>
      </c>
      <c r="G11" s="3" t="inlineStr">
        <is>
          <t>Fresh image file: D:\Shopify_Workspace\jeminise_seo\seo_runs\jeminise.com\20260906_234129\qa\20260907_181200\images\111_07.jpg; source URL: https://cdn.shopify.com/s/files/1/0792/5098/1063/files/0ee8c23fe480e4cb829b16c3c896321f033d3414addd9d209e7de6f5c65bf684.jpg?v=1786610963</t>
        </is>
      </c>
      <c r="H11" s="3" t="inlineStr">
        <is>
          <t>Observation is generic or position-based; rewrite from the actual image content.</t>
        </is>
      </c>
      <c r="I11" s="3" t="inlineStr">
        <is>
          <t>Rewrite observation/alt from the directly opened image, naming the visible motif and use context.</t>
        </is>
      </c>
      <c r="J11" s="3" t="inlineStr">
        <is>
          <t>Fresh image file: D:\Shopify_Workspace\jeminise_seo\seo_runs\jeminise.com\20260906_234129\qa\20260907_181200\images\111_07.jpg; source URL: https://cdn.shopify.com/s/files/1/0792/5098/1063/files/0ee8c23fe480e4cb829b16c3c896321f033d3414addd9d209e7de6f5c65bf684.jpg?v=1786610963</t>
        </is>
      </c>
      <c r="K11" s="3" t="inlineStr">
        <is>
          <t>The image row accurately describes the actual media at this gallery position.</t>
        </is>
      </c>
    </row>
    <row r="12" ht="84" customHeight="1">
      <c r="A12" s="2" t="inlineStr">
        <is>
          <t>ISSUE-0011</t>
        </is>
      </c>
      <c r="B12" s="2" t="inlineStr">
        <is>
          <t>jeminise.com+custom-soccer-player-custom-name-number-comforter-set-boys-room-decor</t>
        </is>
      </c>
      <c r="C12" s="2" t="inlineStr">
        <is>
          <t>img_9fade80344698705</t>
        </is>
      </c>
      <c r="D12" s="2" t="inlineStr">
        <is>
          <t>MINOR</t>
        </is>
      </c>
      <c r="E12" s="2" t="inlineStr">
        <is>
          <t>image observation</t>
        </is>
      </c>
      <c r="F12" s="2" t="inlineStr">
        <is>
          <t>Additional lifestyle, feature or product detail image showing personalized blue soccer player comforter with Daniel number 10.</t>
        </is>
      </c>
      <c r="G12" s="2" t="inlineStr">
        <is>
          <t>Fresh image file: D:\Shopify_Workspace\jeminise_seo\seo_runs\jeminise.com\20260906_234129\qa\20260907_181200\images\111_08.jpg; source URL: https://cdn.shopify.com/s/files/1/0792/5098/1063/files/dd6b2f75d5d331064be3e2ace151f6872c3f1f67675d8c1c7fa00f207341180b_fe534272-feba-4b3c-acbd-7c306b5cefec.jpg?v=1786610963</t>
        </is>
      </c>
      <c r="H12" s="2" t="inlineStr">
        <is>
          <t>Observation is generic or position-based; rewrite from the actual image content.</t>
        </is>
      </c>
      <c r="I12" s="2" t="inlineStr">
        <is>
          <t>Rewrite observation/alt from the directly opened image, naming the visible motif and use context.</t>
        </is>
      </c>
      <c r="J12" s="2" t="inlineStr">
        <is>
          <t>Fresh image file: D:\Shopify_Workspace\jeminise_seo\seo_runs\jeminise.com\20260906_234129\qa\20260907_181200\images\111_08.jpg; source URL: https://cdn.shopify.com/s/files/1/0792/5098/1063/files/dd6b2f75d5d331064be3e2ace151f6872c3f1f67675d8c1c7fa00f207341180b_fe534272-feba-4b3c-acbd-7c306b5cefec.jpg?v=1786610963</t>
        </is>
      </c>
      <c r="K12" s="2" t="inlineStr">
        <is>
          <t>The image row accurately describes the actual media at this gallery position.</t>
        </is>
      </c>
    </row>
    <row r="13" ht="84" customHeight="1">
      <c r="A13" s="3" t="inlineStr">
        <is>
          <t>ISSUE-0012</t>
        </is>
      </c>
      <c r="B13" s="3" t="inlineStr">
        <is>
          <t>jeminise.com+custom-soccer-player-goal-comforter-set-machine-washable-design-8</t>
        </is>
      </c>
      <c r="C13" s="3" t="inlineStr"/>
      <c r="D13" s="3" t="inlineStr">
        <is>
          <t>CRITICAL</t>
        </is>
      </c>
      <c r="E13" s="3" t="inlineStr">
        <is>
          <t>personalization/customizer</t>
        </is>
      </c>
      <c r="F13" s="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t>
        </is>
      </c>
      <c r="G13" s="3" t="inlineStr">
        <is>
          <t>Draft claims name, number personalization but static customizer config does not expose matching input(s).</t>
        </is>
      </c>
      <c r="H13" s="3" t="inlineStr">
        <is>
          <t>Claim is materially unsafe until the live purchase flow exposes matching input controls.</t>
        </is>
      </c>
      <c r="I13" s="3" t="inlineStr">
        <is>
          <t>Remove/soften unsupported personalization claim, or provide admin/live proof that matching controls work.</t>
        </is>
      </c>
      <c r="J13" s="3" t="inlineStr">
        <is>
          <t>Draft claims name, number personalization but static customizer config does not expose matching input(s).</t>
        </is>
      </c>
      <c r="K13" s="3" t="inlineStr">
        <is>
          <t>Re-open live product and verify the exact name/number/photo input is present and mapped to fulfillment.</t>
        </is>
      </c>
    </row>
    <row r="14" ht="84" customHeight="1">
      <c r="A14" s="2" t="inlineStr">
        <is>
          <t>ISSUE-0013</t>
        </is>
      </c>
      <c r="B14" s="2" t="inlineStr">
        <is>
          <t>jeminise.com+custom-soccer-player-goal-comforter-set-machine-washable-design-8</t>
        </is>
      </c>
      <c r="C14" s="2" t="inlineStr"/>
      <c r="D14" s="2" t="inlineStr">
        <is>
          <t>MAJOR</t>
        </is>
      </c>
      <c r="E14" s="2" t="inlineStr">
        <is>
          <t>description_proposed_html</t>
        </is>
      </c>
      <c r="F14" s="2"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t>
        </is>
      </c>
      <c r="G14" s="2" t="inlineStr">
        <is>
          <t>Draft contains SEO Use / QA approval wording.</t>
        </is>
      </c>
      <c r="H14" s="2" t="inlineStr">
        <is>
          <t>Internal workflow language is not publish-ready storefront copy.</t>
        </is>
      </c>
      <c r="I14" s="2" t="inlineStr">
        <is>
          <t>Remove internal QA/import block and replace with customer-facing verified copy.</t>
        </is>
      </c>
      <c r="J14" s="2" t="inlineStr">
        <is>
          <t>Draft contains SEO Use / QA approval wording.</t>
        </is>
      </c>
      <c r="K14" s="2" t="inlineStr">
        <is>
          <t>Description HTML no longer contains SEO Use, QA, approval, import or draft language.</t>
        </is>
      </c>
    </row>
    <row r="15" ht="84" customHeight="1">
      <c r="A15" s="3" t="inlineStr">
        <is>
          <t>ISSUE-0014</t>
        </is>
      </c>
      <c r="B15" s="3" t="inlineStr">
        <is>
          <t>jeminise.com+custom-soccer-player-goal-comforter-set-machine-washable-design-8</t>
        </is>
      </c>
      <c r="C15" s="3" t="inlineStr"/>
      <c r="D15" s="3" t="inlineStr">
        <is>
          <t>MAJOR</t>
        </is>
      </c>
      <c r="E15" s="3" t="inlineStr">
        <is>
          <t>keyword_map</t>
        </is>
      </c>
      <c r="F15" s="3" t="inlineStr">
        <is>
          <t>soccer player goal comforter</t>
        </is>
      </c>
      <c r="G15" s="3" t="inlineStr">
        <is>
          <t>https://www.etsy.com/listing/4379556971/personalized-girl-soccer-comforter; https://www.pinterest.com/pin/personalized-soccer-quilt-set-soccer-balls-quilt-blanket-with-pillowcases-custom-name-and-number-quilt-bedding-set--999939923509360353/; https://www.amazon.com/; https://www.etsy.com/listing/4379556971/personalized-girl-soccer-comforter; https://www.pinterest.com/pin/personalized-soccer-quilt-set-soccer-balls-quilt-blanket-with-pillowcases-c…</t>
        </is>
      </c>
      <c r="H15" s="3" t="inlineStr">
        <is>
          <t>Batch cluster contains several very similar products, so keyword/intent differentiation must be sharper.</t>
        </is>
      </c>
      <c r="I15" s="3" t="inlineStr">
        <is>
          <t>Add unique visible motif modifiers and avoid assigning the same generic product keyword to multiple URLs.</t>
        </is>
      </c>
      <c r="J15" s="3" t="inlineStr">
        <is>
          <t>https://www.etsy.com/listing/4379556971/personalized-girl-soccer-comforter; https://www.pinterest.com/pin/personalized-soccer-quilt-set-soccer-balls-quilt-blanket-with-pillowcases-custom-name-and-number-quilt-bedding-set--999939923509360353/; https://www.amazon.com/; https://www.etsy.com/listing/4379556971/personalized-girl-soccer-comforter; https://www.pinterest.com/pin/personalized-soccer-quilt-set-soccer-balls-quilt-blanket-with-pillowcases-c…</t>
        </is>
      </c>
      <c r="K15" s="3" t="inlineStr">
        <is>
          <t>SERP notes and title/meta show a distinct product-level query for this exact design.</t>
        </is>
      </c>
    </row>
    <row r="16" ht="84" customHeight="1">
      <c r="A16" s="2" t="inlineStr">
        <is>
          <t>ISSUE-0015</t>
        </is>
      </c>
      <c r="B16" s="2" t="inlineStr">
        <is>
          <t>jeminise.com+custom-soccer-player-goal-comforter-set-machine-washable-design-8</t>
        </is>
      </c>
      <c r="C16" s="2" t="inlineStr"/>
      <c r="D16" s="2" t="inlineStr">
        <is>
          <t>LIMITATION</t>
        </is>
      </c>
      <c r="E16" s="2" t="inlineStr">
        <is>
          <t>keyword_evidence_level</t>
        </is>
      </c>
      <c r="F16" s="2" t="inlineStr">
        <is>
          <t>SERP_ONLY</t>
        </is>
      </c>
      <c r="G16" s="2" t="inlineStr">
        <is>
          <t>Only public SERP comparables are available.</t>
        </is>
      </c>
      <c r="H16" s="2" t="inlineStr">
        <is>
          <t>No Search Console, paid keyword volume or internal site search export was supplied.</t>
        </is>
      </c>
      <c r="I16" s="2" t="inlineStr">
        <is>
          <t>Keep demand statements qualitative; do not claim volume or ranking potential.</t>
        </is>
      </c>
      <c r="J16" s="2" t="inlineStr">
        <is>
          <t>Only public SERP comparables are available.</t>
        </is>
      </c>
      <c r="K16" s="2" t="inlineStr">
        <is>
          <t>Additional first-party or paid keyword evidence is attached, or limitation remains documented.</t>
        </is>
      </c>
    </row>
    <row r="17" ht="84" customHeight="1">
      <c r="A17" s="3" t="inlineStr">
        <is>
          <t>ISSUE-0016</t>
        </is>
      </c>
      <c r="B17" s="3" t="inlineStr">
        <is>
          <t>jeminise.com+custom-soccer-player-goal-comforter-set-machine-washable-design-8</t>
        </is>
      </c>
      <c r="C17" s="3" t="inlineStr">
        <is>
          <t>img_6564558786c707e4</t>
        </is>
      </c>
      <c r="D17" s="3" t="inlineStr">
        <is>
          <t>MINOR</t>
        </is>
      </c>
      <c r="E17" s="3" t="inlineStr">
        <is>
          <t>alt text</t>
        </is>
      </c>
      <c r="F17" s="3" t="inlineStr">
        <is>
          <t>Personalized Soccer Goal Comforter displayed in a main product mockup</t>
        </is>
      </c>
      <c r="G17" s="3" t="inlineStr">
        <is>
          <t>Fresh image file: D:\Shopify_Workspace\jeminise_seo\seo_runs\jeminise.com\20260906_234129\qa\20260907_181200\images\112_01.jpg; source URL: https://cdn.shopify.com/s/files/1/0792/5098/1063/files/dbac2843c8a7d91826da156c117202b53acf9c74a9ac57f9a5155ff0ee41d541.jpg?v=1786610992</t>
        </is>
      </c>
      <c r="H17" s="3" t="inlineStr">
        <is>
          <t>Alt text is too generic or describes placement more than visible content.</t>
        </is>
      </c>
      <c r="I17" s="3" t="inlineStr">
        <is>
          <t>Rewrite observation/alt from the directly opened image, naming the visible motif and use context.</t>
        </is>
      </c>
      <c r="J17" s="3" t="inlineStr">
        <is>
          <t>Fresh image file: D:\Shopify_Workspace\jeminise_seo\seo_runs\jeminise.com\20260906_234129\qa\20260907_181200\images\112_01.jpg; source URL: https://cdn.shopify.com/s/files/1/0792/5098/1063/files/dbac2843c8a7d91826da156c117202b53acf9c74a9ac57f9a5155ff0ee41d541.jpg?v=1786610992</t>
        </is>
      </c>
      <c r="K17" s="3" t="inlineStr">
        <is>
          <t>The image row accurately describes the actual media at this gallery position.</t>
        </is>
      </c>
    </row>
    <row r="18" ht="84" customHeight="1">
      <c r="A18" s="2" t="inlineStr">
        <is>
          <t>ISSUE-0017</t>
        </is>
      </c>
      <c r="B18" s="2" t="inlineStr">
        <is>
          <t>jeminise.com+custom-soccer-player-goal-comforter-set-machine-washable-design-8</t>
        </is>
      </c>
      <c r="C18" s="2" t="inlineStr">
        <is>
          <t>img_1024adf81ffadfe8</t>
        </is>
      </c>
      <c r="D18" s="2" t="inlineStr">
        <is>
          <t>MINOR</t>
        </is>
      </c>
      <c r="E18" s="2" t="inlineStr">
        <is>
          <t>image observation</t>
        </is>
      </c>
      <c r="F18" s="2" t="inlineStr">
        <is>
          <t>Bedding type, feature, lifestyle or material image for personalized soccer goal comforter with Tyler number 10.</t>
        </is>
      </c>
      <c r="G18" s="2" t="inlineStr">
        <is>
          <t>Fresh image file: D:\Shopify_Workspace\jeminise_seo\seo_runs\jeminise.com\20260906_234129\qa\20260907_181200\images\112_03.jpg; source URL: https://cdn.shopify.com/s/files/1/0792/5098/1063/files/aed6d7a2e05456a3bd6e67c741c3a926a1cfc777026e896d9ad232a231e1d81e.jpg?v=1786610992</t>
        </is>
      </c>
      <c r="H18" s="2" t="inlineStr">
        <is>
          <t>Observation is generic or position-based; rewrite from the actual image content.</t>
        </is>
      </c>
      <c r="I18" s="2" t="inlineStr">
        <is>
          <t>Rewrite observation/alt from the directly opened image, naming the visible motif and use context.</t>
        </is>
      </c>
      <c r="J18" s="2" t="inlineStr">
        <is>
          <t>Fresh image file: D:\Shopify_Workspace\jeminise_seo\seo_runs\jeminise.com\20260906_234129\qa\20260907_181200\images\112_03.jpg; source URL: https://cdn.shopify.com/s/files/1/0792/5098/1063/files/aed6d7a2e05456a3bd6e67c741c3a926a1cfc777026e896d9ad232a231e1d81e.jpg?v=1786610992</t>
        </is>
      </c>
      <c r="K18" s="2" t="inlineStr">
        <is>
          <t>The image row accurately describes the actual media at this gallery position.</t>
        </is>
      </c>
    </row>
    <row r="19" ht="84" customHeight="1">
      <c r="A19" s="3" t="inlineStr">
        <is>
          <t>ISSUE-0018</t>
        </is>
      </c>
      <c r="B19" s="3" t="inlineStr">
        <is>
          <t>jeminise.com+custom-soccer-player-goal-comforter-set-machine-washable-design-8</t>
        </is>
      </c>
      <c r="C19" s="3" t="inlineStr">
        <is>
          <t>img_ea446c8cdc1ea417</t>
        </is>
      </c>
      <c r="D19" s="3" t="inlineStr">
        <is>
          <t>MINOR</t>
        </is>
      </c>
      <c r="E19" s="3" t="inlineStr">
        <is>
          <t>image observation</t>
        </is>
      </c>
      <c r="F19" s="3" t="inlineStr">
        <is>
          <t>Detail, feature panel or lifestyle image connected to personalized soccer goal comforter with Tyler number 10.</t>
        </is>
      </c>
      <c r="G19" s="3" t="inlineStr">
        <is>
          <t>Fresh image file: D:\Shopify_Workspace\jeminise_seo\seo_runs\jeminise.com\20260906_234129\qa\20260907_181200\images\112_04.jpg; source URL: https://cdn.shopify.com/s/files/1/0792/5098/1063/files/2aa3156eb8de24ebb10eaa7946a270444381b05ce7d7d0d1fae71a29ffef05a9.jpg?v=1786610992</t>
        </is>
      </c>
      <c r="H19" s="3" t="inlineStr">
        <is>
          <t>Observation is generic or position-based; rewrite from the actual image content.</t>
        </is>
      </c>
      <c r="I19" s="3" t="inlineStr">
        <is>
          <t>Rewrite observation/alt from the directly opened image, naming the visible motif and use context.</t>
        </is>
      </c>
      <c r="J19" s="3" t="inlineStr">
        <is>
          <t>Fresh image file: D:\Shopify_Workspace\jeminise_seo\seo_runs\jeminise.com\20260906_234129\qa\20260907_181200\images\112_04.jpg; source URL: https://cdn.shopify.com/s/files/1/0792/5098/1063/files/2aa3156eb8de24ebb10eaa7946a270444381b05ce7d7d0d1fae71a29ffef05a9.jpg?v=1786610992</t>
        </is>
      </c>
      <c r="K19" s="3" t="inlineStr">
        <is>
          <t>The image row accurately describes the actual media at this gallery position.</t>
        </is>
      </c>
    </row>
    <row r="20" ht="84" customHeight="1">
      <c r="A20" s="2" t="inlineStr">
        <is>
          <t>ISSUE-0019</t>
        </is>
      </c>
      <c r="B20" s="2" t="inlineStr">
        <is>
          <t>jeminise.com+custom-soccer-player-goal-comforter-set-machine-washable-design-8</t>
        </is>
      </c>
      <c r="C20" s="2" t="inlineStr">
        <is>
          <t>img_6180f9026a54f257</t>
        </is>
      </c>
      <c r="D20" s="2" t="inlineStr">
        <is>
          <t>MINOR</t>
        </is>
      </c>
      <c r="E20" s="2" t="inlineStr">
        <is>
          <t>image observation</t>
        </is>
      </c>
      <c r="F20" s="2" t="inlineStr">
        <is>
          <t>Easy-care, size guide or product feature image for personalized soccer goal comforter with Tyler number 10.</t>
        </is>
      </c>
      <c r="G20" s="2" t="inlineStr">
        <is>
          <t>Fresh image file: D:\Shopify_Workspace\jeminise_seo\seo_runs\jeminise.com\20260906_234129\qa\20260907_181200\images\112_06.jpg; source URL: https://cdn.shopify.com/s/files/1/0792/5098/1063/files/fd9f0e7b7bd8f63c1b25dc086f4cb6b7bc9e04267dfeeb2bfdd52d93b4e2e57a.jpg?v=1786610992</t>
        </is>
      </c>
      <c r="H20" s="2" t="inlineStr">
        <is>
          <t>Observation is generic or position-based; rewrite from the actual image content.</t>
        </is>
      </c>
      <c r="I20" s="2" t="inlineStr">
        <is>
          <t>Rewrite observation/alt from the directly opened image, naming the visible motif and use context.</t>
        </is>
      </c>
      <c r="J20" s="2" t="inlineStr">
        <is>
          <t>Fresh image file: D:\Shopify_Workspace\jeminise_seo\seo_runs\jeminise.com\20260906_234129\qa\20260907_181200\images\112_06.jpg; source URL: https://cdn.shopify.com/s/files/1/0792/5098/1063/files/fd9f0e7b7bd8f63c1b25dc086f4cb6b7bc9e04267dfeeb2bfdd52d93b4e2e57a.jpg?v=1786610992</t>
        </is>
      </c>
      <c r="K20" s="2" t="inlineStr">
        <is>
          <t>The image row accurately describes the actual media at this gallery position.</t>
        </is>
      </c>
    </row>
    <row r="21" ht="84" customHeight="1">
      <c r="A21" s="3" t="inlineStr">
        <is>
          <t>ISSUE-0020</t>
        </is>
      </c>
      <c r="B21" s="3" t="inlineStr">
        <is>
          <t>jeminise.com+custom-soccer-player-goal-comforter-set-machine-washable-design-8</t>
        </is>
      </c>
      <c r="C21" s="3" t="inlineStr">
        <is>
          <t>img_7d43e813f1fbc0e8</t>
        </is>
      </c>
      <c r="D21" s="3" t="inlineStr">
        <is>
          <t>MINOR</t>
        </is>
      </c>
      <c r="E21" s="3" t="inlineStr">
        <is>
          <t>image observation</t>
        </is>
      </c>
      <c r="F21" s="3" t="inlineStr">
        <is>
          <t>Additional lifestyle, feature or product detail image showing personalized soccer goal comforter with Tyler number 10.</t>
        </is>
      </c>
      <c r="G21" s="3" t="inlineStr">
        <is>
          <t>Fresh image file: D:\Shopify_Workspace\jeminise_seo\seo_runs\jeminise.com\20260906_234129\qa\20260907_181200\images\112_07.jpg; source URL: https://cdn.shopify.com/s/files/1/0792/5098/1063/files/f8f33d668a5439fabac99ca4da5ed91b8093757ef750724108466a765dd26b16.jpg?v=1786610992</t>
        </is>
      </c>
      <c r="H21" s="3" t="inlineStr">
        <is>
          <t>Observation is generic or position-based; rewrite from the actual image content.</t>
        </is>
      </c>
      <c r="I21" s="3" t="inlineStr">
        <is>
          <t>Rewrite observation/alt from the directly opened image, naming the visible motif and use context.</t>
        </is>
      </c>
      <c r="J21" s="3" t="inlineStr">
        <is>
          <t>Fresh image file: D:\Shopify_Workspace\jeminise_seo\seo_runs\jeminise.com\20260906_234129\qa\20260907_181200\images\112_07.jpg; source URL: https://cdn.shopify.com/s/files/1/0792/5098/1063/files/f8f33d668a5439fabac99ca4da5ed91b8093757ef750724108466a765dd26b16.jpg?v=1786610992</t>
        </is>
      </c>
      <c r="K21" s="3" t="inlineStr">
        <is>
          <t>The image row accurately describes the actual media at this gallery position.</t>
        </is>
      </c>
    </row>
    <row r="22" ht="84" customHeight="1">
      <c r="A22" s="2" t="inlineStr">
        <is>
          <t>ISSUE-0021</t>
        </is>
      </c>
      <c r="B22" s="2" t="inlineStr">
        <is>
          <t>jeminise.com+custom-soccer-player-goal-comforter-set-machine-washable-design-8</t>
        </is>
      </c>
      <c r="C22" s="2" t="inlineStr">
        <is>
          <t>img_4d605af54c36d607</t>
        </is>
      </c>
      <c r="D22" s="2" t="inlineStr">
        <is>
          <t>MINOR</t>
        </is>
      </c>
      <c r="E22" s="2" t="inlineStr">
        <is>
          <t>image observation</t>
        </is>
      </c>
      <c r="F22" s="2" t="inlineStr">
        <is>
          <t>Additional lifestyle, feature or product detail image showing personalized soccer goal comforter with Tyler number 10.</t>
        </is>
      </c>
      <c r="G22" s="2" t="inlineStr">
        <is>
          <t>Fresh image file: D:\Shopify_Workspace\jeminise_seo\seo_runs\jeminise.com\20260906_234129\qa\20260907_181200\images\112_08.jpg; source URL: https://cdn.shopify.com/s/files/1/0792/5098/1063/files/d761ea3ae4f4c0b26b7473177b21a616c5199552823ec637c64fe7b0d6b0f12f_bbddf900-8f9b-4a19-949b-a61fab4a470b.jpg?v=1786610992</t>
        </is>
      </c>
      <c r="H22" s="2" t="inlineStr">
        <is>
          <t>Observation is generic or position-based; rewrite from the actual image content.</t>
        </is>
      </c>
      <c r="I22" s="2" t="inlineStr">
        <is>
          <t>Rewrite observation/alt from the directly opened image, naming the visible motif and use context.</t>
        </is>
      </c>
      <c r="J22" s="2" t="inlineStr">
        <is>
          <t>Fresh image file: D:\Shopify_Workspace\jeminise_seo\seo_runs\jeminise.com\20260906_234129\qa\20260907_181200\images\112_08.jpg; source URL: https://cdn.shopify.com/s/files/1/0792/5098/1063/files/d761ea3ae4f4c0b26b7473177b21a616c5199552823ec637c64fe7b0d6b0f12f_bbddf900-8f9b-4a19-949b-a61fab4a470b.jpg?v=1786610992</t>
        </is>
      </c>
      <c r="K22" s="2" t="inlineStr">
        <is>
          <t>The image row accurately describes the actual media at this gallery position.</t>
        </is>
      </c>
    </row>
    <row r="23" ht="84" customHeight="1">
      <c r="A23" s="3" t="inlineStr">
        <is>
          <t>ISSUE-0022</t>
        </is>
      </c>
      <c r="B23" s="3" t="inlineStr">
        <is>
          <t>jeminise.com+custom-soccer-player-paint-splatter-comforter-set-machine-washable</t>
        </is>
      </c>
      <c r="C23" s="3" t="inlineStr"/>
      <c r="D23" s="3" t="inlineStr">
        <is>
          <t>CRITICAL</t>
        </is>
      </c>
      <c r="E23" s="3" t="inlineStr">
        <is>
          <t>personalization/customizer</t>
        </is>
      </c>
      <c r="F23" s="3"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t>
        </is>
      </c>
      <c r="G23" s="3" t="inlineStr">
        <is>
          <t>Draft claims name, number personalization but static customizer config does not expose matching input(s).</t>
        </is>
      </c>
      <c r="H23" s="3" t="inlineStr">
        <is>
          <t>Claim is materially unsafe until the live purchase flow exposes matching input controls.</t>
        </is>
      </c>
      <c r="I23" s="3" t="inlineStr">
        <is>
          <t>Remove/soften unsupported personalization claim, or provide admin/live proof that matching controls work.</t>
        </is>
      </c>
      <c r="J23" s="3" t="inlineStr">
        <is>
          <t>Draft claims name, number personalization but static customizer config does not expose matching input(s).</t>
        </is>
      </c>
      <c r="K23" s="3" t="inlineStr">
        <is>
          <t>Re-open live product and verify the exact name/number/photo input is present and mapped to fulfillment.</t>
        </is>
      </c>
    </row>
    <row r="24" ht="84" customHeight="1">
      <c r="A24" s="2" t="inlineStr">
        <is>
          <t>ISSUE-0023</t>
        </is>
      </c>
      <c r="B24" s="2" t="inlineStr">
        <is>
          <t>jeminise.com+custom-soccer-player-paint-splatter-comforter-set-machine-washable</t>
        </is>
      </c>
      <c r="C24" s="2" t="inlineStr"/>
      <c r="D24" s="2" t="inlineStr">
        <is>
          <t>MAJOR</t>
        </is>
      </c>
      <c r="E24" s="2" t="inlineStr">
        <is>
          <t>description_proposed_html</t>
        </is>
      </c>
      <c r="F24" s="2"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t>
        </is>
      </c>
      <c r="G24" s="2" t="inlineStr">
        <is>
          <t>Draft contains SEO Use / QA approval wording.</t>
        </is>
      </c>
      <c r="H24" s="2" t="inlineStr">
        <is>
          <t>Internal workflow language is not publish-ready storefront copy.</t>
        </is>
      </c>
      <c r="I24" s="2" t="inlineStr">
        <is>
          <t>Remove internal QA/import block and replace with customer-facing verified copy.</t>
        </is>
      </c>
      <c r="J24" s="2" t="inlineStr">
        <is>
          <t>Draft contains SEO Use / QA approval wording.</t>
        </is>
      </c>
      <c r="K24" s="2" t="inlineStr">
        <is>
          <t>Description HTML no longer contains SEO Use, QA, approval, import or draft language.</t>
        </is>
      </c>
    </row>
    <row r="25" ht="84" customHeight="1">
      <c r="A25" s="3" t="inlineStr">
        <is>
          <t>ISSUE-0024</t>
        </is>
      </c>
      <c r="B25" s="3" t="inlineStr">
        <is>
          <t>jeminise.com+custom-soccer-player-paint-splatter-comforter-set-machine-washable</t>
        </is>
      </c>
      <c r="C25" s="3" t="inlineStr"/>
      <c r="D25" s="3" t="inlineStr">
        <is>
          <t>MINOR</t>
        </is>
      </c>
      <c r="E25" s="3" t="inlineStr">
        <is>
          <t>meta_description_seo</t>
        </is>
      </c>
      <c r="F25" s="3" t="inlineStr">
        <is>
          <t>Shop a comforter set featuring white comforter with multicolor paint splatter soccer ball artwork, Matthew name and number 15. Review size and personalization options before checkout.</t>
        </is>
      </c>
      <c r="G25" s="3" t="inlineStr">
        <is>
          <t>Meta description length is 183 characters.</t>
        </is>
      </c>
      <c r="H25" s="3" t="inlineStr">
        <is>
          <t>Likely to truncate in search results and repeats review/personality wording in several rows.</t>
        </is>
      </c>
      <c r="I25" s="3" t="inlineStr">
        <is>
          <t>Rewrite to roughly 145-155 characters while preserving verified design and product type.</t>
        </is>
      </c>
      <c r="J25" s="3" t="inlineStr">
        <is>
          <t>Meta description length is 183 characters.</t>
        </is>
      </c>
      <c r="K25" s="3" t="inlineStr">
        <is>
          <t>Length check &lt;=160 characters and no unsupported claim remains.</t>
        </is>
      </c>
    </row>
    <row r="26" ht="84" customHeight="1">
      <c r="A26" s="2" t="inlineStr">
        <is>
          <t>ISSUE-0025</t>
        </is>
      </c>
      <c r="B26" s="2" t="inlineStr">
        <is>
          <t>jeminise.com+custom-soccer-player-paint-splatter-comforter-set-machine-washable</t>
        </is>
      </c>
      <c r="C26" s="2" t="inlineStr"/>
      <c r="D26" s="2" t="inlineStr">
        <is>
          <t>MAJOR</t>
        </is>
      </c>
      <c r="E26" s="2" t="inlineStr">
        <is>
          <t>keyword_map</t>
        </is>
      </c>
      <c r="F26" s="2" t="inlineStr">
        <is>
          <t>paint splatter soccer comforter</t>
        </is>
      </c>
      <c r="G26" s="2" t="inlineStr">
        <is>
          <t>https://www.etsy.com/listing/4379556971/personalized-girl-soccer-comforter; https://www.pinterest.com/pin/personalized-soccer-quilt-set-soccer-balls-quilt-blanket-with-pillowcases-custom-name-and-number-quilt-bedding-set--999939923509360353/; https://www.amazon.com/; https://www.etsy.com/listing/4379556971/personalized-girl-soccer-comforter; https://www.pinterest.com/pin/personalized-soccer-quilt-set-soccer-balls-quilt-blanket-with-pillowcases-c…</t>
        </is>
      </c>
      <c r="H26" s="2" t="inlineStr">
        <is>
          <t>Batch cluster contains several very similar products, so keyword/intent differentiation must be sharper.</t>
        </is>
      </c>
      <c r="I26" s="2" t="inlineStr">
        <is>
          <t>Add unique visible motif modifiers and avoid assigning the same generic product keyword to multiple URLs.</t>
        </is>
      </c>
      <c r="J26" s="2" t="inlineStr">
        <is>
          <t>https://www.etsy.com/listing/4379556971/personalized-girl-soccer-comforter; https://www.pinterest.com/pin/personalized-soccer-quilt-set-soccer-balls-quilt-blanket-with-pillowcases-custom-name-and-number-quilt-bedding-set--999939923509360353/; https://www.amazon.com/; https://www.etsy.com/listing/4379556971/personalized-girl-soccer-comforter; https://www.pinterest.com/pin/personalized-soccer-quilt-set-soccer-balls-quilt-blanket-with-pillowcases-c…</t>
        </is>
      </c>
      <c r="K26" s="2" t="inlineStr">
        <is>
          <t>SERP notes and title/meta show a distinct product-level query for this exact design.</t>
        </is>
      </c>
    </row>
    <row r="27" ht="84" customHeight="1">
      <c r="A27" s="3" t="inlineStr">
        <is>
          <t>ISSUE-0026</t>
        </is>
      </c>
      <c r="B27" s="3" t="inlineStr">
        <is>
          <t>jeminise.com+custom-soccer-player-paint-splatter-comforter-set-machine-washable</t>
        </is>
      </c>
      <c r="C27" s="3" t="inlineStr"/>
      <c r="D27" s="3" t="inlineStr">
        <is>
          <t>LIMITATION</t>
        </is>
      </c>
      <c r="E27" s="3" t="inlineStr">
        <is>
          <t>keyword_evidence_level</t>
        </is>
      </c>
      <c r="F27" s="3" t="inlineStr">
        <is>
          <t>SERP_ONLY</t>
        </is>
      </c>
      <c r="G27" s="3" t="inlineStr">
        <is>
          <t>Only public SERP comparables are available.</t>
        </is>
      </c>
      <c r="H27" s="3" t="inlineStr">
        <is>
          <t>No Search Console, paid keyword volume or internal site search export was supplied.</t>
        </is>
      </c>
      <c r="I27" s="3" t="inlineStr">
        <is>
          <t>Keep demand statements qualitative; do not claim volume or ranking potential.</t>
        </is>
      </c>
      <c r="J27" s="3" t="inlineStr">
        <is>
          <t>Only public SERP comparables are available.</t>
        </is>
      </c>
      <c r="K27" s="3" t="inlineStr">
        <is>
          <t>Additional first-party or paid keyword evidence is attached, or limitation remains documented.</t>
        </is>
      </c>
    </row>
    <row r="28" ht="84" customHeight="1">
      <c r="A28" s="2" t="inlineStr">
        <is>
          <t>ISSUE-0027</t>
        </is>
      </c>
      <c r="B28" s="2" t="inlineStr">
        <is>
          <t>jeminise.com+custom-soccer-player-paint-splatter-comforter-set-machine-washable</t>
        </is>
      </c>
      <c r="C28" s="2" t="inlineStr">
        <is>
          <t>img_5bac7811e36a9d54</t>
        </is>
      </c>
      <c r="D28" s="2" t="inlineStr">
        <is>
          <t>MINOR</t>
        </is>
      </c>
      <c r="E28" s="2" t="inlineStr">
        <is>
          <t>alt text</t>
        </is>
      </c>
      <c r="F28" s="2" t="inlineStr">
        <is>
          <t>Personalized Paint Splatter Soccer Comforter displayed in a main product mockup</t>
        </is>
      </c>
      <c r="G28" s="2" t="inlineStr">
        <is>
          <t>Fresh image file: D:\Shopify_Workspace\jeminise_seo\seo_runs\jeminise.com\20260906_234129\qa\20260907_181200\images\113_01.jpg; source URL: https://cdn.shopify.com/s/files/1/0792/5098/1063/files/6af2c2171c76e387dd360630309e9c195302a9f62c2ab3fdf7aee54b1b973c58.jpg?v=1786610986</t>
        </is>
      </c>
      <c r="H28" s="2" t="inlineStr">
        <is>
          <t>Alt text is too generic or describes placement more than visible content.</t>
        </is>
      </c>
      <c r="I28" s="2" t="inlineStr">
        <is>
          <t>Rewrite observation/alt from the directly opened image, naming the visible motif and use context.</t>
        </is>
      </c>
      <c r="J28" s="2" t="inlineStr">
        <is>
          <t>Fresh image file: D:\Shopify_Workspace\jeminise_seo\seo_runs\jeminise.com\20260906_234129\qa\20260907_181200\images\113_01.jpg; source URL: https://cdn.shopify.com/s/files/1/0792/5098/1063/files/6af2c2171c76e387dd360630309e9c195302a9f62c2ab3fdf7aee54b1b973c58.jpg?v=1786610986</t>
        </is>
      </c>
      <c r="K28" s="2" t="inlineStr">
        <is>
          <t>The image row accurately describes the actual media at this gallery position.</t>
        </is>
      </c>
    </row>
    <row r="29" ht="84" customHeight="1">
      <c r="A29" s="3" t="inlineStr">
        <is>
          <t>ISSUE-0028</t>
        </is>
      </c>
      <c r="B29" s="3" t="inlineStr">
        <is>
          <t>jeminise.com+custom-soccer-player-paint-splatter-comforter-set-machine-washable</t>
        </is>
      </c>
      <c r="C29" s="3" t="inlineStr">
        <is>
          <t>img_435e9cfc961a3d73</t>
        </is>
      </c>
      <c r="D29" s="3" t="inlineStr">
        <is>
          <t>MINOR</t>
        </is>
      </c>
      <c r="E29" s="3" t="inlineStr">
        <is>
          <t>image observation</t>
        </is>
      </c>
      <c r="F29" s="3" t="inlineStr">
        <is>
          <t>Bedding type, feature, lifestyle or material image for personalized paint splatter soccer comforter with Matthew number 15.</t>
        </is>
      </c>
      <c r="G29" s="3" t="inlineStr">
        <is>
          <t>Fresh image file: D:\Shopify_Workspace\jeminise_seo\seo_runs\jeminise.com\20260906_234129\qa\20260907_181200\images\113_03.jpg; source URL: https://cdn.shopify.com/s/files/1/0792/5098/1063/files/e64a419d66530cc2d67bf8a94c9b2b7e040664d3191fa01a4cd6d30c554406b3.jpg?v=1786610986</t>
        </is>
      </c>
      <c r="H29" s="3" t="inlineStr">
        <is>
          <t>Observation is generic or position-based; rewrite from the actual image content.</t>
        </is>
      </c>
      <c r="I29" s="3" t="inlineStr">
        <is>
          <t>Rewrite observation/alt from the directly opened image, naming the visible motif and use context.</t>
        </is>
      </c>
      <c r="J29" s="3" t="inlineStr">
        <is>
          <t>Fresh image file: D:\Shopify_Workspace\jeminise_seo\seo_runs\jeminise.com\20260906_234129\qa\20260907_181200\images\113_03.jpg; source URL: https://cdn.shopify.com/s/files/1/0792/5098/1063/files/e64a419d66530cc2d67bf8a94c9b2b7e040664d3191fa01a4cd6d30c554406b3.jpg?v=1786610986</t>
        </is>
      </c>
      <c r="K29" s="3" t="inlineStr">
        <is>
          <t>The image row accurately describes the actual media at this gallery position.</t>
        </is>
      </c>
    </row>
    <row r="30" ht="84" customHeight="1">
      <c r="A30" s="2" t="inlineStr">
        <is>
          <t>ISSUE-0029</t>
        </is>
      </c>
      <c r="B30" s="2" t="inlineStr">
        <is>
          <t>jeminise.com+custom-soccer-player-paint-splatter-comforter-set-machine-washable</t>
        </is>
      </c>
      <c r="C30" s="2" t="inlineStr">
        <is>
          <t>img_e170e5a636e81b07</t>
        </is>
      </c>
      <c r="D30" s="2" t="inlineStr">
        <is>
          <t>MINOR</t>
        </is>
      </c>
      <c r="E30" s="2" t="inlineStr">
        <is>
          <t>image observation</t>
        </is>
      </c>
      <c r="F30" s="2" t="inlineStr">
        <is>
          <t>Detail, feature panel or lifestyle image connected to personalized paint splatter soccer comforter with Matthew number 15.</t>
        </is>
      </c>
      <c r="G30" s="2" t="inlineStr">
        <is>
          <t>Fresh image file: D:\Shopify_Workspace\jeminise_seo\seo_runs\jeminise.com\20260906_234129\qa\20260907_181200\images\113_04.jpg; source URL: https://cdn.shopify.com/s/files/1/0792/5098/1063/files/32ed8ca3d2fcf17b95b4bb0933703282417cac1471afbda552757c64281472df.jpg?v=1786610986</t>
        </is>
      </c>
      <c r="H30" s="2" t="inlineStr">
        <is>
          <t>Observation is generic or position-based; rewrite from the actual image content.</t>
        </is>
      </c>
      <c r="I30" s="2" t="inlineStr">
        <is>
          <t>Rewrite observation/alt from the directly opened image, naming the visible motif and use context.</t>
        </is>
      </c>
      <c r="J30" s="2" t="inlineStr">
        <is>
          <t>Fresh image file: D:\Shopify_Workspace\jeminise_seo\seo_runs\jeminise.com\20260906_234129\qa\20260907_181200\images\113_04.jpg; source URL: https://cdn.shopify.com/s/files/1/0792/5098/1063/files/32ed8ca3d2fcf17b95b4bb0933703282417cac1471afbda552757c64281472df.jpg?v=1786610986</t>
        </is>
      </c>
      <c r="K30" s="2" t="inlineStr">
        <is>
          <t>The image row accurately describes the actual media at this gallery position.</t>
        </is>
      </c>
    </row>
    <row r="31" ht="84" customHeight="1">
      <c r="A31" s="3" t="inlineStr">
        <is>
          <t>ISSUE-0030</t>
        </is>
      </c>
      <c r="B31" s="3" t="inlineStr">
        <is>
          <t>jeminise.com+custom-soccer-player-paint-splatter-comforter-set-machine-washable</t>
        </is>
      </c>
      <c r="C31" s="3" t="inlineStr">
        <is>
          <t>img_e58fe484deda53a7</t>
        </is>
      </c>
      <c r="D31" s="3" t="inlineStr">
        <is>
          <t>MINOR</t>
        </is>
      </c>
      <c r="E31" s="3" t="inlineStr">
        <is>
          <t>image observation</t>
        </is>
      </c>
      <c r="F31" s="3" t="inlineStr">
        <is>
          <t>Easy-care, size guide or product feature image for personalized paint splatter soccer comforter with Matthew number 15.</t>
        </is>
      </c>
      <c r="G31" s="3" t="inlineStr">
        <is>
          <t>Fresh image file: D:\Shopify_Workspace\jeminise_seo\seo_runs\jeminise.com\20260906_234129\qa\20260907_181200\images\113_06.jpg; source URL: https://cdn.shopify.com/s/files/1/0792/5098/1063/files/4504aa50671ffbeae65b1e94f2acb6f592046acd12731774a456b088d249a841.jpg?v=1786610986</t>
        </is>
      </c>
      <c r="H31" s="3" t="inlineStr">
        <is>
          <t>Observation is generic or position-based; rewrite from the actual image content.</t>
        </is>
      </c>
      <c r="I31" s="3" t="inlineStr">
        <is>
          <t>Rewrite observation/alt from the directly opened image, naming the visible motif and use context.</t>
        </is>
      </c>
      <c r="J31" s="3" t="inlineStr">
        <is>
          <t>Fresh image file: D:\Shopify_Workspace\jeminise_seo\seo_runs\jeminise.com\20260906_234129\qa\20260907_181200\images\113_06.jpg; source URL: https://cdn.shopify.com/s/files/1/0792/5098/1063/files/4504aa50671ffbeae65b1e94f2acb6f592046acd12731774a456b088d249a841.jpg?v=1786610986</t>
        </is>
      </c>
      <c r="K31" s="3" t="inlineStr">
        <is>
          <t>The image row accurately describes the actual media at this gallery position.</t>
        </is>
      </c>
    </row>
    <row r="32" ht="84" customHeight="1">
      <c r="A32" s="2" t="inlineStr">
        <is>
          <t>ISSUE-0031</t>
        </is>
      </c>
      <c r="B32" s="2" t="inlineStr">
        <is>
          <t>jeminise.com+custom-soccer-player-paint-splatter-comforter-set-machine-washable</t>
        </is>
      </c>
      <c r="C32" s="2" t="inlineStr">
        <is>
          <t>img_6ee8b4ad6100fd35</t>
        </is>
      </c>
      <c r="D32" s="2" t="inlineStr">
        <is>
          <t>MINOR</t>
        </is>
      </c>
      <c r="E32" s="2" t="inlineStr">
        <is>
          <t>image observation</t>
        </is>
      </c>
      <c r="F32" s="2" t="inlineStr">
        <is>
          <t>Additional lifestyle, feature or product detail image showing personalized paint splatter soccer comforter with Matthew number 15.</t>
        </is>
      </c>
      <c r="G32" s="2" t="inlineStr">
        <is>
          <t>Fresh image file: D:\Shopify_Workspace\jeminise_seo\seo_runs\jeminise.com\20260906_234129\qa\20260907_181200\images\113_07.jpg; source URL: https://cdn.shopify.com/s/files/1/0792/5098/1063/files/d761ea3ae4f4c0b26b7473177b21a616c5199552823ec637c64fe7b0d6b0f12f_87083663-064a-4940-9b08-9adf1c7c3f13.jpg?v=1786610986</t>
        </is>
      </c>
      <c r="H32" s="2" t="inlineStr">
        <is>
          <t>Observation is generic or position-based; rewrite from the actual image content.</t>
        </is>
      </c>
      <c r="I32" s="2" t="inlineStr">
        <is>
          <t>Rewrite observation/alt from the directly opened image, naming the visible motif and use context.</t>
        </is>
      </c>
      <c r="J32" s="2" t="inlineStr">
        <is>
          <t>Fresh image file: D:\Shopify_Workspace\jeminise_seo\seo_runs\jeminise.com\20260906_234129\qa\20260907_181200\images\113_07.jpg; source URL: https://cdn.shopify.com/s/files/1/0792/5098/1063/files/d761ea3ae4f4c0b26b7473177b21a616c5199552823ec637c64fe7b0d6b0f12f_87083663-064a-4940-9b08-9adf1c7c3f13.jpg?v=1786610986</t>
        </is>
      </c>
      <c r="K32" s="2" t="inlineStr">
        <is>
          <t>The image row accurately describes the actual media at this gallery position.</t>
        </is>
      </c>
    </row>
    <row r="33" ht="84" customHeight="1">
      <c r="A33" s="3" t="inlineStr">
        <is>
          <t>ISSUE-0032</t>
        </is>
      </c>
      <c r="B33" s="3" t="inlineStr">
        <is>
          <t>jeminise.com+custom-soccer-player-paint-splatter-comforter-set-machine-washable</t>
        </is>
      </c>
      <c r="C33" s="3" t="inlineStr">
        <is>
          <t>img_009343b1ae57f0c9</t>
        </is>
      </c>
      <c r="D33" s="3" t="inlineStr">
        <is>
          <t>MINOR</t>
        </is>
      </c>
      <c r="E33" s="3" t="inlineStr">
        <is>
          <t>image observation</t>
        </is>
      </c>
      <c r="F33" s="3" t="inlineStr">
        <is>
          <t>Additional lifestyle, feature or product detail image showing personalized paint splatter soccer comforter with Matthew number 15.</t>
        </is>
      </c>
      <c r="G33" s="3" t="inlineStr">
        <is>
          <t>Fresh image file: D:\Shopify_Workspace\jeminise_seo\seo_runs\jeminise.com\20260906_234129\qa\20260907_181200\images\113_08.jpg; source URL: https://cdn.shopify.com/s/files/1/0792/5098/1063/files/dd6b2f75d5d331064be3e2ace151f6872c3f1f67675d8c1c7fa00f207341180b_495f4df4-4244-4a92-9541-5c854819ab25.jpg?v=1786610986</t>
        </is>
      </c>
      <c r="H33" s="3" t="inlineStr">
        <is>
          <t>Observation is generic or position-based; rewrite from the actual image content.</t>
        </is>
      </c>
      <c r="I33" s="3" t="inlineStr">
        <is>
          <t>Rewrite observation/alt from the directly opened image, naming the visible motif and use context.</t>
        </is>
      </c>
      <c r="J33" s="3" t="inlineStr">
        <is>
          <t>Fresh image file: D:\Shopify_Workspace\jeminise_seo\seo_runs\jeminise.com\20260906_234129\qa\20260907_181200\images\113_08.jpg; source URL: https://cdn.shopify.com/s/files/1/0792/5098/1063/files/dd6b2f75d5d331064be3e2ace151f6872c3f1f67675d8c1c7fa00f207341180b_495f4df4-4244-4a92-9541-5c854819ab25.jpg?v=1786610986</t>
        </is>
      </c>
      <c r="K33" s="3" t="inlineStr">
        <is>
          <t>The image row accurately describes the actual media at this gallery position.</t>
        </is>
      </c>
    </row>
    <row r="34" ht="84" customHeight="1">
      <c r="A34" s="2" t="inlineStr">
        <is>
          <t>ISSUE-0033</t>
        </is>
      </c>
      <c r="B34" s="2" t="inlineStr">
        <is>
          <t>jeminise.com+custom-softball-comforter-set-for-girls-personalized-name-number</t>
        </is>
      </c>
      <c r="C34" s="2" t="inlineStr"/>
      <c r="D34" s="2" t="inlineStr">
        <is>
          <t>MAJOR</t>
        </is>
      </c>
      <c r="E34" s="2" t="inlineStr">
        <is>
          <t>description_proposed_html</t>
        </is>
      </c>
      <c r="F34" s="2"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t>
        </is>
      </c>
      <c r="G34" s="2" t="inlineStr">
        <is>
          <t>Draft contains SEO Use / QA approval wording.</t>
        </is>
      </c>
      <c r="H34" s="2" t="inlineStr">
        <is>
          <t>Internal workflow language is not publish-ready storefront copy.</t>
        </is>
      </c>
      <c r="I34" s="2" t="inlineStr">
        <is>
          <t>Remove internal QA/import block and replace with customer-facing verified copy.</t>
        </is>
      </c>
      <c r="J34" s="2" t="inlineStr">
        <is>
          <t>Draft contains SEO Use / QA approval wording.</t>
        </is>
      </c>
      <c r="K34" s="2" t="inlineStr">
        <is>
          <t>Description HTML no longer contains SEO Use, QA, approval, import or draft language.</t>
        </is>
      </c>
    </row>
    <row r="35" ht="84" customHeight="1">
      <c r="A35" s="3" t="inlineStr">
        <is>
          <t>ISSUE-0034</t>
        </is>
      </c>
      <c r="B35" s="3" t="inlineStr">
        <is>
          <t>jeminise.com+custom-softball-comforter-set-for-girls-personalized-name-number</t>
        </is>
      </c>
      <c r="C35" s="3" t="inlineStr"/>
      <c r="D35" s="3" t="inlineStr">
        <is>
          <t>MINOR</t>
        </is>
      </c>
      <c r="E35" s="3" t="inlineStr">
        <is>
          <t>meta_description_seo</t>
        </is>
      </c>
      <c r="F35" s="3" t="inlineStr">
        <is>
          <t>Shop a comforter set featuring yellow, black and gray softball patchwork artwork with batter silhouettes and matching pillowcases. Review size and personalization options before checkout.</t>
        </is>
      </c>
      <c r="G35" s="3" t="inlineStr">
        <is>
          <t>Meta description length is 187 characters.</t>
        </is>
      </c>
      <c r="H35" s="3" t="inlineStr">
        <is>
          <t>Likely to truncate in search results and repeats review/personality wording in several rows.</t>
        </is>
      </c>
      <c r="I35" s="3" t="inlineStr">
        <is>
          <t>Rewrite to roughly 145-155 characters while preserving verified design and product type.</t>
        </is>
      </c>
      <c r="J35" s="3" t="inlineStr">
        <is>
          <t>Meta description length is 187 characters.</t>
        </is>
      </c>
      <c r="K35" s="3" t="inlineStr">
        <is>
          <t>Length check &lt;=160 characters and no unsupported claim remains.</t>
        </is>
      </c>
    </row>
    <row r="36" ht="84" customHeight="1">
      <c r="A36" s="2" t="inlineStr">
        <is>
          <t>ISSUE-0035</t>
        </is>
      </c>
      <c r="B36" s="2" t="inlineStr">
        <is>
          <t>jeminise.com+custom-softball-comforter-set-for-girls-personalized-name-number</t>
        </is>
      </c>
      <c r="C36" s="2" t="inlineStr"/>
      <c r="D36" s="2" t="inlineStr">
        <is>
          <t>LIMITATION</t>
        </is>
      </c>
      <c r="E36" s="2" t="inlineStr">
        <is>
          <t>keyword_evidence_level</t>
        </is>
      </c>
      <c r="F36" s="2" t="inlineStr">
        <is>
          <t>SERP_ONLY</t>
        </is>
      </c>
      <c r="G36" s="2" t="inlineStr">
        <is>
          <t>Only public SERP comparables are available.</t>
        </is>
      </c>
      <c r="H36" s="2" t="inlineStr">
        <is>
          <t>No Search Console, paid keyword volume or internal site search export was supplied.</t>
        </is>
      </c>
      <c r="I36" s="2" t="inlineStr">
        <is>
          <t>Keep demand statements qualitative; do not claim volume or ranking potential.</t>
        </is>
      </c>
      <c r="J36" s="2" t="inlineStr">
        <is>
          <t>Only public SERP comparables are available.</t>
        </is>
      </c>
      <c r="K36" s="2" t="inlineStr">
        <is>
          <t>Additional first-party or paid keyword evidence is attached, or limitation remains documented.</t>
        </is>
      </c>
    </row>
    <row r="37" ht="84" customHeight="1">
      <c r="A37" s="3" t="inlineStr">
        <is>
          <t>ISSUE-0036</t>
        </is>
      </c>
      <c r="B37" s="3" t="inlineStr">
        <is>
          <t>jeminise.com+custom-softball-comforter-set-for-girls-personalized-name-number</t>
        </is>
      </c>
      <c r="C37" s="3" t="inlineStr">
        <is>
          <t>img_15d450545a049cfe</t>
        </is>
      </c>
      <c r="D37" s="3" t="inlineStr">
        <is>
          <t>MINOR</t>
        </is>
      </c>
      <c r="E37" s="3" t="inlineStr">
        <is>
          <t>alt text</t>
        </is>
      </c>
      <c r="F37" s="3" t="inlineStr">
        <is>
          <t>Yellow Black Softball Comforter Set displayed in a main product mockup</t>
        </is>
      </c>
      <c r="G37" s="3" t="inlineStr">
        <is>
          <t>Fresh image file: D:\Shopify_Workspace\jeminise_seo\seo_runs\jeminise.com\20260906_234129\qa\20260907_181200\images\114_01.jpg; source URL: https://cdn.shopify.com/s/files/1/0792/5098/1063/files/600dadc90f458b75b98e518bc082e027f8f4c6f51c7590c33f32d1c009501470.jpg?v=1787245141</t>
        </is>
      </c>
      <c r="H37" s="3" t="inlineStr">
        <is>
          <t>Alt text is too generic or describes placement more than visible content.</t>
        </is>
      </c>
      <c r="I37" s="3" t="inlineStr">
        <is>
          <t>Rewrite observation/alt from the directly opened image, naming the visible motif and use context.</t>
        </is>
      </c>
      <c r="J37" s="3" t="inlineStr">
        <is>
          <t>Fresh image file: D:\Shopify_Workspace\jeminise_seo\seo_runs\jeminise.com\20260906_234129\qa\20260907_181200\images\114_01.jpg; source URL: https://cdn.shopify.com/s/files/1/0792/5098/1063/files/600dadc90f458b75b98e518bc082e027f8f4c6f51c7590c33f32d1c009501470.jpg?v=1787245141</t>
        </is>
      </c>
      <c r="K37" s="3" t="inlineStr">
        <is>
          <t>The image row accurately describes the actual media at this gallery position.</t>
        </is>
      </c>
    </row>
    <row r="38" ht="84" customHeight="1">
      <c r="A38" s="2" t="inlineStr">
        <is>
          <t>ISSUE-0037</t>
        </is>
      </c>
      <c r="B38" s="2" t="inlineStr">
        <is>
          <t>jeminise.com+custom-softball-comforter-set-for-girls-personalized-name-number</t>
        </is>
      </c>
      <c r="C38" s="2" t="inlineStr">
        <is>
          <t>img_962a08aa467baa55</t>
        </is>
      </c>
      <c r="D38" s="2" t="inlineStr">
        <is>
          <t>MINOR</t>
        </is>
      </c>
      <c r="E38" s="2" t="inlineStr">
        <is>
          <t>image observation</t>
        </is>
      </c>
      <c r="F38" s="2" t="inlineStr">
        <is>
          <t>Bedding type, feature, lifestyle or material image for yellow black softball patchwork comforter for girls.</t>
        </is>
      </c>
      <c r="G38" s="2" t="inlineStr">
        <is>
          <t>Fresh image file: D:\Shopify_Workspace\jeminise_seo\seo_runs\jeminise.com\20260906_234129\qa\20260907_181200\images\114_03.jpg; source URL: https://cdn.shopify.com/s/files/1/0792/5098/1063/files/0f4f84843d32da35b71c8744a6c42a361dae6d95eaecfbf475c07d6a92e67565.jpg?v=1787245140</t>
        </is>
      </c>
      <c r="H38" s="2" t="inlineStr">
        <is>
          <t>Observation is generic or position-based; rewrite from the actual image content.</t>
        </is>
      </c>
      <c r="I38" s="2" t="inlineStr">
        <is>
          <t>Rewrite observation/alt from the directly opened image, naming the visible motif and use context.</t>
        </is>
      </c>
      <c r="J38" s="2" t="inlineStr">
        <is>
          <t>Fresh image file: D:\Shopify_Workspace\jeminise_seo\seo_runs\jeminise.com\20260906_234129\qa\20260907_181200\images\114_03.jpg; source URL: https://cdn.shopify.com/s/files/1/0792/5098/1063/files/0f4f84843d32da35b71c8744a6c42a361dae6d95eaecfbf475c07d6a92e67565.jpg?v=1787245140</t>
        </is>
      </c>
      <c r="K38" s="2" t="inlineStr">
        <is>
          <t>The image row accurately describes the actual media at this gallery position.</t>
        </is>
      </c>
    </row>
    <row r="39" ht="84" customHeight="1">
      <c r="A39" s="3" t="inlineStr">
        <is>
          <t>ISSUE-0038</t>
        </is>
      </c>
      <c r="B39" s="3" t="inlineStr">
        <is>
          <t>jeminise.com+custom-softball-comforter-set-for-girls-personalized-name-number</t>
        </is>
      </c>
      <c r="C39" s="3" t="inlineStr">
        <is>
          <t>img_18196bd12acbde42</t>
        </is>
      </c>
      <c r="D39" s="3" t="inlineStr">
        <is>
          <t>MINOR</t>
        </is>
      </c>
      <c r="E39" s="3" t="inlineStr">
        <is>
          <t>image observation</t>
        </is>
      </c>
      <c r="F39" s="3" t="inlineStr">
        <is>
          <t>Detail, feature panel or lifestyle image connected to yellow black softball patchwork comforter for girls.</t>
        </is>
      </c>
      <c r="G39" s="3" t="inlineStr">
        <is>
          <t>Fresh image file: D:\Shopify_Workspace\jeminise_seo\seo_runs\jeminise.com\20260906_234129\qa\20260907_181200\images\114_04.jpg; source URL: https://cdn.shopify.com/s/files/1/0792/5098/1063/files/1dcca8fdb6738a05b72800b9f3bae1af7ea539c5b6f6dad801b3e7efe0a31cd2.jpg?v=1787245141</t>
        </is>
      </c>
      <c r="H39" s="3" t="inlineStr">
        <is>
          <t>Observation is generic or position-based; rewrite from the actual image content.</t>
        </is>
      </c>
      <c r="I39" s="3" t="inlineStr">
        <is>
          <t>Rewrite observation/alt from the directly opened image, naming the visible motif and use context.</t>
        </is>
      </c>
      <c r="J39" s="3" t="inlineStr">
        <is>
          <t>Fresh image file: D:\Shopify_Workspace\jeminise_seo\seo_runs\jeminise.com\20260906_234129\qa\20260907_181200\images\114_04.jpg; source URL: https://cdn.shopify.com/s/files/1/0792/5098/1063/files/1dcca8fdb6738a05b72800b9f3bae1af7ea539c5b6f6dad801b3e7efe0a31cd2.jpg?v=1787245141</t>
        </is>
      </c>
      <c r="K39" s="3" t="inlineStr">
        <is>
          <t>The image row accurately describes the actual media at this gallery position.</t>
        </is>
      </c>
    </row>
    <row r="40" ht="84" customHeight="1">
      <c r="A40" s="2" t="inlineStr">
        <is>
          <t>ISSUE-0039</t>
        </is>
      </c>
      <c r="B40" s="2" t="inlineStr">
        <is>
          <t>jeminise.com+custom-softball-comforter-set-for-girls-personalized-name-number</t>
        </is>
      </c>
      <c r="C40" s="2" t="inlineStr">
        <is>
          <t>img_b48d08c351bfa99a</t>
        </is>
      </c>
      <c r="D40" s="2" t="inlineStr">
        <is>
          <t>MINOR</t>
        </is>
      </c>
      <c r="E40" s="2" t="inlineStr">
        <is>
          <t>image observation</t>
        </is>
      </c>
      <c r="F40" s="2" t="inlineStr">
        <is>
          <t>Easy-care, size guide or product feature image for yellow black softball patchwork comforter for girls.</t>
        </is>
      </c>
      <c r="G40" s="2" t="inlineStr">
        <is>
          <t>Fresh image file: D:\Shopify_Workspace\jeminise_seo\seo_runs\jeminise.com\20260906_234129\qa\20260907_181200\images\114_06.jpg; source URL: https://cdn.shopify.com/s/files/1/0792/5098/1063/files/b5c74b68d1b4eff2209b7123e3fbe61d1e31afd73aa5ba647e17c194e2e66c44_ffc912e1-a30d-47c4-a2c3-9f0ce00f330f.jpg?v=1787245141</t>
        </is>
      </c>
      <c r="H40" s="2" t="inlineStr">
        <is>
          <t>Observation is generic or position-based; rewrite from the actual image content.</t>
        </is>
      </c>
      <c r="I40" s="2" t="inlineStr">
        <is>
          <t>Rewrite observation/alt from the directly opened image, naming the visible motif and use context.</t>
        </is>
      </c>
      <c r="J40" s="2" t="inlineStr">
        <is>
          <t>Fresh image file: D:\Shopify_Workspace\jeminise_seo\seo_runs\jeminise.com\20260906_234129\qa\20260907_181200\images\114_06.jpg; source URL: https://cdn.shopify.com/s/files/1/0792/5098/1063/files/b5c74b68d1b4eff2209b7123e3fbe61d1e31afd73aa5ba647e17c194e2e66c44_ffc912e1-a30d-47c4-a2c3-9f0ce00f330f.jpg?v=1787245141</t>
        </is>
      </c>
      <c r="K40" s="2" t="inlineStr">
        <is>
          <t>The image row accurately describes the actual media at this gallery position.</t>
        </is>
      </c>
    </row>
    <row r="41" ht="84" customHeight="1">
      <c r="A41" s="3" t="inlineStr">
        <is>
          <t>ISSUE-0040</t>
        </is>
      </c>
      <c r="B41" s="3" t="inlineStr">
        <is>
          <t>jeminise.com+custom-softball-comforter-set-for-girls-personalized-name-number</t>
        </is>
      </c>
      <c r="C41" s="3" t="inlineStr">
        <is>
          <t>img_74bd15513922b8e2</t>
        </is>
      </c>
      <c r="D41" s="3" t="inlineStr">
        <is>
          <t>MINOR</t>
        </is>
      </c>
      <c r="E41" s="3" t="inlineStr">
        <is>
          <t>image observation</t>
        </is>
      </c>
      <c r="F41" s="3" t="inlineStr">
        <is>
          <t>Additional lifestyle, feature or product detail image showing yellow black softball patchwork comforter for girls.</t>
        </is>
      </c>
      <c r="G41" s="3" t="inlineStr">
        <is>
          <t>Fresh image file: D:\Shopify_Workspace\jeminise_seo\seo_runs\jeminise.com\20260906_234129\qa\20260907_181200\images\114_07.jpg; source URL: https://cdn.shopify.com/s/files/1/0792/5098/1063/files/a0ebf0c8e5cb1f2c8f924529805ea1d20494460dd41a740514b8862f5d5a2f4f_3166bb13-abac-4b46-b2db-33858584f50e.jpg?v=1787245140</t>
        </is>
      </c>
      <c r="H41" s="3" t="inlineStr">
        <is>
          <t>Observation is generic or position-based; rewrite from the actual image content.</t>
        </is>
      </c>
      <c r="I41" s="3" t="inlineStr">
        <is>
          <t>Rewrite observation/alt from the directly opened image, naming the visible motif and use context.</t>
        </is>
      </c>
      <c r="J41" s="3" t="inlineStr">
        <is>
          <t>Fresh image file: D:\Shopify_Workspace\jeminise_seo\seo_runs\jeminise.com\20260906_234129\qa\20260907_181200\images\114_07.jpg; source URL: https://cdn.shopify.com/s/files/1/0792/5098/1063/files/a0ebf0c8e5cb1f2c8f924529805ea1d20494460dd41a740514b8862f5d5a2f4f_3166bb13-abac-4b46-b2db-33858584f50e.jpg?v=1787245140</t>
        </is>
      </c>
      <c r="K41" s="3" t="inlineStr">
        <is>
          <t>The image row accurately describes the actual media at this gallery position.</t>
        </is>
      </c>
    </row>
    <row r="42" ht="84" customHeight="1">
      <c r="A42" s="2" t="inlineStr">
        <is>
          <t>ISSUE-0041</t>
        </is>
      </c>
      <c r="B42" s="2" t="inlineStr">
        <is>
          <t>jeminise.com+custom-sports-and-patriotism-football-on-american-flag-background-comforter-510823ee16-510823ee16</t>
        </is>
      </c>
      <c r="C42" s="2" t="inlineStr"/>
      <c r="D42" s="2" t="inlineStr">
        <is>
          <t>MAJOR</t>
        </is>
      </c>
      <c r="E42" s="2" t="inlineStr">
        <is>
          <t>description_proposed_html</t>
        </is>
      </c>
      <c r="F42" s="2"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t>
        </is>
      </c>
      <c r="G42" s="2" t="inlineStr">
        <is>
          <t>Draft contains SEO Use / QA approval wording.</t>
        </is>
      </c>
      <c r="H42" s="2" t="inlineStr">
        <is>
          <t>Internal workflow language is not publish-ready storefront copy.</t>
        </is>
      </c>
      <c r="I42" s="2" t="inlineStr">
        <is>
          <t>Remove internal QA/import block and replace with customer-facing verified copy.</t>
        </is>
      </c>
      <c r="J42" s="2" t="inlineStr">
        <is>
          <t>Draft contains SEO Use / QA approval wording.</t>
        </is>
      </c>
      <c r="K42" s="2" t="inlineStr">
        <is>
          <t>Description HTML no longer contains SEO Use, QA, approval, import or draft language.</t>
        </is>
      </c>
    </row>
    <row r="43" ht="84" customHeight="1">
      <c r="A43" s="3" t="inlineStr">
        <is>
          <t>ISSUE-0042</t>
        </is>
      </c>
      <c r="B43" s="3" t="inlineStr">
        <is>
          <t>jeminise.com+custom-sports-and-patriotism-football-on-american-flag-background-comforter-510823ee16-510823ee16</t>
        </is>
      </c>
      <c r="C43" s="3" t="inlineStr"/>
      <c r="D43" s="3" t="inlineStr">
        <is>
          <t>MINOR</t>
        </is>
      </c>
      <c r="E43" s="3" t="inlineStr">
        <is>
          <t>meta_description_seo</t>
        </is>
      </c>
      <c r="F43" s="3" t="inlineStr">
        <is>
          <t>Shop a comforter set featuring large brown football over a distressed American flag background with Kevin name and number 20. Review size and personalization options before checkout.</t>
        </is>
      </c>
      <c r="G43" s="3" t="inlineStr">
        <is>
          <t>Meta description length is 182 characters.</t>
        </is>
      </c>
      <c r="H43" s="3" t="inlineStr">
        <is>
          <t>Likely to truncate in search results and repeats review/personality wording in several rows.</t>
        </is>
      </c>
      <c r="I43" s="3" t="inlineStr">
        <is>
          <t>Rewrite to roughly 145-155 characters while preserving verified design and product type.</t>
        </is>
      </c>
      <c r="J43" s="3" t="inlineStr">
        <is>
          <t>Meta description length is 182 characters.</t>
        </is>
      </c>
      <c r="K43" s="3" t="inlineStr">
        <is>
          <t>Length check &lt;=160 characters and no unsupported claim remains.</t>
        </is>
      </c>
    </row>
    <row r="44" ht="84" customHeight="1">
      <c r="A44" s="2" t="inlineStr">
        <is>
          <t>ISSUE-0043</t>
        </is>
      </c>
      <c r="B44" s="2" t="inlineStr">
        <is>
          <t>jeminise.com+custom-sports-and-patriotism-football-on-american-flag-background-comforter-510823ee16-510823ee16</t>
        </is>
      </c>
      <c r="C44" s="2" t="inlineStr"/>
      <c r="D44" s="2" t="inlineStr">
        <is>
          <t>MAJOR</t>
        </is>
      </c>
      <c r="E44" s="2" t="inlineStr">
        <is>
          <t>keyword_map</t>
        </is>
      </c>
      <c r="F44" s="2" t="inlineStr">
        <is>
          <t>football American flag comforter</t>
        </is>
      </c>
      <c r="G44" s="2" t="inlineStr">
        <is>
          <t>https://www.amazon.com/Football-Personalized-Blanket-Pillowcases-Bedspread/dp/B0BFGNX4HW; https://macorner.co/products/american-football-custom-name-number-personalized-blanket-foo201101tuht; https://luvingift.com/football/; https://www.amazon.com/Football-Personalized-Blanket-Pillowcases-Bedspread/dp/B0BFGNX4HW; https://macorner.co/products/american-football-custom-name-number-personalized-blanket-foo201101tuht; https://luvingift.com/football/</t>
        </is>
      </c>
      <c r="H44" s="2" t="inlineStr">
        <is>
          <t>Batch cluster contains several very similar products, so keyword/intent differentiation must be sharper.</t>
        </is>
      </c>
      <c r="I44" s="2" t="inlineStr">
        <is>
          <t>Add unique visible motif modifiers and avoid assigning the same generic product keyword to multiple URLs.</t>
        </is>
      </c>
      <c r="J44" s="2" t="inlineStr">
        <is>
          <t>https://www.amazon.com/Football-Personalized-Blanket-Pillowcases-Bedspread/dp/B0BFGNX4HW; https://macorner.co/products/american-football-custom-name-number-personalized-blanket-foo201101tuht; https://luvingift.com/football/; https://www.amazon.com/Football-Personalized-Blanket-Pillowcases-Bedspread/dp/B0BFGNX4HW; https://macorner.co/products/american-football-custom-name-number-personalized-blanket-foo201101tuht; https://luvingift.com/football/</t>
        </is>
      </c>
      <c r="K44" s="2" t="inlineStr">
        <is>
          <t>SERP notes and title/meta show a distinct product-level query for this exact design.</t>
        </is>
      </c>
    </row>
    <row r="45" ht="84" customHeight="1">
      <c r="A45" s="3" t="inlineStr">
        <is>
          <t>ISSUE-0044</t>
        </is>
      </c>
      <c r="B45" s="3" t="inlineStr">
        <is>
          <t>jeminise.com+custom-sports-and-patriotism-football-on-american-flag-background-comforter-510823ee16-510823ee16</t>
        </is>
      </c>
      <c r="C45" s="3" t="inlineStr"/>
      <c r="D45" s="3" t="inlineStr">
        <is>
          <t>LIMITATION</t>
        </is>
      </c>
      <c r="E45" s="3" t="inlineStr">
        <is>
          <t>keyword_evidence_level</t>
        </is>
      </c>
      <c r="F45" s="3" t="inlineStr">
        <is>
          <t>SERP_ONLY</t>
        </is>
      </c>
      <c r="G45" s="3" t="inlineStr">
        <is>
          <t>Only public SERP comparables are available.</t>
        </is>
      </c>
      <c r="H45" s="3" t="inlineStr">
        <is>
          <t>No Search Console, paid keyword volume or internal site search export was supplied.</t>
        </is>
      </c>
      <c r="I45" s="3" t="inlineStr">
        <is>
          <t>Keep demand statements qualitative; do not claim volume or ranking potential.</t>
        </is>
      </c>
      <c r="J45" s="3" t="inlineStr">
        <is>
          <t>Only public SERP comparables are available.</t>
        </is>
      </c>
      <c r="K45" s="3" t="inlineStr">
        <is>
          <t>Additional first-party or paid keyword evidence is attached, or limitation remains documented.</t>
        </is>
      </c>
    </row>
    <row r="46" ht="84" customHeight="1">
      <c r="A46" s="2" t="inlineStr">
        <is>
          <t>ISSUE-0045</t>
        </is>
      </c>
      <c r="B46" s="2" t="inlineStr">
        <is>
          <t>jeminise.com+custom-sports-and-patriotism-football-on-american-flag-background-comforter-510823ee16-510823ee16</t>
        </is>
      </c>
      <c r="C46" s="2" t="inlineStr">
        <is>
          <t>img_c21796561fd28786</t>
        </is>
      </c>
      <c r="D46" s="2" t="inlineStr">
        <is>
          <t>MINOR</t>
        </is>
      </c>
      <c r="E46" s="2" t="inlineStr">
        <is>
          <t>alt text</t>
        </is>
      </c>
      <c r="F46" s="2" t="inlineStr">
        <is>
          <t>Personalized Football American Flag Comforter displayed in a main product mockup</t>
        </is>
      </c>
      <c r="G46" s="2" t="inlineStr">
        <is>
          <t>Fresh image file: D:\Shopify_Workspace\jeminise_seo\seo_runs\jeminise.com\20260906_234129\qa\20260907_181200\images\115_01.jpg; source URL: https://cdn.shopify.com/s/files/1/0792/5098/1063/files/29aa43c7b8307f34ac5d513cc57e1a002e1614f6867312a28dbfcab34d8673d2.jpg?v=1785102170</t>
        </is>
      </c>
      <c r="H46" s="2" t="inlineStr">
        <is>
          <t>Alt text is too generic or describes placement more than visible content.</t>
        </is>
      </c>
      <c r="I46" s="2" t="inlineStr">
        <is>
          <t>Rewrite observation/alt from the directly opened image, naming the visible motif and use context.</t>
        </is>
      </c>
      <c r="J46" s="2" t="inlineStr">
        <is>
          <t>Fresh image file: D:\Shopify_Workspace\jeminise_seo\seo_runs\jeminise.com\20260906_234129\qa\20260907_181200\images\115_01.jpg; source URL: https://cdn.shopify.com/s/files/1/0792/5098/1063/files/29aa43c7b8307f34ac5d513cc57e1a002e1614f6867312a28dbfcab34d8673d2.jpg?v=1785102170</t>
        </is>
      </c>
      <c r="K46" s="2" t="inlineStr">
        <is>
          <t>The image row accurately describes the actual media at this gallery position.</t>
        </is>
      </c>
    </row>
    <row r="47" ht="84" customHeight="1">
      <c r="A47" s="3" t="inlineStr">
        <is>
          <t>ISSUE-0046</t>
        </is>
      </c>
      <c r="B47" s="3" t="inlineStr">
        <is>
          <t>jeminise.com+custom-sports-and-patriotism-football-on-american-flag-background-comforter-510823ee16-510823ee16</t>
        </is>
      </c>
      <c r="C47" s="3" t="inlineStr">
        <is>
          <t>img_ec8aedfdd50c68e5</t>
        </is>
      </c>
      <c r="D47" s="3" t="inlineStr">
        <is>
          <t>MINOR</t>
        </is>
      </c>
      <c r="E47" s="3" t="inlineStr">
        <is>
          <t>image observation</t>
        </is>
      </c>
      <c r="F47" s="3" t="inlineStr">
        <is>
          <t>Bedding type, feature, lifestyle or material image for personalized football American flag comforter with Kevin number 20.</t>
        </is>
      </c>
      <c r="G47" s="3" t="inlineStr">
        <is>
          <t>Fresh image file: D:\Shopify_Workspace\jeminise_seo\seo_runs\jeminise.com\20260906_234129\qa\20260907_181200\images\115_03.jpg; source URL: https://cdn.shopify.com/s/files/1/0792/5098/1063/files/16f7293cbefa5743a35b2e6316a5a114e5c052d08151e367dafd26aa5e2e542b_7b681a73-e2c8-473c-861b-ebab1d308b2c.jpg?v=1785102170</t>
        </is>
      </c>
      <c r="H47" s="3" t="inlineStr">
        <is>
          <t>Observation is generic or position-based; rewrite from the actual image content.</t>
        </is>
      </c>
      <c r="I47" s="3" t="inlineStr">
        <is>
          <t>Rewrite observation/alt from the directly opened image, naming the visible motif and use context.</t>
        </is>
      </c>
      <c r="J47" s="3" t="inlineStr">
        <is>
          <t>Fresh image file: D:\Shopify_Workspace\jeminise_seo\seo_runs\jeminise.com\20260906_234129\qa\20260907_181200\images\115_03.jpg; source URL: https://cdn.shopify.com/s/files/1/0792/5098/1063/files/16f7293cbefa5743a35b2e6316a5a114e5c052d08151e367dafd26aa5e2e542b_7b681a73-e2c8-473c-861b-ebab1d308b2c.jpg?v=1785102170</t>
        </is>
      </c>
      <c r="K47" s="3" t="inlineStr">
        <is>
          <t>The image row accurately describes the actual media at this gallery position.</t>
        </is>
      </c>
    </row>
    <row r="48" ht="84" customHeight="1">
      <c r="A48" s="2" t="inlineStr">
        <is>
          <t>ISSUE-0047</t>
        </is>
      </c>
      <c r="B48" s="2" t="inlineStr">
        <is>
          <t>jeminise.com+custom-sports-and-patriotism-football-on-american-flag-background-comforter-510823ee16-510823ee16</t>
        </is>
      </c>
      <c r="C48" s="2" t="inlineStr">
        <is>
          <t>img_5cc4c618813cc644</t>
        </is>
      </c>
      <c r="D48" s="2" t="inlineStr">
        <is>
          <t>MINOR</t>
        </is>
      </c>
      <c r="E48" s="2" t="inlineStr">
        <is>
          <t>image observation</t>
        </is>
      </c>
      <c r="F48" s="2" t="inlineStr">
        <is>
          <t>Detail, feature panel or lifestyle image connected to personalized football American flag comforter with Kevin number 20.</t>
        </is>
      </c>
      <c r="G48" s="2" t="inlineStr">
        <is>
          <t>Fresh image file: D:\Shopify_Workspace\jeminise_seo\seo_runs\jeminise.com\20260906_234129\qa\20260907_181200\images\115_04.jpg; source URL: https://cdn.shopify.com/s/files/1/0792/5098/1063/files/d8fb9490da7e572f1e8ff50bc07b17f8c1246a805769a641c42df32c2d8d864e.jpg?v=1785102170</t>
        </is>
      </c>
      <c r="H48" s="2" t="inlineStr">
        <is>
          <t>Observation is generic or position-based; rewrite from the actual image content.</t>
        </is>
      </c>
      <c r="I48" s="2" t="inlineStr">
        <is>
          <t>Rewrite observation/alt from the directly opened image, naming the visible motif and use context.</t>
        </is>
      </c>
      <c r="J48" s="2" t="inlineStr">
        <is>
          <t>Fresh image file: D:\Shopify_Workspace\jeminise_seo\seo_runs\jeminise.com\20260906_234129\qa\20260907_181200\images\115_04.jpg; source URL: https://cdn.shopify.com/s/files/1/0792/5098/1063/files/d8fb9490da7e572f1e8ff50bc07b17f8c1246a805769a641c42df32c2d8d864e.jpg?v=1785102170</t>
        </is>
      </c>
      <c r="K48" s="2" t="inlineStr">
        <is>
          <t>The image row accurately describes the actual media at this gallery position.</t>
        </is>
      </c>
    </row>
    <row r="49" ht="84" customHeight="1">
      <c r="A49" s="3" t="inlineStr">
        <is>
          <t>ISSUE-0048</t>
        </is>
      </c>
      <c r="B49" s="3" t="inlineStr">
        <is>
          <t>jeminise.com+custom-sports-and-patriotism-football-on-american-flag-background-comforter-510823ee16-510823ee16</t>
        </is>
      </c>
      <c r="C49" s="3" t="inlineStr">
        <is>
          <t>img_c26d3d347a65c2a1</t>
        </is>
      </c>
      <c r="D49" s="3" t="inlineStr">
        <is>
          <t>MINOR</t>
        </is>
      </c>
      <c r="E49" s="3" t="inlineStr">
        <is>
          <t>image observation</t>
        </is>
      </c>
      <c r="F49" s="3" t="inlineStr">
        <is>
          <t>Easy-care, size guide or product feature image for personalized football American flag comforter with Kevin number 20.</t>
        </is>
      </c>
      <c r="G49" s="3" t="inlineStr">
        <is>
          <t>Fresh image file: D:\Shopify_Workspace\jeminise_seo\seo_runs\jeminise.com\20260906_234129\qa\20260907_181200\images\115_06.jpg; source URL: https://cdn.shopify.com/s/files/1/0792/5098/1063/files/e5cad84edb4d7bf77c48fd7c8e52eb3b73f04eba8bf177671fd8a059c59422e8_5ee813e4-f653-4ebf-a1d2-9cb4bc7e08f7.jpg?v=1785102170</t>
        </is>
      </c>
      <c r="H49" s="3" t="inlineStr">
        <is>
          <t>Observation is generic or position-based; rewrite from the actual image content.</t>
        </is>
      </c>
      <c r="I49" s="3" t="inlineStr">
        <is>
          <t>Rewrite observation/alt from the directly opened image, naming the visible motif and use context.</t>
        </is>
      </c>
      <c r="J49" s="3" t="inlineStr">
        <is>
          <t>Fresh image file: D:\Shopify_Workspace\jeminise_seo\seo_runs\jeminise.com\20260906_234129\qa\20260907_181200\images\115_06.jpg; source URL: https://cdn.shopify.com/s/files/1/0792/5098/1063/files/e5cad84edb4d7bf77c48fd7c8e52eb3b73f04eba8bf177671fd8a059c59422e8_5ee813e4-f653-4ebf-a1d2-9cb4bc7e08f7.jpg?v=1785102170</t>
        </is>
      </c>
      <c r="K49" s="3" t="inlineStr">
        <is>
          <t>The image row accurately describes the actual media at this gallery position.</t>
        </is>
      </c>
    </row>
    <row r="50" ht="84" customHeight="1">
      <c r="A50" s="2" t="inlineStr">
        <is>
          <t>ISSUE-0049</t>
        </is>
      </c>
      <c r="B50" s="2" t="inlineStr">
        <is>
          <t>jeminise.com+custom-transportation-semi-truck-on-geometric-background-comforter-284b7a6d0a-284b7a6d0a</t>
        </is>
      </c>
      <c r="C50" s="2" t="inlineStr"/>
      <c r="D50" s="2" t="inlineStr">
        <is>
          <t>MAJOR</t>
        </is>
      </c>
      <c r="E50" s="2" t="inlineStr">
        <is>
          <t>description_proposed_html</t>
        </is>
      </c>
      <c r="F50" s="2"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t>
        </is>
      </c>
      <c r="G50" s="2" t="inlineStr">
        <is>
          <t>Draft contains SEO Use / QA approval wording.</t>
        </is>
      </c>
      <c r="H50" s="2" t="inlineStr">
        <is>
          <t>Internal workflow language is not publish-ready storefront copy.</t>
        </is>
      </c>
      <c r="I50" s="2" t="inlineStr">
        <is>
          <t>Remove internal QA/import block and replace with customer-facing verified copy.</t>
        </is>
      </c>
      <c r="J50" s="2" t="inlineStr">
        <is>
          <t>Draft contains SEO Use / QA approval wording.</t>
        </is>
      </c>
      <c r="K50" s="2" t="inlineStr">
        <is>
          <t>Description HTML no longer contains SEO Use, QA, approval, import or draft language.</t>
        </is>
      </c>
    </row>
    <row r="51" ht="84" customHeight="1">
      <c r="A51" s="3" t="inlineStr">
        <is>
          <t>ISSUE-0050</t>
        </is>
      </c>
      <c r="B51" s="3" t="inlineStr">
        <is>
          <t>jeminise.com+custom-transportation-semi-truck-on-geometric-background-comforter-284b7a6d0a-284b7a6d0a</t>
        </is>
      </c>
      <c r="C51" s="3" t="inlineStr"/>
      <c r="D51" s="3" t="inlineStr">
        <is>
          <t>MINOR</t>
        </is>
      </c>
      <c r="E51" s="3" t="inlineStr">
        <is>
          <t>meta_description_seo</t>
        </is>
      </c>
      <c r="F51" s="3" t="inlineStr">
        <is>
          <t>Shop a comforter set featuring blue semi truck over black and blue geometric graphics with Your Name personalization area. Review size and personalization options before checkout.</t>
        </is>
      </c>
      <c r="G51" s="3" t="inlineStr">
        <is>
          <t>Meta description length is 179 characters.</t>
        </is>
      </c>
      <c r="H51" s="3" t="inlineStr">
        <is>
          <t>Likely to truncate in search results and repeats review/personality wording in several rows.</t>
        </is>
      </c>
      <c r="I51" s="3" t="inlineStr">
        <is>
          <t>Rewrite to roughly 145-155 characters while preserving verified design and product type.</t>
        </is>
      </c>
      <c r="J51" s="3" t="inlineStr">
        <is>
          <t>Meta description length is 179 characters.</t>
        </is>
      </c>
      <c r="K51" s="3" t="inlineStr">
        <is>
          <t>Length check &lt;=160 characters and no unsupported claim remains.</t>
        </is>
      </c>
    </row>
    <row r="52" ht="84" customHeight="1">
      <c r="A52" s="2" t="inlineStr">
        <is>
          <t>ISSUE-0051</t>
        </is>
      </c>
      <c r="B52" s="2" t="inlineStr">
        <is>
          <t>jeminise.com+custom-transportation-semi-truck-on-geometric-background-comforter-284b7a6d0a-284b7a6d0a</t>
        </is>
      </c>
      <c r="C52" s="2" t="inlineStr"/>
      <c r="D52" s="2" t="inlineStr">
        <is>
          <t>MAJOR</t>
        </is>
      </c>
      <c r="E52" s="2" t="inlineStr">
        <is>
          <t>keyword_map</t>
        </is>
      </c>
      <c r="F52" s="2" t="inlineStr">
        <is>
          <t>semi truck geometric comforter</t>
        </is>
      </c>
      <c r="G52" s="2" t="inlineStr">
        <is>
          <t>https://www.amazon.com/clp/B0DFQ6T1C5; https://www.amazon.com/Printluxe-Trucker-Tapestry-Comforters-Bedspreads/dp/B0DFQ9TMLY; https://www.etsy.com/listing/1091390349/personalized-semi-truck-baby-boy-blanket; https://www.amazon.com/clp/B0DFQ6T1C5; https://www.amazon.com/Printluxe-Trucker-Tapestry-Comforters-Bedspreads/dp/B0DFQ9TMLY; https://www.etsy.com/listing/1091390349/personalized-semi-truck-baby-boy-blanket</t>
        </is>
      </c>
      <c r="H52" s="2" t="inlineStr">
        <is>
          <t>Batch cluster contains several very similar products, so keyword/intent differentiation must be sharper.</t>
        </is>
      </c>
      <c r="I52" s="2" t="inlineStr">
        <is>
          <t>Add unique visible motif modifiers and avoid assigning the same generic product keyword to multiple URLs.</t>
        </is>
      </c>
      <c r="J52" s="2" t="inlineStr">
        <is>
          <t>https://www.amazon.com/clp/B0DFQ6T1C5; https://www.amazon.com/Printluxe-Trucker-Tapestry-Comforters-Bedspreads/dp/B0DFQ9TMLY; https://www.etsy.com/listing/1091390349/personalized-semi-truck-baby-boy-blanket; https://www.amazon.com/clp/B0DFQ6T1C5; https://www.amazon.com/Printluxe-Trucker-Tapestry-Comforters-Bedspreads/dp/B0DFQ9TMLY; https://www.etsy.com/listing/1091390349/personalized-semi-truck-baby-boy-blanket</t>
        </is>
      </c>
      <c r="K52" s="2" t="inlineStr">
        <is>
          <t>SERP notes and title/meta show a distinct product-level query for this exact design.</t>
        </is>
      </c>
    </row>
    <row r="53" ht="84" customHeight="1">
      <c r="A53" s="3" t="inlineStr">
        <is>
          <t>ISSUE-0052</t>
        </is>
      </c>
      <c r="B53" s="3" t="inlineStr">
        <is>
          <t>jeminise.com+custom-transportation-semi-truck-on-geometric-background-comforter-284b7a6d0a-284b7a6d0a</t>
        </is>
      </c>
      <c r="C53" s="3" t="inlineStr"/>
      <c r="D53" s="3" t="inlineStr">
        <is>
          <t>LIMITATION</t>
        </is>
      </c>
      <c r="E53" s="3" t="inlineStr">
        <is>
          <t>keyword_evidence_level</t>
        </is>
      </c>
      <c r="F53" s="3" t="inlineStr">
        <is>
          <t>SERP_ONLY</t>
        </is>
      </c>
      <c r="G53" s="3" t="inlineStr">
        <is>
          <t>Only public SERP comparables are available.</t>
        </is>
      </c>
      <c r="H53" s="3" t="inlineStr">
        <is>
          <t>No Search Console, paid keyword volume or internal site search export was supplied.</t>
        </is>
      </c>
      <c r="I53" s="3" t="inlineStr">
        <is>
          <t>Keep demand statements qualitative; do not claim volume or ranking potential.</t>
        </is>
      </c>
      <c r="J53" s="3" t="inlineStr">
        <is>
          <t>Only public SERP comparables are available.</t>
        </is>
      </c>
      <c r="K53" s="3" t="inlineStr">
        <is>
          <t>Additional first-party or paid keyword evidence is attached, or limitation remains documented.</t>
        </is>
      </c>
    </row>
    <row r="54" ht="84" customHeight="1">
      <c r="A54" s="2" t="inlineStr">
        <is>
          <t>ISSUE-0053</t>
        </is>
      </c>
      <c r="B54" s="2" t="inlineStr">
        <is>
          <t>jeminise.com+custom-transportation-semi-truck-on-geometric-background-comforter-284b7a6d0a-284b7a6d0a</t>
        </is>
      </c>
      <c r="C54" s="2" t="inlineStr">
        <is>
          <t>img_267305907b4902d0</t>
        </is>
      </c>
      <c r="D54" s="2" t="inlineStr">
        <is>
          <t>MINOR</t>
        </is>
      </c>
      <c r="E54" s="2" t="inlineStr">
        <is>
          <t>alt text</t>
        </is>
      </c>
      <c r="F54" s="2" t="inlineStr">
        <is>
          <t>Personalized Blue Semi Truck Geometric Comforter displayed in a main product mockup</t>
        </is>
      </c>
      <c r="G54" s="2" t="inlineStr">
        <is>
          <t>Fresh image file: D:\Shopify_Workspace\jeminise_seo\seo_runs\jeminise.com\20260906_234129\qa\20260907_181200\images\116_01.jpg; source URL: https://cdn.shopify.com/s/files/1/0792/5098/1063/files/e3cffbf07b04b7b1cfee06af43599e83f9be56de600af46f5316f032dc99acf2.jpg?v=1785132670</t>
        </is>
      </c>
      <c r="H54" s="2" t="inlineStr">
        <is>
          <t>Alt text is too generic or describes placement more than visible content.</t>
        </is>
      </c>
      <c r="I54" s="2" t="inlineStr">
        <is>
          <t>Rewrite observation/alt from the directly opened image, naming the visible motif and use context.</t>
        </is>
      </c>
      <c r="J54" s="2" t="inlineStr">
        <is>
          <t>Fresh image file: D:\Shopify_Workspace\jeminise_seo\seo_runs\jeminise.com\20260906_234129\qa\20260907_181200\images\116_01.jpg; source URL: https://cdn.shopify.com/s/files/1/0792/5098/1063/files/e3cffbf07b04b7b1cfee06af43599e83f9be56de600af46f5316f032dc99acf2.jpg?v=1785132670</t>
        </is>
      </c>
      <c r="K54" s="2" t="inlineStr">
        <is>
          <t>The image row accurately describes the actual media at this gallery position.</t>
        </is>
      </c>
    </row>
    <row r="55" ht="84" customHeight="1">
      <c r="A55" s="3" t="inlineStr">
        <is>
          <t>ISSUE-0054</t>
        </is>
      </c>
      <c r="B55" s="3" t="inlineStr">
        <is>
          <t>jeminise.com+custom-transportation-semi-truck-on-geometric-background-comforter-284b7a6d0a-284b7a6d0a</t>
        </is>
      </c>
      <c r="C55" s="3" t="inlineStr">
        <is>
          <t>img_993d8194cbe12058</t>
        </is>
      </c>
      <c r="D55" s="3" t="inlineStr">
        <is>
          <t>MINOR</t>
        </is>
      </c>
      <c r="E55" s="3" t="inlineStr">
        <is>
          <t>image observation</t>
        </is>
      </c>
      <c r="F55" s="3" t="inlineStr">
        <is>
          <t>Bedding type, feature, lifestyle or material image for personalized blue semi truck geometric comforter.</t>
        </is>
      </c>
      <c r="G55" s="3" t="inlineStr">
        <is>
          <t>Fresh image file: D:\Shopify_Workspace\jeminise_seo\seo_runs\jeminise.com\20260906_234129\qa\20260907_181200\images\116_03.jpg; source URL: https://cdn.shopify.com/s/files/1/0792/5098/1063/files/16f7293cbefa5743a35b2e6316a5a114e5c052d08151e367dafd26aa5e2e542b_b68e1f3b-d2ce-444e-8692-0c88618c6044.jpg?v=1785132670</t>
        </is>
      </c>
      <c r="H55" s="3" t="inlineStr">
        <is>
          <t>Observation is generic or position-based; rewrite from the actual image content.</t>
        </is>
      </c>
      <c r="I55" s="3" t="inlineStr">
        <is>
          <t>Rewrite observation/alt from the directly opened image, naming the visible motif and use context.</t>
        </is>
      </c>
      <c r="J55" s="3" t="inlineStr">
        <is>
          <t>Fresh image file: D:\Shopify_Workspace\jeminise_seo\seo_runs\jeminise.com\20260906_234129\qa\20260907_181200\images\116_03.jpg; source URL: https://cdn.shopify.com/s/files/1/0792/5098/1063/files/16f7293cbefa5743a35b2e6316a5a114e5c052d08151e367dafd26aa5e2e542b_b68e1f3b-d2ce-444e-8692-0c88618c6044.jpg?v=1785132670</t>
        </is>
      </c>
      <c r="K55" s="3" t="inlineStr">
        <is>
          <t>The image row accurately describes the actual media at this gallery position.</t>
        </is>
      </c>
    </row>
    <row r="56" ht="84" customHeight="1">
      <c r="A56" s="2" t="inlineStr">
        <is>
          <t>ISSUE-0055</t>
        </is>
      </c>
      <c r="B56" s="2" t="inlineStr">
        <is>
          <t>jeminise.com+custom-transportation-semi-truck-on-geometric-background-comforter-284b7a6d0a-284b7a6d0a</t>
        </is>
      </c>
      <c r="C56" s="2" t="inlineStr">
        <is>
          <t>img_05c9a3e3026d3542</t>
        </is>
      </c>
      <c r="D56" s="2" t="inlineStr">
        <is>
          <t>MINOR</t>
        </is>
      </c>
      <c r="E56" s="2" t="inlineStr">
        <is>
          <t>image observation</t>
        </is>
      </c>
      <c r="F56" s="2" t="inlineStr">
        <is>
          <t>Detail, feature panel or lifestyle image connected to personalized blue semi truck geometric comforter.</t>
        </is>
      </c>
      <c r="G56" s="2" t="inlineStr">
        <is>
          <t>Fresh image file: D:\Shopify_Workspace\jeminise_seo\seo_runs\jeminise.com\20260906_234129\qa\20260907_181200\images\116_04.jpg; source URL: https://cdn.shopify.com/s/files/1/0792/5098/1063/files/0d5d31e4b577d2af001f246d0d9753a04d2d74750c6a5c1e563b06e4a4629cd8.jpg?v=1785132670</t>
        </is>
      </c>
      <c r="H56" s="2" t="inlineStr">
        <is>
          <t>Observation is generic or position-based; rewrite from the actual image content.</t>
        </is>
      </c>
      <c r="I56" s="2" t="inlineStr">
        <is>
          <t>Rewrite observation/alt from the directly opened image, naming the visible motif and use context.</t>
        </is>
      </c>
      <c r="J56" s="2" t="inlineStr">
        <is>
          <t>Fresh image file: D:\Shopify_Workspace\jeminise_seo\seo_runs\jeminise.com\20260906_234129\qa\20260907_181200\images\116_04.jpg; source URL: https://cdn.shopify.com/s/files/1/0792/5098/1063/files/0d5d31e4b577d2af001f246d0d9753a04d2d74750c6a5c1e563b06e4a4629cd8.jpg?v=1785132670</t>
        </is>
      </c>
      <c r="K56" s="2" t="inlineStr">
        <is>
          <t>The image row accurately describes the actual media at this gallery position.</t>
        </is>
      </c>
    </row>
    <row r="57" ht="84" customHeight="1">
      <c r="A57" s="3" t="inlineStr">
        <is>
          <t>ISSUE-0056</t>
        </is>
      </c>
      <c r="B57" s="3" t="inlineStr">
        <is>
          <t>jeminise.com+custom-transportation-semi-truck-on-geometric-background-comforter-284b7a6d0a-284b7a6d0a</t>
        </is>
      </c>
      <c r="C57" s="3" t="inlineStr">
        <is>
          <t>img_6a5fe20c652d5729</t>
        </is>
      </c>
      <c r="D57" s="3" t="inlineStr">
        <is>
          <t>MINOR</t>
        </is>
      </c>
      <c r="E57" s="3" t="inlineStr">
        <is>
          <t>image observation</t>
        </is>
      </c>
      <c r="F57" s="3" t="inlineStr">
        <is>
          <t>Easy-care, size guide or product feature image for personalized blue semi truck geometric comforter.</t>
        </is>
      </c>
      <c r="G57" s="3" t="inlineStr">
        <is>
          <t>Fresh image file: D:\Shopify_Workspace\jeminise_seo\seo_runs\jeminise.com\20260906_234129\qa\20260907_181200\images\116_06.jpg; source URL: https://cdn.shopify.com/s/files/1/0792/5098/1063/files/7c006bddc94d4763c71c8376307e195c1bbce73b8c802ec73ac5a8cef1291262_2d660d73-8428-457e-848b-7bc17619ea12.jpg?v=1785132670</t>
        </is>
      </c>
      <c r="H57" s="3" t="inlineStr">
        <is>
          <t>Observation is generic or position-based; rewrite from the actual image content.</t>
        </is>
      </c>
      <c r="I57" s="3" t="inlineStr">
        <is>
          <t>Rewrite observation/alt from the directly opened image, naming the visible motif and use context.</t>
        </is>
      </c>
      <c r="J57" s="3" t="inlineStr">
        <is>
          <t>Fresh image file: D:\Shopify_Workspace\jeminise_seo\seo_runs\jeminise.com\20260906_234129\qa\20260907_181200\images\116_06.jpg; source URL: https://cdn.shopify.com/s/files/1/0792/5098/1063/files/7c006bddc94d4763c71c8376307e195c1bbce73b8c802ec73ac5a8cef1291262_2d660d73-8428-457e-848b-7bc17619ea12.jpg?v=1785132670</t>
        </is>
      </c>
      <c r="K57" s="3" t="inlineStr">
        <is>
          <t>The image row accurately describes the actual media at this gallery position.</t>
        </is>
      </c>
    </row>
    <row r="58" ht="84" customHeight="1">
      <c r="A58" s="2" t="inlineStr">
        <is>
          <t>ISSUE-0057</t>
        </is>
      </c>
      <c r="B58" s="2" t="inlineStr">
        <is>
          <t>jeminise.com+custom-transportation-semi-truck-on-geometric-background-comforter-284b7a6d0a-284b7a6d0a</t>
        </is>
      </c>
      <c r="C58" s="2" t="inlineStr">
        <is>
          <t>img_b391cf5fe93d4385</t>
        </is>
      </c>
      <c r="D58" s="2" t="inlineStr">
        <is>
          <t>MINOR</t>
        </is>
      </c>
      <c r="E58" s="2" t="inlineStr">
        <is>
          <t>image observation</t>
        </is>
      </c>
      <c r="F58" s="2" t="inlineStr">
        <is>
          <t>Additional lifestyle, feature or product detail image showing personalized blue semi truck geometric comforter.</t>
        </is>
      </c>
      <c r="G58" s="2" t="inlineStr">
        <is>
          <t>Fresh image file: D:\Shopify_Workspace\jeminise_seo\seo_runs\jeminise.com\20260906_234129\qa\20260907_181200\images\116_07.jpg; source URL: https://cdn.shopify.com/s/files/1/0792/5098/1063/files/e5cad84edb4d7bf77c48fd7c8e52eb3b73f04eba8bf177671fd8a059c59422e8_c425b774-14c8-469a-a4ce-b94e5322b66f.jpg?v=1785132670</t>
        </is>
      </c>
      <c r="H58" s="2" t="inlineStr">
        <is>
          <t>Observation is generic or position-based; rewrite from the actual image content.</t>
        </is>
      </c>
      <c r="I58" s="2" t="inlineStr">
        <is>
          <t>Rewrite observation/alt from the directly opened image, naming the visible motif and use context.</t>
        </is>
      </c>
      <c r="J58" s="2" t="inlineStr">
        <is>
          <t>Fresh image file: D:\Shopify_Workspace\jeminise_seo\seo_runs\jeminise.com\20260906_234129\qa\20260907_181200\images\116_07.jpg; source URL: https://cdn.shopify.com/s/files/1/0792/5098/1063/files/e5cad84edb4d7bf77c48fd7c8e52eb3b73f04eba8bf177671fd8a059c59422e8_c425b774-14c8-469a-a4ce-b94e5322b66f.jpg?v=1785132670</t>
        </is>
      </c>
      <c r="K58" s="2" t="inlineStr">
        <is>
          <t>The image row accurately describes the actual media at this gallery position.</t>
        </is>
      </c>
    </row>
    <row r="59" ht="84" customHeight="1">
      <c r="A59" s="3" t="inlineStr">
        <is>
          <t>ISSUE-0058</t>
        </is>
      </c>
      <c r="B59" s="3" t="inlineStr">
        <is>
          <t>jeminise.com+custom-tree-of-life-quilt-set-yggdrasil-bedding-97b4844050-97b4844050</t>
        </is>
      </c>
      <c r="C59" s="3" t="inlineStr"/>
      <c r="D59" s="3" t="inlineStr">
        <is>
          <t>MAJOR</t>
        </is>
      </c>
      <c r="E59" s="3" t="inlineStr">
        <is>
          <t>description_proposed_html</t>
        </is>
      </c>
      <c r="F59" s="3"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
        </is>
      </c>
      <c r="G59" s="3" t="inlineStr">
        <is>
          <t>Draft contains SEO Use / QA approval wording.</t>
        </is>
      </c>
      <c r="H59" s="3" t="inlineStr">
        <is>
          <t>Internal workflow language is not publish-ready storefront copy.</t>
        </is>
      </c>
      <c r="I59" s="3" t="inlineStr">
        <is>
          <t>Remove internal QA/import block and replace with customer-facing verified copy.</t>
        </is>
      </c>
      <c r="J59" s="3" t="inlineStr">
        <is>
          <t>Draft contains SEO Use / QA approval wording.</t>
        </is>
      </c>
      <c r="K59" s="3" t="inlineStr">
        <is>
          <t>Description HTML no longer contains SEO Use, QA, approval, import or draft language.</t>
        </is>
      </c>
    </row>
    <row r="60" ht="84" customHeight="1">
      <c r="A60" s="2" t="inlineStr">
        <is>
          <t>ISSUE-0059</t>
        </is>
      </c>
      <c r="B60" s="2" t="inlineStr">
        <is>
          <t>jeminise.com+custom-tree-of-life-quilt-set-yggdrasil-bedding-97b4844050-97b4844050</t>
        </is>
      </c>
      <c r="C60" s="2" t="inlineStr"/>
      <c r="D60" s="2" t="inlineStr">
        <is>
          <t>MINOR</t>
        </is>
      </c>
      <c r="E60" s="2" t="inlineStr">
        <is>
          <t>meta_description_seo</t>
        </is>
      </c>
      <c r="F60" s="2" t="inlineStr">
        <is>
          <t>Shop a quilt set featuring vivid rainbow Tree of Life artwork with flowing roots, multicolor leaves and matching shams. Review size and personalization options before checkout.</t>
        </is>
      </c>
      <c r="G60" s="2" t="inlineStr">
        <is>
          <t>Meta description length is 176 characters.</t>
        </is>
      </c>
      <c r="H60" s="2" t="inlineStr">
        <is>
          <t>Likely to truncate in search results and repeats review/personality wording in several rows.</t>
        </is>
      </c>
      <c r="I60" s="2" t="inlineStr">
        <is>
          <t>Rewrite to roughly 145-155 characters while preserving verified design and product type.</t>
        </is>
      </c>
      <c r="J60" s="2" t="inlineStr">
        <is>
          <t>Meta description length is 176 characters.</t>
        </is>
      </c>
      <c r="K60" s="2" t="inlineStr">
        <is>
          <t>Length check &lt;=160 characters and no unsupported claim remains.</t>
        </is>
      </c>
    </row>
    <row r="61" ht="84" customHeight="1">
      <c r="A61" s="3" t="inlineStr">
        <is>
          <t>ISSUE-0060</t>
        </is>
      </c>
      <c r="B61" s="3" t="inlineStr">
        <is>
          <t>jeminise.com+custom-tree-of-life-quilt-set-yggdrasil-bedding-97b4844050-97b4844050</t>
        </is>
      </c>
      <c r="C61" s="3" t="inlineStr"/>
      <c r="D61" s="3" t="inlineStr">
        <is>
          <t>LIMITATION</t>
        </is>
      </c>
      <c r="E61" s="3" t="inlineStr">
        <is>
          <t>keyword_evidence_level</t>
        </is>
      </c>
      <c r="F61" s="3" t="inlineStr">
        <is>
          <t>SERP_ONLY</t>
        </is>
      </c>
      <c r="G61" s="3" t="inlineStr">
        <is>
          <t>Only public SERP comparables are available.</t>
        </is>
      </c>
      <c r="H61" s="3" t="inlineStr">
        <is>
          <t>No Search Console, paid keyword volume or internal site search export was supplied.</t>
        </is>
      </c>
      <c r="I61" s="3" t="inlineStr">
        <is>
          <t>Keep demand statements qualitative; do not claim volume or ranking potential.</t>
        </is>
      </c>
      <c r="J61" s="3" t="inlineStr">
        <is>
          <t>Only public SERP comparables are available.</t>
        </is>
      </c>
      <c r="K61" s="3" t="inlineStr">
        <is>
          <t>Additional first-party or paid keyword evidence is attached, or limitation remains documented.</t>
        </is>
      </c>
    </row>
    <row r="62" ht="84" customHeight="1">
      <c r="A62" s="2" t="inlineStr">
        <is>
          <t>ISSUE-0061</t>
        </is>
      </c>
      <c r="B62" s="2" t="inlineStr">
        <is>
          <t>jeminise.com+custom-tree-of-life-quilt-set-yggdrasil-bedding-97b4844050-97b4844050</t>
        </is>
      </c>
      <c r="C62" s="2" t="inlineStr">
        <is>
          <t>img_77fb055848fa4ea6</t>
        </is>
      </c>
      <c r="D62" s="2" t="inlineStr">
        <is>
          <t>MINOR</t>
        </is>
      </c>
      <c r="E62" s="2" t="inlineStr">
        <is>
          <t>alt text</t>
        </is>
      </c>
      <c r="F62" s="2" t="inlineStr">
        <is>
          <t>Colorful Tree of Life Quilt Set displayed in a main product mockup</t>
        </is>
      </c>
      <c r="G62" s="2" t="inlineStr">
        <is>
          <t>Fresh image file: D:\Shopify_Workspace\jeminise_seo\seo_runs\jeminise.com\20260906_234129\qa\20260907_181200\images\117_01.jpg; source URL: https://cdn.shopify.com/s/files/1/0792/5098/1063/files/c444b502770c42ad4e54006a6da35b08abb6b8561de0b40bd0ad194fe3a3b7cc.jpg?v=1785047836</t>
        </is>
      </c>
      <c r="H62" s="2" t="inlineStr">
        <is>
          <t>Alt text is too generic or describes placement more than visible content.</t>
        </is>
      </c>
      <c r="I62" s="2" t="inlineStr">
        <is>
          <t>Rewrite observation/alt from the directly opened image, naming the visible motif and use context.</t>
        </is>
      </c>
      <c r="J62" s="2" t="inlineStr">
        <is>
          <t>Fresh image file: D:\Shopify_Workspace\jeminise_seo\seo_runs\jeminise.com\20260906_234129\qa\20260907_181200\images\117_01.jpg; source URL: https://cdn.shopify.com/s/files/1/0792/5098/1063/files/c444b502770c42ad4e54006a6da35b08abb6b8561de0b40bd0ad194fe3a3b7cc.jpg?v=1785047836</t>
        </is>
      </c>
      <c r="K62" s="2" t="inlineStr">
        <is>
          <t>The image row accurately describes the actual media at this gallery position.</t>
        </is>
      </c>
    </row>
    <row r="63" ht="84" customHeight="1">
      <c r="A63" s="3" t="inlineStr">
        <is>
          <t>ISSUE-0062</t>
        </is>
      </c>
      <c r="B63" s="3" t="inlineStr">
        <is>
          <t>jeminise.com+custom-tree-of-life-quilt-set-yggdrasil-bedding-97b4844050-97b4844050</t>
        </is>
      </c>
      <c r="C63" s="3" t="inlineStr">
        <is>
          <t>img_3d3420e1528f815b</t>
        </is>
      </c>
      <c r="D63" s="3" t="inlineStr">
        <is>
          <t>MINOR</t>
        </is>
      </c>
      <c r="E63" s="3" t="inlineStr">
        <is>
          <t>image observation</t>
        </is>
      </c>
      <c r="F63" s="3" t="inlineStr">
        <is>
          <t>Bedding type, feature, lifestyle or material image for colorful Tree of Life quilt set with rainbow leaves.</t>
        </is>
      </c>
      <c r="G63" s="3" t="inlineStr">
        <is>
          <t>Fresh image file: D:\Shopify_Workspace\jeminise_seo\seo_runs\jeminise.com\20260906_234129\qa\20260907_181200\images\117_03.jpg; source URL: https://cdn.shopify.com/s/files/1/0792/5098/1063/files/84068ba977a13a2a7be3e436e136971add45c306664eef493b306357ad5c1386.jpg?v=1785047836</t>
        </is>
      </c>
      <c r="H63" s="3" t="inlineStr">
        <is>
          <t>Observation is generic or position-based; rewrite from the actual image content.</t>
        </is>
      </c>
      <c r="I63" s="3" t="inlineStr">
        <is>
          <t>Rewrite observation/alt from the directly opened image, naming the visible motif and use context.</t>
        </is>
      </c>
      <c r="J63" s="3" t="inlineStr">
        <is>
          <t>Fresh image file: D:\Shopify_Workspace\jeminise_seo\seo_runs\jeminise.com\20260906_234129\qa\20260907_181200\images\117_03.jpg; source URL: https://cdn.shopify.com/s/files/1/0792/5098/1063/files/84068ba977a13a2a7be3e436e136971add45c306664eef493b306357ad5c1386.jpg?v=1785047836</t>
        </is>
      </c>
      <c r="K63" s="3" t="inlineStr">
        <is>
          <t>The image row accurately describes the actual media at this gallery position.</t>
        </is>
      </c>
    </row>
    <row r="64" ht="84" customHeight="1">
      <c r="A64" s="2" t="inlineStr">
        <is>
          <t>ISSUE-0063</t>
        </is>
      </c>
      <c r="B64" s="2" t="inlineStr">
        <is>
          <t>jeminise.com+custom-tree-of-life-quilt-set-yggdrasil-bedding-97b4844050-97b4844050</t>
        </is>
      </c>
      <c r="C64" s="2" t="inlineStr">
        <is>
          <t>img_53c6fd9bc414a6c9</t>
        </is>
      </c>
      <c r="D64" s="2" t="inlineStr">
        <is>
          <t>MINOR</t>
        </is>
      </c>
      <c r="E64" s="2" t="inlineStr">
        <is>
          <t>image observation</t>
        </is>
      </c>
      <c r="F64" s="2" t="inlineStr">
        <is>
          <t>Detail, feature panel or lifestyle image connected to colorful Tree of Life quilt set with rainbow leaves.</t>
        </is>
      </c>
      <c r="G64" s="2" t="inlineStr">
        <is>
          <t>Fresh image file: D:\Shopify_Workspace\jeminise_seo\seo_runs\jeminise.com\20260906_234129\qa\20260907_181200\images\117_04.jpg; source URL: https://cdn.shopify.com/s/files/1/0792/5098/1063/files/246de37386b25c1f596279902549dbaa51073f1c481a260f13dd80547ff28b96.jpg?v=1785047836</t>
        </is>
      </c>
      <c r="H64" s="2" t="inlineStr">
        <is>
          <t>Observation is generic or position-based; rewrite from the actual image content.</t>
        </is>
      </c>
      <c r="I64" s="2" t="inlineStr">
        <is>
          <t>Rewrite observation/alt from the directly opened image, naming the visible motif and use context.</t>
        </is>
      </c>
      <c r="J64" s="2" t="inlineStr">
        <is>
          <t>Fresh image file: D:\Shopify_Workspace\jeminise_seo\seo_runs\jeminise.com\20260906_234129\qa\20260907_181200\images\117_04.jpg; source URL: https://cdn.shopify.com/s/files/1/0792/5098/1063/files/246de37386b25c1f596279902549dbaa51073f1c481a260f13dd80547ff28b96.jpg?v=1785047836</t>
        </is>
      </c>
      <c r="K64" s="2" t="inlineStr">
        <is>
          <t>The image row accurately describes the actual media at this gallery position.</t>
        </is>
      </c>
    </row>
    <row r="65" ht="84" customHeight="1">
      <c r="A65" s="3" t="inlineStr">
        <is>
          <t>ISSUE-0064</t>
        </is>
      </c>
      <c r="B65" s="3" t="inlineStr">
        <is>
          <t>jeminise.com+custom-tree-of-life-quilt-set-yggdrasil-bedding-97b4844050-97b4844050</t>
        </is>
      </c>
      <c r="C65" s="3" t="inlineStr">
        <is>
          <t>img_52a56c306f84d484</t>
        </is>
      </c>
      <c r="D65" s="3" t="inlineStr">
        <is>
          <t>MINOR</t>
        </is>
      </c>
      <c r="E65" s="3" t="inlineStr">
        <is>
          <t>image observation</t>
        </is>
      </c>
      <c r="F65" s="3" t="inlineStr">
        <is>
          <t>Easy-care, size guide or product feature image for colorful Tree of Life quilt set with rainbow leaves.</t>
        </is>
      </c>
      <c r="G65" s="3" t="inlineStr">
        <is>
          <t>Fresh image file: D:\Shopify_Workspace\jeminise_seo\seo_runs\jeminise.com\20260906_234129\qa\20260907_181200\images\117_06.jpg; source URL: https://cdn.shopify.com/s/files/1/0792/5098/1063/files/32c82101209200624a1d8671b844a25947c4a4ed7b383a6d8265d36e7d743afd.jpg?v=1785047836</t>
        </is>
      </c>
      <c r="H65" s="3" t="inlineStr">
        <is>
          <t>Observation is generic or position-based; rewrite from the actual image content.</t>
        </is>
      </c>
      <c r="I65" s="3" t="inlineStr">
        <is>
          <t>Rewrite observation/alt from the directly opened image, naming the visible motif and use context.</t>
        </is>
      </c>
      <c r="J65" s="3" t="inlineStr">
        <is>
          <t>Fresh image file: D:\Shopify_Workspace\jeminise_seo\seo_runs\jeminise.com\20260906_234129\qa\20260907_181200\images\117_06.jpg; source URL: https://cdn.shopify.com/s/files/1/0792/5098/1063/files/32c82101209200624a1d8671b844a25947c4a4ed7b383a6d8265d36e7d743afd.jpg?v=1785047836</t>
        </is>
      </c>
      <c r="K65" s="3" t="inlineStr">
        <is>
          <t>The image row accurately describes the actual media at this gallery position.</t>
        </is>
      </c>
    </row>
    <row r="66" ht="84" customHeight="1">
      <c r="A66" s="2" t="inlineStr">
        <is>
          <t>ISSUE-0065</t>
        </is>
      </c>
      <c r="B66" s="2" t="inlineStr">
        <is>
          <t>jeminise.com+custom-tree-of-life-quilt-set-yggdrasil-bedding-97b4844050-97b4844050</t>
        </is>
      </c>
      <c r="C66" s="2" t="inlineStr">
        <is>
          <t>img_70605a629be37fe9</t>
        </is>
      </c>
      <c r="D66" s="2" t="inlineStr">
        <is>
          <t>MINOR</t>
        </is>
      </c>
      <c r="E66" s="2" t="inlineStr">
        <is>
          <t>image observation</t>
        </is>
      </c>
      <c r="F66" s="2" t="inlineStr">
        <is>
          <t>Additional lifestyle, feature or product detail image showing colorful Tree of Life quilt set with rainbow leaves.</t>
        </is>
      </c>
      <c r="G66" s="2" t="inlineStr">
        <is>
          <t>Fresh image file: D:\Shopify_Workspace\jeminise_seo\seo_runs\jeminise.com\20260906_234129\qa\20260907_181200\images\117_07.jpg; source URL: https://cdn.shopify.com/s/files/1/0792/5098/1063/files/5abe32a160d5612c59845577bd73d47ee43493f7ebcc5362f2fe1524980c649a.jpg?v=1785047836</t>
        </is>
      </c>
      <c r="H66" s="2" t="inlineStr">
        <is>
          <t>Observation is generic or position-based; rewrite from the actual image content.</t>
        </is>
      </c>
      <c r="I66" s="2" t="inlineStr">
        <is>
          <t>Rewrite observation/alt from the directly opened image, naming the visible motif and use context.</t>
        </is>
      </c>
      <c r="J66" s="2" t="inlineStr">
        <is>
          <t>Fresh image file: D:\Shopify_Workspace\jeminise_seo\seo_runs\jeminise.com\20260906_234129\qa\20260907_181200\images\117_07.jpg; source URL: https://cdn.shopify.com/s/files/1/0792/5098/1063/files/5abe32a160d5612c59845577bd73d47ee43493f7ebcc5362f2fe1524980c649a.jpg?v=1785047836</t>
        </is>
      </c>
      <c r="K66" s="2" t="inlineStr">
        <is>
          <t>The image row accurately describes the actual media at this gallery position.</t>
        </is>
      </c>
    </row>
    <row r="67" ht="84" customHeight="1">
      <c r="A67" s="3" t="inlineStr">
        <is>
          <t>ISSUE-0066</t>
        </is>
      </c>
      <c r="B67" s="3" t="inlineStr">
        <is>
          <t>jeminise.com+custom-tree-of-life-quilt-set-yggdrasil-bedding-0038a4731b-0038a4731b</t>
        </is>
      </c>
      <c r="C67" s="3" t="inlineStr"/>
      <c r="D67" s="3" t="inlineStr">
        <is>
          <t>MAJOR</t>
        </is>
      </c>
      <c r="E67" s="3" t="inlineStr">
        <is>
          <t>description_proposed_html</t>
        </is>
      </c>
      <c r="F67" s="3"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
        </is>
      </c>
      <c r="G67" s="3" t="inlineStr">
        <is>
          <t>Draft contains SEO Use / QA approval wording.</t>
        </is>
      </c>
      <c r="H67" s="3" t="inlineStr">
        <is>
          <t>Internal workflow language is not publish-ready storefront copy.</t>
        </is>
      </c>
      <c r="I67" s="3" t="inlineStr">
        <is>
          <t>Remove internal QA/import block and replace with customer-facing verified copy.</t>
        </is>
      </c>
      <c r="J67" s="3" t="inlineStr">
        <is>
          <t>Draft contains SEO Use / QA approval wording.</t>
        </is>
      </c>
      <c r="K67" s="3" t="inlineStr">
        <is>
          <t>Description HTML no longer contains SEO Use, QA, approval, import or draft language.</t>
        </is>
      </c>
    </row>
    <row r="68" ht="84" customHeight="1">
      <c r="A68" s="2" t="inlineStr">
        <is>
          <t>ISSUE-0067</t>
        </is>
      </c>
      <c r="B68" s="2" t="inlineStr">
        <is>
          <t>jeminise.com+custom-tree-of-life-quilt-set-yggdrasil-bedding-0038a4731b-0038a4731b</t>
        </is>
      </c>
      <c r="C68" s="2" t="inlineStr"/>
      <c r="D68" s="2" t="inlineStr">
        <is>
          <t>MINOR</t>
        </is>
      </c>
      <c r="E68" s="2" t="inlineStr">
        <is>
          <t>meta_description_seo</t>
        </is>
      </c>
      <c r="F68" s="2" t="inlineStr">
        <is>
          <t>Shop a quilt set featuring green Tree of Life and roots inside a Celtic ornamental oval frame with gold accents. Review size and personalization options before checkout.</t>
        </is>
      </c>
      <c r="G68" s="2" t="inlineStr">
        <is>
          <t>Meta description length is 169 characters.</t>
        </is>
      </c>
      <c r="H68" s="2" t="inlineStr">
        <is>
          <t>Likely to truncate in search results and repeats review/personality wording in several rows.</t>
        </is>
      </c>
      <c r="I68" s="2" t="inlineStr">
        <is>
          <t>Rewrite to roughly 145-155 characters while preserving verified design and product type.</t>
        </is>
      </c>
      <c r="J68" s="2" t="inlineStr">
        <is>
          <t>Meta description length is 169 characters.</t>
        </is>
      </c>
      <c r="K68" s="2" t="inlineStr">
        <is>
          <t>Length check &lt;=160 characters and no unsupported claim remains.</t>
        </is>
      </c>
    </row>
    <row r="69" ht="84" customHeight="1">
      <c r="A69" s="3" t="inlineStr">
        <is>
          <t>ISSUE-0068</t>
        </is>
      </c>
      <c r="B69" s="3" t="inlineStr">
        <is>
          <t>jeminise.com+custom-tree-of-life-quilt-set-yggdrasil-bedding-0038a4731b-0038a4731b</t>
        </is>
      </c>
      <c r="C69" s="3" t="inlineStr"/>
      <c r="D69" s="3" t="inlineStr">
        <is>
          <t>LIMITATION</t>
        </is>
      </c>
      <c r="E69" s="3" t="inlineStr">
        <is>
          <t>keyword_evidence_level</t>
        </is>
      </c>
      <c r="F69" s="3" t="inlineStr">
        <is>
          <t>SERP_ONLY</t>
        </is>
      </c>
      <c r="G69" s="3" t="inlineStr">
        <is>
          <t>Only public SERP comparables are available.</t>
        </is>
      </c>
      <c r="H69" s="3" t="inlineStr">
        <is>
          <t>No Search Console, paid keyword volume or internal site search export was supplied.</t>
        </is>
      </c>
      <c r="I69" s="3" t="inlineStr">
        <is>
          <t>Keep demand statements qualitative; do not claim volume or ranking potential.</t>
        </is>
      </c>
      <c r="J69" s="3" t="inlineStr">
        <is>
          <t>Only public SERP comparables are available.</t>
        </is>
      </c>
      <c r="K69" s="3" t="inlineStr">
        <is>
          <t>Additional first-party or paid keyword evidence is attached, or limitation remains documented.</t>
        </is>
      </c>
    </row>
    <row r="70" ht="84" customHeight="1">
      <c r="A70" s="2" t="inlineStr">
        <is>
          <t>ISSUE-0069</t>
        </is>
      </c>
      <c r="B70" s="2" t="inlineStr">
        <is>
          <t>jeminise.com+custom-tree-of-life-quilt-set-yggdrasil-bedding-0038a4731b-0038a4731b</t>
        </is>
      </c>
      <c r="C70" s="2" t="inlineStr">
        <is>
          <t>img_0995823f7dd00262</t>
        </is>
      </c>
      <c r="D70" s="2" t="inlineStr">
        <is>
          <t>MINOR</t>
        </is>
      </c>
      <c r="E70" s="2" t="inlineStr">
        <is>
          <t>alt text</t>
        </is>
      </c>
      <c r="F70" s="2" t="inlineStr">
        <is>
          <t>Celtic Tree of Life Yggdrasil Quilt Set displayed in a main product mockup</t>
        </is>
      </c>
      <c r="G70" s="2" t="inlineStr">
        <is>
          <t>Fresh image file: D:\Shopify_Workspace\jeminise_seo\seo_runs\jeminise.com\20260906_234129\qa\20260907_181200\images\118_01.jpg; source URL: https://cdn.shopify.com/s/files/1/0792/5098/1063/files/817e5ae89679a4e71582c6a358cd1fae8cb3daffbe7572ba4b64a510289666d1.jpg?v=1785047909</t>
        </is>
      </c>
      <c r="H70" s="2" t="inlineStr">
        <is>
          <t>Alt text is too generic or describes placement more than visible content.</t>
        </is>
      </c>
      <c r="I70" s="2" t="inlineStr">
        <is>
          <t>Rewrite observation/alt from the directly opened image, naming the visible motif and use context.</t>
        </is>
      </c>
      <c r="J70" s="2" t="inlineStr">
        <is>
          <t>Fresh image file: D:\Shopify_Workspace\jeminise_seo\seo_runs\jeminise.com\20260906_234129\qa\20260907_181200\images\118_01.jpg; source URL: https://cdn.shopify.com/s/files/1/0792/5098/1063/files/817e5ae89679a4e71582c6a358cd1fae8cb3daffbe7572ba4b64a510289666d1.jpg?v=1785047909</t>
        </is>
      </c>
      <c r="K70" s="2" t="inlineStr">
        <is>
          <t>The image row accurately describes the actual media at this gallery position.</t>
        </is>
      </c>
    </row>
    <row r="71" ht="84" customHeight="1">
      <c r="A71" s="3" t="inlineStr">
        <is>
          <t>ISSUE-0070</t>
        </is>
      </c>
      <c r="B71" s="3" t="inlineStr">
        <is>
          <t>jeminise.com+custom-tree-of-life-quilt-set-yggdrasil-bedding-0038a4731b-0038a4731b</t>
        </is>
      </c>
      <c r="C71" s="3" t="inlineStr">
        <is>
          <t>img_ccc348eae9dbb302</t>
        </is>
      </c>
      <c r="D71" s="3" t="inlineStr">
        <is>
          <t>MINOR</t>
        </is>
      </c>
      <c r="E71" s="3" t="inlineStr">
        <is>
          <t>image observation</t>
        </is>
      </c>
      <c r="F71" s="3" t="inlineStr">
        <is>
          <t>Bedding type, feature, lifestyle or material image for Celtic Tree of Life Yggdrasil quilt set in green and gold.</t>
        </is>
      </c>
      <c r="G71" s="3" t="inlineStr">
        <is>
          <t>Fresh image file: D:\Shopify_Workspace\jeminise_seo\seo_runs\jeminise.com\20260906_234129\qa\20260907_181200\images\118_03.jpg; source URL: https://cdn.shopify.com/s/files/1/0792/5098/1063/files/07ab48c8231df3ad521295fc7bfc8c4643094a5ba7c90018e7a68030fbc23f2f.jpg?v=1785047909</t>
        </is>
      </c>
      <c r="H71" s="3" t="inlineStr">
        <is>
          <t>Observation is generic or position-based; rewrite from the actual image content.</t>
        </is>
      </c>
      <c r="I71" s="3" t="inlineStr">
        <is>
          <t>Rewrite observation/alt from the directly opened image, naming the visible motif and use context.</t>
        </is>
      </c>
      <c r="J71" s="3" t="inlineStr">
        <is>
          <t>Fresh image file: D:\Shopify_Workspace\jeminise_seo\seo_runs\jeminise.com\20260906_234129\qa\20260907_181200\images\118_03.jpg; source URL: https://cdn.shopify.com/s/files/1/0792/5098/1063/files/07ab48c8231df3ad521295fc7bfc8c4643094a5ba7c90018e7a68030fbc23f2f.jpg?v=1785047909</t>
        </is>
      </c>
      <c r="K71" s="3" t="inlineStr">
        <is>
          <t>The image row accurately describes the actual media at this gallery position.</t>
        </is>
      </c>
    </row>
    <row r="72" ht="84" customHeight="1">
      <c r="A72" s="2" t="inlineStr">
        <is>
          <t>ISSUE-0071</t>
        </is>
      </c>
      <c r="B72" s="2" t="inlineStr">
        <is>
          <t>jeminise.com+custom-tree-of-life-quilt-set-yggdrasil-bedding-0038a4731b-0038a4731b</t>
        </is>
      </c>
      <c r="C72" s="2" t="inlineStr">
        <is>
          <t>img_a9a5eb342a65985d</t>
        </is>
      </c>
      <c r="D72" s="2" t="inlineStr">
        <is>
          <t>MINOR</t>
        </is>
      </c>
      <c r="E72" s="2" t="inlineStr">
        <is>
          <t>image observation</t>
        </is>
      </c>
      <c r="F72" s="2" t="inlineStr">
        <is>
          <t>Detail, feature panel or lifestyle image connected to Celtic Tree of Life Yggdrasil quilt set in green and gold.</t>
        </is>
      </c>
      <c r="G72" s="2" t="inlineStr">
        <is>
          <t>Fresh image file: D:\Shopify_Workspace\jeminise_seo\seo_runs\jeminise.com\20260906_234129\qa\20260907_181200\images\118_04.jpg; source URL: https://cdn.shopify.com/s/files/1/0792/5098/1063/files/573997dbd75523226edcc5e2ed3d5f2fc9f6c169b40e69bdc1ba661db6b9ac20.jpg?v=1785047909</t>
        </is>
      </c>
      <c r="H72" s="2" t="inlineStr">
        <is>
          <t>Observation is generic or position-based; rewrite from the actual image content.</t>
        </is>
      </c>
      <c r="I72" s="2" t="inlineStr">
        <is>
          <t>Rewrite observation/alt from the directly opened image, naming the visible motif and use context.</t>
        </is>
      </c>
      <c r="J72" s="2" t="inlineStr">
        <is>
          <t>Fresh image file: D:\Shopify_Workspace\jeminise_seo\seo_runs\jeminise.com\20260906_234129\qa\20260907_181200\images\118_04.jpg; source URL: https://cdn.shopify.com/s/files/1/0792/5098/1063/files/573997dbd75523226edcc5e2ed3d5f2fc9f6c169b40e69bdc1ba661db6b9ac20.jpg?v=1785047909</t>
        </is>
      </c>
      <c r="K72" s="2" t="inlineStr">
        <is>
          <t>The image row accurately describes the actual media at this gallery position.</t>
        </is>
      </c>
    </row>
    <row r="73" ht="84" customHeight="1">
      <c r="A73" s="3" t="inlineStr">
        <is>
          <t>ISSUE-0072</t>
        </is>
      </c>
      <c r="B73" s="3" t="inlineStr">
        <is>
          <t>jeminise.com+custom-tree-of-life-quilt-set-yggdrasil-bedding-0038a4731b-0038a4731b</t>
        </is>
      </c>
      <c r="C73" s="3" t="inlineStr">
        <is>
          <t>img_121f68dd550ddf39</t>
        </is>
      </c>
      <c r="D73" s="3" t="inlineStr">
        <is>
          <t>MINOR</t>
        </is>
      </c>
      <c r="E73" s="3" t="inlineStr">
        <is>
          <t>image observation</t>
        </is>
      </c>
      <c r="F73" s="3" t="inlineStr">
        <is>
          <t>Easy-care, size guide or product feature image for Celtic Tree of Life Yggdrasil quilt set in green and gold.</t>
        </is>
      </c>
      <c r="G73" s="3" t="inlineStr">
        <is>
          <t>Fresh image file: D:\Shopify_Workspace\jeminise_seo\seo_runs\jeminise.com\20260906_234129\qa\20260907_181200\images\118_06.jpg; source URL: https://cdn.shopify.com/s/files/1/0792/5098/1063/files/395576177c37a892f8d7041248c2ef5f265e233e6785903dbf9fc31ac4d4f2e7.jpg?v=1785047909</t>
        </is>
      </c>
      <c r="H73" s="3" t="inlineStr">
        <is>
          <t>Observation is generic or position-based; rewrite from the actual image content.</t>
        </is>
      </c>
      <c r="I73" s="3" t="inlineStr">
        <is>
          <t>Rewrite observation/alt from the directly opened image, naming the visible motif and use context.</t>
        </is>
      </c>
      <c r="J73" s="3" t="inlineStr">
        <is>
          <t>Fresh image file: D:\Shopify_Workspace\jeminise_seo\seo_runs\jeminise.com\20260906_234129\qa\20260907_181200\images\118_06.jpg; source URL: https://cdn.shopify.com/s/files/1/0792/5098/1063/files/395576177c37a892f8d7041248c2ef5f265e233e6785903dbf9fc31ac4d4f2e7.jpg?v=1785047909</t>
        </is>
      </c>
      <c r="K73" s="3" t="inlineStr">
        <is>
          <t>The image row accurately describes the actual media at this gallery position.</t>
        </is>
      </c>
    </row>
    <row r="74" ht="84" customHeight="1">
      <c r="A74" s="2" t="inlineStr">
        <is>
          <t>ISSUE-0073</t>
        </is>
      </c>
      <c r="B74" s="2" t="inlineStr">
        <is>
          <t>jeminise.com+custom-tree-of-life-quilt-set-yggdrasil-bedding-0038a4731b-0038a4731b</t>
        </is>
      </c>
      <c r="C74" s="2" t="inlineStr">
        <is>
          <t>img_6ce4a4958c2fda13</t>
        </is>
      </c>
      <c r="D74" s="2" t="inlineStr">
        <is>
          <t>MINOR</t>
        </is>
      </c>
      <c r="E74" s="2" t="inlineStr">
        <is>
          <t>image observation</t>
        </is>
      </c>
      <c r="F74" s="2" t="inlineStr">
        <is>
          <t>Additional lifestyle, feature or product detail image showing Celtic Tree of Life Yggdrasil quilt set in green and gold.</t>
        </is>
      </c>
      <c r="G74" s="2" t="inlineStr">
        <is>
          <t>Fresh image file: D:\Shopify_Workspace\jeminise_seo\seo_runs\jeminise.com\20260906_234129\qa\20260907_181200\images\118_07.jpg; source URL: https://cdn.shopify.com/s/files/1/0792/5098/1063/files/697c6c55f1be81ef2313dd082cfdf604da7f7fc072305902cc7f2e97ce2df134.jpg?v=1785047909</t>
        </is>
      </c>
      <c r="H74" s="2" t="inlineStr">
        <is>
          <t>Observation is generic or position-based; rewrite from the actual image content.</t>
        </is>
      </c>
      <c r="I74" s="2" t="inlineStr">
        <is>
          <t>Rewrite observation/alt from the directly opened image, naming the visible motif and use context.</t>
        </is>
      </c>
      <c r="J74" s="2" t="inlineStr">
        <is>
          <t>Fresh image file: D:\Shopify_Workspace\jeminise_seo\seo_runs\jeminise.com\20260906_234129\qa\20260907_181200\images\118_07.jpg; source URL: https://cdn.shopify.com/s/files/1/0792/5098/1063/files/697c6c55f1be81ef2313dd082cfdf604da7f7fc072305902cc7f2e97ce2df134.jpg?v=1785047909</t>
        </is>
      </c>
      <c r="K74" s="2" t="inlineStr">
        <is>
          <t>The image row accurately describes the actual media at this gallery position.</t>
        </is>
      </c>
    </row>
    <row r="75" ht="84" customHeight="1">
      <c r="A75" s="3" t="inlineStr">
        <is>
          <t>ISSUE-0074</t>
        </is>
      </c>
      <c r="B75" s="3" t="inlineStr">
        <is>
          <t>jeminise.com+custom-trucking-semi-truck-breaking-through-stone-wall-comforter-7a6b616ec4-7a6b616ec4</t>
        </is>
      </c>
      <c r="C75" s="3" t="inlineStr"/>
      <c r="D75" s="3" t="inlineStr">
        <is>
          <t>MAJOR</t>
        </is>
      </c>
      <c r="E75" s="3" t="inlineStr">
        <is>
          <t>description_proposed_html</t>
        </is>
      </c>
      <c r="F75" s="3"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t>
        </is>
      </c>
      <c r="G75" s="3" t="inlineStr">
        <is>
          <t>Draft contains SEO Use / QA approval wording.</t>
        </is>
      </c>
      <c r="H75" s="3" t="inlineStr">
        <is>
          <t>Internal workflow language is not publish-ready storefront copy.</t>
        </is>
      </c>
      <c r="I75" s="3" t="inlineStr">
        <is>
          <t>Remove internal QA/import block and replace with customer-facing verified copy.</t>
        </is>
      </c>
      <c r="J75" s="3" t="inlineStr">
        <is>
          <t>Draft contains SEO Use / QA approval wording.</t>
        </is>
      </c>
      <c r="K75" s="3" t="inlineStr">
        <is>
          <t>Description HTML no longer contains SEO Use, QA, approval, import or draft language.</t>
        </is>
      </c>
    </row>
    <row r="76" ht="84" customHeight="1">
      <c r="A76" s="2" t="inlineStr">
        <is>
          <t>ISSUE-0075</t>
        </is>
      </c>
      <c r="B76" s="2" t="inlineStr">
        <is>
          <t>jeminise.com+custom-trucking-semi-truck-breaking-through-stone-wall-comforter-7a6b616ec4-7a6b616ec4</t>
        </is>
      </c>
      <c r="C76" s="2" t="inlineStr"/>
      <c r="D76" s="2" t="inlineStr">
        <is>
          <t>MINOR</t>
        </is>
      </c>
      <c r="E76" s="2" t="inlineStr">
        <is>
          <t>meta_description_seo</t>
        </is>
      </c>
      <c r="F76" s="2" t="inlineStr">
        <is>
          <t>Shop a comforter set featuring red semi truck breaking through a gray stone wall with Your Name personalization area. Review size and personalization options before checkout.</t>
        </is>
      </c>
      <c r="G76" s="2" t="inlineStr">
        <is>
          <t>Meta description length is 174 characters.</t>
        </is>
      </c>
      <c r="H76" s="2" t="inlineStr">
        <is>
          <t>Likely to truncate in search results and repeats review/personality wording in several rows.</t>
        </is>
      </c>
      <c r="I76" s="2" t="inlineStr">
        <is>
          <t>Rewrite to roughly 145-155 characters while preserving verified design and product type.</t>
        </is>
      </c>
      <c r="J76" s="2" t="inlineStr">
        <is>
          <t>Meta description length is 174 characters.</t>
        </is>
      </c>
      <c r="K76" s="2" t="inlineStr">
        <is>
          <t>Length check &lt;=160 characters and no unsupported claim remains.</t>
        </is>
      </c>
    </row>
    <row r="77" ht="84" customHeight="1">
      <c r="A77" s="3" t="inlineStr">
        <is>
          <t>ISSUE-0076</t>
        </is>
      </c>
      <c r="B77" s="3" t="inlineStr">
        <is>
          <t>jeminise.com+custom-trucking-semi-truck-breaking-through-stone-wall-comforter-7a6b616ec4-7a6b616ec4</t>
        </is>
      </c>
      <c r="C77" s="3" t="inlineStr"/>
      <c r="D77" s="3" t="inlineStr">
        <is>
          <t>MAJOR</t>
        </is>
      </c>
      <c r="E77" s="3" t="inlineStr">
        <is>
          <t>keyword_map</t>
        </is>
      </c>
      <c r="F77" s="3" t="inlineStr">
        <is>
          <t>red semi truck wall comforter</t>
        </is>
      </c>
      <c r="G77" s="3" t="inlineStr">
        <is>
          <t>https://www.amazon.com/clp/B0DFQ6T1C5; https://www.amazon.com/Printluxe-Trucker-Tapestry-Comforters-Bedspreads/dp/B0DFQ9TMLY; https://www.etsy.com/listing/1091390349/personalized-semi-truck-baby-boy-blanket; https://www.amazon.com/clp/B0DFQ6T1C5; https://www.amazon.com/Printluxe-Trucker-Tapestry-Comforters-Bedspreads/dp/B0DFQ9TMLY; https://www.etsy.com/listing/1091390349/personalized-semi-truck-baby-boy-blanket</t>
        </is>
      </c>
      <c r="H77" s="3" t="inlineStr">
        <is>
          <t>Batch cluster contains several very similar products, so keyword/intent differentiation must be sharper.</t>
        </is>
      </c>
      <c r="I77" s="3" t="inlineStr">
        <is>
          <t>Add unique visible motif modifiers and avoid assigning the same generic product keyword to multiple URLs.</t>
        </is>
      </c>
      <c r="J77" s="3" t="inlineStr">
        <is>
          <t>https://www.amazon.com/clp/B0DFQ6T1C5; https://www.amazon.com/Printluxe-Trucker-Tapestry-Comforters-Bedspreads/dp/B0DFQ9TMLY; https://www.etsy.com/listing/1091390349/personalized-semi-truck-baby-boy-blanket; https://www.amazon.com/clp/B0DFQ6T1C5; https://www.amazon.com/Printluxe-Trucker-Tapestry-Comforters-Bedspreads/dp/B0DFQ9TMLY; https://www.etsy.com/listing/1091390349/personalized-semi-truck-baby-boy-blanket</t>
        </is>
      </c>
      <c r="K77" s="3" t="inlineStr">
        <is>
          <t>SERP notes and title/meta show a distinct product-level query for this exact design.</t>
        </is>
      </c>
    </row>
    <row r="78" ht="84" customHeight="1">
      <c r="A78" s="2" t="inlineStr">
        <is>
          <t>ISSUE-0077</t>
        </is>
      </c>
      <c r="B78" s="2" t="inlineStr">
        <is>
          <t>jeminise.com+custom-trucking-semi-truck-breaking-through-stone-wall-comforter-7a6b616ec4-7a6b616ec4</t>
        </is>
      </c>
      <c r="C78" s="2" t="inlineStr"/>
      <c r="D78" s="2" t="inlineStr">
        <is>
          <t>LIMITATION</t>
        </is>
      </c>
      <c r="E78" s="2" t="inlineStr">
        <is>
          <t>keyword_evidence_level</t>
        </is>
      </c>
      <c r="F78" s="2" t="inlineStr">
        <is>
          <t>SERP_ONLY</t>
        </is>
      </c>
      <c r="G78" s="2" t="inlineStr">
        <is>
          <t>Only public SERP comparables are available.</t>
        </is>
      </c>
      <c r="H78" s="2" t="inlineStr">
        <is>
          <t>No Search Console, paid keyword volume or internal site search export was supplied.</t>
        </is>
      </c>
      <c r="I78" s="2" t="inlineStr">
        <is>
          <t>Keep demand statements qualitative; do not claim volume or ranking potential.</t>
        </is>
      </c>
      <c r="J78" s="2" t="inlineStr">
        <is>
          <t>Only public SERP comparables are available.</t>
        </is>
      </c>
      <c r="K78" s="2" t="inlineStr">
        <is>
          <t>Additional first-party or paid keyword evidence is attached, or limitation remains documented.</t>
        </is>
      </c>
    </row>
    <row r="79" ht="84" customHeight="1">
      <c r="A79" s="3" t="inlineStr">
        <is>
          <t>ISSUE-0078</t>
        </is>
      </c>
      <c r="B79" s="3" t="inlineStr">
        <is>
          <t>jeminise.com+custom-trucking-semi-truck-breaking-through-stone-wall-comforter-7a6b616ec4-7a6b616ec4</t>
        </is>
      </c>
      <c r="C79" s="3" t="inlineStr">
        <is>
          <t>img_5baf0921d5a5f3e8</t>
        </is>
      </c>
      <c r="D79" s="3" t="inlineStr">
        <is>
          <t>MINOR</t>
        </is>
      </c>
      <c r="E79" s="3" t="inlineStr">
        <is>
          <t>alt text</t>
        </is>
      </c>
      <c r="F79" s="3" t="inlineStr">
        <is>
          <t>Personalized Red Semi Truck Wall Comforter displayed in a main product mockup</t>
        </is>
      </c>
      <c r="G79" s="3" t="inlineStr">
        <is>
          <t>Fresh image file: D:\Shopify_Workspace\jeminise_seo\seo_runs\jeminise.com\20260906_234129\qa\20260907_181200\images\119_01.jpg; source URL: https://cdn.shopify.com/s/files/1/0792/5098/1063/files/64798931108d494249f5b0700040fbb5b72be151e6a92f9dddc29728c8a2e634.jpg?v=1785133965</t>
        </is>
      </c>
      <c r="H79" s="3" t="inlineStr">
        <is>
          <t>Alt text is too generic or describes placement more than visible content.</t>
        </is>
      </c>
      <c r="I79" s="3" t="inlineStr">
        <is>
          <t>Rewrite observation/alt from the directly opened image, naming the visible motif and use context.</t>
        </is>
      </c>
      <c r="J79" s="3" t="inlineStr">
        <is>
          <t>Fresh image file: D:\Shopify_Workspace\jeminise_seo\seo_runs\jeminise.com\20260906_234129\qa\20260907_181200\images\119_01.jpg; source URL: https://cdn.shopify.com/s/files/1/0792/5098/1063/files/64798931108d494249f5b0700040fbb5b72be151e6a92f9dddc29728c8a2e634.jpg?v=1785133965</t>
        </is>
      </c>
      <c r="K79" s="3" t="inlineStr">
        <is>
          <t>The image row accurately describes the actual media at this gallery position.</t>
        </is>
      </c>
    </row>
    <row r="80" ht="84" customHeight="1">
      <c r="A80" s="2" t="inlineStr">
        <is>
          <t>ISSUE-0079</t>
        </is>
      </c>
      <c r="B80" s="2" t="inlineStr">
        <is>
          <t>jeminise.com+custom-trucking-semi-truck-breaking-through-stone-wall-comforter-7a6b616ec4-7a6b616ec4</t>
        </is>
      </c>
      <c r="C80" s="2" t="inlineStr">
        <is>
          <t>img_b3ccfc554cb785d0</t>
        </is>
      </c>
      <c r="D80" s="2" t="inlineStr">
        <is>
          <t>MINOR</t>
        </is>
      </c>
      <c r="E80" s="2" t="inlineStr">
        <is>
          <t>image observation</t>
        </is>
      </c>
      <c r="F80" s="2" t="inlineStr">
        <is>
          <t>Bedding type, feature, lifestyle or material image for personalized red semi truck breaking through stone wall comforter.</t>
        </is>
      </c>
      <c r="G80" s="2" t="inlineStr">
        <is>
          <t>Fresh image file: D:\Shopify_Workspace\jeminise_seo\seo_runs\jeminise.com\20260906_234129\qa\20260907_181200\images\119_03.jpg; source URL: https://cdn.shopify.com/s/files/1/0792/5098/1063/files/16f7293cbefa5743a35b2e6316a5a114e5c052d08151e367dafd26aa5e2e542b_51cd9952-f11f-4998-8e34-645605ae6b13.jpg?v=1785133965</t>
        </is>
      </c>
      <c r="H80" s="2" t="inlineStr">
        <is>
          <t>Observation is generic or position-based; rewrite from the actual image content.</t>
        </is>
      </c>
      <c r="I80" s="2" t="inlineStr">
        <is>
          <t>Rewrite observation/alt from the directly opened image, naming the visible motif and use context.</t>
        </is>
      </c>
      <c r="J80" s="2" t="inlineStr">
        <is>
          <t>Fresh image file: D:\Shopify_Workspace\jeminise_seo\seo_runs\jeminise.com\20260906_234129\qa\20260907_181200\images\119_03.jpg; source URL: https://cdn.shopify.com/s/files/1/0792/5098/1063/files/16f7293cbefa5743a35b2e6316a5a114e5c052d08151e367dafd26aa5e2e542b_51cd9952-f11f-4998-8e34-645605ae6b13.jpg?v=1785133965</t>
        </is>
      </c>
      <c r="K80" s="2" t="inlineStr">
        <is>
          <t>The image row accurately describes the actual media at this gallery position.</t>
        </is>
      </c>
    </row>
    <row r="81" ht="84" customHeight="1">
      <c r="A81" s="3" t="inlineStr">
        <is>
          <t>ISSUE-0080</t>
        </is>
      </c>
      <c r="B81" s="3" t="inlineStr">
        <is>
          <t>jeminise.com+custom-trucking-semi-truck-breaking-through-stone-wall-comforter-7a6b616ec4-7a6b616ec4</t>
        </is>
      </c>
      <c r="C81" s="3" t="inlineStr">
        <is>
          <t>img_f5724f47547f656d</t>
        </is>
      </c>
      <c r="D81" s="3" t="inlineStr">
        <is>
          <t>MINOR</t>
        </is>
      </c>
      <c r="E81" s="3" t="inlineStr">
        <is>
          <t>image observation</t>
        </is>
      </c>
      <c r="F81" s="3" t="inlineStr">
        <is>
          <t>Detail, feature panel or lifestyle image connected to personalized red semi truck breaking through stone wall comforter.</t>
        </is>
      </c>
      <c r="G81" s="3" t="inlineStr">
        <is>
          <t>Fresh image file: D:\Shopify_Workspace\jeminise_seo\seo_runs\jeminise.com\20260906_234129\qa\20260907_181200\images\119_04.jpg; source URL: https://cdn.shopify.com/s/files/1/0792/5098/1063/files/f8611415d6590d48771aee72c9ba688d1a8222f5abef2df22aa0d172e27d9286.jpg?v=1785133965</t>
        </is>
      </c>
      <c r="H81" s="3" t="inlineStr">
        <is>
          <t>Observation is generic or position-based; rewrite from the actual image content.</t>
        </is>
      </c>
      <c r="I81" s="3" t="inlineStr">
        <is>
          <t>Rewrite observation/alt from the directly opened image, naming the visible motif and use context.</t>
        </is>
      </c>
      <c r="J81" s="3" t="inlineStr">
        <is>
          <t>Fresh image file: D:\Shopify_Workspace\jeminise_seo\seo_runs\jeminise.com\20260906_234129\qa\20260907_181200\images\119_04.jpg; source URL: https://cdn.shopify.com/s/files/1/0792/5098/1063/files/f8611415d6590d48771aee72c9ba688d1a8222f5abef2df22aa0d172e27d9286.jpg?v=1785133965</t>
        </is>
      </c>
      <c r="K81" s="3" t="inlineStr">
        <is>
          <t>The image row accurately describes the actual media at this gallery position.</t>
        </is>
      </c>
    </row>
    <row r="82" ht="84" customHeight="1">
      <c r="A82" s="2" t="inlineStr">
        <is>
          <t>ISSUE-0081</t>
        </is>
      </c>
      <c r="B82" s="2" t="inlineStr">
        <is>
          <t>jeminise.com+custom-trucking-semi-truck-breaking-through-stone-wall-comforter-7a6b616ec4-7a6b616ec4</t>
        </is>
      </c>
      <c r="C82" s="2" t="inlineStr">
        <is>
          <t>img_802f1d86e991606b</t>
        </is>
      </c>
      <c r="D82" s="2" t="inlineStr">
        <is>
          <t>MINOR</t>
        </is>
      </c>
      <c r="E82" s="2" t="inlineStr">
        <is>
          <t>image observation</t>
        </is>
      </c>
      <c r="F82" s="2" t="inlineStr">
        <is>
          <t>Easy-care, size guide or product feature image for personalized red semi truck breaking through stone wall comforter.</t>
        </is>
      </c>
      <c r="G82" s="2" t="inlineStr">
        <is>
          <t>Fresh image file: D:\Shopify_Workspace\jeminise_seo\seo_runs\jeminise.com\20260906_234129\qa\20260907_181200\images\119_06.jpg; source URL: https://cdn.shopify.com/s/files/1/0792/5098/1063/files/7c006bddc94d4763c71c8376307e195c1bbce73b8c802ec73ac5a8cef1291262_8fd93ba1-2b09-4ab0-894b-66bb2e187d23.jpg?v=1785133965</t>
        </is>
      </c>
      <c r="H82" s="2" t="inlineStr">
        <is>
          <t>Observation is generic or position-based; rewrite from the actual image content.</t>
        </is>
      </c>
      <c r="I82" s="2" t="inlineStr">
        <is>
          <t>Rewrite observation/alt from the directly opened image, naming the visible motif and use context.</t>
        </is>
      </c>
      <c r="J82" s="2" t="inlineStr">
        <is>
          <t>Fresh image file: D:\Shopify_Workspace\jeminise_seo\seo_runs\jeminise.com\20260906_234129\qa\20260907_181200\images\119_06.jpg; source URL: https://cdn.shopify.com/s/files/1/0792/5098/1063/files/7c006bddc94d4763c71c8376307e195c1bbce73b8c802ec73ac5a8cef1291262_8fd93ba1-2b09-4ab0-894b-66bb2e187d23.jpg?v=1785133965</t>
        </is>
      </c>
      <c r="K82" s="2" t="inlineStr">
        <is>
          <t>The image row accurately describes the actual media at this gallery position.</t>
        </is>
      </c>
    </row>
    <row r="83" ht="84" customHeight="1">
      <c r="A83" s="3" t="inlineStr">
        <is>
          <t>ISSUE-0082</t>
        </is>
      </c>
      <c r="B83" s="3" t="inlineStr">
        <is>
          <t>jeminise.com+custom-trucking-semi-truck-breaking-through-stone-wall-comforter-7a6b616ec4-7a6b616ec4</t>
        </is>
      </c>
      <c r="C83" s="3" t="inlineStr">
        <is>
          <t>img_a8b5079977ff6daa</t>
        </is>
      </c>
      <c r="D83" s="3" t="inlineStr">
        <is>
          <t>MINOR</t>
        </is>
      </c>
      <c r="E83" s="3" t="inlineStr">
        <is>
          <t>image observation</t>
        </is>
      </c>
      <c r="F83" s="3" t="inlineStr">
        <is>
          <t>Additional lifestyle, feature or product detail image showing personalized red semi truck breaking through stone wall comforter.</t>
        </is>
      </c>
      <c r="G83" s="3" t="inlineStr">
        <is>
          <t>Fresh image file: D:\Shopify_Workspace\jeminise_seo\seo_runs\jeminise.com\20260906_234129\qa\20260907_181200\images\119_07.jpg; source URL: https://cdn.shopify.com/s/files/1/0792/5098/1063/files/e5cad84edb4d7bf77c48fd7c8e52eb3b73f04eba8bf177671fd8a059c59422e8_d035c4b4-ae64-4d12-96cd-6b2f5af3bf09.jpg?v=1785133965</t>
        </is>
      </c>
      <c r="H83" s="3" t="inlineStr">
        <is>
          <t>Observation is generic or position-based; rewrite from the actual image content.</t>
        </is>
      </c>
      <c r="I83" s="3" t="inlineStr">
        <is>
          <t>Rewrite observation/alt from the directly opened image, naming the visible motif and use context.</t>
        </is>
      </c>
      <c r="J83" s="3" t="inlineStr">
        <is>
          <t>Fresh image file: D:\Shopify_Workspace\jeminise_seo\seo_runs\jeminise.com\20260906_234129\qa\20260907_181200\images\119_07.jpg; source URL: https://cdn.shopify.com/s/files/1/0792/5098/1063/files/e5cad84edb4d7bf77c48fd7c8e52eb3b73f04eba8bf177671fd8a059c59422e8_d035c4b4-ae64-4d12-96cd-6b2f5af3bf09.jpg?v=1785133965</t>
        </is>
      </c>
      <c r="K83" s="3" t="inlineStr">
        <is>
          <t>The image row accurately describes the actual media at this gallery position.</t>
        </is>
      </c>
    </row>
    <row r="84" ht="84" customHeight="1">
      <c r="A84" s="2" t="inlineStr">
        <is>
          <t>ISSUE-0083</t>
        </is>
      </c>
      <c r="B84" s="2" t="inlineStr">
        <is>
          <t>jeminise.com+custom-trucking-semi-truck-breaking-through-stone-wall-comforter-01281fb2d3-01281fb2d3</t>
        </is>
      </c>
      <c r="C84" s="2" t="inlineStr"/>
      <c r="D84" s="2" t="inlineStr">
        <is>
          <t>MAJOR</t>
        </is>
      </c>
      <c r="E84" s="2" t="inlineStr">
        <is>
          <t>description_proposed_html</t>
        </is>
      </c>
      <c r="F84" s="2"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t>
        </is>
      </c>
      <c r="G84" s="2" t="inlineStr">
        <is>
          <t>Draft contains SEO Use / QA approval wording.</t>
        </is>
      </c>
      <c r="H84" s="2" t="inlineStr">
        <is>
          <t>Internal workflow language is not publish-ready storefront copy.</t>
        </is>
      </c>
      <c r="I84" s="2" t="inlineStr">
        <is>
          <t>Remove internal QA/import block and replace with customer-facing verified copy.</t>
        </is>
      </c>
      <c r="J84" s="2" t="inlineStr">
        <is>
          <t>Draft contains SEO Use / QA approval wording.</t>
        </is>
      </c>
      <c r="K84" s="2" t="inlineStr">
        <is>
          <t>Description HTML no longer contains SEO Use, QA, approval, import or draft language.</t>
        </is>
      </c>
    </row>
    <row r="85" ht="84" customHeight="1">
      <c r="A85" s="3" t="inlineStr">
        <is>
          <t>ISSUE-0084</t>
        </is>
      </c>
      <c r="B85" s="3" t="inlineStr">
        <is>
          <t>jeminise.com+custom-trucking-semi-truck-breaking-through-stone-wall-comforter-01281fb2d3-01281fb2d3</t>
        </is>
      </c>
      <c r="C85" s="3" t="inlineStr"/>
      <c r="D85" s="3" t="inlineStr">
        <is>
          <t>MINOR</t>
        </is>
      </c>
      <c r="E85" s="3" t="inlineStr">
        <is>
          <t>meta_description_seo</t>
        </is>
      </c>
      <c r="F85" s="3" t="inlineStr">
        <is>
          <t>Shop a comforter set featuring black semi truck breaking through a gray stone wall with Your Name personalization area. Review size and personalization options before checkout.</t>
        </is>
      </c>
      <c r="G85" s="3" t="inlineStr">
        <is>
          <t>Meta description length is 176 characters.</t>
        </is>
      </c>
      <c r="H85" s="3" t="inlineStr">
        <is>
          <t>Likely to truncate in search results and repeats review/personality wording in several rows.</t>
        </is>
      </c>
      <c r="I85" s="3" t="inlineStr">
        <is>
          <t>Rewrite to roughly 145-155 characters while preserving verified design and product type.</t>
        </is>
      </c>
      <c r="J85" s="3" t="inlineStr">
        <is>
          <t>Meta description length is 176 characters.</t>
        </is>
      </c>
      <c r="K85" s="3" t="inlineStr">
        <is>
          <t>Length check &lt;=160 characters and no unsupported claim remains.</t>
        </is>
      </c>
    </row>
    <row r="86" ht="84" customHeight="1">
      <c r="A86" s="2" t="inlineStr">
        <is>
          <t>ISSUE-0085</t>
        </is>
      </c>
      <c r="B86" s="2" t="inlineStr">
        <is>
          <t>jeminise.com+custom-trucking-semi-truck-breaking-through-stone-wall-comforter-01281fb2d3-01281fb2d3</t>
        </is>
      </c>
      <c r="C86" s="2" t="inlineStr"/>
      <c r="D86" s="2" t="inlineStr">
        <is>
          <t>MAJOR</t>
        </is>
      </c>
      <c r="E86" s="2" t="inlineStr">
        <is>
          <t>keyword_map</t>
        </is>
      </c>
      <c r="F86" s="2" t="inlineStr">
        <is>
          <t>black semi truck wall comforter</t>
        </is>
      </c>
      <c r="G86" s="2" t="inlineStr">
        <is>
          <t>https://www.amazon.com/clp/B0DFQ6T1C5; https://www.amazon.com/Printluxe-Trucker-Tapestry-Comforters-Bedspreads/dp/B0DFQ9TMLY; https://www.etsy.com/listing/1091390349/personalized-semi-truck-baby-boy-blanket; https://www.amazon.com/clp/B0DFQ6T1C5; https://www.amazon.com/Printluxe-Trucker-Tapestry-Comforters-Bedspreads/dp/B0DFQ9TMLY; https://www.etsy.com/listing/1091390349/personalized-semi-truck-baby-boy-blanket</t>
        </is>
      </c>
      <c r="H86" s="2" t="inlineStr">
        <is>
          <t>Batch cluster contains several very similar products, so keyword/intent differentiation must be sharper.</t>
        </is>
      </c>
      <c r="I86" s="2" t="inlineStr">
        <is>
          <t>Add unique visible motif modifiers and avoid assigning the same generic product keyword to multiple URLs.</t>
        </is>
      </c>
      <c r="J86" s="2" t="inlineStr">
        <is>
          <t>https://www.amazon.com/clp/B0DFQ6T1C5; https://www.amazon.com/Printluxe-Trucker-Tapestry-Comforters-Bedspreads/dp/B0DFQ9TMLY; https://www.etsy.com/listing/1091390349/personalized-semi-truck-baby-boy-blanket; https://www.amazon.com/clp/B0DFQ6T1C5; https://www.amazon.com/Printluxe-Trucker-Tapestry-Comforters-Bedspreads/dp/B0DFQ9TMLY; https://www.etsy.com/listing/1091390349/personalized-semi-truck-baby-boy-blanket</t>
        </is>
      </c>
      <c r="K86" s="2" t="inlineStr">
        <is>
          <t>SERP notes and title/meta show a distinct product-level query for this exact design.</t>
        </is>
      </c>
    </row>
    <row r="87" ht="84" customHeight="1">
      <c r="A87" s="3" t="inlineStr">
        <is>
          <t>ISSUE-0086</t>
        </is>
      </c>
      <c r="B87" s="3" t="inlineStr">
        <is>
          <t>jeminise.com+custom-trucking-semi-truck-breaking-through-stone-wall-comforter-01281fb2d3-01281fb2d3</t>
        </is>
      </c>
      <c r="C87" s="3" t="inlineStr"/>
      <c r="D87" s="3" t="inlineStr">
        <is>
          <t>LIMITATION</t>
        </is>
      </c>
      <c r="E87" s="3" t="inlineStr">
        <is>
          <t>keyword_evidence_level</t>
        </is>
      </c>
      <c r="F87" s="3" t="inlineStr">
        <is>
          <t>SERP_ONLY</t>
        </is>
      </c>
      <c r="G87" s="3" t="inlineStr">
        <is>
          <t>Only public SERP comparables are available.</t>
        </is>
      </c>
      <c r="H87" s="3" t="inlineStr">
        <is>
          <t>No Search Console, paid keyword volume or internal site search export was supplied.</t>
        </is>
      </c>
      <c r="I87" s="3" t="inlineStr">
        <is>
          <t>Keep demand statements qualitative; do not claim volume or ranking potential.</t>
        </is>
      </c>
      <c r="J87" s="3" t="inlineStr">
        <is>
          <t>Only public SERP comparables are available.</t>
        </is>
      </c>
      <c r="K87" s="3" t="inlineStr">
        <is>
          <t>Additional first-party or paid keyword evidence is attached, or limitation remains documented.</t>
        </is>
      </c>
    </row>
    <row r="88" ht="84" customHeight="1">
      <c r="A88" s="2" t="inlineStr">
        <is>
          <t>ISSUE-0087</t>
        </is>
      </c>
      <c r="B88" s="2" t="inlineStr">
        <is>
          <t>jeminise.com+custom-trucking-semi-truck-breaking-through-stone-wall-comforter-01281fb2d3-01281fb2d3</t>
        </is>
      </c>
      <c r="C88" s="2" t="inlineStr">
        <is>
          <t>img_7fd0f0b9766966aa</t>
        </is>
      </c>
      <c r="D88" s="2" t="inlineStr">
        <is>
          <t>MINOR</t>
        </is>
      </c>
      <c r="E88" s="2" t="inlineStr">
        <is>
          <t>alt text</t>
        </is>
      </c>
      <c r="F88" s="2" t="inlineStr">
        <is>
          <t>Personalized Black Semi Truck Wall Comforter displayed in a main product mockup</t>
        </is>
      </c>
      <c r="G88" s="2" t="inlineStr">
        <is>
          <t>Fresh image file: D:\Shopify_Workspace\jeminise_seo\seo_runs\jeminise.com\20260906_234129\qa\20260907_181200\images\120_01.jpg; source URL: https://cdn.shopify.com/s/files/1/0792/5098/1063/files/61cfa1e5652b3ee7840107df63fda2bfb8cab4a35cb4a071430717a13e9de438.jpg?v=1785134032</t>
        </is>
      </c>
      <c r="H88" s="2" t="inlineStr">
        <is>
          <t>Alt text is too generic or describes placement more than visible content.</t>
        </is>
      </c>
      <c r="I88" s="2" t="inlineStr">
        <is>
          <t>Rewrite observation/alt from the directly opened image, naming the visible motif and use context.</t>
        </is>
      </c>
      <c r="J88" s="2" t="inlineStr">
        <is>
          <t>Fresh image file: D:\Shopify_Workspace\jeminise_seo\seo_runs\jeminise.com\20260906_234129\qa\20260907_181200\images\120_01.jpg; source URL: https://cdn.shopify.com/s/files/1/0792/5098/1063/files/61cfa1e5652b3ee7840107df63fda2bfb8cab4a35cb4a071430717a13e9de438.jpg?v=1785134032</t>
        </is>
      </c>
      <c r="K88" s="2" t="inlineStr">
        <is>
          <t>The image row accurately describes the actual media at this gallery position.</t>
        </is>
      </c>
    </row>
    <row r="89" ht="84" customHeight="1">
      <c r="A89" s="3" t="inlineStr">
        <is>
          <t>ISSUE-0088</t>
        </is>
      </c>
      <c r="B89" s="3" t="inlineStr">
        <is>
          <t>jeminise.com+custom-trucking-semi-truck-breaking-through-stone-wall-comforter-01281fb2d3-01281fb2d3</t>
        </is>
      </c>
      <c r="C89" s="3" t="inlineStr">
        <is>
          <t>img_3412c4dec0641125</t>
        </is>
      </c>
      <c r="D89" s="3" t="inlineStr">
        <is>
          <t>MINOR</t>
        </is>
      </c>
      <c r="E89" s="3" t="inlineStr">
        <is>
          <t>image observation</t>
        </is>
      </c>
      <c r="F89" s="3" t="inlineStr">
        <is>
          <t>Bedding type, feature, lifestyle or material image for personalized black semi truck breaking through stone wall comforter.</t>
        </is>
      </c>
      <c r="G89" s="3" t="inlineStr">
        <is>
          <t>Fresh image file: D:\Shopify_Workspace\jeminise_seo\seo_runs\jeminise.com\20260906_234129\qa\20260907_181200\images\120_03.jpg; source URL: https://cdn.shopify.com/s/files/1/0792/5098/1063/files/16f7293cbefa5743a35b2e6316a5a114e5c052d08151e367dafd26aa5e2e542b_8f92ec6d-1529-4adf-aa11-2670aaa2e20d.jpg?v=1785134032</t>
        </is>
      </c>
      <c r="H89" s="3" t="inlineStr">
        <is>
          <t>Observation is generic or position-based; rewrite from the actual image content.</t>
        </is>
      </c>
      <c r="I89" s="3" t="inlineStr">
        <is>
          <t>Rewrite observation/alt from the directly opened image, naming the visible motif and use context.</t>
        </is>
      </c>
      <c r="J89" s="3" t="inlineStr">
        <is>
          <t>Fresh image file: D:\Shopify_Workspace\jeminise_seo\seo_runs\jeminise.com\20260906_234129\qa\20260907_181200\images\120_03.jpg; source URL: https://cdn.shopify.com/s/files/1/0792/5098/1063/files/16f7293cbefa5743a35b2e6316a5a114e5c052d08151e367dafd26aa5e2e542b_8f92ec6d-1529-4adf-aa11-2670aaa2e20d.jpg?v=1785134032</t>
        </is>
      </c>
      <c r="K89" s="3" t="inlineStr">
        <is>
          <t>The image row accurately describes the actual media at this gallery position.</t>
        </is>
      </c>
    </row>
    <row r="90" ht="84" customHeight="1">
      <c r="A90" s="2" t="inlineStr">
        <is>
          <t>ISSUE-0089</t>
        </is>
      </c>
      <c r="B90" s="2" t="inlineStr">
        <is>
          <t>jeminise.com+custom-trucking-semi-truck-breaking-through-stone-wall-comforter-01281fb2d3-01281fb2d3</t>
        </is>
      </c>
      <c r="C90" s="2" t="inlineStr">
        <is>
          <t>img_782555498f4e5905</t>
        </is>
      </c>
      <c r="D90" s="2" t="inlineStr">
        <is>
          <t>MINOR</t>
        </is>
      </c>
      <c r="E90" s="2" t="inlineStr">
        <is>
          <t>image observation</t>
        </is>
      </c>
      <c r="F90" s="2" t="inlineStr">
        <is>
          <t>Detail, feature panel or lifestyle image connected to personalized black semi truck breaking through stone wall comforter.</t>
        </is>
      </c>
      <c r="G90" s="2" t="inlineStr">
        <is>
          <t>Fresh image file: D:\Shopify_Workspace\jeminise_seo\seo_runs\jeminise.com\20260906_234129\qa\20260907_181200\images\120_04.jpg; source URL: https://cdn.shopify.com/s/files/1/0792/5098/1063/files/94c04fb6746eb86bce8416d10a9debc8871da8e63a3f71b9677d27a5bdfb0f45.jpg?v=1785134032</t>
        </is>
      </c>
      <c r="H90" s="2" t="inlineStr">
        <is>
          <t>Observation is generic or position-based; rewrite from the actual image content.</t>
        </is>
      </c>
      <c r="I90" s="2" t="inlineStr">
        <is>
          <t>Rewrite observation/alt from the directly opened image, naming the visible motif and use context.</t>
        </is>
      </c>
      <c r="J90" s="2" t="inlineStr">
        <is>
          <t>Fresh image file: D:\Shopify_Workspace\jeminise_seo\seo_runs\jeminise.com\20260906_234129\qa\20260907_181200\images\120_04.jpg; source URL: https://cdn.shopify.com/s/files/1/0792/5098/1063/files/94c04fb6746eb86bce8416d10a9debc8871da8e63a3f71b9677d27a5bdfb0f45.jpg?v=1785134032</t>
        </is>
      </c>
      <c r="K90" s="2" t="inlineStr">
        <is>
          <t>The image row accurately describes the actual media at this gallery position.</t>
        </is>
      </c>
    </row>
    <row r="91" ht="84" customHeight="1">
      <c r="A91" s="3" t="inlineStr">
        <is>
          <t>ISSUE-0090</t>
        </is>
      </c>
      <c r="B91" s="3" t="inlineStr">
        <is>
          <t>jeminise.com+custom-trucking-semi-truck-breaking-through-stone-wall-comforter-01281fb2d3-01281fb2d3</t>
        </is>
      </c>
      <c r="C91" s="3" t="inlineStr">
        <is>
          <t>img_4f2b008c7b96ab5d</t>
        </is>
      </c>
      <c r="D91" s="3" t="inlineStr">
        <is>
          <t>MINOR</t>
        </is>
      </c>
      <c r="E91" s="3" t="inlineStr">
        <is>
          <t>image observation</t>
        </is>
      </c>
      <c r="F91" s="3" t="inlineStr">
        <is>
          <t>Easy-care, size guide or product feature image for personalized black semi truck breaking through stone wall comforter.</t>
        </is>
      </c>
      <c r="G91" s="3" t="inlineStr">
        <is>
          <t>Fresh image file: D:\Shopify_Workspace\jeminise_seo\seo_runs\jeminise.com\20260906_234129\qa\20260907_181200\images\120_06.jpg; source URL: https://cdn.shopify.com/s/files/1/0792/5098/1063/files/7c006bddc94d4763c71c8376307e195c1bbce73b8c802ec73ac5a8cef1291262_af90d80b-29e8-41e6-83ea-ee7736f7a491.jpg?v=1785134032</t>
        </is>
      </c>
      <c r="H91" s="3" t="inlineStr">
        <is>
          <t>Observation is generic or position-based; rewrite from the actual image content.</t>
        </is>
      </c>
      <c r="I91" s="3" t="inlineStr">
        <is>
          <t>Rewrite observation/alt from the directly opened image, naming the visible motif and use context.</t>
        </is>
      </c>
      <c r="J91" s="3" t="inlineStr">
        <is>
          <t>Fresh image file: D:\Shopify_Workspace\jeminise_seo\seo_runs\jeminise.com\20260906_234129\qa\20260907_181200\images\120_06.jpg; source URL: https://cdn.shopify.com/s/files/1/0792/5098/1063/files/7c006bddc94d4763c71c8376307e195c1bbce73b8c802ec73ac5a8cef1291262_af90d80b-29e8-41e6-83ea-ee7736f7a491.jpg?v=1785134032</t>
        </is>
      </c>
      <c r="K91" s="3" t="inlineStr">
        <is>
          <t>The image row accurately describes the actual media at this gallery position.</t>
        </is>
      </c>
    </row>
    <row r="92" ht="84" customHeight="1">
      <c r="A92" s="2" t="inlineStr">
        <is>
          <t>ISSUE-0091</t>
        </is>
      </c>
      <c r="B92" s="2" t="inlineStr">
        <is>
          <t>jeminise.com+custom-trucking-semi-truck-breaking-through-stone-wall-comforter-01281fb2d3-01281fb2d3</t>
        </is>
      </c>
      <c r="C92" s="2" t="inlineStr">
        <is>
          <t>img_51e89b6356c7c517</t>
        </is>
      </c>
      <c r="D92" s="2" t="inlineStr">
        <is>
          <t>MINOR</t>
        </is>
      </c>
      <c r="E92" s="2" t="inlineStr">
        <is>
          <t>image observation</t>
        </is>
      </c>
      <c r="F92" s="2" t="inlineStr">
        <is>
          <t>Additional lifestyle, feature or product detail image showing personalized black semi truck breaking through stone wall comforter.</t>
        </is>
      </c>
      <c r="G92" s="2" t="inlineStr">
        <is>
          <t>Fresh image file: D:\Shopify_Workspace\jeminise_seo\seo_runs\jeminise.com\20260906_234129\qa\20260907_181200\images\120_07.jpg; source URL: https://cdn.shopify.com/s/files/1/0792/5098/1063/files/e5cad84edb4d7bf77c48fd7c8e52eb3b73f04eba8bf177671fd8a059c59422e8_4bc9d0c4-1fdd-4ce6-b49e-b1a0b2ddff0c.jpg?v=1785134032</t>
        </is>
      </c>
      <c r="H92" s="2" t="inlineStr">
        <is>
          <t>Observation is generic or position-based; rewrite from the actual image content.</t>
        </is>
      </c>
      <c r="I92" s="2" t="inlineStr">
        <is>
          <t>Rewrite observation/alt from the directly opened image, naming the visible motif and use context.</t>
        </is>
      </c>
      <c r="J92" s="2" t="inlineStr">
        <is>
          <t>Fresh image file: D:\Shopify_Workspace\jeminise_seo\seo_runs\jeminise.com\20260906_234129\qa\20260907_181200\images\120_07.jpg; source URL: https://cdn.shopify.com/s/files/1/0792/5098/1063/files/e5cad84edb4d7bf77c48fd7c8e52eb3b73f04eba8bf177671fd8a059c59422e8_4bc9d0c4-1fdd-4ce6-b49e-b1a0b2ddff0c.jpg?v=1785134032</t>
        </is>
      </c>
      <c r="K92" s="2" t="inlineStr">
        <is>
          <t>The image row accurately describes the actual media at this gallery position.</t>
        </is>
      </c>
    </row>
  </sheetData>
  <autoFilter ref="A1:K92"/>
  <conditionalFormatting sqref="D2:D92">
    <cfRule type="expression" priority="1" dxfId="3">
      <formula>D2="CRITICAL"</formula>
    </cfRule>
    <cfRule type="expression" priority="2" dxfId="2">
      <formula>D2="MAJOR"</formula>
    </cfRule>
    <cfRule type="expression" priority="3" dxfId="1">
      <formula>D2="MINOR"</formula>
    </cfRule>
    <cfRule type="expression" priority="4" dxfId="4">
      <formula>D2="LIMITATION"</formula>
    </cfRule>
  </conditionalFormatting>
  <printOptions horizontalCentered="0"/>
  <pageMargins left="0.25" right="0.25" top="0.5" bottom="0.5" header="0.5" footer="0.5"/>
  <pageSetup orientation="landscape" fitToHeight="0" fitToWidth="2"/>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2026-09-07T11:40:21Z</dcterms:created>
  <dcterms:modified xmlns:dcterms="http://purl.org/dc/terms/" xmlns:xsi="http://www.w3.org/2001/XMLSchema-instance" xsi:type="dcterms:W3CDTF">2026-09-07T11:40:22Z</dcterms:modified>
</cp:coreProperties>
</file>