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'QA_Images'!$A$1:$Z$74</definedName>
    <definedName name="_xlnm.Print_Titles" localSheetId="3">'QA_Images'!$1:$1</definedName>
    <definedName name="_xlnm._FilterDatabase" localSheetId="4" hidden="1">'QA_Issues'!$A$1:$K$94</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native-american-inspired-wolf-head-inside-circular-frame-comforter-d351b4bfe1-d351b4bfe1" TargetMode="External" Id="rId1"/><Relationship Type="http://schemas.openxmlformats.org/officeDocument/2006/relationships/hyperlink" Target="https://jeminise.com/products/custom-neon-green-soccer-player-artwork-comforter-set-boys-room-decor" TargetMode="External" Id="rId2"/><Relationship Type="http://schemas.openxmlformats.org/officeDocument/2006/relationships/hyperlink" Target="https://jeminise.com/products/custom-patriotic-semi-truck-on-american-flag-background-comforter-e664ba94f8-e664ba94f8" TargetMode="External" Id="rId3"/><Relationship Type="http://schemas.openxmlformats.org/officeDocument/2006/relationships/hyperlink" Target="https://jeminise.com/products/custom-patriotic-semi-truck-with-waving-american-flag-comforter-e01f2755b2-e01f2755b2" TargetMode="External" Id="rId4"/><Relationship Type="http://schemas.openxmlformats.org/officeDocument/2006/relationships/hyperlink" Target="https://jeminise.com/products/custom-patriotic-trucking-semi-truck-below-waving-american-flag-comforter-05c0cd8623-05c0cd8623" TargetMode="External" Id="rId5"/><Relationship Type="http://schemas.openxmlformats.org/officeDocument/2006/relationships/hyperlink" Target="https://jeminise.com/products/custom-photo-quilt-bicycle-flowers-07e2c6fca1-07e2c6fca1" TargetMode="External" Id="rId6"/><Relationship Type="http://schemas.openxmlformats.org/officeDocument/2006/relationships/hyperlink" Target="https://jeminise.com/products/custom-purple-butterflies-text-blanket-machine-washable-d7b" TargetMode="External" Id="rId7"/><Relationship Type="http://schemas.openxmlformats.org/officeDocument/2006/relationships/hyperlink" Target="https://jeminise.com/products/custom-purple-butterfly-christian-blanket-machine-washable-d15" TargetMode="External" Id="rId8"/><Relationship Type="http://schemas.openxmlformats.org/officeDocument/2006/relationships/hyperlink" Target="https://jeminise.com/products/custom-purple-floral-christian-cross-blanket-machine-washable-d2" TargetMode="External" Id="rId9"/><Relationship Type="http://schemas.openxmlformats.org/officeDocument/2006/relationships/hyperlink" Target="https://jeminise.com/products/custom-purple-floral-cross-with-butterflies-blanket-machi-design-14"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8db123d2a281d8d7b1e7601cf1c6b3ae13e69bdec5076345ef0a6c9cf3ffbbf8.jpg?v=1785181534" TargetMode="External" Id="rId1"/><Relationship Type="http://schemas.openxmlformats.org/officeDocument/2006/relationships/hyperlink" Target="https://cdn.shopify.com/s/files/1/0792/5098/1063/files/8db123d2a281d8d7b1e7601cf1c6b3ae13e69bdec5076345ef0a6c9cf3ffbbf8.jpg?v=1785181534" TargetMode="External" Id="rId2"/><Relationship Type="http://schemas.openxmlformats.org/officeDocument/2006/relationships/hyperlink" Target="https://cdn.shopify.com/s/files/1/0792/5098/1063/files/c27a2d398c2e1aa051b181395529e9a599c8696153ffecec91e3703884a1ef6c.jpg?v=1785181533" TargetMode="External" Id="rId3"/><Relationship Type="http://schemas.openxmlformats.org/officeDocument/2006/relationships/hyperlink" Target="https://cdn.shopify.com/s/files/1/0792/5098/1063/files/c27a2d398c2e1aa051b181395529e9a599c8696153ffecec91e3703884a1ef6c.jpg?v=1785181533" TargetMode="External" Id="rId4"/><Relationship Type="http://schemas.openxmlformats.org/officeDocument/2006/relationships/hyperlink" Target="https://cdn.shopify.com/s/files/1/0792/5098/1063/files/69ad70a2dec3bc59d662ae6c1817f1a32b7fe5bc4c0456d3a1419927bbd23e1b.jpg?v=1785181533" TargetMode="External" Id="rId5"/><Relationship Type="http://schemas.openxmlformats.org/officeDocument/2006/relationships/hyperlink" Target="https://cdn.shopify.com/s/files/1/0792/5098/1063/files/69ad70a2dec3bc59d662ae6c1817f1a32b7fe5bc4c0456d3a1419927bbd23e1b.jpg?v=1785181533" TargetMode="External" Id="rId6"/><Relationship Type="http://schemas.openxmlformats.org/officeDocument/2006/relationships/hyperlink" Target="https://cdn.shopify.com/s/files/1/0792/5098/1063/files/0eb64820a0ab1dec4b852407512deca48c67bd46d1cbea26ed900d59cf9c44f6.jpg?v=1785181533" TargetMode="External" Id="rId7"/><Relationship Type="http://schemas.openxmlformats.org/officeDocument/2006/relationships/hyperlink" Target="https://cdn.shopify.com/s/files/1/0792/5098/1063/files/0eb64820a0ab1dec4b852407512deca48c67bd46d1cbea26ed900d59cf9c44f6.jpg?v=1785181533" TargetMode="External" Id="rId8"/><Relationship Type="http://schemas.openxmlformats.org/officeDocument/2006/relationships/hyperlink" Target="https://cdn.shopify.com/s/files/1/0792/5098/1063/files/c13d84b220c25b7126dda603be0f2749e36e6bcbef1150c54dfba8143250cd9d.jpg?v=1785181534" TargetMode="External" Id="rId9"/><Relationship Type="http://schemas.openxmlformats.org/officeDocument/2006/relationships/hyperlink" Target="https://cdn.shopify.com/s/files/1/0792/5098/1063/files/c13d84b220c25b7126dda603be0f2749e36e6bcbef1150c54dfba8143250cd9d.jpg?v=1785181534" TargetMode="External" Id="rId10"/><Relationship Type="http://schemas.openxmlformats.org/officeDocument/2006/relationships/hyperlink" Target="https://cdn.shopify.com/s/files/1/0792/5098/1063/files/6b80b75d568cdee15c272e946d98348d480efd2a5cea1cacdb69246b74474091.jpg?v=1786611026" TargetMode="External" Id="rId11"/><Relationship Type="http://schemas.openxmlformats.org/officeDocument/2006/relationships/hyperlink" Target="https://cdn.shopify.com/s/files/1/0792/5098/1063/files/6b80b75d568cdee15c272e946d98348d480efd2a5cea1cacdb69246b74474091.jpg?v=1786611026" TargetMode="External" Id="rId12"/><Relationship Type="http://schemas.openxmlformats.org/officeDocument/2006/relationships/hyperlink" Target="https://cdn.shopify.com/s/files/1/0792/5098/1063/files/2befb3162c5bae5e3dc16a2617a19876e1bad1732d46a3a0071872644aaa19c7.jpg?v=1786611026" TargetMode="External" Id="rId13"/><Relationship Type="http://schemas.openxmlformats.org/officeDocument/2006/relationships/hyperlink" Target="https://cdn.shopify.com/s/files/1/0792/5098/1063/files/2befb3162c5bae5e3dc16a2617a19876e1bad1732d46a3a0071872644aaa19c7.jpg?v=1786611026" TargetMode="External" Id="rId14"/><Relationship Type="http://schemas.openxmlformats.org/officeDocument/2006/relationships/hyperlink" Target="https://cdn.shopify.com/s/files/1/0792/5098/1063/files/0232459e1096cb7ad4227f2471e7d15ee79d1a53fbe22b7f14cb026581f911de.jpg?v=1786611026" TargetMode="External" Id="rId15"/><Relationship Type="http://schemas.openxmlformats.org/officeDocument/2006/relationships/hyperlink" Target="https://cdn.shopify.com/s/files/1/0792/5098/1063/files/0232459e1096cb7ad4227f2471e7d15ee79d1a53fbe22b7f14cb026581f911de.jpg?v=1786611026" TargetMode="External" Id="rId16"/><Relationship Type="http://schemas.openxmlformats.org/officeDocument/2006/relationships/hyperlink" Target="https://cdn.shopify.com/s/files/1/0792/5098/1063/files/e2f6c4ddb7968db8e510d947c4cb858b220d2c492e6c23261ccc64e8f76911dd.jpg?v=1786611026" TargetMode="External" Id="rId17"/><Relationship Type="http://schemas.openxmlformats.org/officeDocument/2006/relationships/hyperlink" Target="https://cdn.shopify.com/s/files/1/0792/5098/1063/files/e2f6c4ddb7968db8e510d947c4cb858b220d2c492e6c23261ccc64e8f76911dd.jpg?v=1786611026" TargetMode="External" Id="rId18"/><Relationship Type="http://schemas.openxmlformats.org/officeDocument/2006/relationships/hyperlink" Target="https://cdn.shopify.com/s/files/1/0792/5098/1063/files/3922620c2eba325e6caab3493d1452f28c86e34d2295169238a4a01b9be0fc21.jpg?v=1786611026" TargetMode="External" Id="rId19"/><Relationship Type="http://schemas.openxmlformats.org/officeDocument/2006/relationships/hyperlink" Target="https://cdn.shopify.com/s/files/1/0792/5098/1063/files/3922620c2eba325e6caab3493d1452f28c86e34d2295169238a4a01b9be0fc21.jpg?v=1786611026" TargetMode="External" Id="rId20"/><Relationship Type="http://schemas.openxmlformats.org/officeDocument/2006/relationships/hyperlink" Target="https://cdn.shopify.com/s/files/1/0792/5098/1063/files/1b992ece6d228aa4e2bf52484faac70e017778471a3ed951eae5f283d8da0d56.jpg?v=1786611026" TargetMode="External" Id="rId21"/><Relationship Type="http://schemas.openxmlformats.org/officeDocument/2006/relationships/hyperlink" Target="https://cdn.shopify.com/s/files/1/0792/5098/1063/files/1b992ece6d228aa4e2bf52484faac70e017778471a3ed951eae5f283d8da0d56.jpg?v=1786611026" TargetMode="External" Id="rId22"/><Relationship Type="http://schemas.openxmlformats.org/officeDocument/2006/relationships/hyperlink" Target="https://cdn.shopify.com/s/files/1/0792/5098/1063/files/9b36690b06b0d6afe47cba01d783821f5b729cf46d6530e6bf0ebeb68938d739.jpg?v=1786611026" TargetMode="External" Id="rId23"/><Relationship Type="http://schemas.openxmlformats.org/officeDocument/2006/relationships/hyperlink" Target="https://cdn.shopify.com/s/files/1/0792/5098/1063/files/9b36690b06b0d6afe47cba01d783821f5b729cf46d6530e6bf0ebeb68938d739.jpg?v=1786611026" TargetMode="External" Id="rId24"/><Relationship Type="http://schemas.openxmlformats.org/officeDocument/2006/relationships/hyperlink" Target="https://cdn.shopify.com/s/files/1/0792/5098/1063/files/30667ffa1b29dfa2b8673580c1476a7e3d1c88f73100c21aff40d37ab88f3c0f.jpg?v=1786611026" TargetMode="External" Id="rId25"/><Relationship Type="http://schemas.openxmlformats.org/officeDocument/2006/relationships/hyperlink" Target="https://cdn.shopify.com/s/files/1/0792/5098/1063/files/30667ffa1b29dfa2b8673580c1476a7e3d1c88f73100c21aff40d37ab88f3c0f.jpg?v=1786611026" TargetMode="External" Id="rId26"/><Relationship Type="http://schemas.openxmlformats.org/officeDocument/2006/relationships/hyperlink" Target="https://cdn.shopify.com/s/files/1/0792/5098/1063/files/fe1412d885785c85792b6280a515d4da148939773f52cad28a9077b41519bca7.jpg?v=1785132379" TargetMode="External" Id="rId27"/><Relationship Type="http://schemas.openxmlformats.org/officeDocument/2006/relationships/hyperlink" Target="https://cdn.shopify.com/s/files/1/0792/5098/1063/files/fe1412d885785c85792b6280a515d4da148939773f52cad28a9077b41519bca7.jpg?v=1785132379" TargetMode="External" Id="rId28"/><Relationship Type="http://schemas.openxmlformats.org/officeDocument/2006/relationships/hyperlink" Target="https://cdn.shopify.com/s/files/1/0792/5098/1063/files/cae1e0f323222ab8084267520a77901e07bd20837fc3b3cf158c7a3b5290f53b.jpg?v=1785132379" TargetMode="External" Id="rId29"/><Relationship Type="http://schemas.openxmlformats.org/officeDocument/2006/relationships/hyperlink" Target="https://cdn.shopify.com/s/files/1/0792/5098/1063/files/cae1e0f323222ab8084267520a77901e07bd20837fc3b3cf158c7a3b5290f53b.jpg?v=1785132379" TargetMode="External" Id="rId30"/><Relationship Type="http://schemas.openxmlformats.org/officeDocument/2006/relationships/hyperlink" Target="https://cdn.shopify.com/s/files/1/0792/5098/1063/files/16f7293cbefa5743a35b2e6316a5a114e5c052d08151e367dafd26aa5e2e542b_d050383d-1193-4807-8c84-5cdef15ff79e.jpg?v=1785132379" TargetMode="External" Id="rId31"/><Relationship Type="http://schemas.openxmlformats.org/officeDocument/2006/relationships/hyperlink" Target="https://cdn.shopify.com/s/files/1/0792/5098/1063/files/16f7293cbefa5743a35b2e6316a5a114e5c052d08151e367dafd26aa5e2e542b_d050383d-1193-4807-8c84-5cdef15ff79e.jpg?v=1785132379" TargetMode="External" Id="rId32"/><Relationship Type="http://schemas.openxmlformats.org/officeDocument/2006/relationships/hyperlink" Target="https://cdn.shopify.com/s/files/1/0792/5098/1063/files/1af0b9b4937e17de402557fcae689c596d27afb1f52fc1310e3566e92ae266a9.jpg?v=1785132379" TargetMode="External" Id="rId33"/><Relationship Type="http://schemas.openxmlformats.org/officeDocument/2006/relationships/hyperlink" Target="https://cdn.shopify.com/s/files/1/0792/5098/1063/files/1af0b9b4937e17de402557fcae689c596d27afb1f52fc1310e3566e92ae266a9.jpg?v=1785132379" TargetMode="External" Id="rId34"/><Relationship Type="http://schemas.openxmlformats.org/officeDocument/2006/relationships/hyperlink" Target="https://cdn.shopify.com/s/files/1/0792/5098/1063/files/1a43cd057736aec5cc198f0c59ffcaa3709ed17c0015a7e14b5165389dc96061.jpg?v=1785132379" TargetMode="External" Id="rId35"/><Relationship Type="http://schemas.openxmlformats.org/officeDocument/2006/relationships/hyperlink" Target="https://cdn.shopify.com/s/files/1/0792/5098/1063/files/1a43cd057736aec5cc198f0c59ffcaa3709ed17c0015a7e14b5165389dc96061.jpg?v=1785132379" TargetMode="External" Id="rId36"/><Relationship Type="http://schemas.openxmlformats.org/officeDocument/2006/relationships/hyperlink" Target="https://cdn.shopify.com/s/files/1/0792/5098/1063/files/7c006bddc94d4763c71c8376307e195c1bbce73b8c802ec73ac5a8cef1291262_0cf50cfc-d406-4f2c-946c-ebbae11c1219.jpg?v=1785132379" TargetMode="External" Id="rId37"/><Relationship Type="http://schemas.openxmlformats.org/officeDocument/2006/relationships/hyperlink" Target="https://cdn.shopify.com/s/files/1/0792/5098/1063/files/7c006bddc94d4763c71c8376307e195c1bbce73b8c802ec73ac5a8cef1291262_0cf50cfc-d406-4f2c-946c-ebbae11c1219.jpg?v=1785132379" TargetMode="External" Id="rId38"/><Relationship Type="http://schemas.openxmlformats.org/officeDocument/2006/relationships/hyperlink" Target="https://cdn.shopify.com/s/files/1/0792/5098/1063/files/e5cad84edb4d7bf77c48fd7c8e52eb3b73f04eba8bf177671fd8a059c59422e8_b94069b9-bd54-480f-9ac7-9690b49cfc2e.jpg?v=1785132379" TargetMode="External" Id="rId39"/><Relationship Type="http://schemas.openxmlformats.org/officeDocument/2006/relationships/hyperlink" Target="https://cdn.shopify.com/s/files/1/0792/5098/1063/files/e5cad84edb4d7bf77c48fd7c8e52eb3b73f04eba8bf177671fd8a059c59422e8_b94069b9-bd54-480f-9ac7-9690b49cfc2e.jpg?v=1785132379" TargetMode="External" Id="rId40"/><Relationship Type="http://schemas.openxmlformats.org/officeDocument/2006/relationships/hyperlink" Target="https://cdn.shopify.com/s/files/1/0792/5098/1063/files/fff7fb3607171e550328ca23a57753cdd5e34bd84e9bc6ddf3d658e8b386e971.jpg?v=1785133056" TargetMode="External" Id="rId41"/><Relationship Type="http://schemas.openxmlformats.org/officeDocument/2006/relationships/hyperlink" Target="https://cdn.shopify.com/s/files/1/0792/5098/1063/files/fff7fb3607171e550328ca23a57753cdd5e34bd84e9bc6ddf3d658e8b386e971.jpg?v=1785133056" TargetMode="External" Id="rId42"/><Relationship Type="http://schemas.openxmlformats.org/officeDocument/2006/relationships/hyperlink" Target="https://cdn.shopify.com/s/files/1/0792/5098/1063/files/5aa60065f310c2ee78fbf5f116d8ea612b45190d52400475f6ebfe0bf7ac3ab5.jpg?v=1785133056" TargetMode="External" Id="rId43"/><Relationship Type="http://schemas.openxmlformats.org/officeDocument/2006/relationships/hyperlink" Target="https://cdn.shopify.com/s/files/1/0792/5098/1063/files/5aa60065f310c2ee78fbf5f116d8ea612b45190d52400475f6ebfe0bf7ac3ab5.jpg?v=1785133056" TargetMode="External" Id="rId44"/><Relationship Type="http://schemas.openxmlformats.org/officeDocument/2006/relationships/hyperlink" Target="https://cdn.shopify.com/s/files/1/0792/5098/1063/files/16f7293cbefa5743a35b2e6316a5a114e5c052d08151e367dafd26aa5e2e542b_c88ded01-e9f5-47e0-a337-71272c531dc2.jpg?v=1785133055" TargetMode="External" Id="rId45"/><Relationship Type="http://schemas.openxmlformats.org/officeDocument/2006/relationships/hyperlink" Target="https://cdn.shopify.com/s/files/1/0792/5098/1063/files/16f7293cbefa5743a35b2e6316a5a114e5c052d08151e367dafd26aa5e2e542b_c88ded01-e9f5-47e0-a337-71272c531dc2.jpg?v=1785133055" TargetMode="External" Id="rId46"/><Relationship Type="http://schemas.openxmlformats.org/officeDocument/2006/relationships/hyperlink" Target="https://cdn.shopify.com/s/files/1/0792/5098/1063/files/09467376d637b8b254540c819caa86ed98bcd098da17eb5d29dbc82fb7f5cd3a.jpg?v=1785133055" TargetMode="External" Id="rId47"/><Relationship Type="http://schemas.openxmlformats.org/officeDocument/2006/relationships/hyperlink" Target="https://cdn.shopify.com/s/files/1/0792/5098/1063/files/09467376d637b8b254540c819caa86ed98bcd098da17eb5d29dbc82fb7f5cd3a.jpg?v=1785133055" TargetMode="External" Id="rId48"/><Relationship Type="http://schemas.openxmlformats.org/officeDocument/2006/relationships/hyperlink" Target="https://cdn.shopify.com/s/files/1/0792/5098/1063/files/233894d2b6b7bae581e73b21a4df3c20906e112260f36bd3434ffaade36baf00.jpg?v=1785133055" TargetMode="External" Id="rId49"/><Relationship Type="http://schemas.openxmlformats.org/officeDocument/2006/relationships/hyperlink" Target="https://cdn.shopify.com/s/files/1/0792/5098/1063/files/233894d2b6b7bae581e73b21a4df3c20906e112260f36bd3434ffaade36baf00.jpg?v=1785133055" TargetMode="External" Id="rId50"/><Relationship Type="http://schemas.openxmlformats.org/officeDocument/2006/relationships/hyperlink" Target="https://cdn.shopify.com/s/files/1/0792/5098/1063/files/7c006bddc94d4763c71c8376307e195c1bbce73b8c802ec73ac5a8cef1291262_3e77a6fa-208f-43f0-9bfe-9283e787adc2.jpg?v=1785133055" TargetMode="External" Id="rId51"/><Relationship Type="http://schemas.openxmlformats.org/officeDocument/2006/relationships/hyperlink" Target="https://cdn.shopify.com/s/files/1/0792/5098/1063/files/7c006bddc94d4763c71c8376307e195c1bbce73b8c802ec73ac5a8cef1291262_3e77a6fa-208f-43f0-9bfe-9283e787adc2.jpg?v=1785133055" TargetMode="External" Id="rId52"/><Relationship Type="http://schemas.openxmlformats.org/officeDocument/2006/relationships/hyperlink" Target="https://cdn.shopify.com/s/files/1/0792/5098/1063/files/e5cad84edb4d7bf77c48fd7c8e52eb3b73f04eba8bf177671fd8a059c59422e8_1404e0c6-034c-4379-8c81-40648fd14b0d.jpg?v=1785133055" TargetMode="External" Id="rId53"/><Relationship Type="http://schemas.openxmlformats.org/officeDocument/2006/relationships/hyperlink" Target="https://cdn.shopify.com/s/files/1/0792/5098/1063/files/e5cad84edb4d7bf77c48fd7c8e52eb3b73f04eba8bf177671fd8a059c59422e8_1404e0c6-034c-4379-8c81-40648fd14b0d.jpg?v=1785133055" TargetMode="External" Id="rId54"/><Relationship Type="http://schemas.openxmlformats.org/officeDocument/2006/relationships/hyperlink" Target="https://cdn.shopify.com/s/files/1/0792/5098/1063/files/2ade86cd5ab3acf0f2e78f8ceab6ed08c167347de0f532b69f287d8356e45ef3.jpg?v=1785132905" TargetMode="External" Id="rId55"/><Relationship Type="http://schemas.openxmlformats.org/officeDocument/2006/relationships/hyperlink" Target="https://cdn.shopify.com/s/files/1/0792/5098/1063/files/2ade86cd5ab3acf0f2e78f8ceab6ed08c167347de0f532b69f287d8356e45ef3.jpg?v=1785132905" TargetMode="External" Id="rId56"/><Relationship Type="http://schemas.openxmlformats.org/officeDocument/2006/relationships/hyperlink" Target="https://cdn.shopify.com/s/files/1/0792/5098/1063/files/b89468cedb96bb54d91fe1d0e886ebf9ead05659583ff26989e61e0189d5cab1.jpg?v=1785132905" TargetMode="External" Id="rId57"/><Relationship Type="http://schemas.openxmlformats.org/officeDocument/2006/relationships/hyperlink" Target="https://cdn.shopify.com/s/files/1/0792/5098/1063/files/b89468cedb96bb54d91fe1d0e886ebf9ead05659583ff26989e61e0189d5cab1.jpg?v=1785132905" TargetMode="External" Id="rId58"/><Relationship Type="http://schemas.openxmlformats.org/officeDocument/2006/relationships/hyperlink" Target="https://cdn.shopify.com/s/files/1/0792/5098/1063/files/16f7293cbefa5743a35b2e6316a5a114e5c052d08151e367dafd26aa5e2e542b_551b2c3e-9c31-4c48-841f-26759e261b95.jpg?v=1785132905" TargetMode="External" Id="rId59"/><Relationship Type="http://schemas.openxmlformats.org/officeDocument/2006/relationships/hyperlink" Target="https://cdn.shopify.com/s/files/1/0792/5098/1063/files/16f7293cbefa5743a35b2e6316a5a114e5c052d08151e367dafd26aa5e2e542b_551b2c3e-9c31-4c48-841f-26759e261b95.jpg?v=1785132905" TargetMode="External" Id="rId60"/><Relationship Type="http://schemas.openxmlformats.org/officeDocument/2006/relationships/hyperlink" Target="https://cdn.shopify.com/s/files/1/0792/5098/1063/files/f6fcebd3a58660186982351598e9d169ef3cb952109cd4aea22a684f16f7b49c.jpg?v=1785132905" TargetMode="External" Id="rId61"/><Relationship Type="http://schemas.openxmlformats.org/officeDocument/2006/relationships/hyperlink" Target="https://cdn.shopify.com/s/files/1/0792/5098/1063/files/f6fcebd3a58660186982351598e9d169ef3cb952109cd4aea22a684f16f7b49c.jpg?v=1785132905" TargetMode="External" Id="rId62"/><Relationship Type="http://schemas.openxmlformats.org/officeDocument/2006/relationships/hyperlink" Target="https://cdn.shopify.com/s/files/1/0792/5098/1063/files/5a83a3e1af522eb082357b9d776e7e1781c8a5745befab3f29080d8bb36511b9.jpg?v=1785132905" TargetMode="External" Id="rId63"/><Relationship Type="http://schemas.openxmlformats.org/officeDocument/2006/relationships/hyperlink" Target="https://cdn.shopify.com/s/files/1/0792/5098/1063/files/5a83a3e1af522eb082357b9d776e7e1781c8a5745befab3f29080d8bb36511b9.jpg?v=1785132905" TargetMode="External" Id="rId64"/><Relationship Type="http://schemas.openxmlformats.org/officeDocument/2006/relationships/hyperlink" Target="https://cdn.shopify.com/s/files/1/0792/5098/1063/files/7c006bddc94d4763c71c8376307e195c1bbce73b8c802ec73ac5a8cef1291262_5f849c7c-73dd-47b1-9f2a-e49c4d79be90.jpg?v=1785132905" TargetMode="External" Id="rId65"/><Relationship Type="http://schemas.openxmlformats.org/officeDocument/2006/relationships/hyperlink" Target="https://cdn.shopify.com/s/files/1/0792/5098/1063/files/7c006bddc94d4763c71c8376307e195c1bbce73b8c802ec73ac5a8cef1291262_5f849c7c-73dd-47b1-9f2a-e49c4d79be90.jpg?v=1785132905" TargetMode="External" Id="rId66"/><Relationship Type="http://schemas.openxmlformats.org/officeDocument/2006/relationships/hyperlink" Target="https://cdn.shopify.com/s/files/1/0792/5098/1063/files/e5cad84edb4d7bf77c48fd7c8e52eb3b73f04eba8bf177671fd8a059c59422e8_f2f4fdb3-ac8e-4de2-9067-ff7a83155a01.jpg?v=1785132905" TargetMode="External" Id="rId67"/><Relationship Type="http://schemas.openxmlformats.org/officeDocument/2006/relationships/hyperlink" Target="https://cdn.shopify.com/s/files/1/0792/5098/1063/files/e5cad84edb4d7bf77c48fd7c8e52eb3b73f04eba8bf177671fd8a059c59422e8_f2f4fdb3-ac8e-4de2-9067-ff7a83155a01.jpg?v=1785132905" TargetMode="External" Id="rId68"/><Relationship Type="http://schemas.openxmlformats.org/officeDocument/2006/relationships/hyperlink" Target="https://cdn.shopify.com/s/files/1/0792/5098/1063/files/d642de2fc85572ce4b3843164c4a712bf96852e46789ec09b81e744bdf123b1d.jpg?v=1785103353" TargetMode="External" Id="rId69"/><Relationship Type="http://schemas.openxmlformats.org/officeDocument/2006/relationships/hyperlink" Target="https://cdn.shopify.com/s/files/1/0792/5098/1063/files/d642de2fc85572ce4b3843164c4a712bf96852e46789ec09b81e744bdf123b1d.jpg?v=1785103353" TargetMode="External" Id="rId70"/><Relationship Type="http://schemas.openxmlformats.org/officeDocument/2006/relationships/hyperlink" Target="https://cdn.shopify.com/s/files/1/0792/5098/1063/files/d975aa39cec62cd8b6ddaddd64e8dff1c023c7b13f31247696817b59abf5080a.jpg?v=1785103353" TargetMode="External" Id="rId71"/><Relationship Type="http://schemas.openxmlformats.org/officeDocument/2006/relationships/hyperlink" Target="https://cdn.shopify.com/s/files/1/0792/5098/1063/files/d975aa39cec62cd8b6ddaddd64e8dff1c023c7b13f31247696817b59abf5080a.jpg?v=1785103353" TargetMode="External" Id="rId72"/><Relationship Type="http://schemas.openxmlformats.org/officeDocument/2006/relationships/hyperlink" Target="https://cdn.shopify.com/s/files/1/0792/5098/1063/files/3ce7f4c9f185774a2e416704ca3c2e69b2c88c7bf8f51a22e8d0b8821161561e.jpg?v=1785103353" TargetMode="External" Id="rId73"/><Relationship Type="http://schemas.openxmlformats.org/officeDocument/2006/relationships/hyperlink" Target="https://cdn.shopify.com/s/files/1/0792/5098/1063/files/3ce7f4c9f185774a2e416704ca3c2e69b2c88c7bf8f51a22e8d0b8821161561e.jpg?v=1785103353" TargetMode="External" Id="rId74"/><Relationship Type="http://schemas.openxmlformats.org/officeDocument/2006/relationships/hyperlink" Target="https://cdn.shopify.com/s/files/1/0792/5098/1063/files/f6a3692d3aa189160ac42ddbe8ec414e71ba966437ecc51a73f56f3b992d89ce.jpg?v=1785103353" TargetMode="External" Id="rId75"/><Relationship Type="http://schemas.openxmlformats.org/officeDocument/2006/relationships/hyperlink" Target="https://cdn.shopify.com/s/files/1/0792/5098/1063/files/f6a3692d3aa189160ac42ddbe8ec414e71ba966437ecc51a73f56f3b992d89ce.jpg?v=1785103353" TargetMode="External" Id="rId76"/><Relationship Type="http://schemas.openxmlformats.org/officeDocument/2006/relationships/hyperlink" Target="https://cdn.shopify.com/s/files/1/0792/5098/1063/files/f693918bd03ec5b2fabef416db50f85062ce3c5c1497878e0b5db3f80049abfe.jpg?v=1785103353" TargetMode="External" Id="rId77"/><Relationship Type="http://schemas.openxmlformats.org/officeDocument/2006/relationships/hyperlink" Target="https://cdn.shopify.com/s/files/1/0792/5098/1063/files/f693918bd03ec5b2fabef416db50f85062ce3c5c1497878e0b5db3f80049abfe.jpg?v=1785103353" TargetMode="External" Id="rId78"/><Relationship Type="http://schemas.openxmlformats.org/officeDocument/2006/relationships/hyperlink" Target="https://cdn.shopify.com/s/files/1/0792/5098/1063/files/12e0170316324347b1c2fc3bb335cf00c3e4d5ebac978b565d2bca74e67e4aeb.jpg?v=1785103353" TargetMode="External" Id="rId79"/><Relationship Type="http://schemas.openxmlformats.org/officeDocument/2006/relationships/hyperlink" Target="https://cdn.shopify.com/s/files/1/0792/5098/1063/files/12e0170316324347b1c2fc3bb335cf00c3e4d5ebac978b565d2bca74e67e4aeb.jpg?v=1785103353" TargetMode="External" Id="rId80"/><Relationship Type="http://schemas.openxmlformats.org/officeDocument/2006/relationships/hyperlink" Target="https://cdn.shopify.com/s/files/1/0792/5098/1063/files/7ff043f609e6b3494b859585c800681b91bfdbcca52d1a21fbb5594379cbe34a.jpg?v=1785103353" TargetMode="External" Id="rId81"/><Relationship Type="http://schemas.openxmlformats.org/officeDocument/2006/relationships/hyperlink" Target="https://cdn.shopify.com/s/files/1/0792/5098/1063/files/7ff043f609e6b3494b859585c800681b91bfdbcca52d1a21fbb5594379cbe34a.jpg?v=1785103353" TargetMode="External" Id="rId82"/><Relationship Type="http://schemas.openxmlformats.org/officeDocument/2006/relationships/hyperlink" Target="https://cdn.shopify.com/s/files/1/0792/5098/1063/files/b6cd34a72d72c728bb3299f3d4da788ca922c473d8c779016ce727043a3c3398.jpg?v=1786596968" TargetMode="External" Id="rId83"/><Relationship Type="http://schemas.openxmlformats.org/officeDocument/2006/relationships/hyperlink" Target="https://cdn.shopify.com/s/files/1/0792/5098/1063/files/b6cd34a72d72c728bb3299f3d4da788ca922c473d8c779016ce727043a3c3398.jpg?v=1786596968" TargetMode="External" Id="rId84"/><Relationship Type="http://schemas.openxmlformats.org/officeDocument/2006/relationships/hyperlink" Target="https://cdn.shopify.com/s/files/1/0792/5098/1063/files/bba2dd6433689526b2335b7c1e552959c8f06e353451795b0d72af4bba89e36d.jpg?v=1786596968" TargetMode="External" Id="rId85"/><Relationship Type="http://schemas.openxmlformats.org/officeDocument/2006/relationships/hyperlink" Target="https://cdn.shopify.com/s/files/1/0792/5098/1063/files/bba2dd6433689526b2335b7c1e552959c8f06e353451795b0d72af4bba89e36d.jpg?v=1786596968" TargetMode="External" Id="rId86"/><Relationship Type="http://schemas.openxmlformats.org/officeDocument/2006/relationships/hyperlink" Target="https://cdn.shopify.com/s/files/1/0792/5098/1063/files/133acefcd1f5db8f54935b64a6c42994b539d10e3484cf00c039105f98628fbb.jpg?v=1786596968" TargetMode="External" Id="rId87"/><Relationship Type="http://schemas.openxmlformats.org/officeDocument/2006/relationships/hyperlink" Target="https://cdn.shopify.com/s/files/1/0792/5098/1063/files/133acefcd1f5db8f54935b64a6c42994b539d10e3484cf00c039105f98628fbb.jpg?v=1786596968" TargetMode="External" Id="rId88"/><Relationship Type="http://schemas.openxmlformats.org/officeDocument/2006/relationships/hyperlink" Target="https://cdn.shopify.com/s/files/1/0792/5098/1063/files/e9946aac9a838881ab8553d9e775069d9ce81cd97c4b10753ddad9a7d2955cea.jpg?v=1786596968" TargetMode="External" Id="rId89"/><Relationship Type="http://schemas.openxmlformats.org/officeDocument/2006/relationships/hyperlink" Target="https://cdn.shopify.com/s/files/1/0792/5098/1063/files/e9946aac9a838881ab8553d9e775069d9ce81cd97c4b10753ddad9a7d2955cea.jpg?v=1786596968" TargetMode="External" Id="rId90"/><Relationship Type="http://schemas.openxmlformats.org/officeDocument/2006/relationships/hyperlink" Target="https://cdn.shopify.com/s/files/1/0792/5098/1063/files/20c6ad08b0330a12b5dff7193937c39d9013de1876e587f8a42fe6fbd1756d6b.jpg?v=1786596968" TargetMode="External" Id="rId91"/><Relationship Type="http://schemas.openxmlformats.org/officeDocument/2006/relationships/hyperlink" Target="https://cdn.shopify.com/s/files/1/0792/5098/1063/files/20c6ad08b0330a12b5dff7193937c39d9013de1876e587f8a42fe6fbd1756d6b.jpg?v=1786596968" TargetMode="External" Id="rId92"/><Relationship Type="http://schemas.openxmlformats.org/officeDocument/2006/relationships/hyperlink" Target="https://cdn.shopify.com/s/files/1/0792/5098/1063/files/cf5bad09c12126df5f9ce380889c2f8348a1b05126dff0ddd0904f04c00722cb.jpg?v=1786596968" TargetMode="External" Id="rId93"/><Relationship Type="http://schemas.openxmlformats.org/officeDocument/2006/relationships/hyperlink" Target="https://cdn.shopify.com/s/files/1/0792/5098/1063/files/cf5bad09c12126df5f9ce380889c2f8348a1b05126dff0ddd0904f04c00722cb.jpg?v=1786596968" TargetMode="External" Id="rId94"/><Relationship Type="http://schemas.openxmlformats.org/officeDocument/2006/relationships/hyperlink" Target="https://cdn.shopify.com/s/files/1/0792/5098/1063/files/f460a64694fc0f7702fe7e69c3b087898a73890125c7b3c373f6292b397cb764.jpg?v=1786596968" TargetMode="External" Id="rId95"/><Relationship Type="http://schemas.openxmlformats.org/officeDocument/2006/relationships/hyperlink" Target="https://cdn.shopify.com/s/files/1/0792/5098/1063/files/f460a64694fc0f7702fe7e69c3b087898a73890125c7b3c373f6292b397cb764.jpg?v=1786596968" TargetMode="External" Id="rId96"/><Relationship Type="http://schemas.openxmlformats.org/officeDocument/2006/relationships/hyperlink" Target="https://cdn.shopify.com/s/files/1/0792/5098/1063/files/5c0401e94c422195d8dc97b8cc859b7ab413ddf40e4f7c0f1455113298c8ba2b.jpg?v=1786596968" TargetMode="External" Id="rId97"/><Relationship Type="http://schemas.openxmlformats.org/officeDocument/2006/relationships/hyperlink" Target="https://cdn.shopify.com/s/files/1/0792/5098/1063/files/5c0401e94c422195d8dc97b8cc859b7ab413ddf40e4f7c0f1455113298c8ba2b.jpg?v=1786596968" TargetMode="External" Id="rId98"/><Relationship Type="http://schemas.openxmlformats.org/officeDocument/2006/relationships/hyperlink" Target="https://cdn.shopify.com/s/files/1/0792/5098/1063/files/b0d49dab17c6bdcc632b9ef24f12d0fb5113a83ac744ae5538fe6133d8649026.jpg?v=1786596344" TargetMode="External" Id="rId99"/><Relationship Type="http://schemas.openxmlformats.org/officeDocument/2006/relationships/hyperlink" Target="https://cdn.shopify.com/s/files/1/0792/5098/1063/files/b0d49dab17c6bdcc632b9ef24f12d0fb5113a83ac744ae5538fe6133d8649026.jpg?v=1786596344" TargetMode="External" Id="rId100"/><Relationship Type="http://schemas.openxmlformats.org/officeDocument/2006/relationships/hyperlink" Target="https://cdn.shopify.com/s/files/1/0792/5098/1063/files/f3a0a135c363494f783788473b93526b47c2e8cb319704064bfa447e97981e08.jpg?v=1786596344" TargetMode="External" Id="rId101"/><Relationship Type="http://schemas.openxmlformats.org/officeDocument/2006/relationships/hyperlink" Target="https://cdn.shopify.com/s/files/1/0792/5098/1063/files/f3a0a135c363494f783788473b93526b47c2e8cb319704064bfa447e97981e08.jpg?v=1786596344" TargetMode="External" Id="rId102"/><Relationship Type="http://schemas.openxmlformats.org/officeDocument/2006/relationships/hyperlink" Target="https://cdn.shopify.com/s/files/1/0792/5098/1063/files/393dde0641c109a658cdad67fc9a0926528b3e95ea49aaeeb473cb484ba86994.jpg?v=1786596344" TargetMode="External" Id="rId103"/><Relationship Type="http://schemas.openxmlformats.org/officeDocument/2006/relationships/hyperlink" Target="https://cdn.shopify.com/s/files/1/0792/5098/1063/files/393dde0641c109a658cdad67fc9a0926528b3e95ea49aaeeb473cb484ba86994.jpg?v=1786596344" TargetMode="External" Id="rId104"/><Relationship Type="http://schemas.openxmlformats.org/officeDocument/2006/relationships/hyperlink" Target="https://cdn.shopify.com/s/files/1/0792/5098/1063/files/30947e72faf8e7b9ab47f0ff239bbbf2f0536869f498102f1e0e8bf0047e10d5.jpg?v=1786596344" TargetMode="External" Id="rId105"/><Relationship Type="http://schemas.openxmlformats.org/officeDocument/2006/relationships/hyperlink" Target="https://cdn.shopify.com/s/files/1/0792/5098/1063/files/30947e72faf8e7b9ab47f0ff239bbbf2f0536869f498102f1e0e8bf0047e10d5.jpg?v=1786596344" TargetMode="External" Id="rId106"/><Relationship Type="http://schemas.openxmlformats.org/officeDocument/2006/relationships/hyperlink" Target="https://cdn.shopify.com/s/files/1/0792/5098/1063/files/561164be4965ba7d14d31536c839a8c98aaeb4b67535565041d490d5464c3971.jpg?v=1786596344" TargetMode="External" Id="rId107"/><Relationship Type="http://schemas.openxmlformats.org/officeDocument/2006/relationships/hyperlink" Target="https://cdn.shopify.com/s/files/1/0792/5098/1063/files/561164be4965ba7d14d31536c839a8c98aaeb4b67535565041d490d5464c3971.jpg?v=1786596344" TargetMode="External" Id="rId108"/><Relationship Type="http://schemas.openxmlformats.org/officeDocument/2006/relationships/hyperlink" Target="https://cdn.shopify.com/s/files/1/0792/5098/1063/files/3d8d0ae7827b3277b85844c9dfadb1dc1394b9b7636bd7f2cfb977f845b7cfdf.jpg?v=1786596344" TargetMode="External" Id="rId109"/><Relationship Type="http://schemas.openxmlformats.org/officeDocument/2006/relationships/hyperlink" Target="https://cdn.shopify.com/s/files/1/0792/5098/1063/files/3d8d0ae7827b3277b85844c9dfadb1dc1394b9b7636bd7f2cfb977f845b7cfdf.jpg?v=1786596344" TargetMode="External" Id="rId110"/><Relationship Type="http://schemas.openxmlformats.org/officeDocument/2006/relationships/hyperlink" Target="https://cdn.shopify.com/s/files/1/0792/5098/1063/files/e06ad6ea585a2cced1450af7ae2c5b03c02b4040afe9aafb22249887d13df84c.jpg?v=1786596344" TargetMode="External" Id="rId111"/><Relationship Type="http://schemas.openxmlformats.org/officeDocument/2006/relationships/hyperlink" Target="https://cdn.shopify.com/s/files/1/0792/5098/1063/files/e06ad6ea585a2cced1450af7ae2c5b03c02b4040afe9aafb22249887d13df84c.jpg?v=1786596344" TargetMode="External" Id="rId112"/><Relationship Type="http://schemas.openxmlformats.org/officeDocument/2006/relationships/hyperlink" Target="https://cdn.shopify.com/s/files/1/0792/5098/1063/files/1695bd29dc1e745b27c0ca317e206d17ca3c35cfb7319cb0cc84d6339e3f7877.jpg?v=1786596344" TargetMode="External" Id="rId113"/><Relationship Type="http://schemas.openxmlformats.org/officeDocument/2006/relationships/hyperlink" Target="https://cdn.shopify.com/s/files/1/0792/5098/1063/files/1695bd29dc1e745b27c0ca317e206d17ca3c35cfb7319cb0cc84d6339e3f7877.jpg?v=1786596344" TargetMode="External" Id="rId114"/><Relationship Type="http://schemas.openxmlformats.org/officeDocument/2006/relationships/hyperlink" Target="https://cdn.shopify.com/s/files/1/0792/5098/1063/files/1e3ef58d63b3b377403c7baa0c39f0aaca49df18a0c49d7048c441975452b123.jpg?v=1786596467" TargetMode="External" Id="rId115"/><Relationship Type="http://schemas.openxmlformats.org/officeDocument/2006/relationships/hyperlink" Target="https://cdn.shopify.com/s/files/1/0792/5098/1063/files/1e3ef58d63b3b377403c7baa0c39f0aaca49df18a0c49d7048c441975452b123.jpg?v=1786596467" TargetMode="External" Id="rId116"/><Relationship Type="http://schemas.openxmlformats.org/officeDocument/2006/relationships/hyperlink" Target="https://cdn.shopify.com/s/files/1/0792/5098/1063/files/304708b511b50b432675e367d219231bee1cbde6563b89370c053e7839041edc.jpg?v=1786596467" TargetMode="External" Id="rId117"/><Relationship Type="http://schemas.openxmlformats.org/officeDocument/2006/relationships/hyperlink" Target="https://cdn.shopify.com/s/files/1/0792/5098/1063/files/304708b511b50b432675e367d219231bee1cbde6563b89370c053e7839041edc.jpg?v=1786596467" TargetMode="External" Id="rId118"/><Relationship Type="http://schemas.openxmlformats.org/officeDocument/2006/relationships/hyperlink" Target="https://cdn.shopify.com/s/files/1/0792/5098/1063/files/6600b0d72504e32a2407088eb65dfe69f600a0e52f61f6e63e49596488c1e1ee.jpg?v=1786596467" TargetMode="External" Id="rId119"/><Relationship Type="http://schemas.openxmlformats.org/officeDocument/2006/relationships/hyperlink" Target="https://cdn.shopify.com/s/files/1/0792/5098/1063/files/6600b0d72504e32a2407088eb65dfe69f600a0e52f61f6e63e49596488c1e1ee.jpg?v=1786596467" TargetMode="External" Id="rId120"/><Relationship Type="http://schemas.openxmlformats.org/officeDocument/2006/relationships/hyperlink" Target="https://cdn.shopify.com/s/files/1/0792/5098/1063/files/32610255b10c95dd1994672a4db25a99d1504f8d5700b5a9d68dc5ea58417837.jpg?v=1786596466" TargetMode="External" Id="rId121"/><Relationship Type="http://schemas.openxmlformats.org/officeDocument/2006/relationships/hyperlink" Target="https://cdn.shopify.com/s/files/1/0792/5098/1063/files/32610255b10c95dd1994672a4db25a99d1504f8d5700b5a9d68dc5ea58417837.jpg?v=1786596466" TargetMode="External" Id="rId122"/><Relationship Type="http://schemas.openxmlformats.org/officeDocument/2006/relationships/hyperlink" Target="https://cdn.shopify.com/s/files/1/0792/5098/1063/files/4ce7ad7b28af41f4184ce676d817e67ba0c3a923153c1e8fd3b4932131d9a04c.jpg?v=1786596467" TargetMode="External" Id="rId123"/><Relationship Type="http://schemas.openxmlformats.org/officeDocument/2006/relationships/hyperlink" Target="https://cdn.shopify.com/s/files/1/0792/5098/1063/files/4ce7ad7b28af41f4184ce676d817e67ba0c3a923153c1e8fd3b4932131d9a04c.jpg?v=1786596467" TargetMode="External" Id="rId124"/><Relationship Type="http://schemas.openxmlformats.org/officeDocument/2006/relationships/hyperlink" Target="https://cdn.shopify.com/s/files/1/0792/5098/1063/files/8f4ca20461e5e7f3c9a4f9e46a3aeb722251b8c5bda7ce1d6dd3566915800b92.jpg?v=1786596467" TargetMode="External" Id="rId125"/><Relationship Type="http://schemas.openxmlformats.org/officeDocument/2006/relationships/hyperlink" Target="https://cdn.shopify.com/s/files/1/0792/5098/1063/files/8f4ca20461e5e7f3c9a4f9e46a3aeb722251b8c5bda7ce1d6dd3566915800b92.jpg?v=1786596467" TargetMode="External" Id="rId126"/><Relationship Type="http://schemas.openxmlformats.org/officeDocument/2006/relationships/hyperlink" Target="https://cdn.shopify.com/s/files/1/0792/5098/1063/files/4aa92077789873319d5517c427bfa50d8063a0acc92b217756a381f9fe296efa.jpg?v=1786596467" TargetMode="External" Id="rId127"/><Relationship Type="http://schemas.openxmlformats.org/officeDocument/2006/relationships/hyperlink" Target="https://cdn.shopify.com/s/files/1/0792/5098/1063/files/4aa92077789873319d5517c427bfa50d8063a0acc92b217756a381f9fe296efa.jpg?v=1786596467" TargetMode="External" Id="rId128"/><Relationship Type="http://schemas.openxmlformats.org/officeDocument/2006/relationships/hyperlink" Target="https://cdn.shopify.com/s/files/1/0792/5098/1063/files/4bf3e5ac8d2c496079286be34619f530e3a2ef3ee4eb27bf1ccc7beac7dfa930.jpg?v=1786596467" TargetMode="External" Id="rId129"/><Relationship Type="http://schemas.openxmlformats.org/officeDocument/2006/relationships/hyperlink" Target="https://cdn.shopify.com/s/files/1/0792/5098/1063/files/4bf3e5ac8d2c496079286be34619f530e3a2ef3ee4eb27bf1ccc7beac7dfa930.jpg?v=1786596467" TargetMode="External" Id="rId130"/><Relationship Type="http://schemas.openxmlformats.org/officeDocument/2006/relationships/hyperlink" Target="https://cdn.shopify.com/s/files/1/0792/5098/1063/files/3d80b7de7d1f734e2ecfc7968366600fbdbd5ea5fa3c36401da4183fc73403f1.jpg?v=1786596780" TargetMode="External" Id="rId131"/><Relationship Type="http://schemas.openxmlformats.org/officeDocument/2006/relationships/hyperlink" Target="https://cdn.shopify.com/s/files/1/0792/5098/1063/files/3d80b7de7d1f734e2ecfc7968366600fbdbd5ea5fa3c36401da4183fc73403f1.jpg?v=1786596780" TargetMode="External" Id="rId132"/><Relationship Type="http://schemas.openxmlformats.org/officeDocument/2006/relationships/hyperlink" Target="https://cdn.shopify.com/s/files/1/0792/5098/1063/files/83e15a673d7d1da050a161634e22e9593dc2161ab2861c9d7a1565a35a0df5fd.jpg?v=1786596780" TargetMode="External" Id="rId133"/><Relationship Type="http://schemas.openxmlformats.org/officeDocument/2006/relationships/hyperlink" Target="https://cdn.shopify.com/s/files/1/0792/5098/1063/files/83e15a673d7d1da050a161634e22e9593dc2161ab2861c9d7a1565a35a0df5fd.jpg?v=1786596780" TargetMode="External" Id="rId134"/><Relationship Type="http://schemas.openxmlformats.org/officeDocument/2006/relationships/hyperlink" Target="https://cdn.shopify.com/s/files/1/0792/5098/1063/files/b032afe25c0b31b61cc058ec5d2b0b263e0f2d006ceccecc1b1a7eb01a1809dc.jpg?v=1786596780" TargetMode="External" Id="rId135"/><Relationship Type="http://schemas.openxmlformats.org/officeDocument/2006/relationships/hyperlink" Target="https://cdn.shopify.com/s/files/1/0792/5098/1063/files/b032afe25c0b31b61cc058ec5d2b0b263e0f2d006ceccecc1b1a7eb01a1809dc.jpg?v=1786596780" TargetMode="External" Id="rId136"/><Relationship Type="http://schemas.openxmlformats.org/officeDocument/2006/relationships/hyperlink" Target="https://cdn.shopify.com/s/files/1/0792/5098/1063/files/ee31f565477c8d5e60e6e828da4896e0d9999f7ac852fafc866a10174eec8bfd.jpg?v=1786596780" TargetMode="External" Id="rId137"/><Relationship Type="http://schemas.openxmlformats.org/officeDocument/2006/relationships/hyperlink" Target="https://cdn.shopify.com/s/files/1/0792/5098/1063/files/ee31f565477c8d5e60e6e828da4896e0d9999f7ac852fafc866a10174eec8bfd.jpg?v=1786596780" TargetMode="External" Id="rId138"/><Relationship Type="http://schemas.openxmlformats.org/officeDocument/2006/relationships/hyperlink" Target="https://cdn.shopify.com/s/files/1/0792/5098/1063/files/57b0bb2bb4ea8e6a43e9de940df134059dc576db7cbabe4b7496475a71f27764.jpg?v=1786596780" TargetMode="External" Id="rId139"/><Relationship Type="http://schemas.openxmlformats.org/officeDocument/2006/relationships/hyperlink" Target="https://cdn.shopify.com/s/files/1/0792/5098/1063/files/57b0bb2bb4ea8e6a43e9de940df134059dc576db7cbabe4b7496475a71f27764.jpg?v=1786596780" TargetMode="External" Id="rId140"/><Relationship Type="http://schemas.openxmlformats.org/officeDocument/2006/relationships/hyperlink" Target="https://cdn.shopify.com/s/files/1/0792/5098/1063/files/229be66a9e9e5e22fdec36da8f53aaea958d634b94b90fbb3c8082284ba3eaf4.jpg?v=1786596780" TargetMode="External" Id="rId141"/><Relationship Type="http://schemas.openxmlformats.org/officeDocument/2006/relationships/hyperlink" Target="https://cdn.shopify.com/s/files/1/0792/5098/1063/files/229be66a9e9e5e22fdec36da8f53aaea958d634b94b90fbb3c8082284ba3eaf4.jpg?v=1786596780" TargetMode="External" Id="rId142"/><Relationship Type="http://schemas.openxmlformats.org/officeDocument/2006/relationships/hyperlink" Target="https://cdn.shopify.com/s/files/1/0792/5098/1063/files/c3a47e8ec44fb577496c4a89f94c907d6704a91509dd99a418f3dc0e038a4f3e.jpg?v=1786596780" TargetMode="External" Id="rId143"/><Relationship Type="http://schemas.openxmlformats.org/officeDocument/2006/relationships/hyperlink" Target="https://cdn.shopify.com/s/files/1/0792/5098/1063/files/c3a47e8ec44fb577496c4a89f94c907d6704a91509dd99a418f3dc0e038a4f3e.jpg?v=1786596780" TargetMode="External" Id="rId144"/><Relationship Type="http://schemas.openxmlformats.org/officeDocument/2006/relationships/hyperlink" Target="https://cdn.shopify.com/s/files/1/0792/5098/1063/files/fae8e2040b0e02cb6244f200a057209b7427bd45ced7b542a3836dde42c2e396.jpg?v=1786596780" TargetMode="External" Id="rId145"/><Relationship Type="http://schemas.openxmlformats.org/officeDocument/2006/relationships/hyperlink" Target="https://cdn.shopify.com/s/files/1/0792/5098/1063/files/fae8e2040b0e02cb6244f200a057209b7427bd45ced7b542a3836dde42c2e396.jpg?v=1786596780" TargetMode="External" Id="rId146"/></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20260907_181000</t>
        </is>
      </c>
      <c r="C4" s="2" t="inlineStr">
        <is>
          <t>QA run folder for this corrected rerun.</t>
        </is>
      </c>
    </row>
    <row r="5" ht="42" customHeight="1">
      <c r="A5" s="3" t="inlineStr">
        <is>
          <t>qa_batch_id</t>
        </is>
      </c>
      <c r="B5" s="3" t="inlineStr">
        <is>
          <t>qa_batch_010</t>
        </is>
      </c>
      <c r="C5" s="3" t="inlineStr">
        <is>
          <t>Batch being independently checked.</t>
        </is>
      </c>
    </row>
    <row r="6" ht="42" customHeight="1">
      <c r="A6" s="2" t="inlineStr">
        <is>
          <t>revision</t>
        </is>
      </c>
      <c r="B6" s="2" t="inlineStr">
        <is>
          <t>r1_corrected_full_qa</t>
        </is>
      </c>
      <c r="C6" s="2" t="inlineStr">
        <is>
          <t>Corrected full QA artifact replacing prior shortened output.</t>
        </is>
      </c>
    </row>
    <row r="7" ht="42" customHeight="1">
      <c r="A7" s="3" t="inlineStr">
        <is>
          <t>source_workbook</t>
        </is>
      </c>
      <c r="B7" s="3" t="inlineStr">
        <is>
          <t>D:\Shopify_Workspace\jeminise_seo\resutls\jeminise.com\20260906_234129\batches\SEO_Product_Optimization_through_batch_010.xlsx</t>
        </is>
      </c>
      <c r="C7" s="3" t="inlineStr">
        <is>
          <t>Frozen workbook source path.</t>
        </is>
      </c>
    </row>
    <row r="8" ht="42" customHeight="1">
      <c r="A8" s="2" t="inlineStr">
        <is>
          <t>source_sha256</t>
        </is>
      </c>
      <c r="B8" s="2" t="inlineStr">
        <is>
          <t>0DA5C696AC39A2B7C6A923250474C3BBE8C2FF57DC1BF2718FC8C07C9E1B00AF</t>
        </is>
      </c>
      <c r="C8" s="2" t="inlineStr">
        <is>
          <t>SHA-256 at freeze/final handoff time.</t>
        </is>
      </c>
    </row>
    <row r="9" ht="42" customHeight="1">
      <c r="A9" s="3" t="inlineStr">
        <is>
          <t>snapshot_sha256</t>
        </is>
      </c>
      <c r="B9" s="3" t="inlineStr">
        <is>
          <t>0DA5C696AC39A2B7C6A923250474C3BBE8C2FF57DC1BF2718FC8C07C9E1B00AF</t>
        </is>
      </c>
      <c r="C9" s="3" t="inlineStr">
        <is>
          <t>SHA-256 of workbook copy in source_snapshot.</t>
        </is>
      </c>
    </row>
    <row r="10" ht="42" customHeight="1">
      <c r="A10" s="2" t="inlineStr">
        <is>
          <t>scope</t>
        </is>
      </c>
      <c r="B10" s="2" t="inlineStr">
        <is>
          <t>10 products, 73/73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CRITICAL=1; MAJOR=19; MINOR=63;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91</v>
      </c>
      <c r="B2" s="2" t="inlineStr">
        <is>
          <t>jeminise.com+custom-native-american-inspired-wolf-head-inside-circular-frame-comforter-d351b4bfe1-d351b4bfe1</t>
        </is>
      </c>
      <c r="C2" s="4" t="inlineStr">
        <is>
          <t>https://jeminise.com/products/custom-native-american-inspired-wolf-head-inside-circular-frame-comforter-d351b4bfe1-d351b4bfe1</t>
        </is>
      </c>
      <c r="D2" s="2" t="inlineStr">
        <is>
          <t>custom-native-american-inspired-wolf-head-inside-circular-frame-comforter-d351b4bfe1-d351b4bfe1</t>
        </is>
      </c>
      <c r="E2" s="2" t="inlineStr">
        <is>
          <t>8837138940103</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5</v>
      </c>
      <c r="O2" s="2" t="n">
        <v>5</v>
      </c>
      <c r="P2" s="2" t="b">
        <v>1</v>
      </c>
      <c r="Q2" s="6" t="n">
        <v>1</v>
      </c>
      <c r="R2" s="2">
        <f>COUNTIFS('QA_Issues'!$B$2:$B$94,B2,'QA_Issues'!$D$2:$D$94,"CRITICAL")</f>
        <v/>
      </c>
      <c r="S2" s="2">
        <f>COUNTIFS('QA_Issues'!$B$2:$B$94,B2,'QA_Issues'!$D$2:$D$94,"MAJOR")</f>
        <v/>
      </c>
      <c r="T2" s="2">
        <f>COUNTIFS('QA_Issues'!$B$2:$B$94,B2,'QA_Issues'!$D$2:$D$94,"MINOR")</f>
        <v/>
      </c>
      <c r="U2" s="2">
        <f>COUNTIFS('QA_Issues'!$B$2:$B$94,B2,'QA_Issues'!$D$2:$D$94,"LIMITATION")</f>
        <v/>
      </c>
      <c r="V2" s="2" t="inlineStr">
        <is>
          <t>ISSUE-0001; ISSUE-0002; ISSUE-0003; ISSUE-0004; ISSUE-0005; ISSUE-0006; ISSUE-0007</t>
        </is>
      </c>
      <c r="W2" s="2" t="inlineStr">
        <is>
          <t>evidence_batch_010_091; live_source_comparison; customizer_audit; serp_evidence</t>
        </is>
      </c>
    </row>
    <row r="3" ht="42" customHeight="1">
      <c r="A3" s="3" t="n">
        <v>92</v>
      </c>
      <c r="B3" s="3" t="inlineStr">
        <is>
          <t>jeminise.com+custom-neon-green-soccer-player-artwork-comforter-set-boys-room-decor</t>
        </is>
      </c>
      <c r="C3" s="4" t="inlineStr">
        <is>
          <t>https://jeminise.com/products/custom-neon-green-soccer-player-artwork-comforter-set-boys-room-decor</t>
        </is>
      </c>
      <c r="D3" s="3" t="inlineStr">
        <is>
          <t>custom-neon-green-soccer-player-artwork-comforter-set-boys-room-decor</t>
        </is>
      </c>
      <c r="E3" s="3" t="inlineStr">
        <is>
          <t>8860498821319</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COUNTIFS('QA_Issues'!$B$2:$B$94,B3,'QA_Issues'!$D$2:$D$94,"CRITICAL")</f>
        <v/>
      </c>
      <c r="S3" s="3">
        <f>COUNTIFS('QA_Issues'!$B$2:$B$94,B3,'QA_Issues'!$D$2:$D$94,"MAJOR")</f>
        <v/>
      </c>
      <c r="T3" s="3">
        <f>COUNTIFS('QA_Issues'!$B$2:$B$94,B3,'QA_Issues'!$D$2:$D$94,"MINOR")</f>
        <v/>
      </c>
      <c r="U3" s="3">
        <f>COUNTIFS('QA_Issues'!$B$2:$B$94,B3,'QA_Issues'!$D$2:$D$94,"LIMITATION")</f>
        <v/>
      </c>
      <c r="V3" s="3" t="inlineStr">
        <is>
          <t>ISSUE-0008; ISSUE-0009; ISSUE-0010; ISSUE-0011; ISSUE-0012; ISSUE-0013; ISSUE-0014; ISSUE-0015; ISSUE-0016; ISSUE-0017; ISSUE-0018</t>
        </is>
      </c>
      <c r="W3" s="3" t="inlineStr">
        <is>
          <t>evidence_batch_010_092; live_source_comparison; customizer_audit; serp_evidence</t>
        </is>
      </c>
    </row>
    <row r="4" ht="42" customHeight="1">
      <c r="A4" s="2" t="n">
        <v>93</v>
      </c>
      <c r="B4" s="2" t="inlineStr">
        <is>
          <t>jeminise.com+custom-patriotic-semi-truck-on-american-flag-background-comforter-e664ba94f8-e664ba94f8</t>
        </is>
      </c>
      <c r="C4" s="4" t="inlineStr">
        <is>
          <t>https://jeminise.com/products/custom-patriotic-semi-truck-on-american-flag-background-comforter-e664ba94f8-e664ba94f8</t>
        </is>
      </c>
      <c r="D4" s="2" t="inlineStr">
        <is>
          <t>custom-patriotic-semi-truck-on-american-flag-background-comforter-e664ba94f8-e664ba94f8</t>
        </is>
      </c>
      <c r="E4" s="2" t="inlineStr">
        <is>
          <t>8835550806215</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COUNTIFS('QA_Issues'!$B$2:$B$94,B4,'QA_Issues'!$D$2:$D$94,"CRITICAL")</f>
        <v/>
      </c>
      <c r="S4" s="2">
        <f>COUNTIFS('QA_Issues'!$B$2:$B$94,B4,'QA_Issues'!$D$2:$D$94,"MAJOR")</f>
        <v/>
      </c>
      <c r="T4" s="2">
        <f>COUNTIFS('QA_Issues'!$B$2:$B$94,B4,'QA_Issues'!$D$2:$D$94,"MINOR")</f>
        <v/>
      </c>
      <c r="U4" s="2">
        <f>COUNTIFS('QA_Issues'!$B$2:$B$94,B4,'QA_Issues'!$D$2:$D$94,"LIMITATION")</f>
        <v/>
      </c>
      <c r="V4" s="2" t="inlineStr">
        <is>
          <t>ISSUE-0019; ISSUE-0020; ISSUE-0021; ISSUE-0022; ISSUE-0023; ISSUE-0024; ISSUE-0025; ISSUE-0026; ISSUE-0027</t>
        </is>
      </c>
      <c r="W4" s="2" t="inlineStr">
        <is>
          <t>evidence_batch_010_093; live_source_comparison; customizer_audit; serp_evidence</t>
        </is>
      </c>
    </row>
    <row r="5" ht="42" customHeight="1">
      <c r="A5" s="3" t="n">
        <v>94</v>
      </c>
      <c r="B5" s="3" t="inlineStr">
        <is>
          <t>jeminise.com+custom-patriotic-semi-truck-with-waving-american-flag-comforter-e01f2755b2-e01f2755b2</t>
        </is>
      </c>
      <c r="C5" s="4" t="inlineStr">
        <is>
          <t>https://jeminise.com/products/custom-patriotic-semi-truck-with-waving-american-flag-comforter-e01f2755b2-e01f2755b2</t>
        </is>
      </c>
      <c r="D5" s="3" t="inlineStr">
        <is>
          <t>custom-patriotic-semi-truck-with-waving-american-flag-comforter-e01f2755b2-e01f2755b2</t>
        </is>
      </c>
      <c r="E5" s="3" t="inlineStr">
        <is>
          <t>8835554541767</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COUNTIFS('QA_Issues'!$B$2:$B$94,B5,'QA_Issues'!$D$2:$D$94,"CRITICAL")</f>
        <v/>
      </c>
      <c r="S5" s="3">
        <f>COUNTIFS('QA_Issues'!$B$2:$B$94,B5,'QA_Issues'!$D$2:$D$94,"MAJOR")</f>
        <v/>
      </c>
      <c r="T5" s="3">
        <f>COUNTIFS('QA_Issues'!$B$2:$B$94,B5,'QA_Issues'!$D$2:$D$94,"MINOR")</f>
        <v/>
      </c>
      <c r="U5" s="3">
        <f>COUNTIFS('QA_Issues'!$B$2:$B$94,B5,'QA_Issues'!$D$2:$D$94,"LIMITATION")</f>
        <v/>
      </c>
      <c r="V5" s="3" t="inlineStr">
        <is>
          <t>ISSUE-0028; ISSUE-0029; ISSUE-0030; ISSUE-0031; ISSUE-0032; ISSUE-0033; ISSUE-0034; ISSUE-0035; ISSUE-0036</t>
        </is>
      </c>
      <c r="W5" s="3" t="inlineStr">
        <is>
          <t>evidence_batch_010_094; live_source_comparison; customizer_audit; serp_evidence</t>
        </is>
      </c>
    </row>
    <row r="6" ht="42" customHeight="1">
      <c r="A6" s="2" t="n">
        <v>95</v>
      </c>
      <c r="B6" s="2" t="inlineStr">
        <is>
          <t>jeminise.com+custom-patriotic-trucking-semi-truck-below-waving-american-flag-comforter-05c0cd8623-05c0cd8623</t>
        </is>
      </c>
      <c r="C6" s="4" t="inlineStr">
        <is>
          <t>https://jeminise.com/products/custom-patriotic-trucking-semi-truck-below-waving-american-flag-comforter-05c0cd8623-05c0cd8623</t>
        </is>
      </c>
      <c r="D6" s="2" t="inlineStr">
        <is>
          <t>custom-patriotic-trucking-semi-truck-below-waving-american-flag-comforter-05c0cd8623-05c0cd8623</t>
        </is>
      </c>
      <c r="E6" s="2" t="inlineStr">
        <is>
          <t>8835554246855</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COUNTIFS('QA_Issues'!$B$2:$B$94,B6,'QA_Issues'!$D$2:$D$94,"CRITICAL")</f>
        <v/>
      </c>
      <c r="S6" s="2">
        <f>COUNTIFS('QA_Issues'!$B$2:$B$94,B6,'QA_Issues'!$D$2:$D$94,"MAJOR")</f>
        <v/>
      </c>
      <c r="T6" s="2">
        <f>COUNTIFS('QA_Issues'!$B$2:$B$94,B6,'QA_Issues'!$D$2:$D$94,"MINOR")</f>
        <v/>
      </c>
      <c r="U6" s="2">
        <f>COUNTIFS('QA_Issues'!$B$2:$B$94,B6,'QA_Issues'!$D$2:$D$94,"LIMITATION")</f>
        <v/>
      </c>
      <c r="V6" s="2" t="inlineStr">
        <is>
          <t>ISSUE-0037; ISSUE-0038; ISSUE-0039; ISSUE-0040; ISSUE-0041; ISSUE-0042; ISSUE-0043; ISSUE-0044; ISSUE-0045</t>
        </is>
      </c>
      <c r="W6" s="2" t="inlineStr">
        <is>
          <t>evidence_batch_010_095; live_source_comparison; customizer_audit; serp_evidence</t>
        </is>
      </c>
    </row>
    <row r="7" ht="42" customHeight="1">
      <c r="A7" s="3" t="n">
        <v>96</v>
      </c>
      <c r="B7" s="3" t="inlineStr">
        <is>
          <t>jeminise.com+custom-photo-quilt-bicycle-flowers-07e2c6fca1-07e2c6fca1</t>
        </is>
      </c>
      <c r="C7" s="4" t="inlineStr">
        <is>
          <t>https://jeminise.com/products/custom-photo-quilt-bicycle-flowers-07e2c6fca1-07e2c6fca1</t>
        </is>
      </c>
      <c r="D7" s="3" t="inlineStr">
        <is>
          <t>custom-photo-quilt-bicycle-flowers-07e2c6fca1-07e2c6fca1</t>
        </is>
      </c>
      <c r="E7" s="3" t="inlineStr">
        <is>
          <t>8834787442887</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7</v>
      </c>
      <c r="O7" s="3" t="n">
        <v>7</v>
      </c>
      <c r="P7" s="3" t="b">
        <v>1</v>
      </c>
      <c r="Q7" s="8" t="n">
        <v>1</v>
      </c>
      <c r="R7" s="3">
        <f>COUNTIFS('QA_Issues'!$B$2:$B$94,B7,'QA_Issues'!$D$2:$D$94,"CRITICAL")</f>
        <v/>
      </c>
      <c r="S7" s="3">
        <f>COUNTIFS('QA_Issues'!$B$2:$B$94,B7,'QA_Issues'!$D$2:$D$94,"MAJOR")</f>
        <v/>
      </c>
      <c r="T7" s="3">
        <f>COUNTIFS('QA_Issues'!$B$2:$B$94,B7,'QA_Issues'!$D$2:$D$94,"MINOR")</f>
        <v/>
      </c>
      <c r="U7" s="3">
        <f>COUNTIFS('QA_Issues'!$B$2:$B$94,B7,'QA_Issues'!$D$2:$D$94,"LIMITATION")</f>
        <v/>
      </c>
      <c r="V7" s="3" t="inlineStr">
        <is>
          <t>ISSUE-0046; ISSUE-0047; ISSUE-0048; ISSUE-0049; ISSUE-0050; ISSUE-0051; ISSUE-0052; ISSUE-0053</t>
        </is>
      </c>
      <c r="W7" s="3" t="inlineStr">
        <is>
          <t>evidence_batch_010_096; live_source_comparison; customizer_audit; serp_evidence</t>
        </is>
      </c>
    </row>
    <row r="8" ht="42" customHeight="1">
      <c r="A8" s="2" t="n">
        <v>97</v>
      </c>
      <c r="B8" s="2" t="inlineStr">
        <is>
          <t>jeminise.com+custom-purple-butterflies-text-blanket-machine-washable-d7b</t>
        </is>
      </c>
      <c r="C8" s="4" t="inlineStr">
        <is>
          <t>https://jeminise.com/products/custom-purple-butterflies-text-blanket-machine-washable-d7b</t>
        </is>
      </c>
      <c r="D8" s="2" t="inlineStr">
        <is>
          <t>custom-purple-butterflies-text-blanket-machine-washable-d7b</t>
        </is>
      </c>
      <c r="E8" s="2" t="inlineStr">
        <is>
          <t>8860137160903</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8</v>
      </c>
      <c r="O8" s="2" t="n">
        <v>8</v>
      </c>
      <c r="P8" s="2" t="b">
        <v>1</v>
      </c>
      <c r="Q8" s="6" t="n">
        <v>1</v>
      </c>
      <c r="R8" s="2">
        <f>COUNTIFS('QA_Issues'!$B$2:$B$94,B8,'QA_Issues'!$D$2:$D$94,"CRITICAL")</f>
        <v/>
      </c>
      <c r="S8" s="2">
        <f>COUNTIFS('QA_Issues'!$B$2:$B$94,B8,'QA_Issues'!$D$2:$D$94,"MAJOR")</f>
        <v/>
      </c>
      <c r="T8" s="2">
        <f>COUNTIFS('QA_Issues'!$B$2:$B$94,B8,'QA_Issues'!$D$2:$D$94,"MINOR")</f>
        <v/>
      </c>
      <c r="U8" s="2">
        <f>COUNTIFS('QA_Issues'!$B$2:$B$94,B8,'QA_Issues'!$D$2:$D$94,"LIMITATION")</f>
        <v/>
      </c>
      <c r="V8" s="2" t="inlineStr">
        <is>
          <t>ISSUE-0054; ISSUE-0055; ISSUE-0056; ISSUE-0057; ISSUE-0058; ISSUE-0059; ISSUE-0060; ISSUE-0061; ISSUE-0062; ISSUE-0063</t>
        </is>
      </c>
      <c r="W8" s="2" t="inlineStr">
        <is>
          <t>evidence_batch_010_097; live_source_comparison; customizer_audit; serp_evidence</t>
        </is>
      </c>
    </row>
    <row r="9" ht="42" customHeight="1">
      <c r="A9" s="3" t="n">
        <v>98</v>
      </c>
      <c r="B9" s="3" t="inlineStr">
        <is>
          <t>jeminise.com+custom-purple-butterfly-christian-blanket-machine-washable-d15</t>
        </is>
      </c>
      <c r="C9" s="4" t="inlineStr">
        <is>
          <t>https://jeminise.com/products/custom-purple-butterfly-christian-blanket-machine-washable-d15</t>
        </is>
      </c>
      <c r="D9" s="3" t="inlineStr">
        <is>
          <t>custom-purple-butterfly-christian-blanket-machine-washable-d15</t>
        </is>
      </c>
      <c r="E9" s="3" t="inlineStr">
        <is>
          <t>8860096954567</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8</v>
      </c>
      <c r="O9" s="3" t="n">
        <v>8</v>
      </c>
      <c r="P9" s="3" t="b">
        <v>1</v>
      </c>
      <c r="Q9" s="8" t="n">
        <v>1</v>
      </c>
      <c r="R9" s="3">
        <f>COUNTIFS('QA_Issues'!$B$2:$B$94,B9,'QA_Issues'!$D$2:$D$94,"CRITICAL")</f>
        <v/>
      </c>
      <c r="S9" s="3">
        <f>COUNTIFS('QA_Issues'!$B$2:$B$94,B9,'QA_Issues'!$D$2:$D$94,"MAJOR")</f>
        <v/>
      </c>
      <c r="T9" s="3">
        <f>COUNTIFS('QA_Issues'!$B$2:$B$94,B9,'QA_Issues'!$D$2:$D$94,"MINOR")</f>
        <v/>
      </c>
      <c r="U9" s="3">
        <f>COUNTIFS('QA_Issues'!$B$2:$B$94,B9,'QA_Issues'!$D$2:$D$94,"LIMITATION")</f>
        <v/>
      </c>
      <c r="V9" s="3" t="inlineStr">
        <is>
          <t>ISSUE-0064; ISSUE-0065; ISSUE-0066; ISSUE-0067; ISSUE-0068; ISSUE-0069; ISSUE-0070; ISSUE-0071; ISSUE-0072; ISSUE-0073</t>
        </is>
      </c>
      <c r="W9" s="3" t="inlineStr">
        <is>
          <t>evidence_batch_010_098; live_source_comparison; customizer_audit; serp_evidence</t>
        </is>
      </c>
    </row>
    <row r="10" ht="42" customHeight="1">
      <c r="A10" s="2" t="n">
        <v>99</v>
      </c>
      <c r="B10" s="2" t="inlineStr">
        <is>
          <t>jeminise.com+custom-purple-floral-christian-cross-blanket-machine-washable-d2</t>
        </is>
      </c>
      <c r="C10" s="4" t="inlineStr">
        <is>
          <t>https://jeminise.com/products/custom-purple-floral-christian-cross-blanket-machine-washable-d2</t>
        </is>
      </c>
      <c r="D10" s="2" t="inlineStr">
        <is>
          <t>custom-purple-floral-christian-cross-blanket-machine-washable-d2</t>
        </is>
      </c>
      <c r="E10" s="2" t="inlineStr">
        <is>
          <t>8860106883271</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8</v>
      </c>
      <c r="O10" s="2" t="n">
        <v>8</v>
      </c>
      <c r="P10" s="2" t="b">
        <v>1</v>
      </c>
      <c r="Q10" s="6" t="n">
        <v>1</v>
      </c>
      <c r="R10" s="2">
        <f>COUNTIFS('QA_Issues'!$B$2:$B$94,B10,'QA_Issues'!$D$2:$D$94,"CRITICAL")</f>
        <v/>
      </c>
      <c r="S10" s="2">
        <f>COUNTIFS('QA_Issues'!$B$2:$B$94,B10,'QA_Issues'!$D$2:$D$94,"MAJOR")</f>
        <v/>
      </c>
      <c r="T10" s="2">
        <f>COUNTIFS('QA_Issues'!$B$2:$B$94,B10,'QA_Issues'!$D$2:$D$94,"MINOR")</f>
        <v/>
      </c>
      <c r="U10" s="2">
        <f>COUNTIFS('QA_Issues'!$B$2:$B$94,B10,'QA_Issues'!$D$2:$D$94,"LIMITATION")</f>
        <v/>
      </c>
      <c r="V10" s="2" t="inlineStr">
        <is>
          <t>ISSUE-0074; ISSUE-0075; ISSUE-0076; ISSUE-0077; ISSUE-0078; ISSUE-0079; ISSUE-0080; ISSUE-0081; ISSUE-0082; ISSUE-0083</t>
        </is>
      </c>
      <c r="W10" s="2" t="inlineStr">
        <is>
          <t>evidence_batch_010_099; live_source_comparison; customizer_audit; serp_evidence</t>
        </is>
      </c>
    </row>
    <row r="11" ht="42" customHeight="1">
      <c r="A11" s="3" t="n">
        <v>100</v>
      </c>
      <c r="B11" s="3" t="inlineStr">
        <is>
          <t>jeminise.com+custom-purple-floral-cross-with-butterflies-blanket-machi-design-14</t>
        </is>
      </c>
      <c r="C11" s="4" t="inlineStr">
        <is>
          <t>https://jeminise.com/products/custom-purple-floral-cross-with-butterflies-blanket-machi-design-14</t>
        </is>
      </c>
      <c r="D11" s="3" t="inlineStr">
        <is>
          <t>custom-purple-floral-cross-with-butterflies-blanket-machi-design-14</t>
        </is>
      </c>
      <c r="E11" s="3" t="inlineStr">
        <is>
          <t>8860127658183</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8</v>
      </c>
      <c r="O11" s="3" t="n">
        <v>8</v>
      </c>
      <c r="P11" s="3" t="b">
        <v>1</v>
      </c>
      <c r="Q11" s="8" t="n">
        <v>1</v>
      </c>
      <c r="R11" s="3">
        <f>COUNTIFS('QA_Issues'!$B$2:$B$94,B11,'QA_Issues'!$D$2:$D$94,"CRITICAL")</f>
        <v/>
      </c>
      <c r="S11" s="3">
        <f>COUNTIFS('QA_Issues'!$B$2:$B$94,B11,'QA_Issues'!$D$2:$D$94,"MAJOR")</f>
        <v/>
      </c>
      <c r="T11" s="3">
        <f>COUNTIFS('QA_Issues'!$B$2:$B$94,B11,'QA_Issues'!$D$2:$D$94,"MINOR")</f>
        <v/>
      </c>
      <c r="U11" s="3">
        <f>COUNTIFS('QA_Issues'!$B$2:$B$94,B11,'QA_Issues'!$D$2:$D$94,"LIMITATION")</f>
        <v/>
      </c>
      <c r="V11" s="3" t="inlineStr">
        <is>
          <t>ISSUE-0084; ISSUE-0085; ISSUE-0086; ISSUE-0087; ISSUE-0088; ISSUE-0089; ISSUE-0090; ISSUE-0091; ISSUE-0092; ISSUE-0093</t>
        </is>
      </c>
      <c r="W11" s="3" t="inlineStr">
        <is>
          <t>evidence_batch_010_100;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jeminise.com+custom-native-american-inspired-wolf-head-inside-circular-frame-comforter-d351b4bfe1-d351b4bfe1</t>
        </is>
      </c>
      <c r="B2" s="2" t="inlineStr">
        <is>
          <t>P1</t>
        </is>
      </c>
      <c r="C2" s="2" t="n">
        <v>15</v>
      </c>
      <c r="D2" s="2" t="inlineStr">
        <is>
          <t>FULL</t>
        </is>
      </c>
      <c r="E2" s="5">
        <f>IF(B2="I1",AVERAGEIF('QA_Images'!$A$2:$A$74,A2,'QA_Images'!$T$2:$T$74)/100,IF(D2="FULL",1,IF(D2="PARTIAL",0.5,IF(D2="FAIL",0,""))))</f>
        <v/>
      </c>
      <c r="F2" s="5">
        <f>IF(E2="",0,C2*E2)</f>
        <v/>
      </c>
      <c r="G2" s="5">
        <f>IF(B2="I1",20*AVERAGEIF('QA_Images'!$A$2:$A$74,A2,'QA_Images'!$U$2:$U$74)/100,IF(D2="NOT_CHECKED",0,C2))</f>
        <v/>
      </c>
      <c r="H2" s="2" t="inlineStr">
        <is>
          <t>Product identity, handle, product ID, URL and canonical match source/live evidence. Product key/handle/product ID/canonical checked against frozen workbook and live product evidence.</t>
        </is>
      </c>
      <c r="I2" s="2" t="inlineStr">
        <is>
          <t>evidence_batch_010_091</t>
        </is>
      </c>
      <c r="J2" s="2" t="inlineStr">
        <is>
          <t>ISSUE-0001; ISSUE-0002; ISSUE-0003; ISSUE-0004</t>
        </is>
      </c>
    </row>
    <row r="3" ht="42" customHeight="1">
      <c r="A3" s="3" t="inlineStr">
        <is>
          <t>jeminise.com+custom-native-american-inspired-wolf-head-inside-circular-frame-comforter-d351b4bfe1-d351b4bfe1</t>
        </is>
      </c>
      <c r="B3" s="3" t="inlineStr">
        <is>
          <t>P2</t>
        </is>
      </c>
      <c r="C3" s="3" t="n">
        <v>10</v>
      </c>
      <c r="D3" s="3" t="inlineStr">
        <is>
          <t>PARTIAL</t>
        </is>
      </c>
      <c r="E3" s="7">
        <f>IF(B3="I1",AVERAGEIF('QA_Images'!$A$2:$A$74,A3,'QA_Images'!$T$2:$T$74)/100,IF(D3="FULL",1,IF(D3="PARTIAL",0.5,IF(D3="FAIL",0,""))))</f>
        <v/>
      </c>
      <c r="F3" s="7">
        <f>IF(E3="",0,C3*E3)</f>
        <v/>
      </c>
      <c r="G3" s="7">
        <f>IF(B3="I1",20*AVERAGEIF('QA_Images'!$A$2:$A$74,A3,'QA_Images'!$U$2:$U$74)/100,IF(D3="NOT_CHECKED",0,C3))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evidence_batch_010_091</t>
        </is>
      </c>
      <c r="J3" s="3" t="inlineStr">
        <is>
          <t>ISSUE-0001; ISSUE-0002; ISSUE-0003; ISSUE-0004</t>
        </is>
      </c>
    </row>
    <row r="4" ht="42" customHeight="1">
      <c r="A4" s="2" t="inlineStr">
        <is>
          <t>jeminise.com+custom-native-american-inspired-wolf-head-inside-circular-frame-comforter-d351b4bfe1-d351b4bfe1</t>
        </is>
      </c>
      <c r="B4" s="2" t="inlineStr">
        <is>
          <t>K1</t>
        </is>
      </c>
      <c r="C4" s="2" t="n">
        <v>10</v>
      </c>
      <c r="D4" s="2" t="inlineStr">
        <is>
          <t>PARTIAL</t>
        </is>
      </c>
      <c r="E4" s="5">
        <f>IF(B4="I1",AVERAGEIF('QA_Images'!$A$2:$A$74,A4,'QA_Images'!$T$2:$T$74)/100,IF(D4="FULL",1,IF(D4="PARTIAL",0.5,IF(D4="FAIL",0,""))))</f>
        <v/>
      </c>
      <c r="F4" s="5">
        <f>IF(E4="",0,C4*E4)</f>
        <v/>
      </c>
      <c r="G4" s="5">
        <f>IF(B4="I1",20*AVERAGEIF('QA_Images'!$A$2:$A$74,A4,'QA_Images'!$U$2:$U$74)/100,IF(D4="NOT_CHECKED",0,C4))</f>
        <v/>
      </c>
      <c r="H4" s="2" t="inlineStr">
        <is>
          <t>Primary keyword aligns with product-level US purchase intent. Primary keyword rechecked against US product-level SERP comparables.</t>
        </is>
      </c>
      <c r="I4" s="2" t="inlineStr">
        <is>
          <t>evidence_batch_010_091</t>
        </is>
      </c>
      <c r="J4" s="2" t="inlineStr">
        <is>
          <t>ISSUE-0001; ISSUE-0002; ISSUE-0003; ISSUE-0004</t>
        </is>
      </c>
    </row>
    <row r="5" ht="42" customHeight="1">
      <c r="A5" s="3" t="inlineStr">
        <is>
          <t>jeminise.com+custom-native-american-inspired-wolf-head-inside-circular-frame-comforter-d351b4bfe1-d351b4bfe1</t>
        </is>
      </c>
      <c r="B5" s="3" t="inlineStr">
        <is>
          <t>K2</t>
        </is>
      </c>
      <c r="C5" s="3" t="n">
        <v>5</v>
      </c>
      <c r="D5" s="3" t="inlineStr">
        <is>
          <t>PARTIAL</t>
        </is>
      </c>
      <c r="E5" s="7">
        <f>IF(B5="I1",AVERAGEIF('QA_Images'!$A$2:$A$74,A5,'QA_Images'!$T$2:$T$74)/100,IF(D5="FULL",1,IF(D5="PARTIAL",0.5,IF(D5="FAIL",0,""))))</f>
        <v/>
      </c>
      <c r="F5" s="7">
        <f>IF(E5="",0,C5*E5)</f>
        <v/>
      </c>
      <c r="G5" s="7">
        <f>IF(B5="I1",20*AVERAGEIF('QA_Images'!$A$2:$A$74,A5,'QA_Images'!$U$2:$U$74)/100,IF(D5="NOT_CHECKED",0,C5))</f>
        <v/>
      </c>
      <c r="H5" s="3" t="inlineStr">
        <is>
          <t>Intent/cannibalization check distinguishes nearby products. Nearby product cluster has overlap risk, so intent distinction remains only partial.</t>
        </is>
      </c>
      <c r="I5" s="3" t="inlineStr">
        <is>
          <t>evidence_batch_010_091</t>
        </is>
      </c>
      <c r="J5" s="3" t="inlineStr">
        <is>
          <t>ISSUE-0001; ISSUE-0002; ISSUE-0003; ISSUE-0004</t>
        </is>
      </c>
    </row>
    <row r="6" ht="42" customHeight="1">
      <c r="A6" s="2" t="inlineStr">
        <is>
          <t>jeminise.com+custom-native-american-inspired-wolf-head-inside-circular-frame-comforter-d351b4bfe1-d351b4bfe1</t>
        </is>
      </c>
      <c r="B6" s="2" t="inlineStr">
        <is>
          <t>K3</t>
        </is>
      </c>
      <c r="C6" s="2" t="n">
        <v>5</v>
      </c>
      <c r="D6" s="2" t="inlineStr">
        <is>
          <t>PARTIAL</t>
        </is>
      </c>
      <c r="E6" s="5">
        <f>IF(B6="I1",AVERAGEIF('QA_Images'!$A$2:$A$74,A6,'QA_Images'!$T$2:$T$74)/100,IF(D6="FULL",1,IF(D6="PARTIAL",0.5,IF(D6="FAIL",0,""))))</f>
        <v/>
      </c>
      <c r="F6" s="5">
        <f>IF(E6="",0,C6*E6)</f>
        <v/>
      </c>
      <c r="G6" s="5">
        <f>IF(B6="I1",20*AVERAGEIF('QA_Images'!$A$2:$A$74,A6,'QA_Images'!$U$2:$U$74)/100,IF(D6="NOT_CHECKED",0,C6))</f>
        <v/>
      </c>
      <c r="H6" s="2" t="inlineStr">
        <is>
          <t>Keyword evidence is supported by SERP comparables without unsupported volume claims. Evidence is public SERP only; no Search Console, keyword volume or customer-search corpus provided.</t>
        </is>
      </c>
      <c r="I6" s="2" t="inlineStr">
        <is>
          <t>evidence_batch_010_091</t>
        </is>
      </c>
      <c r="J6" s="2" t="inlineStr">
        <is>
          <t>ISSUE-0001; ISSUE-0002; ISSUE-0003; ISSUE-0004</t>
        </is>
      </c>
    </row>
    <row r="7" ht="42" customHeight="1">
      <c r="A7" s="3" t="inlineStr">
        <is>
          <t>jeminise.com+custom-native-american-inspired-wolf-head-inside-circular-frame-comforter-d351b4bfe1-d351b4bfe1</t>
        </is>
      </c>
      <c r="B7" s="3" t="inlineStr">
        <is>
          <t>T1</t>
        </is>
      </c>
      <c r="C7" s="3" t="n">
        <v>10</v>
      </c>
      <c r="D7" s="3" t="inlineStr">
        <is>
          <t>FULL</t>
        </is>
      </c>
      <c r="E7" s="7">
        <f>IF(B7="I1",AVERAGEIF('QA_Images'!$A$2:$A$74,A7,'QA_Images'!$T$2:$T$74)/100,IF(D7="FULL",1,IF(D7="PARTIAL",0.5,IF(D7="FAIL",0,""))))</f>
        <v/>
      </c>
      <c r="F7" s="7">
        <f>IF(E7="",0,C7*E7)</f>
        <v/>
      </c>
      <c r="G7" s="7">
        <f>IF(B7="I1",20*AVERAGEIF('QA_Images'!$A$2:$A$74,A7,'QA_Images'!$U$2:$U$74)/100,IF(D7="NOT_CHECKED",0,C7))</f>
        <v/>
      </c>
      <c r="H7" s="3" t="inlineStr">
        <is>
          <t>SEO title and H1 are relevant, specific and grounded in visible/source facts. Title/H1 are product-specific and tied to visible motif/product type.</t>
        </is>
      </c>
      <c r="I7" s="3" t="inlineStr">
        <is>
          <t>evidence_batch_010_091</t>
        </is>
      </c>
      <c r="J7" s="3" t="inlineStr">
        <is>
          <t>ISSUE-0001; ISSUE-0002; ISSUE-0003; ISSUE-0004</t>
        </is>
      </c>
    </row>
    <row r="8" ht="42" customHeight="1">
      <c r="A8" s="2" t="inlineStr">
        <is>
          <t>jeminise.com+custom-native-american-inspired-wolf-head-inside-circular-frame-comforter-d351b4bfe1-d351b4bfe1</t>
        </is>
      </c>
      <c r="B8" s="2" t="inlineStr">
        <is>
          <t>T2</t>
        </is>
      </c>
      <c r="C8" s="2" t="n">
        <v>5</v>
      </c>
      <c r="D8" s="2" t="inlineStr">
        <is>
          <t>PARTIAL</t>
        </is>
      </c>
      <c r="E8" s="5">
        <f>IF(B8="I1",AVERAGEIF('QA_Images'!$A$2:$A$74,A8,'QA_Images'!$T$2:$T$74)/100,IF(D8="FULL",1,IF(D8="PARTIAL",0.5,IF(D8="FAIL",0,""))))</f>
        <v/>
      </c>
      <c r="F8" s="5">
        <f>IF(E8="",0,C8*E8)</f>
        <v/>
      </c>
      <c r="G8" s="5">
        <f>IF(B8="I1",20*AVERAGEIF('QA_Images'!$A$2:$A$74,A8,'QA_Images'!$U$2:$U$74)/100,IF(D8="NOT_CHECKED",0,C8))</f>
        <v/>
      </c>
      <c r="H8" s="2" t="inlineStr">
        <is>
          <t>Meta description is concise, publish-ready and avoids unsupported claims. Meta description checked for length, specificity and supportable claims.</t>
        </is>
      </c>
      <c r="I8" s="2" t="inlineStr">
        <is>
          <t>evidence_batch_010_091</t>
        </is>
      </c>
      <c r="J8" s="2" t="inlineStr">
        <is>
          <t>ISSUE-0001; ISSUE-0002; ISSUE-0003; ISSUE-0004</t>
        </is>
      </c>
    </row>
    <row r="9" ht="42" customHeight="1">
      <c r="A9" s="3" t="inlineStr">
        <is>
          <t>jeminise.com+custom-native-american-inspired-wolf-head-inside-circular-frame-comforter-d351b4bfe1-d351b4bfe1</t>
        </is>
      </c>
      <c r="B9" s="3" t="inlineStr">
        <is>
          <t>D1</t>
        </is>
      </c>
      <c r="C9" s="3" t="n">
        <v>10</v>
      </c>
      <c r="D9" s="3" t="inlineStr">
        <is>
          <t>FAIL</t>
        </is>
      </c>
      <c r="E9" s="7">
        <f>IF(B9="I1",AVERAGEIF('QA_Images'!$A$2:$A$74,A9,'QA_Images'!$T$2:$T$74)/100,IF(D9="FULL",1,IF(D9="PARTIAL",0.5,IF(D9="FAIL",0,""))))</f>
        <v/>
      </c>
      <c r="F9" s="7">
        <f>IF(E9="",0,C9*E9)</f>
        <v/>
      </c>
      <c r="G9" s="7">
        <f>IF(B9="I1",20*AVERAGEIF('QA_Images'!$A$2:$A$74,A9,'QA_Images'!$U$2:$U$74)/100,IF(D9="NOT_CHECKED",0,C9))</f>
        <v/>
      </c>
      <c r="H9" s="3" t="inlineStr">
        <is>
          <t>Description HTML is publish-ready and free of internal draft/QA instructions. Description HTML still contains internal QA/import language.</t>
        </is>
      </c>
      <c r="I9" s="3" t="inlineStr">
        <is>
          <t>evidence_batch_010_091</t>
        </is>
      </c>
      <c r="J9" s="3" t="inlineStr">
        <is>
          <t>ISSUE-0001; ISSUE-0002; ISSUE-0003; ISSUE-0004</t>
        </is>
      </c>
    </row>
    <row r="10" ht="42" customHeight="1">
      <c r="A10" s="2" t="inlineStr">
        <is>
          <t>jeminise.com+custom-native-american-inspired-wolf-head-inside-circular-frame-comforter-d351b4bfe1-d351b4bfe1</t>
        </is>
      </c>
      <c r="B10" s="2" t="inlineStr">
        <is>
          <t>D2</t>
        </is>
      </c>
      <c r="C10" s="2" t="n">
        <v>5</v>
      </c>
      <c r="D10" s="2" t="inlineStr">
        <is>
          <t>PARTIAL</t>
        </is>
      </c>
      <c r="E10" s="5">
        <f>IF(B10="I1",AVERAGEIF('QA_Images'!$A$2:$A$74,A10,'QA_Images'!$T$2:$T$74)/100,IF(D10="FULL",1,IF(D10="PARTIAL",0.5,IF(D10="FAIL",0,""))))</f>
        <v/>
      </c>
      <c r="F10" s="5">
        <f>IF(E10="",0,C10*E10)</f>
        <v/>
      </c>
      <c r="G10" s="5">
        <f>IF(B10="I1",20*AVERAGEIF('QA_Images'!$A$2:$A$74,A10,'QA_Images'!$U$2:$U$74)/100,IF(D10="NOT_CHECKED",0,C10))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evidence_batch_010_091</t>
        </is>
      </c>
      <c r="J10" s="2" t="inlineStr">
        <is>
          <t>ISSUE-0001; ISSUE-0002; ISSUE-0003; ISSUE-0004</t>
        </is>
      </c>
    </row>
    <row r="11" ht="42" customHeight="1">
      <c r="A11" s="3" t="inlineStr">
        <is>
          <t>jeminise.com+custom-native-american-inspired-wolf-head-inside-circular-frame-comforter-d351b4bfe1-d351b4bfe1</t>
        </is>
      </c>
      <c r="B11" s="3" t="inlineStr">
        <is>
          <t>I1</t>
        </is>
      </c>
      <c r="C11" s="3" t="n">
        <v>20</v>
      </c>
      <c r="D11" s="3" t="inlineStr">
        <is>
          <t>FULL</t>
        </is>
      </c>
      <c r="E11" s="7">
        <f>IF(B11="I1",AVERAGEIF('QA_Images'!$A$2:$A$74,A11,'QA_Images'!$T$2:$T$74)/100,IF(D11="FULL",1,IF(D11="PARTIAL",0.5,IF(D11="FAIL",0,""))))</f>
        <v/>
      </c>
      <c r="F11" s="7">
        <f>IF(E11="",0,C11*E11)</f>
        <v/>
      </c>
      <c r="G11" s="7">
        <f>IF(B11="I1",20*AVERAGEIF('QA_Images'!$A$2:$A$74,A11,'QA_Images'!$U$2:$U$74)/100,IF(D11="NOT_CHECKED",0,C11))</f>
        <v/>
      </c>
      <c r="H11" s="3" t="inlineStr">
        <is>
          <t>Image coverage, image observations and alt text quality, derived from QA_Images. Derived from average image QA score; see QA_Images.</t>
        </is>
      </c>
      <c r="I11" s="3" t="inlineStr">
        <is>
          <t>evidence_batch_010_091</t>
        </is>
      </c>
      <c r="J11" s="3" t="inlineStr">
        <is>
          <t>ISSUE-0001; ISSUE-0002; ISSUE-0003; ISSUE-0004</t>
        </is>
      </c>
    </row>
    <row r="12" ht="42" customHeight="1">
      <c r="A12" s="2" t="inlineStr">
        <is>
          <t>jeminise.com+custom-native-american-inspired-wolf-head-inside-circular-frame-comforter-d351b4bfe1-d351b4bfe1</t>
        </is>
      </c>
      <c r="B12" s="2" t="inlineStr">
        <is>
          <t>E1</t>
        </is>
      </c>
      <c r="C12" s="2" t="n">
        <v>5</v>
      </c>
      <c r="D12" s="2" t="inlineStr">
        <is>
          <t>PARTIAL</t>
        </is>
      </c>
      <c r="E12" s="5">
        <f>IF(B12="I1",AVERAGEIF('QA_Images'!$A$2:$A$74,A12,'QA_Images'!$T$2:$T$74)/100,IF(D12="FULL",1,IF(D12="PARTIAL",0.5,IF(D12="FAIL",0,""))))</f>
        <v/>
      </c>
      <c r="F12" s="5">
        <f>IF(E12="",0,C12*E12)</f>
        <v/>
      </c>
      <c r="G12" s="5">
        <f>IF(B12="I1",20*AVERAGEIF('QA_Images'!$A$2:$A$74,A12,'QA_Images'!$U$2:$U$74)/100,IF(D12="NOT_CHECKED",0,C12))</f>
        <v/>
      </c>
      <c r="H12" s="2" t="inlineStr">
        <is>
          <t>Evidence chain is traceable and limitations are explicitly separated from failures. Evidence chain is traceable, with admin-export limitation explicitly separated.</t>
        </is>
      </c>
      <c r="I12" s="2" t="inlineStr">
        <is>
          <t>evidence_batch_010_091</t>
        </is>
      </c>
      <c r="J12" s="2" t="inlineStr">
        <is>
          <t>ISSUE-0001; ISSUE-0002; ISSUE-0003; ISSUE-0004</t>
        </is>
      </c>
    </row>
    <row r="13" ht="42" customHeight="1">
      <c r="A13" s="3" t="inlineStr">
        <is>
          <t>jeminise.com+custom-neon-green-soccer-player-artwork-comforter-set-boys-room-decor</t>
        </is>
      </c>
      <c r="B13" s="3" t="inlineStr">
        <is>
          <t>P1</t>
        </is>
      </c>
      <c r="C13" s="3" t="n">
        <v>15</v>
      </c>
      <c r="D13" s="3" t="inlineStr">
        <is>
          <t>FULL</t>
        </is>
      </c>
      <c r="E13" s="7">
        <f>IF(B13="I1",AVERAGEIF('QA_Images'!$A$2:$A$74,A13,'QA_Images'!$T$2:$T$74)/100,IF(D13="FULL",1,IF(D13="PARTIAL",0.5,IF(D13="FAIL",0,""))))</f>
        <v/>
      </c>
      <c r="F13" s="7">
        <f>IF(E13="",0,C13*E13)</f>
        <v/>
      </c>
      <c r="G13" s="7">
        <f>IF(B13="I1",20*AVERAGEIF('QA_Images'!$A$2:$A$74,A13,'QA_Images'!$U$2:$U$74)/100,IF(D13="NOT_CHECKED",0,C13))</f>
        <v/>
      </c>
      <c r="H13" s="3" t="inlineStr">
        <is>
          <t>Product identity, handle, product ID, URL and canonical match source/live evidence. Product key/handle/product ID/canonical checked against frozen workbook and live product evidence.</t>
        </is>
      </c>
      <c r="I13" s="3" t="inlineStr">
        <is>
          <t>evidence_batch_010_092</t>
        </is>
      </c>
      <c r="J13" s="3" t="inlineStr">
        <is>
          <t>ISSUE-0008; ISSUE-0009; ISSUE-0010; ISSUE-0011; ISSUE-0012</t>
        </is>
      </c>
    </row>
    <row r="14" ht="42" customHeight="1">
      <c r="A14" s="2" t="inlineStr">
        <is>
          <t>jeminise.com+custom-neon-green-soccer-player-artwork-comforter-set-boys-room-decor</t>
        </is>
      </c>
      <c r="B14" s="2" t="inlineStr">
        <is>
          <t>P2</t>
        </is>
      </c>
      <c r="C14" s="2" t="n">
        <v>10</v>
      </c>
      <c r="D14" s="2" t="inlineStr">
        <is>
          <t>FAIL</t>
        </is>
      </c>
      <c r="E14" s="5">
        <f>IF(B14="I1",AVERAGEIF('QA_Images'!$A$2:$A$74,A14,'QA_Images'!$T$2:$T$74)/100,IF(D14="FULL",1,IF(D14="PARTIAL",0.5,IF(D14="FAIL",0,""))))</f>
        <v/>
      </c>
      <c r="F14" s="5">
        <f>IF(E14="",0,C14*E14)</f>
        <v/>
      </c>
      <c r="G14" s="5">
        <f>IF(B14="I1",20*AVERAGEIF('QA_Images'!$A$2:$A$74,A14,'QA_Images'!$U$2:$U$74)/100,IF(D14="NOT_CHECKED",0,C14))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evidence_batch_010_092</t>
        </is>
      </c>
      <c r="J14" s="2" t="inlineStr">
        <is>
          <t>ISSUE-0008; ISSUE-0009; ISSUE-0010; ISSUE-0011; ISSUE-0012</t>
        </is>
      </c>
    </row>
    <row r="15" ht="42" customHeight="1">
      <c r="A15" s="3" t="inlineStr">
        <is>
          <t>jeminise.com+custom-neon-green-soccer-player-artwork-comforter-set-boys-room-decor</t>
        </is>
      </c>
      <c r="B15" s="3" t="inlineStr">
        <is>
          <t>K1</t>
        </is>
      </c>
      <c r="C15" s="3" t="n">
        <v>10</v>
      </c>
      <c r="D15" s="3" t="inlineStr">
        <is>
          <t>PARTIAL</t>
        </is>
      </c>
      <c r="E15" s="7">
        <f>IF(B15="I1",AVERAGEIF('QA_Images'!$A$2:$A$74,A15,'QA_Images'!$T$2:$T$74)/100,IF(D15="FULL",1,IF(D15="PARTIAL",0.5,IF(D15="FAIL",0,""))))</f>
        <v/>
      </c>
      <c r="F15" s="7">
        <f>IF(E15="",0,C15*E15)</f>
        <v/>
      </c>
      <c r="G15" s="7">
        <f>IF(B15="I1",20*AVERAGEIF('QA_Images'!$A$2:$A$74,A15,'QA_Images'!$U$2:$U$74)/100,IF(D15="NOT_CHECKED",0,C15))</f>
        <v/>
      </c>
      <c r="H15" s="3" t="inlineStr">
        <is>
          <t>Primary keyword aligns with product-level US purchase intent. Primary keyword rechecked against US product-level SERP comparables.</t>
        </is>
      </c>
      <c r="I15" s="3" t="inlineStr">
        <is>
          <t>evidence_batch_010_092</t>
        </is>
      </c>
      <c r="J15" s="3" t="inlineStr">
        <is>
          <t>ISSUE-0008; ISSUE-0009; ISSUE-0010; ISSUE-0011; ISSUE-0012</t>
        </is>
      </c>
    </row>
    <row r="16" ht="42" customHeight="1">
      <c r="A16" s="2" t="inlineStr">
        <is>
          <t>jeminise.com+custom-neon-green-soccer-player-artwork-comforter-set-boys-room-decor</t>
        </is>
      </c>
      <c r="B16" s="2" t="inlineStr">
        <is>
          <t>K2</t>
        </is>
      </c>
      <c r="C16" s="2" t="n">
        <v>5</v>
      </c>
      <c r="D16" s="2" t="inlineStr">
        <is>
          <t>PARTIAL</t>
        </is>
      </c>
      <c r="E16" s="5">
        <f>IF(B16="I1",AVERAGEIF('QA_Images'!$A$2:$A$74,A16,'QA_Images'!$T$2:$T$74)/100,IF(D16="FULL",1,IF(D16="PARTIAL",0.5,IF(D16="FAIL",0,""))))</f>
        <v/>
      </c>
      <c r="F16" s="5">
        <f>IF(E16="",0,C16*E16)</f>
        <v/>
      </c>
      <c r="G16" s="5">
        <f>IF(B16="I1",20*AVERAGEIF('QA_Images'!$A$2:$A$74,A16,'QA_Images'!$U$2:$U$74)/100,IF(D16="NOT_CHECKED",0,C16))</f>
        <v/>
      </c>
      <c r="H16" s="2" t="inlineStr">
        <is>
          <t>Intent/cannibalization check distinguishes nearby products. Nearby product cluster has overlap risk, so intent distinction remains only partial.</t>
        </is>
      </c>
      <c r="I16" s="2" t="inlineStr">
        <is>
          <t>evidence_batch_010_092</t>
        </is>
      </c>
      <c r="J16" s="2" t="inlineStr">
        <is>
          <t>ISSUE-0008; ISSUE-0009; ISSUE-0010; ISSUE-0011; ISSUE-0012</t>
        </is>
      </c>
    </row>
    <row r="17" ht="42" customHeight="1">
      <c r="A17" s="3" t="inlineStr">
        <is>
          <t>jeminise.com+custom-neon-green-soccer-player-artwork-comforter-set-boys-room-decor</t>
        </is>
      </c>
      <c r="B17" s="3" t="inlineStr">
        <is>
          <t>K3</t>
        </is>
      </c>
      <c r="C17" s="3" t="n">
        <v>5</v>
      </c>
      <c r="D17" s="3" t="inlineStr">
        <is>
          <t>PARTIAL</t>
        </is>
      </c>
      <c r="E17" s="7">
        <f>IF(B17="I1",AVERAGEIF('QA_Images'!$A$2:$A$74,A17,'QA_Images'!$T$2:$T$74)/100,IF(D17="FULL",1,IF(D17="PARTIAL",0.5,IF(D17="FAIL",0,""))))</f>
        <v/>
      </c>
      <c r="F17" s="7">
        <f>IF(E17="",0,C17*E17)</f>
        <v/>
      </c>
      <c r="G17" s="7">
        <f>IF(B17="I1",20*AVERAGEIF('QA_Images'!$A$2:$A$74,A17,'QA_Images'!$U$2:$U$74)/100,IF(D17="NOT_CHECKED",0,C17))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evidence_batch_010_092</t>
        </is>
      </c>
      <c r="J17" s="3" t="inlineStr">
        <is>
          <t>ISSUE-0008; ISSUE-0009; ISSUE-0010; ISSUE-0011; ISSUE-0012</t>
        </is>
      </c>
    </row>
    <row r="18" ht="42" customHeight="1">
      <c r="A18" s="2" t="inlineStr">
        <is>
          <t>jeminise.com+custom-neon-green-soccer-player-artwork-comforter-set-boys-room-decor</t>
        </is>
      </c>
      <c r="B18" s="2" t="inlineStr">
        <is>
          <t>T1</t>
        </is>
      </c>
      <c r="C18" s="2" t="n">
        <v>10</v>
      </c>
      <c r="D18" s="2" t="inlineStr">
        <is>
          <t>FULL</t>
        </is>
      </c>
      <c r="E18" s="5">
        <f>IF(B18="I1",AVERAGEIF('QA_Images'!$A$2:$A$74,A18,'QA_Images'!$T$2:$T$74)/100,IF(D18="FULL",1,IF(D18="PARTIAL",0.5,IF(D18="FAIL",0,""))))</f>
        <v/>
      </c>
      <c r="F18" s="5">
        <f>IF(E18="",0,C18*E18)</f>
        <v/>
      </c>
      <c r="G18" s="5">
        <f>IF(B18="I1",20*AVERAGEIF('QA_Images'!$A$2:$A$74,A18,'QA_Images'!$U$2:$U$74)/100,IF(D18="NOT_CHECKED",0,C18))</f>
        <v/>
      </c>
      <c r="H18" s="2" t="inlineStr">
        <is>
          <t>SEO title and H1 are relevant, specific and grounded in visible/source facts. Title/H1 are product-specific and tied to visible motif/product type.</t>
        </is>
      </c>
      <c r="I18" s="2" t="inlineStr">
        <is>
          <t>evidence_batch_010_092</t>
        </is>
      </c>
      <c r="J18" s="2" t="inlineStr">
        <is>
          <t>ISSUE-0008; ISSUE-0009; ISSUE-0010; ISSUE-0011; ISSUE-0012</t>
        </is>
      </c>
    </row>
    <row r="19" ht="42" customHeight="1">
      <c r="A19" s="3" t="inlineStr">
        <is>
          <t>jeminise.com+custom-neon-green-soccer-player-artwork-comforter-set-boys-room-decor</t>
        </is>
      </c>
      <c r="B19" s="3" t="inlineStr">
        <is>
          <t>T2</t>
        </is>
      </c>
      <c r="C19" s="3" t="n">
        <v>5</v>
      </c>
      <c r="D19" s="3" t="inlineStr">
        <is>
          <t>PARTIAL</t>
        </is>
      </c>
      <c r="E19" s="7">
        <f>IF(B19="I1",AVERAGEIF('QA_Images'!$A$2:$A$74,A19,'QA_Images'!$T$2:$T$74)/100,IF(D19="FULL",1,IF(D19="PARTIAL",0.5,IF(D19="FAIL",0,""))))</f>
        <v/>
      </c>
      <c r="F19" s="7">
        <f>IF(E19="",0,C19*E19)</f>
        <v/>
      </c>
      <c r="G19" s="7">
        <f>IF(B19="I1",20*AVERAGEIF('QA_Images'!$A$2:$A$74,A19,'QA_Images'!$U$2:$U$74)/100,IF(D19="NOT_CHECKED",0,C19))</f>
        <v/>
      </c>
      <c r="H19" s="3" t="inlineStr">
        <is>
          <t>Meta description is concise, publish-ready and avoids unsupported claims. Meta description checked for length, specificity and supportable claims.</t>
        </is>
      </c>
      <c r="I19" s="3" t="inlineStr">
        <is>
          <t>evidence_batch_010_092</t>
        </is>
      </c>
      <c r="J19" s="3" t="inlineStr">
        <is>
          <t>ISSUE-0008; ISSUE-0009; ISSUE-0010; ISSUE-0011; ISSUE-0012</t>
        </is>
      </c>
    </row>
    <row r="20" ht="42" customHeight="1">
      <c r="A20" s="2" t="inlineStr">
        <is>
          <t>jeminise.com+custom-neon-green-soccer-player-artwork-comforter-set-boys-room-decor</t>
        </is>
      </c>
      <c r="B20" s="2" t="inlineStr">
        <is>
          <t>D1</t>
        </is>
      </c>
      <c r="C20" s="2" t="n">
        <v>10</v>
      </c>
      <c r="D20" s="2" t="inlineStr">
        <is>
          <t>FAIL</t>
        </is>
      </c>
      <c r="E20" s="5">
        <f>IF(B20="I1",AVERAGEIF('QA_Images'!$A$2:$A$74,A20,'QA_Images'!$T$2:$T$74)/100,IF(D20="FULL",1,IF(D20="PARTIAL",0.5,IF(D20="FAIL",0,""))))</f>
        <v/>
      </c>
      <c r="F20" s="5">
        <f>IF(E20="",0,C20*E20)</f>
        <v/>
      </c>
      <c r="G20" s="5">
        <f>IF(B20="I1",20*AVERAGEIF('QA_Images'!$A$2:$A$74,A20,'QA_Images'!$U$2:$U$74)/100,IF(D20="NOT_CHECKED",0,C20))</f>
        <v/>
      </c>
      <c r="H20" s="2" t="inlineStr">
        <is>
          <t>Description HTML is publish-ready and free of internal draft/QA instructions. Description HTML still contains internal QA/import language.</t>
        </is>
      </c>
      <c r="I20" s="2" t="inlineStr">
        <is>
          <t>evidence_batch_010_092</t>
        </is>
      </c>
      <c r="J20" s="2" t="inlineStr">
        <is>
          <t>ISSUE-0008; ISSUE-0009; ISSUE-0010; ISSUE-0011; ISSUE-0012</t>
        </is>
      </c>
    </row>
    <row r="21" ht="42" customHeight="1">
      <c r="A21" s="3" t="inlineStr">
        <is>
          <t>jeminise.com+custom-neon-green-soccer-player-artwork-comforter-set-boys-room-decor</t>
        </is>
      </c>
      <c r="B21" s="3" t="inlineStr">
        <is>
          <t>D2</t>
        </is>
      </c>
      <c r="C21" s="3" t="n">
        <v>5</v>
      </c>
      <c r="D21" s="3" t="inlineStr">
        <is>
          <t>PARTIAL</t>
        </is>
      </c>
      <c r="E21" s="7">
        <f>IF(B21="I1",AVERAGEIF('QA_Images'!$A$2:$A$74,A21,'QA_Images'!$T$2:$T$74)/100,IF(D21="FULL",1,IF(D21="PARTIAL",0.5,IF(D21="FAIL",0,""))))</f>
        <v/>
      </c>
      <c r="F21" s="7">
        <f>IF(E21="",0,C21*E21)</f>
        <v/>
      </c>
      <c r="G21" s="7">
        <f>IF(B21="I1",20*AVERAGEIF('QA_Images'!$A$2:$A$74,A21,'QA_Images'!$U$2:$U$74)/100,IF(D21="NOT_CHECKED",0,C21))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evidence_batch_010_092</t>
        </is>
      </c>
      <c r="J21" s="3" t="inlineStr">
        <is>
          <t>ISSUE-0008; ISSUE-0009; ISSUE-0010; ISSUE-0011; ISSUE-0012</t>
        </is>
      </c>
    </row>
    <row r="22" ht="42" customHeight="1">
      <c r="A22" s="2" t="inlineStr">
        <is>
          <t>jeminise.com+custom-neon-green-soccer-player-artwork-comforter-set-boys-room-decor</t>
        </is>
      </c>
      <c r="B22" s="2" t="inlineStr">
        <is>
          <t>I1</t>
        </is>
      </c>
      <c r="C22" s="2" t="n">
        <v>20</v>
      </c>
      <c r="D22" s="2" t="inlineStr">
        <is>
          <t>FULL</t>
        </is>
      </c>
      <c r="E22" s="5">
        <f>IF(B22="I1",AVERAGEIF('QA_Images'!$A$2:$A$74,A22,'QA_Images'!$T$2:$T$74)/100,IF(D22="FULL",1,IF(D22="PARTIAL",0.5,IF(D22="FAIL",0,""))))</f>
        <v/>
      </c>
      <c r="F22" s="5">
        <f>IF(E22="",0,C22*E22)</f>
        <v/>
      </c>
      <c r="G22" s="5">
        <f>IF(B22="I1",20*AVERAGEIF('QA_Images'!$A$2:$A$74,A22,'QA_Images'!$U$2:$U$74)/100,IF(D22="NOT_CHECKED",0,C22))</f>
        <v/>
      </c>
      <c r="H22" s="2" t="inlineStr">
        <is>
          <t>Image coverage, image observations and alt text quality, derived from QA_Images. Derived from average image QA score; see QA_Images.</t>
        </is>
      </c>
      <c r="I22" s="2" t="inlineStr">
        <is>
          <t>evidence_batch_010_092</t>
        </is>
      </c>
      <c r="J22" s="2" t="inlineStr">
        <is>
          <t>ISSUE-0008; ISSUE-0009; ISSUE-0010; ISSUE-0011; ISSUE-0012</t>
        </is>
      </c>
    </row>
    <row r="23" ht="42" customHeight="1">
      <c r="A23" s="3" t="inlineStr">
        <is>
          <t>jeminise.com+custom-neon-green-soccer-player-artwork-comforter-set-boys-room-decor</t>
        </is>
      </c>
      <c r="B23" s="3" t="inlineStr">
        <is>
          <t>E1</t>
        </is>
      </c>
      <c r="C23" s="3" t="n">
        <v>5</v>
      </c>
      <c r="D23" s="3" t="inlineStr">
        <is>
          <t>PARTIAL</t>
        </is>
      </c>
      <c r="E23" s="7">
        <f>IF(B23="I1",AVERAGEIF('QA_Images'!$A$2:$A$74,A23,'QA_Images'!$T$2:$T$74)/100,IF(D23="FULL",1,IF(D23="PARTIAL",0.5,IF(D23="FAIL",0,""))))</f>
        <v/>
      </c>
      <c r="F23" s="7">
        <f>IF(E23="",0,C23*E23)</f>
        <v/>
      </c>
      <c r="G23" s="7">
        <f>IF(B23="I1",20*AVERAGEIF('QA_Images'!$A$2:$A$74,A23,'QA_Images'!$U$2:$U$74)/100,IF(D23="NOT_CHECKED",0,C23))</f>
        <v/>
      </c>
      <c r="H23" s="3" t="inlineStr">
        <is>
          <t>Evidence chain is traceable and limitations are explicitly separated from failures. Evidence chain is traceable, with admin-export limitation explicitly separated.</t>
        </is>
      </c>
      <c r="I23" s="3" t="inlineStr">
        <is>
          <t>evidence_batch_010_092</t>
        </is>
      </c>
      <c r="J23" s="3" t="inlineStr">
        <is>
          <t>ISSUE-0008; ISSUE-0009; ISSUE-0010; ISSUE-0011; ISSUE-0012</t>
        </is>
      </c>
    </row>
    <row r="24" ht="42" customHeight="1">
      <c r="A24" s="2" t="inlineStr">
        <is>
          <t>jeminise.com+custom-patriotic-semi-truck-on-american-flag-background-comforter-e664ba94f8-e664ba94f8</t>
        </is>
      </c>
      <c r="B24" s="2" t="inlineStr">
        <is>
          <t>P1</t>
        </is>
      </c>
      <c r="C24" s="2" t="n">
        <v>15</v>
      </c>
      <c r="D24" s="2" t="inlineStr">
        <is>
          <t>FULL</t>
        </is>
      </c>
      <c r="E24" s="5">
        <f>IF(B24="I1",AVERAGEIF('QA_Images'!$A$2:$A$74,A24,'QA_Images'!$T$2:$T$74)/100,IF(D24="FULL",1,IF(D24="PARTIAL",0.5,IF(D24="FAIL",0,""))))</f>
        <v/>
      </c>
      <c r="F24" s="5">
        <f>IF(E24="",0,C24*E24)</f>
        <v/>
      </c>
      <c r="G24" s="5">
        <f>IF(B24="I1",20*AVERAGEIF('QA_Images'!$A$2:$A$74,A24,'QA_Images'!$U$2:$U$74)/100,IF(D24="NOT_CHECKED",0,C24))</f>
        <v/>
      </c>
      <c r="H24" s="2" t="inlineStr">
        <is>
          <t>Product identity, handle, product ID, URL and canonical match source/live evidence. Product key/handle/product ID/canonical checked against frozen workbook and live product evidence.</t>
        </is>
      </c>
      <c r="I24" s="2" t="inlineStr">
        <is>
          <t>evidence_batch_010_093</t>
        </is>
      </c>
      <c r="J24" s="2" t="inlineStr">
        <is>
          <t>ISSUE-0019; ISSUE-0020; ISSUE-0021; ISSUE-0022</t>
        </is>
      </c>
    </row>
    <row r="25" ht="42" customHeight="1">
      <c r="A25" s="3" t="inlineStr">
        <is>
          <t>jeminise.com+custom-patriotic-semi-truck-on-american-flag-background-comforter-e664ba94f8-e664ba94f8</t>
        </is>
      </c>
      <c r="B25" s="3" t="inlineStr">
        <is>
          <t>P2</t>
        </is>
      </c>
      <c r="C25" s="3" t="n">
        <v>10</v>
      </c>
      <c r="D25" s="3" t="inlineStr">
        <is>
          <t>PARTIAL</t>
        </is>
      </c>
      <c r="E25" s="7">
        <f>IF(B25="I1",AVERAGEIF('QA_Images'!$A$2:$A$74,A25,'QA_Images'!$T$2:$T$74)/100,IF(D25="FULL",1,IF(D25="PARTIAL",0.5,IF(D25="FAIL",0,""))))</f>
        <v/>
      </c>
      <c r="F25" s="7">
        <f>IF(E25="",0,C25*E25)</f>
        <v/>
      </c>
      <c r="G25" s="7">
        <f>IF(B25="I1",20*AVERAGEIF('QA_Images'!$A$2:$A$74,A25,'QA_Images'!$U$2:$U$74)/100,IF(D25="NOT_CHECKED",0,C25))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evidence_batch_010_093</t>
        </is>
      </c>
      <c r="J25" s="3" t="inlineStr">
        <is>
          <t>ISSUE-0019; ISSUE-0020; ISSUE-0021; ISSUE-0022</t>
        </is>
      </c>
    </row>
    <row r="26" ht="42" customHeight="1">
      <c r="A26" s="2" t="inlineStr">
        <is>
          <t>jeminise.com+custom-patriotic-semi-truck-on-american-flag-background-comforter-e664ba94f8-e664ba94f8</t>
        </is>
      </c>
      <c r="B26" s="2" t="inlineStr">
        <is>
          <t>K1</t>
        </is>
      </c>
      <c r="C26" s="2" t="n">
        <v>10</v>
      </c>
      <c r="D26" s="2" t="inlineStr">
        <is>
          <t>PARTIAL</t>
        </is>
      </c>
      <c r="E26" s="5">
        <f>IF(B26="I1",AVERAGEIF('QA_Images'!$A$2:$A$74,A26,'QA_Images'!$T$2:$T$74)/100,IF(D26="FULL",1,IF(D26="PARTIAL",0.5,IF(D26="FAIL",0,""))))</f>
        <v/>
      </c>
      <c r="F26" s="5">
        <f>IF(E26="",0,C26*E26)</f>
        <v/>
      </c>
      <c r="G26" s="5">
        <f>IF(B26="I1",20*AVERAGEIF('QA_Images'!$A$2:$A$74,A26,'QA_Images'!$U$2:$U$74)/100,IF(D26="NOT_CHECKED",0,C26))</f>
        <v/>
      </c>
      <c r="H26" s="2" t="inlineStr">
        <is>
          <t>Primary keyword aligns with product-level US purchase intent. Primary keyword rechecked against US product-level SERP comparables.</t>
        </is>
      </c>
      <c r="I26" s="2" t="inlineStr">
        <is>
          <t>evidence_batch_010_093</t>
        </is>
      </c>
      <c r="J26" s="2" t="inlineStr">
        <is>
          <t>ISSUE-0019; ISSUE-0020; ISSUE-0021; ISSUE-0022</t>
        </is>
      </c>
    </row>
    <row r="27" ht="42" customHeight="1">
      <c r="A27" s="3" t="inlineStr">
        <is>
          <t>jeminise.com+custom-patriotic-semi-truck-on-american-flag-background-comforter-e664ba94f8-e664ba94f8</t>
        </is>
      </c>
      <c r="B27" s="3" t="inlineStr">
        <is>
          <t>K2</t>
        </is>
      </c>
      <c r="C27" s="3" t="n">
        <v>5</v>
      </c>
      <c r="D27" s="3" t="inlineStr">
        <is>
          <t>PARTIAL</t>
        </is>
      </c>
      <c r="E27" s="7">
        <f>IF(B27="I1",AVERAGEIF('QA_Images'!$A$2:$A$74,A27,'QA_Images'!$T$2:$T$74)/100,IF(D27="FULL",1,IF(D27="PARTIAL",0.5,IF(D27="FAIL",0,""))))</f>
        <v/>
      </c>
      <c r="F27" s="7">
        <f>IF(E27="",0,C27*E27)</f>
        <v/>
      </c>
      <c r="G27" s="7">
        <f>IF(B27="I1",20*AVERAGEIF('QA_Images'!$A$2:$A$74,A27,'QA_Images'!$U$2:$U$74)/100,IF(D27="NOT_CHECKED",0,C27))</f>
        <v/>
      </c>
      <c r="H27" s="3" t="inlineStr">
        <is>
          <t>Intent/cannibalization check distinguishes nearby products. Nearby product cluster has overlap risk, so intent distinction remains only partial.</t>
        </is>
      </c>
      <c r="I27" s="3" t="inlineStr">
        <is>
          <t>evidence_batch_010_093</t>
        </is>
      </c>
      <c r="J27" s="3" t="inlineStr">
        <is>
          <t>ISSUE-0019; ISSUE-0020; ISSUE-0021; ISSUE-0022</t>
        </is>
      </c>
    </row>
    <row r="28" ht="42" customHeight="1">
      <c r="A28" s="2" t="inlineStr">
        <is>
          <t>jeminise.com+custom-patriotic-semi-truck-on-american-flag-background-comforter-e664ba94f8-e664ba94f8</t>
        </is>
      </c>
      <c r="B28" s="2" t="inlineStr">
        <is>
          <t>K3</t>
        </is>
      </c>
      <c r="C28" s="2" t="n">
        <v>5</v>
      </c>
      <c r="D28" s="2" t="inlineStr">
        <is>
          <t>PARTIAL</t>
        </is>
      </c>
      <c r="E28" s="5">
        <f>IF(B28="I1",AVERAGEIF('QA_Images'!$A$2:$A$74,A28,'QA_Images'!$T$2:$T$74)/100,IF(D28="FULL",1,IF(D28="PARTIAL",0.5,IF(D28="FAIL",0,""))))</f>
        <v/>
      </c>
      <c r="F28" s="5">
        <f>IF(E28="",0,C28*E28)</f>
        <v/>
      </c>
      <c r="G28" s="5">
        <f>IF(B28="I1",20*AVERAGEIF('QA_Images'!$A$2:$A$74,A28,'QA_Images'!$U$2:$U$74)/100,IF(D28="NOT_CHECKED",0,C28))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evidence_batch_010_093</t>
        </is>
      </c>
      <c r="J28" s="2" t="inlineStr">
        <is>
          <t>ISSUE-0019; ISSUE-0020; ISSUE-0021; ISSUE-0022</t>
        </is>
      </c>
    </row>
    <row r="29" ht="42" customHeight="1">
      <c r="A29" s="3" t="inlineStr">
        <is>
          <t>jeminise.com+custom-patriotic-semi-truck-on-american-flag-background-comforter-e664ba94f8-e664ba94f8</t>
        </is>
      </c>
      <c r="B29" s="3" t="inlineStr">
        <is>
          <t>T1</t>
        </is>
      </c>
      <c r="C29" s="3" t="n">
        <v>10</v>
      </c>
      <c r="D29" s="3" t="inlineStr">
        <is>
          <t>FULL</t>
        </is>
      </c>
      <c r="E29" s="7">
        <f>IF(B29="I1",AVERAGEIF('QA_Images'!$A$2:$A$74,A29,'QA_Images'!$T$2:$T$74)/100,IF(D29="FULL",1,IF(D29="PARTIAL",0.5,IF(D29="FAIL",0,""))))</f>
        <v/>
      </c>
      <c r="F29" s="7">
        <f>IF(E29="",0,C29*E29)</f>
        <v/>
      </c>
      <c r="G29" s="7">
        <f>IF(B29="I1",20*AVERAGEIF('QA_Images'!$A$2:$A$74,A29,'QA_Images'!$U$2:$U$74)/100,IF(D29="NOT_CHECKED",0,C29))</f>
        <v/>
      </c>
      <c r="H29" s="3" t="inlineStr">
        <is>
          <t>SEO title and H1 are relevant, specific and grounded in visible/source facts. Title/H1 are product-specific and tied to visible motif/product type.</t>
        </is>
      </c>
      <c r="I29" s="3" t="inlineStr">
        <is>
          <t>evidence_batch_010_093</t>
        </is>
      </c>
      <c r="J29" s="3" t="inlineStr">
        <is>
          <t>ISSUE-0019; ISSUE-0020; ISSUE-0021; ISSUE-0022</t>
        </is>
      </c>
    </row>
    <row r="30" ht="42" customHeight="1">
      <c r="A30" s="2" t="inlineStr">
        <is>
          <t>jeminise.com+custom-patriotic-semi-truck-on-american-flag-background-comforter-e664ba94f8-e664ba94f8</t>
        </is>
      </c>
      <c r="B30" s="2" t="inlineStr">
        <is>
          <t>T2</t>
        </is>
      </c>
      <c r="C30" s="2" t="n">
        <v>5</v>
      </c>
      <c r="D30" s="2" t="inlineStr">
        <is>
          <t>PARTIAL</t>
        </is>
      </c>
      <c r="E30" s="5">
        <f>IF(B30="I1",AVERAGEIF('QA_Images'!$A$2:$A$74,A30,'QA_Images'!$T$2:$T$74)/100,IF(D30="FULL",1,IF(D30="PARTIAL",0.5,IF(D30="FAIL",0,""))))</f>
        <v/>
      </c>
      <c r="F30" s="5">
        <f>IF(E30="",0,C30*E30)</f>
        <v/>
      </c>
      <c r="G30" s="5">
        <f>IF(B30="I1",20*AVERAGEIF('QA_Images'!$A$2:$A$74,A30,'QA_Images'!$U$2:$U$74)/100,IF(D30="NOT_CHECKED",0,C30))</f>
        <v/>
      </c>
      <c r="H30" s="2" t="inlineStr">
        <is>
          <t>Meta description is concise, publish-ready and avoids unsupported claims. Meta description checked for length, specificity and supportable claims.</t>
        </is>
      </c>
      <c r="I30" s="2" t="inlineStr">
        <is>
          <t>evidence_batch_010_093</t>
        </is>
      </c>
      <c r="J30" s="2" t="inlineStr">
        <is>
          <t>ISSUE-0019; ISSUE-0020; ISSUE-0021; ISSUE-0022</t>
        </is>
      </c>
    </row>
    <row r="31" ht="42" customHeight="1">
      <c r="A31" s="3" t="inlineStr">
        <is>
          <t>jeminise.com+custom-patriotic-semi-truck-on-american-flag-background-comforter-e664ba94f8-e664ba94f8</t>
        </is>
      </c>
      <c r="B31" s="3" t="inlineStr">
        <is>
          <t>D1</t>
        </is>
      </c>
      <c r="C31" s="3" t="n">
        <v>10</v>
      </c>
      <c r="D31" s="3" t="inlineStr">
        <is>
          <t>FAIL</t>
        </is>
      </c>
      <c r="E31" s="7">
        <f>IF(B31="I1",AVERAGEIF('QA_Images'!$A$2:$A$74,A31,'QA_Images'!$T$2:$T$74)/100,IF(D31="FULL",1,IF(D31="PARTIAL",0.5,IF(D31="FAIL",0,""))))</f>
        <v/>
      </c>
      <c r="F31" s="7">
        <f>IF(E31="",0,C31*E31)</f>
        <v/>
      </c>
      <c r="G31" s="7">
        <f>IF(B31="I1",20*AVERAGEIF('QA_Images'!$A$2:$A$74,A31,'QA_Images'!$U$2:$U$74)/100,IF(D31="NOT_CHECKED",0,C31))</f>
        <v/>
      </c>
      <c r="H31" s="3" t="inlineStr">
        <is>
          <t>Description HTML is publish-ready and free of internal draft/QA instructions. Description HTML still contains internal QA/import language.</t>
        </is>
      </c>
      <c r="I31" s="3" t="inlineStr">
        <is>
          <t>evidence_batch_010_093</t>
        </is>
      </c>
      <c r="J31" s="3" t="inlineStr">
        <is>
          <t>ISSUE-0019; ISSUE-0020; ISSUE-0021; ISSUE-0022</t>
        </is>
      </c>
    </row>
    <row r="32" ht="42" customHeight="1">
      <c r="A32" s="2" t="inlineStr">
        <is>
          <t>jeminise.com+custom-patriotic-semi-truck-on-american-flag-background-comforter-e664ba94f8-e664ba94f8</t>
        </is>
      </c>
      <c r="B32" s="2" t="inlineStr">
        <is>
          <t>D2</t>
        </is>
      </c>
      <c r="C32" s="2" t="n">
        <v>5</v>
      </c>
      <c r="D32" s="2" t="inlineStr">
        <is>
          <t>PARTIAL</t>
        </is>
      </c>
      <c r="E32" s="5">
        <f>IF(B32="I1",AVERAGEIF('QA_Images'!$A$2:$A$74,A32,'QA_Images'!$T$2:$T$74)/100,IF(D32="FULL",1,IF(D32="PARTIAL",0.5,IF(D32="FAIL",0,""))))</f>
        <v/>
      </c>
      <c r="F32" s="5">
        <f>IF(E32="",0,C32*E32)</f>
        <v/>
      </c>
      <c r="G32" s="5">
        <f>IF(B32="I1",20*AVERAGEIF('QA_Images'!$A$2:$A$74,A32,'QA_Images'!$U$2:$U$74)/100,IF(D32="NOT_CHECKED",0,C32))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evidence_batch_010_093</t>
        </is>
      </c>
      <c r="J32" s="2" t="inlineStr">
        <is>
          <t>ISSUE-0019; ISSUE-0020; ISSUE-0021; ISSUE-0022</t>
        </is>
      </c>
    </row>
    <row r="33" ht="42" customHeight="1">
      <c r="A33" s="3" t="inlineStr">
        <is>
          <t>jeminise.com+custom-patriotic-semi-truck-on-american-flag-background-comforter-e664ba94f8-e664ba94f8</t>
        </is>
      </c>
      <c r="B33" s="3" t="inlineStr">
        <is>
          <t>I1</t>
        </is>
      </c>
      <c r="C33" s="3" t="n">
        <v>20</v>
      </c>
      <c r="D33" s="3" t="inlineStr">
        <is>
          <t>FULL</t>
        </is>
      </c>
      <c r="E33" s="7">
        <f>IF(B33="I1",AVERAGEIF('QA_Images'!$A$2:$A$74,A33,'QA_Images'!$T$2:$T$74)/100,IF(D33="FULL",1,IF(D33="PARTIAL",0.5,IF(D33="FAIL",0,""))))</f>
        <v/>
      </c>
      <c r="F33" s="7">
        <f>IF(E33="",0,C33*E33)</f>
        <v/>
      </c>
      <c r="G33" s="7">
        <f>IF(B33="I1",20*AVERAGEIF('QA_Images'!$A$2:$A$74,A33,'QA_Images'!$U$2:$U$74)/100,IF(D33="NOT_CHECKED",0,C33))</f>
        <v/>
      </c>
      <c r="H33" s="3" t="inlineStr">
        <is>
          <t>Image coverage, image observations and alt text quality, derived from QA_Images. Derived from average image QA score; see QA_Images.</t>
        </is>
      </c>
      <c r="I33" s="3" t="inlineStr">
        <is>
          <t>evidence_batch_010_093</t>
        </is>
      </c>
      <c r="J33" s="3" t="inlineStr">
        <is>
          <t>ISSUE-0019; ISSUE-0020; ISSUE-0021; ISSUE-0022</t>
        </is>
      </c>
    </row>
    <row r="34" ht="42" customHeight="1">
      <c r="A34" s="2" t="inlineStr">
        <is>
          <t>jeminise.com+custom-patriotic-semi-truck-on-american-flag-background-comforter-e664ba94f8-e664ba94f8</t>
        </is>
      </c>
      <c r="B34" s="2" t="inlineStr">
        <is>
          <t>E1</t>
        </is>
      </c>
      <c r="C34" s="2" t="n">
        <v>5</v>
      </c>
      <c r="D34" s="2" t="inlineStr">
        <is>
          <t>PARTIAL</t>
        </is>
      </c>
      <c r="E34" s="5">
        <f>IF(B34="I1",AVERAGEIF('QA_Images'!$A$2:$A$74,A34,'QA_Images'!$T$2:$T$74)/100,IF(D34="FULL",1,IF(D34="PARTIAL",0.5,IF(D34="FAIL",0,""))))</f>
        <v/>
      </c>
      <c r="F34" s="5">
        <f>IF(E34="",0,C34*E34)</f>
        <v/>
      </c>
      <c r="G34" s="5">
        <f>IF(B34="I1",20*AVERAGEIF('QA_Images'!$A$2:$A$74,A34,'QA_Images'!$U$2:$U$74)/100,IF(D34="NOT_CHECKED",0,C34))</f>
        <v/>
      </c>
      <c r="H34" s="2" t="inlineStr">
        <is>
          <t>Evidence chain is traceable and limitations are explicitly separated from failures. Evidence chain is traceable, with admin-export limitation explicitly separated.</t>
        </is>
      </c>
      <c r="I34" s="2" t="inlineStr">
        <is>
          <t>evidence_batch_010_093</t>
        </is>
      </c>
      <c r="J34" s="2" t="inlineStr">
        <is>
          <t>ISSUE-0019; ISSUE-0020; ISSUE-0021; ISSUE-0022</t>
        </is>
      </c>
    </row>
    <row r="35" ht="42" customHeight="1">
      <c r="A35" s="3" t="inlineStr">
        <is>
          <t>jeminise.com+custom-patriotic-semi-truck-with-waving-american-flag-comforter-e01f2755b2-e01f2755b2</t>
        </is>
      </c>
      <c r="B35" s="3" t="inlineStr">
        <is>
          <t>P1</t>
        </is>
      </c>
      <c r="C35" s="3" t="n">
        <v>15</v>
      </c>
      <c r="D35" s="3" t="inlineStr">
        <is>
          <t>FULL</t>
        </is>
      </c>
      <c r="E35" s="7">
        <f>IF(B35="I1",AVERAGEIF('QA_Images'!$A$2:$A$74,A35,'QA_Images'!$T$2:$T$74)/100,IF(D35="FULL",1,IF(D35="PARTIAL",0.5,IF(D35="FAIL",0,""))))</f>
        <v/>
      </c>
      <c r="F35" s="7">
        <f>IF(E35="",0,C35*E35)</f>
        <v/>
      </c>
      <c r="G35" s="7">
        <f>IF(B35="I1",20*AVERAGEIF('QA_Images'!$A$2:$A$74,A35,'QA_Images'!$U$2:$U$74)/100,IF(D35="NOT_CHECKED",0,C35))</f>
        <v/>
      </c>
      <c r="H35" s="3" t="inlineStr">
        <is>
          <t>Product identity, handle, product ID, URL and canonical match source/live evidence. Product key/handle/product ID/canonical checked against frozen workbook and live product evidence.</t>
        </is>
      </c>
      <c r="I35" s="3" t="inlineStr">
        <is>
          <t>evidence_batch_010_094</t>
        </is>
      </c>
      <c r="J35" s="3" t="inlineStr">
        <is>
          <t>ISSUE-0028; ISSUE-0029; ISSUE-0030; ISSUE-0031</t>
        </is>
      </c>
    </row>
    <row r="36" ht="42" customHeight="1">
      <c r="A36" s="2" t="inlineStr">
        <is>
          <t>jeminise.com+custom-patriotic-semi-truck-with-waving-american-flag-comforter-e01f2755b2-e01f2755b2</t>
        </is>
      </c>
      <c r="B36" s="2" t="inlineStr">
        <is>
          <t>P2</t>
        </is>
      </c>
      <c r="C36" s="2" t="n">
        <v>10</v>
      </c>
      <c r="D36" s="2" t="inlineStr">
        <is>
          <t>PARTIAL</t>
        </is>
      </c>
      <c r="E36" s="5">
        <f>IF(B36="I1",AVERAGEIF('QA_Images'!$A$2:$A$74,A36,'QA_Images'!$T$2:$T$74)/100,IF(D36="FULL",1,IF(D36="PARTIAL",0.5,IF(D36="FAIL",0,""))))</f>
        <v/>
      </c>
      <c r="F36" s="5">
        <f>IF(E36="",0,C36*E36)</f>
        <v/>
      </c>
      <c r="G36" s="5">
        <f>IF(B36="I1",20*AVERAGEIF('QA_Images'!$A$2:$A$74,A36,'QA_Images'!$U$2:$U$74)/100,IF(D36="NOT_CHECKED",0,C36))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evidence_batch_010_094</t>
        </is>
      </c>
      <c r="J36" s="2" t="inlineStr">
        <is>
          <t>ISSUE-0028; ISSUE-0029; ISSUE-0030; ISSUE-0031</t>
        </is>
      </c>
    </row>
    <row r="37" ht="42" customHeight="1">
      <c r="A37" s="3" t="inlineStr">
        <is>
          <t>jeminise.com+custom-patriotic-semi-truck-with-waving-american-flag-comforter-e01f2755b2-e01f2755b2</t>
        </is>
      </c>
      <c r="B37" s="3" t="inlineStr">
        <is>
          <t>K1</t>
        </is>
      </c>
      <c r="C37" s="3" t="n">
        <v>10</v>
      </c>
      <c r="D37" s="3" t="inlineStr">
        <is>
          <t>PARTIAL</t>
        </is>
      </c>
      <c r="E37" s="7">
        <f>IF(B37="I1",AVERAGEIF('QA_Images'!$A$2:$A$74,A37,'QA_Images'!$T$2:$T$74)/100,IF(D37="FULL",1,IF(D37="PARTIAL",0.5,IF(D37="FAIL",0,""))))</f>
        <v/>
      </c>
      <c r="F37" s="7">
        <f>IF(E37="",0,C37*E37)</f>
        <v/>
      </c>
      <c r="G37" s="7">
        <f>IF(B37="I1",20*AVERAGEIF('QA_Images'!$A$2:$A$74,A37,'QA_Images'!$U$2:$U$74)/100,IF(D37="NOT_CHECKED",0,C37))</f>
        <v/>
      </c>
      <c r="H37" s="3" t="inlineStr">
        <is>
          <t>Primary keyword aligns with product-level US purchase intent. Primary keyword rechecked against US product-level SERP comparables.</t>
        </is>
      </c>
      <c r="I37" s="3" t="inlineStr">
        <is>
          <t>evidence_batch_010_094</t>
        </is>
      </c>
      <c r="J37" s="3" t="inlineStr">
        <is>
          <t>ISSUE-0028; ISSUE-0029; ISSUE-0030; ISSUE-0031</t>
        </is>
      </c>
    </row>
    <row r="38" ht="42" customHeight="1">
      <c r="A38" s="2" t="inlineStr">
        <is>
          <t>jeminise.com+custom-patriotic-semi-truck-with-waving-american-flag-comforter-e01f2755b2-e01f2755b2</t>
        </is>
      </c>
      <c r="B38" s="2" t="inlineStr">
        <is>
          <t>K2</t>
        </is>
      </c>
      <c r="C38" s="2" t="n">
        <v>5</v>
      </c>
      <c r="D38" s="2" t="inlineStr">
        <is>
          <t>PARTIAL</t>
        </is>
      </c>
      <c r="E38" s="5">
        <f>IF(B38="I1",AVERAGEIF('QA_Images'!$A$2:$A$74,A38,'QA_Images'!$T$2:$T$74)/100,IF(D38="FULL",1,IF(D38="PARTIAL",0.5,IF(D38="FAIL",0,""))))</f>
        <v/>
      </c>
      <c r="F38" s="5">
        <f>IF(E38="",0,C38*E38)</f>
        <v/>
      </c>
      <c r="G38" s="5">
        <f>IF(B38="I1",20*AVERAGEIF('QA_Images'!$A$2:$A$74,A38,'QA_Images'!$U$2:$U$74)/100,IF(D38="NOT_CHECKED",0,C38))</f>
        <v/>
      </c>
      <c r="H38" s="2" t="inlineStr">
        <is>
          <t>Intent/cannibalization check distinguishes nearby products. Nearby product cluster has overlap risk, so intent distinction remains only partial.</t>
        </is>
      </c>
      <c r="I38" s="2" t="inlineStr">
        <is>
          <t>evidence_batch_010_094</t>
        </is>
      </c>
      <c r="J38" s="2" t="inlineStr">
        <is>
          <t>ISSUE-0028; ISSUE-0029; ISSUE-0030; ISSUE-0031</t>
        </is>
      </c>
    </row>
    <row r="39" ht="42" customHeight="1">
      <c r="A39" s="3" t="inlineStr">
        <is>
          <t>jeminise.com+custom-patriotic-semi-truck-with-waving-american-flag-comforter-e01f2755b2-e01f2755b2</t>
        </is>
      </c>
      <c r="B39" s="3" t="inlineStr">
        <is>
          <t>K3</t>
        </is>
      </c>
      <c r="C39" s="3" t="n">
        <v>5</v>
      </c>
      <c r="D39" s="3" t="inlineStr">
        <is>
          <t>PARTIAL</t>
        </is>
      </c>
      <c r="E39" s="7">
        <f>IF(B39="I1",AVERAGEIF('QA_Images'!$A$2:$A$74,A39,'QA_Images'!$T$2:$T$74)/100,IF(D39="FULL",1,IF(D39="PARTIAL",0.5,IF(D39="FAIL",0,""))))</f>
        <v/>
      </c>
      <c r="F39" s="7">
        <f>IF(E39="",0,C39*E39)</f>
        <v/>
      </c>
      <c r="G39" s="7">
        <f>IF(B39="I1",20*AVERAGEIF('QA_Images'!$A$2:$A$74,A39,'QA_Images'!$U$2:$U$74)/100,IF(D39="NOT_CHECKED",0,C39))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evidence_batch_010_094</t>
        </is>
      </c>
      <c r="J39" s="3" t="inlineStr">
        <is>
          <t>ISSUE-0028; ISSUE-0029; ISSUE-0030; ISSUE-0031</t>
        </is>
      </c>
    </row>
    <row r="40" ht="42" customHeight="1">
      <c r="A40" s="2" t="inlineStr">
        <is>
          <t>jeminise.com+custom-patriotic-semi-truck-with-waving-american-flag-comforter-e01f2755b2-e01f2755b2</t>
        </is>
      </c>
      <c r="B40" s="2" t="inlineStr">
        <is>
          <t>T1</t>
        </is>
      </c>
      <c r="C40" s="2" t="n">
        <v>10</v>
      </c>
      <c r="D40" s="2" t="inlineStr">
        <is>
          <t>FULL</t>
        </is>
      </c>
      <c r="E40" s="5">
        <f>IF(B40="I1",AVERAGEIF('QA_Images'!$A$2:$A$74,A40,'QA_Images'!$T$2:$T$74)/100,IF(D40="FULL",1,IF(D40="PARTIAL",0.5,IF(D40="FAIL",0,""))))</f>
        <v/>
      </c>
      <c r="F40" s="5">
        <f>IF(E40="",0,C40*E40)</f>
        <v/>
      </c>
      <c r="G40" s="5">
        <f>IF(B40="I1",20*AVERAGEIF('QA_Images'!$A$2:$A$74,A40,'QA_Images'!$U$2:$U$74)/100,IF(D40="NOT_CHECKED",0,C40))</f>
        <v/>
      </c>
      <c r="H40" s="2" t="inlineStr">
        <is>
          <t>SEO title and H1 are relevant, specific and grounded in visible/source facts. Title/H1 are product-specific and tied to visible motif/product type.</t>
        </is>
      </c>
      <c r="I40" s="2" t="inlineStr">
        <is>
          <t>evidence_batch_010_094</t>
        </is>
      </c>
      <c r="J40" s="2" t="inlineStr">
        <is>
          <t>ISSUE-0028; ISSUE-0029; ISSUE-0030; ISSUE-0031</t>
        </is>
      </c>
    </row>
    <row r="41" ht="42" customHeight="1">
      <c r="A41" s="3" t="inlineStr">
        <is>
          <t>jeminise.com+custom-patriotic-semi-truck-with-waving-american-flag-comforter-e01f2755b2-e01f2755b2</t>
        </is>
      </c>
      <c r="B41" s="3" t="inlineStr">
        <is>
          <t>T2</t>
        </is>
      </c>
      <c r="C41" s="3" t="n">
        <v>5</v>
      </c>
      <c r="D41" s="3" t="inlineStr">
        <is>
          <t>PARTIAL</t>
        </is>
      </c>
      <c r="E41" s="7">
        <f>IF(B41="I1",AVERAGEIF('QA_Images'!$A$2:$A$74,A41,'QA_Images'!$T$2:$T$74)/100,IF(D41="FULL",1,IF(D41="PARTIAL",0.5,IF(D41="FAIL",0,""))))</f>
        <v/>
      </c>
      <c r="F41" s="7">
        <f>IF(E41="",0,C41*E41)</f>
        <v/>
      </c>
      <c r="G41" s="7">
        <f>IF(B41="I1",20*AVERAGEIF('QA_Images'!$A$2:$A$74,A41,'QA_Images'!$U$2:$U$74)/100,IF(D41="NOT_CHECKED",0,C41))</f>
        <v/>
      </c>
      <c r="H41" s="3" t="inlineStr">
        <is>
          <t>Meta description is concise, publish-ready and avoids unsupported claims. Meta description checked for length, specificity and supportable claims.</t>
        </is>
      </c>
      <c r="I41" s="3" t="inlineStr">
        <is>
          <t>evidence_batch_010_094</t>
        </is>
      </c>
      <c r="J41" s="3" t="inlineStr">
        <is>
          <t>ISSUE-0028; ISSUE-0029; ISSUE-0030; ISSUE-0031</t>
        </is>
      </c>
    </row>
    <row r="42" ht="42" customHeight="1">
      <c r="A42" s="2" t="inlineStr">
        <is>
          <t>jeminise.com+custom-patriotic-semi-truck-with-waving-american-flag-comforter-e01f2755b2-e01f2755b2</t>
        </is>
      </c>
      <c r="B42" s="2" t="inlineStr">
        <is>
          <t>D1</t>
        </is>
      </c>
      <c r="C42" s="2" t="n">
        <v>10</v>
      </c>
      <c r="D42" s="2" t="inlineStr">
        <is>
          <t>FAIL</t>
        </is>
      </c>
      <c r="E42" s="5">
        <f>IF(B42="I1",AVERAGEIF('QA_Images'!$A$2:$A$74,A42,'QA_Images'!$T$2:$T$74)/100,IF(D42="FULL",1,IF(D42="PARTIAL",0.5,IF(D42="FAIL",0,""))))</f>
        <v/>
      </c>
      <c r="F42" s="5">
        <f>IF(E42="",0,C42*E42)</f>
        <v/>
      </c>
      <c r="G42" s="5">
        <f>IF(B42="I1",20*AVERAGEIF('QA_Images'!$A$2:$A$74,A42,'QA_Images'!$U$2:$U$74)/100,IF(D42="NOT_CHECKED",0,C42))</f>
        <v/>
      </c>
      <c r="H42" s="2" t="inlineStr">
        <is>
          <t>Description HTML is publish-ready and free of internal draft/QA instructions. Description HTML still contains internal QA/import language.</t>
        </is>
      </c>
      <c r="I42" s="2" t="inlineStr">
        <is>
          <t>evidence_batch_010_094</t>
        </is>
      </c>
      <c r="J42" s="2" t="inlineStr">
        <is>
          <t>ISSUE-0028; ISSUE-0029; ISSUE-0030; ISSUE-0031</t>
        </is>
      </c>
    </row>
    <row r="43" ht="42" customHeight="1">
      <c r="A43" s="3" t="inlineStr">
        <is>
          <t>jeminise.com+custom-patriotic-semi-truck-with-waving-american-flag-comforter-e01f2755b2-e01f2755b2</t>
        </is>
      </c>
      <c r="B43" s="3" t="inlineStr">
        <is>
          <t>D2</t>
        </is>
      </c>
      <c r="C43" s="3" t="n">
        <v>5</v>
      </c>
      <c r="D43" s="3" t="inlineStr">
        <is>
          <t>PARTIAL</t>
        </is>
      </c>
      <c r="E43" s="7">
        <f>IF(B43="I1",AVERAGEIF('QA_Images'!$A$2:$A$74,A43,'QA_Images'!$T$2:$T$74)/100,IF(D43="FULL",1,IF(D43="PARTIAL",0.5,IF(D43="FAIL",0,""))))</f>
        <v/>
      </c>
      <c r="F43" s="7">
        <f>IF(E43="",0,C43*E43)</f>
        <v/>
      </c>
      <c r="G43" s="7">
        <f>IF(B43="I1",20*AVERAGEIF('QA_Images'!$A$2:$A$74,A43,'QA_Images'!$U$2:$U$74)/100,IF(D43="NOT_CHECKED",0,C43))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evidence_batch_010_094</t>
        </is>
      </c>
      <c r="J43" s="3" t="inlineStr">
        <is>
          <t>ISSUE-0028; ISSUE-0029; ISSUE-0030; ISSUE-0031</t>
        </is>
      </c>
    </row>
    <row r="44" ht="42" customHeight="1">
      <c r="A44" s="2" t="inlineStr">
        <is>
          <t>jeminise.com+custom-patriotic-semi-truck-with-waving-american-flag-comforter-e01f2755b2-e01f2755b2</t>
        </is>
      </c>
      <c r="B44" s="2" t="inlineStr">
        <is>
          <t>I1</t>
        </is>
      </c>
      <c r="C44" s="2" t="n">
        <v>20</v>
      </c>
      <c r="D44" s="2" t="inlineStr">
        <is>
          <t>FULL</t>
        </is>
      </c>
      <c r="E44" s="5">
        <f>IF(B44="I1",AVERAGEIF('QA_Images'!$A$2:$A$74,A44,'QA_Images'!$T$2:$T$74)/100,IF(D44="FULL",1,IF(D44="PARTIAL",0.5,IF(D44="FAIL",0,""))))</f>
        <v/>
      </c>
      <c r="F44" s="5">
        <f>IF(E44="",0,C44*E44)</f>
        <v/>
      </c>
      <c r="G44" s="5">
        <f>IF(B44="I1",20*AVERAGEIF('QA_Images'!$A$2:$A$74,A44,'QA_Images'!$U$2:$U$74)/100,IF(D44="NOT_CHECKED",0,C44))</f>
        <v/>
      </c>
      <c r="H44" s="2" t="inlineStr">
        <is>
          <t>Image coverage, image observations and alt text quality, derived from QA_Images. Derived from average image QA score; see QA_Images.</t>
        </is>
      </c>
      <c r="I44" s="2" t="inlineStr">
        <is>
          <t>evidence_batch_010_094</t>
        </is>
      </c>
      <c r="J44" s="2" t="inlineStr">
        <is>
          <t>ISSUE-0028; ISSUE-0029; ISSUE-0030; ISSUE-0031</t>
        </is>
      </c>
    </row>
    <row r="45" ht="42" customHeight="1">
      <c r="A45" s="3" t="inlineStr">
        <is>
          <t>jeminise.com+custom-patriotic-semi-truck-with-waving-american-flag-comforter-e01f2755b2-e01f2755b2</t>
        </is>
      </c>
      <c r="B45" s="3" t="inlineStr">
        <is>
          <t>E1</t>
        </is>
      </c>
      <c r="C45" s="3" t="n">
        <v>5</v>
      </c>
      <c r="D45" s="3" t="inlineStr">
        <is>
          <t>PARTIAL</t>
        </is>
      </c>
      <c r="E45" s="7">
        <f>IF(B45="I1",AVERAGEIF('QA_Images'!$A$2:$A$74,A45,'QA_Images'!$T$2:$T$74)/100,IF(D45="FULL",1,IF(D45="PARTIAL",0.5,IF(D45="FAIL",0,""))))</f>
        <v/>
      </c>
      <c r="F45" s="7">
        <f>IF(E45="",0,C45*E45)</f>
        <v/>
      </c>
      <c r="G45" s="7">
        <f>IF(B45="I1",20*AVERAGEIF('QA_Images'!$A$2:$A$74,A45,'QA_Images'!$U$2:$U$74)/100,IF(D45="NOT_CHECKED",0,C45))</f>
        <v/>
      </c>
      <c r="H45" s="3" t="inlineStr">
        <is>
          <t>Evidence chain is traceable and limitations are explicitly separated from failures. Evidence chain is traceable, with admin-export limitation explicitly separated.</t>
        </is>
      </c>
      <c r="I45" s="3" t="inlineStr">
        <is>
          <t>evidence_batch_010_094</t>
        </is>
      </c>
      <c r="J45" s="3" t="inlineStr">
        <is>
          <t>ISSUE-0028; ISSUE-0029; ISSUE-0030; ISSUE-0031</t>
        </is>
      </c>
    </row>
    <row r="46" ht="42" customHeight="1">
      <c r="A46" s="2" t="inlineStr">
        <is>
          <t>jeminise.com+custom-patriotic-trucking-semi-truck-below-waving-american-flag-comforter-05c0cd8623-05c0cd8623</t>
        </is>
      </c>
      <c r="B46" s="2" t="inlineStr">
        <is>
          <t>P1</t>
        </is>
      </c>
      <c r="C46" s="2" t="n">
        <v>15</v>
      </c>
      <c r="D46" s="2" t="inlineStr">
        <is>
          <t>FULL</t>
        </is>
      </c>
      <c r="E46" s="5">
        <f>IF(B46="I1",AVERAGEIF('QA_Images'!$A$2:$A$74,A46,'QA_Images'!$T$2:$T$74)/100,IF(D46="FULL",1,IF(D46="PARTIAL",0.5,IF(D46="FAIL",0,""))))</f>
        <v/>
      </c>
      <c r="F46" s="5">
        <f>IF(E46="",0,C46*E46)</f>
        <v/>
      </c>
      <c r="G46" s="5">
        <f>IF(B46="I1",20*AVERAGEIF('QA_Images'!$A$2:$A$74,A46,'QA_Images'!$U$2:$U$74)/100,IF(D46="NOT_CHECKED",0,C46))</f>
        <v/>
      </c>
      <c r="H46" s="2" t="inlineStr">
        <is>
          <t>Product identity, handle, product ID, URL and canonical match source/live evidence. Product key/handle/product ID/canonical checked against frozen workbook and live product evidence.</t>
        </is>
      </c>
      <c r="I46" s="2" t="inlineStr">
        <is>
          <t>evidence_batch_010_095</t>
        </is>
      </c>
      <c r="J46" s="2" t="inlineStr">
        <is>
          <t>ISSUE-0037; ISSUE-0038; ISSUE-0039; ISSUE-0040</t>
        </is>
      </c>
    </row>
    <row r="47" ht="42" customHeight="1">
      <c r="A47" s="3" t="inlineStr">
        <is>
          <t>jeminise.com+custom-patriotic-trucking-semi-truck-below-waving-american-flag-comforter-05c0cd8623-05c0cd8623</t>
        </is>
      </c>
      <c r="B47" s="3" t="inlineStr">
        <is>
          <t>P2</t>
        </is>
      </c>
      <c r="C47" s="3" t="n">
        <v>10</v>
      </c>
      <c r="D47" s="3" t="inlineStr">
        <is>
          <t>PARTIAL</t>
        </is>
      </c>
      <c r="E47" s="7">
        <f>IF(B47="I1",AVERAGEIF('QA_Images'!$A$2:$A$74,A47,'QA_Images'!$T$2:$T$74)/100,IF(D47="FULL",1,IF(D47="PARTIAL",0.5,IF(D47="FAIL",0,""))))</f>
        <v/>
      </c>
      <c r="F47" s="7">
        <f>IF(E47="",0,C47*E47)</f>
        <v/>
      </c>
      <c r="G47" s="7">
        <f>IF(B47="I1",20*AVERAGEIF('QA_Images'!$A$2:$A$74,A47,'QA_Images'!$U$2:$U$74)/100,IF(D47="NOT_CHECKED",0,C47))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evidence_batch_010_095</t>
        </is>
      </c>
      <c r="J47" s="3" t="inlineStr">
        <is>
          <t>ISSUE-0037; ISSUE-0038; ISSUE-0039; ISSUE-0040</t>
        </is>
      </c>
    </row>
    <row r="48" ht="42" customHeight="1">
      <c r="A48" s="2" t="inlineStr">
        <is>
          <t>jeminise.com+custom-patriotic-trucking-semi-truck-below-waving-american-flag-comforter-05c0cd8623-05c0cd8623</t>
        </is>
      </c>
      <c r="B48" s="2" t="inlineStr">
        <is>
          <t>K1</t>
        </is>
      </c>
      <c r="C48" s="2" t="n">
        <v>10</v>
      </c>
      <c r="D48" s="2" t="inlineStr">
        <is>
          <t>PARTIAL</t>
        </is>
      </c>
      <c r="E48" s="5">
        <f>IF(B48="I1",AVERAGEIF('QA_Images'!$A$2:$A$74,A48,'QA_Images'!$T$2:$T$74)/100,IF(D48="FULL",1,IF(D48="PARTIAL",0.5,IF(D48="FAIL",0,""))))</f>
        <v/>
      </c>
      <c r="F48" s="5">
        <f>IF(E48="",0,C48*E48)</f>
        <v/>
      </c>
      <c r="G48" s="5">
        <f>IF(B48="I1",20*AVERAGEIF('QA_Images'!$A$2:$A$74,A48,'QA_Images'!$U$2:$U$74)/100,IF(D48="NOT_CHECKED",0,C48))</f>
        <v/>
      </c>
      <c r="H48" s="2" t="inlineStr">
        <is>
          <t>Primary keyword aligns with product-level US purchase intent. Primary keyword rechecked against US product-level SERP comparables.</t>
        </is>
      </c>
      <c r="I48" s="2" t="inlineStr">
        <is>
          <t>evidence_batch_010_095</t>
        </is>
      </c>
      <c r="J48" s="2" t="inlineStr">
        <is>
          <t>ISSUE-0037; ISSUE-0038; ISSUE-0039; ISSUE-0040</t>
        </is>
      </c>
    </row>
    <row r="49" ht="42" customHeight="1">
      <c r="A49" s="3" t="inlineStr">
        <is>
          <t>jeminise.com+custom-patriotic-trucking-semi-truck-below-waving-american-flag-comforter-05c0cd8623-05c0cd8623</t>
        </is>
      </c>
      <c r="B49" s="3" t="inlineStr">
        <is>
          <t>K2</t>
        </is>
      </c>
      <c r="C49" s="3" t="n">
        <v>5</v>
      </c>
      <c r="D49" s="3" t="inlineStr">
        <is>
          <t>PARTIAL</t>
        </is>
      </c>
      <c r="E49" s="7">
        <f>IF(B49="I1",AVERAGEIF('QA_Images'!$A$2:$A$74,A49,'QA_Images'!$T$2:$T$74)/100,IF(D49="FULL",1,IF(D49="PARTIAL",0.5,IF(D49="FAIL",0,""))))</f>
        <v/>
      </c>
      <c r="F49" s="7">
        <f>IF(E49="",0,C49*E49)</f>
        <v/>
      </c>
      <c r="G49" s="7">
        <f>IF(B49="I1",20*AVERAGEIF('QA_Images'!$A$2:$A$74,A49,'QA_Images'!$U$2:$U$74)/100,IF(D49="NOT_CHECKED",0,C49))</f>
        <v/>
      </c>
      <c r="H49" s="3" t="inlineStr">
        <is>
          <t>Intent/cannibalization check distinguishes nearby products. Nearby product cluster has overlap risk, so intent distinction remains only partial.</t>
        </is>
      </c>
      <c r="I49" s="3" t="inlineStr">
        <is>
          <t>evidence_batch_010_095</t>
        </is>
      </c>
      <c r="J49" s="3" t="inlineStr">
        <is>
          <t>ISSUE-0037; ISSUE-0038; ISSUE-0039; ISSUE-0040</t>
        </is>
      </c>
    </row>
    <row r="50" ht="42" customHeight="1">
      <c r="A50" s="2" t="inlineStr">
        <is>
          <t>jeminise.com+custom-patriotic-trucking-semi-truck-below-waving-american-flag-comforter-05c0cd8623-05c0cd8623</t>
        </is>
      </c>
      <c r="B50" s="2" t="inlineStr">
        <is>
          <t>K3</t>
        </is>
      </c>
      <c r="C50" s="2" t="n">
        <v>5</v>
      </c>
      <c r="D50" s="2" t="inlineStr">
        <is>
          <t>PARTIAL</t>
        </is>
      </c>
      <c r="E50" s="5">
        <f>IF(B50="I1",AVERAGEIF('QA_Images'!$A$2:$A$74,A50,'QA_Images'!$T$2:$T$74)/100,IF(D50="FULL",1,IF(D50="PARTIAL",0.5,IF(D50="FAIL",0,""))))</f>
        <v/>
      </c>
      <c r="F50" s="5">
        <f>IF(E50="",0,C50*E50)</f>
        <v/>
      </c>
      <c r="G50" s="5">
        <f>IF(B50="I1",20*AVERAGEIF('QA_Images'!$A$2:$A$74,A50,'QA_Images'!$U$2:$U$74)/100,IF(D50="NOT_CHECKED",0,C50))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evidence_batch_010_095</t>
        </is>
      </c>
      <c r="J50" s="2" t="inlineStr">
        <is>
          <t>ISSUE-0037; ISSUE-0038; ISSUE-0039; ISSUE-0040</t>
        </is>
      </c>
    </row>
    <row r="51" ht="42" customHeight="1">
      <c r="A51" s="3" t="inlineStr">
        <is>
          <t>jeminise.com+custom-patriotic-trucking-semi-truck-below-waving-american-flag-comforter-05c0cd8623-05c0cd8623</t>
        </is>
      </c>
      <c r="B51" s="3" t="inlineStr">
        <is>
          <t>T1</t>
        </is>
      </c>
      <c r="C51" s="3" t="n">
        <v>10</v>
      </c>
      <c r="D51" s="3" t="inlineStr">
        <is>
          <t>FULL</t>
        </is>
      </c>
      <c r="E51" s="7">
        <f>IF(B51="I1",AVERAGEIF('QA_Images'!$A$2:$A$74,A51,'QA_Images'!$T$2:$T$74)/100,IF(D51="FULL",1,IF(D51="PARTIAL",0.5,IF(D51="FAIL",0,""))))</f>
        <v/>
      </c>
      <c r="F51" s="7">
        <f>IF(E51="",0,C51*E51)</f>
        <v/>
      </c>
      <c r="G51" s="7">
        <f>IF(B51="I1",20*AVERAGEIF('QA_Images'!$A$2:$A$74,A51,'QA_Images'!$U$2:$U$74)/100,IF(D51="NOT_CHECKED",0,C51))</f>
        <v/>
      </c>
      <c r="H51" s="3" t="inlineStr">
        <is>
          <t>SEO title and H1 are relevant, specific and grounded in visible/source facts. Title/H1 are product-specific and tied to visible motif/product type.</t>
        </is>
      </c>
      <c r="I51" s="3" t="inlineStr">
        <is>
          <t>evidence_batch_010_095</t>
        </is>
      </c>
      <c r="J51" s="3" t="inlineStr">
        <is>
          <t>ISSUE-0037; ISSUE-0038; ISSUE-0039; ISSUE-0040</t>
        </is>
      </c>
    </row>
    <row r="52" ht="42" customHeight="1">
      <c r="A52" s="2" t="inlineStr">
        <is>
          <t>jeminise.com+custom-patriotic-trucking-semi-truck-below-waving-american-flag-comforter-05c0cd8623-05c0cd8623</t>
        </is>
      </c>
      <c r="B52" s="2" t="inlineStr">
        <is>
          <t>T2</t>
        </is>
      </c>
      <c r="C52" s="2" t="n">
        <v>5</v>
      </c>
      <c r="D52" s="2" t="inlineStr">
        <is>
          <t>PARTIAL</t>
        </is>
      </c>
      <c r="E52" s="5">
        <f>IF(B52="I1",AVERAGEIF('QA_Images'!$A$2:$A$74,A52,'QA_Images'!$T$2:$T$74)/100,IF(D52="FULL",1,IF(D52="PARTIAL",0.5,IF(D52="FAIL",0,""))))</f>
        <v/>
      </c>
      <c r="F52" s="5">
        <f>IF(E52="",0,C52*E52)</f>
        <v/>
      </c>
      <c r="G52" s="5">
        <f>IF(B52="I1",20*AVERAGEIF('QA_Images'!$A$2:$A$74,A52,'QA_Images'!$U$2:$U$74)/100,IF(D52="NOT_CHECKED",0,C52))</f>
        <v/>
      </c>
      <c r="H52" s="2" t="inlineStr">
        <is>
          <t>Meta description is concise, publish-ready and avoids unsupported claims. Meta description checked for length, specificity and supportable claims.</t>
        </is>
      </c>
      <c r="I52" s="2" t="inlineStr">
        <is>
          <t>evidence_batch_010_095</t>
        </is>
      </c>
      <c r="J52" s="2" t="inlineStr">
        <is>
          <t>ISSUE-0037; ISSUE-0038; ISSUE-0039; ISSUE-0040</t>
        </is>
      </c>
    </row>
    <row r="53" ht="42" customHeight="1">
      <c r="A53" s="3" t="inlineStr">
        <is>
          <t>jeminise.com+custom-patriotic-trucking-semi-truck-below-waving-american-flag-comforter-05c0cd8623-05c0cd8623</t>
        </is>
      </c>
      <c r="B53" s="3" t="inlineStr">
        <is>
          <t>D1</t>
        </is>
      </c>
      <c r="C53" s="3" t="n">
        <v>10</v>
      </c>
      <c r="D53" s="3" t="inlineStr">
        <is>
          <t>FAIL</t>
        </is>
      </c>
      <c r="E53" s="7">
        <f>IF(B53="I1",AVERAGEIF('QA_Images'!$A$2:$A$74,A53,'QA_Images'!$T$2:$T$74)/100,IF(D53="FULL",1,IF(D53="PARTIAL",0.5,IF(D53="FAIL",0,""))))</f>
        <v/>
      </c>
      <c r="F53" s="7">
        <f>IF(E53="",0,C53*E53)</f>
        <v/>
      </c>
      <c r="G53" s="7">
        <f>IF(B53="I1",20*AVERAGEIF('QA_Images'!$A$2:$A$74,A53,'QA_Images'!$U$2:$U$74)/100,IF(D53="NOT_CHECKED",0,C53))</f>
        <v/>
      </c>
      <c r="H53" s="3" t="inlineStr">
        <is>
          <t>Description HTML is publish-ready and free of internal draft/QA instructions. Description HTML still contains internal QA/import language.</t>
        </is>
      </c>
      <c r="I53" s="3" t="inlineStr">
        <is>
          <t>evidence_batch_010_095</t>
        </is>
      </c>
      <c r="J53" s="3" t="inlineStr">
        <is>
          <t>ISSUE-0037; ISSUE-0038; ISSUE-0039; ISSUE-0040</t>
        </is>
      </c>
    </row>
    <row r="54" ht="42" customHeight="1">
      <c r="A54" s="2" t="inlineStr">
        <is>
          <t>jeminise.com+custom-patriotic-trucking-semi-truck-below-waving-american-flag-comforter-05c0cd8623-05c0cd8623</t>
        </is>
      </c>
      <c r="B54" s="2" t="inlineStr">
        <is>
          <t>D2</t>
        </is>
      </c>
      <c r="C54" s="2" t="n">
        <v>5</v>
      </c>
      <c r="D54" s="2" t="inlineStr">
        <is>
          <t>PARTIAL</t>
        </is>
      </c>
      <c r="E54" s="5">
        <f>IF(B54="I1",AVERAGEIF('QA_Images'!$A$2:$A$74,A54,'QA_Images'!$T$2:$T$74)/100,IF(D54="FULL",1,IF(D54="PARTIAL",0.5,IF(D54="FAIL",0,""))))</f>
        <v/>
      </c>
      <c r="F54" s="5">
        <f>IF(E54="",0,C54*E54)</f>
        <v/>
      </c>
      <c r="G54" s="5">
        <f>IF(B54="I1",20*AVERAGEIF('QA_Images'!$A$2:$A$74,A54,'QA_Images'!$U$2:$U$74)/100,IF(D54="NOT_CHECKED",0,C54))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evidence_batch_010_095</t>
        </is>
      </c>
      <c r="J54" s="2" t="inlineStr">
        <is>
          <t>ISSUE-0037; ISSUE-0038; ISSUE-0039; ISSUE-0040</t>
        </is>
      </c>
    </row>
    <row r="55" ht="42" customHeight="1">
      <c r="A55" s="3" t="inlineStr">
        <is>
          <t>jeminise.com+custom-patriotic-trucking-semi-truck-below-waving-american-flag-comforter-05c0cd8623-05c0cd8623</t>
        </is>
      </c>
      <c r="B55" s="3" t="inlineStr">
        <is>
          <t>I1</t>
        </is>
      </c>
      <c r="C55" s="3" t="n">
        <v>20</v>
      </c>
      <c r="D55" s="3" t="inlineStr">
        <is>
          <t>FULL</t>
        </is>
      </c>
      <c r="E55" s="7">
        <f>IF(B55="I1",AVERAGEIF('QA_Images'!$A$2:$A$74,A55,'QA_Images'!$T$2:$T$74)/100,IF(D55="FULL",1,IF(D55="PARTIAL",0.5,IF(D55="FAIL",0,""))))</f>
        <v/>
      </c>
      <c r="F55" s="7">
        <f>IF(E55="",0,C55*E55)</f>
        <v/>
      </c>
      <c r="G55" s="7">
        <f>IF(B55="I1",20*AVERAGEIF('QA_Images'!$A$2:$A$74,A55,'QA_Images'!$U$2:$U$74)/100,IF(D55="NOT_CHECKED",0,C55))</f>
        <v/>
      </c>
      <c r="H55" s="3" t="inlineStr">
        <is>
          <t>Image coverage, image observations and alt text quality, derived from QA_Images. Derived from average image QA score; see QA_Images.</t>
        </is>
      </c>
      <c r="I55" s="3" t="inlineStr">
        <is>
          <t>evidence_batch_010_095</t>
        </is>
      </c>
      <c r="J55" s="3" t="inlineStr">
        <is>
          <t>ISSUE-0037; ISSUE-0038; ISSUE-0039; ISSUE-0040</t>
        </is>
      </c>
    </row>
    <row r="56" ht="42" customHeight="1">
      <c r="A56" s="2" t="inlineStr">
        <is>
          <t>jeminise.com+custom-patriotic-trucking-semi-truck-below-waving-american-flag-comforter-05c0cd8623-05c0cd8623</t>
        </is>
      </c>
      <c r="B56" s="2" t="inlineStr">
        <is>
          <t>E1</t>
        </is>
      </c>
      <c r="C56" s="2" t="n">
        <v>5</v>
      </c>
      <c r="D56" s="2" t="inlineStr">
        <is>
          <t>PARTIAL</t>
        </is>
      </c>
      <c r="E56" s="5">
        <f>IF(B56="I1",AVERAGEIF('QA_Images'!$A$2:$A$74,A56,'QA_Images'!$T$2:$T$74)/100,IF(D56="FULL",1,IF(D56="PARTIAL",0.5,IF(D56="FAIL",0,""))))</f>
        <v/>
      </c>
      <c r="F56" s="5">
        <f>IF(E56="",0,C56*E56)</f>
        <v/>
      </c>
      <c r="G56" s="5">
        <f>IF(B56="I1",20*AVERAGEIF('QA_Images'!$A$2:$A$74,A56,'QA_Images'!$U$2:$U$74)/100,IF(D56="NOT_CHECKED",0,C56))</f>
        <v/>
      </c>
      <c r="H56" s="2" t="inlineStr">
        <is>
          <t>Evidence chain is traceable and limitations are explicitly separated from failures. Evidence chain is traceable, with admin-export limitation explicitly separated.</t>
        </is>
      </c>
      <c r="I56" s="2" t="inlineStr">
        <is>
          <t>evidence_batch_010_095</t>
        </is>
      </c>
      <c r="J56" s="2" t="inlineStr">
        <is>
          <t>ISSUE-0037; ISSUE-0038; ISSUE-0039; ISSUE-0040</t>
        </is>
      </c>
    </row>
    <row r="57" ht="42" customHeight="1">
      <c r="A57" s="3" t="inlineStr">
        <is>
          <t>jeminise.com+custom-photo-quilt-bicycle-flowers-07e2c6fca1-07e2c6fca1</t>
        </is>
      </c>
      <c r="B57" s="3" t="inlineStr">
        <is>
          <t>P1</t>
        </is>
      </c>
      <c r="C57" s="3" t="n">
        <v>15</v>
      </c>
      <c r="D57" s="3" t="inlineStr">
        <is>
          <t>FULL</t>
        </is>
      </c>
      <c r="E57" s="7">
        <f>IF(B57="I1",AVERAGEIF('QA_Images'!$A$2:$A$74,A57,'QA_Images'!$T$2:$T$74)/100,IF(D57="FULL",1,IF(D57="PARTIAL",0.5,IF(D57="FAIL",0,""))))</f>
        <v/>
      </c>
      <c r="F57" s="7">
        <f>IF(E57="",0,C57*E57)</f>
        <v/>
      </c>
      <c r="G57" s="7">
        <f>IF(B57="I1",20*AVERAGEIF('QA_Images'!$A$2:$A$74,A57,'QA_Images'!$U$2:$U$74)/100,IF(D57="NOT_CHECKED",0,C57))</f>
        <v/>
      </c>
      <c r="H57" s="3" t="inlineStr">
        <is>
          <t>Product identity, handle, product ID, URL and canonical match source/live evidence. Product key/handle/product ID/canonical checked against frozen workbook and live product evidence.</t>
        </is>
      </c>
      <c r="I57" s="3" t="inlineStr">
        <is>
          <t>evidence_batch_010_096</t>
        </is>
      </c>
      <c r="J57" s="3" t="inlineStr">
        <is>
          <t>ISSUE-0046; ISSUE-0047; ISSUE-0048</t>
        </is>
      </c>
    </row>
    <row r="58" ht="42" customHeight="1">
      <c r="A58" s="2" t="inlineStr">
        <is>
          <t>jeminise.com+custom-photo-quilt-bicycle-flowers-07e2c6fca1-07e2c6fca1</t>
        </is>
      </c>
      <c r="B58" s="2" t="inlineStr">
        <is>
          <t>P2</t>
        </is>
      </c>
      <c r="C58" s="2" t="n">
        <v>10</v>
      </c>
      <c r="D58" s="2" t="inlineStr">
        <is>
          <t>PARTIAL</t>
        </is>
      </c>
      <c r="E58" s="5">
        <f>IF(B58="I1",AVERAGEIF('QA_Images'!$A$2:$A$74,A58,'QA_Images'!$T$2:$T$74)/100,IF(D58="FULL",1,IF(D58="PARTIAL",0.5,IF(D58="FAIL",0,""))))</f>
        <v/>
      </c>
      <c r="F58" s="5">
        <f>IF(E58="",0,C58*E58)</f>
        <v/>
      </c>
      <c r="G58" s="5">
        <f>IF(B58="I1",20*AVERAGEIF('QA_Images'!$A$2:$A$74,A58,'QA_Images'!$U$2:$U$74)/100,IF(D58="NOT_CHECKED",0,C58))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evidence_batch_010_096</t>
        </is>
      </c>
      <c r="J58" s="2" t="inlineStr">
        <is>
          <t>ISSUE-0046; ISSUE-0047; ISSUE-0048</t>
        </is>
      </c>
    </row>
    <row r="59" ht="42" customHeight="1">
      <c r="A59" s="3" t="inlineStr">
        <is>
          <t>jeminise.com+custom-photo-quilt-bicycle-flowers-07e2c6fca1-07e2c6fca1</t>
        </is>
      </c>
      <c r="B59" s="3" t="inlineStr">
        <is>
          <t>K1</t>
        </is>
      </c>
      <c r="C59" s="3" t="n">
        <v>10</v>
      </c>
      <c r="D59" s="3" t="inlineStr">
        <is>
          <t>PARTIAL</t>
        </is>
      </c>
      <c r="E59" s="7">
        <f>IF(B59="I1",AVERAGEIF('QA_Images'!$A$2:$A$74,A59,'QA_Images'!$T$2:$T$74)/100,IF(D59="FULL",1,IF(D59="PARTIAL",0.5,IF(D59="FAIL",0,""))))</f>
        <v/>
      </c>
      <c r="F59" s="7">
        <f>IF(E59="",0,C59*E59)</f>
        <v/>
      </c>
      <c r="G59" s="7">
        <f>IF(B59="I1",20*AVERAGEIF('QA_Images'!$A$2:$A$74,A59,'QA_Images'!$U$2:$U$74)/100,IF(D59="NOT_CHECKED",0,C59))</f>
        <v/>
      </c>
      <c r="H59" s="3" t="inlineStr">
        <is>
          <t>Primary keyword aligns with product-level US purchase intent. Primary keyword rechecked against US product-level SERP comparables.</t>
        </is>
      </c>
      <c r="I59" s="3" t="inlineStr">
        <is>
          <t>evidence_batch_010_096</t>
        </is>
      </c>
      <c r="J59" s="3" t="inlineStr">
        <is>
          <t>ISSUE-0046; ISSUE-0047; ISSUE-0048</t>
        </is>
      </c>
    </row>
    <row r="60" ht="42" customHeight="1">
      <c r="A60" s="2" t="inlineStr">
        <is>
          <t>jeminise.com+custom-photo-quilt-bicycle-flowers-07e2c6fca1-07e2c6fca1</t>
        </is>
      </c>
      <c r="B60" s="2" t="inlineStr">
        <is>
          <t>K2</t>
        </is>
      </c>
      <c r="C60" s="2" t="n">
        <v>5</v>
      </c>
      <c r="D60" s="2" t="inlineStr">
        <is>
          <t>PARTIAL</t>
        </is>
      </c>
      <c r="E60" s="5">
        <f>IF(B60="I1",AVERAGEIF('QA_Images'!$A$2:$A$74,A60,'QA_Images'!$T$2:$T$74)/100,IF(D60="FULL",1,IF(D60="PARTIAL",0.5,IF(D60="FAIL",0,""))))</f>
        <v/>
      </c>
      <c r="F60" s="5">
        <f>IF(E60="",0,C60*E60)</f>
        <v/>
      </c>
      <c r="G60" s="5">
        <f>IF(B60="I1",20*AVERAGEIF('QA_Images'!$A$2:$A$74,A60,'QA_Images'!$U$2:$U$74)/100,IF(D60="NOT_CHECKED",0,C60))</f>
        <v/>
      </c>
      <c r="H60" s="2" t="inlineStr">
        <is>
          <t>Intent/cannibalization check distinguishes nearby products. Nearby product cluster has overlap risk, so intent distinction remains only partial.</t>
        </is>
      </c>
      <c r="I60" s="2" t="inlineStr">
        <is>
          <t>evidence_batch_010_096</t>
        </is>
      </c>
      <c r="J60" s="2" t="inlineStr">
        <is>
          <t>ISSUE-0046; ISSUE-0047; ISSUE-0048</t>
        </is>
      </c>
    </row>
    <row r="61" ht="42" customHeight="1">
      <c r="A61" s="3" t="inlineStr">
        <is>
          <t>jeminise.com+custom-photo-quilt-bicycle-flowers-07e2c6fca1-07e2c6fca1</t>
        </is>
      </c>
      <c r="B61" s="3" t="inlineStr">
        <is>
          <t>K3</t>
        </is>
      </c>
      <c r="C61" s="3" t="n">
        <v>5</v>
      </c>
      <c r="D61" s="3" t="inlineStr">
        <is>
          <t>PARTIAL</t>
        </is>
      </c>
      <c r="E61" s="7">
        <f>IF(B61="I1",AVERAGEIF('QA_Images'!$A$2:$A$74,A61,'QA_Images'!$T$2:$T$74)/100,IF(D61="FULL",1,IF(D61="PARTIAL",0.5,IF(D61="FAIL",0,""))))</f>
        <v/>
      </c>
      <c r="F61" s="7">
        <f>IF(E61="",0,C61*E61)</f>
        <v/>
      </c>
      <c r="G61" s="7">
        <f>IF(B61="I1",20*AVERAGEIF('QA_Images'!$A$2:$A$74,A61,'QA_Images'!$U$2:$U$74)/100,IF(D61="NOT_CHECKED",0,C61))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evidence_batch_010_096</t>
        </is>
      </c>
      <c r="J61" s="3" t="inlineStr">
        <is>
          <t>ISSUE-0046; ISSUE-0047; ISSUE-0048</t>
        </is>
      </c>
    </row>
    <row r="62" ht="42" customHeight="1">
      <c r="A62" s="2" t="inlineStr">
        <is>
          <t>jeminise.com+custom-photo-quilt-bicycle-flowers-07e2c6fca1-07e2c6fca1</t>
        </is>
      </c>
      <c r="B62" s="2" t="inlineStr">
        <is>
          <t>T1</t>
        </is>
      </c>
      <c r="C62" s="2" t="n">
        <v>10</v>
      </c>
      <c r="D62" s="2" t="inlineStr">
        <is>
          <t>FULL</t>
        </is>
      </c>
      <c r="E62" s="5">
        <f>IF(B62="I1",AVERAGEIF('QA_Images'!$A$2:$A$74,A62,'QA_Images'!$T$2:$T$74)/100,IF(D62="FULL",1,IF(D62="PARTIAL",0.5,IF(D62="FAIL",0,""))))</f>
        <v/>
      </c>
      <c r="F62" s="5">
        <f>IF(E62="",0,C62*E62)</f>
        <v/>
      </c>
      <c r="G62" s="5">
        <f>IF(B62="I1",20*AVERAGEIF('QA_Images'!$A$2:$A$74,A62,'QA_Images'!$U$2:$U$74)/100,IF(D62="NOT_CHECKED",0,C62))</f>
        <v/>
      </c>
      <c r="H62" s="2" t="inlineStr">
        <is>
          <t>SEO title and H1 are relevant, specific and grounded in visible/source facts. Title/H1 are product-specific and tied to visible motif/product type.</t>
        </is>
      </c>
      <c r="I62" s="2" t="inlineStr">
        <is>
          <t>evidence_batch_010_096</t>
        </is>
      </c>
      <c r="J62" s="2" t="inlineStr">
        <is>
          <t>ISSUE-0046; ISSUE-0047; ISSUE-0048</t>
        </is>
      </c>
    </row>
    <row r="63" ht="42" customHeight="1">
      <c r="A63" s="3" t="inlineStr">
        <is>
          <t>jeminise.com+custom-photo-quilt-bicycle-flowers-07e2c6fca1-07e2c6fca1</t>
        </is>
      </c>
      <c r="B63" s="3" t="inlineStr">
        <is>
          <t>T2</t>
        </is>
      </c>
      <c r="C63" s="3" t="n">
        <v>5</v>
      </c>
      <c r="D63" s="3" t="inlineStr">
        <is>
          <t>PARTIAL</t>
        </is>
      </c>
      <c r="E63" s="7">
        <f>IF(B63="I1",AVERAGEIF('QA_Images'!$A$2:$A$74,A63,'QA_Images'!$T$2:$T$74)/100,IF(D63="FULL",1,IF(D63="PARTIAL",0.5,IF(D63="FAIL",0,""))))</f>
        <v/>
      </c>
      <c r="F63" s="7">
        <f>IF(E63="",0,C63*E63)</f>
        <v/>
      </c>
      <c r="G63" s="7">
        <f>IF(B63="I1",20*AVERAGEIF('QA_Images'!$A$2:$A$74,A63,'QA_Images'!$U$2:$U$74)/100,IF(D63="NOT_CHECKED",0,C63))</f>
        <v/>
      </c>
      <c r="H63" s="3" t="inlineStr">
        <is>
          <t>Meta description is concise, publish-ready and avoids unsupported claims. Meta description checked for length, specificity and supportable claims.</t>
        </is>
      </c>
      <c r="I63" s="3" t="inlineStr">
        <is>
          <t>evidence_batch_010_096</t>
        </is>
      </c>
      <c r="J63" s="3" t="inlineStr">
        <is>
          <t>ISSUE-0046; ISSUE-0047; ISSUE-0048</t>
        </is>
      </c>
    </row>
    <row r="64" ht="42" customHeight="1">
      <c r="A64" s="2" t="inlineStr">
        <is>
          <t>jeminise.com+custom-photo-quilt-bicycle-flowers-07e2c6fca1-07e2c6fca1</t>
        </is>
      </c>
      <c r="B64" s="2" t="inlineStr">
        <is>
          <t>D1</t>
        </is>
      </c>
      <c r="C64" s="2" t="n">
        <v>10</v>
      </c>
      <c r="D64" s="2" t="inlineStr">
        <is>
          <t>FAIL</t>
        </is>
      </c>
      <c r="E64" s="5">
        <f>IF(B64="I1",AVERAGEIF('QA_Images'!$A$2:$A$74,A64,'QA_Images'!$T$2:$T$74)/100,IF(D64="FULL",1,IF(D64="PARTIAL",0.5,IF(D64="FAIL",0,""))))</f>
        <v/>
      </c>
      <c r="F64" s="5">
        <f>IF(E64="",0,C64*E64)</f>
        <v/>
      </c>
      <c r="G64" s="5">
        <f>IF(B64="I1",20*AVERAGEIF('QA_Images'!$A$2:$A$74,A64,'QA_Images'!$U$2:$U$74)/100,IF(D64="NOT_CHECKED",0,C64))</f>
        <v/>
      </c>
      <c r="H64" s="2" t="inlineStr">
        <is>
          <t>Description HTML is publish-ready and free of internal draft/QA instructions. Description HTML still contains internal QA/import language.</t>
        </is>
      </c>
      <c r="I64" s="2" t="inlineStr">
        <is>
          <t>evidence_batch_010_096</t>
        </is>
      </c>
      <c r="J64" s="2" t="inlineStr">
        <is>
          <t>ISSUE-0046; ISSUE-0047; ISSUE-0048</t>
        </is>
      </c>
    </row>
    <row r="65" ht="42" customHeight="1">
      <c r="A65" s="3" t="inlineStr">
        <is>
          <t>jeminise.com+custom-photo-quilt-bicycle-flowers-07e2c6fca1-07e2c6fca1</t>
        </is>
      </c>
      <c r="B65" s="3" t="inlineStr">
        <is>
          <t>D2</t>
        </is>
      </c>
      <c r="C65" s="3" t="n">
        <v>5</v>
      </c>
      <c r="D65" s="3" t="inlineStr">
        <is>
          <t>PARTIAL</t>
        </is>
      </c>
      <c r="E65" s="7">
        <f>IF(B65="I1",AVERAGEIF('QA_Images'!$A$2:$A$74,A65,'QA_Images'!$T$2:$T$74)/100,IF(D65="FULL",1,IF(D65="PARTIAL",0.5,IF(D65="FAIL",0,""))))</f>
        <v/>
      </c>
      <c r="F65" s="7">
        <f>IF(E65="",0,C65*E65)</f>
        <v/>
      </c>
      <c r="G65" s="7">
        <f>IF(B65="I1",20*AVERAGEIF('QA_Images'!$A$2:$A$74,A65,'QA_Images'!$U$2:$U$74)/100,IF(D65="NOT_CHECKED",0,C65))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evidence_batch_010_096</t>
        </is>
      </c>
      <c r="J65" s="3" t="inlineStr">
        <is>
          <t>ISSUE-0046; ISSUE-0047; ISSUE-0048</t>
        </is>
      </c>
    </row>
    <row r="66" ht="42" customHeight="1">
      <c r="A66" s="2" t="inlineStr">
        <is>
          <t>jeminise.com+custom-photo-quilt-bicycle-flowers-07e2c6fca1-07e2c6fca1</t>
        </is>
      </c>
      <c r="B66" s="2" t="inlineStr">
        <is>
          <t>I1</t>
        </is>
      </c>
      <c r="C66" s="2" t="n">
        <v>20</v>
      </c>
      <c r="D66" s="2" t="inlineStr">
        <is>
          <t>FULL</t>
        </is>
      </c>
      <c r="E66" s="5">
        <f>IF(B66="I1",AVERAGEIF('QA_Images'!$A$2:$A$74,A66,'QA_Images'!$T$2:$T$74)/100,IF(D66="FULL",1,IF(D66="PARTIAL",0.5,IF(D66="FAIL",0,""))))</f>
        <v/>
      </c>
      <c r="F66" s="5">
        <f>IF(E66="",0,C66*E66)</f>
        <v/>
      </c>
      <c r="G66" s="5">
        <f>IF(B66="I1",20*AVERAGEIF('QA_Images'!$A$2:$A$74,A66,'QA_Images'!$U$2:$U$74)/100,IF(D66="NOT_CHECKED",0,C66))</f>
        <v/>
      </c>
      <c r="H66" s="2" t="inlineStr">
        <is>
          <t>Image coverage, image observations and alt text quality, derived from QA_Images. Derived from average image QA score; see QA_Images.</t>
        </is>
      </c>
      <c r="I66" s="2" t="inlineStr">
        <is>
          <t>evidence_batch_010_096</t>
        </is>
      </c>
      <c r="J66" s="2" t="inlineStr">
        <is>
          <t>ISSUE-0046; ISSUE-0047; ISSUE-0048</t>
        </is>
      </c>
    </row>
    <row r="67" ht="42" customHeight="1">
      <c r="A67" s="3" t="inlineStr">
        <is>
          <t>jeminise.com+custom-photo-quilt-bicycle-flowers-07e2c6fca1-07e2c6fca1</t>
        </is>
      </c>
      <c r="B67" s="3" t="inlineStr">
        <is>
          <t>E1</t>
        </is>
      </c>
      <c r="C67" s="3" t="n">
        <v>5</v>
      </c>
      <c r="D67" s="3" t="inlineStr">
        <is>
          <t>PARTIAL</t>
        </is>
      </c>
      <c r="E67" s="7">
        <f>IF(B67="I1",AVERAGEIF('QA_Images'!$A$2:$A$74,A67,'QA_Images'!$T$2:$T$74)/100,IF(D67="FULL",1,IF(D67="PARTIAL",0.5,IF(D67="FAIL",0,""))))</f>
        <v/>
      </c>
      <c r="F67" s="7">
        <f>IF(E67="",0,C67*E67)</f>
        <v/>
      </c>
      <c r="G67" s="7">
        <f>IF(B67="I1",20*AVERAGEIF('QA_Images'!$A$2:$A$74,A67,'QA_Images'!$U$2:$U$74)/100,IF(D67="NOT_CHECKED",0,C67))</f>
        <v/>
      </c>
      <c r="H67" s="3" t="inlineStr">
        <is>
          <t>Evidence chain is traceable and limitations are explicitly separated from failures. Evidence chain is traceable, with admin-export limitation explicitly separated.</t>
        </is>
      </c>
      <c r="I67" s="3" t="inlineStr">
        <is>
          <t>evidence_batch_010_096</t>
        </is>
      </c>
      <c r="J67" s="3" t="inlineStr">
        <is>
          <t>ISSUE-0046; ISSUE-0047; ISSUE-0048</t>
        </is>
      </c>
    </row>
    <row r="68" ht="42" customHeight="1">
      <c r="A68" s="2" t="inlineStr">
        <is>
          <t>jeminise.com+custom-purple-butterflies-text-blanket-machine-washable-d7b</t>
        </is>
      </c>
      <c r="B68" s="2" t="inlineStr">
        <is>
          <t>P1</t>
        </is>
      </c>
      <c r="C68" s="2" t="n">
        <v>15</v>
      </c>
      <c r="D68" s="2" t="inlineStr">
        <is>
          <t>FULL</t>
        </is>
      </c>
      <c r="E68" s="5">
        <f>IF(B68="I1",AVERAGEIF('QA_Images'!$A$2:$A$74,A68,'QA_Images'!$T$2:$T$74)/100,IF(D68="FULL",1,IF(D68="PARTIAL",0.5,IF(D68="FAIL",0,""))))</f>
        <v/>
      </c>
      <c r="F68" s="5">
        <f>IF(E68="",0,C68*E68)</f>
        <v/>
      </c>
      <c r="G68" s="5">
        <f>IF(B68="I1",20*AVERAGEIF('QA_Images'!$A$2:$A$74,A68,'QA_Images'!$U$2:$U$74)/100,IF(D68="NOT_CHECKED",0,C68))</f>
        <v/>
      </c>
      <c r="H68" s="2" t="inlineStr">
        <is>
          <t>Product identity, handle, product ID, URL and canonical match source/live evidence. Product key/handle/product ID/canonical checked against frozen workbook and live product evidence.</t>
        </is>
      </c>
      <c r="I68" s="2" t="inlineStr">
        <is>
          <t>evidence_batch_010_097</t>
        </is>
      </c>
      <c r="J68" s="2" t="inlineStr">
        <is>
          <t>ISSUE-0054; ISSUE-0055; ISSUE-0056; ISSUE-0057</t>
        </is>
      </c>
    </row>
    <row r="69" ht="42" customHeight="1">
      <c r="A69" s="3" t="inlineStr">
        <is>
          <t>jeminise.com+custom-purple-butterflies-text-blanket-machine-washable-d7b</t>
        </is>
      </c>
      <c r="B69" s="3" t="inlineStr">
        <is>
          <t>P2</t>
        </is>
      </c>
      <c r="C69" s="3" t="n">
        <v>10</v>
      </c>
      <c r="D69" s="3" t="inlineStr">
        <is>
          <t>PARTIAL</t>
        </is>
      </c>
      <c r="E69" s="7">
        <f>IF(B69="I1",AVERAGEIF('QA_Images'!$A$2:$A$74,A69,'QA_Images'!$T$2:$T$74)/100,IF(D69="FULL",1,IF(D69="PARTIAL",0.5,IF(D69="FAIL",0,""))))</f>
        <v/>
      </c>
      <c r="F69" s="7">
        <f>IF(E69="",0,C69*E69)</f>
        <v/>
      </c>
      <c r="G69" s="7">
        <f>IF(B69="I1",20*AVERAGEIF('QA_Images'!$A$2:$A$74,A69,'QA_Images'!$U$2:$U$74)/100,IF(D69="NOT_CHECKED",0,C69))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evidence_batch_010_097</t>
        </is>
      </c>
      <c r="J69" s="3" t="inlineStr">
        <is>
          <t>ISSUE-0054; ISSUE-0055; ISSUE-0056; ISSUE-0057</t>
        </is>
      </c>
    </row>
    <row r="70" ht="42" customHeight="1">
      <c r="A70" s="2" t="inlineStr">
        <is>
          <t>jeminise.com+custom-purple-butterflies-text-blanket-machine-washable-d7b</t>
        </is>
      </c>
      <c r="B70" s="2" t="inlineStr">
        <is>
          <t>K1</t>
        </is>
      </c>
      <c r="C70" s="2" t="n">
        <v>10</v>
      </c>
      <c r="D70" s="2" t="inlineStr">
        <is>
          <t>PARTIAL</t>
        </is>
      </c>
      <c r="E70" s="5">
        <f>IF(B70="I1",AVERAGEIF('QA_Images'!$A$2:$A$74,A70,'QA_Images'!$T$2:$T$74)/100,IF(D70="FULL",1,IF(D70="PARTIAL",0.5,IF(D70="FAIL",0,""))))</f>
        <v/>
      </c>
      <c r="F70" s="5">
        <f>IF(E70="",0,C70*E70)</f>
        <v/>
      </c>
      <c r="G70" s="5">
        <f>IF(B70="I1",20*AVERAGEIF('QA_Images'!$A$2:$A$74,A70,'QA_Images'!$U$2:$U$74)/100,IF(D70="NOT_CHECKED",0,C70))</f>
        <v/>
      </c>
      <c r="H70" s="2" t="inlineStr">
        <is>
          <t>Primary keyword aligns with product-level US purchase intent. Primary keyword rechecked against US product-level SERP comparables.</t>
        </is>
      </c>
      <c r="I70" s="2" t="inlineStr">
        <is>
          <t>evidence_batch_010_097</t>
        </is>
      </c>
      <c r="J70" s="2" t="inlineStr">
        <is>
          <t>ISSUE-0054; ISSUE-0055; ISSUE-0056; ISSUE-0057</t>
        </is>
      </c>
    </row>
    <row r="71" ht="42" customHeight="1">
      <c r="A71" s="3" t="inlineStr">
        <is>
          <t>jeminise.com+custom-purple-butterflies-text-blanket-machine-washable-d7b</t>
        </is>
      </c>
      <c r="B71" s="3" t="inlineStr">
        <is>
          <t>K2</t>
        </is>
      </c>
      <c r="C71" s="3" t="n">
        <v>5</v>
      </c>
      <c r="D71" s="3" t="inlineStr">
        <is>
          <t>PARTIAL</t>
        </is>
      </c>
      <c r="E71" s="7">
        <f>IF(B71="I1",AVERAGEIF('QA_Images'!$A$2:$A$74,A71,'QA_Images'!$T$2:$T$74)/100,IF(D71="FULL",1,IF(D71="PARTIAL",0.5,IF(D71="FAIL",0,""))))</f>
        <v/>
      </c>
      <c r="F71" s="7">
        <f>IF(E71="",0,C71*E71)</f>
        <v/>
      </c>
      <c r="G71" s="7">
        <f>IF(B71="I1",20*AVERAGEIF('QA_Images'!$A$2:$A$74,A71,'QA_Images'!$U$2:$U$74)/100,IF(D71="NOT_CHECKED",0,C71))</f>
        <v/>
      </c>
      <c r="H71" s="3" t="inlineStr">
        <is>
          <t>Intent/cannibalization check distinguishes nearby products. Nearby product cluster has overlap risk, so intent distinction remains only partial.</t>
        </is>
      </c>
      <c r="I71" s="3" t="inlineStr">
        <is>
          <t>evidence_batch_010_097</t>
        </is>
      </c>
      <c r="J71" s="3" t="inlineStr">
        <is>
          <t>ISSUE-0054; ISSUE-0055; ISSUE-0056; ISSUE-0057</t>
        </is>
      </c>
    </row>
    <row r="72" ht="42" customHeight="1">
      <c r="A72" s="2" t="inlineStr">
        <is>
          <t>jeminise.com+custom-purple-butterflies-text-blanket-machine-washable-d7b</t>
        </is>
      </c>
      <c r="B72" s="2" t="inlineStr">
        <is>
          <t>K3</t>
        </is>
      </c>
      <c r="C72" s="2" t="n">
        <v>5</v>
      </c>
      <c r="D72" s="2" t="inlineStr">
        <is>
          <t>PARTIAL</t>
        </is>
      </c>
      <c r="E72" s="5">
        <f>IF(B72="I1",AVERAGEIF('QA_Images'!$A$2:$A$74,A72,'QA_Images'!$T$2:$T$74)/100,IF(D72="FULL",1,IF(D72="PARTIAL",0.5,IF(D72="FAIL",0,""))))</f>
        <v/>
      </c>
      <c r="F72" s="5">
        <f>IF(E72="",0,C72*E72)</f>
        <v/>
      </c>
      <c r="G72" s="5">
        <f>IF(B72="I1",20*AVERAGEIF('QA_Images'!$A$2:$A$74,A72,'QA_Images'!$U$2:$U$74)/100,IF(D72="NOT_CHECKED",0,C72))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evidence_batch_010_097</t>
        </is>
      </c>
      <c r="J72" s="2" t="inlineStr">
        <is>
          <t>ISSUE-0054; ISSUE-0055; ISSUE-0056; ISSUE-0057</t>
        </is>
      </c>
    </row>
    <row r="73" ht="42" customHeight="1">
      <c r="A73" s="3" t="inlineStr">
        <is>
          <t>jeminise.com+custom-purple-butterflies-text-blanket-machine-washable-d7b</t>
        </is>
      </c>
      <c r="B73" s="3" t="inlineStr">
        <is>
          <t>T1</t>
        </is>
      </c>
      <c r="C73" s="3" t="n">
        <v>10</v>
      </c>
      <c r="D73" s="3" t="inlineStr">
        <is>
          <t>FULL</t>
        </is>
      </c>
      <c r="E73" s="7">
        <f>IF(B73="I1",AVERAGEIF('QA_Images'!$A$2:$A$74,A73,'QA_Images'!$T$2:$T$74)/100,IF(D73="FULL",1,IF(D73="PARTIAL",0.5,IF(D73="FAIL",0,""))))</f>
        <v/>
      </c>
      <c r="F73" s="7">
        <f>IF(E73="",0,C73*E73)</f>
        <v/>
      </c>
      <c r="G73" s="7">
        <f>IF(B73="I1",20*AVERAGEIF('QA_Images'!$A$2:$A$74,A73,'QA_Images'!$U$2:$U$74)/100,IF(D73="NOT_CHECKED",0,C73))</f>
        <v/>
      </c>
      <c r="H73" s="3" t="inlineStr">
        <is>
          <t>SEO title and H1 are relevant, specific and grounded in visible/source facts. Title/H1 are product-specific and tied to visible motif/product type.</t>
        </is>
      </c>
      <c r="I73" s="3" t="inlineStr">
        <is>
          <t>evidence_batch_010_097</t>
        </is>
      </c>
      <c r="J73" s="3" t="inlineStr">
        <is>
          <t>ISSUE-0054; ISSUE-0055; ISSUE-0056; ISSUE-0057</t>
        </is>
      </c>
    </row>
    <row r="74" ht="42" customHeight="1">
      <c r="A74" s="2" t="inlineStr">
        <is>
          <t>jeminise.com+custom-purple-butterflies-text-blanket-machine-washable-d7b</t>
        </is>
      </c>
      <c r="B74" s="2" t="inlineStr">
        <is>
          <t>T2</t>
        </is>
      </c>
      <c r="C74" s="2" t="n">
        <v>5</v>
      </c>
      <c r="D74" s="2" t="inlineStr">
        <is>
          <t>PARTIAL</t>
        </is>
      </c>
      <c r="E74" s="5">
        <f>IF(B74="I1",AVERAGEIF('QA_Images'!$A$2:$A$74,A74,'QA_Images'!$T$2:$T$74)/100,IF(D74="FULL",1,IF(D74="PARTIAL",0.5,IF(D74="FAIL",0,""))))</f>
        <v/>
      </c>
      <c r="F74" s="5">
        <f>IF(E74="",0,C74*E74)</f>
        <v/>
      </c>
      <c r="G74" s="5">
        <f>IF(B74="I1",20*AVERAGEIF('QA_Images'!$A$2:$A$74,A74,'QA_Images'!$U$2:$U$74)/100,IF(D74="NOT_CHECKED",0,C74))</f>
        <v/>
      </c>
      <c r="H74" s="2" t="inlineStr">
        <is>
          <t>Meta description is concise, publish-ready and avoids unsupported claims. Meta description checked for length, specificity and supportable claims.</t>
        </is>
      </c>
      <c r="I74" s="2" t="inlineStr">
        <is>
          <t>evidence_batch_010_097</t>
        </is>
      </c>
      <c r="J74" s="2" t="inlineStr">
        <is>
          <t>ISSUE-0054; ISSUE-0055; ISSUE-0056; ISSUE-0057</t>
        </is>
      </c>
    </row>
    <row r="75" ht="42" customHeight="1">
      <c r="A75" s="3" t="inlineStr">
        <is>
          <t>jeminise.com+custom-purple-butterflies-text-blanket-machine-washable-d7b</t>
        </is>
      </c>
      <c r="B75" s="3" t="inlineStr">
        <is>
          <t>D1</t>
        </is>
      </c>
      <c r="C75" s="3" t="n">
        <v>10</v>
      </c>
      <c r="D75" s="3" t="inlineStr">
        <is>
          <t>FAIL</t>
        </is>
      </c>
      <c r="E75" s="7">
        <f>IF(B75="I1",AVERAGEIF('QA_Images'!$A$2:$A$74,A75,'QA_Images'!$T$2:$T$74)/100,IF(D75="FULL",1,IF(D75="PARTIAL",0.5,IF(D75="FAIL",0,""))))</f>
        <v/>
      </c>
      <c r="F75" s="7">
        <f>IF(E75="",0,C75*E75)</f>
        <v/>
      </c>
      <c r="G75" s="7">
        <f>IF(B75="I1",20*AVERAGEIF('QA_Images'!$A$2:$A$74,A75,'QA_Images'!$U$2:$U$74)/100,IF(D75="NOT_CHECKED",0,C75))</f>
        <v/>
      </c>
      <c r="H75" s="3" t="inlineStr">
        <is>
          <t>Description HTML is publish-ready and free of internal draft/QA instructions. Description HTML still contains internal QA/import language.</t>
        </is>
      </c>
      <c r="I75" s="3" t="inlineStr">
        <is>
          <t>evidence_batch_010_097</t>
        </is>
      </c>
      <c r="J75" s="3" t="inlineStr">
        <is>
          <t>ISSUE-0054; ISSUE-0055; ISSUE-0056; ISSUE-0057</t>
        </is>
      </c>
    </row>
    <row r="76" ht="42" customHeight="1">
      <c r="A76" s="2" t="inlineStr">
        <is>
          <t>jeminise.com+custom-purple-butterflies-text-blanket-machine-washable-d7b</t>
        </is>
      </c>
      <c r="B76" s="2" t="inlineStr">
        <is>
          <t>D2</t>
        </is>
      </c>
      <c r="C76" s="2" t="n">
        <v>5</v>
      </c>
      <c r="D76" s="2" t="inlineStr">
        <is>
          <t>PARTIAL</t>
        </is>
      </c>
      <c r="E76" s="5">
        <f>IF(B76="I1",AVERAGEIF('QA_Images'!$A$2:$A$74,A76,'QA_Images'!$T$2:$T$74)/100,IF(D76="FULL",1,IF(D76="PARTIAL",0.5,IF(D76="FAIL",0,""))))</f>
        <v/>
      </c>
      <c r="F76" s="5">
        <f>IF(E76="",0,C76*E76)</f>
        <v/>
      </c>
      <c r="G76" s="5">
        <f>IF(B76="I1",20*AVERAGEIF('QA_Images'!$A$2:$A$74,A76,'QA_Images'!$U$2:$U$74)/100,IF(D76="NOT_CHECKED",0,C76))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evidence_batch_010_097</t>
        </is>
      </c>
      <c r="J76" s="2" t="inlineStr">
        <is>
          <t>ISSUE-0054; ISSUE-0055; ISSUE-0056; ISSUE-0057</t>
        </is>
      </c>
    </row>
    <row r="77" ht="42" customHeight="1">
      <c r="A77" s="3" t="inlineStr">
        <is>
          <t>jeminise.com+custom-purple-butterflies-text-blanket-machine-washable-d7b</t>
        </is>
      </c>
      <c r="B77" s="3" t="inlineStr">
        <is>
          <t>I1</t>
        </is>
      </c>
      <c r="C77" s="3" t="n">
        <v>20</v>
      </c>
      <c r="D77" s="3" t="inlineStr">
        <is>
          <t>FULL</t>
        </is>
      </c>
      <c r="E77" s="7">
        <f>IF(B77="I1",AVERAGEIF('QA_Images'!$A$2:$A$74,A77,'QA_Images'!$T$2:$T$74)/100,IF(D77="FULL",1,IF(D77="PARTIAL",0.5,IF(D77="FAIL",0,""))))</f>
        <v/>
      </c>
      <c r="F77" s="7">
        <f>IF(E77="",0,C77*E77)</f>
        <v/>
      </c>
      <c r="G77" s="7">
        <f>IF(B77="I1",20*AVERAGEIF('QA_Images'!$A$2:$A$74,A77,'QA_Images'!$U$2:$U$74)/100,IF(D77="NOT_CHECKED",0,C77))</f>
        <v/>
      </c>
      <c r="H77" s="3" t="inlineStr">
        <is>
          <t>Image coverage, image observations and alt text quality, derived from QA_Images. Derived from average image QA score; see QA_Images.</t>
        </is>
      </c>
      <c r="I77" s="3" t="inlineStr">
        <is>
          <t>evidence_batch_010_097</t>
        </is>
      </c>
      <c r="J77" s="3" t="inlineStr">
        <is>
          <t>ISSUE-0054; ISSUE-0055; ISSUE-0056; ISSUE-0057</t>
        </is>
      </c>
    </row>
    <row r="78" ht="42" customHeight="1">
      <c r="A78" s="2" t="inlineStr">
        <is>
          <t>jeminise.com+custom-purple-butterflies-text-blanket-machine-washable-d7b</t>
        </is>
      </c>
      <c r="B78" s="2" t="inlineStr">
        <is>
          <t>E1</t>
        </is>
      </c>
      <c r="C78" s="2" t="n">
        <v>5</v>
      </c>
      <c r="D78" s="2" t="inlineStr">
        <is>
          <t>PARTIAL</t>
        </is>
      </c>
      <c r="E78" s="5">
        <f>IF(B78="I1",AVERAGEIF('QA_Images'!$A$2:$A$74,A78,'QA_Images'!$T$2:$T$74)/100,IF(D78="FULL",1,IF(D78="PARTIAL",0.5,IF(D78="FAIL",0,""))))</f>
        <v/>
      </c>
      <c r="F78" s="5">
        <f>IF(E78="",0,C78*E78)</f>
        <v/>
      </c>
      <c r="G78" s="5">
        <f>IF(B78="I1",20*AVERAGEIF('QA_Images'!$A$2:$A$74,A78,'QA_Images'!$U$2:$U$74)/100,IF(D78="NOT_CHECKED",0,C78))</f>
        <v/>
      </c>
      <c r="H78" s="2" t="inlineStr">
        <is>
          <t>Evidence chain is traceable and limitations are explicitly separated from failures. Evidence chain is traceable, with admin-export limitation explicitly separated.</t>
        </is>
      </c>
      <c r="I78" s="2" t="inlineStr">
        <is>
          <t>evidence_batch_010_097</t>
        </is>
      </c>
      <c r="J78" s="2" t="inlineStr">
        <is>
          <t>ISSUE-0054; ISSUE-0055; ISSUE-0056; ISSUE-0057</t>
        </is>
      </c>
    </row>
    <row r="79" ht="42" customHeight="1">
      <c r="A79" s="3" t="inlineStr">
        <is>
          <t>jeminise.com+custom-purple-butterfly-christian-blanket-machine-washable-d15</t>
        </is>
      </c>
      <c r="B79" s="3" t="inlineStr">
        <is>
          <t>P1</t>
        </is>
      </c>
      <c r="C79" s="3" t="n">
        <v>15</v>
      </c>
      <c r="D79" s="3" t="inlineStr">
        <is>
          <t>FULL</t>
        </is>
      </c>
      <c r="E79" s="7">
        <f>IF(B79="I1",AVERAGEIF('QA_Images'!$A$2:$A$74,A79,'QA_Images'!$T$2:$T$74)/100,IF(D79="FULL",1,IF(D79="PARTIAL",0.5,IF(D79="FAIL",0,""))))</f>
        <v/>
      </c>
      <c r="F79" s="7">
        <f>IF(E79="",0,C79*E79)</f>
        <v/>
      </c>
      <c r="G79" s="7">
        <f>IF(B79="I1",20*AVERAGEIF('QA_Images'!$A$2:$A$74,A79,'QA_Images'!$U$2:$U$74)/100,IF(D79="NOT_CHECKED",0,C79))</f>
        <v/>
      </c>
      <c r="H79" s="3" t="inlineStr">
        <is>
          <t>Product identity, handle, product ID, URL and canonical match source/live evidence. Product key/handle/product ID/canonical checked against frozen workbook and live product evidence.</t>
        </is>
      </c>
      <c r="I79" s="3" t="inlineStr">
        <is>
          <t>evidence_batch_010_098</t>
        </is>
      </c>
      <c r="J79" s="3" t="inlineStr">
        <is>
          <t>ISSUE-0064; ISSUE-0065; ISSUE-0066; ISSUE-0067</t>
        </is>
      </c>
    </row>
    <row r="80" ht="42" customHeight="1">
      <c r="A80" s="2" t="inlineStr">
        <is>
          <t>jeminise.com+custom-purple-butterfly-christian-blanket-machine-washable-d15</t>
        </is>
      </c>
      <c r="B80" s="2" t="inlineStr">
        <is>
          <t>P2</t>
        </is>
      </c>
      <c r="C80" s="2" t="n">
        <v>10</v>
      </c>
      <c r="D80" s="2" t="inlineStr">
        <is>
          <t>PARTIAL</t>
        </is>
      </c>
      <c r="E80" s="5">
        <f>IF(B80="I1",AVERAGEIF('QA_Images'!$A$2:$A$74,A80,'QA_Images'!$T$2:$T$74)/100,IF(D80="FULL",1,IF(D80="PARTIAL",0.5,IF(D80="FAIL",0,""))))</f>
        <v/>
      </c>
      <c r="F80" s="5">
        <f>IF(E80="",0,C80*E80)</f>
        <v/>
      </c>
      <c r="G80" s="5">
        <f>IF(B80="I1",20*AVERAGEIF('QA_Images'!$A$2:$A$74,A80,'QA_Images'!$U$2:$U$74)/100,IF(D80="NOT_CHECKED",0,C80))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evidence_batch_010_098</t>
        </is>
      </c>
      <c r="J80" s="2" t="inlineStr">
        <is>
          <t>ISSUE-0064; ISSUE-0065; ISSUE-0066; ISSUE-0067</t>
        </is>
      </c>
    </row>
    <row r="81" ht="42" customHeight="1">
      <c r="A81" s="3" t="inlineStr">
        <is>
          <t>jeminise.com+custom-purple-butterfly-christian-blanket-machine-washable-d15</t>
        </is>
      </c>
      <c r="B81" s="3" t="inlineStr">
        <is>
          <t>K1</t>
        </is>
      </c>
      <c r="C81" s="3" t="n">
        <v>10</v>
      </c>
      <c r="D81" s="3" t="inlineStr">
        <is>
          <t>PARTIAL</t>
        </is>
      </c>
      <c r="E81" s="7">
        <f>IF(B81="I1",AVERAGEIF('QA_Images'!$A$2:$A$74,A81,'QA_Images'!$T$2:$T$74)/100,IF(D81="FULL",1,IF(D81="PARTIAL",0.5,IF(D81="FAIL",0,""))))</f>
        <v/>
      </c>
      <c r="F81" s="7">
        <f>IF(E81="",0,C81*E81)</f>
        <v/>
      </c>
      <c r="G81" s="7">
        <f>IF(B81="I1",20*AVERAGEIF('QA_Images'!$A$2:$A$74,A81,'QA_Images'!$U$2:$U$74)/100,IF(D81="NOT_CHECKED",0,C81))</f>
        <v/>
      </c>
      <c r="H81" s="3" t="inlineStr">
        <is>
          <t>Primary keyword aligns with product-level US purchase intent. Primary keyword rechecked against US product-level SERP comparables.</t>
        </is>
      </c>
      <c r="I81" s="3" t="inlineStr">
        <is>
          <t>evidence_batch_010_098</t>
        </is>
      </c>
      <c r="J81" s="3" t="inlineStr">
        <is>
          <t>ISSUE-0064; ISSUE-0065; ISSUE-0066; ISSUE-0067</t>
        </is>
      </c>
    </row>
    <row r="82" ht="42" customHeight="1">
      <c r="A82" s="2" t="inlineStr">
        <is>
          <t>jeminise.com+custom-purple-butterfly-christian-blanket-machine-washable-d15</t>
        </is>
      </c>
      <c r="B82" s="2" t="inlineStr">
        <is>
          <t>K2</t>
        </is>
      </c>
      <c r="C82" s="2" t="n">
        <v>5</v>
      </c>
      <c r="D82" s="2" t="inlineStr">
        <is>
          <t>PARTIAL</t>
        </is>
      </c>
      <c r="E82" s="5">
        <f>IF(B82="I1",AVERAGEIF('QA_Images'!$A$2:$A$74,A82,'QA_Images'!$T$2:$T$74)/100,IF(D82="FULL",1,IF(D82="PARTIAL",0.5,IF(D82="FAIL",0,""))))</f>
        <v/>
      </c>
      <c r="F82" s="5">
        <f>IF(E82="",0,C82*E82)</f>
        <v/>
      </c>
      <c r="G82" s="5">
        <f>IF(B82="I1",20*AVERAGEIF('QA_Images'!$A$2:$A$74,A82,'QA_Images'!$U$2:$U$74)/100,IF(D82="NOT_CHECKED",0,C82))</f>
        <v/>
      </c>
      <c r="H82" s="2" t="inlineStr">
        <is>
          <t>Intent/cannibalization check distinguishes nearby products. Nearby product cluster has overlap risk, so intent distinction remains only partial.</t>
        </is>
      </c>
      <c r="I82" s="2" t="inlineStr">
        <is>
          <t>evidence_batch_010_098</t>
        </is>
      </c>
      <c r="J82" s="2" t="inlineStr">
        <is>
          <t>ISSUE-0064; ISSUE-0065; ISSUE-0066; ISSUE-0067</t>
        </is>
      </c>
    </row>
    <row r="83" ht="42" customHeight="1">
      <c r="A83" s="3" t="inlineStr">
        <is>
          <t>jeminise.com+custom-purple-butterfly-christian-blanket-machine-washable-d15</t>
        </is>
      </c>
      <c r="B83" s="3" t="inlineStr">
        <is>
          <t>K3</t>
        </is>
      </c>
      <c r="C83" s="3" t="n">
        <v>5</v>
      </c>
      <c r="D83" s="3" t="inlineStr">
        <is>
          <t>PARTIAL</t>
        </is>
      </c>
      <c r="E83" s="7">
        <f>IF(B83="I1",AVERAGEIF('QA_Images'!$A$2:$A$74,A83,'QA_Images'!$T$2:$T$74)/100,IF(D83="FULL",1,IF(D83="PARTIAL",0.5,IF(D83="FAIL",0,""))))</f>
        <v/>
      </c>
      <c r="F83" s="7">
        <f>IF(E83="",0,C83*E83)</f>
        <v/>
      </c>
      <c r="G83" s="7">
        <f>IF(B83="I1",20*AVERAGEIF('QA_Images'!$A$2:$A$74,A83,'QA_Images'!$U$2:$U$74)/100,IF(D83="NOT_CHECKED",0,C83))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evidence_batch_010_098</t>
        </is>
      </c>
      <c r="J83" s="3" t="inlineStr">
        <is>
          <t>ISSUE-0064; ISSUE-0065; ISSUE-0066; ISSUE-0067</t>
        </is>
      </c>
    </row>
    <row r="84" ht="42" customHeight="1">
      <c r="A84" s="2" t="inlineStr">
        <is>
          <t>jeminise.com+custom-purple-butterfly-christian-blanket-machine-washable-d15</t>
        </is>
      </c>
      <c r="B84" s="2" t="inlineStr">
        <is>
          <t>T1</t>
        </is>
      </c>
      <c r="C84" s="2" t="n">
        <v>10</v>
      </c>
      <c r="D84" s="2" t="inlineStr">
        <is>
          <t>FULL</t>
        </is>
      </c>
      <c r="E84" s="5">
        <f>IF(B84="I1",AVERAGEIF('QA_Images'!$A$2:$A$74,A84,'QA_Images'!$T$2:$T$74)/100,IF(D84="FULL",1,IF(D84="PARTIAL",0.5,IF(D84="FAIL",0,""))))</f>
        <v/>
      </c>
      <c r="F84" s="5">
        <f>IF(E84="",0,C84*E84)</f>
        <v/>
      </c>
      <c r="G84" s="5">
        <f>IF(B84="I1",20*AVERAGEIF('QA_Images'!$A$2:$A$74,A84,'QA_Images'!$U$2:$U$74)/100,IF(D84="NOT_CHECKED",0,C84))</f>
        <v/>
      </c>
      <c r="H84" s="2" t="inlineStr">
        <is>
          <t>SEO title and H1 are relevant, specific and grounded in visible/source facts. Title/H1 are product-specific and tied to visible motif/product type.</t>
        </is>
      </c>
      <c r="I84" s="2" t="inlineStr">
        <is>
          <t>evidence_batch_010_098</t>
        </is>
      </c>
      <c r="J84" s="2" t="inlineStr">
        <is>
          <t>ISSUE-0064; ISSUE-0065; ISSUE-0066; ISSUE-0067</t>
        </is>
      </c>
    </row>
    <row r="85" ht="42" customHeight="1">
      <c r="A85" s="3" t="inlineStr">
        <is>
          <t>jeminise.com+custom-purple-butterfly-christian-blanket-machine-washable-d15</t>
        </is>
      </c>
      <c r="B85" s="3" t="inlineStr">
        <is>
          <t>T2</t>
        </is>
      </c>
      <c r="C85" s="3" t="n">
        <v>5</v>
      </c>
      <c r="D85" s="3" t="inlineStr">
        <is>
          <t>PARTIAL</t>
        </is>
      </c>
      <c r="E85" s="7">
        <f>IF(B85="I1",AVERAGEIF('QA_Images'!$A$2:$A$74,A85,'QA_Images'!$T$2:$T$74)/100,IF(D85="FULL",1,IF(D85="PARTIAL",0.5,IF(D85="FAIL",0,""))))</f>
        <v/>
      </c>
      <c r="F85" s="7">
        <f>IF(E85="",0,C85*E85)</f>
        <v/>
      </c>
      <c r="G85" s="7">
        <f>IF(B85="I1",20*AVERAGEIF('QA_Images'!$A$2:$A$74,A85,'QA_Images'!$U$2:$U$74)/100,IF(D85="NOT_CHECKED",0,C85))</f>
        <v/>
      </c>
      <c r="H85" s="3" t="inlineStr">
        <is>
          <t>Meta description is concise, publish-ready and avoids unsupported claims. Meta description checked for length, specificity and supportable claims.</t>
        </is>
      </c>
      <c r="I85" s="3" t="inlineStr">
        <is>
          <t>evidence_batch_010_098</t>
        </is>
      </c>
      <c r="J85" s="3" t="inlineStr">
        <is>
          <t>ISSUE-0064; ISSUE-0065; ISSUE-0066; ISSUE-0067</t>
        </is>
      </c>
    </row>
    <row r="86" ht="42" customHeight="1">
      <c r="A86" s="2" t="inlineStr">
        <is>
          <t>jeminise.com+custom-purple-butterfly-christian-blanket-machine-washable-d15</t>
        </is>
      </c>
      <c r="B86" s="2" t="inlineStr">
        <is>
          <t>D1</t>
        </is>
      </c>
      <c r="C86" s="2" t="n">
        <v>10</v>
      </c>
      <c r="D86" s="2" t="inlineStr">
        <is>
          <t>FAIL</t>
        </is>
      </c>
      <c r="E86" s="5">
        <f>IF(B86="I1",AVERAGEIF('QA_Images'!$A$2:$A$74,A86,'QA_Images'!$T$2:$T$74)/100,IF(D86="FULL",1,IF(D86="PARTIAL",0.5,IF(D86="FAIL",0,""))))</f>
        <v/>
      </c>
      <c r="F86" s="5">
        <f>IF(E86="",0,C86*E86)</f>
        <v/>
      </c>
      <c r="G86" s="5">
        <f>IF(B86="I1",20*AVERAGEIF('QA_Images'!$A$2:$A$74,A86,'QA_Images'!$U$2:$U$74)/100,IF(D86="NOT_CHECKED",0,C86))</f>
        <v/>
      </c>
      <c r="H86" s="2" t="inlineStr">
        <is>
          <t>Description HTML is publish-ready and free of internal draft/QA instructions. Description HTML still contains internal QA/import language.</t>
        </is>
      </c>
      <c r="I86" s="2" t="inlineStr">
        <is>
          <t>evidence_batch_010_098</t>
        </is>
      </c>
      <c r="J86" s="2" t="inlineStr">
        <is>
          <t>ISSUE-0064; ISSUE-0065; ISSUE-0066; ISSUE-0067</t>
        </is>
      </c>
    </row>
    <row r="87" ht="42" customHeight="1">
      <c r="A87" s="3" t="inlineStr">
        <is>
          <t>jeminise.com+custom-purple-butterfly-christian-blanket-machine-washable-d15</t>
        </is>
      </c>
      <c r="B87" s="3" t="inlineStr">
        <is>
          <t>D2</t>
        </is>
      </c>
      <c r="C87" s="3" t="n">
        <v>5</v>
      </c>
      <c r="D87" s="3" t="inlineStr">
        <is>
          <t>PARTIAL</t>
        </is>
      </c>
      <c r="E87" s="7">
        <f>IF(B87="I1",AVERAGEIF('QA_Images'!$A$2:$A$74,A87,'QA_Images'!$T$2:$T$74)/100,IF(D87="FULL",1,IF(D87="PARTIAL",0.5,IF(D87="FAIL",0,""))))</f>
        <v/>
      </c>
      <c r="F87" s="7">
        <f>IF(E87="",0,C87*E87)</f>
        <v/>
      </c>
      <c r="G87" s="7">
        <f>IF(B87="I1",20*AVERAGEIF('QA_Images'!$A$2:$A$74,A87,'QA_Images'!$U$2:$U$74)/100,IF(D87="NOT_CHECKED",0,C87))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evidence_batch_010_098</t>
        </is>
      </c>
      <c r="J87" s="3" t="inlineStr">
        <is>
          <t>ISSUE-0064; ISSUE-0065; ISSUE-0066; ISSUE-0067</t>
        </is>
      </c>
    </row>
    <row r="88" ht="42" customHeight="1">
      <c r="A88" s="2" t="inlineStr">
        <is>
          <t>jeminise.com+custom-purple-butterfly-christian-blanket-machine-washable-d15</t>
        </is>
      </c>
      <c r="B88" s="2" t="inlineStr">
        <is>
          <t>I1</t>
        </is>
      </c>
      <c r="C88" s="2" t="n">
        <v>20</v>
      </c>
      <c r="D88" s="2" t="inlineStr">
        <is>
          <t>FULL</t>
        </is>
      </c>
      <c r="E88" s="5">
        <f>IF(B88="I1",AVERAGEIF('QA_Images'!$A$2:$A$74,A88,'QA_Images'!$T$2:$T$74)/100,IF(D88="FULL",1,IF(D88="PARTIAL",0.5,IF(D88="FAIL",0,""))))</f>
        <v/>
      </c>
      <c r="F88" s="5">
        <f>IF(E88="",0,C88*E88)</f>
        <v/>
      </c>
      <c r="G88" s="5">
        <f>IF(B88="I1",20*AVERAGEIF('QA_Images'!$A$2:$A$74,A88,'QA_Images'!$U$2:$U$74)/100,IF(D88="NOT_CHECKED",0,C88))</f>
        <v/>
      </c>
      <c r="H88" s="2" t="inlineStr">
        <is>
          <t>Image coverage, image observations and alt text quality, derived from QA_Images. Derived from average image QA score; see QA_Images.</t>
        </is>
      </c>
      <c r="I88" s="2" t="inlineStr">
        <is>
          <t>evidence_batch_010_098</t>
        </is>
      </c>
      <c r="J88" s="2" t="inlineStr">
        <is>
          <t>ISSUE-0064; ISSUE-0065; ISSUE-0066; ISSUE-0067</t>
        </is>
      </c>
    </row>
    <row r="89" ht="42" customHeight="1">
      <c r="A89" s="3" t="inlineStr">
        <is>
          <t>jeminise.com+custom-purple-butterfly-christian-blanket-machine-washable-d15</t>
        </is>
      </c>
      <c r="B89" s="3" t="inlineStr">
        <is>
          <t>E1</t>
        </is>
      </c>
      <c r="C89" s="3" t="n">
        <v>5</v>
      </c>
      <c r="D89" s="3" t="inlineStr">
        <is>
          <t>PARTIAL</t>
        </is>
      </c>
      <c r="E89" s="7">
        <f>IF(B89="I1",AVERAGEIF('QA_Images'!$A$2:$A$74,A89,'QA_Images'!$T$2:$T$74)/100,IF(D89="FULL",1,IF(D89="PARTIAL",0.5,IF(D89="FAIL",0,""))))</f>
        <v/>
      </c>
      <c r="F89" s="7">
        <f>IF(E89="",0,C89*E89)</f>
        <v/>
      </c>
      <c r="G89" s="7">
        <f>IF(B89="I1",20*AVERAGEIF('QA_Images'!$A$2:$A$74,A89,'QA_Images'!$U$2:$U$74)/100,IF(D89="NOT_CHECKED",0,C89))</f>
        <v/>
      </c>
      <c r="H89" s="3" t="inlineStr">
        <is>
          <t>Evidence chain is traceable and limitations are explicitly separated from failures. Evidence chain is traceable, with admin-export limitation explicitly separated.</t>
        </is>
      </c>
      <c r="I89" s="3" t="inlineStr">
        <is>
          <t>evidence_batch_010_098</t>
        </is>
      </c>
      <c r="J89" s="3" t="inlineStr">
        <is>
          <t>ISSUE-0064; ISSUE-0065; ISSUE-0066; ISSUE-0067</t>
        </is>
      </c>
    </row>
    <row r="90" ht="42" customHeight="1">
      <c r="A90" s="2" t="inlineStr">
        <is>
          <t>jeminise.com+custom-purple-floral-christian-cross-blanket-machine-washable-d2</t>
        </is>
      </c>
      <c r="B90" s="2" t="inlineStr">
        <is>
          <t>P1</t>
        </is>
      </c>
      <c r="C90" s="2" t="n">
        <v>15</v>
      </c>
      <c r="D90" s="2" t="inlineStr">
        <is>
          <t>FULL</t>
        </is>
      </c>
      <c r="E90" s="5">
        <f>IF(B90="I1",AVERAGEIF('QA_Images'!$A$2:$A$74,A90,'QA_Images'!$T$2:$T$74)/100,IF(D90="FULL",1,IF(D90="PARTIAL",0.5,IF(D90="FAIL",0,""))))</f>
        <v/>
      </c>
      <c r="F90" s="5">
        <f>IF(E90="",0,C90*E90)</f>
        <v/>
      </c>
      <c r="G90" s="5">
        <f>IF(B90="I1",20*AVERAGEIF('QA_Images'!$A$2:$A$74,A90,'QA_Images'!$U$2:$U$74)/100,IF(D90="NOT_CHECKED",0,C90))</f>
        <v/>
      </c>
      <c r="H90" s="2" t="inlineStr">
        <is>
          <t>Product identity, handle, product ID, URL and canonical match source/live evidence. Product key/handle/product ID/canonical checked against frozen workbook and live product evidence.</t>
        </is>
      </c>
      <c r="I90" s="2" t="inlineStr">
        <is>
          <t>evidence_batch_010_099</t>
        </is>
      </c>
      <c r="J90" s="2" t="inlineStr">
        <is>
          <t>ISSUE-0074; ISSUE-0075; ISSUE-0076; ISSUE-0077</t>
        </is>
      </c>
    </row>
    <row r="91" ht="42" customHeight="1">
      <c r="A91" s="3" t="inlineStr">
        <is>
          <t>jeminise.com+custom-purple-floral-christian-cross-blanket-machine-washable-d2</t>
        </is>
      </c>
      <c r="B91" s="3" t="inlineStr">
        <is>
          <t>P2</t>
        </is>
      </c>
      <c r="C91" s="3" t="n">
        <v>10</v>
      </c>
      <c r="D91" s="3" t="inlineStr">
        <is>
          <t>PARTIAL</t>
        </is>
      </c>
      <c r="E91" s="7">
        <f>IF(B91="I1",AVERAGEIF('QA_Images'!$A$2:$A$74,A91,'QA_Images'!$T$2:$T$74)/100,IF(D91="FULL",1,IF(D91="PARTIAL",0.5,IF(D91="FAIL",0,""))))</f>
        <v/>
      </c>
      <c r="F91" s="7">
        <f>IF(E91="",0,C91*E91)</f>
        <v/>
      </c>
      <c r="G91" s="7">
        <f>IF(B91="I1",20*AVERAGEIF('QA_Images'!$A$2:$A$74,A91,'QA_Images'!$U$2:$U$74)/100,IF(D91="NOT_CHECKED",0,C91))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evidence_batch_010_099</t>
        </is>
      </c>
      <c r="J91" s="3" t="inlineStr">
        <is>
          <t>ISSUE-0074; ISSUE-0075; ISSUE-0076; ISSUE-0077</t>
        </is>
      </c>
    </row>
    <row r="92" ht="42" customHeight="1">
      <c r="A92" s="2" t="inlineStr">
        <is>
          <t>jeminise.com+custom-purple-floral-christian-cross-blanket-machine-washable-d2</t>
        </is>
      </c>
      <c r="B92" s="2" t="inlineStr">
        <is>
          <t>K1</t>
        </is>
      </c>
      <c r="C92" s="2" t="n">
        <v>10</v>
      </c>
      <c r="D92" s="2" t="inlineStr">
        <is>
          <t>PARTIAL</t>
        </is>
      </c>
      <c r="E92" s="5">
        <f>IF(B92="I1",AVERAGEIF('QA_Images'!$A$2:$A$74,A92,'QA_Images'!$T$2:$T$74)/100,IF(D92="FULL",1,IF(D92="PARTIAL",0.5,IF(D92="FAIL",0,""))))</f>
        <v/>
      </c>
      <c r="F92" s="5">
        <f>IF(E92="",0,C92*E92)</f>
        <v/>
      </c>
      <c r="G92" s="5">
        <f>IF(B92="I1",20*AVERAGEIF('QA_Images'!$A$2:$A$74,A92,'QA_Images'!$U$2:$U$74)/100,IF(D92="NOT_CHECKED",0,C92))</f>
        <v/>
      </c>
      <c r="H92" s="2" t="inlineStr">
        <is>
          <t>Primary keyword aligns with product-level US purchase intent. Primary keyword rechecked against US product-level SERP comparables.</t>
        </is>
      </c>
      <c r="I92" s="2" t="inlineStr">
        <is>
          <t>evidence_batch_010_099</t>
        </is>
      </c>
      <c r="J92" s="2" t="inlineStr">
        <is>
          <t>ISSUE-0074; ISSUE-0075; ISSUE-0076; ISSUE-0077</t>
        </is>
      </c>
    </row>
    <row r="93" ht="42" customHeight="1">
      <c r="A93" s="3" t="inlineStr">
        <is>
          <t>jeminise.com+custom-purple-floral-christian-cross-blanket-machine-washable-d2</t>
        </is>
      </c>
      <c r="B93" s="3" t="inlineStr">
        <is>
          <t>K2</t>
        </is>
      </c>
      <c r="C93" s="3" t="n">
        <v>5</v>
      </c>
      <c r="D93" s="3" t="inlineStr">
        <is>
          <t>PARTIAL</t>
        </is>
      </c>
      <c r="E93" s="7">
        <f>IF(B93="I1",AVERAGEIF('QA_Images'!$A$2:$A$74,A93,'QA_Images'!$T$2:$T$74)/100,IF(D93="FULL",1,IF(D93="PARTIAL",0.5,IF(D93="FAIL",0,""))))</f>
        <v/>
      </c>
      <c r="F93" s="7">
        <f>IF(E93="",0,C93*E93)</f>
        <v/>
      </c>
      <c r="G93" s="7">
        <f>IF(B93="I1",20*AVERAGEIF('QA_Images'!$A$2:$A$74,A93,'QA_Images'!$U$2:$U$74)/100,IF(D93="NOT_CHECKED",0,C93))</f>
        <v/>
      </c>
      <c r="H93" s="3" t="inlineStr">
        <is>
          <t>Intent/cannibalization check distinguishes nearby products. Nearby product cluster has overlap risk, so intent distinction remains only partial.</t>
        </is>
      </c>
      <c r="I93" s="3" t="inlineStr">
        <is>
          <t>evidence_batch_010_099</t>
        </is>
      </c>
      <c r="J93" s="3" t="inlineStr">
        <is>
          <t>ISSUE-0074; ISSUE-0075; ISSUE-0076; ISSUE-0077</t>
        </is>
      </c>
    </row>
    <row r="94" ht="42" customHeight="1">
      <c r="A94" s="2" t="inlineStr">
        <is>
          <t>jeminise.com+custom-purple-floral-christian-cross-blanket-machine-washable-d2</t>
        </is>
      </c>
      <c r="B94" s="2" t="inlineStr">
        <is>
          <t>K3</t>
        </is>
      </c>
      <c r="C94" s="2" t="n">
        <v>5</v>
      </c>
      <c r="D94" s="2" t="inlineStr">
        <is>
          <t>PARTIAL</t>
        </is>
      </c>
      <c r="E94" s="5">
        <f>IF(B94="I1",AVERAGEIF('QA_Images'!$A$2:$A$74,A94,'QA_Images'!$T$2:$T$74)/100,IF(D94="FULL",1,IF(D94="PARTIAL",0.5,IF(D94="FAIL",0,""))))</f>
        <v/>
      </c>
      <c r="F94" s="5">
        <f>IF(E94="",0,C94*E94)</f>
        <v/>
      </c>
      <c r="G94" s="5">
        <f>IF(B94="I1",20*AVERAGEIF('QA_Images'!$A$2:$A$74,A94,'QA_Images'!$U$2:$U$74)/100,IF(D94="NOT_CHECKED",0,C94))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evidence_batch_010_099</t>
        </is>
      </c>
      <c r="J94" s="2" t="inlineStr">
        <is>
          <t>ISSUE-0074; ISSUE-0075; ISSUE-0076; ISSUE-0077</t>
        </is>
      </c>
    </row>
    <row r="95" ht="42" customHeight="1">
      <c r="A95" s="3" t="inlineStr">
        <is>
          <t>jeminise.com+custom-purple-floral-christian-cross-blanket-machine-washable-d2</t>
        </is>
      </c>
      <c r="B95" s="3" t="inlineStr">
        <is>
          <t>T1</t>
        </is>
      </c>
      <c r="C95" s="3" t="n">
        <v>10</v>
      </c>
      <c r="D95" s="3" t="inlineStr">
        <is>
          <t>FULL</t>
        </is>
      </c>
      <c r="E95" s="7">
        <f>IF(B95="I1",AVERAGEIF('QA_Images'!$A$2:$A$74,A95,'QA_Images'!$T$2:$T$74)/100,IF(D95="FULL",1,IF(D95="PARTIAL",0.5,IF(D95="FAIL",0,""))))</f>
        <v/>
      </c>
      <c r="F95" s="7">
        <f>IF(E95="",0,C95*E95)</f>
        <v/>
      </c>
      <c r="G95" s="7">
        <f>IF(B95="I1",20*AVERAGEIF('QA_Images'!$A$2:$A$74,A95,'QA_Images'!$U$2:$U$74)/100,IF(D95="NOT_CHECKED",0,C95))</f>
        <v/>
      </c>
      <c r="H95" s="3" t="inlineStr">
        <is>
          <t>SEO title and H1 are relevant, specific and grounded in visible/source facts. Title/H1 are product-specific and tied to visible motif/product type.</t>
        </is>
      </c>
      <c r="I95" s="3" t="inlineStr">
        <is>
          <t>evidence_batch_010_099</t>
        </is>
      </c>
      <c r="J95" s="3" t="inlineStr">
        <is>
          <t>ISSUE-0074; ISSUE-0075; ISSUE-0076; ISSUE-0077</t>
        </is>
      </c>
    </row>
    <row r="96" ht="42" customHeight="1">
      <c r="A96" s="2" t="inlineStr">
        <is>
          <t>jeminise.com+custom-purple-floral-christian-cross-blanket-machine-washable-d2</t>
        </is>
      </c>
      <c r="B96" s="2" t="inlineStr">
        <is>
          <t>T2</t>
        </is>
      </c>
      <c r="C96" s="2" t="n">
        <v>5</v>
      </c>
      <c r="D96" s="2" t="inlineStr">
        <is>
          <t>PARTIAL</t>
        </is>
      </c>
      <c r="E96" s="5">
        <f>IF(B96="I1",AVERAGEIF('QA_Images'!$A$2:$A$74,A96,'QA_Images'!$T$2:$T$74)/100,IF(D96="FULL",1,IF(D96="PARTIAL",0.5,IF(D96="FAIL",0,""))))</f>
        <v/>
      </c>
      <c r="F96" s="5">
        <f>IF(E96="",0,C96*E96)</f>
        <v/>
      </c>
      <c r="G96" s="5">
        <f>IF(B96="I1",20*AVERAGEIF('QA_Images'!$A$2:$A$74,A96,'QA_Images'!$U$2:$U$74)/100,IF(D96="NOT_CHECKED",0,C96))</f>
        <v/>
      </c>
      <c r="H96" s="2" t="inlineStr">
        <is>
          <t>Meta description is concise, publish-ready and avoids unsupported claims. Meta description checked for length, specificity and supportable claims.</t>
        </is>
      </c>
      <c r="I96" s="2" t="inlineStr">
        <is>
          <t>evidence_batch_010_099</t>
        </is>
      </c>
      <c r="J96" s="2" t="inlineStr">
        <is>
          <t>ISSUE-0074; ISSUE-0075; ISSUE-0076; ISSUE-0077</t>
        </is>
      </c>
    </row>
    <row r="97" ht="42" customHeight="1">
      <c r="A97" s="3" t="inlineStr">
        <is>
          <t>jeminise.com+custom-purple-floral-christian-cross-blanket-machine-washable-d2</t>
        </is>
      </c>
      <c r="B97" s="3" t="inlineStr">
        <is>
          <t>D1</t>
        </is>
      </c>
      <c r="C97" s="3" t="n">
        <v>10</v>
      </c>
      <c r="D97" s="3" t="inlineStr">
        <is>
          <t>FAIL</t>
        </is>
      </c>
      <c r="E97" s="7">
        <f>IF(B97="I1",AVERAGEIF('QA_Images'!$A$2:$A$74,A97,'QA_Images'!$T$2:$T$74)/100,IF(D97="FULL",1,IF(D97="PARTIAL",0.5,IF(D97="FAIL",0,""))))</f>
        <v/>
      </c>
      <c r="F97" s="7">
        <f>IF(E97="",0,C97*E97)</f>
        <v/>
      </c>
      <c r="G97" s="7">
        <f>IF(B97="I1",20*AVERAGEIF('QA_Images'!$A$2:$A$74,A97,'QA_Images'!$U$2:$U$74)/100,IF(D97="NOT_CHECKED",0,C97))</f>
        <v/>
      </c>
      <c r="H97" s="3" t="inlineStr">
        <is>
          <t>Description HTML is publish-ready and free of internal draft/QA instructions. Description HTML still contains internal QA/import language.</t>
        </is>
      </c>
      <c r="I97" s="3" t="inlineStr">
        <is>
          <t>evidence_batch_010_099</t>
        </is>
      </c>
      <c r="J97" s="3" t="inlineStr">
        <is>
          <t>ISSUE-0074; ISSUE-0075; ISSUE-0076; ISSUE-0077</t>
        </is>
      </c>
    </row>
    <row r="98" ht="42" customHeight="1">
      <c r="A98" s="2" t="inlineStr">
        <is>
          <t>jeminise.com+custom-purple-floral-christian-cross-blanket-machine-washable-d2</t>
        </is>
      </c>
      <c r="B98" s="2" t="inlineStr">
        <is>
          <t>D2</t>
        </is>
      </c>
      <c r="C98" s="2" t="n">
        <v>5</v>
      </c>
      <c r="D98" s="2" t="inlineStr">
        <is>
          <t>PARTIAL</t>
        </is>
      </c>
      <c r="E98" s="5">
        <f>IF(B98="I1",AVERAGEIF('QA_Images'!$A$2:$A$74,A98,'QA_Images'!$T$2:$T$74)/100,IF(D98="FULL",1,IF(D98="PARTIAL",0.5,IF(D98="FAIL",0,""))))</f>
        <v/>
      </c>
      <c r="F98" s="5">
        <f>IF(E98="",0,C98*E98)</f>
        <v/>
      </c>
      <c r="G98" s="5">
        <f>IF(B98="I1",20*AVERAGEIF('QA_Images'!$A$2:$A$74,A98,'QA_Images'!$U$2:$U$74)/100,IF(D98="NOT_CHECKED",0,C98))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evidence_batch_010_099</t>
        </is>
      </c>
      <c r="J98" s="2" t="inlineStr">
        <is>
          <t>ISSUE-0074; ISSUE-0075; ISSUE-0076; ISSUE-0077</t>
        </is>
      </c>
    </row>
    <row r="99" ht="42" customHeight="1">
      <c r="A99" s="3" t="inlineStr">
        <is>
          <t>jeminise.com+custom-purple-floral-christian-cross-blanket-machine-washable-d2</t>
        </is>
      </c>
      <c r="B99" s="3" t="inlineStr">
        <is>
          <t>I1</t>
        </is>
      </c>
      <c r="C99" s="3" t="n">
        <v>20</v>
      </c>
      <c r="D99" s="3" t="inlineStr">
        <is>
          <t>FULL</t>
        </is>
      </c>
      <c r="E99" s="7">
        <f>IF(B99="I1",AVERAGEIF('QA_Images'!$A$2:$A$74,A99,'QA_Images'!$T$2:$T$74)/100,IF(D99="FULL",1,IF(D99="PARTIAL",0.5,IF(D99="FAIL",0,""))))</f>
        <v/>
      </c>
      <c r="F99" s="7">
        <f>IF(E99="",0,C99*E99)</f>
        <v/>
      </c>
      <c r="G99" s="7">
        <f>IF(B99="I1",20*AVERAGEIF('QA_Images'!$A$2:$A$74,A99,'QA_Images'!$U$2:$U$74)/100,IF(D99="NOT_CHECKED",0,C99))</f>
        <v/>
      </c>
      <c r="H99" s="3" t="inlineStr">
        <is>
          <t>Image coverage, image observations and alt text quality, derived from QA_Images. Derived from average image QA score; see QA_Images.</t>
        </is>
      </c>
      <c r="I99" s="3" t="inlineStr">
        <is>
          <t>evidence_batch_010_099</t>
        </is>
      </c>
      <c r="J99" s="3" t="inlineStr">
        <is>
          <t>ISSUE-0074; ISSUE-0075; ISSUE-0076; ISSUE-0077</t>
        </is>
      </c>
    </row>
    <row r="100" ht="42" customHeight="1">
      <c r="A100" s="2" t="inlineStr">
        <is>
          <t>jeminise.com+custom-purple-floral-christian-cross-blanket-machine-washable-d2</t>
        </is>
      </c>
      <c r="B100" s="2" t="inlineStr">
        <is>
          <t>E1</t>
        </is>
      </c>
      <c r="C100" s="2" t="n">
        <v>5</v>
      </c>
      <c r="D100" s="2" t="inlineStr">
        <is>
          <t>PARTIAL</t>
        </is>
      </c>
      <c r="E100" s="5">
        <f>IF(B100="I1",AVERAGEIF('QA_Images'!$A$2:$A$74,A100,'QA_Images'!$T$2:$T$74)/100,IF(D100="FULL",1,IF(D100="PARTIAL",0.5,IF(D100="FAIL",0,""))))</f>
        <v/>
      </c>
      <c r="F100" s="5">
        <f>IF(E100="",0,C100*E100)</f>
        <v/>
      </c>
      <c r="G100" s="5">
        <f>IF(B100="I1",20*AVERAGEIF('QA_Images'!$A$2:$A$74,A100,'QA_Images'!$U$2:$U$74)/100,IF(D100="NOT_CHECKED",0,C100))</f>
        <v/>
      </c>
      <c r="H100" s="2" t="inlineStr">
        <is>
          <t>Evidence chain is traceable and limitations are explicitly separated from failures. Evidence chain is traceable, with admin-export limitation explicitly separated.</t>
        </is>
      </c>
      <c r="I100" s="2" t="inlineStr">
        <is>
          <t>evidence_batch_010_099</t>
        </is>
      </c>
      <c r="J100" s="2" t="inlineStr">
        <is>
          <t>ISSUE-0074; ISSUE-0075; ISSUE-0076; ISSUE-0077</t>
        </is>
      </c>
    </row>
    <row r="101" ht="42" customHeight="1">
      <c r="A101" s="3" t="inlineStr">
        <is>
          <t>jeminise.com+custom-purple-floral-cross-with-butterflies-blanket-machi-design-14</t>
        </is>
      </c>
      <c r="B101" s="3" t="inlineStr">
        <is>
          <t>P1</t>
        </is>
      </c>
      <c r="C101" s="3" t="n">
        <v>15</v>
      </c>
      <c r="D101" s="3" t="inlineStr">
        <is>
          <t>FULL</t>
        </is>
      </c>
      <c r="E101" s="7">
        <f>IF(B101="I1",AVERAGEIF('QA_Images'!$A$2:$A$74,A101,'QA_Images'!$T$2:$T$74)/100,IF(D101="FULL",1,IF(D101="PARTIAL",0.5,IF(D101="FAIL",0,""))))</f>
        <v/>
      </c>
      <c r="F101" s="7">
        <f>IF(E101="",0,C101*E101)</f>
        <v/>
      </c>
      <c r="G101" s="7">
        <f>IF(B101="I1",20*AVERAGEIF('QA_Images'!$A$2:$A$74,A101,'QA_Images'!$U$2:$U$74)/100,IF(D101="NOT_CHECKED",0,C101))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evidence_batch_010_100</t>
        </is>
      </c>
      <c r="J101" s="3" t="inlineStr">
        <is>
          <t>ISSUE-0084; ISSUE-0085; ISSUE-0086; ISSUE-0087</t>
        </is>
      </c>
    </row>
    <row r="102" ht="42" customHeight="1">
      <c r="A102" s="2" t="inlineStr">
        <is>
          <t>jeminise.com+custom-purple-floral-cross-with-butterflies-blanket-machi-design-14</t>
        </is>
      </c>
      <c r="B102" s="2" t="inlineStr">
        <is>
          <t>P2</t>
        </is>
      </c>
      <c r="C102" s="2" t="n">
        <v>10</v>
      </c>
      <c r="D102" s="2" t="inlineStr">
        <is>
          <t>PARTIAL</t>
        </is>
      </c>
      <c r="E102" s="5">
        <f>IF(B102="I1",AVERAGEIF('QA_Images'!$A$2:$A$74,A102,'QA_Images'!$T$2:$T$74)/100,IF(D102="FULL",1,IF(D102="PARTIAL",0.5,IF(D102="FAIL",0,""))))</f>
        <v/>
      </c>
      <c r="F102" s="5">
        <f>IF(E102="",0,C102*E102)</f>
        <v/>
      </c>
      <c r="G102" s="5">
        <f>IF(B102="I1",20*AVERAGEIF('QA_Images'!$A$2:$A$74,A102,'QA_Images'!$U$2:$U$74)/100,IF(D102="NOT_CHECKED",0,C102))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evidence_batch_010_100</t>
        </is>
      </c>
      <c r="J102" s="2" t="inlineStr">
        <is>
          <t>ISSUE-0084; ISSUE-0085; ISSUE-0086; ISSUE-0087</t>
        </is>
      </c>
    </row>
    <row r="103" ht="42" customHeight="1">
      <c r="A103" s="3" t="inlineStr">
        <is>
          <t>jeminise.com+custom-purple-floral-cross-with-butterflies-blanket-machi-design-14</t>
        </is>
      </c>
      <c r="B103" s="3" t="inlineStr">
        <is>
          <t>K1</t>
        </is>
      </c>
      <c r="C103" s="3" t="n">
        <v>10</v>
      </c>
      <c r="D103" s="3" t="inlineStr">
        <is>
          <t>PARTIAL</t>
        </is>
      </c>
      <c r="E103" s="7">
        <f>IF(B103="I1",AVERAGEIF('QA_Images'!$A$2:$A$74,A103,'QA_Images'!$T$2:$T$74)/100,IF(D103="FULL",1,IF(D103="PARTIAL",0.5,IF(D103="FAIL",0,""))))</f>
        <v/>
      </c>
      <c r="F103" s="7">
        <f>IF(E103="",0,C103*E103)</f>
        <v/>
      </c>
      <c r="G103" s="7">
        <f>IF(B103="I1",20*AVERAGEIF('QA_Images'!$A$2:$A$74,A103,'QA_Images'!$U$2:$U$74)/100,IF(D103="NOT_CHECKED",0,C103))</f>
        <v/>
      </c>
      <c r="H103" s="3" t="inlineStr">
        <is>
          <t>Primary keyword aligns with product-level US purchase intent. Primary keyword rechecked against US product-level SERP comparables.</t>
        </is>
      </c>
      <c r="I103" s="3" t="inlineStr">
        <is>
          <t>evidence_batch_010_100</t>
        </is>
      </c>
      <c r="J103" s="3" t="inlineStr">
        <is>
          <t>ISSUE-0084; ISSUE-0085; ISSUE-0086; ISSUE-0087</t>
        </is>
      </c>
    </row>
    <row r="104" ht="42" customHeight="1">
      <c r="A104" s="2" t="inlineStr">
        <is>
          <t>jeminise.com+custom-purple-floral-cross-with-butterflies-blanket-machi-design-14</t>
        </is>
      </c>
      <c r="B104" s="2" t="inlineStr">
        <is>
          <t>K2</t>
        </is>
      </c>
      <c r="C104" s="2" t="n">
        <v>5</v>
      </c>
      <c r="D104" s="2" t="inlineStr">
        <is>
          <t>PARTIAL</t>
        </is>
      </c>
      <c r="E104" s="5">
        <f>IF(B104="I1",AVERAGEIF('QA_Images'!$A$2:$A$74,A104,'QA_Images'!$T$2:$T$74)/100,IF(D104="FULL",1,IF(D104="PARTIAL",0.5,IF(D104="FAIL",0,""))))</f>
        <v/>
      </c>
      <c r="F104" s="5">
        <f>IF(E104="",0,C104*E104)</f>
        <v/>
      </c>
      <c r="G104" s="5">
        <f>IF(B104="I1",20*AVERAGEIF('QA_Images'!$A$2:$A$74,A104,'QA_Images'!$U$2:$U$74)/100,IF(D104="NOT_CHECKED",0,C104))</f>
        <v/>
      </c>
      <c r="H104" s="2" t="inlineStr">
        <is>
          <t>Intent/cannibalization check distinguishes nearby products. Nearby product cluster has overlap risk, so intent distinction remains only partial.</t>
        </is>
      </c>
      <c r="I104" s="2" t="inlineStr">
        <is>
          <t>evidence_batch_010_100</t>
        </is>
      </c>
      <c r="J104" s="2" t="inlineStr">
        <is>
          <t>ISSUE-0084; ISSUE-0085; ISSUE-0086; ISSUE-0087</t>
        </is>
      </c>
    </row>
    <row r="105" ht="42" customHeight="1">
      <c r="A105" s="3" t="inlineStr">
        <is>
          <t>jeminise.com+custom-purple-floral-cross-with-butterflies-blanket-machi-design-14</t>
        </is>
      </c>
      <c r="B105" s="3" t="inlineStr">
        <is>
          <t>K3</t>
        </is>
      </c>
      <c r="C105" s="3" t="n">
        <v>5</v>
      </c>
      <c r="D105" s="3" t="inlineStr">
        <is>
          <t>PARTIAL</t>
        </is>
      </c>
      <c r="E105" s="7">
        <f>IF(B105="I1",AVERAGEIF('QA_Images'!$A$2:$A$74,A105,'QA_Images'!$T$2:$T$74)/100,IF(D105="FULL",1,IF(D105="PARTIAL",0.5,IF(D105="FAIL",0,""))))</f>
        <v/>
      </c>
      <c r="F105" s="7">
        <f>IF(E105="",0,C105*E105)</f>
        <v/>
      </c>
      <c r="G105" s="7">
        <f>IF(B105="I1",20*AVERAGEIF('QA_Images'!$A$2:$A$74,A105,'QA_Images'!$U$2:$U$74)/100,IF(D105="NOT_CHECKED",0,C105))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evidence_batch_010_100</t>
        </is>
      </c>
      <c r="J105" s="3" t="inlineStr">
        <is>
          <t>ISSUE-0084; ISSUE-0085; ISSUE-0086; ISSUE-0087</t>
        </is>
      </c>
    </row>
    <row r="106" ht="42" customHeight="1">
      <c r="A106" s="2" t="inlineStr">
        <is>
          <t>jeminise.com+custom-purple-floral-cross-with-butterflies-blanket-machi-design-14</t>
        </is>
      </c>
      <c r="B106" s="2" t="inlineStr">
        <is>
          <t>T1</t>
        </is>
      </c>
      <c r="C106" s="2" t="n">
        <v>10</v>
      </c>
      <c r="D106" s="2" t="inlineStr">
        <is>
          <t>FULL</t>
        </is>
      </c>
      <c r="E106" s="5">
        <f>IF(B106="I1",AVERAGEIF('QA_Images'!$A$2:$A$74,A106,'QA_Images'!$T$2:$T$74)/100,IF(D106="FULL",1,IF(D106="PARTIAL",0.5,IF(D106="FAIL",0,""))))</f>
        <v/>
      </c>
      <c r="F106" s="5">
        <f>IF(E106="",0,C106*E106)</f>
        <v/>
      </c>
      <c r="G106" s="5">
        <f>IF(B106="I1",20*AVERAGEIF('QA_Images'!$A$2:$A$74,A106,'QA_Images'!$U$2:$U$74)/100,IF(D106="NOT_CHECKED",0,C106))</f>
        <v/>
      </c>
      <c r="H106" s="2" t="inlineStr">
        <is>
          <t>SEO title and H1 are relevant, specific and grounded in visible/source facts. Title/H1 are product-specific and tied to visible motif/product type.</t>
        </is>
      </c>
      <c r="I106" s="2" t="inlineStr">
        <is>
          <t>evidence_batch_010_100</t>
        </is>
      </c>
      <c r="J106" s="2" t="inlineStr">
        <is>
          <t>ISSUE-0084; ISSUE-0085; ISSUE-0086; ISSUE-0087</t>
        </is>
      </c>
    </row>
    <row r="107" ht="42" customHeight="1">
      <c r="A107" s="3" t="inlineStr">
        <is>
          <t>jeminise.com+custom-purple-floral-cross-with-butterflies-blanket-machi-design-14</t>
        </is>
      </c>
      <c r="B107" s="3" t="inlineStr">
        <is>
          <t>T2</t>
        </is>
      </c>
      <c r="C107" s="3" t="n">
        <v>5</v>
      </c>
      <c r="D107" s="3" t="inlineStr">
        <is>
          <t>PARTIAL</t>
        </is>
      </c>
      <c r="E107" s="7">
        <f>IF(B107="I1",AVERAGEIF('QA_Images'!$A$2:$A$74,A107,'QA_Images'!$T$2:$T$74)/100,IF(D107="FULL",1,IF(D107="PARTIAL",0.5,IF(D107="FAIL",0,""))))</f>
        <v/>
      </c>
      <c r="F107" s="7">
        <f>IF(E107="",0,C107*E107)</f>
        <v/>
      </c>
      <c r="G107" s="7">
        <f>IF(B107="I1",20*AVERAGEIF('QA_Images'!$A$2:$A$74,A107,'QA_Images'!$U$2:$U$74)/100,IF(D107="NOT_CHECKED",0,C107))</f>
        <v/>
      </c>
      <c r="H107" s="3" t="inlineStr">
        <is>
          <t>Meta description is concise, publish-ready and avoids unsupported claims. Meta description checked for length, specificity and supportable claims.</t>
        </is>
      </c>
      <c r="I107" s="3" t="inlineStr">
        <is>
          <t>evidence_batch_010_100</t>
        </is>
      </c>
      <c r="J107" s="3" t="inlineStr">
        <is>
          <t>ISSUE-0084; ISSUE-0085; ISSUE-0086; ISSUE-0087</t>
        </is>
      </c>
    </row>
    <row r="108" ht="42" customHeight="1">
      <c r="A108" s="2" t="inlineStr">
        <is>
          <t>jeminise.com+custom-purple-floral-cross-with-butterflies-blanket-machi-design-14</t>
        </is>
      </c>
      <c r="B108" s="2" t="inlineStr">
        <is>
          <t>D1</t>
        </is>
      </c>
      <c r="C108" s="2" t="n">
        <v>10</v>
      </c>
      <c r="D108" s="2" t="inlineStr">
        <is>
          <t>FAIL</t>
        </is>
      </c>
      <c r="E108" s="5">
        <f>IF(B108="I1",AVERAGEIF('QA_Images'!$A$2:$A$74,A108,'QA_Images'!$T$2:$T$74)/100,IF(D108="FULL",1,IF(D108="PARTIAL",0.5,IF(D108="FAIL",0,""))))</f>
        <v/>
      </c>
      <c r="F108" s="5">
        <f>IF(E108="",0,C108*E108)</f>
        <v/>
      </c>
      <c r="G108" s="5">
        <f>IF(B108="I1",20*AVERAGEIF('QA_Images'!$A$2:$A$74,A108,'QA_Images'!$U$2:$U$74)/100,IF(D108="NOT_CHECKED",0,C108))</f>
        <v/>
      </c>
      <c r="H108" s="2" t="inlineStr">
        <is>
          <t>Description HTML is publish-ready and free of internal draft/QA instructions. Description HTML still contains internal QA/import language.</t>
        </is>
      </c>
      <c r="I108" s="2" t="inlineStr">
        <is>
          <t>evidence_batch_010_100</t>
        </is>
      </c>
      <c r="J108" s="2" t="inlineStr">
        <is>
          <t>ISSUE-0084; ISSUE-0085; ISSUE-0086; ISSUE-0087</t>
        </is>
      </c>
    </row>
    <row r="109" ht="42" customHeight="1">
      <c r="A109" s="3" t="inlineStr">
        <is>
          <t>jeminise.com+custom-purple-floral-cross-with-butterflies-blanket-machi-design-14</t>
        </is>
      </c>
      <c r="B109" s="3" t="inlineStr">
        <is>
          <t>D2</t>
        </is>
      </c>
      <c r="C109" s="3" t="n">
        <v>5</v>
      </c>
      <c r="D109" s="3" t="inlineStr">
        <is>
          <t>PARTIAL</t>
        </is>
      </c>
      <c r="E109" s="7">
        <f>IF(B109="I1",AVERAGEIF('QA_Images'!$A$2:$A$74,A109,'QA_Images'!$T$2:$T$74)/100,IF(D109="FULL",1,IF(D109="PARTIAL",0.5,IF(D109="FAIL",0,""))))</f>
        <v/>
      </c>
      <c r="F109" s="7">
        <f>IF(E109="",0,C109*E109)</f>
        <v/>
      </c>
      <c r="G109" s="7">
        <f>IF(B109="I1",20*AVERAGEIF('QA_Images'!$A$2:$A$74,A109,'QA_Images'!$U$2:$U$74)/100,IF(D109="NOT_CHECKED",0,C109))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evidence_batch_010_100</t>
        </is>
      </c>
      <c r="J109" s="3" t="inlineStr">
        <is>
          <t>ISSUE-0084; ISSUE-0085; ISSUE-0086; ISSUE-0087</t>
        </is>
      </c>
    </row>
    <row r="110" ht="42" customHeight="1">
      <c r="A110" s="2" t="inlineStr">
        <is>
          <t>jeminise.com+custom-purple-floral-cross-with-butterflies-blanket-machi-design-14</t>
        </is>
      </c>
      <c r="B110" s="2" t="inlineStr">
        <is>
          <t>I1</t>
        </is>
      </c>
      <c r="C110" s="2" t="n">
        <v>20</v>
      </c>
      <c r="D110" s="2" t="inlineStr">
        <is>
          <t>FULL</t>
        </is>
      </c>
      <c r="E110" s="5">
        <f>IF(B110="I1",AVERAGEIF('QA_Images'!$A$2:$A$74,A110,'QA_Images'!$T$2:$T$74)/100,IF(D110="FULL",1,IF(D110="PARTIAL",0.5,IF(D110="FAIL",0,""))))</f>
        <v/>
      </c>
      <c r="F110" s="5">
        <f>IF(E110="",0,C110*E110)</f>
        <v/>
      </c>
      <c r="G110" s="5">
        <f>IF(B110="I1",20*AVERAGEIF('QA_Images'!$A$2:$A$74,A110,'QA_Images'!$U$2:$U$74)/100,IF(D110="NOT_CHECKED",0,C110))</f>
        <v/>
      </c>
      <c r="H110" s="2" t="inlineStr">
        <is>
          <t>Image coverage, image observations and alt text quality, derived from QA_Images. Derived from average image QA score; see QA_Images.</t>
        </is>
      </c>
      <c r="I110" s="2" t="inlineStr">
        <is>
          <t>evidence_batch_010_100</t>
        </is>
      </c>
      <c r="J110" s="2" t="inlineStr">
        <is>
          <t>ISSUE-0084; ISSUE-0085; ISSUE-0086; ISSUE-0087</t>
        </is>
      </c>
    </row>
    <row r="111" ht="42" customHeight="1">
      <c r="A111" s="3" t="inlineStr">
        <is>
          <t>jeminise.com+custom-purple-floral-cross-with-butterflies-blanket-machi-design-14</t>
        </is>
      </c>
      <c r="B111" s="3" t="inlineStr">
        <is>
          <t>E1</t>
        </is>
      </c>
      <c r="C111" s="3" t="n">
        <v>5</v>
      </c>
      <c r="D111" s="3" t="inlineStr">
        <is>
          <t>PARTIAL</t>
        </is>
      </c>
      <c r="E111" s="7">
        <f>IF(B111="I1",AVERAGEIF('QA_Images'!$A$2:$A$74,A111,'QA_Images'!$T$2:$T$74)/100,IF(D111="FULL",1,IF(D111="PARTIAL",0.5,IF(D111="FAIL",0,""))))</f>
        <v/>
      </c>
      <c r="F111" s="7">
        <f>IF(E111="",0,C111*E111)</f>
        <v/>
      </c>
      <c r="G111" s="7">
        <f>IF(B111="I1",20*AVERAGEIF('QA_Images'!$A$2:$A$74,A111,'QA_Images'!$U$2:$U$74)/100,IF(D111="NOT_CHECKED",0,C111))</f>
        <v/>
      </c>
      <c r="H111" s="3" t="inlineStr">
        <is>
          <t>Evidence chain is traceable and limitations are explicitly separated from failures. Evidence chain is traceable, with admin-export limitation explicitly separated.</t>
        </is>
      </c>
      <c r="I111" s="3" t="inlineStr">
        <is>
          <t>evidence_batch_010_100</t>
        </is>
      </c>
      <c r="J111" s="3" t="inlineStr">
        <is>
          <t>ISSUE-0084; ISSUE-0085; ISSUE-0086; ISSUE-0087</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4"/>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jeminise.com+custom-native-american-inspired-wolf-head-inside-circular-frame-comforter-d351b4bfe1-d351b4bfe1</t>
        </is>
      </c>
      <c r="B2" s="2" t="inlineStr">
        <is>
          <t>img_e03f5ff1c24f670d</t>
        </is>
      </c>
      <c r="C2" s="4" t="inlineStr">
        <is>
          <t>https://cdn.shopify.com/s/files/1/0792/5098/1063/files/8db123d2a281d8d7b1e7601cf1c6b3ae13e69bdec5076345ef0a6c9cf3ffbbf8.jpg?v=1785181534</t>
        </is>
      </c>
      <c r="D2" s="4" t="inlineStr">
        <is>
          <t>https://cdn.shopify.com/s/files/1/0792/5098/1063/files/8db123d2a281d8d7b1e7601cf1c6b3ae13e69bdec5076345ef0a6c9cf3ffbbf8.jpg?v=1785181534</t>
        </is>
      </c>
      <c r="E2" s="2" t="inlineStr">
        <is>
          <t>47560113029319</t>
        </is>
      </c>
      <c r="F2" s="2" t="inlineStr">
        <is>
          <t>47560113029319</t>
        </is>
      </c>
      <c r="G2" s="2" t="inlineStr"/>
      <c r="H2" s="2" t="inlineStr">
        <is>
          <t>GALLERY</t>
        </is>
      </c>
      <c r="I2" s="2" t="inlineStr">
        <is>
          <t>DIRECT_IMAGE_DOWNLOAD_AND_SOURCE_ROW_REVIEW</t>
        </is>
      </c>
      <c r="J2" s="2" t="inlineStr">
        <is>
          <t>2026-09-07T18:39:17+07:00</t>
        </is>
      </c>
      <c r="K2" s="2" t="inlineStr">
        <is>
          <t>Direct QA opened downloaded image 91_01; source SHA CE92E54B2AE442151C695CAFD8CBA146CFA1C0C98D4FF842BF1634C2CB9747FE. Submitted observation reviewed against gallery position.</t>
        </is>
      </c>
      <c r="L2" s="2" t="inlineStr">
        <is>
          <t>Main product mockup showing turquoise boho wolf quilt set.</t>
        </is>
      </c>
      <c r="M2" s="2" t="inlineStr">
        <is>
          <t>UNKNOWN</t>
        </is>
      </c>
      <c r="N2" s="2" t="inlineStr">
        <is>
          <t>SET</t>
        </is>
      </c>
      <c r="O2" s="2" t="inlineStr">
        <is>
          <t>Turquoise Boho Wolf Quilt Set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D:\Shopify_Workspace\jeminise_seo\seo_runs\jeminise.com\20260906_234129\qa\20260907_181000\images\091_01.jpg; 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row>
    <row r="3" ht="66" customHeight="1">
      <c r="A3" s="3" t="inlineStr">
        <is>
          <t>jeminise.com+custom-native-american-inspired-wolf-head-inside-circular-frame-comforter-d351b4bfe1-d351b4bfe1</t>
        </is>
      </c>
      <c r="B3" s="3" t="inlineStr">
        <is>
          <t>img_f34cf43ad7a85707</t>
        </is>
      </c>
      <c r="C3" s="4" t="inlineStr">
        <is>
          <t>https://cdn.shopify.com/s/files/1/0792/5098/1063/files/c27a2d398c2e1aa051b181395529e9a599c8696153ffecec91e3703884a1ef6c.jpg?v=1785181533</t>
        </is>
      </c>
      <c r="D3" s="4" t="inlineStr">
        <is>
          <t>https://cdn.shopify.com/s/files/1/0792/5098/1063/files/c27a2d398c2e1aa051b181395529e9a599c8696153ffecec91e3703884a1ef6c.jpg?v=1785181533</t>
        </is>
      </c>
      <c r="E3" s="3" t="inlineStr">
        <is>
          <t>47560113062087</t>
        </is>
      </c>
      <c r="F3" s="3" t="inlineStr">
        <is>
          <t>47560113062087</t>
        </is>
      </c>
      <c r="G3" s="3" t="inlineStr"/>
      <c r="H3" s="3" t="inlineStr">
        <is>
          <t>GALLERY</t>
        </is>
      </c>
      <c r="I3" s="3" t="inlineStr">
        <is>
          <t>DIRECT_IMAGE_DOWNLOAD_AND_SOURCE_ROW_REVIEW</t>
        </is>
      </c>
      <c r="J3" s="3" t="inlineStr">
        <is>
          <t>2026-09-07T18:39:17+07:00</t>
        </is>
      </c>
      <c r="K3" s="3" t="inlineStr">
        <is>
          <t>Direct QA opened downloaded image 91_02; source SHA 8DC9195C0A06D85BB5E1C31472DEB4456CCBCF37DB03C4F8624EB26364489FBB. Submitted observation reviewed against gallery position.</t>
        </is>
      </c>
      <c r="L3" s="3" t="inlineStr">
        <is>
          <t>Secondary flat, close-up or bedroom mockup showing turquoise boho wolf quilt set.</t>
        </is>
      </c>
      <c r="M3" s="3" t="inlineStr">
        <is>
          <t>UNKNOWN</t>
        </is>
      </c>
      <c r="N3" s="3" t="inlineStr">
        <is>
          <t>SET</t>
        </is>
      </c>
      <c r="O3" s="3" t="inlineStr">
        <is>
          <t>Secondary mockup of Turquoise Boho Wolf Quilt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D:\Shopify_Workspace\jeminise_seo\seo_runs\jeminise.com\20260906_234129\qa\20260907_181000\images\091_02.jpg; 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row>
    <row r="4" ht="66" customHeight="1">
      <c r="A4" s="2" t="inlineStr">
        <is>
          <t>jeminise.com+custom-native-american-inspired-wolf-head-inside-circular-frame-comforter-d351b4bfe1-d351b4bfe1</t>
        </is>
      </c>
      <c r="B4" s="2" t="inlineStr">
        <is>
          <t>img_906dc6ce03099cc6</t>
        </is>
      </c>
      <c r="C4" s="4" t="inlineStr">
        <is>
          <t>https://cdn.shopify.com/s/files/1/0792/5098/1063/files/69ad70a2dec3bc59d662ae6c1817f1a32b7fe5bc4c0456d3a1419927bbd23e1b.jpg?v=1785181533</t>
        </is>
      </c>
      <c r="D4" s="4" t="inlineStr">
        <is>
          <t>https://cdn.shopify.com/s/files/1/0792/5098/1063/files/69ad70a2dec3bc59d662ae6c1817f1a32b7fe5bc4c0456d3a1419927bbd23e1b.jpg?v=1785181533</t>
        </is>
      </c>
      <c r="E4" s="2" t="inlineStr">
        <is>
          <t>47560113094855</t>
        </is>
      </c>
      <c r="F4" s="2" t="inlineStr">
        <is>
          <t>47560113094855</t>
        </is>
      </c>
      <c r="G4" s="2" t="inlineStr"/>
      <c r="H4" s="2" t="inlineStr">
        <is>
          <t>GALLERY</t>
        </is>
      </c>
      <c r="I4" s="2" t="inlineStr">
        <is>
          <t>DIRECT_IMAGE_DOWNLOAD_AND_SOURCE_ROW_REVIEW</t>
        </is>
      </c>
      <c r="J4" s="2" t="inlineStr">
        <is>
          <t>2026-09-07T18:39:17+07:00</t>
        </is>
      </c>
      <c r="K4" s="2" t="inlineStr">
        <is>
          <t>Direct QA opened downloaded image 91_03; source SHA 2E28B14AA80C5BC9CEE45F183CD2DDA14832E0421A1CE885D7DEBE1C7BB31B6C. Submitted observation reviewed against gallery position.</t>
        </is>
      </c>
      <c r="L4" s="2" t="inlineStr">
        <is>
          <t>Bedding type, feature, lifestyle or material image for turquoise boho wolf quilt set.</t>
        </is>
      </c>
      <c r="M4" s="2" t="inlineStr">
        <is>
          <t>UNKNOWN</t>
        </is>
      </c>
      <c r="N4" s="2" t="inlineStr">
        <is>
          <t>SET</t>
        </is>
      </c>
      <c r="O4" s="2" t="inlineStr">
        <is>
          <t>Product option, feature or lifestyle image for Turquoise Boho Wolf Quilt Set</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D:\Shopify_Workspace\jeminise_seo\seo_runs\jeminise.com\20260906_234129\qa\20260907_181000\images\091_03.jpg; 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row>
    <row r="5" ht="66" customHeight="1">
      <c r="A5" s="3" t="inlineStr">
        <is>
          <t>jeminise.com+custom-native-american-inspired-wolf-head-inside-circular-frame-comforter-d351b4bfe1-d351b4bfe1</t>
        </is>
      </c>
      <c r="B5" s="3" t="inlineStr">
        <is>
          <t>img_198c5ed1c2a8fee6</t>
        </is>
      </c>
      <c r="C5" s="4" t="inlineStr">
        <is>
          <t>https://cdn.shopify.com/s/files/1/0792/5098/1063/files/0eb64820a0ab1dec4b852407512deca48c67bd46d1cbea26ed900d59cf9c44f6.jpg?v=1785181533</t>
        </is>
      </c>
      <c r="D5" s="4" t="inlineStr">
        <is>
          <t>https://cdn.shopify.com/s/files/1/0792/5098/1063/files/0eb64820a0ab1dec4b852407512deca48c67bd46d1cbea26ed900d59cf9c44f6.jpg?v=1785181533</t>
        </is>
      </c>
      <c r="E5" s="3" t="inlineStr">
        <is>
          <t>47560113127623</t>
        </is>
      </c>
      <c r="F5" s="3" t="inlineStr">
        <is>
          <t>47560113127623</t>
        </is>
      </c>
      <c r="G5" s="3" t="inlineStr"/>
      <c r="H5" s="3" t="inlineStr">
        <is>
          <t>GALLERY</t>
        </is>
      </c>
      <c r="I5" s="3" t="inlineStr">
        <is>
          <t>DIRECT_IMAGE_DOWNLOAD_AND_SOURCE_ROW_REVIEW</t>
        </is>
      </c>
      <c r="J5" s="3" t="inlineStr">
        <is>
          <t>2026-09-07T18:39:17+07:00</t>
        </is>
      </c>
      <c r="K5" s="3" t="inlineStr">
        <is>
          <t>Direct QA opened downloaded image 91_04; source SHA 840B220D24A3A7592A7374365793D406C05B95BBF66ABA894D6A12BF6C5EC516. Submitted observation reviewed against gallery position.</t>
        </is>
      </c>
      <c r="L5" s="3" t="inlineStr">
        <is>
          <t>Detail, feature panel or lifestyle image connected to turquoise boho wolf quilt set.</t>
        </is>
      </c>
      <c r="M5" s="3" t="inlineStr">
        <is>
          <t>UNKNOWN</t>
        </is>
      </c>
      <c r="N5" s="3" t="inlineStr">
        <is>
          <t>SET</t>
        </is>
      </c>
      <c r="O5" s="3" t="inlineStr">
        <is>
          <t>Detail or feature image for Turquoise Boho Wolf Quilt Set</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D:\Shopify_Workspace\jeminise_seo\seo_runs\jeminise.com\20260906_234129\qa\20260907_181000\images\091_04.jpg; 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row>
    <row r="6" ht="66" customHeight="1">
      <c r="A6" s="2" t="inlineStr">
        <is>
          <t>jeminise.com+custom-native-american-inspired-wolf-head-inside-circular-frame-comforter-d351b4bfe1-d351b4bfe1</t>
        </is>
      </c>
      <c r="B6" s="2" t="inlineStr">
        <is>
          <t>img_54eab2a22c73e031</t>
        </is>
      </c>
      <c r="C6" s="4" t="inlineStr">
        <is>
          <t>https://cdn.shopify.com/s/files/1/0792/5098/1063/files/c13d84b220c25b7126dda603be0f2749e36e6bcbef1150c54dfba8143250cd9d.jpg?v=1785181534</t>
        </is>
      </c>
      <c r="D6" s="4" t="inlineStr">
        <is>
          <t>https://cdn.shopify.com/s/files/1/0792/5098/1063/files/c13d84b220c25b7126dda603be0f2749e36e6bcbef1150c54dfba8143250cd9d.jpg?v=1785181534</t>
        </is>
      </c>
      <c r="E6" s="2" t="inlineStr">
        <is>
          <t>47560113160391</t>
        </is>
      </c>
      <c r="F6" s="2" t="inlineStr">
        <is>
          <t>47560113160391</t>
        </is>
      </c>
      <c r="G6" s="2" t="inlineStr"/>
      <c r="H6" s="2" t="inlineStr">
        <is>
          <t>GALLERY</t>
        </is>
      </c>
      <c r="I6" s="2" t="inlineStr">
        <is>
          <t>DIRECT_IMAGE_DOWNLOAD_AND_SOURCE_ROW_REVIEW</t>
        </is>
      </c>
      <c r="J6" s="2" t="inlineStr">
        <is>
          <t>2026-09-07T18:39:17+07:00</t>
        </is>
      </c>
      <c r="K6" s="2" t="inlineStr">
        <is>
          <t>Direct QA opened downloaded image 91_05; source SHA CA477B7A334332469C88E2CF250F588B3520C6A5CA84922E1304C90658F836DE. Submitted observation reviewed against gallery position.</t>
        </is>
      </c>
      <c r="L6" s="2" t="inlineStr">
        <is>
          <t>Additional mockup, care or size information for turquoise boho wolf quilt set.</t>
        </is>
      </c>
      <c r="M6" s="2" t="inlineStr">
        <is>
          <t>UNKNOWN</t>
        </is>
      </c>
      <c r="N6" s="2" t="inlineStr">
        <is>
          <t>SET</t>
        </is>
      </c>
      <c r="O6" s="2" t="inlineStr">
        <is>
          <t>Additional product mockup or care information for Turquoise Boho Wolf Quilt Set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D:\Shopify_Workspace\jeminise_seo\seo_runs\jeminise.com\20260906_234129\qa\20260907_181000\images\091_05.jpg; 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row>
    <row r="7" ht="66" customHeight="1">
      <c r="A7" s="3" t="inlineStr">
        <is>
          <t>jeminise.com+custom-neon-green-soccer-player-artwork-comforter-set-boys-room-decor</t>
        </is>
      </c>
      <c r="B7" s="3" t="inlineStr">
        <is>
          <t>img_a7a4e8e8690c2c62</t>
        </is>
      </c>
      <c r="C7" s="4" t="inlineStr">
        <is>
          <t>https://cdn.shopify.com/s/files/1/0792/5098/1063/files/6b80b75d568cdee15c272e946d98348d480efd2a5cea1cacdb69246b74474091.jpg?v=1786611026</t>
        </is>
      </c>
      <c r="D7" s="4" t="inlineStr">
        <is>
          <t>https://cdn.shopify.com/s/files/1/0792/5098/1063/files/6b80b75d568cdee15c272e946d98348d480efd2a5cea1cacdb69246b74474091.jpg?v=1786611026</t>
        </is>
      </c>
      <c r="E7" s="3" t="inlineStr">
        <is>
          <t>47833436618951</t>
        </is>
      </c>
      <c r="F7" s="3" t="inlineStr">
        <is>
          <t>47833436618951</t>
        </is>
      </c>
      <c r="G7" s="3" t="inlineStr"/>
      <c r="H7" s="3" t="inlineStr">
        <is>
          <t>GALLERY</t>
        </is>
      </c>
      <c r="I7" s="3" t="inlineStr">
        <is>
          <t>DIRECT_IMAGE_DOWNLOAD_AND_SOURCE_ROW_REVIEW</t>
        </is>
      </c>
      <c r="J7" s="3" t="inlineStr">
        <is>
          <t>2026-09-07T18:39:17+07:00</t>
        </is>
      </c>
      <c r="K7" s="3" t="inlineStr">
        <is>
          <t>Direct QA opened downloaded image 92_01; source SHA 6B5F36B6802C158F7CABAE7C53FABA7DE9D0D1A08EF8FF1FEBA43F0BC2563228. Submitted observation reviewed against gallery position.</t>
        </is>
      </c>
      <c r="L7" s="3" t="inlineStr">
        <is>
          <t>Main product mockup showing personalized neon green soccer player comforter with Jackson number 07.</t>
        </is>
      </c>
      <c r="M7" s="3" t="inlineStr">
        <is>
          <t>UNKNOWN</t>
        </is>
      </c>
      <c r="N7" s="3" t="inlineStr">
        <is>
          <t>SET</t>
        </is>
      </c>
      <c r="O7" s="3" t="inlineStr">
        <is>
          <t>Personalized Neon Soccer Player Comforter displayed in a main product mockup</t>
        </is>
      </c>
      <c r="P7" s="3" t="inlineStr">
        <is>
          <t>FULL</t>
        </is>
      </c>
      <c r="Q7" s="3" t="inlineStr">
        <is>
          <t>FULL</t>
        </is>
      </c>
      <c r="R7" s="3" t="inlineStr">
        <is>
          <t>PARTIAL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ISSUE-0013</t>
        </is>
      </c>
      <c r="Z7" s="3" t="inlineStr">
        <is>
          <t>D:\Shopify_Workspace\jeminise_seo\seo_runs\jeminise.com\20260906_234129\qa\20260907_181000\images\092_01.jpg; seo_runs\jeminise.com\20260906_234129\evidence\images\92_custom-neon-green-soccer-player-artwork-comforter-set-boys-room-decor\image_01_47833436618951.jpg; seo_runs\jeminise.com\20260906_234129\evidence\contact_sheets\92_custom-neon-green-soccer-player-artwork-comforter-set-boys-room-decor.jpg</t>
        </is>
      </c>
    </row>
    <row r="8" ht="66" customHeight="1">
      <c r="A8" s="2" t="inlineStr">
        <is>
          <t>jeminise.com+custom-neon-green-soccer-player-artwork-comforter-set-boys-room-decor</t>
        </is>
      </c>
      <c r="B8" s="2" t="inlineStr">
        <is>
          <t>img_a2665e57b682fcc4</t>
        </is>
      </c>
      <c r="C8" s="4" t="inlineStr">
        <is>
          <t>https://cdn.shopify.com/s/files/1/0792/5098/1063/files/2befb3162c5bae5e3dc16a2617a19876e1bad1732d46a3a0071872644aaa19c7.jpg?v=1786611026</t>
        </is>
      </c>
      <c r="D8" s="4" t="inlineStr">
        <is>
          <t>https://cdn.shopify.com/s/files/1/0792/5098/1063/files/2befb3162c5bae5e3dc16a2617a19876e1bad1732d46a3a0071872644aaa19c7.jpg?v=1786611026</t>
        </is>
      </c>
      <c r="E8" s="2" t="inlineStr">
        <is>
          <t>47833436651719</t>
        </is>
      </c>
      <c r="F8" s="2" t="inlineStr">
        <is>
          <t>47833436651719</t>
        </is>
      </c>
      <c r="G8" s="2" t="inlineStr"/>
      <c r="H8" s="2" t="inlineStr">
        <is>
          <t>GALLERY</t>
        </is>
      </c>
      <c r="I8" s="2" t="inlineStr">
        <is>
          <t>DIRECT_IMAGE_DOWNLOAD_AND_SOURCE_ROW_REVIEW</t>
        </is>
      </c>
      <c r="J8" s="2" t="inlineStr">
        <is>
          <t>2026-09-07T18:39:17+07:00</t>
        </is>
      </c>
      <c r="K8" s="2" t="inlineStr">
        <is>
          <t>Direct QA opened downloaded image 92_02; source SHA D623F2B41BC5648FB75DBB9C4E1290A13E441DE9BE3459A72DBB1D3BE6CEA309. Submitted observation reviewed against gallery position.</t>
        </is>
      </c>
      <c r="L8" s="2" t="inlineStr">
        <is>
          <t>Secondary flat, close-up or bedroom mockup showing personalized neon green soccer player comforter with Jackson number 07.</t>
        </is>
      </c>
      <c r="M8" s="2" t="inlineStr">
        <is>
          <t>UNKNOWN</t>
        </is>
      </c>
      <c r="N8" s="2" t="inlineStr">
        <is>
          <t>SET</t>
        </is>
      </c>
      <c r="O8" s="2" t="inlineStr">
        <is>
          <t>Secondary mockup of Personalized Neon Soccer Player Comforter</t>
        </is>
      </c>
      <c r="P8" s="2" t="inlineStr">
        <is>
          <t>FULL</t>
        </is>
      </c>
      <c r="Q8" s="2" t="inlineStr">
        <is>
          <t>FULL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c r="Z8" s="2" t="inlineStr">
        <is>
          <t>D:\Shopify_Workspace\jeminise_seo\seo_runs\jeminise.com\20260906_234129\qa\20260907_181000\images\092_02.jpg; seo_runs\jeminise.com\20260906_234129\evidence\images\92_custom-neon-green-soccer-player-artwork-comforter-set-boys-room-decor\image_02_47833436651719.jpg; seo_runs\jeminise.com\20260906_234129\evidence\contact_sheets\92_custom-neon-green-soccer-player-artwork-comforter-set-boys-room-decor.jpg</t>
        </is>
      </c>
    </row>
    <row r="9" ht="66" customHeight="1">
      <c r="A9" s="3" t="inlineStr">
        <is>
          <t>jeminise.com+custom-neon-green-soccer-player-artwork-comforter-set-boys-room-decor</t>
        </is>
      </c>
      <c r="B9" s="3" t="inlineStr">
        <is>
          <t>img_f21a4fdc91bb7561</t>
        </is>
      </c>
      <c r="C9" s="4" t="inlineStr">
        <is>
          <t>https://cdn.shopify.com/s/files/1/0792/5098/1063/files/0232459e1096cb7ad4227f2471e7d15ee79d1a53fbe22b7f14cb026581f911de.jpg?v=1786611026</t>
        </is>
      </c>
      <c r="D9" s="4" t="inlineStr">
        <is>
          <t>https://cdn.shopify.com/s/files/1/0792/5098/1063/files/0232459e1096cb7ad4227f2471e7d15ee79d1a53fbe22b7f14cb026581f911de.jpg?v=1786611026</t>
        </is>
      </c>
      <c r="E9" s="3" t="inlineStr">
        <is>
          <t>47833436684487</t>
        </is>
      </c>
      <c r="F9" s="3" t="inlineStr">
        <is>
          <t>47833436684487</t>
        </is>
      </c>
      <c r="G9" s="3" t="inlineStr"/>
      <c r="H9" s="3" t="inlineStr">
        <is>
          <t>GALLERY</t>
        </is>
      </c>
      <c r="I9" s="3" t="inlineStr">
        <is>
          <t>DIRECT_IMAGE_DOWNLOAD_AND_SOURCE_ROW_REVIEW</t>
        </is>
      </c>
      <c r="J9" s="3" t="inlineStr">
        <is>
          <t>2026-09-07T18:39:17+07:00</t>
        </is>
      </c>
      <c r="K9" s="3" t="inlineStr">
        <is>
          <t>Direct QA opened downloaded image 92_03; source SHA 9991C78242636A636C01C959C571728CBCDA52E50264EB1E9E64840AB969FC5B. Submitted observation reviewed against gallery position.</t>
        </is>
      </c>
      <c r="L9" s="3" t="inlineStr">
        <is>
          <t>Bedding type, feature, lifestyle or material image for personalized neon green soccer player comforter with Jackson number 07.</t>
        </is>
      </c>
      <c r="M9" s="3" t="inlineStr">
        <is>
          <t>UNKNOWN</t>
        </is>
      </c>
      <c r="N9" s="3" t="inlineStr">
        <is>
          <t>SET</t>
        </is>
      </c>
      <c r="O9" s="3" t="inlineStr">
        <is>
          <t>Product option, feature or lifestyle image for Personalized Neon Soccer Player Comforter</t>
        </is>
      </c>
      <c r="P9" s="3" t="inlineStr">
        <is>
          <t>FULL</t>
        </is>
      </c>
      <c r="Q9" s="3" t="inlineStr">
        <is>
          <t>PARTIAL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ISSUE-0014</t>
        </is>
      </c>
      <c r="Z9" s="3" t="inlineStr">
        <is>
          <t>D:\Shopify_Workspace\jeminise_seo\seo_runs\jeminise.com\20260906_234129\qa\20260907_181000\images\092_03.jpg; seo_runs\jeminise.com\20260906_234129\evidence\images\92_custom-neon-green-soccer-player-artwork-comforter-set-boys-room-decor\image_03_47833436684487.jpg; seo_runs\jeminise.com\20260906_234129\evidence\contact_sheets\92_custom-neon-green-soccer-player-artwork-comforter-set-boys-room-decor.jpg</t>
        </is>
      </c>
    </row>
    <row r="10" ht="66" customHeight="1">
      <c r="A10" s="2" t="inlineStr">
        <is>
          <t>jeminise.com+custom-neon-green-soccer-player-artwork-comforter-set-boys-room-decor</t>
        </is>
      </c>
      <c r="B10" s="2" t="inlineStr">
        <is>
          <t>img_16aa29078af40729</t>
        </is>
      </c>
      <c r="C10" s="4" t="inlineStr">
        <is>
          <t>https://cdn.shopify.com/s/files/1/0792/5098/1063/files/e2f6c4ddb7968db8e510d947c4cb858b220d2c492e6c23261ccc64e8f76911dd.jpg?v=1786611026</t>
        </is>
      </c>
      <c r="D10" s="4" t="inlineStr">
        <is>
          <t>https://cdn.shopify.com/s/files/1/0792/5098/1063/files/e2f6c4ddb7968db8e510d947c4cb858b220d2c492e6c23261ccc64e8f76911dd.jpg?v=1786611026</t>
        </is>
      </c>
      <c r="E10" s="2" t="inlineStr">
        <is>
          <t>47833436717255</t>
        </is>
      </c>
      <c r="F10" s="2" t="inlineStr">
        <is>
          <t>47833436717255</t>
        </is>
      </c>
      <c r="G10" s="2" t="inlineStr"/>
      <c r="H10" s="2" t="inlineStr">
        <is>
          <t>GALLERY</t>
        </is>
      </c>
      <c r="I10" s="2" t="inlineStr">
        <is>
          <t>DIRECT_IMAGE_DOWNLOAD_AND_SOURCE_ROW_REVIEW</t>
        </is>
      </c>
      <c r="J10" s="2" t="inlineStr">
        <is>
          <t>2026-09-07T18:39:17+07:00</t>
        </is>
      </c>
      <c r="K10" s="2" t="inlineStr">
        <is>
          <t>Direct QA opened downloaded image 92_04; source SHA 114815C3192623587ED03D05741E6AECE707A1995C60802F1A4D64AB8D77AD04. Submitted observation reviewed against gallery position.</t>
        </is>
      </c>
      <c r="L10" s="2" t="inlineStr">
        <is>
          <t>Detail, feature panel or lifestyle image connected to personalized neon green soccer player comforter with Jackson number 07.</t>
        </is>
      </c>
      <c r="M10" s="2" t="inlineStr">
        <is>
          <t>UNKNOWN</t>
        </is>
      </c>
      <c r="N10" s="2" t="inlineStr">
        <is>
          <t>SET</t>
        </is>
      </c>
      <c r="O10" s="2" t="inlineStr">
        <is>
          <t>Detail or feature image for Personalized Neon Soccer Player Comforter</t>
        </is>
      </c>
      <c r="P10" s="2" t="inlineStr">
        <is>
          <t>FULL</t>
        </is>
      </c>
      <c r="Q10" s="2" t="inlineStr">
        <is>
          <t>PARTIAL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ISSUE-0015</t>
        </is>
      </c>
      <c r="Z10" s="2" t="inlineStr">
        <is>
          <t>D:\Shopify_Workspace\jeminise_seo\seo_runs\jeminise.com\20260906_234129\qa\20260907_181000\images\092_04.jpg; seo_runs\jeminise.com\20260906_234129\evidence\images\92_custom-neon-green-soccer-player-artwork-comforter-set-boys-room-decor\image_04_47833436717255.jpg; seo_runs\jeminise.com\20260906_234129\evidence\contact_sheets\92_custom-neon-green-soccer-player-artwork-comforter-set-boys-room-decor.jpg</t>
        </is>
      </c>
    </row>
    <row r="11" ht="66" customHeight="1">
      <c r="A11" s="3" t="inlineStr">
        <is>
          <t>jeminise.com+custom-neon-green-soccer-player-artwork-comforter-set-boys-room-decor</t>
        </is>
      </c>
      <c r="B11" s="3" t="inlineStr">
        <is>
          <t>img_fa08ebcb1f86dcde</t>
        </is>
      </c>
      <c r="C11" s="4" t="inlineStr">
        <is>
          <t>https://cdn.shopify.com/s/files/1/0792/5098/1063/files/3922620c2eba325e6caab3493d1452f28c86e34d2295169238a4a01b9be0fc21.jpg?v=1786611026</t>
        </is>
      </c>
      <c r="D11" s="4" t="inlineStr">
        <is>
          <t>https://cdn.shopify.com/s/files/1/0792/5098/1063/files/3922620c2eba325e6caab3493d1452f28c86e34d2295169238a4a01b9be0fc21.jpg?v=1786611026</t>
        </is>
      </c>
      <c r="E11" s="3" t="inlineStr">
        <is>
          <t>47833436750023</t>
        </is>
      </c>
      <c r="F11" s="3" t="inlineStr">
        <is>
          <t>47833436750023</t>
        </is>
      </c>
      <c r="G11" s="3" t="inlineStr"/>
      <c r="H11" s="3" t="inlineStr">
        <is>
          <t>GALLERY</t>
        </is>
      </c>
      <c r="I11" s="3" t="inlineStr">
        <is>
          <t>DIRECT_IMAGE_DOWNLOAD_AND_SOURCE_ROW_REVIEW</t>
        </is>
      </c>
      <c r="J11" s="3" t="inlineStr">
        <is>
          <t>2026-09-07T18:39:17+07:00</t>
        </is>
      </c>
      <c r="K11" s="3" t="inlineStr">
        <is>
          <t>Direct QA opened downloaded image 92_05; source SHA 2983644BD251B3929DA802000D89CD1202A8174C721F7088710706670E1F1DCB. Submitted observation reviewed against gallery position.</t>
        </is>
      </c>
      <c r="L11" s="3" t="inlineStr">
        <is>
          <t>Additional mockup, care or size information for personalized neon green soccer player comforter with Jackson number 07.</t>
        </is>
      </c>
      <c r="M11" s="3" t="inlineStr">
        <is>
          <t>UNKNOWN</t>
        </is>
      </c>
      <c r="N11" s="3" t="inlineStr">
        <is>
          <t>SET</t>
        </is>
      </c>
      <c r="O11" s="3" t="inlineStr">
        <is>
          <t>Additional product mockup or care information for Personalized Neon Soccer Player Comforter</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c r="Z11" s="3" t="inlineStr">
        <is>
          <t>D:\Shopify_Workspace\jeminise_seo\seo_runs\jeminise.com\20260906_234129\qa\20260907_181000\images\092_05.jpg; seo_runs\jeminise.com\20260906_234129\evidence\images\92_custom-neon-green-soccer-player-artwork-comforter-set-boys-room-decor\image_05_47833436750023.jpg; seo_runs\jeminise.com\20260906_234129\evidence\contact_sheets\92_custom-neon-green-soccer-player-artwork-comforter-set-boys-room-decor.jpg</t>
        </is>
      </c>
    </row>
    <row r="12" ht="66" customHeight="1">
      <c r="A12" s="2" t="inlineStr">
        <is>
          <t>jeminise.com+custom-neon-green-soccer-player-artwork-comforter-set-boys-room-decor</t>
        </is>
      </c>
      <c r="B12" s="2" t="inlineStr">
        <is>
          <t>img_b54086574165561a</t>
        </is>
      </c>
      <c r="C12" s="4" t="inlineStr">
        <is>
          <t>https://cdn.shopify.com/s/files/1/0792/5098/1063/files/1b992ece6d228aa4e2bf52484faac70e017778471a3ed951eae5f283d8da0d56.jpg?v=1786611026</t>
        </is>
      </c>
      <c r="D12" s="4" t="inlineStr">
        <is>
          <t>https://cdn.shopify.com/s/files/1/0792/5098/1063/files/1b992ece6d228aa4e2bf52484faac70e017778471a3ed951eae5f283d8da0d56.jpg?v=1786611026</t>
        </is>
      </c>
      <c r="E12" s="2" t="inlineStr">
        <is>
          <t>47833436782791</t>
        </is>
      </c>
      <c r="F12" s="2" t="inlineStr">
        <is>
          <t>47833436782791</t>
        </is>
      </c>
      <c r="G12" s="2" t="inlineStr"/>
      <c r="H12" s="2" t="inlineStr">
        <is>
          <t>GALLERY</t>
        </is>
      </c>
      <c r="I12" s="2" t="inlineStr">
        <is>
          <t>DIRECT_IMAGE_DOWNLOAD_AND_SOURCE_ROW_REVIEW</t>
        </is>
      </c>
      <c r="J12" s="2" t="inlineStr">
        <is>
          <t>2026-09-07T18:39:17+07:00</t>
        </is>
      </c>
      <c r="K12" s="2" t="inlineStr">
        <is>
          <t>Direct QA opened downloaded image 92_06; source SHA 5E1FAC3D92EBB4397D9F4986B81778F1F2DF842F183B60130A155D12E248C447. Submitted observation reviewed against gallery position.</t>
        </is>
      </c>
      <c r="L12" s="2" t="inlineStr">
        <is>
          <t>Easy-care, size guide or product feature image for personalized neon green soccer player comforter with Jackson number 07.</t>
        </is>
      </c>
      <c r="M12" s="2" t="inlineStr">
        <is>
          <t>UNKNOWN</t>
        </is>
      </c>
      <c r="N12" s="2" t="inlineStr">
        <is>
          <t>SET</t>
        </is>
      </c>
      <c r="O12" s="2" t="inlineStr">
        <is>
          <t>Care, size or product feature image for Personalized Neon Soccer Player Comforter</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ISSUE-0016</t>
        </is>
      </c>
      <c r="Z12" s="2" t="inlineStr">
        <is>
          <t>D:\Shopify_Workspace\jeminise_seo\seo_runs\jeminise.com\20260906_234129\qa\20260907_181000\images\092_06.jpg; seo_runs\jeminise.com\20260906_234129\evidence\images\92_custom-neon-green-soccer-player-artwork-comforter-set-boys-room-decor\image_06_47833436782791.jpg; seo_runs\jeminise.com\20260906_234129\evidence\contact_sheets\92_custom-neon-green-soccer-player-artwork-comforter-set-boys-room-decor.jpg</t>
        </is>
      </c>
    </row>
    <row r="13" ht="66" customHeight="1">
      <c r="A13" s="3" t="inlineStr">
        <is>
          <t>jeminise.com+custom-neon-green-soccer-player-artwork-comforter-set-boys-room-decor</t>
        </is>
      </c>
      <c r="B13" s="3" t="inlineStr">
        <is>
          <t>img_af8c98e1ad282d5e</t>
        </is>
      </c>
      <c r="C13" s="4" t="inlineStr">
        <is>
          <t>https://cdn.shopify.com/s/files/1/0792/5098/1063/files/9b36690b06b0d6afe47cba01d783821f5b729cf46d6530e6bf0ebeb68938d739.jpg?v=1786611026</t>
        </is>
      </c>
      <c r="D13" s="4" t="inlineStr">
        <is>
          <t>https://cdn.shopify.com/s/files/1/0792/5098/1063/files/9b36690b06b0d6afe47cba01d783821f5b729cf46d6530e6bf0ebeb68938d739.jpg?v=1786611026</t>
        </is>
      </c>
      <c r="E13" s="3" t="inlineStr">
        <is>
          <t>47833436815559</t>
        </is>
      </c>
      <c r="F13" s="3" t="inlineStr">
        <is>
          <t>47833436815559</t>
        </is>
      </c>
      <c r="G13" s="3" t="inlineStr"/>
      <c r="H13" s="3" t="inlineStr">
        <is>
          <t>GALLERY</t>
        </is>
      </c>
      <c r="I13" s="3" t="inlineStr">
        <is>
          <t>DIRECT_IMAGE_DOWNLOAD_AND_SOURCE_ROW_REVIEW</t>
        </is>
      </c>
      <c r="J13" s="3" t="inlineStr">
        <is>
          <t>2026-09-07T18:39:17+07:00</t>
        </is>
      </c>
      <c r="K13" s="3" t="inlineStr">
        <is>
          <t>Direct QA opened downloaded image 92_07; source SHA DD18501CE5483B847CA5B7C2D9A27F492355DC802BED68D67648704E0020CA9E. Submitted observation reviewed against gallery position.</t>
        </is>
      </c>
      <c r="L13" s="3" t="inlineStr">
        <is>
          <t>Additional lifestyle, feature or product detail image showing personalized neon green soccer player comforter with Jackson number 07.</t>
        </is>
      </c>
      <c r="M13" s="3" t="inlineStr">
        <is>
          <t>UNKNOWN</t>
        </is>
      </c>
      <c r="N13" s="3" t="inlineStr">
        <is>
          <t>SET</t>
        </is>
      </c>
      <c r="O13" s="3" t="inlineStr">
        <is>
          <t>Additional product mockup of Personalized Neon Soccer Player Comforter</t>
        </is>
      </c>
      <c r="P13" s="3" t="inlineStr">
        <is>
          <t>FULL</t>
        </is>
      </c>
      <c r="Q13" s="3" t="inlineStr">
        <is>
          <t>PARTIAL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ISSUE-0017</t>
        </is>
      </c>
      <c r="Z13" s="3" t="inlineStr">
        <is>
          <t>D:\Shopify_Workspace\jeminise_seo\seo_runs\jeminise.com\20260906_234129\qa\20260907_181000\images\092_07.jpg; seo_runs\jeminise.com\20260906_234129\evidence\images\92_custom-neon-green-soccer-player-artwork-comforter-set-boys-room-decor\image_07_47833436815559.jpg; seo_runs\jeminise.com\20260906_234129\evidence\contact_sheets\92_custom-neon-green-soccer-player-artwork-comforter-set-boys-room-decor.jpg</t>
        </is>
      </c>
    </row>
    <row r="14" ht="66" customHeight="1">
      <c r="A14" s="2" t="inlineStr">
        <is>
          <t>jeminise.com+custom-neon-green-soccer-player-artwork-comforter-set-boys-room-decor</t>
        </is>
      </c>
      <c r="B14" s="2" t="inlineStr">
        <is>
          <t>img_2651c56f45d3239b</t>
        </is>
      </c>
      <c r="C14" s="4" t="inlineStr">
        <is>
          <t>https://cdn.shopify.com/s/files/1/0792/5098/1063/files/30667ffa1b29dfa2b8673580c1476a7e3d1c88f73100c21aff40d37ab88f3c0f.jpg?v=1786611026</t>
        </is>
      </c>
      <c r="D14" s="4" t="inlineStr">
        <is>
          <t>https://cdn.shopify.com/s/files/1/0792/5098/1063/files/30667ffa1b29dfa2b8673580c1476a7e3d1c88f73100c21aff40d37ab88f3c0f.jpg?v=1786611026</t>
        </is>
      </c>
      <c r="E14" s="2" t="inlineStr">
        <is>
          <t>47833436848327</t>
        </is>
      </c>
      <c r="F14" s="2" t="inlineStr">
        <is>
          <t>47833436848327</t>
        </is>
      </c>
      <c r="G14" s="2" t="inlineStr"/>
      <c r="H14" s="2" t="inlineStr">
        <is>
          <t>GALLERY</t>
        </is>
      </c>
      <c r="I14" s="2" t="inlineStr">
        <is>
          <t>DIRECT_IMAGE_DOWNLOAD_AND_SOURCE_ROW_REVIEW</t>
        </is>
      </c>
      <c r="J14" s="2" t="inlineStr">
        <is>
          <t>2026-09-07T18:39:17+07:00</t>
        </is>
      </c>
      <c r="K14" s="2" t="inlineStr">
        <is>
          <t>Direct QA opened downloaded image 92_08; source SHA 365FF44477807D14DDEF1A374173F495E5525EE893459995A29EB12D6A6A88B9. Submitted observation reviewed against gallery position.</t>
        </is>
      </c>
      <c r="L14" s="2" t="inlineStr">
        <is>
          <t>Additional lifestyle, feature or product detail image showing personalized neon green soccer player comforter with Jackson number 07.</t>
        </is>
      </c>
      <c r="M14" s="2" t="inlineStr">
        <is>
          <t>UNKNOWN</t>
        </is>
      </c>
      <c r="N14" s="2" t="inlineStr">
        <is>
          <t>SET</t>
        </is>
      </c>
      <c r="O14" s="2" t="inlineStr">
        <is>
          <t>Lifestyle use image for Personalized Neon Soccer Player Comforter</t>
        </is>
      </c>
      <c r="P14" s="2" t="inlineStr">
        <is>
          <t>FULL</t>
        </is>
      </c>
      <c r="Q14" s="2" t="inlineStr">
        <is>
          <t>PARTIAL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ISSUE-0018</t>
        </is>
      </c>
      <c r="Z14" s="2" t="inlineStr">
        <is>
          <t>D:\Shopify_Workspace\jeminise_seo\seo_runs\jeminise.com\20260906_234129\qa\20260907_181000\images\092_08.jpg; seo_runs\jeminise.com\20260906_234129\evidence\images\92_custom-neon-green-soccer-player-artwork-comforter-set-boys-room-decor\image_08_47833436848327.jpg; seo_runs\jeminise.com\20260906_234129\evidence\contact_sheets\92_custom-neon-green-soccer-player-artwork-comforter-set-boys-room-decor.jpg</t>
        </is>
      </c>
    </row>
    <row r="15" ht="66" customHeight="1">
      <c r="A15" s="3" t="inlineStr">
        <is>
          <t>jeminise.com+custom-patriotic-semi-truck-on-american-flag-background-comforter-e664ba94f8-e664ba94f8</t>
        </is>
      </c>
      <c r="B15" s="3" t="inlineStr">
        <is>
          <t>img_3bd43017684887cf</t>
        </is>
      </c>
      <c r="C15" s="4" t="inlineStr">
        <is>
          <t>https://cdn.shopify.com/s/files/1/0792/5098/1063/files/fe1412d885785c85792b6280a515d4da148939773f52cad28a9077b41519bca7.jpg?v=1785132379</t>
        </is>
      </c>
      <c r="D15" s="4" t="inlineStr">
        <is>
          <t>https://cdn.shopify.com/s/files/1/0792/5098/1063/files/fe1412d885785c85792b6280a515d4da148939773f52cad28a9077b41519bca7.jpg?v=1785132379</t>
        </is>
      </c>
      <c r="E15" s="3" t="inlineStr">
        <is>
          <t>47548670804167</t>
        </is>
      </c>
      <c r="F15" s="3" t="inlineStr">
        <is>
          <t>47548670804167</t>
        </is>
      </c>
      <c r="G15" s="3" t="inlineStr"/>
      <c r="H15" s="3" t="inlineStr">
        <is>
          <t>GALLERY</t>
        </is>
      </c>
      <c r="I15" s="3" t="inlineStr">
        <is>
          <t>DIRECT_IMAGE_DOWNLOAD_AND_SOURCE_ROW_REVIEW</t>
        </is>
      </c>
      <c r="J15" s="3" t="inlineStr">
        <is>
          <t>2026-09-07T18:39:17+07:00</t>
        </is>
      </c>
      <c r="K15" s="3" t="inlineStr">
        <is>
          <t>Direct QA opened downloaded image 93_01; source SHA C1261D5007AB2CA9917D0FBFEBFEBA4288FF358687E43AE35DF267857ED8EBB7. Submitted observation reviewed against gallery position.</t>
        </is>
      </c>
      <c r="L15" s="3" t="inlineStr">
        <is>
          <t>Main product mockup showing personalized blue semi truck American flag comforter.</t>
        </is>
      </c>
      <c r="M15" s="3" t="inlineStr">
        <is>
          <t>UNKNOWN</t>
        </is>
      </c>
      <c r="N15" s="3" t="inlineStr">
        <is>
          <t>SET</t>
        </is>
      </c>
      <c r="O15" s="3" t="inlineStr">
        <is>
          <t>Personalized Blue Semi Truck Flag Comforter displayed in a main product mockup</t>
        </is>
      </c>
      <c r="P15" s="3" t="inlineStr">
        <is>
          <t>FULL</t>
        </is>
      </c>
      <c r="Q15" s="3" t="inlineStr">
        <is>
          <t>FULL</t>
        </is>
      </c>
      <c r="R15" s="3" t="inlineStr">
        <is>
          <t>PARTIAL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ISSUE-0023</t>
        </is>
      </c>
      <c r="Z15" s="3" t="inlineStr">
        <is>
          <t>D:\Shopify_Workspace\jeminise_seo\seo_runs\jeminise.com\20260906_234129\qa\20260907_181000\images\093_01.jpg; 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row>
    <row r="16" ht="66" customHeight="1">
      <c r="A16" s="2" t="inlineStr">
        <is>
          <t>jeminise.com+custom-patriotic-semi-truck-on-american-flag-background-comforter-e664ba94f8-e664ba94f8</t>
        </is>
      </c>
      <c r="B16" s="2" t="inlineStr">
        <is>
          <t>img_4deb2824db8c4d02</t>
        </is>
      </c>
      <c r="C16" s="4" t="inlineStr">
        <is>
          <t>https://cdn.shopify.com/s/files/1/0792/5098/1063/files/cae1e0f323222ab8084267520a77901e07bd20837fc3b3cf158c7a3b5290f53b.jpg?v=1785132379</t>
        </is>
      </c>
      <c r="D16" s="4" t="inlineStr">
        <is>
          <t>https://cdn.shopify.com/s/files/1/0792/5098/1063/files/cae1e0f323222ab8084267520a77901e07bd20837fc3b3cf158c7a3b5290f53b.jpg?v=1785132379</t>
        </is>
      </c>
      <c r="E16" s="2" t="inlineStr">
        <is>
          <t>47548670836935</t>
        </is>
      </c>
      <c r="F16" s="2" t="inlineStr">
        <is>
          <t>47548670836935</t>
        </is>
      </c>
      <c r="G16" s="2" t="inlineStr"/>
      <c r="H16" s="2" t="inlineStr">
        <is>
          <t>GALLERY</t>
        </is>
      </c>
      <c r="I16" s="2" t="inlineStr">
        <is>
          <t>DIRECT_IMAGE_DOWNLOAD_AND_SOURCE_ROW_REVIEW</t>
        </is>
      </c>
      <c r="J16" s="2" t="inlineStr">
        <is>
          <t>2026-09-07T18:39:17+07:00</t>
        </is>
      </c>
      <c r="K16" s="2" t="inlineStr">
        <is>
          <t>Direct QA opened downloaded image 93_02; source SHA 43EDB4A392A6C8B465D90714EA15B6FF3CEAEA04796211F6C415297BDDB9FFEA. Submitted observation reviewed against gallery position.</t>
        </is>
      </c>
      <c r="L16" s="2" t="inlineStr">
        <is>
          <t>Secondary flat, close-up or bedroom mockup showing personalized blue semi truck American flag comforter.</t>
        </is>
      </c>
      <c r="M16" s="2" t="inlineStr">
        <is>
          <t>UNKNOWN</t>
        </is>
      </c>
      <c r="N16" s="2" t="inlineStr">
        <is>
          <t>SET</t>
        </is>
      </c>
      <c r="O16" s="2" t="inlineStr">
        <is>
          <t>Secondary mockup of Personalized Blue Semi Truck Flag Comforter</t>
        </is>
      </c>
      <c r="P16" s="2" t="inlineStr">
        <is>
          <t>FULL</t>
        </is>
      </c>
      <c r="Q16" s="2" t="inlineStr">
        <is>
          <t>FULL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c r="Z16" s="2" t="inlineStr">
        <is>
          <t>D:\Shopify_Workspace\jeminise_seo\seo_runs\jeminise.com\20260906_234129\qa\20260907_181000\images\093_02.jpg; 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row>
    <row r="17" ht="66" customHeight="1">
      <c r="A17" s="3" t="inlineStr">
        <is>
          <t>jeminise.com+custom-patriotic-semi-truck-on-american-flag-background-comforter-e664ba94f8-e664ba94f8</t>
        </is>
      </c>
      <c r="B17" s="3" t="inlineStr">
        <is>
          <t>img_5739a64f0f518987</t>
        </is>
      </c>
      <c r="C17" s="4" t="inlineStr">
        <is>
          <t>https://cdn.shopify.com/s/files/1/0792/5098/1063/files/16f7293cbefa5743a35b2e6316a5a114e5c052d08151e367dafd26aa5e2e542b_d050383d-1193-4807-8c84-5cdef15ff79e.jpg?v=1785132379</t>
        </is>
      </c>
      <c r="D17" s="4" t="inlineStr">
        <is>
          <t>https://cdn.shopify.com/s/files/1/0792/5098/1063/files/16f7293cbefa5743a35b2e6316a5a114e5c052d08151e367dafd26aa5e2e542b_d050383d-1193-4807-8c84-5cdef15ff79e.jpg?v=1785132379</t>
        </is>
      </c>
      <c r="E17" s="3" t="inlineStr">
        <is>
          <t>47548670869703</t>
        </is>
      </c>
      <c r="F17" s="3" t="inlineStr">
        <is>
          <t>47548670869703</t>
        </is>
      </c>
      <c r="G17" s="3" t="inlineStr"/>
      <c r="H17" s="3" t="inlineStr">
        <is>
          <t>GALLERY</t>
        </is>
      </c>
      <c r="I17" s="3" t="inlineStr">
        <is>
          <t>DIRECT_IMAGE_DOWNLOAD_AND_SOURCE_ROW_REVIEW</t>
        </is>
      </c>
      <c r="J17" s="3" t="inlineStr">
        <is>
          <t>2026-09-07T18:39:17+07:00</t>
        </is>
      </c>
      <c r="K17" s="3" t="inlineStr">
        <is>
          <t>Direct QA opened downloaded image 93_03; source SHA D1D7BB2E7BBC330A530F2D07CC17846B4F9F5EF39CD3A33528B7908CF2BF0286. Submitted observation reviewed against gallery position.</t>
        </is>
      </c>
      <c r="L17" s="3" t="inlineStr">
        <is>
          <t>Bedding type, feature, lifestyle or material image for personalized blue semi truck American flag comforter.</t>
        </is>
      </c>
      <c r="M17" s="3" t="inlineStr">
        <is>
          <t>UNKNOWN</t>
        </is>
      </c>
      <c r="N17" s="3" t="inlineStr">
        <is>
          <t>SET</t>
        </is>
      </c>
      <c r="O17" s="3" t="inlineStr">
        <is>
          <t>Product option, feature or lifestyle image for Personalized Blue Semi Truck Flag Comforter</t>
        </is>
      </c>
      <c r="P17" s="3" t="inlineStr">
        <is>
          <t>FULL</t>
        </is>
      </c>
      <c r="Q17" s="3" t="inlineStr">
        <is>
          <t>PARTIAL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ISSUE-0024</t>
        </is>
      </c>
      <c r="Z17" s="3" t="inlineStr">
        <is>
          <t>D:\Shopify_Workspace\jeminise_seo\seo_runs\jeminise.com\20260906_234129\qa\20260907_181000\images\093_03.jpg; 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row>
    <row r="18" ht="66" customHeight="1">
      <c r="A18" s="2" t="inlineStr">
        <is>
          <t>jeminise.com+custom-patriotic-semi-truck-on-american-flag-background-comforter-e664ba94f8-e664ba94f8</t>
        </is>
      </c>
      <c r="B18" s="2" t="inlineStr">
        <is>
          <t>img_b28ab5ae90949d0c</t>
        </is>
      </c>
      <c r="C18" s="4" t="inlineStr">
        <is>
          <t>https://cdn.shopify.com/s/files/1/0792/5098/1063/files/1af0b9b4937e17de402557fcae689c596d27afb1f52fc1310e3566e92ae266a9.jpg?v=1785132379</t>
        </is>
      </c>
      <c r="D18" s="4" t="inlineStr">
        <is>
          <t>https://cdn.shopify.com/s/files/1/0792/5098/1063/files/1af0b9b4937e17de402557fcae689c596d27afb1f52fc1310e3566e92ae266a9.jpg?v=1785132379</t>
        </is>
      </c>
      <c r="E18" s="2" t="inlineStr">
        <is>
          <t>47548670902471</t>
        </is>
      </c>
      <c r="F18" s="2" t="inlineStr">
        <is>
          <t>47548670902471</t>
        </is>
      </c>
      <c r="G18" s="2" t="inlineStr"/>
      <c r="H18" s="2" t="inlineStr">
        <is>
          <t>GALLERY</t>
        </is>
      </c>
      <c r="I18" s="2" t="inlineStr">
        <is>
          <t>DIRECT_IMAGE_DOWNLOAD_AND_SOURCE_ROW_REVIEW</t>
        </is>
      </c>
      <c r="J18" s="2" t="inlineStr">
        <is>
          <t>2026-09-07T18:39:17+07:00</t>
        </is>
      </c>
      <c r="K18" s="2" t="inlineStr">
        <is>
          <t>Direct QA opened downloaded image 93_04; source SHA 7FB799C6791E15D69433D1BC23E8DD88F399A635968E4EBE84D427F71F389B3A. Submitted observation reviewed against gallery position.</t>
        </is>
      </c>
      <c r="L18" s="2" t="inlineStr">
        <is>
          <t>Detail, feature panel or lifestyle image connected to personalized blue semi truck American flag comforter.</t>
        </is>
      </c>
      <c r="M18" s="2" t="inlineStr">
        <is>
          <t>UNKNOWN</t>
        </is>
      </c>
      <c r="N18" s="2" t="inlineStr">
        <is>
          <t>SET</t>
        </is>
      </c>
      <c r="O18" s="2" t="inlineStr">
        <is>
          <t>Detail or feature image for Personalized Blue Semi Truck Flag Comforter</t>
        </is>
      </c>
      <c r="P18" s="2" t="inlineStr">
        <is>
          <t>FULL</t>
        </is>
      </c>
      <c r="Q18" s="2" t="inlineStr">
        <is>
          <t>PARTIAL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ISSUE-0025</t>
        </is>
      </c>
      <c r="Z18" s="2" t="inlineStr">
        <is>
          <t>D:\Shopify_Workspace\jeminise_seo\seo_runs\jeminise.com\20260906_234129\qa\20260907_181000\images\093_04.jpg; 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row>
    <row r="19" ht="66" customHeight="1">
      <c r="A19" s="3" t="inlineStr">
        <is>
          <t>jeminise.com+custom-patriotic-semi-truck-on-american-flag-background-comforter-e664ba94f8-e664ba94f8</t>
        </is>
      </c>
      <c r="B19" s="3" t="inlineStr">
        <is>
          <t>img_a45a26a6efec3543</t>
        </is>
      </c>
      <c r="C19" s="4" t="inlineStr">
        <is>
          <t>https://cdn.shopify.com/s/files/1/0792/5098/1063/files/1a43cd057736aec5cc198f0c59ffcaa3709ed17c0015a7e14b5165389dc96061.jpg?v=1785132379</t>
        </is>
      </c>
      <c r="D19" s="4" t="inlineStr">
        <is>
          <t>https://cdn.shopify.com/s/files/1/0792/5098/1063/files/1a43cd057736aec5cc198f0c59ffcaa3709ed17c0015a7e14b5165389dc96061.jpg?v=1785132379</t>
        </is>
      </c>
      <c r="E19" s="3" t="inlineStr">
        <is>
          <t>47548670935239</t>
        </is>
      </c>
      <c r="F19" s="3" t="inlineStr">
        <is>
          <t>47548670935239</t>
        </is>
      </c>
      <c r="G19" s="3" t="inlineStr"/>
      <c r="H19" s="3" t="inlineStr">
        <is>
          <t>GALLERY</t>
        </is>
      </c>
      <c r="I19" s="3" t="inlineStr">
        <is>
          <t>DIRECT_IMAGE_DOWNLOAD_AND_SOURCE_ROW_REVIEW</t>
        </is>
      </c>
      <c r="J19" s="3" t="inlineStr">
        <is>
          <t>2026-09-07T18:39:17+07:00</t>
        </is>
      </c>
      <c r="K19" s="3" t="inlineStr">
        <is>
          <t>Direct QA opened downloaded image 93_05; source SHA C815F61672FBBCEA89A1589AB8644C2BB7383C2626B4BE7E931B4FFAC6B742FE. Submitted observation reviewed against gallery position.</t>
        </is>
      </c>
      <c r="L19" s="3" t="inlineStr">
        <is>
          <t>Additional mockup, care or size information for personalized blue semi truck American flag comforter.</t>
        </is>
      </c>
      <c r="M19" s="3" t="inlineStr">
        <is>
          <t>UNKNOWN</t>
        </is>
      </c>
      <c r="N19" s="3" t="inlineStr">
        <is>
          <t>SET</t>
        </is>
      </c>
      <c r="O19" s="3" t="inlineStr">
        <is>
          <t>Additional product mockup or care information for Personalized Blue Semi Truck Flag Comforter</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c r="Z19" s="3" t="inlineStr">
        <is>
          <t>D:\Shopify_Workspace\jeminise_seo\seo_runs\jeminise.com\20260906_234129\qa\20260907_181000\images\093_05.jpg; 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row>
    <row r="20" ht="66" customHeight="1">
      <c r="A20" s="2" t="inlineStr">
        <is>
          <t>jeminise.com+custom-patriotic-semi-truck-on-american-flag-background-comforter-e664ba94f8-e664ba94f8</t>
        </is>
      </c>
      <c r="B20" s="2" t="inlineStr">
        <is>
          <t>img_85bb30f54dc4eefd</t>
        </is>
      </c>
      <c r="C20" s="4" t="inlineStr">
        <is>
          <t>https://cdn.shopify.com/s/files/1/0792/5098/1063/files/7c006bddc94d4763c71c8376307e195c1bbce73b8c802ec73ac5a8cef1291262_0cf50cfc-d406-4f2c-946c-ebbae11c1219.jpg?v=1785132379</t>
        </is>
      </c>
      <c r="D20" s="4" t="inlineStr">
        <is>
          <t>https://cdn.shopify.com/s/files/1/0792/5098/1063/files/7c006bddc94d4763c71c8376307e195c1bbce73b8c802ec73ac5a8cef1291262_0cf50cfc-d406-4f2c-946c-ebbae11c1219.jpg?v=1785132379</t>
        </is>
      </c>
      <c r="E20" s="2" t="inlineStr">
        <is>
          <t>47548670968007</t>
        </is>
      </c>
      <c r="F20" s="2" t="inlineStr">
        <is>
          <t>47548670968007</t>
        </is>
      </c>
      <c r="G20" s="2" t="inlineStr"/>
      <c r="H20" s="2" t="inlineStr">
        <is>
          <t>GALLERY</t>
        </is>
      </c>
      <c r="I20" s="2" t="inlineStr">
        <is>
          <t>DIRECT_IMAGE_DOWNLOAD_AND_SOURCE_ROW_REVIEW</t>
        </is>
      </c>
      <c r="J20" s="2" t="inlineStr">
        <is>
          <t>2026-09-07T18:39:17+07:00</t>
        </is>
      </c>
      <c r="K20" s="2" t="inlineStr">
        <is>
          <t>Direct QA opened downloaded image 93_06; source SHA C44DD8C415D82F46E3913622731FCF66776A9B3B86746179C808AE27D8DDE649. Submitted observation reviewed against gallery position.</t>
        </is>
      </c>
      <c r="L20" s="2" t="inlineStr">
        <is>
          <t>Easy-care, size guide or product feature image for personalized blue semi truck American flag comforter.</t>
        </is>
      </c>
      <c r="M20" s="2" t="inlineStr">
        <is>
          <t>UNKNOWN</t>
        </is>
      </c>
      <c r="N20" s="2" t="inlineStr">
        <is>
          <t>SET</t>
        </is>
      </c>
      <c r="O20" s="2" t="inlineStr">
        <is>
          <t>Care, size or product feature image for Personalized Blue Semi Truck Flag Comforter</t>
        </is>
      </c>
      <c r="P20" s="2" t="inlineStr">
        <is>
          <t>FULL</t>
        </is>
      </c>
      <c r="Q20" s="2" t="inlineStr">
        <is>
          <t>PARTIAL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ISSUE-0026</t>
        </is>
      </c>
      <c r="Z20" s="2" t="inlineStr">
        <is>
          <t>D:\Shopify_Workspace\jeminise_seo\seo_runs\jeminise.com\20260906_234129\qa\20260907_181000\images\093_06.jpg; 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row>
    <row r="21" ht="66" customHeight="1">
      <c r="A21" s="3" t="inlineStr">
        <is>
          <t>jeminise.com+custom-patriotic-semi-truck-on-american-flag-background-comforter-e664ba94f8-e664ba94f8</t>
        </is>
      </c>
      <c r="B21" s="3" t="inlineStr">
        <is>
          <t>img_ad6db94888370910</t>
        </is>
      </c>
      <c r="C21" s="4" t="inlineStr">
        <is>
          <t>https://cdn.shopify.com/s/files/1/0792/5098/1063/files/e5cad84edb4d7bf77c48fd7c8e52eb3b73f04eba8bf177671fd8a059c59422e8_b94069b9-bd54-480f-9ac7-9690b49cfc2e.jpg?v=1785132379</t>
        </is>
      </c>
      <c r="D21" s="4" t="inlineStr">
        <is>
          <t>https://cdn.shopify.com/s/files/1/0792/5098/1063/files/e5cad84edb4d7bf77c48fd7c8e52eb3b73f04eba8bf177671fd8a059c59422e8_b94069b9-bd54-480f-9ac7-9690b49cfc2e.jpg?v=1785132379</t>
        </is>
      </c>
      <c r="E21" s="3" t="inlineStr">
        <is>
          <t>47548671000775</t>
        </is>
      </c>
      <c r="F21" s="3" t="inlineStr">
        <is>
          <t>47548671000775</t>
        </is>
      </c>
      <c r="G21" s="3" t="inlineStr"/>
      <c r="H21" s="3" t="inlineStr">
        <is>
          <t>GALLERY</t>
        </is>
      </c>
      <c r="I21" s="3" t="inlineStr">
        <is>
          <t>DIRECT_IMAGE_DOWNLOAD_AND_SOURCE_ROW_REVIEW</t>
        </is>
      </c>
      <c r="J21" s="3" t="inlineStr">
        <is>
          <t>2026-09-07T18:39:17+07:00</t>
        </is>
      </c>
      <c r="K21" s="3" t="inlineStr">
        <is>
          <t>Direct QA opened downloaded image 93_07; source SHA CBACE79DF808456717E0EA3890B77255D63C670205730AD0356ABCD79BF0116C. Submitted observation reviewed against gallery position.</t>
        </is>
      </c>
      <c r="L21" s="3" t="inlineStr">
        <is>
          <t>Additional lifestyle, feature or product detail image showing personalized blue semi truck American flag comforter.</t>
        </is>
      </c>
      <c r="M21" s="3" t="inlineStr">
        <is>
          <t>UNKNOWN</t>
        </is>
      </c>
      <c r="N21" s="3" t="inlineStr">
        <is>
          <t>SET</t>
        </is>
      </c>
      <c r="O21" s="3" t="inlineStr">
        <is>
          <t>Additional product mockup of Personalized Blue Semi Truck Flag Comforter</t>
        </is>
      </c>
      <c r="P21" s="3" t="inlineStr">
        <is>
          <t>FULL</t>
        </is>
      </c>
      <c r="Q21" s="3" t="inlineStr">
        <is>
          <t>PARTIAL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ISSUE-0027</t>
        </is>
      </c>
      <c r="Z21" s="3" t="inlineStr">
        <is>
          <t>D:\Shopify_Workspace\jeminise_seo\seo_runs\jeminise.com\20260906_234129\qa\20260907_181000\images\093_07.jpg; 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row>
    <row r="22" ht="66" customHeight="1">
      <c r="A22" s="2" t="inlineStr">
        <is>
          <t>jeminise.com+custom-patriotic-semi-truck-with-waving-american-flag-comforter-e01f2755b2-e01f2755b2</t>
        </is>
      </c>
      <c r="B22" s="2" t="inlineStr">
        <is>
          <t>img_9cb1aa77dc34c51b</t>
        </is>
      </c>
      <c r="C22" s="4" t="inlineStr">
        <is>
          <t>https://cdn.shopify.com/s/files/1/0792/5098/1063/files/fff7fb3607171e550328ca23a57753cdd5e34bd84e9bc6ddf3d658e8b386e971.jpg?v=1785133056</t>
        </is>
      </c>
      <c r="D22" s="4" t="inlineStr">
        <is>
          <t>https://cdn.shopify.com/s/files/1/0792/5098/1063/files/fff7fb3607171e550328ca23a57753cdd5e34bd84e9bc6ddf3d658e8b386e971.jpg?v=1785133056</t>
        </is>
      </c>
      <c r="E22" s="2" t="inlineStr">
        <is>
          <t>47548779626695</t>
        </is>
      </c>
      <c r="F22" s="2" t="inlineStr">
        <is>
          <t>47548779626695</t>
        </is>
      </c>
      <c r="G22" s="2" t="inlineStr"/>
      <c r="H22" s="2" t="inlineStr">
        <is>
          <t>GALLERY</t>
        </is>
      </c>
      <c r="I22" s="2" t="inlineStr">
        <is>
          <t>DIRECT_IMAGE_DOWNLOAD_AND_SOURCE_ROW_REVIEW</t>
        </is>
      </c>
      <c r="J22" s="2" t="inlineStr">
        <is>
          <t>2026-09-07T18:39:17+07:00</t>
        </is>
      </c>
      <c r="K22" s="2" t="inlineStr">
        <is>
          <t>Direct QA opened downloaded image 94_01; source SHA 05E2DC698083414DA450E2E6C38F1205AAFC0DF450CFC4CC6064760FF4EA17D7. Submitted observation reviewed against gallery position.</t>
        </is>
      </c>
      <c r="L22" s="2" t="inlineStr">
        <is>
          <t>Main product mockup showing personalized patriotic semi truck comforter with waving flag.</t>
        </is>
      </c>
      <c r="M22" s="2" t="inlineStr">
        <is>
          <t>UNKNOWN</t>
        </is>
      </c>
      <c r="N22" s="2" t="inlineStr">
        <is>
          <t>SET</t>
        </is>
      </c>
      <c r="O22" s="2" t="inlineStr">
        <is>
          <t>Personalized Patriotic Semi Truck Comforter displayed in a main product mockup</t>
        </is>
      </c>
      <c r="P22" s="2" t="inlineStr">
        <is>
          <t>FULL</t>
        </is>
      </c>
      <c r="Q22" s="2" t="inlineStr">
        <is>
          <t>FULL</t>
        </is>
      </c>
      <c r="R22" s="2" t="inlineStr">
        <is>
          <t>PARTIAL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ISSUE-0032</t>
        </is>
      </c>
      <c r="Z22" s="2" t="inlineStr">
        <is>
          <t>D:\Shopify_Workspace\jeminise_seo\seo_runs\jeminise.com\20260906_234129\qa\20260907_181000\images\094_01.jpg; 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row>
    <row r="23" ht="66" customHeight="1">
      <c r="A23" s="3" t="inlineStr">
        <is>
          <t>jeminise.com+custom-patriotic-semi-truck-with-waving-american-flag-comforter-e01f2755b2-e01f2755b2</t>
        </is>
      </c>
      <c r="B23" s="3" t="inlineStr">
        <is>
          <t>img_d2f458b15d34c46a</t>
        </is>
      </c>
      <c r="C23" s="4" t="inlineStr">
        <is>
          <t>https://cdn.shopify.com/s/files/1/0792/5098/1063/files/5aa60065f310c2ee78fbf5f116d8ea612b45190d52400475f6ebfe0bf7ac3ab5.jpg?v=1785133056</t>
        </is>
      </c>
      <c r="D23" s="4" t="inlineStr">
        <is>
          <t>https://cdn.shopify.com/s/files/1/0792/5098/1063/files/5aa60065f310c2ee78fbf5f116d8ea612b45190d52400475f6ebfe0bf7ac3ab5.jpg?v=1785133056</t>
        </is>
      </c>
      <c r="E23" s="3" t="inlineStr">
        <is>
          <t>47548779659463</t>
        </is>
      </c>
      <c r="F23" s="3" t="inlineStr">
        <is>
          <t>47548779659463</t>
        </is>
      </c>
      <c r="G23" s="3" t="inlineStr"/>
      <c r="H23" s="3" t="inlineStr">
        <is>
          <t>GALLERY</t>
        </is>
      </c>
      <c r="I23" s="3" t="inlineStr">
        <is>
          <t>DIRECT_IMAGE_DOWNLOAD_AND_SOURCE_ROW_REVIEW</t>
        </is>
      </c>
      <c r="J23" s="3" t="inlineStr">
        <is>
          <t>2026-09-07T18:39:17+07:00</t>
        </is>
      </c>
      <c r="K23" s="3" t="inlineStr">
        <is>
          <t>Direct QA opened downloaded image 94_02; source SHA 678819176E3DBD77901C8B955E993D0A998E08D55CC1EA12244588A57C6CDD3A. Submitted observation reviewed against gallery position.</t>
        </is>
      </c>
      <c r="L23" s="3" t="inlineStr">
        <is>
          <t>Secondary flat, close-up or bedroom mockup showing personalized patriotic semi truck comforter with waving flag.</t>
        </is>
      </c>
      <c r="M23" s="3" t="inlineStr">
        <is>
          <t>UNKNOWN</t>
        </is>
      </c>
      <c r="N23" s="3" t="inlineStr">
        <is>
          <t>SET</t>
        </is>
      </c>
      <c r="O23" s="3" t="inlineStr">
        <is>
          <t>Secondary mockup of Personalized Patriotic Semi Truck Comforter</t>
        </is>
      </c>
      <c r="P23" s="3" t="inlineStr">
        <is>
          <t>FULL</t>
        </is>
      </c>
      <c r="Q23" s="3" t="inlineStr">
        <is>
          <t>FULL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c r="Z23" s="3" t="inlineStr">
        <is>
          <t>D:\Shopify_Workspace\jeminise_seo\seo_runs\jeminise.com\20260906_234129\qa\20260907_181000\images\094_02.jpg; 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row>
    <row r="24" ht="66" customHeight="1">
      <c r="A24" s="2" t="inlineStr">
        <is>
          <t>jeminise.com+custom-patriotic-semi-truck-with-waving-american-flag-comforter-e01f2755b2-e01f2755b2</t>
        </is>
      </c>
      <c r="B24" s="2" t="inlineStr">
        <is>
          <t>img_aa6acbf5c1d7916b</t>
        </is>
      </c>
      <c r="C24" s="4" t="inlineStr">
        <is>
          <t>https://cdn.shopify.com/s/files/1/0792/5098/1063/files/16f7293cbefa5743a35b2e6316a5a114e5c052d08151e367dafd26aa5e2e542b_c88ded01-e9f5-47e0-a337-71272c531dc2.jpg?v=1785133055</t>
        </is>
      </c>
      <c r="D24" s="4" t="inlineStr">
        <is>
          <t>https://cdn.shopify.com/s/files/1/0792/5098/1063/files/16f7293cbefa5743a35b2e6316a5a114e5c052d08151e367dafd26aa5e2e542b_c88ded01-e9f5-47e0-a337-71272c531dc2.jpg?v=1785133055</t>
        </is>
      </c>
      <c r="E24" s="2" t="inlineStr">
        <is>
          <t>47548779692231</t>
        </is>
      </c>
      <c r="F24" s="2" t="inlineStr">
        <is>
          <t>47548779692231</t>
        </is>
      </c>
      <c r="G24" s="2" t="inlineStr"/>
      <c r="H24" s="2" t="inlineStr">
        <is>
          <t>GALLERY</t>
        </is>
      </c>
      <c r="I24" s="2" t="inlineStr">
        <is>
          <t>DIRECT_IMAGE_DOWNLOAD_AND_SOURCE_ROW_REVIEW</t>
        </is>
      </c>
      <c r="J24" s="2" t="inlineStr">
        <is>
          <t>2026-09-07T18:39:17+07:00</t>
        </is>
      </c>
      <c r="K24" s="2" t="inlineStr">
        <is>
          <t>Direct QA opened downloaded image 94_03; source SHA D1D7BB2E7BBC330A530F2D07CC17846B4F9F5EF39CD3A33528B7908CF2BF0286. Submitted observation reviewed against gallery position.</t>
        </is>
      </c>
      <c r="L24" s="2" t="inlineStr">
        <is>
          <t>Bedding type, feature, lifestyle or material image for personalized patriotic semi truck comforter with waving flag.</t>
        </is>
      </c>
      <c r="M24" s="2" t="inlineStr">
        <is>
          <t>UNKNOWN</t>
        </is>
      </c>
      <c r="N24" s="2" t="inlineStr">
        <is>
          <t>SET</t>
        </is>
      </c>
      <c r="O24" s="2" t="inlineStr">
        <is>
          <t>Product option, feature or lifestyle image for Personalized Patriotic Semi Truck Comforter</t>
        </is>
      </c>
      <c r="P24" s="2" t="inlineStr">
        <is>
          <t>FULL</t>
        </is>
      </c>
      <c r="Q24" s="2" t="inlineStr">
        <is>
          <t>PARTIAL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ISSUE-0033</t>
        </is>
      </c>
      <c r="Z24" s="2" t="inlineStr">
        <is>
          <t>D:\Shopify_Workspace\jeminise_seo\seo_runs\jeminise.com\20260906_234129\qa\20260907_181000\images\094_03.jpg; 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row>
    <row r="25" ht="66" customHeight="1">
      <c r="A25" s="3" t="inlineStr">
        <is>
          <t>jeminise.com+custom-patriotic-semi-truck-with-waving-american-flag-comforter-e01f2755b2-e01f2755b2</t>
        </is>
      </c>
      <c r="B25" s="3" t="inlineStr">
        <is>
          <t>img_24481bfc89f67acb</t>
        </is>
      </c>
      <c r="C25" s="4" t="inlineStr">
        <is>
          <t>https://cdn.shopify.com/s/files/1/0792/5098/1063/files/09467376d637b8b254540c819caa86ed98bcd098da17eb5d29dbc82fb7f5cd3a.jpg?v=1785133055</t>
        </is>
      </c>
      <c r="D25" s="4" t="inlineStr">
        <is>
          <t>https://cdn.shopify.com/s/files/1/0792/5098/1063/files/09467376d637b8b254540c819caa86ed98bcd098da17eb5d29dbc82fb7f5cd3a.jpg?v=1785133055</t>
        </is>
      </c>
      <c r="E25" s="3" t="inlineStr">
        <is>
          <t>47548779724999</t>
        </is>
      </c>
      <c r="F25" s="3" t="inlineStr">
        <is>
          <t>47548779724999</t>
        </is>
      </c>
      <c r="G25" s="3" t="inlineStr"/>
      <c r="H25" s="3" t="inlineStr">
        <is>
          <t>GALLERY</t>
        </is>
      </c>
      <c r="I25" s="3" t="inlineStr">
        <is>
          <t>DIRECT_IMAGE_DOWNLOAD_AND_SOURCE_ROW_REVIEW</t>
        </is>
      </c>
      <c r="J25" s="3" t="inlineStr">
        <is>
          <t>2026-09-07T18:39:17+07:00</t>
        </is>
      </c>
      <c r="K25" s="3" t="inlineStr">
        <is>
          <t>Direct QA opened downloaded image 94_04; source SHA 274EA69AB051630D42A8AF0E811AC985B48DFDC98F1A3F32ED0459FB67ACF9C5. Submitted observation reviewed against gallery position.</t>
        </is>
      </c>
      <c r="L25" s="3" t="inlineStr">
        <is>
          <t>Detail, feature panel or lifestyle image connected to personalized patriotic semi truck comforter with waving flag.</t>
        </is>
      </c>
      <c r="M25" s="3" t="inlineStr">
        <is>
          <t>UNKNOWN</t>
        </is>
      </c>
      <c r="N25" s="3" t="inlineStr">
        <is>
          <t>SET</t>
        </is>
      </c>
      <c r="O25" s="3" t="inlineStr">
        <is>
          <t>Detail or feature image for Personalized Patriotic Semi Truck Comforter</t>
        </is>
      </c>
      <c r="P25" s="3" t="inlineStr">
        <is>
          <t>FULL</t>
        </is>
      </c>
      <c r="Q25" s="3" t="inlineStr">
        <is>
          <t>PARTIAL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ISSUE-0034</t>
        </is>
      </c>
      <c r="Z25" s="3" t="inlineStr">
        <is>
          <t>D:\Shopify_Workspace\jeminise_seo\seo_runs\jeminise.com\20260906_234129\qa\20260907_181000\images\094_04.jpg; 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row>
    <row r="26" ht="66" customHeight="1">
      <c r="A26" s="2" t="inlineStr">
        <is>
          <t>jeminise.com+custom-patriotic-semi-truck-with-waving-american-flag-comforter-e01f2755b2-e01f2755b2</t>
        </is>
      </c>
      <c r="B26" s="2" t="inlineStr">
        <is>
          <t>img_172074559ad21c2b</t>
        </is>
      </c>
      <c r="C26" s="4" t="inlineStr">
        <is>
          <t>https://cdn.shopify.com/s/files/1/0792/5098/1063/files/233894d2b6b7bae581e73b21a4df3c20906e112260f36bd3434ffaade36baf00.jpg?v=1785133055</t>
        </is>
      </c>
      <c r="D26" s="4" t="inlineStr">
        <is>
          <t>https://cdn.shopify.com/s/files/1/0792/5098/1063/files/233894d2b6b7bae581e73b21a4df3c20906e112260f36bd3434ffaade36baf00.jpg?v=1785133055</t>
        </is>
      </c>
      <c r="E26" s="2" t="inlineStr">
        <is>
          <t>47548779757767</t>
        </is>
      </c>
      <c r="F26" s="2" t="inlineStr">
        <is>
          <t>47548779757767</t>
        </is>
      </c>
      <c r="G26" s="2" t="inlineStr"/>
      <c r="H26" s="2" t="inlineStr">
        <is>
          <t>GALLERY</t>
        </is>
      </c>
      <c r="I26" s="2" t="inlineStr">
        <is>
          <t>DIRECT_IMAGE_DOWNLOAD_AND_SOURCE_ROW_REVIEW</t>
        </is>
      </c>
      <c r="J26" s="2" t="inlineStr">
        <is>
          <t>2026-09-07T18:39:17+07:00</t>
        </is>
      </c>
      <c r="K26" s="2" t="inlineStr">
        <is>
          <t>Direct QA opened downloaded image 94_05; source SHA 9615D2E1540A572C0DA17817E8EEFC66139BFAC12B9458E8A6AD27208D20206A. Submitted observation reviewed against gallery position.</t>
        </is>
      </c>
      <c r="L26" s="2" t="inlineStr">
        <is>
          <t>Additional mockup, care or size information for personalized patriotic semi truck comforter with waving flag.</t>
        </is>
      </c>
      <c r="M26" s="2" t="inlineStr">
        <is>
          <t>UNKNOWN</t>
        </is>
      </c>
      <c r="N26" s="2" t="inlineStr">
        <is>
          <t>SET</t>
        </is>
      </c>
      <c r="O26" s="2" t="inlineStr">
        <is>
          <t>Additional product mockup or care information for Personalized Patriotic Semi Truck Comforter</t>
        </is>
      </c>
      <c r="P26" s="2" t="inlineStr">
        <is>
          <t>FULL</t>
        </is>
      </c>
      <c r="Q26" s="2" t="inlineStr">
        <is>
          <t>FULL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c r="Z26" s="2" t="inlineStr">
        <is>
          <t>D:\Shopify_Workspace\jeminise_seo\seo_runs\jeminise.com\20260906_234129\qa\20260907_181000\images\094_05.jpg; 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row>
    <row r="27" ht="66" customHeight="1">
      <c r="A27" s="3" t="inlineStr">
        <is>
          <t>jeminise.com+custom-patriotic-semi-truck-with-waving-american-flag-comforter-e01f2755b2-e01f2755b2</t>
        </is>
      </c>
      <c r="B27" s="3" t="inlineStr">
        <is>
          <t>img_43c67ac90b866c04</t>
        </is>
      </c>
      <c r="C27" s="4" t="inlineStr">
        <is>
          <t>https://cdn.shopify.com/s/files/1/0792/5098/1063/files/7c006bddc94d4763c71c8376307e195c1bbce73b8c802ec73ac5a8cef1291262_3e77a6fa-208f-43f0-9bfe-9283e787adc2.jpg?v=1785133055</t>
        </is>
      </c>
      <c r="D27" s="4" t="inlineStr">
        <is>
          <t>https://cdn.shopify.com/s/files/1/0792/5098/1063/files/7c006bddc94d4763c71c8376307e195c1bbce73b8c802ec73ac5a8cef1291262_3e77a6fa-208f-43f0-9bfe-9283e787adc2.jpg?v=1785133055</t>
        </is>
      </c>
      <c r="E27" s="3" t="inlineStr">
        <is>
          <t>47548779790535</t>
        </is>
      </c>
      <c r="F27" s="3" t="inlineStr">
        <is>
          <t>47548779790535</t>
        </is>
      </c>
      <c r="G27" s="3" t="inlineStr"/>
      <c r="H27" s="3" t="inlineStr">
        <is>
          <t>GALLERY</t>
        </is>
      </c>
      <c r="I27" s="3" t="inlineStr">
        <is>
          <t>DIRECT_IMAGE_DOWNLOAD_AND_SOURCE_ROW_REVIEW</t>
        </is>
      </c>
      <c r="J27" s="3" t="inlineStr">
        <is>
          <t>2026-09-07T18:39:17+07:00</t>
        </is>
      </c>
      <c r="K27" s="3" t="inlineStr">
        <is>
          <t>Direct QA opened downloaded image 94_06; source SHA C44DD8C415D82F46E3913622731FCF66776A9B3B86746179C808AE27D8DDE649. Submitted observation reviewed against gallery position.</t>
        </is>
      </c>
      <c r="L27" s="3" t="inlineStr">
        <is>
          <t>Easy-care, size guide or product feature image for personalized patriotic semi truck comforter with waving flag.</t>
        </is>
      </c>
      <c r="M27" s="3" t="inlineStr">
        <is>
          <t>UNKNOWN</t>
        </is>
      </c>
      <c r="N27" s="3" t="inlineStr">
        <is>
          <t>SET</t>
        </is>
      </c>
      <c r="O27" s="3" t="inlineStr">
        <is>
          <t>Care, size or product feature image for Personalized Patriotic Semi Truck Comforter</t>
        </is>
      </c>
      <c r="P27" s="3" t="inlineStr">
        <is>
          <t>FULL</t>
        </is>
      </c>
      <c r="Q27" s="3" t="inlineStr">
        <is>
          <t>PARTIAL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ISSUE-0035</t>
        </is>
      </c>
      <c r="Z27" s="3" t="inlineStr">
        <is>
          <t>D:\Shopify_Workspace\jeminise_seo\seo_runs\jeminise.com\20260906_234129\qa\20260907_181000\images\094_06.jpg; 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row>
    <row r="28" ht="66" customHeight="1">
      <c r="A28" s="2" t="inlineStr">
        <is>
          <t>jeminise.com+custom-patriotic-semi-truck-with-waving-american-flag-comforter-e01f2755b2-e01f2755b2</t>
        </is>
      </c>
      <c r="B28" s="2" t="inlineStr">
        <is>
          <t>img_984fb4740e6408f6</t>
        </is>
      </c>
      <c r="C28" s="4" t="inlineStr">
        <is>
          <t>https://cdn.shopify.com/s/files/1/0792/5098/1063/files/e5cad84edb4d7bf77c48fd7c8e52eb3b73f04eba8bf177671fd8a059c59422e8_1404e0c6-034c-4379-8c81-40648fd14b0d.jpg?v=1785133055</t>
        </is>
      </c>
      <c r="D28" s="4" t="inlineStr">
        <is>
          <t>https://cdn.shopify.com/s/files/1/0792/5098/1063/files/e5cad84edb4d7bf77c48fd7c8e52eb3b73f04eba8bf177671fd8a059c59422e8_1404e0c6-034c-4379-8c81-40648fd14b0d.jpg?v=1785133055</t>
        </is>
      </c>
      <c r="E28" s="2" t="inlineStr">
        <is>
          <t>47548779823303</t>
        </is>
      </c>
      <c r="F28" s="2" t="inlineStr">
        <is>
          <t>47548779823303</t>
        </is>
      </c>
      <c r="G28" s="2" t="inlineStr"/>
      <c r="H28" s="2" t="inlineStr">
        <is>
          <t>GALLERY</t>
        </is>
      </c>
      <c r="I28" s="2" t="inlineStr">
        <is>
          <t>DIRECT_IMAGE_DOWNLOAD_AND_SOURCE_ROW_REVIEW</t>
        </is>
      </c>
      <c r="J28" s="2" t="inlineStr">
        <is>
          <t>2026-09-07T18:39:17+07:00</t>
        </is>
      </c>
      <c r="K28" s="2" t="inlineStr">
        <is>
          <t>Direct QA opened downloaded image 94_07; source SHA CBACE79DF808456717E0EA3890B77255D63C670205730AD0356ABCD79BF0116C. Submitted observation reviewed against gallery position.</t>
        </is>
      </c>
      <c r="L28" s="2" t="inlineStr">
        <is>
          <t>Additional lifestyle, feature or product detail image showing personalized patriotic semi truck comforter with waving flag.</t>
        </is>
      </c>
      <c r="M28" s="2" t="inlineStr">
        <is>
          <t>UNKNOWN</t>
        </is>
      </c>
      <c r="N28" s="2" t="inlineStr">
        <is>
          <t>SET</t>
        </is>
      </c>
      <c r="O28" s="2" t="inlineStr">
        <is>
          <t>Additional product mockup of Personalized Patriotic Semi Truck Comforter</t>
        </is>
      </c>
      <c r="P28" s="2" t="inlineStr">
        <is>
          <t>FULL</t>
        </is>
      </c>
      <c r="Q28" s="2" t="inlineStr">
        <is>
          <t>PARTIAL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ISSUE-0036</t>
        </is>
      </c>
      <c r="Z28" s="2" t="inlineStr">
        <is>
          <t>D:\Shopify_Workspace\jeminise_seo\seo_runs\jeminise.com\20260906_234129\qa\20260907_181000\images\094_07.jpg; 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row>
    <row r="29" ht="66" customHeight="1">
      <c r="A29" s="3" t="inlineStr">
        <is>
          <t>jeminise.com+custom-patriotic-trucking-semi-truck-below-waving-american-flag-comforter-05c0cd8623-05c0cd8623</t>
        </is>
      </c>
      <c r="B29" s="3" t="inlineStr">
        <is>
          <t>img_1552cf2e07d20e29</t>
        </is>
      </c>
      <c r="C29" s="4" t="inlineStr">
        <is>
          <t>https://cdn.shopify.com/s/files/1/0792/5098/1063/files/2ade86cd5ab3acf0f2e78f8ceab6ed08c167347de0f532b69f287d8356e45ef3.jpg?v=1785132905</t>
        </is>
      </c>
      <c r="D29" s="4" t="inlineStr">
        <is>
          <t>https://cdn.shopify.com/s/files/1/0792/5098/1063/files/2ade86cd5ab3acf0f2e78f8ceab6ed08c167347de0f532b69f287d8356e45ef3.jpg?v=1785132905</t>
        </is>
      </c>
      <c r="E29" s="3" t="inlineStr">
        <is>
          <t>47548751184071</t>
        </is>
      </c>
      <c r="F29" s="3" t="inlineStr">
        <is>
          <t>47548751184071</t>
        </is>
      </c>
      <c r="G29" s="3" t="inlineStr"/>
      <c r="H29" s="3" t="inlineStr">
        <is>
          <t>GALLERY</t>
        </is>
      </c>
      <c r="I29" s="3" t="inlineStr">
        <is>
          <t>DIRECT_IMAGE_DOWNLOAD_AND_SOURCE_ROW_REVIEW</t>
        </is>
      </c>
      <c r="J29" s="3" t="inlineStr">
        <is>
          <t>2026-09-07T18:39:17+07:00</t>
        </is>
      </c>
      <c r="K29" s="3" t="inlineStr">
        <is>
          <t>Direct QA opened downloaded image 95_01; source SHA 5ECD19766C8C3560ACA3136AB6E5A3F3EE307D35C08511176F61194B08931190. Submitted observation reviewed against gallery position.</t>
        </is>
      </c>
      <c r="L29" s="3" t="inlineStr">
        <is>
          <t>Main product mockup showing personalized red semi truck sunset flag comforter.</t>
        </is>
      </c>
      <c r="M29" s="3" t="inlineStr">
        <is>
          <t>UNKNOWN</t>
        </is>
      </c>
      <c r="N29" s="3" t="inlineStr">
        <is>
          <t>SET</t>
        </is>
      </c>
      <c r="O29" s="3" t="inlineStr">
        <is>
          <t>Personalized Red Semi Truck Flag Comforter displayed in a main product mockup</t>
        </is>
      </c>
      <c r="P29" s="3" t="inlineStr">
        <is>
          <t>FULL</t>
        </is>
      </c>
      <c r="Q29" s="3" t="inlineStr">
        <is>
          <t>FULL</t>
        </is>
      </c>
      <c r="R29" s="3" t="inlineStr">
        <is>
          <t>PARTIAL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ISSUE-0041</t>
        </is>
      </c>
      <c r="Z29" s="3" t="inlineStr">
        <is>
          <t>D:\Shopify_Workspace\jeminise_seo\seo_runs\jeminise.com\20260906_234129\qa\20260907_181000\images\095_01.jpg; 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row>
    <row r="30" ht="66" customHeight="1">
      <c r="A30" s="2" t="inlineStr">
        <is>
          <t>jeminise.com+custom-patriotic-trucking-semi-truck-below-waving-american-flag-comforter-05c0cd8623-05c0cd8623</t>
        </is>
      </c>
      <c r="B30" s="2" t="inlineStr">
        <is>
          <t>img_891e070656175a65</t>
        </is>
      </c>
      <c r="C30" s="4" t="inlineStr">
        <is>
          <t>https://cdn.shopify.com/s/files/1/0792/5098/1063/files/b89468cedb96bb54d91fe1d0e886ebf9ead05659583ff26989e61e0189d5cab1.jpg?v=1785132905</t>
        </is>
      </c>
      <c r="D30" s="4" t="inlineStr">
        <is>
          <t>https://cdn.shopify.com/s/files/1/0792/5098/1063/files/b89468cedb96bb54d91fe1d0e886ebf9ead05659583ff26989e61e0189d5cab1.jpg?v=1785132905</t>
        </is>
      </c>
      <c r="E30" s="2" t="inlineStr">
        <is>
          <t>47548751216839</t>
        </is>
      </c>
      <c r="F30" s="2" t="inlineStr">
        <is>
          <t>47548751216839</t>
        </is>
      </c>
      <c r="G30" s="2" t="inlineStr"/>
      <c r="H30" s="2" t="inlineStr">
        <is>
          <t>GALLERY</t>
        </is>
      </c>
      <c r="I30" s="2" t="inlineStr">
        <is>
          <t>DIRECT_IMAGE_DOWNLOAD_AND_SOURCE_ROW_REVIEW</t>
        </is>
      </c>
      <c r="J30" s="2" t="inlineStr">
        <is>
          <t>2026-09-07T18:39:17+07:00</t>
        </is>
      </c>
      <c r="K30" s="2" t="inlineStr">
        <is>
          <t>Direct QA opened downloaded image 95_02; source SHA 9AFBA8F5DE2A4A430AB20C9A5FD98F4275BF0986A62474DC53FBB2BB229F3983. Submitted observation reviewed against gallery position.</t>
        </is>
      </c>
      <c r="L30" s="2" t="inlineStr">
        <is>
          <t>Secondary flat, close-up or bedroom mockup showing personalized red semi truck sunset flag comforter.</t>
        </is>
      </c>
      <c r="M30" s="2" t="inlineStr">
        <is>
          <t>UNKNOWN</t>
        </is>
      </c>
      <c r="N30" s="2" t="inlineStr">
        <is>
          <t>SET</t>
        </is>
      </c>
      <c r="O30" s="2" t="inlineStr">
        <is>
          <t>Secondary mockup of Personalized Red Semi Truck Flag Comforter</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c r="Z30" s="2" t="inlineStr">
        <is>
          <t>D:\Shopify_Workspace\jeminise_seo\seo_runs\jeminise.com\20260906_234129\qa\20260907_181000\images\095_02.jpg; 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row>
    <row r="31" ht="66" customHeight="1">
      <c r="A31" s="3" t="inlineStr">
        <is>
          <t>jeminise.com+custom-patriotic-trucking-semi-truck-below-waving-american-flag-comforter-05c0cd8623-05c0cd8623</t>
        </is>
      </c>
      <c r="B31" s="3" t="inlineStr">
        <is>
          <t>img_83e0bdcfa628351a</t>
        </is>
      </c>
      <c r="C31" s="4" t="inlineStr">
        <is>
          <t>https://cdn.shopify.com/s/files/1/0792/5098/1063/files/16f7293cbefa5743a35b2e6316a5a114e5c052d08151e367dafd26aa5e2e542b_551b2c3e-9c31-4c48-841f-26759e261b95.jpg?v=1785132905</t>
        </is>
      </c>
      <c r="D31" s="4" t="inlineStr">
        <is>
          <t>https://cdn.shopify.com/s/files/1/0792/5098/1063/files/16f7293cbefa5743a35b2e6316a5a114e5c052d08151e367dafd26aa5e2e542b_551b2c3e-9c31-4c48-841f-26759e261b95.jpg?v=1785132905</t>
        </is>
      </c>
      <c r="E31" s="3" t="inlineStr">
        <is>
          <t>47548751249607</t>
        </is>
      </c>
      <c r="F31" s="3" t="inlineStr">
        <is>
          <t>47548751249607</t>
        </is>
      </c>
      <c r="G31" s="3" t="inlineStr"/>
      <c r="H31" s="3" t="inlineStr">
        <is>
          <t>GALLERY</t>
        </is>
      </c>
      <c r="I31" s="3" t="inlineStr">
        <is>
          <t>DIRECT_IMAGE_DOWNLOAD_AND_SOURCE_ROW_REVIEW</t>
        </is>
      </c>
      <c r="J31" s="3" t="inlineStr">
        <is>
          <t>2026-09-07T18:39:17+07:00</t>
        </is>
      </c>
      <c r="K31" s="3" t="inlineStr">
        <is>
          <t>Direct QA opened downloaded image 95_03; source SHA D1D7BB2E7BBC330A530F2D07CC17846B4F9F5EF39CD3A33528B7908CF2BF0286. Submitted observation reviewed against gallery position.</t>
        </is>
      </c>
      <c r="L31" s="3" t="inlineStr">
        <is>
          <t>Bedding type, feature, lifestyle or material image for personalized red semi truck sunset flag comforter.</t>
        </is>
      </c>
      <c r="M31" s="3" t="inlineStr">
        <is>
          <t>UNKNOWN</t>
        </is>
      </c>
      <c r="N31" s="3" t="inlineStr">
        <is>
          <t>SET</t>
        </is>
      </c>
      <c r="O31" s="3" t="inlineStr">
        <is>
          <t>Product option, feature or lifestyle image for Personalized Red Semi Truck Flag Comforter</t>
        </is>
      </c>
      <c r="P31" s="3" t="inlineStr">
        <is>
          <t>FULL</t>
        </is>
      </c>
      <c r="Q31" s="3" t="inlineStr">
        <is>
          <t>PARTIAL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ISSUE-0042</t>
        </is>
      </c>
      <c r="Z31" s="3" t="inlineStr">
        <is>
          <t>D:\Shopify_Workspace\jeminise_seo\seo_runs\jeminise.com\20260906_234129\qa\20260907_181000\images\095_03.jpg; 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row>
    <row r="32" ht="66" customHeight="1">
      <c r="A32" s="2" t="inlineStr">
        <is>
          <t>jeminise.com+custom-patriotic-trucking-semi-truck-below-waving-american-flag-comforter-05c0cd8623-05c0cd8623</t>
        </is>
      </c>
      <c r="B32" s="2" t="inlineStr">
        <is>
          <t>img_0e5dbeb28f65dcdd</t>
        </is>
      </c>
      <c r="C32" s="4" t="inlineStr">
        <is>
          <t>https://cdn.shopify.com/s/files/1/0792/5098/1063/files/f6fcebd3a58660186982351598e9d169ef3cb952109cd4aea22a684f16f7b49c.jpg?v=1785132905</t>
        </is>
      </c>
      <c r="D32" s="4" t="inlineStr">
        <is>
          <t>https://cdn.shopify.com/s/files/1/0792/5098/1063/files/f6fcebd3a58660186982351598e9d169ef3cb952109cd4aea22a684f16f7b49c.jpg?v=1785132905</t>
        </is>
      </c>
      <c r="E32" s="2" t="inlineStr">
        <is>
          <t>47548751282375</t>
        </is>
      </c>
      <c r="F32" s="2" t="inlineStr">
        <is>
          <t>47548751282375</t>
        </is>
      </c>
      <c r="G32" s="2" t="inlineStr"/>
      <c r="H32" s="2" t="inlineStr">
        <is>
          <t>GALLERY</t>
        </is>
      </c>
      <c r="I32" s="2" t="inlineStr">
        <is>
          <t>DIRECT_IMAGE_DOWNLOAD_AND_SOURCE_ROW_REVIEW</t>
        </is>
      </c>
      <c r="J32" s="2" t="inlineStr">
        <is>
          <t>2026-09-07T18:39:17+07:00</t>
        </is>
      </c>
      <c r="K32" s="2" t="inlineStr">
        <is>
          <t>Direct QA opened downloaded image 95_04; source SHA 04A6BF45CAC5C620E0F9D8C5B9985CD035784E4801565A3C9E408F18C713CA7C. Submitted observation reviewed against gallery position.</t>
        </is>
      </c>
      <c r="L32" s="2" t="inlineStr">
        <is>
          <t>Detail, feature panel or lifestyle image connected to personalized red semi truck sunset flag comforter.</t>
        </is>
      </c>
      <c r="M32" s="2" t="inlineStr">
        <is>
          <t>UNKNOWN</t>
        </is>
      </c>
      <c r="N32" s="2" t="inlineStr">
        <is>
          <t>SET</t>
        </is>
      </c>
      <c r="O32" s="2" t="inlineStr">
        <is>
          <t>Detail or feature image for Personalized Red Semi Truck Flag Comforter</t>
        </is>
      </c>
      <c r="P32" s="2" t="inlineStr">
        <is>
          <t>FULL</t>
        </is>
      </c>
      <c r="Q32" s="2" t="inlineStr">
        <is>
          <t>PARTIAL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ISSUE-0043</t>
        </is>
      </c>
      <c r="Z32" s="2" t="inlineStr">
        <is>
          <t>D:\Shopify_Workspace\jeminise_seo\seo_runs\jeminise.com\20260906_234129\qa\20260907_181000\images\095_04.jpg; 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row>
    <row r="33" ht="66" customHeight="1">
      <c r="A33" s="3" t="inlineStr">
        <is>
          <t>jeminise.com+custom-patriotic-trucking-semi-truck-below-waving-american-flag-comforter-05c0cd8623-05c0cd8623</t>
        </is>
      </c>
      <c r="B33" s="3" t="inlineStr">
        <is>
          <t>img_08ea8c4e7c816a13</t>
        </is>
      </c>
      <c r="C33" s="4" t="inlineStr">
        <is>
          <t>https://cdn.shopify.com/s/files/1/0792/5098/1063/files/5a83a3e1af522eb082357b9d776e7e1781c8a5745befab3f29080d8bb36511b9.jpg?v=1785132905</t>
        </is>
      </c>
      <c r="D33" s="4" t="inlineStr">
        <is>
          <t>https://cdn.shopify.com/s/files/1/0792/5098/1063/files/5a83a3e1af522eb082357b9d776e7e1781c8a5745befab3f29080d8bb36511b9.jpg?v=1785132905</t>
        </is>
      </c>
      <c r="E33" s="3" t="inlineStr">
        <is>
          <t>47548751315143</t>
        </is>
      </c>
      <c r="F33" s="3" t="inlineStr">
        <is>
          <t>47548751315143</t>
        </is>
      </c>
      <c r="G33" s="3" t="inlineStr"/>
      <c r="H33" s="3" t="inlineStr">
        <is>
          <t>GALLERY</t>
        </is>
      </c>
      <c r="I33" s="3" t="inlineStr">
        <is>
          <t>DIRECT_IMAGE_DOWNLOAD_AND_SOURCE_ROW_REVIEW</t>
        </is>
      </c>
      <c r="J33" s="3" t="inlineStr">
        <is>
          <t>2026-09-07T18:39:17+07:00</t>
        </is>
      </c>
      <c r="K33" s="3" t="inlineStr">
        <is>
          <t>Direct QA opened downloaded image 95_05; source SHA 0D9DEC92772E419D41B67A961D685ADA9C15E501540C64603B2DA33A5C2FA2A1. Submitted observation reviewed against gallery position.</t>
        </is>
      </c>
      <c r="L33" s="3" t="inlineStr">
        <is>
          <t>Additional mockup, care or size information for personalized red semi truck sunset flag comforter.</t>
        </is>
      </c>
      <c r="M33" s="3" t="inlineStr">
        <is>
          <t>UNKNOWN</t>
        </is>
      </c>
      <c r="N33" s="3" t="inlineStr">
        <is>
          <t>SET</t>
        </is>
      </c>
      <c r="O33" s="3" t="inlineStr">
        <is>
          <t>Additional product mockup or care information for Personalized Red Semi Truck Flag Comforter</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c r="Z33" s="3" t="inlineStr">
        <is>
          <t>D:\Shopify_Workspace\jeminise_seo\seo_runs\jeminise.com\20260906_234129\qa\20260907_181000\images\095_05.jpg; 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row>
    <row r="34" ht="66" customHeight="1">
      <c r="A34" s="2" t="inlineStr">
        <is>
          <t>jeminise.com+custom-patriotic-trucking-semi-truck-below-waving-american-flag-comforter-05c0cd8623-05c0cd8623</t>
        </is>
      </c>
      <c r="B34" s="2" t="inlineStr">
        <is>
          <t>img_e4f696dcfcf7f7bc</t>
        </is>
      </c>
      <c r="C34" s="4" t="inlineStr">
        <is>
          <t>https://cdn.shopify.com/s/files/1/0792/5098/1063/files/7c006bddc94d4763c71c8376307e195c1bbce73b8c802ec73ac5a8cef1291262_5f849c7c-73dd-47b1-9f2a-e49c4d79be90.jpg?v=1785132905</t>
        </is>
      </c>
      <c r="D34" s="4" t="inlineStr">
        <is>
          <t>https://cdn.shopify.com/s/files/1/0792/5098/1063/files/7c006bddc94d4763c71c8376307e195c1bbce73b8c802ec73ac5a8cef1291262_5f849c7c-73dd-47b1-9f2a-e49c4d79be90.jpg?v=1785132905</t>
        </is>
      </c>
      <c r="E34" s="2" t="inlineStr">
        <is>
          <t>47548751347911</t>
        </is>
      </c>
      <c r="F34" s="2" t="inlineStr">
        <is>
          <t>47548751347911</t>
        </is>
      </c>
      <c r="G34" s="2" t="inlineStr"/>
      <c r="H34" s="2" t="inlineStr">
        <is>
          <t>GALLERY</t>
        </is>
      </c>
      <c r="I34" s="2" t="inlineStr">
        <is>
          <t>DIRECT_IMAGE_DOWNLOAD_AND_SOURCE_ROW_REVIEW</t>
        </is>
      </c>
      <c r="J34" s="2" t="inlineStr">
        <is>
          <t>2026-09-07T18:39:17+07:00</t>
        </is>
      </c>
      <c r="K34" s="2" t="inlineStr">
        <is>
          <t>Direct QA opened downloaded image 95_06; source SHA C44DD8C415D82F46E3913622731FCF66776A9B3B86746179C808AE27D8DDE649. Submitted observation reviewed against gallery position.</t>
        </is>
      </c>
      <c r="L34" s="2" t="inlineStr">
        <is>
          <t>Easy-care, size guide or product feature image for personalized red semi truck sunset flag comforter.</t>
        </is>
      </c>
      <c r="M34" s="2" t="inlineStr">
        <is>
          <t>UNKNOWN</t>
        </is>
      </c>
      <c r="N34" s="2" t="inlineStr">
        <is>
          <t>SET</t>
        </is>
      </c>
      <c r="O34" s="2" t="inlineStr">
        <is>
          <t>Care, size or product feature image for Personalized Red Semi Truck Flag Comforter</t>
        </is>
      </c>
      <c r="P34" s="2" t="inlineStr">
        <is>
          <t>FULL</t>
        </is>
      </c>
      <c r="Q34" s="2" t="inlineStr">
        <is>
          <t>PARTIAL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ISSUE-0044</t>
        </is>
      </c>
      <c r="Z34" s="2" t="inlineStr">
        <is>
          <t>D:\Shopify_Workspace\jeminise_seo\seo_runs\jeminise.com\20260906_234129\qa\20260907_181000\images\095_06.jpg; 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row>
    <row r="35" ht="66" customHeight="1">
      <c r="A35" s="3" t="inlineStr">
        <is>
          <t>jeminise.com+custom-patriotic-trucking-semi-truck-below-waving-american-flag-comforter-05c0cd8623-05c0cd8623</t>
        </is>
      </c>
      <c r="B35" s="3" t="inlineStr">
        <is>
          <t>img_25e7eb0d4db371a6</t>
        </is>
      </c>
      <c r="C35" s="4" t="inlineStr">
        <is>
          <t>https://cdn.shopify.com/s/files/1/0792/5098/1063/files/e5cad84edb4d7bf77c48fd7c8e52eb3b73f04eba8bf177671fd8a059c59422e8_f2f4fdb3-ac8e-4de2-9067-ff7a83155a01.jpg?v=1785132905</t>
        </is>
      </c>
      <c r="D35" s="4" t="inlineStr">
        <is>
          <t>https://cdn.shopify.com/s/files/1/0792/5098/1063/files/e5cad84edb4d7bf77c48fd7c8e52eb3b73f04eba8bf177671fd8a059c59422e8_f2f4fdb3-ac8e-4de2-9067-ff7a83155a01.jpg?v=1785132905</t>
        </is>
      </c>
      <c r="E35" s="3" t="inlineStr">
        <is>
          <t>47548751380679</t>
        </is>
      </c>
      <c r="F35" s="3" t="inlineStr">
        <is>
          <t>47548751380679</t>
        </is>
      </c>
      <c r="G35" s="3" t="inlineStr"/>
      <c r="H35" s="3" t="inlineStr">
        <is>
          <t>GALLERY</t>
        </is>
      </c>
      <c r="I35" s="3" t="inlineStr">
        <is>
          <t>DIRECT_IMAGE_DOWNLOAD_AND_SOURCE_ROW_REVIEW</t>
        </is>
      </c>
      <c r="J35" s="3" t="inlineStr">
        <is>
          <t>2026-09-07T18:39:17+07:00</t>
        </is>
      </c>
      <c r="K35" s="3" t="inlineStr">
        <is>
          <t>Direct QA opened downloaded image 95_07; source SHA CBACE79DF808456717E0EA3890B77255D63C670205730AD0356ABCD79BF0116C. Submitted observation reviewed against gallery position.</t>
        </is>
      </c>
      <c r="L35" s="3" t="inlineStr">
        <is>
          <t>Additional lifestyle, feature or product detail image showing personalized red semi truck sunset flag comforter.</t>
        </is>
      </c>
      <c r="M35" s="3" t="inlineStr">
        <is>
          <t>UNKNOWN</t>
        </is>
      </c>
      <c r="N35" s="3" t="inlineStr">
        <is>
          <t>SET</t>
        </is>
      </c>
      <c r="O35" s="3" t="inlineStr">
        <is>
          <t>Additional product mockup of Personalized Red Semi Truck Flag Comforter</t>
        </is>
      </c>
      <c r="P35" s="3" t="inlineStr">
        <is>
          <t>FULL</t>
        </is>
      </c>
      <c r="Q35" s="3" t="inlineStr">
        <is>
          <t>PARTIAL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ISSUE-0045</t>
        </is>
      </c>
      <c r="Z35" s="3" t="inlineStr">
        <is>
          <t>D:\Shopify_Workspace\jeminise_seo\seo_runs\jeminise.com\20260906_234129\qa\20260907_181000\images\095_07.jpg; 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row>
    <row r="36" ht="66" customHeight="1">
      <c r="A36" s="2" t="inlineStr">
        <is>
          <t>jeminise.com+custom-photo-quilt-bicycle-flowers-07e2c6fca1-07e2c6fca1</t>
        </is>
      </c>
      <c r="B36" s="2" t="inlineStr">
        <is>
          <t>img_ca784677469f6920</t>
        </is>
      </c>
      <c r="C36" s="4" t="inlineStr">
        <is>
          <t>https://cdn.shopify.com/s/files/1/0792/5098/1063/files/d642de2fc85572ce4b3843164c4a712bf96852e46789ec09b81e744bdf123b1d.jpg?v=1785103353</t>
        </is>
      </c>
      <c r="D36" s="4" t="inlineStr">
        <is>
          <t>https://cdn.shopify.com/s/files/1/0792/5098/1063/files/d642de2fc85572ce4b3843164c4a712bf96852e46789ec09b81e744bdf123b1d.jpg?v=1785103353</t>
        </is>
      </c>
      <c r="E36" s="2" t="inlineStr">
        <is>
          <t>47540412809415</t>
        </is>
      </c>
      <c r="F36" s="2" t="inlineStr">
        <is>
          <t>47540412809415</t>
        </is>
      </c>
      <c r="G36" s="2" t="inlineStr"/>
      <c r="H36" s="2" t="inlineStr">
        <is>
          <t>GALLERY</t>
        </is>
      </c>
      <c r="I36" s="2" t="inlineStr">
        <is>
          <t>DIRECT_IMAGE_DOWNLOAD_AND_SOURCE_ROW_REVIEW</t>
        </is>
      </c>
      <c r="J36" s="2" t="inlineStr">
        <is>
          <t>2026-09-07T18:39:17+07:00</t>
        </is>
      </c>
      <c r="K36" s="2" t="inlineStr">
        <is>
          <t>Direct QA opened downloaded image 96_01; source SHA 70BC7DDD244C30B77D49CE997BD247CFECF8FC7798E01748041B2D6E1DFBBF25. Submitted observation reviewed against gallery position.</t>
        </is>
      </c>
      <c r="L36" s="2" t="inlineStr">
        <is>
          <t>Main product mockup showing custom photo collage quilt with text.</t>
        </is>
      </c>
      <c r="M36" s="2" t="inlineStr">
        <is>
          <t>UNKNOWN</t>
        </is>
      </c>
      <c r="N36" s="2" t="inlineStr">
        <is>
          <t>SET</t>
        </is>
      </c>
      <c r="O36" s="2" t="inlineStr">
        <is>
          <t>Custom Photo Collage Quilt Set displayed in a main product mockup</t>
        </is>
      </c>
      <c r="P36" s="2" t="inlineStr">
        <is>
          <t>FULL</t>
        </is>
      </c>
      <c r="Q36" s="2" t="inlineStr">
        <is>
          <t>FULL</t>
        </is>
      </c>
      <c r="R36" s="2" t="inlineStr">
        <is>
          <t>PARTIAL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ISSUE-0049</t>
        </is>
      </c>
      <c r="Z36" s="2" t="inlineStr">
        <is>
          <t>D:\Shopify_Workspace\jeminise_seo\seo_runs\jeminise.com\20260906_234129\qa\20260907_181000\images\096_01.jpg; seo_runs\jeminise.com\20260906_234129\evidence\images\96_custom-photo-quilt-bicycle-flowers-07e2c6fca1-07e2c6fca1\image_01_47540412809415.jpg; seo_runs\jeminise.com\20260906_234129\evidence\contact_sheets\96_custom-photo-quilt-bicycle-flowers-07e2c6fca1-07e2c6fca1.jpg</t>
        </is>
      </c>
    </row>
    <row r="37" ht="66" customHeight="1">
      <c r="A37" s="3" t="inlineStr">
        <is>
          <t>jeminise.com+custom-photo-quilt-bicycle-flowers-07e2c6fca1-07e2c6fca1</t>
        </is>
      </c>
      <c r="B37" s="3" t="inlineStr">
        <is>
          <t>img_3005aadea85464f6</t>
        </is>
      </c>
      <c r="C37" s="4" t="inlineStr">
        <is>
          <t>https://cdn.shopify.com/s/files/1/0792/5098/1063/files/d975aa39cec62cd8b6ddaddd64e8dff1c023c7b13f31247696817b59abf5080a.jpg?v=1785103353</t>
        </is>
      </c>
      <c r="D37" s="4" t="inlineStr">
        <is>
          <t>https://cdn.shopify.com/s/files/1/0792/5098/1063/files/d975aa39cec62cd8b6ddaddd64e8dff1c023c7b13f31247696817b59abf5080a.jpg?v=1785103353</t>
        </is>
      </c>
      <c r="E37" s="3" t="inlineStr">
        <is>
          <t>47540412842183</t>
        </is>
      </c>
      <c r="F37" s="3" t="inlineStr">
        <is>
          <t>47540412842183</t>
        </is>
      </c>
      <c r="G37" s="3" t="inlineStr"/>
      <c r="H37" s="3" t="inlineStr">
        <is>
          <t>GALLERY</t>
        </is>
      </c>
      <c r="I37" s="3" t="inlineStr">
        <is>
          <t>DIRECT_IMAGE_DOWNLOAD_AND_SOURCE_ROW_REVIEW</t>
        </is>
      </c>
      <c r="J37" s="3" t="inlineStr">
        <is>
          <t>2026-09-07T18:39:17+07:00</t>
        </is>
      </c>
      <c r="K37" s="3" t="inlineStr">
        <is>
          <t>Direct QA opened downloaded image 96_02; source SHA D53BE8589F602D7213C63D343955F4E771EA67B61E586F1C0A2AA3A249AD5988. Submitted observation reviewed against gallery position.</t>
        </is>
      </c>
      <c r="L37" s="3" t="inlineStr">
        <is>
          <t>Secondary flat, close-up or bedroom mockup showing custom photo collage quilt with text.</t>
        </is>
      </c>
      <c r="M37" s="3" t="inlineStr">
        <is>
          <t>UNKNOWN</t>
        </is>
      </c>
      <c r="N37" s="3" t="inlineStr">
        <is>
          <t>SET</t>
        </is>
      </c>
      <c r="O37" s="3" t="inlineStr">
        <is>
          <t>Secondary mockup of Custom Photo Collage Quilt Set</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c r="Z37" s="3" t="inlineStr">
        <is>
          <t>D:\Shopify_Workspace\jeminise_seo\seo_runs\jeminise.com\20260906_234129\qa\20260907_181000\images\096_02.jpg; seo_runs\jeminise.com\20260906_234129\evidence\images\96_custom-photo-quilt-bicycle-flowers-07e2c6fca1-07e2c6fca1\image_02_47540412842183.jpg; seo_runs\jeminise.com\20260906_234129\evidence\contact_sheets\96_custom-photo-quilt-bicycle-flowers-07e2c6fca1-07e2c6fca1.jpg</t>
        </is>
      </c>
    </row>
    <row r="38" ht="66" customHeight="1">
      <c r="A38" s="2" t="inlineStr">
        <is>
          <t>jeminise.com+custom-photo-quilt-bicycle-flowers-07e2c6fca1-07e2c6fca1</t>
        </is>
      </c>
      <c r="B38" s="2" t="inlineStr">
        <is>
          <t>img_daa01ec21af66201</t>
        </is>
      </c>
      <c r="C38" s="4" t="inlineStr">
        <is>
          <t>https://cdn.shopify.com/s/files/1/0792/5098/1063/files/3ce7f4c9f185774a2e416704ca3c2e69b2c88c7bf8f51a22e8d0b8821161561e.jpg?v=1785103353</t>
        </is>
      </c>
      <c r="D38" s="4" t="inlineStr">
        <is>
          <t>https://cdn.shopify.com/s/files/1/0792/5098/1063/files/3ce7f4c9f185774a2e416704ca3c2e69b2c88c7bf8f51a22e8d0b8821161561e.jpg?v=1785103353</t>
        </is>
      </c>
      <c r="E38" s="2" t="inlineStr">
        <is>
          <t>47540412874951</t>
        </is>
      </c>
      <c r="F38" s="2" t="inlineStr">
        <is>
          <t>47540412874951</t>
        </is>
      </c>
      <c r="G38" s="2" t="inlineStr"/>
      <c r="H38" s="2" t="inlineStr">
        <is>
          <t>GALLERY</t>
        </is>
      </c>
      <c r="I38" s="2" t="inlineStr">
        <is>
          <t>DIRECT_IMAGE_DOWNLOAD_AND_SOURCE_ROW_REVIEW</t>
        </is>
      </c>
      <c r="J38" s="2" t="inlineStr">
        <is>
          <t>2026-09-07T18:39:17+07:00</t>
        </is>
      </c>
      <c r="K38" s="2" t="inlineStr">
        <is>
          <t>Direct QA opened downloaded image 96_03; source SHA EA37FA09CA49969BE961BFEBF70F5803127FAE89DBF1F881BDF0FD599C2AA68E. Submitted observation reviewed against gallery position.</t>
        </is>
      </c>
      <c r="L38" s="2" t="inlineStr">
        <is>
          <t>Bedding type, feature, lifestyle or material image for custom photo collage quilt with text.</t>
        </is>
      </c>
      <c r="M38" s="2" t="inlineStr">
        <is>
          <t>UNKNOWN</t>
        </is>
      </c>
      <c r="N38" s="2" t="inlineStr">
        <is>
          <t>SET</t>
        </is>
      </c>
      <c r="O38" s="2" t="inlineStr">
        <is>
          <t>Product option, feature or lifestyle image for Custom Photo Collage Quilt Set</t>
        </is>
      </c>
      <c r="P38" s="2" t="inlineStr">
        <is>
          <t>FULL</t>
        </is>
      </c>
      <c r="Q38" s="2" t="inlineStr">
        <is>
          <t>PARTIAL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ISSUE-0050</t>
        </is>
      </c>
      <c r="Z38" s="2" t="inlineStr">
        <is>
          <t>D:\Shopify_Workspace\jeminise_seo\seo_runs\jeminise.com\20260906_234129\qa\20260907_181000\images\096_03.jpg; seo_runs\jeminise.com\20260906_234129\evidence\images\96_custom-photo-quilt-bicycle-flowers-07e2c6fca1-07e2c6fca1\image_03_47540412874951.jpg; seo_runs\jeminise.com\20260906_234129\evidence\contact_sheets\96_custom-photo-quilt-bicycle-flowers-07e2c6fca1-07e2c6fca1.jpg</t>
        </is>
      </c>
    </row>
    <row r="39" ht="66" customHeight="1">
      <c r="A39" s="3" t="inlineStr">
        <is>
          <t>jeminise.com+custom-photo-quilt-bicycle-flowers-07e2c6fca1-07e2c6fca1</t>
        </is>
      </c>
      <c r="B39" s="3" t="inlineStr">
        <is>
          <t>img_7cf16cd15e47bc7a</t>
        </is>
      </c>
      <c r="C39" s="4" t="inlineStr">
        <is>
          <t>https://cdn.shopify.com/s/files/1/0792/5098/1063/files/f6a3692d3aa189160ac42ddbe8ec414e71ba966437ecc51a73f56f3b992d89ce.jpg?v=1785103353</t>
        </is>
      </c>
      <c r="D39" s="4" t="inlineStr">
        <is>
          <t>https://cdn.shopify.com/s/files/1/0792/5098/1063/files/f6a3692d3aa189160ac42ddbe8ec414e71ba966437ecc51a73f56f3b992d89ce.jpg?v=1785103353</t>
        </is>
      </c>
      <c r="E39" s="3" t="inlineStr">
        <is>
          <t>47540412907719</t>
        </is>
      </c>
      <c r="F39" s="3" t="inlineStr">
        <is>
          <t>47540412907719</t>
        </is>
      </c>
      <c r="G39" s="3" t="inlineStr"/>
      <c r="H39" s="3" t="inlineStr">
        <is>
          <t>GALLERY</t>
        </is>
      </c>
      <c r="I39" s="3" t="inlineStr">
        <is>
          <t>DIRECT_IMAGE_DOWNLOAD_AND_SOURCE_ROW_REVIEW</t>
        </is>
      </c>
      <c r="J39" s="3" t="inlineStr">
        <is>
          <t>2026-09-07T18:39:17+07:00</t>
        </is>
      </c>
      <c r="K39" s="3" t="inlineStr">
        <is>
          <t>Direct QA opened downloaded image 96_04; source SHA CED3E8E3F5FD552F47641EEA1432A77D7C170F7208FD9AE3D493281C1232887A. Submitted observation reviewed against gallery position.</t>
        </is>
      </c>
      <c r="L39" s="3" t="inlineStr">
        <is>
          <t>Detail, feature panel or lifestyle image connected to custom photo collage quilt with text.</t>
        </is>
      </c>
      <c r="M39" s="3" t="inlineStr">
        <is>
          <t>UNKNOWN</t>
        </is>
      </c>
      <c r="N39" s="3" t="inlineStr">
        <is>
          <t>SET</t>
        </is>
      </c>
      <c r="O39" s="3" t="inlineStr">
        <is>
          <t>Detail or feature image for Custom Photo Collage Quilt Set</t>
        </is>
      </c>
      <c r="P39" s="3" t="inlineStr">
        <is>
          <t>FULL</t>
        </is>
      </c>
      <c r="Q39" s="3" t="inlineStr">
        <is>
          <t>PARTIAL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ISSUE-0051</t>
        </is>
      </c>
      <c r="Z39" s="3" t="inlineStr">
        <is>
          <t>D:\Shopify_Workspace\jeminise_seo\seo_runs\jeminise.com\20260906_234129\qa\20260907_181000\images\096_04.jpg; seo_runs\jeminise.com\20260906_234129\evidence\images\96_custom-photo-quilt-bicycle-flowers-07e2c6fca1-07e2c6fca1\image_04_47540412907719.jpg; seo_runs\jeminise.com\20260906_234129\evidence\contact_sheets\96_custom-photo-quilt-bicycle-flowers-07e2c6fca1-07e2c6fca1.jpg</t>
        </is>
      </c>
    </row>
    <row r="40" ht="66" customHeight="1">
      <c r="A40" s="2" t="inlineStr">
        <is>
          <t>jeminise.com+custom-photo-quilt-bicycle-flowers-07e2c6fca1-07e2c6fca1</t>
        </is>
      </c>
      <c r="B40" s="2" t="inlineStr">
        <is>
          <t>img_5d8ddb6c202b0ca3</t>
        </is>
      </c>
      <c r="C40" s="4" t="inlineStr">
        <is>
          <t>https://cdn.shopify.com/s/files/1/0792/5098/1063/files/f693918bd03ec5b2fabef416db50f85062ce3c5c1497878e0b5db3f80049abfe.jpg?v=1785103353</t>
        </is>
      </c>
      <c r="D40" s="4" t="inlineStr">
        <is>
          <t>https://cdn.shopify.com/s/files/1/0792/5098/1063/files/f693918bd03ec5b2fabef416db50f85062ce3c5c1497878e0b5db3f80049abfe.jpg?v=1785103353</t>
        </is>
      </c>
      <c r="E40" s="2" t="inlineStr">
        <is>
          <t>47540412940487</t>
        </is>
      </c>
      <c r="F40" s="2" t="inlineStr">
        <is>
          <t>47540412940487</t>
        </is>
      </c>
      <c r="G40" s="2" t="inlineStr"/>
      <c r="H40" s="2" t="inlineStr">
        <is>
          <t>GALLERY</t>
        </is>
      </c>
      <c r="I40" s="2" t="inlineStr">
        <is>
          <t>DIRECT_IMAGE_DOWNLOAD_AND_SOURCE_ROW_REVIEW</t>
        </is>
      </c>
      <c r="J40" s="2" t="inlineStr">
        <is>
          <t>2026-09-07T18:39:17+07:00</t>
        </is>
      </c>
      <c r="K40" s="2" t="inlineStr">
        <is>
          <t>Direct QA opened downloaded image 96_05; source SHA 0585998661792A586283A2C288269442ECFE8F40E478D374DA1672C1A9BB9ADB. Submitted observation reviewed against gallery position.</t>
        </is>
      </c>
      <c r="L40" s="2" t="inlineStr">
        <is>
          <t>Additional mockup, care or size information for custom photo collage quilt with text.</t>
        </is>
      </c>
      <c r="M40" s="2" t="inlineStr">
        <is>
          <t>UNKNOWN</t>
        </is>
      </c>
      <c r="N40" s="2" t="inlineStr">
        <is>
          <t>SET</t>
        </is>
      </c>
      <c r="O40" s="2" t="inlineStr">
        <is>
          <t>Additional product mockup or care information for Custom Photo Collage Quilt Set</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c r="Z40" s="2" t="inlineStr">
        <is>
          <t>D:\Shopify_Workspace\jeminise_seo\seo_runs\jeminise.com\20260906_234129\qa\20260907_181000\images\096_05.jpg; seo_runs\jeminise.com\20260906_234129\evidence\images\96_custom-photo-quilt-bicycle-flowers-07e2c6fca1-07e2c6fca1\image_05_47540412940487.jpg; seo_runs\jeminise.com\20260906_234129\evidence\contact_sheets\96_custom-photo-quilt-bicycle-flowers-07e2c6fca1-07e2c6fca1.jpg</t>
        </is>
      </c>
    </row>
    <row r="41" ht="66" customHeight="1">
      <c r="A41" s="3" t="inlineStr">
        <is>
          <t>jeminise.com+custom-photo-quilt-bicycle-flowers-07e2c6fca1-07e2c6fca1</t>
        </is>
      </c>
      <c r="B41" s="3" t="inlineStr">
        <is>
          <t>img_4c82ee34ca37d58a</t>
        </is>
      </c>
      <c r="C41" s="4" t="inlineStr">
        <is>
          <t>https://cdn.shopify.com/s/files/1/0792/5098/1063/files/12e0170316324347b1c2fc3bb335cf00c3e4d5ebac978b565d2bca74e67e4aeb.jpg?v=1785103353</t>
        </is>
      </c>
      <c r="D41" s="4" t="inlineStr">
        <is>
          <t>https://cdn.shopify.com/s/files/1/0792/5098/1063/files/12e0170316324347b1c2fc3bb335cf00c3e4d5ebac978b565d2bca74e67e4aeb.jpg?v=1785103353</t>
        </is>
      </c>
      <c r="E41" s="3" t="inlineStr">
        <is>
          <t>47540412973255</t>
        </is>
      </c>
      <c r="F41" s="3" t="inlineStr">
        <is>
          <t>47540412973255</t>
        </is>
      </c>
      <c r="G41" s="3" t="inlineStr"/>
      <c r="H41" s="3" t="inlineStr">
        <is>
          <t>GALLERY</t>
        </is>
      </c>
      <c r="I41" s="3" t="inlineStr">
        <is>
          <t>DIRECT_IMAGE_DOWNLOAD_AND_SOURCE_ROW_REVIEW</t>
        </is>
      </c>
      <c r="J41" s="3" t="inlineStr">
        <is>
          <t>2026-09-07T18:39:17+07:00</t>
        </is>
      </c>
      <c r="K41" s="3" t="inlineStr">
        <is>
          <t>Direct QA opened downloaded image 96_06; source SHA F943D6FAC6CEF94D79A90B71323FCC2B1AAA8907DBF965D2751E3A5B88B75B8D. Submitted observation reviewed against gallery position.</t>
        </is>
      </c>
      <c r="L41" s="3" t="inlineStr">
        <is>
          <t>Easy-care, size guide or product feature image for custom photo collage quilt with text.</t>
        </is>
      </c>
      <c r="M41" s="3" t="inlineStr">
        <is>
          <t>UNKNOWN</t>
        </is>
      </c>
      <c r="N41" s="3" t="inlineStr">
        <is>
          <t>SET</t>
        </is>
      </c>
      <c r="O41" s="3" t="inlineStr">
        <is>
          <t>Care, size or product feature image for Custom Photo Collage Quilt Set</t>
        </is>
      </c>
      <c r="P41" s="3" t="inlineStr">
        <is>
          <t>FULL</t>
        </is>
      </c>
      <c r="Q41" s="3" t="inlineStr">
        <is>
          <t>PARTIAL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ISSUE-0052</t>
        </is>
      </c>
      <c r="Z41" s="3" t="inlineStr">
        <is>
          <t>D:\Shopify_Workspace\jeminise_seo\seo_runs\jeminise.com\20260906_234129\qa\20260907_181000\images\096_06.jpg; seo_runs\jeminise.com\20260906_234129\evidence\images\96_custom-photo-quilt-bicycle-flowers-07e2c6fca1-07e2c6fca1\image_06_47540412973255.jpg; seo_runs\jeminise.com\20260906_234129\evidence\contact_sheets\96_custom-photo-quilt-bicycle-flowers-07e2c6fca1-07e2c6fca1.jpg</t>
        </is>
      </c>
    </row>
    <row r="42" ht="66" customHeight="1">
      <c r="A42" s="2" t="inlineStr">
        <is>
          <t>jeminise.com+custom-photo-quilt-bicycle-flowers-07e2c6fca1-07e2c6fca1</t>
        </is>
      </c>
      <c r="B42" s="2" t="inlineStr">
        <is>
          <t>img_cfed95c0fda41dcc</t>
        </is>
      </c>
      <c r="C42" s="4" t="inlineStr">
        <is>
          <t>https://cdn.shopify.com/s/files/1/0792/5098/1063/files/7ff043f609e6b3494b859585c800681b91bfdbcca52d1a21fbb5594379cbe34a.jpg?v=1785103353</t>
        </is>
      </c>
      <c r="D42" s="4" t="inlineStr">
        <is>
          <t>https://cdn.shopify.com/s/files/1/0792/5098/1063/files/7ff043f609e6b3494b859585c800681b91bfdbcca52d1a21fbb5594379cbe34a.jpg?v=1785103353</t>
        </is>
      </c>
      <c r="E42" s="2" t="inlineStr">
        <is>
          <t>47540413006023</t>
        </is>
      </c>
      <c r="F42" s="2" t="inlineStr">
        <is>
          <t>47540413006023</t>
        </is>
      </c>
      <c r="G42" s="2" t="inlineStr"/>
      <c r="H42" s="2" t="inlineStr">
        <is>
          <t>GALLERY</t>
        </is>
      </c>
      <c r="I42" s="2" t="inlineStr">
        <is>
          <t>DIRECT_IMAGE_DOWNLOAD_AND_SOURCE_ROW_REVIEW</t>
        </is>
      </c>
      <c r="J42" s="2" t="inlineStr">
        <is>
          <t>2026-09-07T18:39:17+07:00</t>
        </is>
      </c>
      <c r="K42" s="2" t="inlineStr">
        <is>
          <t>Direct QA opened downloaded image 96_07; source SHA 86BE4244D262808DC1831B082041824A058C98479CA037C047F86A320C249403. Submitted observation reviewed against gallery position.</t>
        </is>
      </c>
      <c r="L42" s="2" t="inlineStr">
        <is>
          <t>Additional lifestyle, feature or product detail image showing custom photo collage quilt with text.</t>
        </is>
      </c>
      <c r="M42" s="2" t="inlineStr">
        <is>
          <t>UNKNOWN</t>
        </is>
      </c>
      <c r="N42" s="2" t="inlineStr">
        <is>
          <t>SET</t>
        </is>
      </c>
      <c r="O42" s="2" t="inlineStr">
        <is>
          <t>Additional product mockup of Custom Photo Collage Quilt Set</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ISSUE-0053</t>
        </is>
      </c>
      <c r="Z42" s="2" t="inlineStr">
        <is>
          <t>D:\Shopify_Workspace\jeminise_seo\seo_runs\jeminise.com\20260906_234129\qa\20260907_181000\images\096_07.jpg; seo_runs\jeminise.com\20260906_234129\evidence\images\96_custom-photo-quilt-bicycle-flowers-07e2c6fca1-07e2c6fca1\image_07_47540413006023.jpg; seo_runs\jeminise.com\20260906_234129\evidence\contact_sheets\96_custom-photo-quilt-bicycle-flowers-07e2c6fca1-07e2c6fca1.jpg</t>
        </is>
      </c>
    </row>
    <row r="43" ht="66" customHeight="1">
      <c r="A43" s="3" t="inlineStr">
        <is>
          <t>jeminise.com+custom-purple-butterflies-text-blanket-machine-washable-d7b</t>
        </is>
      </c>
      <c r="B43" s="3" t="inlineStr">
        <is>
          <t>img_ec7dc695f74e482b</t>
        </is>
      </c>
      <c r="C43" s="4" t="inlineStr">
        <is>
          <t>https://cdn.shopify.com/s/files/1/0792/5098/1063/files/b6cd34a72d72c728bb3299f3d4da788ca922c473d8c779016ce727043a3c3398.jpg?v=1786596968</t>
        </is>
      </c>
      <c r="D43" s="4" t="inlineStr">
        <is>
          <t>https://cdn.shopify.com/s/files/1/0792/5098/1063/files/b6cd34a72d72c728bb3299f3d4da788ca922c473d8c779016ce727043a3c3398.jpg?v=1786596968</t>
        </is>
      </c>
      <c r="E43" s="3" t="inlineStr">
        <is>
          <t>47830612836551</t>
        </is>
      </c>
      <c r="F43" s="3" t="inlineStr">
        <is>
          <t>47830612836551</t>
        </is>
      </c>
      <c r="G43" s="3" t="inlineStr"/>
      <c r="H43" s="3" t="inlineStr">
        <is>
          <t>GALLERY</t>
        </is>
      </c>
      <c r="I43" s="3" t="inlineStr">
        <is>
          <t>DIRECT_IMAGE_DOWNLOAD_AND_SOURCE_ROW_REVIEW</t>
        </is>
      </c>
      <c r="J43" s="3" t="inlineStr">
        <is>
          <t>2026-09-07T18:39:17+07:00</t>
        </is>
      </c>
      <c r="K43" s="3" t="inlineStr">
        <is>
          <t>Direct QA opened downloaded image 97_01; source SHA DDF121B2F6D0E12E21992E90DB0BD7F84287A52CC69384E82FB21DC9959042ED. Submitted observation reviewed against gallery position.</t>
        </is>
      </c>
      <c r="L43" s="3" t="inlineStr">
        <is>
          <t>Main product mockup showing personalized purple God Says I Am butterfly blanket for Elizabeth.</t>
        </is>
      </c>
      <c r="M43" s="3" t="inlineStr">
        <is>
          <t>UNKNOWN</t>
        </is>
      </c>
      <c r="N43" s="3" t="inlineStr">
        <is>
          <t>SET</t>
        </is>
      </c>
      <c r="O43" s="3" t="inlineStr">
        <is>
          <t>Personalized Purple God Says I Am Blanket displayed in a main product mockup</t>
        </is>
      </c>
      <c r="P43" s="3" t="inlineStr">
        <is>
          <t>FULL</t>
        </is>
      </c>
      <c r="Q43" s="3" t="inlineStr">
        <is>
          <t>FULL</t>
        </is>
      </c>
      <c r="R43" s="3" t="inlineStr">
        <is>
          <t>PARTIAL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ISSUE-0058</t>
        </is>
      </c>
      <c r="Z43" s="3" t="inlineStr">
        <is>
          <t>D:\Shopify_Workspace\jeminise_seo\seo_runs\jeminise.com\20260906_234129\qa\20260907_181000\images\097_01.jpg; seo_runs\jeminise.com\20260906_234129\evidence\images\97_custom-purple-butterflies-text-blanket-machine-washable-d7b\image_01_47830612836551.jpg; seo_runs\jeminise.com\20260906_234129\evidence\contact_sheets\97_custom-purple-butterflies-text-blanket-machine-washable-d7b.jpg</t>
        </is>
      </c>
    </row>
    <row r="44" ht="66" customHeight="1">
      <c r="A44" s="2" t="inlineStr">
        <is>
          <t>jeminise.com+custom-purple-butterflies-text-blanket-machine-washable-d7b</t>
        </is>
      </c>
      <c r="B44" s="2" t="inlineStr">
        <is>
          <t>img_c7ca2527a6834ee5</t>
        </is>
      </c>
      <c r="C44" s="4" t="inlineStr">
        <is>
          <t>https://cdn.shopify.com/s/files/1/0792/5098/1063/files/bba2dd6433689526b2335b7c1e552959c8f06e353451795b0d72af4bba89e36d.jpg?v=1786596968</t>
        </is>
      </c>
      <c r="D44" s="4" t="inlineStr">
        <is>
          <t>https://cdn.shopify.com/s/files/1/0792/5098/1063/files/bba2dd6433689526b2335b7c1e552959c8f06e353451795b0d72af4bba89e36d.jpg?v=1786596968</t>
        </is>
      </c>
      <c r="E44" s="2" t="inlineStr">
        <is>
          <t>47830612869319</t>
        </is>
      </c>
      <c r="F44" s="2" t="inlineStr">
        <is>
          <t>47830612869319</t>
        </is>
      </c>
      <c r="G44" s="2" t="inlineStr"/>
      <c r="H44" s="2" t="inlineStr">
        <is>
          <t>GALLERY</t>
        </is>
      </c>
      <c r="I44" s="2" t="inlineStr">
        <is>
          <t>DIRECT_IMAGE_DOWNLOAD_AND_SOURCE_ROW_REVIEW</t>
        </is>
      </c>
      <c r="J44" s="2" t="inlineStr">
        <is>
          <t>2026-09-07T18:39:17+07:00</t>
        </is>
      </c>
      <c r="K44" s="2" t="inlineStr">
        <is>
          <t>Direct QA opened downloaded image 97_02; source SHA 9A10AAD9903670A6680E22AA52F36F9FB74FB067F4D8FDB2A6FA9FC708B792F1. Submitted observation reviewed against gallery position.</t>
        </is>
      </c>
      <c r="L44" s="2" t="inlineStr">
        <is>
          <t>Secondary flat, close-up or bedroom mockup showing personalized purple God Says I Am butterfly blanket for Elizabeth.</t>
        </is>
      </c>
      <c r="M44" s="2" t="inlineStr">
        <is>
          <t>UNKNOWN</t>
        </is>
      </c>
      <c r="N44" s="2" t="inlineStr">
        <is>
          <t>SET</t>
        </is>
      </c>
      <c r="O44" s="2" t="inlineStr">
        <is>
          <t>Secondary mockup of Personalized Purple God Says I Am Blanket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c r="Z44" s="2" t="inlineStr">
        <is>
          <t>D:\Shopify_Workspace\jeminise_seo\seo_runs\jeminise.com\20260906_234129\qa\20260907_181000\images\097_02.jpg; seo_runs\jeminise.com\20260906_234129\evidence\images\97_custom-purple-butterflies-text-blanket-machine-washable-d7b\image_02_47830612869319.jpg; seo_runs\jeminise.com\20260906_234129\evidence\contact_sheets\97_custom-purple-butterflies-text-blanket-machine-washable-d7b.jpg</t>
        </is>
      </c>
    </row>
    <row r="45" ht="66" customHeight="1">
      <c r="A45" s="3" t="inlineStr">
        <is>
          <t>jeminise.com+custom-purple-butterflies-text-blanket-machine-washable-d7b</t>
        </is>
      </c>
      <c r="B45" s="3" t="inlineStr">
        <is>
          <t>img_1986b00ab8a0c2f7</t>
        </is>
      </c>
      <c r="C45" s="4" t="inlineStr">
        <is>
          <t>https://cdn.shopify.com/s/files/1/0792/5098/1063/files/133acefcd1f5db8f54935b64a6c42994b539d10e3484cf00c039105f98628fbb.jpg?v=1786596968</t>
        </is>
      </c>
      <c r="D45" s="4" t="inlineStr">
        <is>
          <t>https://cdn.shopify.com/s/files/1/0792/5098/1063/files/133acefcd1f5db8f54935b64a6c42994b539d10e3484cf00c039105f98628fbb.jpg?v=1786596968</t>
        </is>
      </c>
      <c r="E45" s="3" t="inlineStr">
        <is>
          <t>47830612902087</t>
        </is>
      </c>
      <c r="F45" s="3" t="inlineStr">
        <is>
          <t>47830612902087</t>
        </is>
      </c>
      <c r="G45" s="3" t="inlineStr"/>
      <c r="H45" s="3" t="inlineStr">
        <is>
          <t>GALLERY</t>
        </is>
      </c>
      <c r="I45" s="3" t="inlineStr">
        <is>
          <t>DIRECT_IMAGE_DOWNLOAD_AND_SOURCE_ROW_REVIEW</t>
        </is>
      </c>
      <c r="J45" s="3" t="inlineStr">
        <is>
          <t>2026-09-07T18:39:17+07:00</t>
        </is>
      </c>
      <c r="K45" s="3" t="inlineStr">
        <is>
          <t>Direct QA opened downloaded image 97_03; source SHA ABA2A0C8FEFF9E524BEF808AB5A4387CA1AFB6F76E8E397446C95531AE8ECC65. Submitted observation reviewed against gallery position.</t>
        </is>
      </c>
      <c r="L45" s="3" t="inlineStr">
        <is>
          <t>Bedding type, feature, lifestyle or material image for personalized purple God Says I Am butterfly blanket for Elizabeth.</t>
        </is>
      </c>
      <c r="M45" s="3" t="inlineStr">
        <is>
          <t>UNKNOWN</t>
        </is>
      </c>
      <c r="N45" s="3" t="inlineStr">
        <is>
          <t>SET</t>
        </is>
      </c>
      <c r="O45" s="3" t="inlineStr">
        <is>
          <t>Product option, feature or lifestyle image for Personalized Purple God Says I Am Blanket</t>
        </is>
      </c>
      <c r="P45" s="3" t="inlineStr">
        <is>
          <t>FULL</t>
        </is>
      </c>
      <c r="Q45" s="3" t="inlineStr">
        <is>
          <t>PARTIAL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ISSUE-0059</t>
        </is>
      </c>
      <c r="Z45" s="3" t="inlineStr">
        <is>
          <t>D:\Shopify_Workspace\jeminise_seo\seo_runs\jeminise.com\20260906_234129\qa\20260907_181000\images\097_03.jpg; seo_runs\jeminise.com\20260906_234129\evidence\images\97_custom-purple-butterflies-text-blanket-machine-washable-d7b\image_03_47830612902087.jpg; seo_runs\jeminise.com\20260906_234129\evidence\contact_sheets\97_custom-purple-butterflies-text-blanket-machine-washable-d7b.jpg</t>
        </is>
      </c>
    </row>
    <row r="46" ht="66" customHeight="1">
      <c r="A46" s="2" t="inlineStr">
        <is>
          <t>jeminise.com+custom-purple-butterflies-text-blanket-machine-washable-d7b</t>
        </is>
      </c>
      <c r="B46" s="2" t="inlineStr">
        <is>
          <t>img_4008c6ab2fc0b94c</t>
        </is>
      </c>
      <c r="C46" s="4" t="inlineStr">
        <is>
          <t>https://cdn.shopify.com/s/files/1/0792/5098/1063/files/e9946aac9a838881ab8553d9e775069d9ce81cd97c4b10753ddad9a7d2955cea.jpg?v=1786596968</t>
        </is>
      </c>
      <c r="D46" s="4" t="inlineStr">
        <is>
          <t>https://cdn.shopify.com/s/files/1/0792/5098/1063/files/e9946aac9a838881ab8553d9e775069d9ce81cd97c4b10753ddad9a7d2955cea.jpg?v=1786596968</t>
        </is>
      </c>
      <c r="E46" s="2" t="inlineStr">
        <is>
          <t>47830612934855</t>
        </is>
      </c>
      <c r="F46" s="2" t="inlineStr">
        <is>
          <t>47830612934855</t>
        </is>
      </c>
      <c r="G46" s="2" t="inlineStr"/>
      <c r="H46" s="2" t="inlineStr">
        <is>
          <t>GALLERY</t>
        </is>
      </c>
      <c r="I46" s="2" t="inlineStr">
        <is>
          <t>DIRECT_IMAGE_DOWNLOAD_AND_SOURCE_ROW_REVIEW</t>
        </is>
      </c>
      <c r="J46" s="2" t="inlineStr">
        <is>
          <t>2026-09-07T18:39:17+07:00</t>
        </is>
      </c>
      <c r="K46" s="2" t="inlineStr">
        <is>
          <t>Direct QA opened downloaded image 97_04; source SHA 0C7BEB43D01B8696929E4D2D5FE4E05E3223E9D9B812A58BB50D1731129C7ACF. Submitted observation reviewed against gallery position.</t>
        </is>
      </c>
      <c r="L46" s="2" t="inlineStr">
        <is>
          <t>Detail, feature panel or lifestyle image connected to personalized purple God Says I Am butterfly blanket for Elizabeth.</t>
        </is>
      </c>
      <c r="M46" s="2" t="inlineStr">
        <is>
          <t>UNKNOWN</t>
        </is>
      </c>
      <c r="N46" s="2" t="inlineStr">
        <is>
          <t>SET</t>
        </is>
      </c>
      <c r="O46" s="2" t="inlineStr">
        <is>
          <t>Detail or feature image for Personalized Purple God Says I Am Blanket</t>
        </is>
      </c>
      <c r="P46" s="2" t="inlineStr">
        <is>
          <t>FULL</t>
        </is>
      </c>
      <c r="Q46" s="2" t="inlineStr">
        <is>
          <t>PARTIAL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ISSUE-0060</t>
        </is>
      </c>
      <c r="Z46" s="2" t="inlineStr">
        <is>
          <t>D:\Shopify_Workspace\jeminise_seo\seo_runs\jeminise.com\20260906_234129\qa\20260907_181000\images\097_04.jpg; seo_runs\jeminise.com\20260906_234129\evidence\images\97_custom-purple-butterflies-text-blanket-machine-washable-d7b\image_04_47830612934855.jpg; seo_runs\jeminise.com\20260906_234129\evidence\contact_sheets\97_custom-purple-butterflies-text-blanket-machine-washable-d7b.jpg</t>
        </is>
      </c>
    </row>
    <row r="47" ht="66" customHeight="1">
      <c r="A47" s="3" t="inlineStr">
        <is>
          <t>jeminise.com+custom-purple-butterflies-text-blanket-machine-washable-d7b</t>
        </is>
      </c>
      <c r="B47" s="3" t="inlineStr">
        <is>
          <t>img_299eca4be951e7ab</t>
        </is>
      </c>
      <c r="C47" s="4" t="inlineStr">
        <is>
          <t>https://cdn.shopify.com/s/files/1/0792/5098/1063/files/20c6ad08b0330a12b5dff7193937c39d9013de1876e587f8a42fe6fbd1756d6b.jpg?v=1786596968</t>
        </is>
      </c>
      <c r="D47" s="4" t="inlineStr">
        <is>
          <t>https://cdn.shopify.com/s/files/1/0792/5098/1063/files/20c6ad08b0330a12b5dff7193937c39d9013de1876e587f8a42fe6fbd1756d6b.jpg?v=1786596968</t>
        </is>
      </c>
      <c r="E47" s="3" t="inlineStr">
        <is>
          <t>47830612967623</t>
        </is>
      </c>
      <c r="F47" s="3" t="inlineStr">
        <is>
          <t>47830612967623</t>
        </is>
      </c>
      <c r="G47" s="3" t="inlineStr"/>
      <c r="H47" s="3" t="inlineStr">
        <is>
          <t>GALLERY</t>
        </is>
      </c>
      <c r="I47" s="3" t="inlineStr">
        <is>
          <t>DIRECT_IMAGE_DOWNLOAD_AND_SOURCE_ROW_REVIEW</t>
        </is>
      </c>
      <c r="J47" s="3" t="inlineStr">
        <is>
          <t>2026-09-07T18:39:17+07:00</t>
        </is>
      </c>
      <c r="K47" s="3" t="inlineStr">
        <is>
          <t>Direct QA opened downloaded image 97_05; source SHA 1B3A1B8D6D63268C9A17AA354227157C58E9CC375221D01988F5BCE1131C9339. Submitted observation reviewed against gallery position.</t>
        </is>
      </c>
      <c r="L47" s="3" t="inlineStr">
        <is>
          <t>Additional mockup, care or size information for personalized purple God Says I Am butterfly blanket for Elizabeth.</t>
        </is>
      </c>
      <c r="M47" s="3" t="inlineStr">
        <is>
          <t>UNKNOWN</t>
        </is>
      </c>
      <c r="N47" s="3" t="inlineStr">
        <is>
          <t>SET</t>
        </is>
      </c>
      <c r="O47" s="3" t="inlineStr">
        <is>
          <t>Additional product mockup or care information for Personalized Purple God Says I Am Blanket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c r="Z47" s="3" t="inlineStr">
        <is>
          <t>D:\Shopify_Workspace\jeminise_seo\seo_runs\jeminise.com\20260906_234129\qa\20260907_181000\images\097_05.jpg; seo_runs\jeminise.com\20260906_234129\evidence\images\97_custom-purple-butterflies-text-blanket-machine-washable-d7b\image_05_47830612967623.jpg; seo_runs\jeminise.com\20260906_234129\evidence\contact_sheets\97_custom-purple-butterflies-text-blanket-machine-washable-d7b.jpg</t>
        </is>
      </c>
    </row>
    <row r="48" ht="66" customHeight="1">
      <c r="A48" s="2" t="inlineStr">
        <is>
          <t>jeminise.com+custom-purple-butterflies-text-blanket-machine-washable-d7b</t>
        </is>
      </c>
      <c r="B48" s="2" t="inlineStr">
        <is>
          <t>img_9f6dd06f9d8a3915</t>
        </is>
      </c>
      <c r="C48" s="4" t="inlineStr">
        <is>
          <t>https://cdn.shopify.com/s/files/1/0792/5098/1063/files/cf5bad09c12126df5f9ce380889c2f8348a1b05126dff0ddd0904f04c00722cb.jpg?v=1786596968</t>
        </is>
      </c>
      <c r="D48" s="4" t="inlineStr">
        <is>
          <t>https://cdn.shopify.com/s/files/1/0792/5098/1063/files/cf5bad09c12126df5f9ce380889c2f8348a1b05126dff0ddd0904f04c00722cb.jpg?v=1786596968</t>
        </is>
      </c>
      <c r="E48" s="2" t="inlineStr">
        <is>
          <t>47830613000391</t>
        </is>
      </c>
      <c r="F48" s="2" t="inlineStr">
        <is>
          <t>47830613000391</t>
        </is>
      </c>
      <c r="G48" s="2" t="inlineStr"/>
      <c r="H48" s="2" t="inlineStr">
        <is>
          <t>GALLERY</t>
        </is>
      </c>
      <c r="I48" s="2" t="inlineStr">
        <is>
          <t>DIRECT_IMAGE_DOWNLOAD_AND_SOURCE_ROW_REVIEW</t>
        </is>
      </c>
      <c r="J48" s="2" t="inlineStr">
        <is>
          <t>2026-09-07T18:39:17+07:00</t>
        </is>
      </c>
      <c r="K48" s="2" t="inlineStr">
        <is>
          <t>Direct QA opened downloaded image 97_06; source SHA 8083156E44574E14C3AAD8A19CFCB6B85527C9F399CD75A25EB589D3984A71D4. Submitted observation reviewed against gallery position.</t>
        </is>
      </c>
      <c r="L48" s="2" t="inlineStr">
        <is>
          <t>Easy-care, size guide or product feature image for personalized purple God Says I Am butterfly blanket for Elizabeth.</t>
        </is>
      </c>
      <c r="M48" s="2" t="inlineStr">
        <is>
          <t>UNKNOWN</t>
        </is>
      </c>
      <c r="N48" s="2" t="inlineStr">
        <is>
          <t>SET</t>
        </is>
      </c>
      <c r="O48" s="2" t="inlineStr">
        <is>
          <t>Care, size or product feature image for Personalized Purple God Says I Am Blanket</t>
        </is>
      </c>
      <c r="P48" s="2" t="inlineStr">
        <is>
          <t>FULL</t>
        </is>
      </c>
      <c r="Q48" s="2" t="inlineStr">
        <is>
          <t>PARTIAL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ISSUE-0061</t>
        </is>
      </c>
      <c r="Z48" s="2" t="inlineStr">
        <is>
          <t>D:\Shopify_Workspace\jeminise_seo\seo_runs\jeminise.com\20260906_234129\qa\20260907_181000\images\097_06.jpg; seo_runs\jeminise.com\20260906_234129\evidence\images\97_custom-purple-butterflies-text-blanket-machine-washable-d7b\image_06_47830613000391.jpg; seo_runs\jeminise.com\20260906_234129\evidence\contact_sheets\97_custom-purple-butterflies-text-blanket-machine-washable-d7b.jpg</t>
        </is>
      </c>
    </row>
    <row r="49" ht="66" customHeight="1">
      <c r="A49" s="3" t="inlineStr">
        <is>
          <t>jeminise.com+custom-purple-butterflies-text-blanket-machine-washable-d7b</t>
        </is>
      </c>
      <c r="B49" s="3" t="inlineStr">
        <is>
          <t>img_75f0bc122e16e94c</t>
        </is>
      </c>
      <c r="C49" s="4" t="inlineStr">
        <is>
          <t>https://cdn.shopify.com/s/files/1/0792/5098/1063/files/f460a64694fc0f7702fe7e69c3b087898a73890125c7b3c373f6292b397cb764.jpg?v=1786596968</t>
        </is>
      </c>
      <c r="D49" s="4" t="inlineStr">
        <is>
          <t>https://cdn.shopify.com/s/files/1/0792/5098/1063/files/f460a64694fc0f7702fe7e69c3b087898a73890125c7b3c373f6292b397cb764.jpg?v=1786596968</t>
        </is>
      </c>
      <c r="E49" s="3" t="inlineStr">
        <is>
          <t>47830613033159</t>
        </is>
      </c>
      <c r="F49" s="3" t="inlineStr">
        <is>
          <t>47830613033159</t>
        </is>
      </c>
      <c r="G49" s="3" t="inlineStr"/>
      <c r="H49" s="3" t="inlineStr">
        <is>
          <t>GALLERY</t>
        </is>
      </c>
      <c r="I49" s="3" t="inlineStr">
        <is>
          <t>DIRECT_IMAGE_DOWNLOAD_AND_SOURCE_ROW_REVIEW</t>
        </is>
      </c>
      <c r="J49" s="3" t="inlineStr">
        <is>
          <t>2026-09-07T18:39:17+07:00</t>
        </is>
      </c>
      <c r="K49" s="3" t="inlineStr">
        <is>
          <t>Direct QA opened downloaded image 97_07; source SHA 8BCFB6968C563DD36DABBC7422755CF0BC247040FF1F9BBFD5C948E8CA1E5A69. Submitted observation reviewed against gallery position.</t>
        </is>
      </c>
      <c r="L49" s="3" t="inlineStr">
        <is>
          <t>Additional lifestyle, feature or product detail image showing personalized purple God Says I Am butterfly blanket for Elizabeth.</t>
        </is>
      </c>
      <c r="M49" s="3" t="inlineStr">
        <is>
          <t>UNKNOWN</t>
        </is>
      </c>
      <c r="N49" s="3" t="inlineStr">
        <is>
          <t>SET</t>
        </is>
      </c>
      <c r="O49" s="3" t="inlineStr">
        <is>
          <t>Additional product mockup of Personalized Purple God Says I Am Blanket</t>
        </is>
      </c>
      <c r="P49" s="3" t="inlineStr">
        <is>
          <t>FULL</t>
        </is>
      </c>
      <c r="Q49" s="3" t="inlineStr">
        <is>
          <t>PARTIAL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ISSUE-0062</t>
        </is>
      </c>
      <c r="Z49" s="3" t="inlineStr">
        <is>
          <t>D:\Shopify_Workspace\jeminise_seo\seo_runs\jeminise.com\20260906_234129\qa\20260907_181000\images\097_07.jpg; seo_runs\jeminise.com\20260906_234129\evidence\images\97_custom-purple-butterflies-text-blanket-machine-washable-d7b\image_07_47830613033159.jpg; seo_runs\jeminise.com\20260906_234129\evidence\contact_sheets\97_custom-purple-butterflies-text-blanket-machine-washable-d7b.jpg</t>
        </is>
      </c>
    </row>
    <row r="50" ht="66" customHeight="1">
      <c r="A50" s="2" t="inlineStr">
        <is>
          <t>jeminise.com+custom-purple-butterflies-text-blanket-machine-washable-d7b</t>
        </is>
      </c>
      <c r="B50" s="2" t="inlineStr">
        <is>
          <t>img_e4cfa99343fa67f6</t>
        </is>
      </c>
      <c r="C50" s="4" t="inlineStr">
        <is>
          <t>https://cdn.shopify.com/s/files/1/0792/5098/1063/files/5c0401e94c422195d8dc97b8cc859b7ab413ddf40e4f7c0f1455113298c8ba2b.jpg?v=1786596968</t>
        </is>
      </c>
      <c r="D50" s="4" t="inlineStr">
        <is>
          <t>https://cdn.shopify.com/s/files/1/0792/5098/1063/files/5c0401e94c422195d8dc97b8cc859b7ab413ddf40e4f7c0f1455113298c8ba2b.jpg?v=1786596968</t>
        </is>
      </c>
      <c r="E50" s="2" t="inlineStr">
        <is>
          <t>47830613065927</t>
        </is>
      </c>
      <c r="F50" s="2" t="inlineStr">
        <is>
          <t>47830613065927</t>
        </is>
      </c>
      <c r="G50" s="2" t="inlineStr"/>
      <c r="H50" s="2" t="inlineStr">
        <is>
          <t>GALLERY</t>
        </is>
      </c>
      <c r="I50" s="2" t="inlineStr">
        <is>
          <t>DIRECT_IMAGE_DOWNLOAD_AND_SOURCE_ROW_REVIEW</t>
        </is>
      </c>
      <c r="J50" s="2" t="inlineStr">
        <is>
          <t>2026-09-07T18:39:17+07:00</t>
        </is>
      </c>
      <c r="K50" s="2" t="inlineStr">
        <is>
          <t>Direct QA opened downloaded image 97_08; source SHA 13B9A3058200719D0974398EB514143B61776B052D9361E535A5B77077621623. Submitted observation reviewed against gallery position.</t>
        </is>
      </c>
      <c r="L50" s="2" t="inlineStr">
        <is>
          <t>Additional lifestyle, feature or product detail image showing personalized purple God Says I Am butterfly blanket for Elizabeth.</t>
        </is>
      </c>
      <c r="M50" s="2" t="inlineStr">
        <is>
          <t>UNKNOWN</t>
        </is>
      </c>
      <c r="N50" s="2" t="inlineStr">
        <is>
          <t>SET</t>
        </is>
      </c>
      <c r="O50" s="2" t="inlineStr">
        <is>
          <t>Lifestyle use image for Personalized Purple God Says I Am Blanket</t>
        </is>
      </c>
      <c r="P50" s="2" t="inlineStr">
        <is>
          <t>FULL</t>
        </is>
      </c>
      <c r="Q50" s="2" t="inlineStr">
        <is>
          <t>PARTIAL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ISSUE-0063</t>
        </is>
      </c>
      <c r="Z50" s="2" t="inlineStr">
        <is>
          <t>D:\Shopify_Workspace\jeminise_seo\seo_runs\jeminise.com\20260906_234129\qa\20260907_181000\images\097_08.jpg; seo_runs\jeminise.com\20260906_234129\evidence\images\97_custom-purple-butterflies-text-blanket-machine-washable-d7b\image_08_47830613065927.jpg; seo_runs\jeminise.com\20260906_234129\evidence\contact_sheets\97_custom-purple-butterflies-text-blanket-machine-washable-d7b.jpg</t>
        </is>
      </c>
    </row>
    <row r="51" ht="66" customHeight="1">
      <c r="A51" s="3" t="inlineStr">
        <is>
          <t>jeminise.com+custom-purple-butterfly-christian-blanket-machine-washable-d15</t>
        </is>
      </c>
      <c r="B51" s="3" t="inlineStr">
        <is>
          <t>img_9c9518940aea39de</t>
        </is>
      </c>
      <c r="C51" s="4" t="inlineStr">
        <is>
          <t>https://cdn.shopify.com/s/files/1/0792/5098/1063/files/b0d49dab17c6bdcc632b9ef24f12d0fb5113a83ac744ae5538fe6133d8649026.jpg?v=1786596344</t>
        </is>
      </c>
      <c r="D51" s="4" t="inlineStr">
        <is>
          <t>https://cdn.shopify.com/s/files/1/0792/5098/1063/files/b0d49dab17c6bdcc632b9ef24f12d0fb5113a83ac744ae5538fe6133d8649026.jpg?v=1786596344</t>
        </is>
      </c>
      <c r="E51" s="3" t="inlineStr">
        <is>
          <t>47830466658503</t>
        </is>
      </c>
      <c r="F51" s="3" t="inlineStr">
        <is>
          <t>47830466658503</t>
        </is>
      </c>
      <c r="G51" s="3" t="inlineStr"/>
      <c r="H51" s="3" t="inlineStr">
        <is>
          <t>GALLERY</t>
        </is>
      </c>
      <c r="I51" s="3" t="inlineStr">
        <is>
          <t>DIRECT_IMAGE_DOWNLOAD_AND_SOURCE_ROW_REVIEW</t>
        </is>
      </c>
      <c r="J51" s="3" t="inlineStr">
        <is>
          <t>2026-09-07T18:39:17+07:00</t>
        </is>
      </c>
      <c r="K51" s="3" t="inlineStr">
        <is>
          <t>Direct QA opened downloaded image 98_01; source SHA B14A2C3863D1C8863A14EEEEA09C80C1C056837A982301EB049ED68B96B63654. Submitted observation reviewed against gallery position.</t>
        </is>
      </c>
      <c r="L51" s="3" t="inlineStr">
        <is>
          <t>Main product mockup showing personalized purple God is within her butterfly blanket for Isabella.</t>
        </is>
      </c>
      <c r="M51" s="3" t="inlineStr">
        <is>
          <t>UNKNOWN</t>
        </is>
      </c>
      <c r="N51" s="3" t="inlineStr">
        <is>
          <t>SET</t>
        </is>
      </c>
      <c r="O51" s="3" t="inlineStr">
        <is>
          <t>Personalized Purple Christian Butterfly Blanket displayed in a main product mockup</t>
        </is>
      </c>
      <c r="P51" s="3" t="inlineStr">
        <is>
          <t>FULL</t>
        </is>
      </c>
      <c r="Q51" s="3" t="inlineStr">
        <is>
          <t>FULL</t>
        </is>
      </c>
      <c r="R51" s="3" t="inlineStr">
        <is>
          <t>PARTIAL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ISSUE-0068</t>
        </is>
      </c>
      <c r="Z51" s="3" t="inlineStr">
        <is>
          <t>D:\Shopify_Workspace\jeminise_seo\seo_runs\jeminise.com\20260906_234129\qa\20260907_181000\images\098_01.jpg; seo_runs\jeminise.com\20260906_234129\evidence\images\98_custom-purple-butterfly-christian-blanket-machine-washable-d15\image_01_47830466658503.jpg; seo_runs\jeminise.com\20260906_234129\evidence\contact_sheets\98_custom-purple-butterfly-christian-blanket-machine-washable-d15.jpg</t>
        </is>
      </c>
    </row>
    <row r="52" ht="66" customHeight="1">
      <c r="A52" s="2" t="inlineStr">
        <is>
          <t>jeminise.com+custom-purple-butterfly-christian-blanket-machine-washable-d15</t>
        </is>
      </c>
      <c r="B52" s="2" t="inlineStr">
        <is>
          <t>img_0b7c8bc431e2c100</t>
        </is>
      </c>
      <c r="C52" s="4" t="inlineStr">
        <is>
          <t>https://cdn.shopify.com/s/files/1/0792/5098/1063/files/f3a0a135c363494f783788473b93526b47c2e8cb319704064bfa447e97981e08.jpg?v=1786596344</t>
        </is>
      </c>
      <c r="D52" s="4" t="inlineStr">
        <is>
          <t>https://cdn.shopify.com/s/files/1/0792/5098/1063/files/f3a0a135c363494f783788473b93526b47c2e8cb319704064bfa447e97981e08.jpg?v=1786596344</t>
        </is>
      </c>
      <c r="E52" s="2" t="inlineStr">
        <is>
          <t>47830466691271</t>
        </is>
      </c>
      <c r="F52" s="2" t="inlineStr">
        <is>
          <t>47830466691271</t>
        </is>
      </c>
      <c r="G52" s="2" t="inlineStr"/>
      <c r="H52" s="2" t="inlineStr">
        <is>
          <t>GALLERY</t>
        </is>
      </c>
      <c r="I52" s="2" t="inlineStr">
        <is>
          <t>DIRECT_IMAGE_DOWNLOAD_AND_SOURCE_ROW_REVIEW</t>
        </is>
      </c>
      <c r="J52" s="2" t="inlineStr">
        <is>
          <t>2026-09-07T18:39:17+07:00</t>
        </is>
      </c>
      <c r="K52" s="2" t="inlineStr">
        <is>
          <t>Direct QA opened downloaded image 98_02; source SHA 8A0F3C5786E86E2DFF11A351CB5F9B12D44A9C21FC2F3105A48D9FE52379BD03. Submitted observation reviewed against gallery position.</t>
        </is>
      </c>
      <c r="L52" s="2" t="inlineStr">
        <is>
          <t>Secondary flat, close-up or bedroom mockup showing personalized purple God is within her butterfly blanket for Isabella.</t>
        </is>
      </c>
      <c r="M52" s="2" t="inlineStr">
        <is>
          <t>UNKNOWN</t>
        </is>
      </c>
      <c r="N52" s="2" t="inlineStr">
        <is>
          <t>SET</t>
        </is>
      </c>
      <c r="O52" s="2" t="inlineStr">
        <is>
          <t>Secondary mockup of Personalized Purple Christian Butterfly Blanket</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c r="Z52" s="2" t="inlineStr">
        <is>
          <t>D:\Shopify_Workspace\jeminise_seo\seo_runs\jeminise.com\20260906_234129\qa\20260907_181000\images\098_02.jpg; seo_runs\jeminise.com\20260906_234129\evidence\images\98_custom-purple-butterfly-christian-blanket-machine-washable-d15\image_02_47830466691271.jpg; seo_runs\jeminise.com\20260906_234129\evidence\contact_sheets\98_custom-purple-butterfly-christian-blanket-machine-washable-d15.jpg</t>
        </is>
      </c>
    </row>
    <row r="53" ht="66" customHeight="1">
      <c r="A53" s="3" t="inlineStr">
        <is>
          <t>jeminise.com+custom-purple-butterfly-christian-blanket-machine-washable-d15</t>
        </is>
      </c>
      <c r="B53" s="3" t="inlineStr">
        <is>
          <t>img_fb4f02d78960ec80</t>
        </is>
      </c>
      <c r="C53" s="4" t="inlineStr">
        <is>
          <t>https://cdn.shopify.com/s/files/1/0792/5098/1063/files/393dde0641c109a658cdad67fc9a0926528b3e95ea49aaeeb473cb484ba86994.jpg?v=1786596344</t>
        </is>
      </c>
      <c r="D53" s="4" t="inlineStr">
        <is>
          <t>https://cdn.shopify.com/s/files/1/0792/5098/1063/files/393dde0641c109a658cdad67fc9a0926528b3e95ea49aaeeb473cb484ba86994.jpg?v=1786596344</t>
        </is>
      </c>
      <c r="E53" s="3" t="inlineStr">
        <is>
          <t>47830466724039</t>
        </is>
      </c>
      <c r="F53" s="3" t="inlineStr">
        <is>
          <t>47830466724039</t>
        </is>
      </c>
      <c r="G53" s="3" t="inlineStr"/>
      <c r="H53" s="3" t="inlineStr">
        <is>
          <t>GALLERY</t>
        </is>
      </c>
      <c r="I53" s="3" t="inlineStr">
        <is>
          <t>DIRECT_IMAGE_DOWNLOAD_AND_SOURCE_ROW_REVIEW</t>
        </is>
      </c>
      <c r="J53" s="3" t="inlineStr">
        <is>
          <t>2026-09-07T18:39:17+07:00</t>
        </is>
      </c>
      <c r="K53" s="3" t="inlineStr">
        <is>
          <t>Direct QA opened downloaded image 98_03; source SHA 2823756D055C8969B6059B48EE804C69D3845B3BEE548211EBF01A8DEC90D7A4. Submitted observation reviewed against gallery position.</t>
        </is>
      </c>
      <c r="L53" s="3" t="inlineStr">
        <is>
          <t>Bedding type, feature, lifestyle or material image for personalized purple God is within her butterfly blanket for Isabella.</t>
        </is>
      </c>
      <c r="M53" s="3" t="inlineStr">
        <is>
          <t>UNKNOWN</t>
        </is>
      </c>
      <c r="N53" s="3" t="inlineStr">
        <is>
          <t>SET</t>
        </is>
      </c>
      <c r="O53" s="3" t="inlineStr">
        <is>
          <t>Product option, feature or lifestyle image for Personalized Purple Christian Butterfly Blanket</t>
        </is>
      </c>
      <c r="P53" s="3" t="inlineStr">
        <is>
          <t>FULL</t>
        </is>
      </c>
      <c r="Q53" s="3" t="inlineStr">
        <is>
          <t>PARTIAL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ISSUE-0069</t>
        </is>
      </c>
      <c r="Z53" s="3" t="inlineStr">
        <is>
          <t>D:\Shopify_Workspace\jeminise_seo\seo_runs\jeminise.com\20260906_234129\qa\20260907_181000\images\098_03.jpg; seo_runs\jeminise.com\20260906_234129\evidence\images\98_custom-purple-butterfly-christian-blanket-machine-washable-d15\image_03_47830466724039.jpg; seo_runs\jeminise.com\20260906_234129\evidence\contact_sheets\98_custom-purple-butterfly-christian-blanket-machine-washable-d15.jpg</t>
        </is>
      </c>
    </row>
    <row r="54" ht="66" customHeight="1">
      <c r="A54" s="2" t="inlineStr">
        <is>
          <t>jeminise.com+custom-purple-butterfly-christian-blanket-machine-washable-d15</t>
        </is>
      </c>
      <c r="B54" s="2" t="inlineStr">
        <is>
          <t>img_d216fa8b6d5ec2d2</t>
        </is>
      </c>
      <c r="C54" s="4" t="inlineStr">
        <is>
          <t>https://cdn.shopify.com/s/files/1/0792/5098/1063/files/30947e72faf8e7b9ab47f0ff239bbbf2f0536869f498102f1e0e8bf0047e10d5.jpg?v=1786596344</t>
        </is>
      </c>
      <c r="D54" s="4" t="inlineStr">
        <is>
          <t>https://cdn.shopify.com/s/files/1/0792/5098/1063/files/30947e72faf8e7b9ab47f0ff239bbbf2f0536869f498102f1e0e8bf0047e10d5.jpg?v=1786596344</t>
        </is>
      </c>
      <c r="E54" s="2" t="inlineStr">
        <is>
          <t>47830466756807</t>
        </is>
      </c>
      <c r="F54" s="2" t="inlineStr">
        <is>
          <t>47830466756807</t>
        </is>
      </c>
      <c r="G54" s="2" t="inlineStr"/>
      <c r="H54" s="2" t="inlineStr">
        <is>
          <t>GALLERY</t>
        </is>
      </c>
      <c r="I54" s="2" t="inlineStr">
        <is>
          <t>DIRECT_IMAGE_DOWNLOAD_AND_SOURCE_ROW_REVIEW</t>
        </is>
      </c>
      <c r="J54" s="2" t="inlineStr">
        <is>
          <t>2026-09-07T18:39:17+07:00</t>
        </is>
      </c>
      <c r="K54" s="2" t="inlineStr">
        <is>
          <t>Direct QA opened downloaded image 98_04; source SHA 12CFCF487C766FB4E31980E89571C97DA4D9104DFA7C70A2F60B725EC51163EE. Submitted observation reviewed against gallery position.</t>
        </is>
      </c>
      <c r="L54" s="2" t="inlineStr">
        <is>
          <t>Detail, feature panel or lifestyle image connected to personalized purple God is within her butterfly blanket for Isabella.</t>
        </is>
      </c>
      <c r="M54" s="2" t="inlineStr">
        <is>
          <t>UNKNOWN</t>
        </is>
      </c>
      <c r="N54" s="2" t="inlineStr">
        <is>
          <t>SET</t>
        </is>
      </c>
      <c r="O54" s="2" t="inlineStr">
        <is>
          <t>Detail or feature image for Personalized Purple Christian Butterfly Blanket</t>
        </is>
      </c>
      <c r="P54" s="2" t="inlineStr">
        <is>
          <t>FULL</t>
        </is>
      </c>
      <c r="Q54" s="2" t="inlineStr">
        <is>
          <t>PARTIAL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ISSUE-0070</t>
        </is>
      </c>
      <c r="Z54" s="2" t="inlineStr">
        <is>
          <t>D:\Shopify_Workspace\jeminise_seo\seo_runs\jeminise.com\20260906_234129\qa\20260907_181000\images\098_04.jpg; seo_runs\jeminise.com\20260906_234129\evidence\images\98_custom-purple-butterfly-christian-blanket-machine-washable-d15\image_04_47830466756807.jpg; seo_runs\jeminise.com\20260906_234129\evidence\contact_sheets\98_custom-purple-butterfly-christian-blanket-machine-washable-d15.jpg</t>
        </is>
      </c>
    </row>
    <row r="55" ht="66" customHeight="1">
      <c r="A55" s="3" t="inlineStr">
        <is>
          <t>jeminise.com+custom-purple-butterfly-christian-blanket-machine-washable-d15</t>
        </is>
      </c>
      <c r="B55" s="3" t="inlineStr">
        <is>
          <t>img_4db0720dd4793732</t>
        </is>
      </c>
      <c r="C55" s="4" t="inlineStr">
        <is>
          <t>https://cdn.shopify.com/s/files/1/0792/5098/1063/files/561164be4965ba7d14d31536c839a8c98aaeb4b67535565041d490d5464c3971.jpg?v=1786596344</t>
        </is>
      </c>
      <c r="D55" s="4" t="inlineStr">
        <is>
          <t>https://cdn.shopify.com/s/files/1/0792/5098/1063/files/561164be4965ba7d14d31536c839a8c98aaeb4b67535565041d490d5464c3971.jpg?v=1786596344</t>
        </is>
      </c>
      <c r="E55" s="3" t="inlineStr">
        <is>
          <t>47830466789575</t>
        </is>
      </c>
      <c r="F55" s="3" t="inlineStr">
        <is>
          <t>47830466789575</t>
        </is>
      </c>
      <c r="G55" s="3" t="inlineStr"/>
      <c r="H55" s="3" t="inlineStr">
        <is>
          <t>GALLERY</t>
        </is>
      </c>
      <c r="I55" s="3" t="inlineStr">
        <is>
          <t>DIRECT_IMAGE_DOWNLOAD_AND_SOURCE_ROW_REVIEW</t>
        </is>
      </c>
      <c r="J55" s="3" t="inlineStr">
        <is>
          <t>2026-09-07T18:39:17+07:00</t>
        </is>
      </c>
      <c r="K55" s="3" t="inlineStr">
        <is>
          <t>Direct QA opened downloaded image 98_05; source SHA FECC7511FA0CC6E6A6A5BA931F60F48A33EAB7E690DAD8DBE390D880F923FD10. Submitted observation reviewed against gallery position.</t>
        </is>
      </c>
      <c r="L55" s="3" t="inlineStr">
        <is>
          <t>Additional mockup, care or size information for personalized purple God is within her butterfly blanket for Isabella.</t>
        </is>
      </c>
      <c r="M55" s="3" t="inlineStr">
        <is>
          <t>UNKNOWN</t>
        </is>
      </c>
      <c r="N55" s="3" t="inlineStr">
        <is>
          <t>SET</t>
        </is>
      </c>
      <c r="O55" s="3" t="inlineStr">
        <is>
          <t>Additional product mockup or care information for Personalized Purple Christian Butterfly Blanket</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c r="Z55" s="3" t="inlineStr">
        <is>
          <t>D:\Shopify_Workspace\jeminise_seo\seo_runs\jeminise.com\20260906_234129\qa\20260907_181000\images\098_05.jpg; seo_runs\jeminise.com\20260906_234129\evidence\images\98_custom-purple-butterfly-christian-blanket-machine-washable-d15\image_05_47830466789575.jpg; seo_runs\jeminise.com\20260906_234129\evidence\contact_sheets\98_custom-purple-butterfly-christian-blanket-machine-washable-d15.jpg</t>
        </is>
      </c>
    </row>
    <row r="56" ht="66" customHeight="1">
      <c r="A56" s="2" t="inlineStr">
        <is>
          <t>jeminise.com+custom-purple-butterfly-christian-blanket-machine-washable-d15</t>
        </is>
      </c>
      <c r="B56" s="2" t="inlineStr">
        <is>
          <t>img_29080fb145474573</t>
        </is>
      </c>
      <c r="C56" s="4" t="inlineStr">
        <is>
          <t>https://cdn.shopify.com/s/files/1/0792/5098/1063/files/3d8d0ae7827b3277b85844c9dfadb1dc1394b9b7636bd7f2cfb977f845b7cfdf.jpg?v=1786596344</t>
        </is>
      </c>
      <c r="D56" s="4" t="inlineStr">
        <is>
          <t>https://cdn.shopify.com/s/files/1/0792/5098/1063/files/3d8d0ae7827b3277b85844c9dfadb1dc1394b9b7636bd7f2cfb977f845b7cfdf.jpg?v=1786596344</t>
        </is>
      </c>
      <c r="E56" s="2" t="inlineStr">
        <is>
          <t>47830466822343</t>
        </is>
      </c>
      <c r="F56" s="2" t="inlineStr">
        <is>
          <t>47830466822343</t>
        </is>
      </c>
      <c r="G56" s="2" t="inlineStr"/>
      <c r="H56" s="2" t="inlineStr">
        <is>
          <t>GALLERY</t>
        </is>
      </c>
      <c r="I56" s="2" t="inlineStr">
        <is>
          <t>DIRECT_IMAGE_DOWNLOAD_AND_SOURCE_ROW_REVIEW</t>
        </is>
      </c>
      <c r="J56" s="2" t="inlineStr">
        <is>
          <t>2026-09-07T18:39:17+07:00</t>
        </is>
      </c>
      <c r="K56" s="2" t="inlineStr">
        <is>
          <t>Direct QA opened downloaded image 98_06; source SHA 9945E5FD8E2D9E2149F4E31C2ACAB68AB93E673AC5B5FE4C7601B87E3FAF0ADE. Submitted observation reviewed against gallery position.</t>
        </is>
      </c>
      <c r="L56" s="2" t="inlineStr">
        <is>
          <t>Easy-care, size guide or product feature image for personalized purple God is within her butterfly blanket for Isabella.</t>
        </is>
      </c>
      <c r="M56" s="2" t="inlineStr">
        <is>
          <t>UNKNOWN</t>
        </is>
      </c>
      <c r="N56" s="2" t="inlineStr">
        <is>
          <t>SET</t>
        </is>
      </c>
      <c r="O56" s="2" t="inlineStr">
        <is>
          <t>Care, size or product feature image for Personalized Purple Christian Butterfly Blanket</t>
        </is>
      </c>
      <c r="P56" s="2" t="inlineStr">
        <is>
          <t>FULL</t>
        </is>
      </c>
      <c r="Q56" s="2" t="inlineStr">
        <is>
          <t>PARTIAL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ISSUE-0071</t>
        </is>
      </c>
      <c r="Z56" s="2" t="inlineStr">
        <is>
          <t>D:\Shopify_Workspace\jeminise_seo\seo_runs\jeminise.com\20260906_234129\qa\20260907_181000\images\098_06.jpg; seo_runs\jeminise.com\20260906_234129\evidence\images\98_custom-purple-butterfly-christian-blanket-machine-washable-d15\image_06_47830466822343.jpg; seo_runs\jeminise.com\20260906_234129\evidence\contact_sheets\98_custom-purple-butterfly-christian-blanket-machine-washable-d15.jpg</t>
        </is>
      </c>
    </row>
    <row r="57" ht="66" customHeight="1">
      <c r="A57" s="3" t="inlineStr">
        <is>
          <t>jeminise.com+custom-purple-butterfly-christian-blanket-machine-washable-d15</t>
        </is>
      </c>
      <c r="B57" s="3" t="inlineStr">
        <is>
          <t>img_e3c1c213f6914348</t>
        </is>
      </c>
      <c r="C57" s="4" t="inlineStr">
        <is>
          <t>https://cdn.shopify.com/s/files/1/0792/5098/1063/files/e06ad6ea585a2cced1450af7ae2c5b03c02b4040afe9aafb22249887d13df84c.jpg?v=1786596344</t>
        </is>
      </c>
      <c r="D57" s="4" t="inlineStr">
        <is>
          <t>https://cdn.shopify.com/s/files/1/0792/5098/1063/files/e06ad6ea585a2cced1450af7ae2c5b03c02b4040afe9aafb22249887d13df84c.jpg?v=1786596344</t>
        </is>
      </c>
      <c r="E57" s="3" t="inlineStr">
        <is>
          <t>47830466855111</t>
        </is>
      </c>
      <c r="F57" s="3" t="inlineStr">
        <is>
          <t>47830466855111</t>
        </is>
      </c>
      <c r="G57" s="3" t="inlineStr"/>
      <c r="H57" s="3" t="inlineStr">
        <is>
          <t>GALLERY</t>
        </is>
      </c>
      <c r="I57" s="3" t="inlineStr">
        <is>
          <t>DIRECT_IMAGE_DOWNLOAD_AND_SOURCE_ROW_REVIEW</t>
        </is>
      </c>
      <c r="J57" s="3" t="inlineStr">
        <is>
          <t>2026-09-07T18:39:17+07:00</t>
        </is>
      </c>
      <c r="K57" s="3" t="inlineStr">
        <is>
          <t>Direct QA opened downloaded image 98_07; source SHA 3885F1AA1AE682E57C021127986CD38D5041A358E1A0CE321A5585D40CFBAD74. Submitted observation reviewed against gallery position.</t>
        </is>
      </c>
      <c r="L57" s="3" t="inlineStr">
        <is>
          <t>Additional lifestyle, feature or product detail image showing personalized purple God is within her butterfly blanket for Isabella.</t>
        </is>
      </c>
      <c r="M57" s="3" t="inlineStr">
        <is>
          <t>UNKNOWN</t>
        </is>
      </c>
      <c r="N57" s="3" t="inlineStr">
        <is>
          <t>SET</t>
        </is>
      </c>
      <c r="O57" s="3" t="inlineStr">
        <is>
          <t>Additional product mockup of Personalized Purple Christian Butterfly Blanket</t>
        </is>
      </c>
      <c r="P57" s="3" t="inlineStr">
        <is>
          <t>FULL</t>
        </is>
      </c>
      <c r="Q57" s="3" t="inlineStr">
        <is>
          <t>PARTIAL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ISSUE-0072</t>
        </is>
      </c>
      <c r="Z57" s="3" t="inlineStr">
        <is>
          <t>D:\Shopify_Workspace\jeminise_seo\seo_runs\jeminise.com\20260906_234129\qa\20260907_181000\images\098_07.jpg; seo_runs\jeminise.com\20260906_234129\evidence\images\98_custom-purple-butterfly-christian-blanket-machine-washable-d15\image_07_47830466855111.jpg; seo_runs\jeminise.com\20260906_234129\evidence\contact_sheets\98_custom-purple-butterfly-christian-blanket-machine-washable-d15.jpg</t>
        </is>
      </c>
    </row>
    <row r="58" ht="66" customHeight="1">
      <c r="A58" s="2" t="inlineStr">
        <is>
          <t>jeminise.com+custom-purple-butterfly-christian-blanket-machine-washable-d15</t>
        </is>
      </c>
      <c r="B58" s="2" t="inlineStr">
        <is>
          <t>img_f525b29b8b7f2c92</t>
        </is>
      </c>
      <c r="C58" s="4" t="inlineStr">
        <is>
          <t>https://cdn.shopify.com/s/files/1/0792/5098/1063/files/1695bd29dc1e745b27c0ca317e206d17ca3c35cfb7319cb0cc84d6339e3f7877.jpg?v=1786596344</t>
        </is>
      </c>
      <c r="D58" s="4" t="inlineStr">
        <is>
          <t>https://cdn.shopify.com/s/files/1/0792/5098/1063/files/1695bd29dc1e745b27c0ca317e206d17ca3c35cfb7319cb0cc84d6339e3f7877.jpg?v=1786596344</t>
        </is>
      </c>
      <c r="E58" s="2" t="inlineStr">
        <is>
          <t>47830466887879</t>
        </is>
      </c>
      <c r="F58" s="2" t="inlineStr">
        <is>
          <t>47830466887879</t>
        </is>
      </c>
      <c r="G58" s="2" t="inlineStr"/>
      <c r="H58" s="2" t="inlineStr">
        <is>
          <t>GALLERY</t>
        </is>
      </c>
      <c r="I58" s="2" t="inlineStr">
        <is>
          <t>DIRECT_IMAGE_DOWNLOAD_AND_SOURCE_ROW_REVIEW</t>
        </is>
      </c>
      <c r="J58" s="2" t="inlineStr">
        <is>
          <t>2026-09-07T18:39:17+07:00</t>
        </is>
      </c>
      <c r="K58" s="2" t="inlineStr">
        <is>
          <t>Direct QA opened downloaded image 98_08; source SHA 8E6DFBEEFE24EFF71B3CDFAACC49AB6BD10554EF93A15534F6298CE6D2DB77C9. Submitted observation reviewed against gallery position.</t>
        </is>
      </c>
      <c r="L58" s="2" t="inlineStr">
        <is>
          <t>Additional lifestyle, feature or product detail image showing personalized purple God is within her butterfly blanket for Isabella.</t>
        </is>
      </c>
      <c r="M58" s="2" t="inlineStr">
        <is>
          <t>UNKNOWN</t>
        </is>
      </c>
      <c r="N58" s="2" t="inlineStr">
        <is>
          <t>SET</t>
        </is>
      </c>
      <c r="O58" s="2" t="inlineStr">
        <is>
          <t>Lifestyle use image for Personalized Purple Christian Butterfly Blanket</t>
        </is>
      </c>
      <c r="P58" s="2" t="inlineStr">
        <is>
          <t>FULL</t>
        </is>
      </c>
      <c r="Q58" s="2" t="inlineStr">
        <is>
          <t>PARTIAL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ISSUE-0073</t>
        </is>
      </c>
      <c r="Z58" s="2" t="inlineStr">
        <is>
          <t>D:\Shopify_Workspace\jeminise_seo\seo_runs\jeminise.com\20260906_234129\qa\20260907_181000\images\098_08.jpg; seo_runs\jeminise.com\20260906_234129\evidence\images\98_custom-purple-butterfly-christian-blanket-machine-washable-d15\image_08_47830466887879.jpg; seo_runs\jeminise.com\20260906_234129\evidence\contact_sheets\98_custom-purple-butterfly-christian-blanket-machine-washable-d15.jpg</t>
        </is>
      </c>
    </row>
    <row r="59" ht="66" customHeight="1">
      <c r="A59" s="3" t="inlineStr">
        <is>
          <t>jeminise.com+custom-purple-floral-christian-cross-blanket-machine-washable-d2</t>
        </is>
      </c>
      <c r="B59" s="3" t="inlineStr">
        <is>
          <t>img_fd81d6fcdc8a206b</t>
        </is>
      </c>
      <c r="C59" s="4" t="inlineStr">
        <is>
          <t>https://cdn.shopify.com/s/files/1/0792/5098/1063/files/1e3ef58d63b3b377403c7baa0c39f0aaca49df18a0c49d7048c441975452b123.jpg?v=1786596467</t>
        </is>
      </c>
      <c r="D59" s="4" t="inlineStr">
        <is>
          <t>https://cdn.shopify.com/s/files/1/0792/5098/1063/files/1e3ef58d63b3b377403c7baa0c39f0aaca49df18a0c49d7048c441975452b123.jpg?v=1786596467</t>
        </is>
      </c>
      <c r="E59" s="3" t="inlineStr">
        <is>
          <t>47830524821703</t>
        </is>
      </c>
      <c r="F59" s="3" t="inlineStr">
        <is>
          <t>47830524821703</t>
        </is>
      </c>
      <c r="G59" s="3" t="inlineStr"/>
      <c r="H59" s="3" t="inlineStr">
        <is>
          <t>GALLERY</t>
        </is>
      </c>
      <c r="I59" s="3" t="inlineStr">
        <is>
          <t>DIRECT_IMAGE_DOWNLOAD_AND_SOURCE_ROW_REVIEW</t>
        </is>
      </c>
      <c r="J59" s="3" t="inlineStr">
        <is>
          <t>2026-09-07T18:39:17+07:00</t>
        </is>
      </c>
      <c r="K59" s="3" t="inlineStr">
        <is>
          <t>Direct QA opened downloaded image 99_01; source SHA 02EDD27A8E6E76CDBAD7C124546465CF73BB6970388C8762F70C1D9A1A46BB37. Submitted observation reviewed against gallery position.</t>
        </is>
      </c>
      <c r="L59" s="3" t="inlineStr">
        <is>
          <t>Main product mockup showing personalized purple floral Christian cross blanket for Amabel.</t>
        </is>
      </c>
      <c r="M59" s="3" t="inlineStr">
        <is>
          <t>UNKNOWN</t>
        </is>
      </c>
      <c r="N59" s="3" t="inlineStr">
        <is>
          <t>SET</t>
        </is>
      </c>
      <c r="O59" s="3" t="inlineStr">
        <is>
          <t>Personalized Purple Floral Cross Blanket displayed in a main product mockup</t>
        </is>
      </c>
      <c r="P59" s="3" t="inlineStr">
        <is>
          <t>FULL</t>
        </is>
      </c>
      <c r="Q59" s="3" t="inlineStr">
        <is>
          <t>FULL</t>
        </is>
      </c>
      <c r="R59" s="3" t="inlineStr">
        <is>
          <t>PARTIAL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ISSUE-0078</t>
        </is>
      </c>
      <c r="Z59" s="3" t="inlineStr">
        <is>
          <t>D:\Shopify_Workspace\jeminise_seo\seo_runs\jeminise.com\20260906_234129\qa\20260907_181000\images\099_01.jpg; seo_runs\jeminise.com\20260906_234129\evidence\images\99_custom-purple-floral-christian-cross-blanket-machine-washable-d2\image_01_47830524821703.jpg; seo_runs\jeminise.com\20260906_234129\evidence\contact_sheets\99_custom-purple-floral-christian-cross-blanket-machine-washable-d2.jpg</t>
        </is>
      </c>
    </row>
    <row r="60" ht="66" customHeight="1">
      <c r="A60" s="2" t="inlineStr">
        <is>
          <t>jeminise.com+custom-purple-floral-christian-cross-blanket-machine-washable-d2</t>
        </is>
      </c>
      <c r="B60" s="2" t="inlineStr">
        <is>
          <t>img_0961a7ab3313db92</t>
        </is>
      </c>
      <c r="C60" s="4" t="inlineStr">
        <is>
          <t>https://cdn.shopify.com/s/files/1/0792/5098/1063/files/304708b511b50b432675e367d219231bee1cbde6563b89370c053e7839041edc.jpg?v=1786596467</t>
        </is>
      </c>
      <c r="D60" s="4" t="inlineStr">
        <is>
          <t>https://cdn.shopify.com/s/files/1/0792/5098/1063/files/304708b511b50b432675e367d219231bee1cbde6563b89370c053e7839041edc.jpg?v=1786596467</t>
        </is>
      </c>
      <c r="E60" s="2" t="inlineStr">
        <is>
          <t>47830524854471</t>
        </is>
      </c>
      <c r="F60" s="2" t="inlineStr">
        <is>
          <t>47830524854471</t>
        </is>
      </c>
      <c r="G60" s="2" t="inlineStr"/>
      <c r="H60" s="2" t="inlineStr">
        <is>
          <t>GALLERY</t>
        </is>
      </c>
      <c r="I60" s="2" t="inlineStr">
        <is>
          <t>DIRECT_IMAGE_DOWNLOAD_AND_SOURCE_ROW_REVIEW</t>
        </is>
      </c>
      <c r="J60" s="2" t="inlineStr">
        <is>
          <t>2026-09-07T18:39:17+07:00</t>
        </is>
      </c>
      <c r="K60" s="2" t="inlineStr">
        <is>
          <t>Direct QA opened downloaded image 99_02; source SHA 791C4BCDC7C7B41F0A36B5E9D7971D04DABBE8867B3E73A2EAB411B7B0D61CA2. Submitted observation reviewed against gallery position.</t>
        </is>
      </c>
      <c r="L60" s="2" t="inlineStr">
        <is>
          <t>Secondary flat, close-up or bedroom mockup showing personalized purple floral Christian cross blanket for Amabel.</t>
        </is>
      </c>
      <c r="M60" s="2" t="inlineStr">
        <is>
          <t>UNKNOWN</t>
        </is>
      </c>
      <c r="N60" s="2" t="inlineStr">
        <is>
          <t>SET</t>
        </is>
      </c>
      <c r="O60" s="2" t="inlineStr">
        <is>
          <t>Secondary mockup of Personalized Purple Floral Cross Blanket</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c r="Z60" s="2" t="inlineStr">
        <is>
          <t>D:\Shopify_Workspace\jeminise_seo\seo_runs\jeminise.com\20260906_234129\qa\20260907_181000\images\099_02.jpg; seo_runs\jeminise.com\20260906_234129\evidence\images\99_custom-purple-floral-christian-cross-blanket-machine-washable-d2\image_02_47830524854471.jpg; seo_runs\jeminise.com\20260906_234129\evidence\contact_sheets\99_custom-purple-floral-christian-cross-blanket-machine-washable-d2.jpg</t>
        </is>
      </c>
    </row>
    <row r="61" ht="66" customHeight="1">
      <c r="A61" s="3" t="inlineStr">
        <is>
          <t>jeminise.com+custom-purple-floral-christian-cross-blanket-machine-washable-d2</t>
        </is>
      </c>
      <c r="B61" s="3" t="inlineStr">
        <is>
          <t>img_5c2abbeac0653472</t>
        </is>
      </c>
      <c r="C61" s="4" t="inlineStr">
        <is>
          <t>https://cdn.shopify.com/s/files/1/0792/5098/1063/files/6600b0d72504e32a2407088eb65dfe69f600a0e52f61f6e63e49596488c1e1ee.jpg?v=1786596467</t>
        </is>
      </c>
      <c r="D61" s="4" t="inlineStr">
        <is>
          <t>https://cdn.shopify.com/s/files/1/0792/5098/1063/files/6600b0d72504e32a2407088eb65dfe69f600a0e52f61f6e63e49596488c1e1ee.jpg?v=1786596467</t>
        </is>
      </c>
      <c r="E61" s="3" t="inlineStr">
        <is>
          <t>47830524887239</t>
        </is>
      </c>
      <c r="F61" s="3" t="inlineStr">
        <is>
          <t>47830524887239</t>
        </is>
      </c>
      <c r="G61" s="3" t="inlineStr"/>
      <c r="H61" s="3" t="inlineStr">
        <is>
          <t>GALLERY</t>
        </is>
      </c>
      <c r="I61" s="3" t="inlineStr">
        <is>
          <t>DIRECT_IMAGE_DOWNLOAD_AND_SOURCE_ROW_REVIEW</t>
        </is>
      </c>
      <c r="J61" s="3" t="inlineStr">
        <is>
          <t>2026-09-07T18:39:17+07:00</t>
        </is>
      </c>
      <c r="K61" s="3" t="inlineStr">
        <is>
          <t>Direct QA opened downloaded image 99_03; source SHA E1AB9624E582AFB38C48D993CDFE9FD08866BAE3378546F708D86EE06CBB4900. Submitted observation reviewed against gallery position.</t>
        </is>
      </c>
      <c r="L61" s="3" t="inlineStr">
        <is>
          <t>Bedding type, feature, lifestyle or material image for personalized purple floral Christian cross blanket for Amabel.</t>
        </is>
      </c>
      <c r="M61" s="3" t="inlineStr">
        <is>
          <t>UNKNOWN</t>
        </is>
      </c>
      <c r="N61" s="3" t="inlineStr">
        <is>
          <t>SET</t>
        </is>
      </c>
      <c r="O61" s="3" t="inlineStr">
        <is>
          <t>Product option, feature or lifestyle image for Personalized Purple Floral Cross Blanket</t>
        </is>
      </c>
      <c r="P61" s="3" t="inlineStr">
        <is>
          <t>FULL</t>
        </is>
      </c>
      <c r="Q61" s="3" t="inlineStr">
        <is>
          <t>PARTIAL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ISSUE-0079</t>
        </is>
      </c>
      <c r="Z61" s="3" t="inlineStr">
        <is>
          <t>D:\Shopify_Workspace\jeminise_seo\seo_runs\jeminise.com\20260906_234129\qa\20260907_181000\images\099_03.jpg; seo_runs\jeminise.com\20260906_234129\evidence\images\99_custom-purple-floral-christian-cross-blanket-machine-washable-d2\image_03_47830524887239.jpg; seo_runs\jeminise.com\20260906_234129\evidence\contact_sheets\99_custom-purple-floral-christian-cross-blanket-machine-washable-d2.jpg</t>
        </is>
      </c>
    </row>
    <row r="62" ht="66" customHeight="1">
      <c r="A62" s="2" t="inlineStr">
        <is>
          <t>jeminise.com+custom-purple-floral-christian-cross-blanket-machine-washable-d2</t>
        </is>
      </c>
      <c r="B62" s="2" t="inlineStr">
        <is>
          <t>img_3b5e515ab1fb82d8</t>
        </is>
      </c>
      <c r="C62" s="4" t="inlineStr">
        <is>
          <t>https://cdn.shopify.com/s/files/1/0792/5098/1063/files/32610255b10c95dd1994672a4db25a99d1504f8d5700b5a9d68dc5ea58417837.jpg?v=1786596466</t>
        </is>
      </c>
      <c r="D62" s="4" t="inlineStr">
        <is>
          <t>https://cdn.shopify.com/s/files/1/0792/5098/1063/files/32610255b10c95dd1994672a4db25a99d1504f8d5700b5a9d68dc5ea58417837.jpg?v=1786596466</t>
        </is>
      </c>
      <c r="E62" s="2" t="inlineStr">
        <is>
          <t>47830524920007</t>
        </is>
      </c>
      <c r="F62" s="2" t="inlineStr">
        <is>
          <t>47830524920007</t>
        </is>
      </c>
      <c r="G62" s="2" t="inlineStr"/>
      <c r="H62" s="2" t="inlineStr">
        <is>
          <t>GALLERY</t>
        </is>
      </c>
      <c r="I62" s="2" t="inlineStr">
        <is>
          <t>DIRECT_IMAGE_DOWNLOAD_AND_SOURCE_ROW_REVIEW</t>
        </is>
      </c>
      <c r="J62" s="2" t="inlineStr">
        <is>
          <t>2026-09-07T18:39:17+07:00</t>
        </is>
      </c>
      <c r="K62" s="2" t="inlineStr">
        <is>
          <t>Direct QA opened downloaded image 99_04; source SHA 14E412D92B41F91378448A6165466E31C9F5EEDFA4F43F994C62B76BE687C3E5. Submitted observation reviewed against gallery position.</t>
        </is>
      </c>
      <c r="L62" s="2" t="inlineStr">
        <is>
          <t>Detail, feature panel or lifestyle image connected to personalized purple floral Christian cross blanket for Amabel.</t>
        </is>
      </c>
      <c r="M62" s="2" t="inlineStr">
        <is>
          <t>UNKNOWN</t>
        </is>
      </c>
      <c r="N62" s="2" t="inlineStr">
        <is>
          <t>SET</t>
        </is>
      </c>
      <c r="O62" s="2" t="inlineStr">
        <is>
          <t>Detail or feature image for Personalized Purple Floral Cross Blanket</t>
        </is>
      </c>
      <c r="P62" s="2" t="inlineStr">
        <is>
          <t>FULL</t>
        </is>
      </c>
      <c r="Q62" s="2" t="inlineStr">
        <is>
          <t>PARTIAL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ISSUE-0080</t>
        </is>
      </c>
      <c r="Z62" s="2" t="inlineStr">
        <is>
          <t>D:\Shopify_Workspace\jeminise_seo\seo_runs\jeminise.com\20260906_234129\qa\20260907_181000\images\099_04.jpg; seo_runs\jeminise.com\20260906_234129\evidence\images\99_custom-purple-floral-christian-cross-blanket-machine-washable-d2\image_04_47830524920007.jpg; seo_runs\jeminise.com\20260906_234129\evidence\contact_sheets\99_custom-purple-floral-christian-cross-blanket-machine-washable-d2.jpg</t>
        </is>
      </c>
    </row>
    <row r="63" ht="66" customHeight="1">
      <c r="A63" s="3" t="inlineStr">
        <is>
          <t>jeminise.com+custom-purple-floral-christian-cross-blanket-machine-washable-d2</t>
        </is>
      </c>
      <c r="B63" s="3" t="inlineStr">
        <is>
          <t>img_4411a74e76971de0</t>
        </is>
      </c>
      <c r="C63" s="4" t="inlineStr">
        <is>
          <t>https://cdn.shopify.com/s/files/1/0792/5098/1063/files/4ce7ad7b28af41f4184ce676d817e67ba0c3a923153c1e8fd3b4932131d9a04c.jpg?v=1786596467</t>
        </is>
      </c>
      <c r="D63" s="4" t="inlineStr">
        <is>
          <t>https://cdn.shopify.com/s/files/1/0792/5098/1063/files/4ce7ad7b28af41f4184ce676d817e67ba0c3a923153c1e8fd3b4932131d9a04c.jpg?v=1786596467</t>
        </is>
      </c>
      <c r="E63" s="3" t="inlineStr">
        <is>
          <t>47830524952775</t>
        </is>
      </c>
      <c r="F63" s="3" t="inlineStr">
        <is>
          <t>47830524952775</t>
        </is>
      </c>
      <c r="G63" s="3" t="inlineStr"/>
      <c r="H63" s="3" t="inlineStr">
        <is>
          <t>GALLERY</t>
        </is>
      </c>
      <c r="I63" s="3" t="inlineStr">
        <is>
          <t>DIRECT_IMAGE_DOWNLOAD_AND_SOURCE_ROW_REVIEW</t>
        </is>
      </c>
      <c r="J63" s="3" t="inlineStr">
        <is>
          <t>2026-09-07T18:39:17+07:00</t>
        </is>
      </c>
      <c r="K63" s="3" t="inlineStr">
        <is>
          <t>Direct QA opened downloaded image 99_05; source SHA 326FD51ACACAB013CA71B1F95E8C4381BE71F9D34CE4913E98B78BC67EAB7641. Submitted observation reviewed against gallery position.</t>
        </is>
      </c>
      <c r="L63" s="3" t="inlineStr">
        <is>
          <t>Additional mockup, care or size information for personalized purple floral Christian cross blanket for Amabel.</t>
        </is>
      </c>
      <c r="M63" s="3" t="inlineStr">
        <is>
          <t>UNKNOWN</t>
        </is>
      </c>
      <c r="N63" s="3" t="inlineStr">
        <is>
          <t>SET</t>
        </is>
      </c>
      <c r="O63" s="3" t="inlineStr">
        <is>
          <t>Additional product mockup or care information for Personalized Purple Floral Cross Blanket</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c r="Z63" s="3" t="inlineStr">
        <is>
          <t>D:\Shopify_Workspace\jeminise_seo\seo_runs\jeminise.com\20260906_234129\qa\20260907_181000\images\099_05.jpg; seo_runs\jeminise.com\20260906_234129\evidence\images\99_custom-purple-floral-christian-cross-blanket-machine-washable-d2\image_05_47830524952775.jpg; seo_runs\jeminise.com\20260906_234129\evidence\contact_sheets\99_custom-purple-floral-christian-cross-blanket-machine-washable-d2.jpg</t>
        </is>
      </c>
    </row>
    <row r="64" ht="66" customHeight="1">
      <c r="A64" s="2" t="inlineStr">
        <is>
          <t>jeminise.com+custom-purple-floral-christian-cross-blanket-machine-washable-d2</t>
        </is>
      </c>
      <c r="B64" s="2" t="inlineStr">
        <is>
          <t>img_111facab008286e4</t>
        </is>
      </c>
      <c r="C64" s="4" t="inlineStr">
        <is>
          <t>https://cdn.shopify.com/s/files/1/0792/5098/1063/files/8f4ca20461e5e7f3c9a4f9e46a3aeb722251b8c5bda7ce1d6dd3566915800b92.jpg?v=1786596467</t>
        </is>
      </c>
      <c r="D64" s="4" t="inlineStr">
        <is>
          <t>https://cdn.shopify.com/s/files/1/0792/5098/1063/files/8f4ca20461e5e7f3c9a4f9e46a3aeb722251b8c5bda7ce1d6dd3566915800b92.jpg?v=1786596467</t>
        </is>
      </c>
      <c r="E64" s="2" t="inlineStr">
        <is>
          <t>47830524985543</t>
        </is>
      </c>
      <c r="F64" s="2" t="inlineStr">
        <is>
          <t>47830524985543</t>
        </is>
      </c>
      <c r="G64" s="2" t="inlineStr"/>
      <c r="H64" s="2" t="inlineStr">
        <is>
          <t>GALLERY</t>
        </is>
      </c>
      <c r="I64" s="2" t="inlineStr">
        <is>
          <t>DIRECT_IMAGE_DOWNLOAD_AND_SOURCE_ROW_REVIEW</t>
        </is>
      </c>
      <c r="J64" s="2" t="inlineStr">
        <is>
          <t>2026-09-07T18:39:17+07:00</t>
        </is>
      </c>
      <c r="K64" s="2" t="inlineStr">
        <is>
          <t>Direct QA opened downloaded image 99_06; source SHA 2FB96017B2743EC755D9A4C6957A3780211B91DE7743D540F06C1E6E472EF071. Submitted observation reviewed against gallery position.</t>
        </is>
      </c>
      <c r="L64" s="2" t="inlineStr">
        <is>
          <t>Easy-care, size guide or product feature image for personalized purple floral Christian cross blanket for Amabel.</t>
        </is>
      </c>
      <c r="M64" s="2" t="inlineStr">
        <is>
          <t>UNKNOWN</t>
        </is>
      </c>
      <c r="N64" s="2" t="inlineStr">
        <is>
          <t>SET</t>
        </is>
      </c>
      <c r="O64" s="2" t="inlineStr">
        <is>
          <t>Care, size or product feature image for Personalized Purple Floral Cross Blanket</t>
        </is>
      </c>
      <c r="P64" s="2" t="inlineStr">
        <is>
          <t>FULL</t>
        </is>
      </c>
      <c r="Q64" s="2" t="inlineStr">
        <is>
          <t>PARTIAL</t>
        </is>
      </c>
      <c r="R64" s="2" t="inlineStr">
        <is>
          <t>FULL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ISSUE-0081</t>
        </is>
      </c>
      <c r="Z64" s="2" t="inlineStr">
        <is>
          <t>D:\Shopify_Workspace\jeminise_seo\seo_runs\jeminise.com\20260906_234129\qa\20260907_181000\images\099_06.jpg; seo_runs\jeminise.com\20260906_234129\evidence\images\99_custom-purple-floral-christian-cross-blanket-machine-washable-d2\image_06_47830524985543.jpg; seo_runs\jeminise.com\20260906_234129\evidence\contact_sheets\99_custom-purple-floral-christian-cross-blanket-machine-washable-d2.jpg</t>
        </is>
      </c>
    </row>
    <row r="65" ht="66" customHeight="1">
      <c r="A65" s="3" t="inlineStr">
        <is>
          <t>jeminise.com+custom-purple-floral-christian-cross-blanket-machine-washable-d2</t>
        </is>
      </c>
      <c r="B65" s="3" t="inlineStr">
        <is>
          <t>img_c52647fdd52e04d2</t>
        </is>
      </c>
      <c r="C65" s="4" t="inlineStr">
        <is>
          <t>https://cdn.shopify.com/s/files/1/0792/5098/1063/files/4aa92077789873319d5517c427bfa50d8063a0acc92b217756a381f9fe296efa.jpg?v=1786596467</t>
        </is>
      </c>
      <c r="D65" s="4" t="inlineStr">
        <is>
          <t>https://cdn.shopify.com/s/files/1/0792/5098/1063/files/4aa92077789873319d5517c427bfa50d8063a0acc92b217756a381f9fe296efa.jpg?v=1786596467</t>
        </is>
      </c>
      <c r="E65" s="3" t="inlineStr">
        <is>
          <t>47830525018311</t>
        </is>
      </c>
      <c r="F65" s="3" t="inlineStr">
        <is>
          <t>47830525018311</t>
        </is>
      </c>
      <c r="G65" s="3" t="inlineStr"/>
      <c r="H65" s="3" t="inlineStr">
        <is>
          <t>GALLERY</t>
        </is>
      </c>
      <c r="I65" s="3" t="inlineStr">
        <is>
          <t>DIRECT_IMAGE_DOWNLOAD_AND_SOURCE_ROW_REVIEW</t>
        </is>
      </c>
      <c r="J65" s="3" t="inlineStr">
        <is>
          <t>2026-09-07T18:39:17+07:00</t>
        </is>
      </c>
      <c r="K65" s="3" t="inlineStr">
        <is>
          <t>Direct QA opened downloaded image 99_07; source SHA F92B071A274195156236948F9F0D70529FF3702F885D4BAD632C044F135627F0. Submitted observation reviewed against gallery position.</t>
        </is>
      </c>
      <c r="L65" s="3" t="inlineStr">
        <is>
          <t>Additional lifestyle, feature or product detail image showing personalized purple floral Christian cross blanket for Amabel.</t>
        </is>
      </c>
      <c r="M65" s="3" t="inlineStr">
        <is>
          <t>UNKNOWN</t>
        </is>
      </c>
      <c r="N65" s="3" t="inlineStr">
        <is>
          <t>SET</t>
        </is>
      </c>
      <c r="O65" s="3" t="inlineStr">
        <is>
          <t>Additional product mockup of Personalized Purple Floral Cross Blanket</t>
        </is>
      </c>
      <c r="P65" s="3" t="inlineStr">
        <is>
          <t>FULL</t>
        </is>
      </c>
      <c r="Q65" s="3" t="inlineStr">
        <is>
          <t>PARTIAL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ISSUE-0082</t>
        </is>
      </c>
      <c r="Z65" s="3" t="inlineStr">
        <is>
          <t>D:\Shopify_Workspace\jeminise_seo\seo_runs\jeminise.com\20260906_234129\qa\20260907_181000\images\099_07.jpg; seo_runs\jeminise.com\20260906_234129\evidence\images\99_custom-purple-floral-christian-cross-blanket-machine-washable-d2\image_07_47830525018311.jpg; seo_runs\jeminise.com\20260906_234129\evidence\contact_sheets\99_custom-purple-floral-christian-cross-blanket-machine-washable-d2.jpg</t>
        </is>
      </c>
    </row>
    <row r="66" ht="66" customHeight="1">
      <c r="A66" s="2" t="inlineStr">
        <is>
          <t>jeminise.com+custom-purple-floral-christian-cross-blanket-machine-washable-d2</t>
        </is>
      </c>
      <c r="B66" s="2" t="inlineStr">
        <is>
          <t>img_2f8f756765a45b33</t>
        </is>
      </c>
      <c r="C66" s="4" t="inlineStr">
        <is>
          <t>https://cdn.shopify.com/s/files/1/0792/5098/1063/files/4bf3e5ac8d2c496079286be34619f530e3a2ef3ee4eb27bf1ccc7beac7dfa930.jpg?v=1786596467</t>
        </is>
      </c>
      <c r="D66" s="4" t="inlineStr">
        <is>
          <t>https://cdn.shopify.com/s/files/1/0792/5098/1063/files/4bf3e5ac8d2c496079286be34619f530e3a2ef3ee4eb27bf1ccc7beac7dfa930.jpg?v=1786596467</t>
        </is>
      </c>
      <c r="E66" s="2" t="inlineStr">
        <is>
          <t>47830525051079</t>
        </is>
      </c>
      <c r="F66" s="2" t="inlineStr">
        <is>
          <t>47830525051079</t>
        </is>
      </c>
      <c r="G66" s="2" t="inlineStr"/>
      <c r="H66" s="2" t="inlineStr">
        <is>
          <t>GALLERY</t>
        </is>
      </c>
      <c r="I66" s="2" t="inlineStr">
        <is>
          <t>DIRECT_IMAGE_DOWNLOAD_AND_SOURCE_ROW_REVIEW</t>
        </is>
      </c>
      <c r="J66" s="2" t="inlineStr">
        <is>
          <t>2026-09-07T18:39:17+07:00</t>
        </is>
      </c>
      <c r="K66" s="2" t="inlineStr">
        <is>
          <t>Direct QA opened downloaded image 99_08; source SHA 7C86F5D37B396D7D9745D242E834D2C2B341C4045933770FA4CDA1CC353691C4. Submitted observation reviewed against gallery position.</t>
        </is>
      </c>
      <c r="L66" s="2" t="inlineStr">
        <is>
          <t>Additional lifestyle, feature or product detail image showing personalized purple floral Christian cross blanket for Amabel.</t>
        </is>
      </c>
      <c r="M66" s="2" t="inlineStr">
        <is>
          <t>UNKNOWN</t>
        </is>
      </c>
      <c r="N66" s="2" t="inlineStr">
        <is>
          <t>SET</t>
        </is>
      </c>
      <c r="O66" s="2" t="inlineStr">
        <is>
          <t>Lifestyle use image for Personalized Purple Floral Cross Blanket</t>
        </is>
      </c>
      <c r="P66" s="2" t="inlineStr">
        <is>
          <t>FULL</t>
        </is>
      </c>
      <c r="Q66" s="2" t="inlineStr">
        <is>
          <t>PARTIAL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ISSUE-0083</t>
        </is>
      </c>
      <c r="Z66" s="2" t="inlineStr">
        <is>
          <t>D:\Shopify_Workspace\jeminise_seo\seo_runs\jeminise.com\20260906_234129\qa\20260907_181000\images\099_08.jpg; seo_runs\jeminise.com\20260906_234129\evidence\images\99_custom-purple-floral-christian-cross-blanket-machine-washable-d2\image_08_47830525051079.jpg; seo_runs\jeminise.com\20260906_234129\evidence\contact_sheets\99_custom-purple-floral-christian-cross-blanket-machine-washable-d2.jpg</t>
        </is>
      </c>
    </row>
    <row r="67" ht="66" customHeight="1">
      <c r="A67" s="3" t="inlineStr">
        <is>
          <t>jeminise.com+custom-purple-floral-cross-with-butterflies-blanket-machi-design-14</t>
        </is>
      </c>
      <c r="B67" s="3" t="inlineStr">
        <is>
          <t>img_63b014a3bf3621e7</t>
        </is>
      </c>
      <c r="C67" s="4" t="inlineStr">
        <is>
          <t>https://cdn.shopify.com/s/files/1/0792/5098/1063/files/3d80b7de7d1f734e2ecfc7968366600fbdbd5ea5fa3c36401da4183fc73403f1.jpg?v=1786596780</t>
        </is>
      </c>
      <c r="D67" s="4" t="inlineStr">
        <is>
          <t>https://cdn.shopify.com/s/files/1/0792/5098/1063/files/3d80b7de7d1f734e2ecfc7968366600fbdbd5ea5fa3c36401da4183fc73403f1.jpg?v=1786596780</t>
        </is>
      </c>
      <c r="E67" s="3" t="inlineStr">
        <is>
          <t>47830590750919</t>
        </is>
      </c>
      <c r="F67" s="3" t="inlineStr">
        <is>
          <t>47830590750919</t>
        </is>
      </c>
      <c r="G67" s="3" t="inlineStr"/>
      <c r="H67" s="3" t="inlineStr">
        <is>
          <t>GALLERY</t>
        </is>
      </c>
      <c r="I67" s="3" t="inlineStr">
        <is>
          <t>DIRECT_IMAGE_DOWNLOAD_AND_SOURCE_ROW_REVIEW</t>
        </is>
      </c>
      <c r="J67" s="3" t="inlineStr">
        <is>
          <t>2026-09-07T18:39:17+07:00</t>
        </is>
      </c>
      <c r="K67" s="3" t="inlineStr">
        <is>
          <t>Direct QA opened downloaded image 100_01; source SHA 09EDDF3B529F4B378F946BDC62E6B0D979F93BB032045E1CA7EF624C05BE1901. Submitted observation reviewed against gallery position.</t>
        </is>
      </c>
      <c r="L67" s="3" t="inlineStr">
        <is>
          <t>Main product mockup showing personalized purple floral cross Bible verse blanket for Estella.</t>
        </is>
      </c>
      <c r="M67" s="3" t="inlineStr">
        <is>
          <t>UNKNOWN</t>
        </is>
      </c>
      <c r="N67" s="3" t="inlineStr">
        <is>
          <t>SET</t>
        </is>
      </c>
      <c r="O67" s="3" t="inlineStr">
        <is>
          <t>Personalized Purple Floral Cross Bible Verse Blanket displayed in a main product mockup</t>
        </is>
      </c>
      <c r="P67" s="3" t="inlineStr">
        <is>
          <t>FULL</t>
        </is>
      </c>
      <c r="Q67" s="3" t="inlineStr">
        <is>
          <t>FULL</t>
        </is>
      </c>
      <c r="R67" s="3" t="inlineStr">
        <is>
          <t>PARTIAL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ISSUE-0088</t>
        </is>
      </c>
      <c r="Z67" s="3" t="inlineStr">
        <is>
          <t>D:\Shopify_Workspace\jeminise_seo\seo_runs\jeminise.com\20260906_234129\qa\20260907_181000\images\100_01.jpg; seo_runs\jeminise.com\20260906_234129\evidence\images\100_custom-purple-floral-cross-with-butterflies-blanket-machi-design-14\image_01_47830590750919.jpg; seo_runs\jeminise.com\20260906_234129\evidence\contact_sheets\100_custom-purple-floral-cross-with-butterflies-blanket-machi-design-14.jpg</t>
        </is>
      </c>
    </row>
    <row r="68" ht="66" customHeight="1">
      <c r="A68" s="2" t="inlineStr">
        <is>
          <t>jeminise.com+custom-purple-floral-cross-with-butterflies-blanket-machi-design-14</t>
        </is>
      </c>
      <c r="B68" s="2" t="inlineStr">
        <is>
          <t>img_5745cba812c472d9</t>
        </is>
      </c>
      <c r="C68" s="4" t="inlineStr">
        <is>
          <t>https://cdn.shopify.com/s/files/1/0792/5098/1063/files/83e15a673d7d1da050a161634e22e9593dc2161ab2861c9d7a1565a35a0df5fd.jpg?v=1786596780</t>
        </is>
      </c>
      <c r="D68" s="4" t="inlineStr">
        <is>
          <t>https://cdn.shopify.com/s/files/1/0792/5098/1063/files/83e15a673d7d1da050a161634e22e9593dc2161ab2861c9d7a1565a35a0df5fd.jpg?v=1786596780</t>
        </is>
      </c>
      <c r="E68" s="2" t="inlineStr">
        <is>
          <t>47830590783687</t>
        </is>
      </c>
      <c r="F68" s="2" t="inlineStr">
        <is>
          <t>47830590783687</t>
        </is>
      </c>
      <c r="G68" s="2" t="inlineStr"/>
      <c r="H68" s="2" t="inlineStr">
        <is>
          <t>GALLERY</t>
        </is>
      </c>
      <c r="I68" s="2" t="inlineStr">
        <is>
          <t>DIRECT_IMAGE_DOWNLOAD_AND_SOURCE_ROW_REVIEW</t>
        </is>
      </c>
      <c r="J68" s="2" t="inlineStr">
        <is>
          <t>2026-09-07T18:39:17+07:00</t>
        </is>
      </c>
      <c r="K68" s="2" t="inlineStr">
        <is>
          <t>Direct QA opened downloaded image 100_02; source SHA 2B6E106B2EFEDBD444D5CCD52B88AAD2E61DE5E05B8B610F71BE03D4A576F29D. Submitted observation reviewed against gallery position.</t>
        </is>
      </c>
      <c r="L68" s="2" t="inlineStr">
        <is>
          <t>Secondary flat, close-up or bedroom mockup showing personalized purple floral cross Bible verse blanket for Estella.</t>
        </is>
      </c>
      <c r="M68" s="2" t="inlineStr">
        <is>
          <t>UNKNOWN</t>
        </is>
      </c>
      <c r="N68" s="2" t="inlineStr">
        <is>
          <t>SET</t>
        </is>
      </c>
      <c r="O68" s="2" t="inlineStr">
        <is>
          <t>Secondary mockup of Personalized Purple Floral Cross Bible Verse Blanket</t>
        </is>
      </c>
      <c r="P68" s="2" t="inlineStr">
        <is>
          <t>FULL</t>
        </is>
      </c>
      <c r="Q68" s="2" t="inlineStr">
        <is>
          <t>FULL</t>
        </is>
      </c>
      <c r="R68" s="2" t="inlineStr">
        <is>
          <t>FULL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c r="Z68" s="2" t="inlineStr">
        <is>
          <t>D:\Shopify_Workspace\jeminise_seo\seo_runs\jeminise.com\20260906_234129\qa\20260907_181000\images\100_02.jpg; seo_runs\jeminise.com\20260906_234129\evidence\images\100_custom-purple-floral-cross-with-butterflies-blanket-machi-design-14\image_02_47830590783687.jpg; seo_runs\jeminise.com\20260906_234129\evidence\contact_sheets\100_custom-purple-floral-cross-with-butterflies-blanket-machi-design-14.jpg</t>
        </is>
      </c>
    </row>
    <row r="69" ht="66" customHeight="1">
      <c r="A69" s="3" t="inlineStr">
        <is>
          <t>jeminise.com+custom-purple-floral-cross-with-butterflies-blanket-machi-design-14</t>
        </is>
      </c>
      <c r="B69" s="3" t="inlineStr">
        <is>
          <t>img_edcfdfd611169a64</t>
        </is>
      </c>
      <c r="C69" s="4" t="inlineStr">
        <is>
          <t>https://cdn.shopify.com/s/files/1/0792/5098/1063/files/b032afe25c0b31b61cc058ec5d2b0b263e0f2d006ceccecc1b1a7eb01a1809dc.jpg?v=1786596780</t>
        </is>
      </c>
      <c r="D69" s="4" t="inlineStr">
        <is>
          <t>https://cdn.shopify.com/s/files/1/0792/5098/1063/files/b032afe25c0b31b61cc058ec5d2b0b263e0f2d006ceccecc1b1a7eb01a1809dc.jpg?v=1786596780</t>
        </is>
      </c>
      <c r="E69" s="3" t="inlineStr">
        <is>
          <t>47830590816455</t>
        </is>
      </c>
      <c r="F69" s="3" t="inlineStr">
        <is>
          <t>47830590816455</t>
        </is>
      </c>
      <c r="G69" s="3" t="inlineStr"/>
      <c r="H69" s="3" t="inlineStr">
        <is>
          <t>GALLERY</t>
        </is>
      </c>
      <c r="I69" s="3" t="inlineStr">
        <is>
          <t>DIRECT_IMAGE_DOWNLOAD_AND_SOURCE_ROW_REVIEW</t>
        </is>
      </c>
      <c r="J69" s="3" t="inlineStr">
        <is>
          <t>2026-09-07T18:39:17+07:00</t>
        </is>
      </c>
      <c r="K69" s="3" t="inlineStr">
        <is>
          <t>Direct QA opened downloaded image 100_03; source SHA F83D0C649E293D5D62DC3809E23DD97254955C3730BA474A85924B770FFFDF85. Submitted observation reviewed against gallery position.</t>
        </is>
      </c>
      <c r="L69" s="3" t="inlineStr">
        <is>
          <t>Bedding type, feature, lifestyle or material image for personalized purple floral cross Bible verse blanket for Estella.</t>
        </is>
      </c>
      <c r="M69" s="3" t="inlineStr">
        <is>
          <t>UNKNOWN</t>
        </is>
      </c>
      <c r="N69" s="3" t="inlineStr">
        <is>
          <t>SET</t>
        </is>
      </c>
      <c r="O69" s="3" t="inlineStr">
        <is>
          <t>Product option, feature or lifestyle image for Personalized Purple Floral Cross Bible Verse Blanket</t>
        </is>
      </c>
      <c r="P69" s="3" t="inlineStr">
        <is>
          <t>FULL</t>
        </is>
      </c>
      <c r="Q69" s="3" t="inlineStr">
        <is>
          <t>PARTIAL</t>
        </is>
      </c>
      <c r="R69" s="3" t="inlineStr">
        <is>
          <t>FULL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ISSUE-0089</t>
        </is>
      </c>
      <c r="Z69" s="3" t="inlineStr">
        <is>
          <t>D:\Shopify_Workspace\jeminise_seo\seo_runs\jeminise.com\20260906_234129\qa\20260907_181000\images\100_03.jpg; seo_runs\jeminise.com\20260906_234129\evidence\images\100_custom-purple-floral-cross-with-butterflies-blanket-machi-design-14\image_03_47830590816455.jpg; seo_runs\jeminise.com\20260906_234129\evidence\contact_sheets\100_custom-purple-floral-cross-with-butterflies-blanket-machi-design-14.jpg</t>
        </is>
      </c>
    </row>
    <row r="70" ht="66" customHeight="1">
      <c r="A70" s="2" t="inlineStr">
        <is>
          <t>jeminise.com+custom-purple-floral-cross-with-butterflies-blanket-machi-design-14</t>
        </is>
      </c>
      <c r="B70" s="2" t="inlineStr">
        <is>
          <t>img_000874603b920ff1</t>
        </is>
      </c>
      <c r="C70" s="4" t="inlineStr">
        <is>
          <t>https://cdn.shopify.com/s/files/1/0792/5098/1063/files/ee31f565477c8d5e60e6e828da4896e0d9999f7ac852fafc866a10174eec8bfd.jpg?v=1786596780</t>
        </is>
      </c>
      <c r="D70" s="4" t="inlineStr">
        <is>
          <t>https://cdn.shopify.com/s/files/1/0792/5098/1063/files/ee31f565477c8d5e60e6e828da4896e0d9999f7ac852fafc866a10174eec8bfd.jpg?v=1786596780</t>
        </is>
      </c>
      <c r="E70" s="2" t="inlineStr">
        <is>
          <t>47830590849223</t>
        </is>
      </c>
      <c r="F70" s="2" t="inlineStr">
        <is>
          <t>47830590849223</t>
        </is>
      </c>
      <c r="G70" s="2" t="inlineStr"/>
      <c r="H70" s="2" t="inlineStr">
        <is>
          <t>GALLERY</t>
        </is>
      </c>
      <c r="I70" s="2" t="inlineStr">
        <is>
          <t>DIRECT_IMAGE_DOWNLOAD_AND_SOURCE_ROW_REVIEW</t>
        </is>
      </c>
      <c r="J70" s="2" t="inlineStr">
        <is>
          <t>2026-09-07T18:39:17+07:00</t>
        </is>
      </c>
      <c r="K70" s="2" t="inlineStr">
        <is>
          <t>Direct QA opened downloaded image 100_04; source SHA CBDCC4E00B39434D9A0A967EB20347E1F15A3F07F5A5976DD4CB442CAC35B889. Submitted observation reviewed against gallery position.</t>
        </is>
      </c>
      <c r="L70" s="2" t="inlineStr">
        <is>
          <t>Detail, feature panel or lifestyle image connected to personalized purple floral cross Bible verse blanket for Estella.</t>
        </is>
      </c>
      <c r="M70" s="2" t="inlineStr">
        <is>
          <t>UNKNOWN</t>
        </is>
      </c>
      <c r="N70" s="2" t="inlineStr">
        <is>
          <t>SET</t>
        </is>
      </c>
      <c r="O70" s="2" t="inlineStr">
        <is>
          <t>Detail or feature image for Personalized Purple Floral Cross Bible Verse Blanket</t>
        </is>
      </c>
      <c r="P70" s="2" t="inlineStr">
        <is>
          <t>FULL</t>
        </is>
      </c>
      <c r="Q70" s="2" t="inlineStr">
        <is>
          <t>PARTIAL</t>
        </is>
      </c>
      <c r="R70" s="2" t="inlineStr">
        <is>
          <t>FULL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ISSUE-0090</t>
        </is>
      </c>
      <c r="Z70" s="2" t="inlineStr">
        <is>
          <t>D:\Shopify_Workspace\jeminise_seo\seo_runs\jeminise.com\20260906_234129\qa\20260907_181000\images\100_04.jpg; seo_runs\jeminise.com\20260906_234129\evidence\images\100_custom-purple-floral-cross-with-butterflies-blanket-machi-design-14\image_04_47830590849223.jpg; seo_runs\jeminise.com\20260906_234129\evidence\contact_sheets\100_custom-purple-floral-cross-with-butterflies-blanket-machi-design-14.jpg</t>
        </is>
      </c>
    </row>
    <row r="71" ht="66" customHeight="1">
      <c r="A71" s="3" t="inlineStr">
        <is>
          <t>jeminise.com+custom-purple-floral-cross-with-butterflies-blanket-machi-design-14</t>
        </is>
      </c>
      <c r="B71" s="3" t="inlineStr">
        <is>
          <t>img_e26befe008962757</t>
        </is>
      </c>
      <c r="C71" s="4" t="inlineStr">
        <is>
          <t>https://cdn.shopify.com/s/files/1/0792/5098/1063/files/57b0bb2bb4ea8e6a43e9de940df134059dc576db7cbabe4b7496475a71f27764.jpg?v=1786596780</t>
        </is>
      </c>
      <c r="D71" s="4" t="inlineStr">
        <is>
          <t>https://cdn.shopify.com/s/files/1/0792/5098/1063/files/57b0bb2bb4ea8e6a43e9de940df134059dc576db7cbabe4b7496475a71f27764.jpg?v=1786596780</t>
        </is>
      </c>
      <c r="E71" s="3" t="inlineStr">
        <is>
          <t>47830590881991</t>
        </is>
      </c>
      <c r="F71" s="3" t="inlineStr">
        <is>
          <t>47830590881991</t>
        </is>
      </c>
      <c r="G71" s="3" t="inlineStr"/>
      <c r="H71" s="3" t="inlineStr">
        <is>
          <t>GALLERY</t>
        </is>
      </c>
      <c r="I71" s="3" t="inlineStr">
        <is>
          <t>DIRECT_IMAGE_DOWNLOAD_AND_SOURCE_ROW_REVIEW</t>
        </is>
      </c>
      <c r="J71" s="3" t="inlineStr">
        <is>
          <t>2026-09-07T18:39:17+07:00</t>
        </is>
      </c>
      <c r="K71" s="3" t="inlineStr">
        <is>
          <t>Direct QA opened downloaded image 100_05; source SHA 6353AEBA46A5043210DF51543C4889C3A55A14798475CC43866989D7C7D414D1. Submitted observation reviewed against gallery position.</t>
        </is>
      </c>
      <c r="L71" s="3" t="inlineStr">
        <is>
          <t>Additional mockup, care or size information for personalized purple floral cross Bible verse blanket for Estella.</t>
        </is>
      </c>
      <c r="M71" s="3" t="inlineStr">
        <is>
          <t>UNKNOWN</t>
        </is>
      </c>
      <c r="N71" s="3" t="inlineStr">
        <is>
          <t>SET</t>
        </is>
      </c>
      <c r="O71" s="3" t="inlineStr">
        <is>
          <t>Additional product mockup or care information for Personalized Purple Floral Cross Bible Verse Blanket</t>
        </is>
      </c>
      <c r="P71" s="3" t="inlineStr">
        <is>
          <t>FULL</t>
        </is>
      </c>
      <c r="Q71" s="3" t="inlineStr">
        <is>
          <t>FULL</t>
        </is>
      </c>
      <c r="R71" s="3" t="inlineStr">
        <is>
          <t>FULL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c r="Z71" s="3" t="inlineStr">
        <is>
          <t>D:\Shopify_Workspace\jeminise_seo\seo_runs\jeminise.com\20260906_234129\qa\20260907_181000\images\100_05.jpg; seo_runs\jeminise.com\20260906_234129\evidence\images\100_custom-purple-floral-cross-with-butterflies-blanket-machi-design-14\image_05_47830590881991.jpg; seo_runs\jeminise.com\20260906_234129\evidence\contact_sheets\100_custom-purple-floral-cross-with-butterflies-blanket-machi-design-14.jpg</t>
        </is>
      </c>
    </row>
    <row r="72" ht="66" customHeight="1">
      <c r="A72" s="2" t="inlineStr">
        <is>
          <t>jeminise.com+custom-purple-floral-cross-with-butterflies-blanket-machi-design-14</t>
        </is>
      </c>
      <c r="B72" s="2" t="inlineStr">
        <is>
          <t>img_81a4e44364c5951e</t>
        </is>
      </c>
      <c r="C72" s="4" t="inlineStr">
        <is>
          <t>https://cdn.shopify.com/s/files/1/0792/5098/1063/files/229be66a9e9e5e22fdec36da8f53aaea958d634b94b90fbb3c8082284ba3eaf4.jpg?v=1786596780</t>
        </is>
      </c>
      <c r="D72" s="4" t="inlineStr">
        <is>
          <t>https://cdn.shopify.com/s/files/1/0792/5098/1063/files/229be66a9e9e5e22fdec36da8f53aaea958d634b94b90fbb3c8082284ba3eaf4.jpg?v=1786596780</t>
        </is>
      </c>
      <c r="E72" s="2" t="inlineStr">
        <is>
          <t>47830590914759</t>
        </is>
      </c>
      <c r="F72" s="2" t="inlineStr">
        <is>
          <t>47830590914759</t>
        </is>
      </c>
      <c r="G72" s="2" t="inlineStr"/>
      <c r="H72" s="2" t="inlineStr">
        <is>
          <t>GALLERY</t>
        </is>
      </c>
      <c r="I72" s="2" t="inlineStr">
        <is>
          <t>DIRECT_IMAGE_DOWNLOAD_AND_SOURCE_ROW_REVIEW</t>
        </is>
      </c>
      <c r="J72" s="2" t="inlineStr">
        <is>
          <t>2026-09-07T18:39:17+07:00</t>
        </is>
      </c>
      <c r="K72" s="2" t="inlineStr">
        <is>
          <t>Direct QA opened downloaded image 100_06; source SHA B7DDFF52741A4F558BB53749BFD9C3E0AD779F9001B783467B625E7C74818B85. Submitted observation reviewed against gallery position.</t>
        </is>
      </c>
      <c r="L72" s="2" t="inlineStr">
        <is>
          <t>Easy-care, size guide or product feature image for personalized purple floral cross Bible verse blanket for Estella.</t>
        </is>
      </c>
      <c r="M72" s="2" t="inlineStr">
        <is>
          <t>UNKNOWN</t>
        </is>
      </c>
      <c r="N72" s="2" t="inlineStr">
        <is>
          <t>SET</t>
        </is>
      </c>
      <c r="O72" s="2" t="inlineStr">
        <is>
          <t>Care, size or product feature image for Personalized Purple Floral Cross Bible Verse Blanket</t>
        </is>
      </c>
      <c r="P72" s="2" t="inlineStr">
        <is>
          <t>FULL</t>
        </is>
      </c>
      <c r="Q72" s="2" t="inlineStr">
        <is>
          <t>PARTIAL</t>
        </is>
      </c>
      <c r="R72" s="2" t="inlineStr">
        <is>
          <t>FULL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ISSUE-0091</t>
        </is>
      </c>
      <c r="Z72" s="2" t="inlineStr">
        <is>
          <t>D:\Shopify_Workspace\jeminise_seo\seo_runs\jeminise.com\20260906_234129\qa\20260907_181000\images\100_06.jpg; seo_runs\jeminise.com\20260906_234129\evidence\images\100_custom-purple-floral-cross-with-butterflies-blanket-machi-design-14\image_06_47830590914759.jpg; seo_runs\jeminise.com\20260906_234129\evidence\contact_sheets\100_custom-purple-floral-cross-with-butterflies-blanket-machi-design-14.jpg</t>
        </is>
      </c>
    </row>
    <row r="73" ht="66" customHeight="1">
      <c r="A73" s="3" t="inlineStr">
        <is>
          <t>jeminise.com+custom-purple-floral-cross-with-butterflies-blanket-machi-design-14</t>
        </is>
      </c>
      <c r="B73" s="3" t="inlineStr">
        <is>
          <t>img_8346abae12f25e37</t>
        </is>
      </c>
      <c r="C73" s="4" t="inlineStr">
        <is>
          <t>https://cdn.shopify.com/s/files/1/0792/5098/1063/files/c3a47e8ec44fb577496c4a89f94c907d6704a91509dd99a418f3dc0e038a4f3e.jpg?v=1786596780</t>
        </is>
      </c>
      <c r="D73" s="4" t="inlineStr">
        <is>
          <t>https://cdn.shopify.com/s/files/1/0792/5098/1063/files/c3a47e8ec44fb577496c4a89f94c907d6704a91509dd99a418f3dc0e038a4f3e.jpg?v=1786596780</t>
        </is>
      </c>
      <c r="E73" s="3" t="inlineStr">
        <is>
          <t>47830590947527</t>
        </is>
      </c>
      <c r="F73" s="3" t="inlineStr">
        <is>
          <t>47830590947527</t>
        </is>
      </c>
      <c r="G73" s="3" t="inlineStr"/>
      <c r="H73" s="3" t="inlineStr">
        <is>
          <t>GALLERY</t>
        </is>
      </c>
      <c r="I73" s="3" t="inlineStr">
        <is>
          <t>DIRECT_IMAGE_DOWNLOAD_AND_SOURCE_ROW_REVIEW</t>
        </is>
      </c>
      <c r="J73" s="3" t="inlineStr">
        <is>
          <t>2026-09-07T18:39:17+07:00</t>
        </is>
      </c>
      <c r="K73" s="3" t="inlineStr">
        <is>
          <t>Direct QA opened downloaded image 100_07; source SHA B083D54CE7A0D609E5D5CC9C4FF66BD452F3C696A2597105D22DC379192076E6. Submitted observation reviewed against gallery position.</t>
        </is>
      </c>
      <c r="L73" s="3" t="inlineStr">
        <is>
          <t>Additional lifestyle, feature or product detail image showing personalized purple floral cross Bible verse blanket for Estella.</t>
        </is>
      </c>
      <c r="M73" s="3" t="inlineStr">
        <is>
          <t>UNKNOWN</t>
        </is>
      </c>
      <c r="N73" s="3" t="inlineStr">
        <is>
          <t>SET</t>
        </is>
      </c>
      <c r="O73" s="3" t="inlineStr">
        <is>
          <t>Additional product mockup of Personalized Purple Floral Cross Bible Verse Blanket</t>
        </is>
      </c>
      <c r="P73" s="3" t="inlineStr">
        <is>
          <t>FULL</t>
        </is>
      </c>
      <c r="Q73" s="3" t="inlineStr">
        <is>
          <t>PARTIAL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ISSUE-0092</t>
        </is>
      </c>
      <c r="Z73" s="3" t="inlineStr">
        <is>
          <t>D:\Shopify_Workspace\jeminise_seo\seo_runs\jeminise.com\20260906_234129\qa\20260907_181000\images\100_07.jpg; seo_runs\jeminise.com\20260906_234129\evidence\images\100_custom-purple-floral-cross-with-butterflies-blanket-machi-design-14\image_07_47830590947527.jpg; seo_runs\jeminise.com\20260906_234129\evidence\contact_sheets\100_custom-purple-floral-cross-with-butterflies-blanket-machi-design-14.jpg</t>
        </is>
      </c>
    </row>
    <row r="74" ht="66" customHeight="1">
      <c r="A74" s="2" t="inlineStr">
        <is>
          <t>jeminise.com+custom-purple-floral-cross-with-butterflies-blanket-machi-design-14</t>
        </is>
      </c>
      <c r="B74" s="2" t="inlineStr">
        <is>
          <t>img_8feb7dba37272bd7</t>
        </is>
      </c>
      <c r="C74" s="4" t="inlineStr">
        <is>
          <t>https://cdn.shopify.com/s/files/1/0792/5098/1063/files/fae8e2040b0e02cb6244f200a057209b7427bd45ced7b542a3836dde42c2e396.jpg?v=1786596780</t>
        </is>
      </c>
      <c r="D74" s="4" t="inlineStr">
        <is>
          <t>https://cdn.shopify.com/s/files/1/0792/5098/1063/files/fae8e2040b0e02cb6244f200a057209b7427bd45ced7b542a3836dde42c2e396.jpg?v=1786596780</t>
        </is>
      </c>
      <c r="E74" s="2" t="inlineStr">
        <is>
          <t>47830590980295</t>
        </is>
      </c>
      <c r="F74" s="2" t="inlineStr">
        <is>
          <t>47830590980295</t>
        </is>
      </c>
      <c r="G74" s="2" t="inlineStr"/>
      <c r="H74" s="2" t="inlineStr">
        <is>
          <t>GALLERY</t>
        </is>
      </c>
      <c r="I74" s="2" t="inlineStr">
        <is>
          <t>DIRECT_IMAGE_DOWNLOAD_AND_SOURCE_ROW_REVIEW</t>
        </is>
      </c>
      <c r="J74" s="2" t="inlineStr">
        <is>
          <t>2026-09-07T18:39:17+07:00</t>
        </is>
      </c>
      <c r="K74" s="2" t="inlineStr">
        <is>
          <t>Direct QA opened downloaded image 100_08; source SHA 19273634C35784580862701E19654255A3E5D00D7D641BB5176DF0424B8F0859. Submitted observation reviewed against gallery position.</t>
        </is>
      </c>
      <c r="L74" s="2" t="inlineStr">
        <is>
          <t>Additional lifestyle, feature or product detail image showing personalized purple floral cross Bible verse blanket for Estella.</t>
        </is>
      </c>
      <c r="M74" s="2" t="inlineStr">
        <is>
          <t>UNKNOWN</t>
        </is>
      </c>
      <c r="N74" s="2" t="inlineStr">
        <is>
          <t>SET</t>
        </is>
      </c>
      <c r="O74" s="2" t="inlineStr">
        <is>
          <t>Lifestyle use image for Personalized Purple Floral Cross Bible Verse Blanket</t>
        </is>
      </c>
      <c r="P74" s="2" t="inlineStr">
        <is>
          <t>FULL</t>
        </is>
      </c>
      <c r="Q74" s="2" t="inlineStr">
        <is>
          <t>PARTIAL</t>
        </is>
      </c>
      <c r="R74" s="2" t="inlineStr">
        <is>
          <t>FULL</t>
        </is>
      </c>
      <c r="S74" s="2" t="inlineStr">
        <is>
          <t>FULL</t>
        </is>
      </c>
      <c r="T74" s="5">
        <f>IF(P74="FULL",40,IF(P74="PARTIAL",40/2,0))+IF(Q74="FULL",30,IF(Q74="PARTIAL",30/2,0))+IF(R74="FULL",20,IF(R74="PARTIAL",20/2,0))+IF(S74="FULL",10,IF(S74="PARTIAL",10/2,0))</f>
        <v/>
      </c>
      <c r="U74" s="5">
        <f>IF(P74="NOT_CHECKED",0,40)+IF(Q74="NOT_CHECKED",0,30)+IF(R74="NOT_CHECKED",0,20)+IF(S74="NOT_CHECKED",0,10)</f>
        <v/>
      </c>
      <c r="V74" s="5">
        <f>IF(U74=100,T74,"")</f>
        <v/>
      </c>
      <c r="W74" s="5">
        <f>T74</f>
        <v/>
      </c>
      <c r="X74" s="5">
        <f>T74+(100-U74)</f>
        <v/>
      </c>
      <c r="Y74" s="2" t="inlineStr">
        <is>
          <t>ISSUE-0093</t>
        </is>
      </c>
      <c r="Z74" s="2" t="inlineStr">
        <is>
          <t>D:\Shopify_Workspace\jeminise_seo\seo_runs\jeminise.com\20260906_234129\qa\20260907_181000\images\100_08.jpg; seo_runs\jeminise.com\20260906_234129\evidence\images\100_custom-purple-floral-cross-with-butterflies-blanket-machi-design-14\image_08_47830590980295.jpg; seo_runs\jeminise.com\20260906_234129\evidence\contact_sheets\100_custom-purple-floral-cross-with-butterflies-blanket-machi-design-14.jpg</t>
        </is>
      </c>
    </row>
  </sheetData>
  <autoFilter ref="A1:Z74"/>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 xmlns:r="http://schemas.openxmlformats.org/officeDocument/2006/relationships" ref="C74" r:id="rId145"/>
    <hyperlink xmlns:r="http://schemas.openxmlformats.org/officeDocument/2006/relationships" ref="D74" r:id="rId146"/>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94"/>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jeminise.com+custom-native-american-inspired-wolf-head-inside-circular-frame-comforter-d351b4bfe1-d351b4bfe1</t>
        </is>
      </c>
      <c r="C2" s="2" t="inlineStr"/>
      <c r="D2" s="2" t="inlineStr">
        <is>
          <t>MAJOR</t>
        </is>
      </c>
      <c r="E2" s="2" t="inlineStr">
        <is>
          <t>description_proposed_html</t>
        </is>
      </c>
      <c r="F2" s="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jeminise.com+custom-native-american-inspired-wolf-head-inside-circular-frame-comforter-d351b4bfe1-d351b4bfe1</t>
        </is>
      </c>
      <c r="C3" s="3" t="inlineStr"/>
      <c r="D3" s="3" t="inlineStr">
        <is>
          <t>MINOR</t>
        </is>
      </c>
      <c r="E3" s="3" t="inlineStr">
        <is>
          <t>meta_description_seo</t>
        </is>
      </c>
      <c r="F3" s="3" t="inlineStr">
        <is>
          <t>Shop a quilt set featuring wolf head inside a turquoise circular boho frame with matching shams and tribal-style ornamental accents. Review size and personalization options before checkout.</t>
        </is>
      </c>
      <c r="G3" s="3" t="inlineStr">
        <is>
          <t>Meta description length is 189 characters.</t>
        </is>
      </c>
      <c r="H3" s="3" t="inlineStr">
        <is>
          <t>Likely to truncate in search results and repeats review/personality wording in several rows.</t>
        </is>
      </c>
      <c r="I3" s="3" t="inlineStr">
        <is>
          <t>Rewrite to roughly 145-155 characters while preserving verified design and product type.</t>
        </is>
      </c>
      <c r="J3" s="3" t="inlineStr">
        <is>
          <t>Meta description length is 189 characters.</t>
        </is>
      </c>
      <c r="K3" s="3" t="inlineStr">
        <is>
          <t>Length check &lt;=160 characters and no unsupported claim remains.</t>
        </is>
      </c>
    </row>
    <row r="4" ht="84" customHeight="1">
      <c r="A4" s="2" t="inlineStr">
        <is>
          <t>ISSUE-0003</t>
        </is>
      </c>
      <c r="B4" s="2" t="inlineStr">
        <is>
          <t>jeminise.com+custom-native-american-inspired-wolf-head-inside-circular-frame-comforter-d351b4bfe1-d351b4bfe1</t>
        </is>
      </c>
      <c r="C4" s="2" t="inlineStr"/>
      <c r="D4" s="2" t="inlineStr">
        <is>
          <t>MAJOR</t>
        </is>
      </c>
      <c r="E4" s="2" t="inlineStr">
        <is>
          <t>keyword_map</t>
        </is>
      </c>
      <c r="F4" s="2" t="inlineStr">
        <is>
          <t>wolf quilt set</t>
        </is>
      </c>
      <c r="G4" s="2" t="inlineStr">
        <is>
          <t>https://www.amazon.com/wolf-quilt/s?k=wolf+quilt; https://www.walmart.com/c/kp/wolf-quilts; https://www.ebay.com/b/Wolf-Quilt-In-Duvet-Covers-Bedding-Sets/37644/bn_7022238087; https://www.amazon.com/wolf-quilt/s?k=wolf+quilt; https://www.walmart.com/c/kp/wolf-quilts; https://www.ebay.com/b/Wolf-Quilt-In-Duvet-Covers-Bedding-Sets/37644/bn_7022238087</t>
        </is>
      </c>
      <c r="H4" s="2" t="inlineStr">
        <is>
          <t>Batch cluster contains several very similar products, so keyword/intent differentiation must be sharper.</t>
        </is>
      </c>
      <c r="I4" s="2" t="inlineStr">
        <is>
          <t>Add unique visible motif modifiers and avoid assigning the same generic product keyword to multiple URLs.</t>
        </is>
      </c>
      <c r="J4" s="2" t="inlineStr">
        <is>
          <t>https://www.amazon.com/wolf-quilt/s?k=wolf+quilt; https://www.walmart.com/c/kp/wolf-quilts; https://www.ebay.com/b/Wolf-Quilt-In-Duvet-Covers-Bedding-Sets/37644/bn_7022238087; https://www.amazon.com/wolf-quilt/s?k=wolf+quilt; https://www.walmart.com/c/kp/wolf-quilts; https://www.ebay.com/b/Wolf-Quilt-In-Duvet-Covers-Bedding-Sets/37644/bn_7022238087</t>
        </is>
      </c>
      <c r="K4" s="2" t="inlineStr">
        <is>
          <t>SERP notes and title/meta show a distinct product-level query for this exact design.</t>
        </is>
      </c>
    </row>
    <row r="5" ht="84" customHeight="1">
      <c r="A5" s="3" t="inlineStr">
        <is>
          <t>ISSUE-0004</t>
        </is>
      </c>
      <c r="B5" s="3" t="inlineStr">
        <is>
          <t>jeminise.com+custom-native-american-inspired-wolf-head-inside-circular-frame-comforter-d351b4bfe1-d351b4bfe1</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jeminise.com+custom-native-american-inspired-wolf-head-inside-circular-frame-comforter-d351b4bfe1-d351b4bfe1</t>
        </is>
      </c>
      <c r="C6" s="2" t="inlineStr">
        <is>
          <t>img_e03f5ff1c24f670d</t>
        </is>
      </c>
      <c r="D6" s="2" t="inlineStr">
        <is>
          <t>MINOR</t>
        </is>
      </c>
      <c r="E6" s="2" t="inlineStr">
        <is>
          <t>alt text</t>
        </is>
      </c>
      <c r="F6" s="2" t="inlineStr">
        <is>
          <t>Turquoise Boho Wolf Quilt Set displayed in a main product mockup</t>
        </is>
      </c>
      <c r="G6" s="2" t="inlineStr">
        <is>
          <t>Fresh image file: D:\Shopify_Workspace\jeminise_seo\seo_runs\jeminise.com\20260906_234129\qa\20260907_181000\images\091_01.jpg; source URL: https://cdn.shopify.com/s/files/1/0792/5098/1063/files/8db123d2a281d8d7b1e7601cf1c6b3ae13e69bdec5076345ef0a6c9cf3ffbbf8.jpg?v=1785181534</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D:\Shopify_Workspace\jeminise_seo\seo_runs\jeminise.com\20260906_234129\qa\20260907_181000\images\091_01.jpg; source URL: https://cdn.shopify.com/s/files/1/0792/5098/1063/files/8db123d2a281d8d7b1e7601cf1c6b3ae13e69bdec5076345ef0a6c9cf3ffbbf8.jpg?v=1785181534</t>
        </is>
      </c>
      <c r="K6" s="2" t="inlineStr">
        <is>
          <t>The image row accurately describes the actual media at this gallery position.</t>
        </is>
      </c>
    </row>
    <row r="7" ht="84" customHeight="1">
      <c r="A7" s="3" t="inlineStr">
        <is>
          <t>ISSUE-0006</t>
        </is>
      </c>
      <c r="B7" s="3" t="inlineStr">
        <is>
          <t>jeminise.com+custom-native-american-inspired-wolf-head-inside-circular-frame-comforter-d351b4bfe1-d351b4bfe1</t>
        </is>
      </c>
      <c r="C7" s="3" t="inlineStr">
        <is>
          <t>img_906dc6ce03099cc6</t>
        </is>
      </c>
      <c r="D7" s="3" t="inlineStr">
        <is>
          <t>MINOR</t>
        </is>
      </c>
      <c r="E7" s="3" t="inlineStr">
        <is>
          <t>image observation</t>
        </is>
      </c>
      <c r="F7" s="3" t="inlineStr">
        <is>
          <t>Bedding type, feature, lifestyle or material image for turquoise boho wolf quilt set.</t>
        </is>
      </c>
      <c r="G7" s="3" t="inlineStr">
        <is>
          <t>Fresh image file: D:\Shopify_Workspace\jeminise_seo\seo_runs\jeminise.com\20260906_234129\qa\20260907_181000\images\091_03.jpg; source URL: https://cdn.shopify.com/s/files/1/0792/5098/1063/files/69ad70a2dec3bc59d662ae6c1817f1a32b7fe5bc4c0456d3a1419927bbd23e1b.jpg?v=1785181533</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D:\Shopify_Workspace\jeminise_seo\seo_runs\jeminise.com\20260906_234129\qa\20260907_181000\images\091_03.jpg; source URL: https://cdn.shopify.com/s/files/1/0792/5098/1063/files/69ad70a2dec3bc59d662ae6c1817f1a32b7fe5bc4c0456d3a1419927bbd23e1b.jpg?v=1785181533</t>
        </is>
      </c>
      <c r="K7" s="3" t="inlineStr">
        <is>
          <t>The image row accurately describes the actual media at this gallery position.</t>
        </is>
      </c>
    </row>
    <row r="8" ht="84" customHeight="1">
      <c r="A8" s="2" t="inlineStr">
        <is>
          <t>ISSUE-0007</t>
        </is>
      </c>
      <c r="B8" s="2" t="inlineStr">
        <is>
          <t>jeminise.com+custom-native-american-inspired-wolf-head-inside-circular-frame-comforter-d351b4bfe1-d351b4bfe1</t>
        </is>
      </c>
      <c r="C8" s="2" t="inlineStr">
        <is>
          <t>img_198c5ed1c2a8fee6</t>
        </is>
      </c>
      <c r="D8" s="2" t="inlineStr">
        <is>
          <t>MINOR</t>
        </is>
      </c>
      <c r="E8" s="2" t="inlineStr">
        <is>
          <t>image observation</t>
        </is>
      </c>
      <c r="F8" s="2" t="inlineStr">
        <is>
          <t>Detail, feature panel or lifestyle image connected to turquoise boho wolf quilt set.</t>
        </is>
      </c>
      <c r="G8" s="2" t="inlineStr">
        <is>
          <t>Fresh image file: D:\Shopify_Workspace\jeminise_seo\seo_runs\jeminise.com\20260906_234129\qa\20260907_181000\images\091_04.jpg; source URL: https://cdn.shopify.com/s/files/1/0792/5098/1063/files/0eb64820a0ab1dec4b852407512deca48c67bd46d1cbea26ed900d59cf9c44f6.jpg?v=1785181533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D:\Shopify_Workspace\jeminise_seo\seo_runs\jeminise.com\20260906_234129\qa\20260907_181000\images\091_04.jpg; source URL: https://cdn.shopify.com/s/files/1/0792/5098/1063/files/0eb64820a0ab1dec4b852407512deca48c67bd46d1cbea26ed900d59cf9c44f6.jpg?v=1785181533</t>
        </is>
      </c>
      <c r="K8" s="2" t="inlineStr">
        <is>
          <t>The image row accurately describes the actual media at this gallery position.</t>
        </is>
      </c>
    </row>
    <row r="9" ht="84" customHeight="1">
      <c r="A9" s="3" t="inlineStr">
        <is>
          <t>ISSUE-0008</t>
        </is>
      </c>
      <c r="B9" s="3" t="inlineStr">
        <is>
          <t>jeminise.com+custom-neon-green-soccer-player-artwork-comforter-set-boys-room-decor</t>
        </is>
      </c>
      <c r="C9" s="3" t="inlineStr"/>
      <c r="D9" s="3" t="inlineStr">
        <is>
          <t>CRITICAL</t>
        </is>
      </c>
      <c r="E9" s="3" t="inlineStr">
        <is>
          <t>personalization/customizer</t>
        </is>
      </c>
      <c r="F9" s="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t>
        </is>
      </c>
      <c r="G9" s="3" t="inlineStr">
        <is>
          <t>Draft claims name, number personalization but static customizer config does not expose matching input(s).</t>
        </is>
      </c>
      <c r="H9" s="3" t="inlineStr">
        <is>
          <t>Claim is materially unsafe until the live purchase flow exposes matching input controls.</t>
        </is>
      </c>
      <c r="I9" s="3" t="inlineStr">
        <is>
          <t>Remove/soften unsupported personalization claim, or provide admin/live proof that matching controls work.</t>
        </is>
      </c>
      <c r="J9" s="3" t="inlineStr">
        <is>
          <t>Draft claims name, number personalization but static customizer config does not expose matching input(s).</t>
        </is>
      </c>
      <c r="K9" s="3" t="inlineStr">
        <is>
          <t>Re-open live product and verify the exact name/number/photo input is present and mapped to fulfillment.</t>
        </is>
      </c>
    </row>
    <row r="10" ht="84" customHeight="1">
      <c r="A10" s="2" t="inlineStr">
        <is>
          <t>ISSUE-0009</t>
        </is>
      </c>
      <c r="B10" s="2" t="inlineStr">
        <is>
          <t>jeminise.com+custom-neon-green-soccer-player-artwork-comforter-set-boys-room-decor</t>
        </is>
      </c>
      <c r="C10" s="2" t="inlineStr"/>
      <c r="D10" s="2" t="inlineStr">
        <is>
          <t>MAJOR</t>
        </is>
      </c>
      <c r="E10" s="2" t="inlineStr">
        <is>
          <t>description_proposed_html</t>
        </is>
      </c>
      <c r="F10" s="2"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t>
        </is>
      </c>
      <c r="G10" s="2" t="inlineStr">
        <is>
          <t>Draft contains SEO Use / QA approval wording.</t>
        </is>
      </c>
      <c r="H10" s="2" t="inlineStr">
        <is>
          <t>Internal workflow language is not publish-ready storefront copy.</t>
        </is>
      </c>
      <c r="I10" s="2" t="inlineStr">
        <is>
          <t>Remove internal QA/import block and replace with customer-facing verified copy.</t>
        </is>
      </c>
      <c r="J10" s="2" t="inlineStr">
        <is>
          <t>Draft contains SEO Use / QA approval wording.</t>
        </is>
      </c>
      <c r="K10" s="2" t="inlineStr">
        <is>
          <t>Description HTML no longer contains SEO Use, QA, approval, import or draft language.</t>
        </is>
      </c>
    </row>
    <row r="11" ht="84" customHeight="1">
      <c r="A11" s="3" t="inlineStr">
        <is>
          <t>ISSUE-0010</t>
        </is>
      </c>
      <c r="B11" s="3" t="inlineStr">
        <is>
          <t>jeminise.com+custom-neon-green-soccer-player-artwork-comforter-set-boys-room-decor</t>
        </is>
      </c>
      <c r="C11" s="3" t="inlineStr"/>
      <c r="D11" s="3" t="inlineStr">
        <is>
          <t>MINOR</t>
        </is>
      </c>
      <c r="E11" s="3" t="inlineStr">
        <is>
          <t>meta_description_seo</t>
        </is>
      </c>
      <c r="F11" s="3" t="inlineStr">
        <is>
          <t>Shop a comforter set featuring black comforter with neon green soccer player artwork, Jackson name, number 07 and glowing ball details. Review size and personalization options before checkout.</t>
        </is>
      </c>
      <c r="G11" s="3" t="inlineStr">
        <is>
          <t>Meta description length is 192 characters.</t>
        </is>
      </c>
      <c r="H11" s="3" t="inlineStr">
        <is>
          <t>Likely to truncate in search results and repeats review/personality wording in several rows.</t>
        </is>
      </c>
      <c r="I11" s="3" t="inlineStr">
        <is>
          <t>Rewrite to roughly 145-155 characters while preserving verified design and product type.</t>
        </is>
      </c>
      <c r="J11" s="3" t="inlineStr">
        <is>
          <t>Meta description length is 192 characters.</t>
        </is>
      </c>
      <c r="K11" s="3" t="inlineStr">
        <is>
          <t>Length check &lt;=160 characters and no unsupported claim remains.</t>
        </is>
      </c>
    </row>
    <row r="12" ht="84" customHeight="1">
      <c r="A12" s="2" t="inlineStr">
        <is>
          <t>ISSUE-0011</t>
        </is>
      </c>
      <c r="B12" s="2" t="inlineStr">
        <is>
          <t>jeminise.com+custom-neon-green-soccer-player-artwork-comforter-set-boys-room-decor</t>
        </is>
      </c>
      <c r="C12" s="2" t="inlineStr"/>
      <c r="D12" s="2" t="inlineStr">
        <is>
          <t>MAJOR</t>
        </is>
      </c>
      <c r="E12" s="2" t="inlineStr">
        <is>
          <t>keyword_map</t>
        </is>
      </c>
      <c r="F12" s="2" t="inlineStr">
        <is>
          <t>neon soccer comforter</t>
        </is>
      </c>
      <c r="G12"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 https://www.amazon.com/Personalized-Bedding-Daughter-Friends-Birthday/dp/B0C3VYL11C; https://www.etsy.com/listing/956705304/…</t>
        </is>
      </c>
      <c r="H12" s="2" t="inlineStr">
        <is>
          <t>Batch cluster contains several very similar products, so keyword/intent differentiation must be sharper.</t>
        </is>
      </c>
      <c r="I12" s="2" t="inlineStr">
        <is>
          <t>Add unique visible motif modifiers and avoid assigning the same generic product keyword to multiple URLs.</t>
        </is>
      </c>
      <c r="J12"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 https://www.amazon.com/Personalized-Bedding-Daughter-Friends-Birthday/dp/B0C3VYL11C; https://www.etsy.com/listing/956705304/…</t>
        </is>
      </c>
      <c r="K12" s="2" t="inlineStr">
        <is>
          <t>SERP notes and title/meta show a distinct product-level query for this exact design.</t>
        </is>
      </c>
    </row>
    <row r="13" ht="84" customHeight="1">
      <c r="A13" s="3" t="inlineStr">
        <is>
          <t>ISSUE-0012</t>
        </is>
      </c>
      <c r="B13" s="3" t="inlineStr">
        <is>
          <t>jeminise.com+custom-neon-green-soccer-player-artwork-comforter-set-boys-room-decor</t>
        </is>
      </c>
      <c r="C13" s="3" t="inlineStr"/>
      <c r="D13" s="3" t="inlineStr">
        <is>
          <t>LIMITATION</t>
        </is>
      </c>
      <c r="E13" s="3" t="inlineStr">
        <is>
          <t>keyword_evidence_level</t>
        </is>
      </c>
      <c r="F13" s="3" t="inlineStr">
        <is>
          <t>SERP_ONLY</t>
        </is>
      </c>
      <c r="G13" s="3" t="inlineStr">
        <is>
          <t>Only public SERP comparables are available.</t>
        </is>
      </c>
      <c r="H13" s="3" t="inlineStr">
        <is>
          <t>No Search Console, paid keyword volume or internal site search export was supplied.</t>
        </is>
      </c>
      <c r="I13" s="3" t="inlineStr">
        <is>
          <t>Keep demand statements qualitative; do not claim volume or ranking potential.</t>
        </is>
      </c>
      <c r="J13" s="3" t="inlineStr">
        <is>
          <t>Only public SERP comparables are available.</t>
        </is>
      </c>
      <c r="K13" s="3" t="inlineStr">
        <is>
          <t>Additional first-party or paid keyword evidence is attached, or limitation remains documented.</t>
        </is>
      </c>
    </row>
    <row r="14" ht="84" customHeight="1">
      <c r="A14" s="2" t="inlineStr">
        <is>
          <t>ISSUE-0013</t>
        </is>
      </c>
      <c r="B14" s="2" t="inlineStr">
        <is>
          <t>jeminise.com+custom-neon-green-soccer-player-artwork-comforter-set-boys-room-decor</t>
        </is>
      </c>
      <c r="C14" s="2" t="inlineStr">
        <is>
          <t>img_a7a4e8e8690c2c62</t>
        </is>
      </c>
      <c r="D14" s="2" t="inlineStr">
        <is>
          <t>MINOR</t>
        </is>
      </c>
      <c r="E14" s="2" t="inlineStr">
        <is>
          <t>alt text</t>
        </is>
      </c>
      <c r="F14" s="2" t="inlineStr">
        <is>
          <t>Personalized Neon Soccer Player Comforter displayed in a main product mockup</t>
        </is>
      </c>
      <c r="G14" s="2" t="inlineStr">
        <is>
          <t>Fresh image file: D:\Shopify_Workspace\jeminise_seo\seo_runs\jeminise.com\20260906_234129\qa\20260907_181000\images\092_01.jpg; source URL: https://cdn.shopify.com/s/files/1/0792/5098/1063/files/6b80b75d568cdee15c272e946d98348d480efd2a5cea1cacdb69246b74474091.jpg?v=1786611026</t>
        </is>
      </c>
      <c r="H14" s="2" t="inlineStr">
        <is>
          <t>Alt text is too generic or describes placement more than visible content.</t>
        </is>
      </c>
      <c r="I14" s="2" t="inlineStr">
        <is>
          <t>Rewrite observation/alt from the directly opened image, naming the visible motif and use context.</t>
        </is>
      </c>
      <c r="J14" s="2" t="inlineStr">
        <is>
          <t>Fresh image file: D:\Shopify_Workspace\jeminise_seo\seo_runs\jeminise.com\20260906_234129\qa\20260907_181000\images\092_01.jpg; source URL: https://cdn.shopify.com/s/files/1/0792/5098/1063/files/6b80b75d568cdee15c272e946d98348d480efd2a5cea1cacdb69246b74474091.jpg?v=1786611026</t>
        </is>
      </c>
      <c r="K14" s="2" t="inlineStr">
        <is>
          <t>The image row accurately describes the actual media at this gallery position.</t>
        </is>
      </c>
    </row>
    <row r="15" ht="84" customHeight="1">
      <c r="A15" s="3" t="inlineStr">
        <is>
          <t>ISSUE-0014</t>
        </is>
      </c>
      <c r="B15" s="3" t="inlineStr">
        <is>
          <t>jeminise.com+custom-neon-green-soccer-player-artwork-comforter-set-boys-room-decor</t>
        </is>
      </c>
      <c r="C15" s="3" t="inlineStr">
        <is>
          <t>img_f21a4fdc91bb7561</t>
        </is>
      </c>
      <c r="D15" s="3" t="inlineStr">
        <is>
          <t>MINOR</t>
        </is>
      </c>
      <c r="E15" s="3" t="inlineStr">
        <is>
          <t>image observation</t>
        </is>
      </c>
      <c r="F15" s="3" t="inlineStr">
        <is>
          <t>Bedding type, feature, lifestyle or material image for personalized neon green soccer player comforter with Jackson number 07.</t>
        </is>
      </c>
      <c r="G15" s="3" t="inlineStr">
        <is>
          <t>Fresh image file: D:\Shopify_Workspace\jeminise_seo\seo_runs\jeminise.com\20260906_234129\qa\20260907_181000\images\092_03.jpg; source URL: https://cdn.shopify.com/s/files/1/0792/5098/1063/files/0232459e1096cb7ad4227f2471e7d15ee79d1a53fbe22b7f14cb026581f911de.jpg?v=1786611026</t>
        </is>
      </c>
      <c r="H15" s="3" t="inlineStr">
        <is>
          <t>Observation is generic or position-based; rewrite from the actual image content.</t>
        </is>
      </c>
      <c r="I15" s="3" t="inlineStr">
        <is>
          <t>Rewrite observation/alt from the directly opened image, naming the visible motif and use context.</t>
        </is>
      </c>
      <c r="J15" s="3" t="inlineStr">
        <is>
          <t>Fresh image file: D:\Shopify_Workspace\jeminise_seo\seo_runs\jeminise.com\20260906_234129\qa\20260907_181000\images\092_03.jpg; source URL: https://cdn.shopify.com/s/files/1/0792/5098/1063/files/0232459e1096cb7ad4227f2471e7d15ee79d1a53fbe22b7f14cb026581f911de.jpg?v=1786611026</t>
        </is>
      </c>
      <c r="K15" s="3" t="inlineStr">
        <is>
          <t>The image row accurately describes the actual media at this gallery position.</t>
        </is>
      </c>
    </row>
    <row r="16" ht="84" customHeight="1">
      <c r="A16" s="2" t="inlineStr">
        <is>
          <t>ISSUE-0015</t>
        </is>
      </c>
      <c r="B16" s="2" t="inlineStr">
        <is>
          <t>jeminise.com+custom-neon-green-soccer-player-artwork-comforter-set-boys-room-decor</t>
        </is>
      </c>
      <c r="C16" s="2" t="inlineStr">
        <is>
          <t>img_16aa29078af40729</t>
        </is>
      </c>
      <c r="D16" s="2" t="inlineStr">
        <is>
          <t>MINOR</t>
        </is>
      </c>
      <c r="E16" s="2" t="inlineStr">
        <is>
          <t>image observation</t>
        </is>
      </c>
      <c r="F16" s="2" t="inlineStr">
        <is>
          <t>Detail, feature panel or lifestyle image connected to personalized neon green soccer player comforter with Jackson number 07.</t>
        </is>
      </c>
      <c r="G16" s="2" t="inlineStr">
        <is>
          <t>Fresh image file: D:\Shopify_Workspace\jeminise_seo\seo_runs\jeminise.com\20260906_234129\qa\20260907_181000\images\092_04.jpg; source URL: https://cdn.shopify.com/s/files/1/0792/5098/1063/files/e2f6c4ddb7968db8e510d947c4cb858b220d2c492e6c23261ccc64e8f76911dd.jpg?v=1786611026</t>
        </is>
      </c>
      <c r="H16" s="2" t="inlineStr">
        <is>
          <t>Observation is generic or position-based; rewrite from the actual image content.</t>
        </is>
      </c>
      <c r="I16" s="2" t="inlineStr">
        <is>
          <t>Rewrite observation/alt from the directly opened image, naming the visible motif and use context.</t>
        </is>
      </c>
      <c r="J16" s="2" t="inlineStr">
        <is>
          <t>Fresh image file: D:\Shopify_Workspace\jeminise_seo\seo_runs\jeminise.com\20260906_234129\qa\20260907_181000\images\092_04.jpg; source URL: https://cdn.shopify.com/s/files/1/0792/5098/1063/files/e2f6c4ddb7968db8e510d947c4cb858b220d2c492e6c23261ccc64e8f76911dd.jpg?v=1786611026</t>
        </is>
      </c>
      <c r="K16" s="2" t="inlineStr">
        <is>
          <t>The image row accurately describes the actual media at this gallery position.</t>
        </is>
      </c>
    </row>
    <row r="17" ht="84" customHeight="1">
      <c r="A17" s="3" t="inlineStr">
        <is>
          <t>ISSUE-0016</t>
        </is>
      </c>
      <c r="B17" s="3" t="inlineStr">
        <is>
          <t>jeminise.com+custom-neon-green-soccer-player-artwork-comforter-set-boys-room-decor</t>
        </is>
      </c>
      <c r="C17" s="3" t="inlineStr">
        <is>
          <t>img_b54086574165561a</t>
        </is>
      </c>
      <c r="D17" s="3" t="inlineStr">
        <is>
          <t>MINOR</t>
        </is>
      </c>
      <c r="E17" s="3" t="inlineStr">
        <is>
          <t>image observation</t>
        </is>
      </c>
      <c r="F17" s="3" t="inlineStr">
        <is>
          <t>Easy-care, size guide or product feature image for personalized neon green soccer player comforter with Jackson number 07.</t>
        </is>
      </c>
      <c r="G17" s="3" t="inlineStr">
        <is>
          <t>Fresh image file: D:\Shopify_Workspace\jeminise_seo\seo_runs\jeminise.com\20260906_234129\qa\20260907_181000\images\092_06.jpg; source URL: https://cdn.shopify.com/s/files/1/0792/5098/1063/files/1b992ece6d228aa4e2bf52484faac70e017778471a3ed951eae5f283d8da0d56.jpg?v=1786611026</t>
        </is>
      </c>
      <c r="H17" s="3" t="inlineStr">
        <is>
          <t>Observation is generic or position-based; rewrite from the actual image content.</t>
        </is>
      </c>
      <c r="I17" s="3" t="inlineStr">
        <is>
          <t>Rewrite observation/alt from the directly opened image, naming the visible motif and use context.</t>
        </is>
      </c>
      <c r="J17" s="3" t="inlineStr">
        <is>
          <t>Fresh image file: D:\Shopify_Workspace\jeminise_seo\seo_runs\jeminise.com\20260906_234129\qa\20260907_181000\images\092_06.jpg; source URL: https://cdn.shopify.com/s/files/1/0792/5098/1063/files/1b992ece6d228aa4e2bf52484faac70e017778471a3ed951eae5f283d8da0d56.jpg?v=1786611026</t>
        </is>
      </c>
      <c r="K17" s="3" t="inlineStr">
        <is>
          <t>The image row accurately describes the actual media at this gallery position.</t>
        </is>
      </c>
    </row>
    <row r="18" ht="84" customHeight="1">
      <c r="A18" s="2" t="inlineStr">
        <is>
          <t>ISSUE-0017</t>
        </is>
      </c>
      <c r="B18" s="2" t="inlineStr">
        <is>
          <t>jeminise.com+custom-neon-green-soccer-player-artwork-comforter-set-boys-room-decor</t>
        </is>
      </c>
      <c r="C18" s="2" t="inlineStr">
        <is>
          <t>img_af8c98e1ad282d5e</t>
        </is>
      </c>
      <c r="D18" s="2" t="inlineStr">
        <is>
          <t>MINOR</t>
        </is>
      </c>
      <c r="E18" s="2" t="inlineStr">
        <is>
          <t>image observation</t>
        </is>
      </c>
      <c r="F18" s="2" t="inlineStr">
        <is>
          <t>Additional lifestyle, feature or product detail image showing personalized neon green soccer player comforter with Jackson number 07.</t>
        </is>
      </c>
      <c r="G18" s="2" t="inlineStr">
        <is>
          <t>Fresh image file: D:\Shopify_Workspace\jeminise_seo\seo_runs\jeminise.com\20260906_234129\qa\20260907_181000\images\092_07.jpg; source URL: https://cdn.shopify.com/s/files/1/0792/5098/1063/files/9b36690b06b0d6afe47cba01d783821f5b729cf46d6530e6bf0ebeb68938d739.jpg?v=1786611026</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D:\Shopify_Workspace\jeminise_seo\seo_runs\jeminise.com\20260906_234129\qa\20260907_181000\images\092_07.jpg; source URL: https://cdn.shopify.com/s/files/1/0792/5098/1063/files/9b36690b06b0d6afe47cba01d783821f5b729cf46d6530e6bf0ebeb68938d739.jpg?v=1786611026</t>
        </is>
      </c>
      <c r="K18" s="2" t="inlineStr">
        <is>
          <t>The image row accurately describes the actual media at this gallery position.</t>
        </is>
      </c>
    </row>
    <row r="19" ht="84" customHeight="1">
      <c r="A19" s="3" t="inlineStr">
        <is>
          <t>ISSUE-0018</t>
        </is>
      </c>
      <c r="B19" s="3" t="inlineStr">
        <is>
          <t>jeminise.com+custom-neon-green-soccer-player-artwork-comforter-set-boys-room-decor</t>
        </is>
      </c>
      <c r="C19" s="3" t="inlineStr">
        <is>
          <t>img_2651c56f45d3239b</t>
        </is>
      </c>
      <c r="D19" s="3" t="inlineStr">
        <is>
          <t>MINOR</t>
        </is>
      </c>
      <c r="E19" s="3" t="inlineStr">
        <is>
          <t>image observation</t>
        </is>
      </c>
      <c r="F19" s="3" t="inlineStr">
        <is>
          <t>Additional lifestyle, feature or product detail image showing personalized neon green soccer player comforter with Jackson number 07.</t>
        </is>
      </c>
      <c r="G19" s="3" t="inlineStr">
        <is>
          <t>Fresh image file: D:\Shopify_Workspace\jeminise_seo\seo_runs\jeminise.com\20260906_234129\qa\20260907_181000\images\092_08.jpg; source URL: https://cdn.shopify.com/s/files/1/0792/5098/1063/files/30667ffa1b29dfa2b8673580c1476a7e3d1c88f73100c21aff40d37ab88f3c0f.jpg?v=1786611026</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D:\Shopify_Workspace\jeminise_seo\seo_runs\jeminise.com\20260906_234129\qa\20260907_181000\images\092_08.jpg; source URL: https://cdn.shopify.com/s/files/1/0792/5098/1063/files/30667ffa1b29dfa2b8673580c1476a7e3d1c88f73100c21aff40d37ab88f3c0f.jpg?v=1786611026</t>
        </is>
      </c>
      <c r="K19" s="3" t="inlineStr">
        <is>
          <t>The image row accurately describes the actual media at this gallery position.</t>
        </is>
      </c>
    </row>
    <row r="20" ht="84" customHeight="1">
      <c r="A20" s="2" t="inlineStr">
        <is>
          <t>ISSUE-0019</t>
        </is>
      </c>
      <c r="B20" s="2" t="inlineStr">
        <is>
          <t>jeminise.com+custom-patriotic-semi-truck-on-american-flag-background-comforter-e664ba94f8-e664ba94f8</t>
        </is>
      </c>
      <c r="C20" s="2" t="inlineStr"/>
      <c r="D20" s="2" t="inlineStr">
        <is>
          <t>MAJOR</t>
        </is>
      </c>
      <c r="E20" s="2" t="inlineStr">
        <is>
          <t>description_proposed_html</t>
        </is>
      </c>
      <c r="F20" s="2"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t>
        </is>
      </c>
      <c r="G20" s="2" t="inlineStr">
        <is>
          <t>Draft contains SEO Use / QA approval wording.</t>
        </is>
      </c>
      <c r="H20" s="2" t="inlineStr">
        <is>
          <t>Internal workflow language is not publish-ready storefront copy.</t>
        </is>
      </c>
      <c r="I20" s="2" t="inlineStr">
        <is>
          <t>Remove internal QA/import block and replace with customer-facing verified copy.</t>
        </is>
      </c>
      <c r="J20" s="2" t="inlineStr">
        <is>
          <t>Draft contains SEO Use / QA approval wording.</t>
        </is>
      </c>
      <c r="K20" s="2" t="inlineStr">
        <is>
          <t>Description HTML no longer contains SEO Use, QA, approval, import or draft language.</t>
        </is>
      </c>
    </row>
    <row r="21" ht="84" customHeight="1">
      <c r="A21" s="3" t="inlineStr">
        <is>
          <t>ISSUE-0020</t>
        </is>
      </c>
      <c r="B21" s="3" t="inlineStr">
        <is>
          <t>jeminise.com+custom-patriotic-semi-truck-on-american-flag-background-comforter-e664ba94f8-e664ba94f8</t>
        </is>
      </c>
      <c r="C21" s="3" t="inlineStr"/>
      <c r="D21" s="3" t="inlineStr">
        <is>
          <t>MINOR</t>
        </is>
      </c>
      <c r="E21" s="3" t="inlineStr">
        <is>
          <t>meta_description_seo</t>
        </is>
      </c>
      <c r="F21" s="3" t="inlineStr">
        <is>
          <t>Shop a comforter set featuring blue semi truck over a distressed American flag background with Your Name personalization area. Review size and personalization options before checkout.</t>
        </is>
      </c>
      <c r="G21" s="3" t="inlineStr">
        <is>
          <t>Meta description length is 183 characters.</t>
        </is>
      </c>
      <c r="H21" s="3" t="inlineStr">
        <is>
          <t>Likely to truncate in search results and repeats review/personality wording in several rows.</t>
        </is>
      </c>
      <c r="I21" s="3" t="inlineStr">
        <is>
          <t>Rewrite to roughly 145-155 characters while preserving verified design and product type.</t>
        </is>
      </c>
      <c r="J21" s="3" t="inlineStr">
        <is>
          <t>Meta description length is 183 characters.</t>
        </is>
      </c>
      <c r="K21" s="3" t="inlineStr">
        <is>
          <t>Length check &lt;=160 characters and no unsupported claim remains.</t>
        </is>
      </c>
    </row>
    <row r="22" ht="84" customHeight="1">
      <c r="A22" s="2" t="inlineStr">
        <is>
          <t>ISSUE-0021</t>
        </is>
      </c>
      <c r="B22" s="2" t="inlineStr">
        <is>
          <t>jeminise.com+custom-patriotic-semi-truck-on-american-flag-background-comforter-e664ba94f8-e664ba94f8</t>
        </is>
      </c>
      <c r="C22" s="2" t="inlineStr"/>
      <c r="D22" s="2" t="inlineStr">
        <is>
          <t>MAJOR</t>
        </is>
      </c>
      <c r="E22" s="2" t="inlineStr">
        <is>
          <t>keyword_map</t>
        </is>
      </c>
      <c r="F22" s="2" t="inlineStr">
        <is>
          <t>personalized semi truck comforter</t>
        </is>
      </c>
      <c r="G22" s="2" t="inlineStr">
        <is>
          <t>https://jeminise.com/; https://www.desertcart.in/; https://www.wal-mart.com/; https://jeminise.com/; https://www.desertcart.in/; https://www.wal-mart.com/</t>
        </is>
      </c>
      <c r="H22" s="2" t="inlineStr">
        <is>
          <t>Batch cluster contains several very similar products, so keyword/intent differentiation must be sharper.</t>
        </is>
      </c>
      <c r="I22" s="2" t="inlineStr">
        <is>
          <t>Add unique visible motif modifiers and avoid assigning the same generic product keyword to multiple URLs.</t>
        </is>
      </c>
      <c r="J22" s="2" t="inlineStr">
        <is>
          <t>https://jeminise.com/; https://www.desertcart.in/; https://www.wal-mart.com/; https://jeminise.com/; https://www.desertcart.in/; https://www.wal-mart.com/</t>
        </is>
      </c>
      <c r="K22" s="2" t="inlineStr">
        <is>
          <t>SERP notes and title/meta show a distinct product-level query for this exact design.</t>
        </is>
      </c>
    </row>
    <row r="23" ht="84" customHeight="1">
      <c r="A23" s="3" t="inlineStr">
        <is>
          <t>ISSUE-0022</t>
        </is>
      </c>
      <c r="B23" s="3" t="inlineStr">
        <is>
          <t>jeminise.com+custom-patriotic-semi-truck-on-american-flag-background-comforter-e664ba94f8-e664ba94f8</t>
        </is>
      </c>
      <c r="C23" s="3" t="inlineStr"/>
      <c r="D23" s="3" t="inlineStr">
        <is>
          <t>LIMITATION</t>
        </is>
      </c>
      <c r="E23" s="3" t="inlineStr">
        <is>
          <t>keyword_evidence_level</t>
        </is>
      </c>
      <c r="F23" s="3" t="inlineStr">
        <is>
          <t>SERP_ONLY</t>
        </is>
      </c>
      <c r="G23" s="3" t="inlineStr">
        <is>
          <t>Only public SERP comparables are available.</t>
        </is>
      </c>
      <c r="H23" s="3" t="inlineStr">
        <is>
          <t>No Search Console, paid keyword volume or internal site search export was supplied.</t>
        </is>
      </c>
      <c r="I23" s="3" t="inlineStr">
        <is>
          <t>Keep demand statements qualitative; do not claim volume or ranking potential.</t>
        </is>
      </c>
      <c r="J23" s="3" t="inlineStr">
        <is>
          <t>Only public SERP comparables are available.</t>
        </is>
      </c>
      <c r="K23" s="3" t="inlineStr">
        <is>
          <t>Additional first-party or paid keyword evidence is attached, or limitation remains documented.</t>
        </is>
      </c>
    </row>
    <row r="24" ht="84" customHeight="1">
      <c r="A24" s="2" t="inlineStr">
        <is>
          <t>ISSUE-0023</t>
        </is>
      </c>
      <c r="B24" s="2" t="inlineStr">
        <is>
          <t>jeminise.com+custom-patriotic-semi-truck-on-american-flag-background-comforter-e664ba94f8-e664ba94f8</t>
        </is>
      </c>
      <c r="C24" s="2" t="inlineStr">
        <is>
          <t>img_3bd43017684887cf</t>
        </is>
      </c>
      <c r="D24" s="2" t="inlineStr">
        <is>
          <t>MINOR</t>
        </is>
      </c>
      <c r="E24" s="2" t="inlineStr">
        <is>
          <t>alt text</t>
        </is>
      </c>
      <c r="F24" s="2" t="inlineStr">
        <is>
          <t>Personalized Blue Semi Truck Flag Comforter displayed in a main product mockup</t>
        </is>
      </c>
      <c r="G24" s="2" t="inlineStr">
        <is>
          <t>Fresh image file: D:\Shopify_Workspace\jeminise_seo\seo_runs\jeminise.com\20260906_234129\qa\20260907_181000\images\093_01.jpg; source URL: https://cdn.shopify.com/s/files/1/0792/5098/1063/files/fe1412d885785c85792b6280a515d4da148939773f52cad28a9077b41519bca7.jpg?v=1785132379</t>
        </is>
      </c>
      <c r="H24" s="2" t="inlineStr">
        <is>
          <t>Alt text is too generic or describes placement more than visible content.</t>
        </is>
      </c>
      <c r="I24" s="2" t="inlineStr">
        <is>
          <t>Rewrite observation/alt from the directly opened image, naming the visible motif and use context.</t>
        </is>
      </c>
      <c r="J24" s="2" t="inlineStr">
        <is>
          <t>Fresh image file: D:\Shopify_Workspace\jeminise_seo\seo_runs\jeminise.com\20260906_234129\qa\20260907_181000\images\093_01.jpg; source URL: https://cdn.shopify.com/s/files/1/0792/5098/1063/files/fe1412d885785c85792b6280a515d4da148939773f52cad28a9077b41519bca7.jpg?v=1785132379</t>
        </is>
      </c>
      <c r="K24" s="2" t="inlineStr">
        <is>
          <t>The image row accurately describes the actual media at this gallery position.</t>
        </is>
      </c>
    </row>
    <row r="25" ht="84" customHeight="1">
      <c r="A25" s="3" t="inlineStr">
        <is>
          <t>ISSUE-0024</t>
        </is>
      </c>
      <c r="B25" s="3" t="inlineStr">
        <is>
          <t>jeminise.com+custom-patriotic-semi-truck-on-american-flag-background-comforter-e664ba94f8-e664ba94f8</t>
        </is>
      </c>
      <c r="C25" s="3" t="inlineStr">
        <is>
          <t>img_5739a64f0f518987</t>
        </is>
      </c>
      <c r="D25" s="3" t="inlineStr">
        <is>
          <t>MINOR</t>
        </is>
      </c>
      <c r="E25" s="3" t="inlineStr">
        <is>
          <t>image observation</t>
        </is>
      </c>
      <c r="F25" s="3" t="inlineStr">
        <is>
          <t>Bedding type, feature, lifestyle or material image for personalized blue semi truck American flag comforter.</t>
        </is>
      </c>
      <c r="G25" s="3" t="inlineStr">
        <is>
          <t>Fresh image file: D:\Shopify_Workspace\jeminise_seo\seo_runs\jeminise.com\20260906_234129\qa\20260907_181000\images\093_03.jpg; source URL: https://cdn.shopify.com/s/files/1/0792/5098/1063/files/16f7293cbefa5743a35b2e6316a5a114e5c052d08151e367dafd26aa5e2e542b_d050383d-1193-4807-8c84-5cdef15ff79e.jpg?v=1785132379</t>
        </is>
      </c>
      <c r="H25" s="3" t="inlineStr">
        <is>
          <t>Observation is generic or position-based; rewrite from the actual image content.</t>
        </is>
      </c>
      <c r="I25" s="3" t="inlineStr">
        <is>
          <t>Rewrite observation/alt from the directly opened image, naming the visible motif and use context.</t>
        </is>
      </c>
      <c r="J25" s="3" t="inlineStr">
        <is>
          <t>Fresh image file: D:\Shopify_Workspace\jeminise_seo\seo_runs\jeminise.com\20260906_234129\qa\20260907_181000\images\093_03.jpg; source URL: https://cdn.shopify.com/s/files/1/0792/5098/1063/files/16f7293cbefa5743a35b2e6316a5a114e5c052d08151e367dafd26aa5e2e542b_d050383d-1193-4807-8c84-5cdef15ff79e.jpg?v=1785132379</t>
        </is>
      </c>
      <c r="K25" s="3" t="inlineStr">
        <is>
          <t>The image row accurately describes the actual media at this gallery position.</t>
        </is>
      </c>
    </row>
    <row r="26" ht="84" customHeight="1">
      <c r="A26" s="2" t="inlineStr">
        <is>
          <t>ISSUE-0025</t>
        </is>
      </c>
      <c r="B26" s="2" t="inlineStr">
        <is>
          <t>jeminise.com+custom-patriotic-semi-truck-on-american-flag-background-comforter-e664ba94f8-e664ba94f8</t>
        </is>
      </c>
      <c r="C26" s="2" t="inlineStr">
        <is>
          <t>img_b28ab5ae90949d0c</t>
        </is>
      </c>
      <c r="D26" s="2" t="inlineStr">
        <is>
          <t>MINOR</t>
        </is>
      </c>
      <c r="E26" s="2" t="inlineStr">
        <is>
          <t>image observation</t>
        </is>
      </c>
      <c r="F26" s="2" t="inlineStr">
        <is>
          <t>Detail, feature panel or lifestyle image connected to personalized blue semi truck American flag comforter.</t>
        </is>
      </c>
      <c r="G26" s="2" t="inlineStr">
        <is>
          <t>Fresh image file: D:\Shopify_Workspace\jeminise_seo\seo_runs\jeminise.com\20260906_234129\qa\20260907_181000\images\093_04.jpg; source URL: https://cdn.shopify.com/s/files/1/0792/5098/1063/files/1af0b9b4937e17de402557fcae689c596d27afb1f52fc1310e3566e92ae266a9.jpg?v=1785132379</t>
        </is>
      </c>
      <c r="H26" s="2" t="inlineStr">
        <is>
          <t>Observation is generic or position-based; rewrite from the actual image content.</t>
        </is>
      </c>
      <c r="I26" s="2" t="inlineStr">
        <is>
          <t>Rewrite observation/alt from the directly opened image, naming the visible motif and use context.</t>
        </is>
      </c>
      <c r="J26" s="2" t="inlineStr">
        <is>
          <t>Fresh image file: D:\Shopify_Workspace\jeminise_seo\seo_runs\jeminise.com\20260906_234129\qa\20260907_181000\images\093_04.jpg; source URL: https://cdn.shopify.com/s/files/1/0792/5098/1063/files/1af0b9b4937e17de402557fcae689c596d27afb1f52fc1310e3566e92ae266a9.jpg?v=1785132379</t>
        </is>
      </c>
      <c r="K26" s="2" t="inlineStr">
        <is>
          <t>The image row accurately describes the actual media at this gallery position.</t>
        </is>
      </c>
    </row>
    <row r="27" ht="84" customHeight="1">
      <c r="A27" s="3" t="inlineStr">
        <is>
          <t>ISSUE-0026</t>
        </is>
      </c>
      <c r="B27" s="3" t="inlineStr">
        <is>
          <t>jeminise.com+custom-patriotic-semi-truck-on-american-flag-background-comforter-e664ba94f8-e664ba94f8</t>
        </is>
      </c>
      <c r="C27" s="3" t="inlineStr">
        <is>
          <t>img_85bb30f54dc4eefd</t>
        </is>
      </c>
      <c r="D27" s="3" t="inlineStr">
        <is>
          <t>MINOR</t>
        </is>
      </c>
      <c r="E27" s="3" t="inlineStr">
        <is>
          <t>image observation</t>
        </is>
      </c>
      <c r="F27" s="3" t="inlineStr">
        <is>
          <t>Easy-care, size guide or product feature image for personalized blue semi truck American flag comforter.</t>
        </is>
      </c>
      <c r="G27" s="3" t="inlineStr">
        <is>
          <t>Fresh image file: D:\Shopify_Workspace\jeminise_seo\seo_runs\jeminise.com\20260906_234129\qa\20260907_181000\images\093_06.jpg; source URL: https://cdn.shopify.com/s/files/1/0792/5098/1063/files/7c006bddc94d4763c71c8376307e195c1bbce73b8c802ec73ac5a8cef1291262_0cf50cfc-d406-4f2c-946c-ebbae11c1219.jpg?v=1785132379</t>
        </is>
      </c>
      <c r="H27" s="3" t="inlineStr">
        <is>
          <t>Observation is generic or position-based; rewrite from the actual image content.</t>
        </is>
      </c>
      <c r="I27" s="3" t="inlineStr">
        <is>
          <t>Rewrite observation/alt from the directly opened image, naming the visible motif and use context.</t>
        </is>
      </c>
      <c r="J27" s="3" t="inlineStr">
        <is>
          <t>Fresh image file: D:\Shopify_Workspace\jeminise_seo\seo_runs\jeminise.com\20260906_234129\qa\20260907_181000\images\093_06.jpg; source URL: https://cdn.shopify.com/s/files/1/0792/5098/1063/files/7c006bddc94d4763c71c8376307e195c1bbce73b8c802ec73ac5a8cef1291262_0cf50cfc-d406-4f2c-946c-ebbae11c1219.jpg?v=1785132379</t>
        </is>
      </c>
      <c r="K27" s="3" t="inlineStr">
        <is>
          <t>The image row accurately describes the actual media at this gallery position.</t>
        </is>
      </c>
    </row>
    <row r="28" ht="84" customHeight="1">
      <c r="A28" s="2" t="inlineStr">
        <is>
          <t>ISSUE-0027</t>
        </is>
      </c>
      <c r="B28" s="2" t="inlineStr">
        <is>
          <t>jeminise.com+custom-patriotic-semi-truck-on-american-flag-background-comforter-e664ba94f8-e664ba94f8</t>
        </is>
      </c>
      <c r="C28" s="2" t="inlineStr">
        <is>
          <t>img_ad6db94888370910</t>
        </is>
      </c>
      <c r="D28" s="2" t="inlineStr">
        <is>
          <t>MINOR</t>
        </is>
      </c>
      <c r="E28" s="2" t="inlineStr">
        <is>
          <t>image observation</t>
        </is>
      </c>
      <c r="F28" s="2" t="inlineStr">
        <is>
          <t>Additional lifestyle, feature or product detail image showing personalized blue semi truck American flag comforter.</t>
        </is>
      </c>
      <c r="G28" s="2" t="inlineStr">
        <is>
          <t>Fresh image file: D:\Shopify_Workspace\jeminise_seo\seo_runs\jeminise.com\20260906_234129\qa\20260907_181000\images\093_07.jpg; source URL: https://cdn.shopify.com/s/files/1/0792/5098/1063/files/e5cad84edb4d7bf77c48fd7c8e52eb3b73f04eba8bf177671fd8a059c59422e8_b94069b9-bd54-480f-9ac7-9690b49cfc2e.jpg?v=1785132379</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D:\Shopify_Workspace\jeminise_seo\seo_runs\jeminise.com\20260906_234129\qa\20260907_181000\images\093_07.jpg; source URL: https://cdn.shopify.com/s/files/1/0792/5098/1063/files/e5cad84edb4d7bf77c48fd7c8e52eb3b73f04eba8bf177671fd8a059c59422e8_b94069b9-bd54-480f-9ac7-9690b49cfc2e.jpg?v=1785132379</t>
        </is>
      </c>
      <c r="K28" s="2" t="inlineStr">
        <is>
          <t>The image row accurately describes the actual media at this gallery position.</t>
        </is>
      </c>
    </row>
    <row r="29" ht="84" customHeight="1">
      <c r="A29" s="3" t="inlineStr">
        <is>
          <t>ISSUE-0028</t>
        </is>
      </c>
      <c r="B29" s="3" t="inlineStr">
        <is>
          <t>jeminise.com+custom-patriotic-semi-truck-with-waving-american-flag-comforter-e01f2755b2-e01f2755b2</t>
        </is>
      </c>
      <c r="C29" s="3" t="inlineStr"/>
      <c r="D29" s="3" t="inlineStr">
        <is>
          <t>MAJOR</t>
        </is>
      </c>
      <c r="E29" s="3" t="inlineStr">
        <is>
          <t>description_proposed_html</t>
        </is>
      </c>
      <c r="F29" s="3"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t>
        </is>
      </c>
      <c r="G29" s="3" t="inlineStr">
        <is>
          <t>Draft contains SEO Use / QA approval wording.</t>
        </is>
      </c>
      <c r="H29" s="3" t="inlineStr">
        <is>
          <t>Internal workflow language is not publish-ready storefront copy.</t>
        </is>
      </c>
      <c r="I29" s="3" t="inlineStr">
        <is>
          <t>Remove internal QA/import block and replace with customer-facing verified copy.</t>
        </is>
      </c>
      <c r="J29" s="3" t="inlineStr">
        <is>
          <t>Draft contains SEO Use / QA approval wording.</t>
        </is>
      </c>
      <c r="K29" s="3" t="inlineStr">
        <is>
          <t>Description HTML no longer contains SEO Use, QA, approval, import or draft language.</t>
        </is>
      </c>
    </row>
    <row r="30" ht="84" customHeight="1">
      <c r="A30" s="2" t="inlineStr">
        <is>
          <t>ISSUE-0029</t>
        </is>
      </c>
      <c r="B30" s="2" t="inlineStr">
        <is>
          <t>jeminise.com+custom-patriotic-semi-truck-with-waving-american-flag-comforter-e01f2755b2-e01f2755b2</t>
        </is>
      </c>
      <c r="C30" s="2" t="inlineStr"/>
      <c r="D30" s="2" t="inlineStr">
        <is>
          <t>MINOR</t>
        </is>
      </c>
      <c r="E30" s="2" t="inlineStr">
        <is>
          <t>meta_description_seo</t>
        </is>
      </c>
      <c r="F30" s="2" t="inlineStr">
        <is>
          <t>Shop a comforter set featuring silver semi truck with waving American flag artwork and large Your Name personalization text. Review size and personalization options before checkout.</t>
        </is>
      </c>
      <c r="G30" s="2" t="inlineStr">
        <is>
          <t>Meta description length is 181 characters.</t>
        </is>
      </c>
      <c r="H30" s="2" t="inlineStr">
        <is>
          <t>Likely to truncate in search results and repeats review/personality wording in several rows.</t>
        </is>
      </c>
      <c r="I30" s="2" t="inlineStr">
        <is>
          <t>Rewrite to roughly 145-155 characters while preserving verified design and product type.</t>
        </is>
      </c>
      <c r="J30" s="2" t="inlineStr">
        <is>
          <t>Meta description length is 181 characters.</t>
        </is>
      </c>
      <c r="K30" s="2" t="inlineStr">
        <is>
          <t>Length check &lt;=160 characters and no unsupported claim remains.</t>
        </is>
      </c>
    </row>
    <row r="31" ht="84" customHeight="1">
      <c r="A31" s="3" t="inlineStr">
        <is>
          <t>ISSUE-0030</t>
        </is>
      </c>
      <c r="B31" s="3" t="inlineStr">
        <is>
          <t>jeminise.com+custom-patriotic-semi-truck-with-waving-american-flag-comforter-e01f2755b2-e01f2755b2</t>
        </is>
      </c>
      <c r="C31" s="3" t="inlineStr"/>
      <c r="D31" s="3" t="inlineStr">
        <is>
          <t>MAJOR</t>
        </is>
      </c>
      <c r="E31" s="3" t="inlineStr">
        <is>
          <t>keyword_map</t>
        </is>
      </c>
      <c r="F31" s="3" t="inlineStr">
        <is>
          <t>patriotic semi truck comforter</t>
        </is>
      </c>
      <c r="G31" s="3" t="inlineStr">
        <is>
          <t>https://jeminise.com/; https://www.desertcart.in/; https://www.wal-mart.com/; https://jeminise.com/; https://www.desertcart.in/; https://www.wal-mart.com/</t>
        </is>
      </c>
      <c r="H31" s="3" t="inlineStr">
        <is>
          <t>Batch cluster contains several very similar products, so keyword/intent differentiation must be sharper.</t>
        </is>
      </c>
      <c r="I31" s="3" t="inlineStr">
        <is>
          <t>Add unique visible motif modifiers and avoid assigning the same generic product keyword to multiple URLs.</t>
        </is>
      </c>
      <c r="J31" s="3" t="inlineStr">
        <is>
          <t>https://jeminise.com/; https://www.desertcart.in/; https://www.wal-mart.com/; https://jeminise.com/; https://www.desertcart.in/; https://www.wal-mart.com/</t>
        </is>
      </c>
      <c r="K31" s="3" t="inlineStr">
        <is>
          <t>SERP notes and title/meta show a distinct product-level query for this exact design.</t>
        </is>
      </c>
    </row>
    <row r="32" ht="84" customHeight="1">
      <c r="A32" s="2" t="inlineStr">
        <is>
          <t>ISSUE-0031</t>
        </is>
      </c>
      <c r="B32" s="2" t="inlineStr">
        <is>
          <t>jeminise.com+custom-patriotic-semi-truck-with-waving-american-flag-comforter-e01f2755b2-e01f2755b2</t>
        </is>
      </c>
      <c r="C32" s="2" t="inlineStr"/>
      <c r="D32" s="2" t="inlineStr">
        <is>
          <t>LIMITATION</t>
        </is>
      </c>
      <c r="E32" s="2" t="inlineStr">
        <is>
          <t>keyword_evidence_level</t>
        </is>
      </c>
      <c r="F32" s="2" t="inlineStr">
        <is>
          <t>SERP_ONLY</t>
        </is>
      </c>
      <c r="G32" s="2" t="inlineStr">
        <is>
          <t>Only public SERP comparables are available.</t>
        </is>
      </c>
      <c r="H32" s="2" t="inlineStr">
        <is>
          <t>No Search Console, paid keyword volume or internal site search export was supplied.</t>
        </is>
      </c>
      <c r="I32" s="2" t="inlineStr">
        <is>
          <t>Keep demand statements qualitative; do not claim volume or ranking potential.</t>
        </is>
      </c>
      <c r="J32" s="2" t="inlineStr">
        <is>
          <t>Only public SERP comparables are available.</t>
        </is>
      </c>
      <c r="K32" s="2" t="inlineStr">
        <is>
          <t>Additional first-party or paid keyword evidence is attached, or limitation remains documented.</t>
        </is>
      </c>
    </row>
    <row r="33" ht="84" customHeight="1">
      <c r="A33" s="3" t="inlineStr">
        <is>
          <t>ISSUE-0032</t>
        </is>
      </c>
      <c r="B33" s="3" t="inlineStr">
        <is>
          <t>jeminise.com+custom-patriotic-semi-truck-with-waving-american-flag-comforter-e01f2755b2-e01f2755b2</t>
        </is>
      </c>
      <c r="C33" s="3" t="inlineStr">
        <is>
          <t>img_9cb1aa77dc34c51b</t>
        </is>
      </c>
      <c r="D33" s="3" t="inlineStr">
        <is>
          <t>MINOR</t>
        </is>
      </c>
      <c r="E33" s="3" t="inlineStr">
        <is>
          <t>alt text</t>
        </is>
      </c>
      <c r="F33" s="3" t="inlineStr">
        <is>
          <t>Personalized Patriotic Semi Truck Comforter displayed in a main product mockup</t>
        </is>
      </c>
      <c r="G33" s="3" t="inlineStr">
        <is>
          <t>Fresh image file: D:\Shopify_Workspace\jeminise_seo\seo_runs\jeminise.com\20260906_234129\qa\20260907_181000\images\094_01.jpg; source URL: https://cdn.shopify.com/s/files/1/0792/5098/1063/files/fff7fb3607171e550328ca23a57753cdd5e34bd84e9bc6ddf3d658e8b386e971.jpg?v=1785133056</t>
        </is>
      </c>
      <c r="H33" s="3" t="inlineStr">
        <is>
          <t>Alt text is too generic or describes placement more than visible content.</t>
        </is>
      </c>
      <c r="I33" s="3" t="inlineStr">
        <is>
          <t>Rewrite observation/alt from the directly opened image, naming the visible motif and use context.</t>
        </is>
      </c>
      <c r="J33" s="3" t="inlineStr">
        <is>
          <t>Fresh image file: D:\Shopify_Workspace\jeminise_seo\seo_runs\jeminise.com\20260906_234129\qa\20260907_181000\images\094_01.jpg; source URL: https://cdn.shopify.com/s/files/1/0792/5098/1063/files/fff7fb3607171e550328ca23a57753cdd5e34bd84e9bc6ddf3d658e8b386e971.jpg?v=1785133056</t>
        </is>
      </c>
      <c r="K33" s="3" t="inlineStr">
        <is>
          <t>The image row accurately describes the actual media at this gallery position.</t>
        </is>
      </c>
    </row>
    <row r="34" ht="84" customHeight="1">
      <c r="A34" s="2" t="inlineStr">
        <is>
          <t>ISSUE-0033</t>
        </is>
      </c>
      <c r="B34" s="2" t="inlineStr">
        <is>
          <t>jeminise.com+custom-patriotic-semi-truck-with-waving-american-flag-comforter-e01f2755b2-e01f2755b2</t>
        </is>
      </c>
      <c r="C34" s="2" t="inlineStr">
        <is>
          <t>img_aa6acbf5c1d7916b</t>
        </is>
      </c>
      <c r="D34" s="2" t="inlineStr">
        <is>
          <t>MINOR</t>
        </is>
      </c>
      <c r="E34" s="2" t="inlineStr">
        <is>
          <t>image observation</t>
        </is>
      </c>
      <c r="F34" s="2" t="inlineStr">
        <is>
          <t>Bedding type, feature, lifestyle or material image for personalized patriotic semi truck comforter with waving flag.</t>
        </is>
      </c>
      <c r="G34" s="2" t="inlineStr">
        <is>
          <t>Fresh image file: D:\Shopify_Workspace\jeminise_seo\seo_runs\jeminise.com\20260906_234129\qa\20260907_181000\images\094_03.jpg; source URL: https://cdn.shopify.com/s/files/1/0792/5098/1063/files/16f7293cbefa5743a35b2e6316a5a114e5c052d08151e367dafd26aa5e2e542b_c88ded01-e9f5-47e0-a337-71272c531dc2.jpg?v=1785133055</t>
        </is>
      </c>
      <c r="H34" s="2" t="inlineStr">
        <is>
          <t>Observation is generic or position-based; rewrite from the actual image content.</t>
        </is>
      </c>
      <c r="I34" s="2" t="inlineStr">
        <is>
          <t>Rewrite observation/alt from the directly opened image, naming the visible motif and use context.</t>
        </is>
      </c>
      <c r="J34" s="2" t="inlineStr">
        <is>
          <t>Fresh image file: D:\Shopify_Workspace\jeminise_seo\seo_runs\jeminise.com\20260906_234129\qa\20260907_181000\images\094_03.jpg; source URL: https://cdn.shopify.com/s/files/1/0792/5098/1063/files/16f7293cbefa5743a35b2e6316a5a114e5c052d08151e367dafd26aa5e2e542b_c88ded01-e9f5-47e0-a337-71272c531dc2.jpg?v=1785133055</t>
        </is>
      </c>
      <c r="K34" s="2" t="inlineStr">
        <is>
          <t>The image row accurately describes the actual media at this gallery position.</t>
        </is>
      </c>
    </row>
    <row r="35" ht="84" customHeight="1">
      <c r="A35" s="3" t="inlineStr">
        <is>
          <t>ISSUE-0034</t>
        </is>
      </c>
      <c r="B35" s="3" t="inlineStr">
        <is>
          <t>jeminise.com+custom-patriotic-semi-truck-with-waving-american-flag-comforter-e01f2755b2-e01f2755b2</t>
        </is>
      </c>
      <c r="C35" s="3" t="inlineStr">
        <is>
          <t>img_24481bfc89f67acb</t>
        </is>
      </c>
      <c r="D35" s="3" t="inlineStr">
        <is>
          <t>MINOR</t>
        </is>
      </c>
      <c r="E35" s="3" t="inlineStr">
        <is>
          <t>image observation</t>
        </is>
      </c>
      <c r="F35" s="3" t="inlineStr">
        <is>
          <t>Detail, feature panel or lifestyle image connected to personalized patriotic semi truck comforter with waving flag.</t>
        </is>
      </c>
      <c r="G35" s="3" t="inlineStr">
        <is>
          <t>Fresh image file: D:\Shopify_Workspace\jeminise_seo\seo_runs\jeminise.com\20260906_234129\qa\20260907_181000\images\094_04.jpg; source URL: https://cdn.shopify.com/s/files/1/0792/5098/1063/files/09467376d637b8b254540c819caa86ed98bcd098da17eb5d29dbc82fb7f5cd3a.jpg?v=1785133055</t>
        </is>
      </c>
      <c r="H35" s="3" t="inlineStr">
        <is>
          <t>Observation is generic or position-based; rewrite from the actual image content.</t>
        </is>
      </c>
      <c r="I35" s="3" t="inlineStr">
        <is>
          <t>Rewrite observation/alt from the directly opened image, naming the visible motif and use context.</t>
        </is>
      </c>
      <c r="J35" s="3" t="inlineStr">
        <is>
          <t>Fresh image file: D:\Shopify_Workspace\jeminise_seo\seo_runs\jeminise.com\20260906_234129\qa\20260907_181000\images\094_04.jpg; source URL: https://cdn.shopify.com/s/files/1/0792/5098/1063/files/09467376d637b8b254540c819caa86ed98bcd098da17eb5d29dbc82fb7f5cd3a.jpg?v=1785133055</t>
        </is>
      </c>
      <c r="K35" s="3" t="inlineStr">
        <is>
          <t>The image row accurately describes the actual media at this gallery position.</t>
        </is>
      </c>
    </row>
    <row r="36" ht="84" customHeight="1">
      <c r="A36" s="2" t="inlineStr">
        <is>
          <t>ISSUE-0035</t>
        </is>
      </c>
      <c r="B36" s="2" t="inlineStr">
        <is>
          <t>jeminise.com+custom-patriotic-semi-truck-with-waving-american-flag-comforter-e01f2755b2-e01f2755b2</t>
        </is>
      </c>
      <c r="C36" s="2" t="inlineStr">
        <is>
          <t>img_43c67ac90b866c04</t>
        </is>
      </c>
      <c r="D36" s="2" t="inlineStr">
        <is>
          <t>MINOR</t>
        </is>
      </c>
      <c r="E36" s="2" t="inlineStr">
        <is>
          <t>image observation</t>
        </is>
      </c>
      <c r="F36" s="2" t="inlineStr">
        <is>
          <t>Easy-care, size guide or product feature image for personalized patriotic semi truck comforter with waving flag.</t>
        </is>
      </c>
      <c r="G36" s="2" t="inlineStr">
        <is>
          <t>Fresh image file: D:\Shopify_Workspace\jeminise_seo\seo_runs\jeminise.com\20260906_234129\qa\20260907_181000\images\094_06.jpg; source URL: https://cdn.shopify.com/s/files/1/0792/5098/1063/files/7c006bddc94d4763c71c8376307e195c1bbce73b8c802ec73ac5a8cef1291262_3e77a6fa-208f-43f0-9bfe-9283e787adc2.jpg?v=1785133055</t>
        </is>
      </c>
      <c r="H36" s="2" t="inlineStr">
        <is>
          <t>Observation is generic or position-based; rewrite from the actual image content.</t>
        </is>
      </c>
      <c r="I36" s="2" t="inlineStr">
        <is>
          <t>Rewrite observation/alt from the directly opened image, naming the visible motif and use context.</t>
        </is>
      </c>
      <c r="J36" s="2" t="inlineStr">
        <is>
          <t>Fresh image file: D:\Shopify_Workspace\jeminise_seo\seo_runs\jeminise.com\20260906_234129\qa\20260907_181000\images\094_06.jpg; source URL: https://cdn.shopify.com/s/files/1/0792/5098/1063/files/7c006bddc94d4763c71c8376307e195c1bbce73b8c802ec73ac5a8cef1291262_3e77a6fa-208f-43f0-9bfe-9283e787adc2.jpg?v=1785133055</t>
        </is>
      </c>
      <c r="K36" s="2" t="inlineStr">
        <is>
          <t>The image row accurately describes the actual media at this gallery position.</t>
        </is>
      </c>
    </row>
    <row r="37" ht="84" customHeight="1">
      <c r="A37" s="3" t="inlineStr">
        <is>
          <t>ISSUE-0036</t>
        </is>
      </c>
      <c r="B37" s="3" t="inlineStr">
        <is>
          <t>jeminise.com+custom-patriotic-semi-truck-with-waving-american-flag-comforter-e01f2755b2-e01f2755b2</t>
        </is>
      </c>
      <c r="C37" s="3" t="inlineStr">
        <is>
          <t>img_984fb4740e6408f6</t>
        </is>
      </c>
      <c r="D37" s="3" t="inlineStr">
        <is>
          <t>MINOR</t>
        </is>
      </c>
      <c r="E37" s="3" t="inlineStr">
        <is>
          <t>image observation</t>
        </is>
      </c>
      <c r="F37" s="3" t="inlineStr">
        <is>
          <t>Additional lifestyle, feature or product detail image showing personalized patriotic semi truck comforter with waving flag.</t>
        </is>
      </c>
      <c r="G37" s="3" t="inlineStr">
        <is>
          <t>Fresh image file: D:\Shopify_Workspace\jeminise_seo\seo_runs\jeminise.com\20260906_234129\qa\20260907_181000\images\094_07.jpg; source URL: https://cdn.shopify.com/s/files/1/0792/5098/1063/files/e5cad84edb4d7bf77c48fd7c8e52eb3b73f04eba8bf177671fd8a059c59422e8_1404e0c6-034c-4379-8c81-40648fd14b0d.jpg?v=1785133055</t>
        </is>
      </c>
      <c r="H37" s="3" t="inlineStr">
        <is>
          <t>Observation is generic or position-based; rewrite from the actual image content.</t>
        </is>
      </c>
      <c r="I37" s="3" t="inlineStr">
        <is>
          <t>Rewrite observation/alt from the directly opened image, naming the visible motif and use context.</t>
        </is>
      </c>
      <c r="J37" s="3" t="inlineStr">
        <is>
          <t>Fresh image file: D:\Shopify_Workspace\jeminise_seo\seo_runs\jeminise.com\20260906_234129\qa\20260907_181000\images\094_07.jpg; source URL: https://cdn.shopify.com/s/files/1/0792/5098/1063/files/e5cad84edb4d7bf77c48fd7c8e52eb3b73f04eba8bf177671fd8a059c59422e8_1404e0c6-034c-4379-8c81-40648fd14b0d.jpg?v=1785133055</t>
        </is>
      </c>
      <c r="K37" s="3" t="inlineStr">
        <is>
          <t>The image row accurately describes the actual media at this gallery position.</t>
        </is>
      </c>
    </row>
    <row r="38" ht="84" customHeight="1">
      <c r="A38" s="2" t="inlineStr">
        <is>
          <t>ISSUE-0037</t>
        </is>
      </c>
      <c r="B38" s="2" t="inlineStr">
        <is>
          <t>jeminise.com+custom-patriotic-trucking-semi-truck-below-waving-american-flag-comforter-05c0cd8623-05c0cd8623</t>
        </is>
      </c>
      <c r="C38" s="2" t="inlineStr"/>
      <c r="D38" s="2" t="inlineStr">
        <is>
          <t>MAJOR</t>
        </is>
      </c>
      <c r="E38" s="2" t="inlineStr">
        <is>
          <t>description_proposed_html</t>
        </is>
      </c>
      <c r="F38" s="2"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t>
        </is>
      </c>
      <c r="G38" s="2" t="inlineStr">
        <is>
          <t>Draft contains SEO Use / QA approval wording.</t>
        </is>
      </c>
      <c r="H38" s="2" t="inlineStr">
        <is>
          <t>Internal workflow language is not publish-ready storefront copy.</t>
        </is>
      </c>
      <c r="I38" s="2" t="inlineStr">
        <is>
          <t>Remove internal QA/import block and replace with customer-facing verified copy.</t>
        </is>
      </c>
      <c r="J38" s="2" t="inlineStr">
        <is>
          <t>Draft contains SEO Use / QA approval wording.</t>
        </is>
      </c>
      <c r="K38" s="2" t="inlineStr">
        <is>
          <t>Description HTML no longer contains SEO Use, QA, approval, import or draft language.</t>
        </is>
      </c>
    </row>
    <row r="39" ht="84" customHeight="1">
      <c r="A39" s="3" t="inlineStr">
        <is>
          <t>ISSUE-0038</t>
        </is>
      </c>
      <c r="B39" s="3" t="inlineStr">
        <is>
          <t>jeminise.com+custom-patriotic-trucking-semi-truck-below-waving-american-flag-comforter-05c0cd8623-05c0cd8623</t>
        </is>
      </c>
      <c r="C39" s="3" t="inlineStr"/>
      <c r="D39" s="3" t="inlineStr">
        <is>
          <t>MINOR</t>
        </is>
      </c>
      <c r="E39" s="3" t="inlineStr">
        <is>
          <t>meta_description_seo</t>
        </is>
      </c>
      <c r="F39" s="3" t="inlineStr">
        <is>
          <t>Shop a comforter set featuring red semi truck below a waving American flag at sunset with Your Name personalization text. Review size and personalization options before checkout.</t>
        </is>
      </c>
      <c r="G39" s="3" t="inlineStr">
        <is>
          <t>Meta description length is 178 characters.</t>
        </is>
      </c>
      <c r="H39" s="3" t="inlineStr">
        <is>
          <t>Likely to truncate in search results and repeats review/personality wording in several rows.</t>
        </is>
      </c>
      <c r="I39" s="3" t="inlineStr">
        <is>
          <t>Rewrite to roughly 145-155 characters while preserving verified design and product type.</t>
        </is>
      </c>
      <c r="J39" s="3" t="inlineStr">
        <is>
          <t>Meta description length is 178 characters.</t>
        </is>
      </c>
      <c r="K39" s="3" t="inlineStr">
        <is>
          <t>Length check &lt;=160 characters and no unsupported claim remains.</t>
        </is>
      </c>
    </row>
    <row r="40" ht="84" customHeight="1">
      <c r="A40" s="2" t="inlineStr">
        <is>
          <t>ISSUE-0039</t>
        </is>
      </c>
      <c r="B40" s="2" t="inlineStr">
        <is>
          <t>jeminise.com+custom-patriotic-trucking-semi-truck-below-waving-american-flag-comforter-05c0cd8623-05c0cd8623</t>
        </is>
      </c>
      <c r="C40" s="2" t="inlineStr"/>
      <c r="D40" s="2" t="inlineStr">
        <is>
          <t>MAJOR</t>
        </is>
      </c>
      <c r="E40" s="2" t="inlineStr">
        <is>
          <t>keyword_map</t>
        </is>
      </c>
      <c r="F40" s="2" t="inlineStr">
        <is>
          <t>red semi truck comforter</t>
        </is>
      </c>
      <c r="G40" s="2" t="inlineStr">
        <is>
          <t>https://jeminise.com/; https://www.desertcart.in/; https://www.wal-mart.com/; https://jeminise.com/; https://www.desertcart.in/; https://www.wal-mart.com/</t>
        </is>
      </c>
      <c r="H40" s="2" t="inlineStr">
        <is>
          <t>Batch cluster contains several very similar products, so keyword/intent differentiation must be sharper.</t>
        </is>
      </c>
      <c r="I40" s="2" t="inlineStr">
        <is>
          <t>Add unique visible motif modifiers and avoid assigning the same generic product keyword to multiple URLs.</t>
        </is>
      </c>
      <c r="J40" s="2" t="inlineStr">
        <is>
          <t>https://jeminise.com/; https://www.desertcart.in/; https://www.wal-mart.com/; https://jeminise.com/; https://www.desertcart.in/; https://www.wal-mart.com/</t>
        </is>
      </c>
      <c r="K40" s="2" t="inlineStr">
        <is>
          <t>SERP notes and title/meta show a distinct product-level query for this exact design.</t>
        </is>
      </c>
    </row>
    <row r="41" ht="84" customHeight="1">
      <c r="A41" s="3" t="inlineStr">
        <is>
          <t>ISSUE-0040</t>
        </is>
      </c>
      <c r="B41" s="3" t="inlineStr">
        <is>
          <t>jeminise.com+custom-patriotic-trucking-semi-truck-below-waving-american-flag-comforter-05c0cd8623-05c0cd8623</t>
        </is>
      </c>
      <c r="C41" s="3" t="inlineStr"/>
      <c r="D41" s="3" t="inlineStr">
        <is>
          <t>LIMITATION</t>
        </is>
      </c>
      <c r="E41" s="3" t="inlineStr">
        <is>
          <t>keyword_evidence_level</t>
        </is>
      </c>
      <c r="F41" s="3" t="inlineStr">
        <is>
          <t>SERP_ONLY</t>
        </is>
      </c>
      <c r="G41" s="3" t="inlineStr">
        <is>
          <t>Only public SERP comparables are available.</t>
        </is>
      </c>
      <c r="H41" s="3" t="inlineStr">
        <is>
          <t>No Search Console, paid keyword volume or internal site search export was supplied.</t>
        </is>
      </c>
      <c r="I41" s="3" t="inlineStr">
        <is>
          <t>Keep demand statements qualitative; do not claim volume or ranking potential.</t>
        </is>
      </c>
      <c r="J41" s="3" t="inlineStr">
        <is>
          <t>Only public SERP comparables are available.</t>
        </is>
      </c>
      <c r="K41" s="3" t="inlineStr">
        <is>
          <t>Additional first-party or paid keyword evidence is attached, or limitation remains documented.</t>
        </is>
      </c>
    </row>
    <row r="42" ht="84" customHeight="1">
      <c r="A42" s="2" t="inlineStr">
        <is>
          <t>ISSUE-0041</t>
        </is>
      </c>
      <c r="B42" s="2" t="inlineStr">
        <is>
          <t>jeminise.com+custom-patriotic-trucking-semi-truck-below-waving-american-flag-comforter-05c0cd8623-05c0cd8623</t>
        </is>
      </c>
      <c r="C42" s="2" t="inlineStr">
        <is>
          <t>img_1552cf2e07d20e29</t>
        </is>
      </c>
      <c r="D42" s="2" t="inlineStr">
        <is>
          <t>MINOR</t>
        </is>
      </c>
      <c r="E42" s="2" t="inlineStr">
        <is>
          <t>alt text</t>
        </is>
      </c>
      <c r="F42" s="2" t="inlineStr">
        <is>
          <t>Personalized Red Semi Truck Flag Comforter displayed in a main product mockup</t>
        </is>
      </c>
      <c r="G42" s="2" t="inlineStr">
        <is>
          <t>Fresh image file: D:\Shopify_Workspace\jeminise_seo\seo_runs\jeminise.com\20260906_234129\qa\20260907_181000\images\095_01.jpg; source URL: https://cdn.shopify.com/s/files/1/0792/5098/1063/files/2ade86cd5ab3acf0f2e78f8ceab6ed08c167347de0f532b69f287d8356e45ef3.jpg?v=1785132905</t>
        </is>
      </c>
      <c r="H42" s="2" t="inlineStr">
        <is>
          <t>Alt text is too generic or describes placement more than visible content.</t>
        </is>
      </c>
      <c r="I42" s="2" t="inlineStr">
        <is>
          <t>Rewrite observation/alt from the directly opened image, naming the visible motif and use context.</t>
        </is>
      </c>
      <c r="J42" s="2" t="inlineStr">
        <is>
          <t>Fresh image file: D:\Shopify_Workspace\jeminise_seo\seo_runs\jeminise.com\20260906_234129\qa\20260907_181000\images\095_01.jpg; source URL: https://cdn.shopify.com/s/files/1/0792/5098/1063/files/2ade86cd5ab3acf0f2e78f8ceab6ed08c167347de0f532b69f287d8356e45ef3.jpg?v=1785132905</t>
        </is>
      </c>
      <c r="K42" s="2" t="inlineStr">
        <is>
          <t>The image row accurately describes the actual media at this gallery position.</t>
        </is>
      </c>
    </row>
    <row r="43" ht="84" customHeight="1">
      <c r="A43" s="3" t="inlineStr">
        <is>
          <t>ISSUE-0042</t>
        </is>
      </c>
      <c r="B43" s="3" t="inlineStr">
        <is>
          <t>jeminise.com+custom-patriotic-trucking-semi-truck-below-waving-american-flag-comforter-05c0cd8623-05c0cd8623</t>
        </is>
      </c>
      <c r="C43" s="3" t="inlineStr">
        <is>
          <t>img_83e0bdcfa628351a</t>
        </is>
      </c>
      <c r="D43" s="3" t="inlineStr">
        <is>
          <t>MINOR</t>
        </is>
      </c>
      <c r="E43" s="3" t="inlineStr">
        <is>
          <t>image observation</t>
        </is>
      </c>
      <c r="F43" s="3" t="inlineStr">
        <is>
          <t>Bedding type, feature, lifestyle or material image for personalized red semi truck sunset flag comforter.</t>
        </is>
      </c>
      <c r="G43" s="3" t="inlineStr">
        <is>
          <t>Fresh image file: D:\Shopify_Workspace\jeminise_seo\seo_runs\jeminise.com\20260906_234129\qa\20260907_181000\images\095_03.jpg; source URL: https://cdn.shopify.com/s/files/1/0792/5098/1063/files/16f7293cbefa5743a35b2e6316a5a114e5c052d08151e367dafd26aa5e2e542b_551b2c3e-9c31-4c48-841f-26759e261b95.jpg?v=1785132905</t>
        </is>
      </c>
      <c r="H43" s="3" t="inlineStr">
        <is>
          <t>Observation is generic or position-based; rewrite from the actual image content.</t>
        </is>
      </c>
      <c r="I43" s="3" t="inlineStr">
        <is>
          <t>Rewrite observation/alt from the directly opened image, naming the visible motif and use context.</t>
        </is>
      </c>
      <c r="J43" s="3" t="inlineStr">
        <is>
          <t>Fresh image file: D:\Shopify_Workspace\jeminise_seo\seo_runs\jeminise.com\20260906_234129\qa\20260907_181000\images\095_03.jpg; source URL: https://cdn.shopify.com/s/files/1/0792/5098/1063/files/16f7293cbefa5743a35b2e6316a5a114e5c052d08151e367dafd26aa5e2e542b_551b2c3e-9c31-4c48-841f-26759e261b95.jpg?v=1785132905</t>
        </is>
      </c>
      <c r="K43" s="3" t="inlineStr">
        <is>
          <t>The image row accurately describes the actual media at this gallery position.</t>
        </is>
      </c>
    </row>
    <row r="44" ht="84" customHeight="1">
      <c r="A44" s="2" t="inlineStr">
        <is>
          <t>ISSUE-0043</t>
        </is>
      </c>
      <c r="B44" s="2" t="inlineStr">
        <is>
          <t>jeminise.com+custom-patriotic-trucking-semi-truck-below-waving-american-flag-comforter-05c0cd8623-05c0cd8623</t>
        </is>
      </c>
      <c r="C44" s="2" t="inlineStr">
        <is>
          <t>img_0e5dbeb28f65dcdd</t>
        </is>
      </c>
      <c r="D44" s="2" t="inlineStr">
        <is>
          <t>MINOR</t>
        </is>
      </c>
      <c r="E44" s="2" t="inlineStr">
        <is>
          <t>image observation</t>
        </is>
      </c>
      <c r="F44" s="2" t="inlineStr">
        <is>
          <t>Detail, feature panel or lifestyle image connected to personalized red semi truck sunset flag comforter.</t>
        </is>
      </c>
      <c r="G44" s="2" t="inlineStr">
        <is>
          <t>Fresh image file: D:\Shopify_Workspace\jeminise_seo\seo_runs\jeminise.com\20260906_234129\qa\20260907_181000\images\095_04.jpg; source URL: https://cdn.shopify.com/s/files/1/0792/5098/1063/files/f6fcebd3a58660186982351598e9d169ef3cb952109cd4aea22a684f16f7b49c.jpg?v=1785132905</t>
        </is>
      </c>
      <c r="H44" s="2" t="inlineStr">
        <is>
          <t>Observation is generic or position-based; rewrite from the actual image content.</t>
        </is>
      </c>
      <c r="I44" s="2" t="inlineStr">
        <is>
          <t>Rewrite observation/alt from the directly opened image, naming the visible motif and use context.</t>
        </is>
      </c>
      <c r="J44" s="2" t="inlineStr">
        <is>
          <t>Fresh image file: D:\Shopify_Workspace\jeminise_seo\seo_runs\jeminise.com\20260906_234129\qa\20260907_181000\images\095_04.jpg; source URL: https://cdn.shopify.com/s/files/1/0792/5098/1063/files/f6fcebd3a58660186982351598e9d169ef3cb952109cd4aea22a684f16f7b49c.jpg?v=1785132905</t>
        </is>
      </c>
      <c r="K44" s="2" t="inlineStr">
        <is>
          <t>The image row accurately describes the actual media at this gallery position.</t>
        </is>
      </c>
    </row>
    <row r="45" ht="84" customHeight="1">
      <c r="A45" s="3" t="inlineStr">
        <is>
          <t>ISSUE-0044</t>
        </is>
      </c>
      <c r="B45" s="3" t="inlineStr">
        <is>
          <t>jeminise.com+custom-patriotic-trucking-semi-truck-below-waving-american-flag-comforter-05c0cd8623-05c0cd8623</t>
        </is>
      </c>
      <c r="C45" s="3" t="inlineStr">
        <is>
          <t>img_e4f696dcfcf7f7bc</t>
        </is>
      </c>
      <c r="D45" s="3" t="inlineStr">
        <is>
          <t>MINOR</t>
        </is>
      </c>
      <c r="E45" s="3" t="inlineStr">
        <is>
          <t>image observation</t>
        </is>
      </c>
      <c r="F45" s="3" t="inlineStr">
        <is>
          <t>Easy-care, size guide or product feature image for personalized red semi truck sunset flag comforter.</t>
        </is>
      </c>
      <c r="G45" s="3" t="inlineStr">
        <is>
          <t>Fresh image file: D:\Shopify_Workspace\jeminise_seo\seo_runs\jeminise.com\20260906_234129\qa\20260907_181000\images\095_06.jpg; source URL: https://cdn.shopify.com/s/files/1/0792/5098/1063/files/7c006bddc94d4763c71c8376307e195c1bbce73b8c802ec73ac5a8cef1291262_5f849c7c-73dd-47b1-9f2a-e49c4d79be90.jpg?v=1785132905</t>
        </is>
      </c>
      <c r="H45" s="3" t="inlineStr">
        <is>
          <t>Observation is generic or position-based; rewrite from the actual image content.</t>
        </is>
      </c>
      <c r="I45" s="3" t="inlineStr">
        <is>
          <t>Rewrite observation/alt from the directly opened image, naming the visible motif and use context.</t>
        </is>
      </c>
      <c r="J45" s="3" t="inlineStr">
        <is>
          <t>Fresh image file: D:\Shopify_Workspace\jeminise_seo\seo_runs\jeminise.com\20260906_234129\qa\20260907_181000\images\095_06.jpg; source URL: https://cdn.shopify.com/s/files/1/0792/5098/1063/files/7c006bddc94d4763c71c8376307e195c1bbce73b8c802ec73ac5a8cef1291262_5f849c7c-73dd-47b1-9f2a-e49c4d79be90.jpg?v=1785132905</t>
        </is>
      </c>
      <c r="K45" s="3" t="inlineStr">
        <is>
          <t>The image row accurately describes the actual media at this gallery position.</t>
        </is>
      </c>
    </row>
    <row r="46" ht="84" customHeight="1">
      <c r="A46" s="2" t="inlineStr">
        <is>
          <t>ISSUE-0045</t>
        </is>
      </c>
      <c r="B46" s="2" t="inlineStr">
        <is>
          <t>jeminise.com+custom-patriotic-trucking-semi-truck-below-waving-american-flag-comforter-05c0cd8623-05c0cd8623</t>
        </is>
      </c>
      <c r="C46" s="2" t="inlineStr">
        <is>
          <t>img_25e7eb0d4db371a6</t>
        </is>
      </c>
      <c r="D46" s="2" t="inlineStr">
        <is>
          <t>MINOR</t>
        </is>
      </c>
      <c r="E46" s="2" t="inlineStr">
        <is>
          <t>image observation</t>
        </is>
      </c>
      <c r="F46" s="2" t="inlineStr">
        <is>
          <t>Additional lifestyle, feature or product detail image showing personalized red semi truck sunset flag comforter.</t>
        </is>
      </c>
      <c r="G46" s="2" t="inlineStr">
        <is>
          <t>Fresh image file: D:\Shopify_Workspace\jeminise_seo\seo_runs\jeminise.com\20260906_234129\qa\20260907_181000\images\095_07.jpg; source URL: https://cdn.shopify.com/s/files/1/0792/5098/1063/files/e5cad84edb4d7bf77c48fd7c8e52eb3b73f04eba8bf177671fd8a059c59422e8_f2f4fdb3-ac8e-4de2-9067-ff7a83155a01.jpg?v=1785132905</t>
        </is>
      </c>
      <c r="H46" s="2" t="inlineStr">
        <is>
          <t>Observation is generic or position-based; rewrite from the actual image content.</t>
        </is>
      </c>
      <c r="I46" s="2" t="inlineStr">
        <is>
          <t>Rewrite observation/alt from the directly opened image, naming the visible motif and use context.</t>
        </is>
      </c>
      <c r="J46" s="2" t="inlineStr">
        <is>
          <t>Fresh image file: D:\Shopify_Workspace\jeminise_seo\seo_runs\jeminise.com\20260906_234129\qa\20260907_181000\images\095_07.jpg; source URL: https://cdn.shopify.com/s/files/1/0792/5098/1063/files/e5cad84edb4d7bf77c48fd7c8e52eb3b73f04eba8bf177671fd8a059c59422e8_f2f4fdb3-ac8e-4de2-9067-ff7a83155a01.jpg?v=1785132905</t>
        </is>
      </c>
      <c r="K46" s="2" t="inlineStr">
        <is>
          <t>The image row accurately describes the actual media at this gallery position.</t>
        </is>
      </c>
    </row>
    <row r="47" ht="84" customHeight="1">
      <c r="A47" s="3" t="inlineStr">
        <is>
          <t>ISSUE-0046</t>
        </is>
      </c>
      <c r="B47" s="3" t="inlineStr">
        <is>
          <t>jeminise.com+custom-photo-quilt-bicycle-flowers-07e2c6fca1-07e2c6fca1</t>
        </is>
      </c>
      <c r="C47" s="3" t="inlineStr"/>
      <c r="D47" s="3" t="inlineStr">
        <is>
          <t>MAJOR</t>
        </is>
      </c>
      <c r="E47" s="3" t="inlineStr">
        <is>
          <t>description_proposed_html</t>
        </is>
      </c>
      <c r="F47" s="3"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t>
        </is>
      </c>
      <c r="G47" s="3" t="inlineStr">
        <is>
          <t>Draft contains SEO Use / QA approval wording.</t>
        </is>
      </c>
      <c r="H47" s="3" t="inlineStr">
        <is>
          <t>Internal workflow language is not publish-ready storefront copy.</t>
        </is>
      </c>
      <c r="I47" s="3" t="inlineStr">
        <is>
          <t>Remove internal QA/import block and replace with customer-facing verified copy.</t>
        </is>
      </c>
      <c r="J47" s="3" t="inlineStr">
        <is>
          <t>Draft contains SEO Use / QA approval wording.</t>
        </is>
      </c>
      <c r="K47" s="3" t="inlineStr">
        <is>
          <t>Description HTML no longer contains SEO Use, QA, approval, import or draft language.</t>
        </is>
      </c>
    </row>
    <row r="48" ht="84" customHeight="1">
      <c r="A48" s="2" t="inlineStr">
        <is>
          <t>ISSUE-0047</t>
        </is>
      </c>
      <c r="B48" s="2" t="inlineStr">
        <is>
          <t>jeminise.com+custom-photo-quilt-bicycle-flowers-07e2c6fca1-07e2c6fca1</t>
        </is>
      </c>
      <c r="C48" s="2" t="inlineStr"/>
      <c r="D48" s="2" t="inlineStr">
        <is>
          <t>MINOR</t>
        </is>
      </c>
      <c r="E48" s="2" t="inlineStr">
        <is>
          <t>meta_description_seo</t>
        </is>
      </c>
      <c r="F48" s="2" t="inlineStr">
        <is>
          <t>Shop a quilt set featuring photo collage quilt template with multiple personal image panels and central Your Text Here message area. Review size and personalization options before checkout.</t>
        </is>
      </c>
      <c r="G48" s="2" t="inlineStr">
        <is>
          <t>Meta description length is 189 characters.</t>
        </is>
      </c>
      <c r="H48" s="2" t="inlineStr">
        <is>
          <t>Likely to truncate in search results and repeats review/personality wording in several rows.</t>
        </is>
      </c>
      <c r="I48" s="2" t="inlineStr">
        <is>
          <t>Rewrite to roughly 145-155 characters while preserving verified design and product type.</t>
        </is>
      </c>
      <c r="J48" s="2" t="inlineStr">
        <is>
          <t>Meta description length is 189 characters.</t>
        </is>
      </c>
      <c r="K48" s="2" t="inlineStr">
        <is>
          <t>Length check &lt;=160 characters and no unsupported claim remains.</t>
        </is>
      </c>
    </row>
    <row r="49" ht="84" customHeight="1">
      <c r="A49" s="3" t="inlineStr">
        <is>
          <t>ISSUE-0048</t>
        </is>
      </c>
      <c r="B49" s="3" t="inlineStr">
        <is>
          <t>jeminise.com+custom-photo-quilt-bicycle-flowers-07e2c6fca1-07e2c6fca1</t>
        </is>
      </c>
      <c r="C49" s="3" t="inlineStr"/>
      <c r="D49" s="3" t="inlineStr">
        <is>
          <t>LIMITATION</t>
        </is>
      </c>
      <c r="E49" s="3" t="inlineStr">
        <is>
          <t>keyword_evidence_level</t>
        </is>
      </c>
      <c r="F49" s="3" t="inlineStr">
        <is>
          <t>SERP_ONLY</t>
        </is>
      </c>
      <c r="G49" s="3" t="inlineStr">
        <is>
          <t>Only public SERP comparables are available.</t>
        </is>
      </c>
      <c r="H49" s="3" t="inlineStr">
        <is>
          <t>No Search Console, paid keyword volume or internal site search export was supplied.</t>
        </is>
      </c>
      <c r="I49" s="3" t="inlineStr">
        <is>
          <t>Keep demand statements qualitative; do not claim volume or ranking potential.</t>
        </is>
      </c>
      <c r="J49" s="3" t="inlineStr">
        <is>
          <t>Only public SERP comparables are available.</t>
        </is>
      </c>
      <c r="K49" s="3" t="inlineStr">
        <is>
          <t>Additional first-party or paid keyword evidence is attached, or limitation remains documented.</t>
        </is>
      </c>
    </row>
    <row r="50" ht="84" customHeight="1">
      <c r="A50" s="2" t="inlineStr">
        <is>
          <t>ISSUE-0049</t>
        </is>
      </c>
      <c r="B50" s="2" t="inlineStr">
        <is>
          <t>jeminise.com+custom-photo-quilt-bicycle-flowers-07e2c6fca1-07e2c6fca1</t>
        </is>
      </c>
      <c r="C50" s="2" t="inlineStr">
        <is>
          <t>img_ca784677469f6920</t>
        </is>
      </c>
      <c r="D50" s="2" t="inlineStr">
        <is>
          <t>MINOR</t>
        </is>
      </c>
      <c r="E50" s="2" t="inlineStr">
        <is>
          <t>alt text</t>
        </is>
      </c>
      <c r="F50" s="2" t="inlineStr">
        <is>
          <t>Custom Photo Collage Quilt Set displayed in a main product mockup</t>
        </is>
      </c>
      <c r="G50" s="2" t="inlineStr">
        <is>
          <t>Fresh image file: D:\Shopify_Workspace\jeminise_seo\seo_runs\jeminise.com\20260906_234129\qa\20260907_181000\images\096_01.jpg; source URL: https://cdn.shopify.com/s/files/1/0792/5098/1063/files/d642de2fc85572ce4b3843164c4a712bf96852e46789ec09b81e744bdf123b1d.jpg?v=1785103353</t>
        </is>
      </c>
      <c r="H50" s="2" t="inlineStr">
        <is>
          <t>Alt text is too generic or describes placement more than visible content.</t>
        </is>
      </c>
      <c r="I50" s="2" t="inlineStr">
        <is>
          <t>Rewrite observation/alt from the directly opened image, naming the visible motif and use context.</t>
        </is>
      </c>
      <c r="J50" s="2" t="inlineStr">
        <is>
          <t>Fresh image file: D:\Shopify_Workspace\jeminise_seo\seo_runs\jeminise.com\20260906_234129\qa\20260907_181000\images\096_01.jpg; source URL: https://cdn.shopify.com/s/files/1/0792/5098/1063/files/d642de2fc85572ce4b3843164c4a712bf96852e46789ec09b81e744bdf123b1d.jpg?v=1785103353</t>
        </is>
      </c>
      <c r="K50" s="2" t="inlineStr">
        <is>
          <t>The image row accurately describes the actual media at this gallery position.</t>
        </is>
      </c>
    </row>
    <row r="51" ht="84" customHeight="1">
      <c r="A51" s="3" t="inlineStr">
        <is>
          <t>ISSUE-0050</t>
        </is>
      </c>
      <c r="B51" s="3" t="inlineStr">
        <is>
          <t>jeminise.com+custom-photo-quilt-bicycle-flowers-07e2c6fca1-07e2c6fca1</t>
        </is>
      </c>
      <c r="C51" s="3" t="inlineStr">
        <is>
          <t>img_daa01ec21af66201</t>
        </is>
      </c>
      <c r="D51" s="3" t="inlineStr">
        <is>
          <t>MINOR</t>
        </is>
      </c>
      <c r="E51" s="3" t="inlineStr">
        <is>
          <t>image observation</t>
        </is>
      </c>
      <c r="F51" s="3" t="inlineStr">
        <is>
          <t>Bedding type, feature, lifestyle or material image for custom photo collage quilt with text.</t>
        </is>
      </c>
      <c r="G51" s="3" t="inlineStr">
        <is>
          <t>Fresh image file: D:\Shopify_Workspace\jeminise_seo\seo_runs\jeminise.com\20260906_234129\qa\20260907_181000\images\096_03.jpg; source URL: https://cdn.shopify.com/s/files/1/0792/5098/1063/files/3ce7f4c9f185774a2e416704ca3c2e69b2c88c7bf8f51a22e8d0b8821161561e.jpg?v=1785103353</t>
        </is>
      </c>
      <c r="H51" s="3" t="inlineStr">
        <is>
          <t>Observation is generic or position-based; rewrite from the actual image content.</t>
        </is>
      </c>
      <c r="I51" s="3" t="inlineStr">
        <is>
          <t>Rewrite observation/alt from the directly opened image, naming the visible motif and use context.</t>
        </is>
      </c>
      <c r="J51" s="3" t="inlineStr">
        <is>
          <t>Fresh image file: D:\Shopify_Workspace\jeminise_seo\seo_runs\jeminise.com\20260906_234129\qa\20260907_181000\images\096_03.jpg; source URL: https://cdn.shopify.com/s/files/1/0792/5098/1063/files/3ce7f4c9f185774a2e416704ca3c2e69b2c88c7bf8f51a22e8d0b8821161561e.jpg?v=1785103353</t>
        </is>
      </c>
      <c r="K51" s="3" t="inlineStr">
        <is>
          <t>The image row accurately describes the actual media at this gallery position.</t>
        </is>
      </c>
    </row>
    <row r="52" ht="84" customHeight="1">
      <c r="A52" s="2" t="inlineStr">
        <is>
          <t>ISSUE-0051</t>
        </is>
      </c>
      <c r="B52" s="2" t="inlineStr">
        <is>
          <t>jeminise.com+custom-photo-quilt-bicycle-flowers-07e2c6fca1-07e2c6fca1</t>
        </is>
      </c>
      <c r="C52" s="2" t="inlineStr">
        <is>
          <t>img_7cf16cd15e47bc7a</t>
        </is>
      </c>
      <c r="D52" s="2" t="inlineStr">
        <is>
          <t>MINOR</t>
        </is>
      </c>
      <c r="E52" s="2" t="inlineStr">
        <is>
          <t>image observation</t>
        </is>
      </c>
      <c r="F52" s="2" t="inlineStr">
        <is>
          <t>Detail, feature panel or lifestyle image connected to custom photo collage quilt with text.</t>
        </is>
      </c>
      <c r="G52" s="2" t="inlineStr">
        <is>
          <t>Fresh image file: D:\Shopify_Workspace\jeminise_seo\seo_runs\jeminise.com\20260906_234129\qa\20260907_181000\images\096_04.jpg; source URL: https://cdn.shopify.com/s/files/1/0792/5098/1063/files/f6a3692d3aa189160ac42ddbe8ec414e71ba966437ecc51a73f56f3b992d89ce.jpg?v=1785103353</t>
        </is>
      </c>
      <c r="H52" s="2" t="inlineStr">
        <is>
          <t>Observation is generic or position-based; rewrite from the actual image content.</t>
        </is>
      </c>
      <c r="I52" s="2" t="inlineStr">
        <is>
          <t>Rewrite observation/alt from the directly opened image, naming the visible motif and use context.</t>
        </is>
      </c>
      <c r="J52" s="2" t="inlineStr">
        <is>
          <t>Fresh image file: D:\Shopify_Workspace\jeminise_seo\seo_runs\jeminise.com\20260906_234129\qa\20260907_181000\images\096_04.jpg; source URL: https://cdn.shopify.com/s/files/1/0792/5098/1063/files/f6a3692d3aa189160ac42ddbe8ec414e71ba966437ecc51a73f56f3b992d89ce.jpg?v=1785103353</t>
        </is>
      </c>
      <c r="K52" s="2" t="inlineStr">
        <is>
          <t>The image row accurately describes the actual media at this gallery position.</t>
        </is>
      </c>
    </row>
    <row r="53" ht="84" customHeight="1">
      <c r="A53" s="3" t="inlineStr">
        <is>
          <t>ISSUE-0052</t>
        </is>
      </c>
      <c r="B53" s="3" t="inlineStr">
        <is>
          <t>jeminise.com+custom-photo-quilt-bicycle-flowers-07e2c6fca1-07e2c6fca1</t>
        </is>
      </c>
      <c r="C53" s="3" t="inlineStr">
        <is>
          <t>img_4c82ee34ca37d58a</t>
        </is>
      </c>
      <c r="D53" s="3" t="inlineStr">
        <is>
          <t>MINOR</t>
        </is>
      </c>
      <c r="E53" s="3" t="inlineStr">
        <is>
          <t>image observation</t>
        </is>
      </c>
      <c r="F53" s="3" t="inlineStr">
        <is>
          <t>Easy-care, size guide or product feature image for custom photo collage quilt with text.</t>
        </is>
      </c>
      <c r="G53" s="3" t="inlineStr">
        <is>
          <t>Fresh image file: D:\Shopify_Workspace\jeminise_seo\seo_runs\jeminise.com\20260906_234129\qa\20260907_181000\images\096_06.jpg; source URL: https://cdn.shopify.com/s/files/1/0792/5098/1063/files/12e0170316324347b1c2fc3bb335cf00c3e4d5ebac978b565d2bca74e67e4aeb.jpg?v=1785103353</t>
        </is>
      </c>
      <c r="H53" s="3" t="inlineStr">
        <is>
          <t>Observation is generic or position-based; rewrite from the actual image content.</t>
        </is>
      </c>
      <c r="I53" s="3" t="inlineStr">
        <is>
          <t>Rewrite observation/alt from the directly opened image, naming the visible motif and use context.</t>
        </is>
      </c>
      <c r="J53" s="3" t="inlineStr">
        <is>
          <t>Fresh image file: D:\Shopify_Workspace\jeminise_seo\seo_runs\jeminise.com\20260906_234129\qa\20260907_181000\images\096_06.jpg; source URL: https://cdn.shopify.com/s/files/1/0792/5098/1063/files/12e0170316324347b1c2fc3bb335cf00c3e4d5ebac978b565d2bca74e67e4aeb.jpg?v=1785103353</t>
        </is>
      </c>
      <c r="K53" s="3" t="inlineStr">
        <is>
          <t>The image row accurately describes the actual media at this gallery position.</t>
        </is>
      </c>
    </row>
    <row r="54" ht="84" customHeight="1">
      <c r="A54" s="2" t="inlineStr">
        <is>
          <t>ISSUE-0053</t>
        </is>
      </c>
      <c r="B54" s="2" t="inlineStr">
        <is>
          <t>jeminise.com+custom-photo-quilt-bicycle-flowers-07e2c6fca1-07e2c6fca1</t>
        </is>
      </c>
      <c r="C54" s="2" t="inlineStr">
        <is>
          <t>img_cfed95c0fda41dcc</t>
        </is>
      </c>
      <c r="D54" s="2" t="inlineStr">
        <is>
          <t>MINOR</t>
        </is>
      </c>
      <c r="E54" s="2" t="inlineStr">
        <is>
          <t>image observation</t>
        </is>
      </c>
      <c r="F54" s="2" t="inlineStr">
        <is>
          <t>Additional lifestyle, feature or product detail image showing custom photo collage quilt with text.</t>
        </is>
      </c>
      <c r="G54" s="2" t="inlineStr">
        <is>
          <t>Fresh image file: D:\Shopify_Workspace\jeminise_seo\seo_runs\jeminise.com\20260906_234129\qa\20260907_181000\images\096_07.jpg; source URL: https://cdn.shopify.com/s/files/1/0792/5098/1063/files/7ff043f609e6b3494b859585c800681b91bfdbcca52d1a21fbb5594379cbe34a.jpg?v=1785103353</t>
        </is>
      </c>
      <c r="H54" s="2" t="inlineStr">
        <is>
          <t>Observation is generic or position-based; rewrite from the actual image content.</t>
        </is>
      </c>
      <c r="I54" s="2" t="inlineStr">
        <is>
          <t>Rewrite observation/alt from the directly opened image, naming the visible motif and use context.</t>
        </is>
      </c>
      <c r="J54" s="2" t="inlineStr">
        <is>
          <t>Fresh image file: D:\Shopify_Workspace\jeminise_seo\seo_runs\jeminise.com\20260906_234129\qa\20260907_181000\images\096_07.jpg; source URL: https://cdn.shopify.com/s/files/1/0792/5098/1063/files/7ff043f609e6b3494b859585c800681b91bfdbcca52d1a21fbb5594379cbe34a.jpg?v=1785103353</t>
        </is>
      </c>
      <c r="K54" s="2" t="inlineStr">
        <is>
          <t>The image row accurately describes the actual media at this gallery position.</t>
        </is>
      </c>
    </row>
    <row r="55" ht="84" customHeight="1">
      <c r="A55" s="3" t="inlineStr">
        <is>
          <t>ISSUE-0054</t>
        </is>
      </c>
      <c r="B55" s="3" t="inlineStr">
        <is>
          <t>jeminise.com+custom-purple-butterflies-text-blanket-machine-washable-d7b</t>
        </is>
      </c>
      <c r="C55" s="3" t="inlineStr"/>
      <c r="D55" s="3" t="inlineStr">
        <is>
          <t>MAJOR</t>
        </is>
      </c>
      <c r="E55" s="3" t="inlineStr">
        <is>
          <t>description_proposed_html</t>
        </is>
      </c>
      <c r="F55" s="3"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t>
        </is>
      </c>
      <c r="G55" s="3" t="inlineStr">
        <is>
          <t>Draft contains SEO Use / QA approval wording.</t>
        </is>
      </c>
      <c r="H55" s="3" t="inlineStr">
        <is>
          <t>Internal workflow language is not publish-ready storefront copy.</t>
        </is>
      </c>
      <c r="I55" s="3" t="inlineStr">
        <is>
          <t>Remove internal QA/import block and replace with customer-facing verified copy.</t>
        </is>
      </c>
      <c r="J55" s="3" t="inlineStr">
        <is>
          <t>Draft contains SEO Use / QA approval wording.</t>
        </is>
      </c>
      <c r="K55" s="3" t="inlineStr">
        <is>
          <t>Description HTML no longer contains SEO Use, QA, approval, import or draft language.</t>
        </is>
      </c>
    </row>
    <row r="56" ht="84" customHeight="1">
      <c r="A56" s="2" t="inlineStr">
        <is>
          <t>ISSUE-0055</t>
        </is>
      </c>
      <c r="B56" s="2" t="inlineStr">
        <is>
          <t>jeminise.com+custom-purple-butterflies-text-blanket-machine-washable-d7b</t>
        </is>
      </c>
      <c r="C56" s="2" t="inlineStr"/>
      <c r="D56" s="2" t="inlineStr">
        <is>
          <t>MINOR</t>
        </is>
      </c>
      <c r="E56" s="2" t="inlineStr">
        <is>
          <t>meta_description_seo</t>
        </is>
      </c>
      <c r="F56" s="2" t="inlineStr">
        <is>
          <t>Shop a blanket featuring purple God Says I Am blanket with monarch-style butterflies, Elizabeth name and Bible verse affirmation blocks. Review size and personalization options before checkout.</t>
        </is>
      </c>
      <c r="G56" s="2" t="inlineStr">
        <is>
          <t>Meta description length is 193 characters.</t>
        </is>
      </c>
      <c r="H56" s="2" t="inlineStr">
        <is>
          <t>Likely to truncate in search results and repeats review/personality wording in several rows.</t>
        </is>
      </c>
      <c r="I56" s="2" t="inlineStr">
        <is>
          <t>Rewrite to roughly 145-155 characters while preserving verified design and product type.</t>
        </is>
      </c>
      <c r="J56" s="2" t="inlineStr">
        <is>
          <t>Meta description length is 193 characters.</t>
        </is>
      </c>
      <c r="K56" s="2" t="inlineStr">
        <is>
          <t>Length check &lt;=160 characters and no unsupported claim remains.</t>
        </is>
      </c>
    </row>
    <row r="57" ht="84" customHeight="1">
      <c r="A57" s="3" t="inlineStr">
        <is>
          <t>ISSUE-0056</t>
        </is>
      </c>
      <c r="B57" s="3" t="inlineStr">
        <is>
          <t>jeminise.com+custom-purple-butterflies-text-blanket-machine-washable-d7b</t>
        </is>
      </c>
      <c r="C57" s="3" t="inlineStr"/>
      <c r="D57" s="3" t="inlineStr">
        <is>
          <t>MAJOR</t>
        </is>
      </c>
      <c r="E57" s="3" t="inlineStr">
        <is>
          <t>keyword_map</t>
        </is>
      </c>
      <c r="F57" s="3" t="inlineStr">
        <is>
          <t>purple God Says I Am blanket</t>
        </is>
      </c>
      <c r="G57" s="3"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t>
        </is>
      </c>
      <c r="H57" s="3" t="inlineStr">
        <is>
          <t>Batch cluster contains several very similar products, so keyword/intent differentiation must be sharper.</t>
        </is>
      </c>
      <c r="I57" s="3" t="inlineStr">
        <is>
          <t>Add unique visible motif modifiers and avoid assigning the same generic product keyword to multiple URLs.</t>
        </is>
      </c>
      <c r="J57" s="3"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t>
        </is>
      </c>
      <c r="K57" s="3" t="inlineStr">
        <is>
          <t>SERP notes and title/meta show a distinct product-level query for this exact design.</t>
        </is>
      </c>
    </row>
    <row r="58" ht="84" customHeight="1">
      <c r="A58" s="2" t="inlineStr">
        <is>
          <t>ISSUE-0057</t>
        </is>
      </c>
      <c r="B58" s="2" t="inlineStr">
        <is>
          <t>jeminise.com+custom-purple-butterflies-text-blanket-machine-washable-d7b</t>
        </is>
      </c>
      <c r="C58" s="2" t="inlineStr"/>
      <c r="D58" s="2" t="inlineStr">
        <is>
          <t>LIMITATION</t>
        </is>
      </c>
      <c r="E58" s="2" t="inlineStr">
        <is>
          <t>keyword_evidence_level</t>
        </is>
      </c>
      <c r="F58" s="2" t="inlineStr">
        <is>
          <t>SERP_ONLY</t>
        </is>
      </c>
      <c r="G58" s="2" t="inlineStr">
        <is>
          <t>Only public SERP comparables are available.</t>
        </is>
      </c>
      <c r="H58" s="2" t="inlineStr">
        <is>
          <t>No Search Console, paid keyword volume or internal site search export was supplied.</t>
        </is>
      </c>
      <c r="I58" s="2" t="inlineStr">
        <is>
          <t>Keep demand statements qualitative; do not claim volume or ranking potential.</t>
        </is>
      </c>
      <c r="J58" s="2" t="inlineStr">
        <is>
          <t>Only public SERP comparables are available.</t>
        </is>
      </c>
      <c r="K58" s="2" t="inlineStr">
        <is>
          <t>Additional first-party or paid keyword evidence is attached, or limitation remains documented.</t>
        </is>
      </c>
    </row>
    <row r="59" ht="84" customHeight="1">
      <c r="A59" s="3" t="inlineStr">
        <is>
          <t>ISSUE-0058</t>
        </is>
      </c>
      <c r="B59" s="3" t="inlineStr">
        <is>
          <t>jeminise.com+custom-purple-butterflies-text-blanket-machine-washable-d7b</t>
        </is>
      </c>
      <c r="C59" s="3" t="inlineStr">
        <is>
          <t>img_ec7dc695f74e482b</t>
        </is>
      </c>
      <c r="D59" s="3" t="inlineStr">
        <is>
          <t>MINOR</t>
        </is>
      </c>
      <c r="E59" s="3" t="inlineStr">
        <is>
          <t>alt text</t>
        </is>
      </c>
      <c r="F59" s="3" t="inlineStr">
        <is>
          <t>Personalized Purple God Says I Am Blanket displayed in a main product mockup</t>
        </is>
      </c>
      <c r="G59" s="3" t="inlineStr">
        <is>
          <t>Fresh image file: D:\Shopify_Workspace\jeminise_seo\seo_runs\jeminise.com\20260906_234129\qa\20260907_181000\images\097_01.jpg; source URL: https://cdn.shopify.com/s/files/1/0792/5098/1063/files/b6cd34a72d72c728bb3299f3d4da788ca922c473d8c779016ce727043a3c3398.jpg?v=1786596968</t>
        </is>
      </c>
      <c r="H59" s="3" t="inlineStr">
        <is>
          <t>Alt text is too generic or describes placement more than visible content.</t>
        </is>
      </c>
      <c r="I59" s="3" t="inlineStr">
        <is>
          <t>Rewrite observation/alt from the directly opened image, naming the visible motif and use context.</t>
        </is>
      </c>
      <c r="J59" s="3" t="inlineStr">
        <is>
          <t>Fresh image file: D:\Shopify_Workspace\jeminise_seo\seo_runs\jeminise.com\20260906_234129\qa\20260907_181000\images\097_01.jpg; source URL: https://cdn.shopify.com/s/files/1/0792/5098/1063/files/b6cd34a72d72c728bb3299f3d4da788ca922c473d8c779016ce727043a3c3398.jpg?v=1786596968</t>
        </is>
      </c>
      <c r="K59" s="3" t="inlineStr">
        <is>
          <t>The image row accurately describes the actual media at this gallery position.</t>
        </is>
      </c>
    </row>
    <row r="60" ht="84" customHeight="1">
      <c r="A60" s="2" t="inlineStr">
        <is>
          <t>ISSUE-0059</t>
        </is>
      </c>
      <c r="B60" s="2" t="inlineStr">
        <is>
          <t>jeminise.com+custom-purple-butterflies-text-blanket-machine-washable-d7b</t>
        </is>
      </c>
      <c r="C60" s="2" t="inlineStr">
        <is>
          <t>img_1986b00ab8a0c2f7</t>
        </is>
      </c>
      <c r="D60" s="2" t="inlineStr">
        <is>
          <t>MINOR</t>
        </is>
      </c>
      <c r="E60" s="2" t="inlineStr">
        <is>
          <t>image observation</t>
        </is>
      </c>
      <c r="F60" s="2" t="inlineStr">
        <is>
          <t>Bedding type, feature, lifestyle or material image for personalized purple God Says I Am butterfly blanket for Elizabeth.</t>
        </is>
      </c>
      <c r="G60" s="2" t="inlineStr">
        <is>
          <t>Fresh image file: D:\Shopify_Workspace\jeminise_seo\seo_runs\jeminise.com\20260906_234129\qa\20260907_181000\images\097_03.jpg; source URL: https://cdn.shopify.com/s/files/1/0792/5098/1063/files/133acefcd1f5db8f54935b64a6c42994b539d10e3484cf00c039105f98628fbb.jpg?v=1786596968</t>
        </is>
      </c>
      <c r="H60" s="2" t="inlineStr">
        <is>
          <t>Observation is generic or position-based; rewrite from the actual image content.</t>
        </is>
      </c>
      <c r="I60" s="2" t="inlineStr">
        <is>
          <t>Rewrite observation/alt from the directly opened image, naming the visible motif and use context.</t>
        </is>
      </c>
      <c r="J60" s="2" t="inlineStr">
        <is>
          <t>Fresh image file: D:\Shopify_Workspace\jeminise_seo\seo_runs\jeminise.com\20260906_234129\qa\20260907_181000\images\097_03.jpg; source URL: https://cdn.shopify.com/s/files/1/0792/5098/1063/files/133acefcd1f5db8f54935b64a6c42994b539d10e3484cf00c039105f98628fbb.jpg?v=1786596968</t>
        </is>
      </c>
      <c r="K60" s="2" t="inlineStr">
        <is>
          <t>The image row accurately describes the actual media at this gallery position.</t>
        </is>
      </c>
    </row>
    <row r="61" ht="84" customHeight="1">
      <c r="A61" s="3" t="inlineStr">
        <is>
          <t>ISSUE-0060</t>
        </is>
      </c>
      <c r="B61" s="3" t="inlineStr">
        <is>
          <t>jeminise.com+custom-purple-butterflies-text-blanket-machine-washable-d7b</t>
        </is>
      </c>
      <c r="C61" s="3" t="inlineStr">
        <is>
          <t>img_4008c6ab2fc0b94c</t>
        </is>
      </c>
      <c r="D61" s="3" t="inlineStr">
        <is>
          <t>MINOR</t>
        </is>
      </c>
      <c r="E61" s="3" t="inlineStr">
        <is>
          <t>image observation</t>
        </is>
      </c>
      <c r="F61" s="3" t="inlineStr">
        <is>
          <t>Detail, feature panel or lifestyle image connected to personalized purple God Says I Am butterfly blanket for Elizabeth.</t>
        </is>
      </c>
      <c r="G61" s="3" t="inlineStr">
        <is>
          <t>Fresh image file: D:\Shopify_Workspace\jeminise_seo\seo_runs\jeminise.com\20260906_234129\qa\20260907_181000\images\097_04.jpg; source URL: https://cdn.shopify.com/s/files/1/0792/5098/1063/files/e9946aac9a838881ab8553d9e775069d9ce81cd97c4b10753ddad9a7d2955cea.jpg?v=1786596968</t>
        </is>
      </c>
      <c r="H61" s="3" t="inlineStr">
        <is>
          <t>Observation is generic or position-based; rewrite from the actual image content.</t>
        </is>
      </c>
      <c r="I61" s="3" t="inlineStr">
        <is>
          <t>Rewrite observation/alt from the directly opened image, naming the visible motif and use context.</t>
        </is>
      </c>
      <c r="J61" s="3" t="inlineStr">
        <is>
          <t>Fresh image file: D:\Shopify_Workspace\jeminise_seo\seo_runs\jeminise.com\20260906_234129\qa\20260907_181000\images\097_04.jpg; source URL: https://cdn.shopify.com/s/files/1/0792/5098/1063/files/e9946aac9a838881ab8553d9e775069d9ce81cd97c4b10753ddad9a7d2955cea.jpg?v=1786596968</t>
        </is>
      </c>
      <c r="K61" s="3" t="inlineStr">
        <is>
          <t>The image row accurately describes the actual media at this gallery position.</t>
        </is>
      </c>
    </row>
    <row r="62" ht="84" customHeight="1">
      <c r="A62" s="2" t="inlineStr">
        <is>
          <t>ISSUE-0061</t>
        </is>
      </c>
      <c r="B62" s="2" t="inlineStr">
        <is>
          <t>jeminise.com+custom-purple-butterflies-text-blanket-machine-washable-d7b</t>
        </is>
      </c>
      <c r="C62" s="2" t="inlineStr">
        <is>
          <t>img_9f6dd06f9d8a3915</t>
        </is>
      </c>
      <c r="D62" s="2" t="inlineStr">
        <is>
          <t>MINOR</t>
        </is>
      </c>
      <c r="E62" s="2" t="inlineStr">
        <is>
          <t>image observation</t>
        </is>
      </c>
      <c r="F62" s="2" t="inlineStr">
        <is>
          <t>Easy-care, size guide or product feature image for personalized purple God Says I Am butterfly blanket for Elizabeth.</t>
        </is>
      </c>
      <c r="G62" s="2" t="inlineStr">
        <is>
          <t>Fresh image file: D:\Shopify_Workspace\jeminise_seo\seo_runs\jeminise.com\20260906_234129\qa\20260907_181000\images\097_06.jpg; source URL: https://cdn.shopify.com/s/files/1/0792/5098/1063/files/cf5bad09c12126df5f9ce380889c2f8348a1b05126dff0ddd0904f04c00722cb.jpg?v=1786596968</t>
        </is>
      </c>
      <c r="H62" s="2" t="inlineStr">
        <is>
          <t>Observation is generic or position-based; rewrite from the actual image content.</t>
        </is>
      </c>
      <c r="I62" s="2" t="inlineStr">
        <is>
          <t>Rewrite observation/alt from the directly opened image, naming the visible motif and use context.</t>
        </is>
      </c>
      <c r="J62" s="2" t="inlineStr">
        <is>
          <t>Fresh image file: D:\Shopify_Workspace\jeminise_seo\seo_runs\jeminise.com\20260906_234129\qa\20260907_181000\images\097_06.jpg; source URL: https://cdn.shopify.com/s/files/1/0792/5098/1063/files/cf5bad09c12126df5f9ce380889c2f8348a1b05126dff0ddd0904f04c00722cb.jpg?v=1786596968</t>
        </is>
      </c>
      <c r="K62" s="2" t="inlineStr">
        <is>
          <t>The image row accurately describes the actual media at this gallery position.</t>
        </is>
      </c>
    </row>
    <row r="63" ht="84" customHeight="1">
      <c r="A63" s="3" t="inlineStr">
        <is>
          <t>ISSUE-0062</t>
        </is>
      </c>
      <c r="B63" s="3" t="inlineStr">
        <is>
          <t>jeminise.com+custom-purple-butterflies-text-blanket-machine-washable-d7b</t>
        </is>
      </c>
      <c r="C63" s="3" t="inlineStr">
        <is>
          <t>img_75f0bc122e16e94c</t>
        </is>
      </c>
      <c r="D63" s="3" t="inlineStr">
        <is>
          <t>MINOR</t>
        </is>
      </c>
      <c r="E63" s="3" t="inlineStr">
        <is>
          <t>image observation</t>
        </is>
      </c>
      <c r="F63" s="3" t="inlineStr">
        <is>
          <t>Additional lifestyle, feature or product detail image showing personalized purple God Says I Am butterfly blanket for Elizabeth.</t>
        </is>
      </c>
      <c r="G63" s="3" t="inlineStr">
        <is>
          <t>Fresh image file: D:\Shopify_Workspace\jeminise_seo\seo_runs\jeminise.com\20260906_234129\qa\20260907_181000\images\097_07.jpg; source URL: https://cdn.shopify.com/s/files/1/0792/5098/1063/files/f460a64694fc0f7702fe7e69c3b087898a73890125c7b3c373f6292b397cb764.jpg?v=1786596968</t>
        </is>
      </c>
      <c r="H63" s="3" t="inlineStr">
        <is>
          <t>Observation is generic or position-based; rewrite from the actual image content.</t>
        </is>
      </c>
      <c r="I63" s="3" t="inlineStr">
        <is>
          <t>Rewrite observation/alt from the directly opened image, naming the visible motif and use context.</t>
        </is>
      </c>
      <c r="J63" s="3" t="inlineStr">
        <is>
          <t>Fresh image file: D:\Shopify_Workspace\jeminise_seo\seo_runs\jeminise.com\20260906_234129\qa\20260907_181000\images\097_07.jpg; source URL: https://cdn.shopify.com/s/files/1/0792/5098/1063/files/f460a64694fc0f7702fe7e69c3b087898a73890125c7b3c373f6292b397cb764.jpg?v=1786596968</t>
        </is>
      </c>
      <c r="K63" s="3" t="inlineStr">
        <is>
          <t>The image row accurately describes the actual media at this gallery position.</t>
        </is>
      </c>
    </row>
    <row r="64" ht="84" customHeight="1">
      <c r="A64" s="2" t="inlineStr">
        <is>
          <t>ISSUE-0063</t>
        </is>
      </c>
      <c r="B64" s="2" t="inlineStr">
        <is>
          <t>jeminise.com+custom-purple-butterflies-text-blanket-machine-washable-d7b</t>
        </is>
      </c>
      <c r="C64" s="2" t="inlineStr">
        <is>
          <t>img_e4cfa99343fa67f6</t>
        </is>
      </c>
      <c r="D64" s="2" t="inlineStr">
        <is>
          <t>MINOR</t>
        </is>
      </c>
      <c r="E64" s="2" t="inlineStr">
        <is>
          <t>image observation</t>
        </is>
      </c>
      <c r="F64" s="2" t="inlineStr">
        <is>
          <t>Additional lifestyle, feature or product detail image showing personalized purple God Says I Am butterfly blanket for Elizabeth.</t>
        </is>
      </c>
      <c r="G64" s="2" t="inlineStr">
        <is>
          <t>Fresh image file: D:\Shopify_Workspace\jeminise_seo\seo_runs\jeminise.com\20260906_234129\qa\20260907_181000\images\097_08.jpg; source URL: https://cdn.shopify.com/s/files/1/0792/5098/1063/files/5c0401e94c422195d8dc97b8cc859b7ab413ddf40e4f7c0f1455113298c8ba2b.jpg?v=1786596968</t>
        </is>
      </c>
      <c r="H64" s="2" t="inlineStr">
        <is>
          <t>Observation is generic or position-based; rewrite from the actual image content.</t>
        </is>
      </c>
      <c r="I64" s="2" t="inlineStr">
        <is>
          <t>Rewrite observation/alt from the directly opened image, naming the visible motif and use context.</t>
        </is>
      </c>
      <c r="J64" s="2" t="inlineStr">
        <is>
          <t>Fresh image file: D:\Shopify_Workspace\jeminise_seo\seo_runs\jeminise.com\20260906_234129\qa\20260907_181000\images\097_08.jpg; source URL: https://cdn.shopify.com/s/files/1/0792/5098/1063/files/5c0401e94c422195d8dc97b8cc859b7ab413ddf40e4f7c0f1455113298c8ba2b.jpg?v=1786596968</t>
        </is>
      </c>
      <c r="K64" s="2" t="inlineStr">
        <is>
          <t>The image row accurately describes the actual media at this gallery position.</t>
        </is>
      </c>
    </row>
    <row r="65" ht="84" customHeight="1">
      <c r="A65" s="3" t="inlineStr">
        <is>
          <t>ISSUE-0064</t>
        </is>
      </c>
      <c r="B65" s="3" t="inlineStr">
        <is>
          <t>jeminise.com+custom-purple-butterfly-christian-blanket-machine-washable-d15</t>
        </is>
      </c>
      <c r="C65" s="3" t="inlineStr"/>
      <c r="D65" s="3" t="inlineStr">
        <is>
          <t>MAJOR</t>
        </is>
      </c>
      <c r="E65" s="3" t="inlineStr">
        <is>
          <t>description_proposed_html</t>
        </is>
      </c>
      <c r="F65" s="3"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t>
        </is>
      </c>
      <c r="G65" s="3" t="inlineStr">
        <is>
          <t>Draft contains SEO Use / QA approval wording.</t>
        </is>
      </c>
      <c r="H65" s="3" t="inlineStr">
        <is>
          <t>Internal workflow language is not publish-ready storefront copy.</t>
        </is>
      </c>
      <c r="I65" s="3" t="inlineStr">
        <is>
          <t>Remove internal QA/import block and replace with customer-facing verified copy.</t>
        </is>
      </c>
      <c r="J65" s="3" t="inlineStr">
        <is>
          <t>Draft contains SEO Use / QA approval wording.</t>
        </is>
      </c>
      <c r="K65" s="3" t="inlineStr">
        <is>
          <t>Description HTML no longer contains SEO Use, QA, approval, import or draft language.</t>
        </is>
      </c>
    </row>
    <row r="66" ht="84" customHeight="1">
      <c r="A66" s="2" t="inlineStr">
        <is>
          <t>ISSUE-0065</t>
        </is>
      </c>
      <c r="B66" s="2" t="inlineStr">
        <is>
          <t>jeminise.com+custom-purple-butterfly-christian-blanket-machine-washable-d15</t>
        </is>
      </c>
      <c r="C66" s="2" t="inlineStr"/>
      <c r="D66" s="2" t="inlineStr">
        <is>
          <t>MINOR</t>
        </is>
      </c>
      <c r="E66" s="2" t="inlineStr">
        <is>
          <t>meta_description_seo</t>
        </is>
      </c>
      <c r="F66" s="2" t="inlineStr">
        <is>
          <t>Shop a blanket featuring purple God Is Within Her design with butterflies, Isabella name and Psalm 46:5 verse-inspired affirmation blocks. Review size and personalization options before checkout.</t>
        </is>
      </c>
      <c r="G66" s="2" t="inlineStr">
        <is>
          <t>Meta description length is 195 characters.</t>
        </is>
      </c>
      <c r="H66" s="2" t="inlineStr">
        <is>
          <t>Likely to truncate in search results and repeats review/personality wording in several rows.</t>
        </is>
      </c>
      <c r="I66" s="2" t="inlineStr">
        <is>
          <t>Rewrite to roughly 145-155 characters while preserving verified design and product type.</t>
        </is>
      </c>
      <c r="J66" s="2" t="inlineStr">
        <is>
          <t>Meta description length is 195 characters.</t>
        </is>
      </c>
      <c r="K66" s="2" t="inlineStr">
        <is>
          <t>Length check &lt;=160 characters and no unsupported claim remains.</t>
        </is>
      </c>
    </row>
    <row r="67" ht="84" customHeight="1">
      <c r="A67" s="3" t="inlineStr">
        <is>
          <t>ISSUE-0066</t>
        </is>
      </c>
      <c r="B67" s="3" t="inlineStr">
        <is>
          <t>jeminise.com+custom-purple-butterfly-christian-blanket-machine-washable-d15</t>
        </is>
      </c>
      <c r="C67" s="3" t="inlineStr"/>
      <c r="D67" s="3" t="inlineStr">
        <is>
          <t>MAJOR</t>
        </is>
      </c>
      <c r="E67" s="3" t="inlineStr">
        <is>
          <t>keyword_map</t>
        </is>
      </c>
      <c r="F67" s="3" t="inlineStr">
        <is>
          <t>purple Christian butterfly blanket</t>
        </is>
      </c>
      <c r="G67" s="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t>
        </is>
      </c>
      <c r="H67" s="3" t="inlineStr">
        <is>
          <t>Batch cluster contains several very similar products, so keyword/intent differentiation must be sharper.</t>
        </is>
      </c>
      <c r="I67" s="3" t="inlineStr">
        <is>
          <t>Add unique visible motif modifiers and avoid assigning the same generic product keyword to multiple URLs.</t>
        </is>
      </c>
      <c r="J67" s="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t>
        </is>
      </c>
      <c r="K67" s="3" t="inlineStr">
        <is>
          <t>SERP notes and title/meta show a distinct product-level query for this exact design.</t>
        </is>
      </c>
    </row>
    <row r="68" ht="84" customHeight="1">
      <c r="A68" s="2" t="inlineStr">
        <is>
          <t>ISSUE-0067</t>
        </is>
      </c>
      <c r="B68" s="2" t="inlineStr">
        <is>
          <t>jeminise.com+custom-purple-butterfly-christian-blanket-machine-washable-d15</t>
        </is>
      </c>
      <c r="C68" s="2" t="inlineStr"/>
      <c r="D68" s="2" t="inlineStr">
        <is>
          <t>LIMITATION</t>
        </is>
      </c>
      <c r="E68" s="2" t="inlineStr">
        <is>
          <t>keyword_evidence_level</t>
        </is>
      </c>
      <c r="F68" s="2" t="inlineStr">
        <is>
          <t>SERP_ONLY</t>
        </is>
      </c>
      <c r="G68" s="2" t="inlineStr">
        <is>
          <t>Only public SERP comparables are available.</t>
        </is>
      </c>
      <c r="H68" s="2" t="inlineStr">
        <is>
          <t>No Search Console, paid keyword volume or internal site search export was supplied.</t>
        </is>
      </c>
      <c r="I68" s="2" t="inlineStr">
        <is>
          <t>Keep demand statements qualitative; do not claim volume or ranking potential.</t>
        </is>
      </c>
      <c r="J68" s="2" t="inlineStr">
        <is>
          <t>Only public SERP comparables are available.</t>
        </is>
      </c>
      <c r="K68" s="2" t="inlineStr">
        <is>
          <t>Additional first-party or paid keyword evidence is attached, or limitation remains documented.</t>
        </is>
      </c>
    </row>
    <row r="69" ht="84" customHeight="1">
      <c r="A69" s="3" t="inlineStr">
        <is>
          <t>ISSUE-0068</t>
        </is>
      </c>
      <c r="B69" s="3" t="inlineStr">
        <is>
          <t>jeminise.com+custom-purple-butterfly-christian-blanket-machine-washable-d15</t>
        </is>
      </c>
      <c r="C69" s="3" t="inlineStr">
        <is>
          <t>img_9c9518940aea39de</t>
        </is>
      </c>
      <c r="D69" s="3" t="inlineStr">
        <is>
          <t>MINOR</t>
        </is>
      </c>
      <c r="E69" s="3" t="inlineStr">
        <is>
          <t>alt text</t>
        </is>
      </c>
      <c r="F69" s="3" t="inlineStr">
        <is>
          <t>Personalized Purple Christian Butterfly Blanket displayed in a main product mockup</t>
        </is>
      </c>
      <c r="G69" s="3" t="inlineStr">
        <is>
          <t>Fresh image file: D:\Shopify_Workspace\jeminise_seo\seo_runs\jeminise.com\20260906_234129\qa\20260907_181000\images\098_01.jpg; source URL: https://cdn.shopify.com/s/files/1/0792/5098/1063/files/b0d49dab17c6bdcc632b9ef24f12d0fb5113a83ac744ae5538fe6133d8649026.jpg?v=1786596344</t>
        </is>
      </c>
      <c r="H69" s="3" t="inlineStr">
        <is>
          <t>Alt text is too generic or describes placement more than visible content.</t>
        </is>
      </c>
      <c r="I69" s="3" t="inlineStr">
        <is>
          <t>Rewrite observation/alt from the directly opened image, naming the visible motif and use context.</t>
        </is>
      </c>
      <c r="J69" s="3" t="inlineStr">
        <is>
          <t>Fresh image file: D:\Shopify_Workspace\jeminise_seo\seo_runs\jeminise.com\20260906_234129\qa\20260907_181000\images\098_01.jpg; source URL: https://cdn.shopify.com/s/files/1/0792/5098/1063/files/b0d49dab17c6bdcc632b9ef24f12d0fb5113a83ac744ae5538fe6133d8649026.jpg?v=1786596344</t>
        </is>
      </c>
      <c r="K69" s="3" t="inlineStr">
        <is>
          <t>The image row accurately describes the actual media at this gallery position.</t>
        </is>
      </c>
    </row>
    <row r="70" ht="84" customHeight="1">
      <c r="A70" s="2" t="inlineStr">
        <is>
          <t>ISSUE-0069</t>
        </is>
      </c>
      <c r="B70" s="2" t="inlineStr">
        <is>
          <t>jeminise.com+custom-purple-butterfly-christian-blanket-machine-washable-d15</t>
        </is>
      </c>
      <c r="C70" s="2" t="inlineStr">
        <is>
          <t>img_fb4f02d78960ec80</t>
        </is>
      </c>
      <c r="D70" s="2" t="inlineStr">
        <is>
          <t>MINOR</t>
        </is>
      </c>
      <c r="E70" s="2" t="inlineStr">
        <is>
          <t>image observation</t>
        </is>
      </c>
      <c r="F70" s="2" t="inlineStr">
        <is>
          <t>Bedding type, feature, lifestyle or material image for personalized purple God is within her butterfly blanket for Isabella.</t>
        </is>
      </c>
      <c r="G70" s="2" t="inlineStr">
        <is>
          <t>Fresh image file: D:\Shopify_Workspace\jeminise_seo\seo_runs\jeminise.com\20260906_234129\qa\20260907_181000\images\098_03.jpg; source URL: https://cdn.shopify.com/s/files/1/0792/5098/1063/files/393dde0641c109a658cdad67fc9a0926528b3e95ea49aaeeb473cb484ba86994.jpg?v=1786596344</t>
        </is>
      </c>
      <c r="H70" s="2" t="inlineStr">
        <is>
          <t>Observation is generic or position-based; rewrite from the actual image content.</t>
        </is>
      </c>
      <c r="I70" s="2" t="inlineStr">
        <is>
          <t>Rewrite observation/alt from the directly opened image, naming the visible motif and use context.</t>
        </is>
      </c>
      <c r="J70" s="2" t="inlineStr">
        <is>
          <t>Fresh image file: D:\Shopify_Workspace\jeminise_seo\seo_runs\jeminise.com\20260906_234129\qa\20260907_181000\images\098_03.jpg; source URL: https://cdn.shopify.com/s/files/1/0792/5098/1063/files/393dde0641c109a658cdad67fc9a0926528b3e95ea49aaeeb473cb484ba86994.jpg?v=1786596344</t>
        </is>
      </c>
      <c r="K70" s="2" t="inlineStr">
        <is>
          <t>The image row accurately describes the actual media at this gallery position.</t>
        </is>
      </c>
    </row>
    <row r="71" ht="84" customHeight="1">
      <c r="A71" s="3" t="inlineStr">
        <is>
          <t>ISSUE-0070</t>
        </is>
      </c>
      <c r="B71" s="3" t="inlineStr">
        <is>
          <t>jeminise.com+custom-purple-butterfly-christian-blanket-machine-washable-d15</t>
        </is>
      </c>
      <c r="C71" s="3" t="inlineStr">
        <is>
          <t>img_d216fa8b6d5ec2d2</t>
        </is>
      </c>
      <c r="D71" s="3" t="inlineStr">
        <is>
          <t>MINOR</t>
        </is>
      </c>
      <c r="E71" s="3" t="inlineStr">
        <is>
          <t>image observation</t>
        </is>
      </c>
      <c r="F71" s="3" t="inlineStr">
        <is>
          <t>Detail, feature panel or lifestyle image connected to personalized purple God is within her butterfly blanket for Isabella.</t>
        </is>
      </c>
      <c r="G71" s="3" t="inlineStr">
        <is>
          <t>Fresh image file: D:\Shopify_Workspace\jeminise_seo\seo_runs\jeminise.com\20260906_234129\qa\20260907_181000\images\098_04.jpg; source URL: https://cdn.shopify.com/s/files/1/0792/5098/1063/files/30947e72faf8e7b9ab47f0ff239bbbf2f0536869f498102f1e0e8bf0047e10d5.jpg?v=1786596344</t>
        </is>
      </c>
      <c r="H71" s="3" t="inlineStr">
        <is>
          <t>Observation is generic or position-based; rewrite from the actual image content.</t>
        </is>
      </c>
      <c r="I71" s="3" t="inlineStr">
        <is>
          <t>Rewrite observation/alt from the directly opened image, naming the visible motif and use context.</t>
        </is>
      </c>
      <c r="J71" s="3" t="inlineStr">
        <is>
          <t>Fresh image file: D:\Shopify_Workspace\jeminise_seo\seo_runs\jeminise.com\20260906_234129\qa\20260907_181000\images\098_04.jpg; source URL: https://cdn.shopify.com/s/files/1/0792/5098/1063/files/30947e72faf8e7b9ab47f0ff239bbbf2f0536869f498102f1e0e8bf0047e10d5.jpg?v=1786596344</t>
        </is>
      </c>
      <c r="K71" s="3" t="inlineStr">
        <is>
          <t>The image row accurately describes the actual media at this gallery position.</t>
        </is>
      </c>
    </row>
    <row r="72" ht="84" customHeight="1">
      <c r="A72" s="2" t="inlineStr">
        <is>
          <t>ISSUE-0071</t>
        </is>
      </c>
      <c r="B72" s="2" t="inlineStr">
        <is>
          <t>jeminise.com+custom-purple-butterfly-christian-blanket-machine-washable-d15</t>
        </is>
      </c>
      <c r="C72" s="2" t="inlineStr">
        <is>
          <t>img_29080fb145474573</t>
        </is>
      </c>
      <c r="D72" s="2" t="inlineStr">
        <is>
          <t>MINOR</t>
        </is>
      </c>
      <c r="E72" s="2" t="inlineStr">
        <is>
          <t>image observation</t>
        </is>
      </c>
      <c r="F72" s="2" t="inlineStr">
        <is>
          <t>Easy-care, size guide or product feature image for personalized purple God is within her butterfly blanket for Isabella.</t>
        </is>
      </c>
      <c r="G72" s="2" t="inlineStr">
        <is>
          <t>Fresh image file: D:\Shopify_Workspace\jeminise_seo\seo_runs\jeminise.com\20260906_234129\qa\20260907_181000\images\098_06.jpg; source URL: https://cdn.shopify.com/s/files/1/0792/5098/1063/files/3d8d0ae7827b3277b85844c9dfadb1dc1394b9b7636bd7f2cfb977f845b7cfdf.jpg?v=1786596344</t>
        </is>
      </c>
      <c r="H72" s="2" t="inlineStr">
        <is>
          <t>Observation is generic or position-based; rewrite from the actual image content.</t>
        </is>
      </c>
      <c r="I72" s="2" t="inlineStr">
        <is>
          <t>Rewrite observation/alt from the directly opened image, naming the visible motif and use context.</t>
        </is>
      </c>
      <c r="J72" s="2" t="inlineStr">
        <is>
          <t>Fresh image file: D:\Shopify_Workspace\jeminise_seo\seo_runs\jeminise.com\20260906_234129\qa\20260907_181000\images\098_06.jpg; source URL: https://cdn.shopify.com/s/files/1/0792/5098/1063/files/3d8d0ae7827b3277b85844c9dfadb1dc1394b9b7636bd7f2cfb977f845b7cfdf.jpg?v=1786596344</t>
        </is>
      </c>
      <c r="K72" s="2" t="inlineStr">
        <is>
          <t>The image row accurately describes the actual media at this gallery position.</t>
        </is>
      </c>
    </row>
    <row r="73" ht="84" customHeight="1">
      <c r="A73" s="3" t="inlineStr">
        <is>
          <t>ISSUE-0072</t>
        </is>
      </c>
      <c r="B73" s="3" t="inlineStr">
        <is>
          <t>jeminise.com+custom-purple-butterfly-christian-blanket-machine-washable-d15</t>
        </is>
      </c>
      <c r="C73" s="3" t="inlineStr">
        <is>
          <t>img_e3c1c213f6914348</t>
        </is>
      </c>
      <c r="D73" s="3" t="inlineStr">
        <is>
          <t>MINOR</t>
        </is>
      </c>
      <c r="E73" s="3" t="inlineStr">
        <is>
          <t>image observation</t>
        </is>
      </c>
      <c r="F73" s="3" t="inlineStr">
        <is>
          <t>Additional lifestyle, feature or product detail image showing personalized purple God is within her butterfly blanket for Isabella.</t>
        </is>
      </c>
      <c r="G73" s="3" t="inlineStr">
        <is>
          <t>Fresh image file: D:\Shopify_Workspace\jeminise_seo\seo_runs\jeminise.com\20260906_234129\qa\20260907_181000\images\098_07.jpg; source URL: https://cdn.shopify.com/s/files/1/0792/5098/1063/files/e06ad6ea585a2cced1450af7ae2c5b03c02b4040afe9aafb22249887d13df84c.jpg?v=1786596344</t>
        </is>
      </c>
      <c r="H73" s="3" t="inlineStr">
        <is>
          <t>Observation is generic or position-based; rewrite from the actual image content.</t>
        </is>
      </c>
      <c r="I73" s="3" t="inlineStr">
        <is>
          <t>Rewrite observation/alt from the directly opened image, naming the visible motif and use context.</t>
        </is>
      </c>
      <c r="J73" s="3" t="inlineStr">
        <is>
          <t>Fresh image file: D:\Shopify_Workspace\jeminise_seo\seo_runs\jeminise.com\20260906_234129\qa\20260907_181000\images\098_07.jpg; source URL: https://cdn.shopify.com/s/files/1/0792/5098/1063/files/e06ad6ea585a2cced1450af7ae2c5b03c02b4040afe9aafb22249887d13df84c.jpg?v=1786596344</t>
        </is>
      </c>
      <c r="K73" s="3" t="inlineStr">
        <is>
          <t>The image row accurately describes the actual media at this gallery position.</t>
        </is>
      </c>
    </row>
    <row r="74" ht="84" customHeight="1">
      <c r="A74" s="2" t="inlineStr">
        <is>
          <t>ISSUE-0073</t>
        </is>
      </c>
      <c r="B74" s="2" t="inlineStr">
        <is>
          <t>jeminise.com+custom-purple-butterfly-christian-blanket-machine-washable-d15</t>
        </is>
      </c>
      <c r="C74" s="2" t="inlineStr">
        <is>
          <t>img_f525b29b8b7f2c92</t>
        </is>
      </c>
      <c r="D74" s="2" t="inlineStr">
        <is>
          <t>MINOR</t>
        </is>
      </c>
      <c r="E74" s="2" t="inlineStr">
        <is>
          <t>image observation</t>
        </is>
      </c>
      <c r="F74" s="2" t="inlineStr">
        <is>
          <t>Additional lifestyle, feature or product detail image showing personalized purple God is within her butterfly blanket for Isabella.</t>
        </is>
      </c>
      <c r="G74" s="2" t="inlineStr">
        <is>
          <t>Fresh image file: D:\Shopify_Workspace\jeminise_seo\seo_runs\jeminise.com\20260906_234129\qa\20260907_181000\images\098_08.jpg; source URL: https://cdn.shopify.com/s/files/1/0792/5098/1063/files/1695bd29dc1e745b27c0ca317e206d17ca3c35cfb7319cb0cc84d6339e3f7877.jpg?v=1786596344</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D:\Shopify_Workspace\jeminise_seo\seo_runs\jeminise.com\20260906_234129\qa\20260907_181000\images\098_08.jpg; source URL: https://cdn.shopify.com/s/files/1/0792/5098/1063/files/1695bd29dc1e745b27c0ca317e206d17ca3c35cfb7319cb0cc84d6339e3f7877.jpg?v=1786596344</t>
        </is>
      </c>
      <c r="K74" s="2" t="inlineStr">
        <is>
          <t>The image row accurately describes the actual media at this gallery position.</t>
        </is>
      </c>
    </row>
    <row r="75" ht="84" customHeight="1">
      <c r="A75" s="3" t="inlineStr">
        <is>
          <t>ISSUE-0074</t>
        </is>
      </c>
      <c r="B75" s="3" t="inlineStr">
        <is>
          <t>jeminise.com+custom-purple-floral-christian-cross-blanket-machine-washable-d2</t>
        </is>
      </c>
      <c r="C75" s="3" t="inlineStr"/>
      <c r="D75" s="3" t="inlineStr">
        <is>
          <t>MAJOR</t>
        </is>
      </c>
      <c r="E75" s="3" t="inlineStr">
        <is>
          <t>description_proposed_html</t>
        </is>
      </c>
      <c r="F75" s="3"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t>
        </is>
      </c>
      <c r="G75" s="3" t="inlineStr">
        <is>
          <t>Draft contains SEO Use / QA approval wording.</t>
        </is>
      </c>
      <c r="H75" s="3" t="inlineStr">
        <is>
          <t>Internal workflow language is not publish-ready storefront copy.</t>
        </is>
      </c>
      <c r="I75" s="3" t="inlineStr">
        <is>
          <t>Remove internal QA/import block and replace with customer-facing verified copy.</t>
        </is>
      </c>
      <c r="J75" s="3" t="inlineStr">
        <is>
          <t>Draft contains SEO Use / QA approval wording.</t>
        </is>
      </c>
      <c r="K75" s="3" t="inlineStr">
        <is>
          <t>Description HTML no longer contains SEO Use, QA, approval, import or draft language.</t>
        </is>
      </c>
    </row>
    <row r="76" ht="84" customHeight="1">
      <c r="A76" s="2" t="inlineStr">
        <is>
          <t>ISSUE-0075</t>
        </is>
      </c>
      <c r="B76" s="2" t="inlineStr">
        <is>
          <t>jeminise.com+custom-purple-floral-christian-cross-blanket-machine-washable-d2</t>
        </is>
      </c>
      <c r="C76" s="2" t="inlineStr"/>
      <c r="D76" s="2" t="inlineStr">
        <is>
          <t>MINOR</t>
        </is>
      </c>
      <c r="E76" s="2" t="inlineStr">
        <is>
          <t>meta_description_seo</t>
        </is>
      </c>
      <c r="F76" s="2" t="inlineStr">
        <is>
          <t>Shop a blanket featuring dark purple floral Christian cross design with purple roses, butterflies, Blessed is she text and Amabel name. Review size and personalization options before checkout.</t>
        </is>
      </c>
      <c r="G76" s="2" t="inlineStr">
        <is>
          <t>Meta description length is 192 characters.</t>
        </is>
      </c>
      <c r="H76" s="2" t="inlineStr">
        <is>
          <t>Likely to truncate in search results and repeats review/personality wording in several rows.</t>
        </is>
      </c>
      <c r="I76" s="2" t="inlineStr">
        <is>
          <t>Rewrite to roughly 145-155 characters while preserving verified design and product type.</t>
        </is>
      </c>
      <c r="J76" s="2" t="inlineStr">
        <is>
          <t>Meta description length is 192 characters.</t>
        </is>
      </c>
      <c r="K76" s="2" t="inlineStr">
        <is>
          <t>Length check &lt;=160 characters and no unsupported claim remains.</t>
        </is>
      </c>
    </row>
    <row r="77" ht="84" customHeight="1">
      <c r="A77" s="3" t="inlineStr">
        <is>
          <t>ISSUE-0076</t>
        </is>
      </c>
      <c r="B77" s="3" t="inlineStr">
        <is>
          <t>jeminise.com+custom-purple-floral-christian-cross-blanket-machine-washable-d2</t>
        </is>
      </c>
      <c r="C77" s="3" t="inlineStr"/>
      <c r="D77" s="3" t="inlineStr">
        <is>
          <t>MAJOR</t>
        </is>
      </c>
      <c r="E77" s="3" t="inlineStr">
        <is>
          <t>keyword_map</t>
        </is>
      </c>
      <c r="F77" s="3" t="inlineStr">
        <is>
          <t>purple floral cross blanket</t>
        </is>
      </c>
      <c r="G77" s="3" t="inlineStr">
        <is>
          <t>https://www.amazon.com/Blanket-Christian-Religious-Hummingbird-Catholic/dp/B0CKZ87PH6; https://www.pinterest.com/pin/personalized-purple-cross-fleece-blanket--889109151413619739/; https://www.zazzle.com/z_purple_cross_christian_symbol_personalized_fleece_blanket-256080411035054740; https://www.amazon.com/Blanket-Christian-Religious-Hummingbird-Catholic/dp/B0CKZ87PH6; https://www.pinterest.com/pin/personalized-purple-cross-fleece-blanket--8891091…</t>
        </is>
      </c>
      <c r="H77" s="3" t="inlineStr">
        <is>
          <t>Batch cluster contains several very similar products, so keyword/intent differentiation must be sharper.</t>
        </is>
      </c>
      <c r="I77" s="3" t="inlineStr">
        <is>
          <t>Add unique visible motif modifiers and avoid assigning the same generic product keyword to multiple URLs.</t>
        </is>
      </c>
      <c r="J77" s="3" t="inlineStr">
        <is>
          <t>https://www.amazon.com/Blanket-Christian-Religious-Hummingbird-Catholic/dp/B0CKZ87PH6; https://www.pinterest.com/pin/personalized-purple-cross-fleece-blanket--889109151413619739/; https://www.zazzle.com/z_purple_cross_christian_symbol_personalized_fleece_blanket-256080411035054740; https://www.amazon.com/Blanket-Christian-Religious-Hummingbird-Catholic/dp/B0CKZ87PH6; https://www.pinterest.com/pin/personalized-purple-cross-fleece-blanket--8891091…</t>
        </is>
      </c>
      <c r="K77" s="3" t="inlineStr">
        <is>
          <t>SERP notes and title/meta show a distinct product-level query for this exact design.</t>
        </is>
      </c>
    </row>
    <row r="78" ht="84" customHeight="1">
      <c r="A78" s="2" t="inlineStr">
        <is>
          <t>ISSUE-0077</t>
        </is>
      </c>
      <c r="B78" s="2" t="inlineStr">
        <is>
          <t>jeminise.com+custom-purple-floral-christian-cross-blanket-machine-washable-d2</t>
        </is>
      </c>
      <c r="C78" s="2" t="inlineStr"/>
      <c r="D78" s="2" t="inlineStr">
        <is>
          <t>LIMITATION</t>
        </is>
      </c>
      <c r="E78" s="2" t="inlineStr">
        <is>
          <t>keyword_evidence_level</t>
        </is>
      </c>
      <c r="F78" s="2" t="inlineStr">
        <is>
          <t>SERP_ONLY</t>
        </is>
      </c>
      <c r="G78" s="2" t="inlineStr">
        <is>
          <t>Only public SERP comparables are available.</t>
        </is>
      </c>
      <c r="H78" s="2" t="inlineStr">
        <is>
          <t>No Search Console, paid keyword volume or internal site search export was supplied.</t>
        </is>
      </c>
      <c r="I78" s="2" t="inlineStr">
        <is>
          <t>Keep demand statements qualitative; do not claim volume or ranking potential.</t>
        </is>
      </c>
      <c r="J78" s="2" t="inlineStr">
        <is>
          <t>Only public SERP comparables are available.</t>
        </is>
      </c>
      <c r="K78" s="2" t="inlineStr">
        <is>
          <t>Additional first-party or paid keyword evidence is attached, or limitation remains documented.</t>
        </is>
      </c>
    </row>
    <row r="79" ht="84" customHeight="1">
      <c r="A79" s="3" t="inlineStr">
        <is>
          <t>ISSUE-0078</t>
        </is>
      </c>
      <c r="B79" s="3" t="inlineStr">
        <is>
          <t>jeminise.com+custom-purple-floral-christian-cross-blanket-machine-washable-d2</t>
        </is>
      </c>
      <c r="C79" s="3" t="inlineStr">
        <is>
          <t>img_fd81d6fcdc8a206b</t>
        </is>
      </c>
      <c r="D79" s="3" t="inlineStr">
        <is>
          <t>MINOR</t>
        </is>
      </c>
      <c r="E79" s="3" t="inlineStr">
        <is>
          <t>alt text</t>
        </is>
      </c>
      <c r="F79" s="3" t="inlineStr">
        <is>
          <t>Personalized Purple Floral Cross Blanket displayed in a main product mockup</t>
        </is>
      </c>
      <c r="G79" s="3" t="inlineStr">
        <is>
          <t>Fresh image file: D:\Shopify_Workspace\jeminise_seo\seo_runs\jeminise.com\20260906_234129\qa\20260907_181000\images\099_01.jpg; source URL: https://cdn.shopify.com/s/files/1/0792/5098/1063/files/1e3ef58d63b3b377403c7baa0c39f0aaca49df18a0c49d7048c441975452b123.jpg?v=1786596467</t>
        </is>
      </c>
      <c r="H79" s="3" t="inlineStr">
        <is>
          <t>Alt text is too generic or describes placement more than visible content.</t>
        </is>
      </c>
      <c r="I79" s="3" t="inlineStr">
        <is>
          <t>Rewrite observation/alt from the directly opened image, naming the visible motif and use context.</t>
        </is>
      </c>
      <c r="J79" s="3" t="inlineStr">
        <is>
          <t>Fresh image file: D:\Shopify_Workspace\jeminise_seo\seo_runs\jeminise.com\20260906_234129\qa\20260907_181000\images\099_01.jpg; source URL: https://cdn.shopify.com/s/files/1/0792/5098/1063/files/1e3ef58d63b3b377403c7baa0c39f0aaca49df18a0c49d7048c441975452b123.jpg?v=1786596467</t>
        </is>
      </c>
      <c r="K79" s="3" t="inlineStr">
        <is>
          <t>The image row accurately describes the actual media at this gallery position.</t>
        </is>
      </c>
    </row>
    <row r="80" ht="84" customHeight="1">
      <c r="A80" s="2" t="inlineStr">
        <is>
          <t>ISSUE-0079</t>
        </is>
      </c>
      <c r="B80" s="2" t="inlineStr">
        <is>
          <t>jeminise.com+custom-purple-floral-christian-cross-blanket-machine-washable-d2</t>
        </is>
      </c>
      <c r="C80" s="2" t="inlineStr">
        <is>
          <t>img_5c2abbeac0653472</t>
        </is>
      </c>
      <c r="D80" s="2" t="inlineStr">
        <is>
          <t>MINOR</t>
        </is>
      </c>
      <c r="E80" s="2" t="inlineStr">
        <is>
          <t>image observation</t>
        </is>
      </c>
      <c r="F80" s="2" t="inlineStr">
        <is>
          <t>Bedding type, feature, lifestyle or material image for personalized purple floral Christian cross blanket for Amabel.</t>
        </is>
      </c>
      <c r="G80" s="2" t="inlineStr">
        <is>
          <t>Fresh image file: D:\Shopify_Workspace\jeminise_seo\seo_runs\jeminise.com\20260906_234129\qa\20260907_181000\images\099_03.jpg; source URL: https://cdn.shopify.com/s/files/1/0792/5098/1063/files/6600b0d72504e32a2407088eb65dfe69f600a0e52f61f6e63e49596488c1e1ee.jpg?v=1786596467</t>
        </is>
      </c>
      <c r="H80" s="2" t="inlineStr">
        <is>
          <t>Observation is generic or position-based; rewrite from the actual image content.</t>
        </is>
      </c>
      <c r="I80" s="2" t="inlineStr">
        <is>
          <t>Rewrite observation/alt from the directly opened image, naming the visible motif and use context.</t>
        </is>
      </c>
      <c r="J80" s="2" t="inlineStr">
        <is>
          <t>Fresh image file: D:\Shopify_Workspace\jeminise_seo\seo_runs\jeminise.com\20260906_234129\qa\20260907_181000\images\099_03.jpg; source URL: https://cdn.shopify.com/s/files/1/0792/5098/1063/files/6600b0d72504e32a2407088eb65dfe69f600a0e52f61f6e63e49596488c1e1ee.jpg?v=1786596467</t>
        </is>
      </c>
      <c r="K80" s="2" t="inlineStr">
        <is>
          <t>The image row accurately describes the actual media at this gallery position.</t>
        </is>
      </c>
    </row>
    <row r="81" ht="84" customHeight="1">
      <c r="A81" s="3" t="inlineStr">
        <is>
          <t>ISSUE-0080</t>
        </is>
      </c>
      <c r="B81" s="3" t="inlineStr">
        <is>
          <t>jeminise.com+custom-purple-floral-christian-cross-blanket-machine-washable-d2</t>
        </is>
      </c>
      <c r="C81" s="3" t="inlineStr">
        <is>
          <t>img_3b5e515ab1fb82d8</t>
        </is>
      </c>
      <c r="D81" s="3" t="inlineStr">
        <is>
          <t>MINOR</t>
        </is>
      </c>
      <c r="E81" s="3" t="inlineStr">
        <is>
          <t>image observation</t>
        </is>
      </c>
      <c r="F81" s="3" t="inlineStr">
        <is>
          <t>Detail, feature panel or lifestyle image connected to personalized purple floral Christian cross blanket for Amabel.</t>
        </is>
      </c>
      <c r="G81" s="3" t="inlineStr">
        <is>
          <t>Fresh image file: D:\Shopify_Workspace\jeminise_seo\seo_runs\jeminise.com\20260906_234129\qa\20260907_181000\images\099_04.jpg; source URL: https://cdn.shopify.com/s/files/1/0792/5098/1063/files/32610255b10c95dd1994672a4db25a99d1504f8d5700b5a9d68dc5ea58417837.jpg?v=1786596466</t>
        </is>
      </c>
      <c r="H81" s="3" t="inlineStr">
        <is>
          <t>Observation is generic or position-based; rewrite from the actual image content.</t>
        </is>
      </c>
      <c r="I81" s="3" t="inlineStr">
        <is>
          <t>Rewrite observation/alt from the directly opened image, naming the visible motif and use context.</t>
        </is>
      </c>
      <c r="J81" s="3" t="inlineStr">
        <is>
          <t>Fresh image file: D:\Shopify_Workspace\jeminise_seo\seo_runs\jeminise.com\20260906_234129\qa\20260907_181000\images\099_04.jpg; source URL: https://cdn.shopify.com/s/files/1/0792/5098/1063/files/32610255b10c95dd1994672a4db25a99d1504f8d5700b5a9d68dc5ea58417837.jpg?v=1786596466</t>
        </is>
      </c>
      <c r="K81" s="3" t="inlineStr">
        <is>
          <t>The image row accurately describes the actual media at this gallery position.</t>
        </is>
      </c>
    </row>
    <row r="82" ht="84" customHeight="1">
      <c r="A82" s="2" t="inlineStr">
        <is>
          <t>ISSUE-0081</t>
        </is>
      </c>
      <c r="B82" s="2" t="inlineStr">
        <is>
          <t>jeminise.com+custom-purple-floral-christian-cross-blanket-machine-washable-d2</t>
        </is>
      </c>
      <c r="C82" s="2" t="inlineStr">
        <is>
          <t>img_111facab008286e4</t>
        </is>
      </c>
      <c r="D82" s="2" t="inlineStr">
        <is>
          <t>MINOR</t>
        </is>
      </c>
      <c r="E82" s="2" t="inlineStr">
        <is>
          <t>image observation</t>
        </is>
      </c>
      <c r="F82" s="2" t="inlineStr">
        <is>
          <t>Easy-care, size guide or product feature image for personalized purple floral Christian cross blanket for Amabel.</t>
        </is>
      </c>
      <c r="G82" s="2" t="inlineStr">
        <is>
          <t>Fresh image file: D:\Shopify_Workspace\jeminise_seo\seo_runs\jeminise.com\20260906_234129\qa\20260907_181000\images\099_06.jpg; source URL: https://cdn.shopify.com/s/files/1/0792/5098/1063/files/8f4ca20461e5e7f3c9a4f9e46a3aeb722251b8c5bda7ce1d6dd3566915800b92.jpg?v=1786596467</t>
        </is>
      </c>
      <c r="H82" s="2" t="inlineStr">
        <is>
          <t>Observation is generic or position-based; rewrite from the actual image content.</t>
        </is>
      </c>
      <c r="I82" s="2" t="inlineStr">
        <is>
          <t>Rewrite observation/alt from the directly opened image, naming the visible motif and use context.</t>
        </is>
      </c>
      <c r="J82" s="2" t="inlineStr">
        <is>
          <t>Fresh image file: D:\Shopify_Workspace\jeminise_seo\seo_runs\jeminise.com\20260906_234129\qa\20260907_181000\images\099_06.jpg; source URL: https://cdn.shopify.com/s/files/1/0792/5098/1063/files/8f4ca20461e5e7f3c9a4f9e46a3aeb722251b8c5bda7ce1d6dd3566915800b92.jpg?v=1786596467</t>
        </is>
      </c>
      <c r="K82" s="2" t="inlineStr">
        <is>
          <t>The image row accurately describes the actual media at this gallery position.</t>
        </is>
      </c>
    </row>
    <row r="83" ht="84" customHeight="1">
      <c r="A83" s="3" t="inlineStr">
        <is>
          <t>ISSUE-0082</t>
        </is>
      </c>
      <c r="B83" s="3" t="inlineStr">
        <is>
          <t>jeminise.com+custom-purple-floral-christian-cross-blanket-machine-washable-d2</t>
        </is>
      </c>
      <c r="C83" s="3" t="inlineStr">
        <is>
          <t>img_c52647fdd52e04d2</t>
        </is>
      </c>
      <c r="D83" s="3" t="inlineStr">
        <is>
          <t>MINOR</t>
        </is>
      </c>
      <c r="E83" s="3" t="inlineStr">
        <is>
          <t>image observation</t>
        </is>
      </c>
      <c r="F83" s="3" t="inlineStr">
        <is>
          <t>Additional lifestyle, feature or product detail image showing personalized purple floral Christian cross blanket for Amabel.</t>
        </is>
      </c>
      <c r="G83" s="3" t="inlineStr">
        <is>
          <t>Fresh image file: D:\Shopify_Workspace\jeminise_seo\seo_runs\jeminise.com\20260906_234129\qa\20260907_181000\images\099_07.jpg; source URL: https://cdn.shopify.com/s/files/1/0792/5098/1063/files/4aa92077789873319d5517c427bfa50d8063a0acc92b217756a381f9fe296efa.jpg?v=1786596467</t>
        </is>
      </c>
      <c r="H83" s="3" t="inlineStr">
        <is>
          <t>Observation is generic or position-based; rewrite from the actual image content.</t>
        </is>
      </c>
      <c r="I83" s="3" t="inlineStr">
        <is>
          <t>Rewrite observation/alt from the directly opened image, naming the visible motif and use context.</t>
        </is>
      </c>
      <c r="J83" s="3" t="inlineStr">
        <is>
          <t>Fresh image file: D:\Shopify_Workspace\jeminise_seo\seo_runs\jeminise.com\20260906_234129\qa\20260907_181000\images\099_07.jpg; source URL: https://cdn.shopify.com/s/files/1/0792/5098/1063/files/4aa92077789873319d5517c427bfa50d8063a0acc92b217756a381f9fe296efa.jpg?v=1786596467</t>
        </is>
      </c>
      <c r="K83" s="3" t="inlineStr">
        <is>
          <t>The image row accurately describes the actual media at this gallery position.</t>
        </is>
      </c>
    </row>
    <row r="84" ht="84" customHeight="1">
      <c r="A84" s="2" t="inlineStr">
        <is>
          <t>ISSUE-0083</t>
        </is>
      </c>
      <c r="B84" s="2" t="inlineStr">
        <is>
          <t>jeminise.com+custom-purple-floral-christian-cross-blanket-machine-washable-d2</t>
        </is>
      </c>
      <c r="C84" s="2" t="inlineStr">
        <is>
          <t>img_2f8f756765a45b33</t>
        </is>
      </c>
      <c r="D84" s="2" t="inlineStr">
        <is>
          <t>MINOR</t>
        </is>
      </c>
      <c r="E84" s="2" t="inlineStr">
        <is>
          <t>image observation</t>
        </is>
      </c>
      <c r="F84" s="2" t="inlineStr">
        <is>
          <t>Additional lifestyle, feature or product detail image showing personalized purple floral Christian cross blanket for Amabel.</t>
        </is>
      </c>
      <c r="G84" s="2" t="inlineStr">
        <is>
          <t>Fresh image file: D:\Shopify_Workspace\jeminise_seo\seo_runs\jeminise.com\20260906_234129\qa\20260907_181000\images\099_08.jpg; source URL: https://cdn.shopify.com/s/files/1/0792/5098/1063/files/4bf3e5ac8d2c496079286be34619f530e3a2ef3ee4eb27bf1ccc7beac7dfa930.jpg?v=1786596467</t>
        </is>
      </c>
      <c r="H84" s="2" t="inlineStr">
        <is>
          <t>Observation is generic or position-based; rewrite from the actual image content.</t>
        </is>
      </c>
      <c r="I84" s="2" t="inlineStr">
        <is>
          <t>Rewrite observation/alt from the directly opened image, naming the visible motif and use context.</t>
        </is>
      </c>
      <c r="J84" s="2" t="inlineStr">
        <is>
          <t>Fresh image file: D:\Shopify_Workspace\jeminise_seo\seo_runs\jeminise.com\20260906_234129\qa\20260907_181000\images\099_08.jpg; source URL: https://cdn.shopify.com/s/files/1/0792/5098/1063/files/4bf3e5ac8d2c496079286be34619f530e3a2ef3ee4eb27bf1ccc7beac7dfa930.jpg?v=1786596467</t>
        </is>
      </c>
      <c r="K84" s="2" t="inlineStr">
        <is>
          <t>The image row accurately describes the actual media at this gallery position.</t>
        </is>
      </c>
    </row>
    <row r="85" ht="84" customHeight="1">
      <c r="A85" s="3" t="inlineStr">
        <is>
          <t>ISSUE-0084</t>
        </is>
      </c>
      <c r="B85" s="3" t="inlineStr">
        <is>
          <t>jeminise.com+custom-purple-floral-cross-with-butterflies-blanket-machi-design-14</t>
        </is>
      </c>
      <c r="C85" s="3" t="inlineStr"/>
      <c r="D85" s="3" t="inlineStr">
        <is>
          <t>MAJOR</t>
        </is>
      </c>
      <c r="E85" s="3" t="inlineStr">
        <is>
          <t>description_proposed_html</t>
        </is>
      </c>
      <c r="F85" s="3"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t>
        </is>
      </c>
      <c r="G85" s="3" t="inlineStr">
        <is>
          <t>Draft contains SEO Use / QA approval wording.</t>
        </is>
      </c>
      <c r="H85" s="3" t="inlineStr">
        <is>
          <t>Internal workflow language is not publish-ready storefront copy.</t>
        </is>
      </c>
      <c r="I85" s="3" t="inlineStr">
        <is>
          <t>Remove internal QA/import block and replace with customer-facing verified copy.</t>
        </is>
      </c>
      <c r="J85" s="3" t="inlineStr">
        <is>
          <t>Draft contains SEO Use / QA approval wording.</t>
        </is>
      </c>
      <c r="K85" s="3" t="inlineStr">
        <is>
          <t>Description HTML no longer contains SEO Use, QA, approval, import or draft language.</t>
        </is>
      </c>
    </row>
    <row r="86" ht="84" customHeight="1">
      <c r="A86" s="2" t="inlineStr">
        <is>
          <t>ISSUE-0085</t>
        </is>
      </c>
      <c r="B86" s="2" t="inlineStr">
        <is>
          <t>jeminise.com+custom-purple-floral-cross-with-butterflies-blanket-machi-design-14</t>
        </is>
      </c>
      <c r="C86" s="2" t="inlineStr"/>
      <c r="D86" s="2" t="inlineStr">
        <is>
          <t>MINOR</t>
        </is>
      </c>
      <c r="E86" s="2" t="inlineStr">
        <is>
          <t>meta_description_seo</t>
        </is>
      </c>
      <c r="F86" s="2" t="inlineStr">
        <is>
          <t>Shop a blanket featuring purple Bible verse collage design with wooden cross, floral accents, butterflies and Estella name. Review size and personalization options before checkout.</t>
        </is>
      </c>
      <c r="G86" s="2" t="inlineStr">
        <is>
          <t>Meta description length is 180 characters.</t>
        </is>
      </c>
      <c r="H86" s="2" t="inlineStr">
        <is>
          <t>Likely to truncate in search results and repeats review/personality wording in several rows.</t>
        </is>
      </c>
      <c r="I86" s="2" t="inlineStr">
        <is>
          <t>Rewrite to roughly 145-155 characters while preserving verified design and product type.</t>
        </is>
      </c>
      <c r="J86" s="2" t="inlineStr">
        <is>
          <t>Meta description length is 180 characters.</t>
        </is>
      </c>
      <c r="K86" s="2" t="inlineStr">
        <is>
          <t>Length check &lt;=160 characters and no unsupported claim remains.</t>
        </is>
      </c>
    </row>
    <row r="87" ht="84" customHeight="1">
      <c r="A87" s="3" t="inlineStr">
        <is>
          <t>ISSUE-0086</t>
        </is>
      </c>
      <c r="B87" s="3" t="inlineStr">
        <is>
          <t>jeminise.com+custom-purple-floral-cross-with-butterflies-blanket-machi-design-14</t>
        </is>
      </c>
      <c r="C87" s="3" t="inlineStr"/>
      <c r="D87" s="3" t="inlineStr">
        <is>
          <t>MAJOR</t>
        </is>
      </c>
      <c r="E87" s="3" t="inlineStr">
        <is>
          <t>keyword_map</t>
        </is>
      </c>
      <c r="F87" s="3" t="inlineStr">
        <is>
          <t>purple floral cross Bible verse blanket</t>
        </is>
      </c>
      <c r="G87" s="3" t="inlineStr">
        <is>
          <t>https://www.amazon.com/Blanket-Christian-Religious-Hummingbird-Catholic/dp/B0CKZ87PH6; https://www.pinterest.com/pin/personalized-purple-cross-fleece-blanket--889109151413619739/; https://www.zazzle.com/z_purple_cross_christian_symbol_personalized_fleece_blanket-256080411035054740; https://www.amazon.com/Blanket-Christian-Religious-Hummingbird-Catholic/dp/B0CKZ87PH6; https://www.pinterest.com/pin/personalized-purple-cross-fleece-blanket--8891091…</t>
        </is>
      </c>
      <c r="H87" s="3" t="inlineStr">
        <is>
          <t>Batch cluster contains several very similar products, so keyword/intent differentiation must be sharper.</t>
        </is>
      </c>
      <c r="I87" s="3" t="inlineStr">
        <is>
          <t>Add unique visible motif modifiers and avoid assigning the same generic product keyword to multiple URLs.</t>
        </is>
      </c>
      <c r="J87" s="3" t="inlineStr">
        <is>
          <t>https://www.amazon.com/Blanket-Christian-Religious-Hummingbird-Catholic/dp/B0CKZ87PH6; https://www.pinterest.com/pin/personalized-purple-cross-fleece-blanket--889109151413619739/; https://www.zazzle.com/z_purple_cross_christian_symbol_personalized_fleece_blanket-256080411035054740; https://www.amazon.com/Blanket-Christian-Religious-Hummingbird-Catholic/dp/B0CKZ87PH6; https://www.pinterest.com/pin/personalized-purple-cross-fleece-blanket--8891091…</t>
        </is>
      </c>
      <c r="K87" s="3" t="inlineStr">
        <is>
          <t>SERP notes and title/meta show a distinct product-level query for this exact design.</t>
        </is>
      </c>
    </row>
    <row r="88" ht="84" customHeight="1">
      <c r="A88" s="2" t="inlineStr">
        <is>
          <t>ISSUE-0087</t>
        </is>
      </c>
      <c r="B88" s="2" t="inlineStr">
        <is>
          <t>jeminise.com+custom-purple-floral-cross-with-butterflies-blanket-machi-design-14</t>
        </is>
      </c>
      <c r="C88" s="2" t="inlineStr"/>
      <c r="D88" s="2" t="inlineStr">
        <is>
          <t>LIMITATION</t>
        </is>
      </c>
      <c r="E88" s="2" t="inlineStr">
        <is>
          <t>keyword_evidence_level</t>
        </is>
      </c>
      <c r="F88" s="2" t="inlineStr">
        <is>
          <t>SERP_ONLY</t>
        </is>
      </c>
      <c r="G88" s="2" t="inlineStr">
        <is>
          <t>Only public SERP comparables are available.</t>
        </is>
      </c>
      <c r="H88" s="2" t="inlineStr">
        <is>
          <t>No Search Console, paid keyword volume or internal site search export was supplied.</t>
        </is>
      </c>
      <c r="I88" s="2" t="inlineStr">
        <is>
          <t>Keep demand statements qualitative; do not claim volume or ranking potential.</t>
        </is>
      </c>
      <c r="J88" s="2" t="inlineStr">
        <is>
          <t>Only public SERP comparables are available.</t>
        </is>
      </c>
      <c r="K88" s="2" t="inlineStr">
        <is>
          <t>Additional first-party or paid keyword evidence is attached, or limitation remains documented.</t>
        </is>
      </c>
    </row>
    <row r="89" ht="84" customHeight="1">
      <c r="A89" s="3" t="inlineStr">
        <is>
          <t>ISSUE-0088</t>
        </is>
      </c>
      <c r="B89" s="3" t="inlineStr">
        <is>
          <t>jeminise.com+custom-purple-floral-cross-with-butterflies-blanket-machi-design-14</t>
        </is>
      </c>
      <c r="C89" s="3" t="inlineStr">
        <is>
          <t>img_63b014a3bf3621e7</t>
        </is>
      </c>
      <c r="D89" s="3" t="inlineStr">
        <is>
          <t>MINOR</t>
        </is>
      </c>
      <c r="E89" s="3" t="inlineStr">
        <is>
          <t>alt text</t>
        </is>
      </c>
      <c r="F89" s="3" t="inlineStr">
        <is>
          <t>Personalized Purple Floral Cross Bible Verse Blanket displayed in a main product mockup</t>
        </is>
      </c>
      <c r="G89" s="3" t="inlineStr">
        <is>
          <t>Fresh image file: D:\Shopify_Workspace\jeminise_seo\seo_runs\jeminise.com\20260906_234129\qa\20260907_181000\images\100_01.jpg; source URL: https://cdn.shopify.com/s/files/1/0792/5098/1063/files/3d80b7de7d1f734e2ecfc7968366600fbdbd5ea5fa3c36401da4183fc73403f1.jpg?v=1786596780</t>
        </is>
      </c>
      <c r="H89" s="3" t="inlineStr">
        <is>
          <t>Alt text is too generic or describes placement more than visible content.</t>
        </is>
      </c>
      <c r="I89" s="3" t="inlineStr">
        <is>
          <t>Rewrite observation/alt from the directly opened image, naming the visible motif and use context.</t>
        </is>
      </c>
      <c r="J89" s="3" t="inlineStr">
        <is>
          <t>Fresh image file: D:\Shopify_Workspace\jeminise_seo\seo_runs\jeminise.com\20260906_234129\qa\20260907_181000\images\100_01.jpg; source URL: https://cdn.shopify.com/s/files/1/0792/5098/1063/files/3d80b7de7d1f734e2ecfc7968366600fbdbd5ea5fa3c36401da4183fc73403f1.jpg?v=1786596780</t>
        </is>
      </c>
      <c r="K89" s="3" t="inlineStr">
        <is>
          <t>The image row accurately describes the actual media at this gallery position.</t>
        </is>
      </c>
    </row>
    <row r="90" ht="84" customHeight="1">
      <c r="A90" s="2" t="inlineStr">
        <is>
          <t>ISSUE-0089</t>
        </is>
      </c>
      <c r="B90" s="2" t="inlineStr">
        <is>
          <t>jeminise.com+custom-purple-floral-cross-with-butterflies-blanket-machi-design-14</t>
        </is>
      </c>
      <c r="C90" s="2" t="inlineStr">
        <is>
          <t>img_edcfdfd611169a64</t>
        </is>
      </c>
      <c r="D90" s="2" t="inlineStr">
        <is>
          <t>MINOR</t>
        </is>
      </c>
      <c r="E90" s="2" t="inlineStr">
        <is>
          <t>image observation</t>
        </is>
      </c>
      <c r="F90" s="2" t="inlineStr">
        <is>
          <t>Bedding type, feature, lifestyle or material image for personalized purple floral cross Bible verse blanket for Estella.</t>
        </is>
      </c>
      <c r="G90" s="2" t="inlineStr">
        <is>
          <t>Fresh image file: D:\Shopify_Workspace\jeminise_seo\seo_runs\jeminise.com\20260906_234129\qa\20260907_181000\images\100_03.jpg; source URL: https://cdn.shopify.com/s/files/1/0792/5098/1063/files/b032afe25c0b31b61cc058ec5d2b0b263e0f2d006ceccecc1b1a7eb01a1809dc.jpg?v=1786596780</t>
        </is>
      </c>
      <c r="H90" s="2" t="inlineStr">
        <is>
          <t>Observation is generic or position-based; rewrite from the actual image content.</t>
        </is>
      </c>
      <c r="I90" s="2" t="inlineStr">
        <is>
          <t>Rewrite observation/alt from the directly opened image, naming the visible motif and use context.</t>
        </is>
      </c>
      <c r="J90" s="2" t="inlineStr">
        <is>
          <t>Fresh image file: D:\Shopify_Workspace\jeminise_seo\seo_runs\jeminise.com\20260906_234129\qa\20260907_181000\images\100_03.jpg; source URL: https://cdn.shopify.com/s/files/1/0792/5098/1063/files/b032afe25c0b31b61cc058ec5d2b0b263e0f2d006ceccecc1b1a7eb01a1809dc.jpg?v=1786596780</t>
        </is>
      </c>
      <c r="K90" s="2" t="inlineStr">
        <is>
          <t>The image row accurately describes the actual media at this gallery position.</t>
        </is>
      </c>
    </row>
    <row r="91" ht="84" customHeight="1">
      <c r="A91" s="3" t="inlineStr">
        <is>
          <t>ISSUE-0090</t>
        </is>
      </c>
      <c r="B91" s="3" t="inlineStr">
        <is>
          <t>jeminise.com+custom-purple-floral-cross-with-butterflies-blanket-machi-design-14</t>
        </is>
      </c>
      <c r="C91" s="3" t="inlineStr">
        <is>
          <t>img_000874603b920ff1</t>
        </is>
      </c>
      <c r="D91" s="3" t="inlineStr">
        <is>
          <t>MINOR</t>
        </is>
      </c>
      <c r="E91" s="3" t="inlineStr">
        <is>
          <t>image observation</t>
        </is>
      </c>
      <c r="F91" s="3" t="inlineStr">
        <is>
          <t>Detail, feature panel or lifestyle image connected to personalized purple floral cross Bible verse blanket for Estella.</t>
        </is>
      </c>
      <c r="G91" s="3" t="inlineStr">
        <is>
          <t>Fresh image file: D:\Shopify_Workspace\jeminise_seo\seo_runs\jeminise.com\20260906_234129\qa\20260907_181000\images\100_04.jpg; source URL: https://cdn.shopify.com/s/files/1/0792/5098/1063/files/ee31f565477c8d5e60e6e828da4896e0d9999f7ac852fafc866a10174eec8bfd.jpg?v=1786596780</t>
        </is>
      </c>
      <c r="H91" s="3" t="inlineStr">
        <is>
          <t>Observation is generic or position-based; rewrite from the actual image content.</t>
        </is>
      </c>
      <c r="I91" s="3" t="inlineStr">
        <is>
          <t>Rewrite observation/alt from the directly opened image, naming the visible motif and use context.</t>
        </is>
      </c>
      <c r="J91" s="3" t="inlineStr">
        <is>
          <t>Fresh image file: D:\Shopify_Workspace\jeminise_seo\seo_runs\jeminise.com\20260906_234129\qa\20260907_181000\images\100_04.jpg; source URL: https://cdn.shopify.com/s/files/1/0792/5098/1063/files/ee31f565477c8d5e60e6e828da4896e0d9999f7ac852fafc866a10174eec8bfd.jpg?v=1786596780</t>
        </is>
      </c>
      <c r="K91" s="3" t="inlineStr">
        <is>
          <t>The image row accurately describes the actual media at this gallery position.</t>
        </is>
      </c>
    </row>
    <row r="92" ht="84" customHeight="1">
      <c r="A92" s="2" t="inlineStr">
        <is>
          <t>ISSUE-0091</t>
        </is>
      </c>
      <c r="B92" s="2" t="inlineStr">
        <is>
          <t>jeminise.com+custom-purple-floral-cross-with-butterflies-blanket-machi-design-14</t>
        </is>
      </c>
      <c r="C92" s="2" t="inlineStr">
        <is>
          <t>img_81a4e44364c5951e</t>
        </is>
      </c>
      <c r="D92" s="2" t="inlineStr">
        <is>
          <t>MINOR</t>
        </is>
      </c>
      <c r="E92" s="2" t="inlineStr">
        <is>
          <t>image observation</t>
        </is>
      </c>
      <c r="F92" s="2" t="inlineStr">
        <is>
          <t>Easy-care, size guide or product feature image for personalized purple floral cross Bible verse blanket for Estella.</t>
        </is>
      </c>
      <c r="G92" s="2" t="inlineStr">
        <is>
          <t>Fresh image file: D:\Shopify_Workspace\jeminise_seo\seo_runs\jeminise.com\20260906_234129\qa\20260907_181000\images\100_06.jpg; source URL: https://cdn.shopify.com/s/files/1/0792/5098/1063/files/229be66a9e9e5e22fdec36da8f53aaea958d634b94b90fbb3c8082284ba3eaf4.jpg?v=1786596780</t>
        </is>
      </c>
      <c r="H92" s="2" t="inlineStr">
        <is>
          <t>Observation is generic or position-based; rewrite from the actual image content.</t>
        </is>
      </c>
      <c r="I92" s="2" t="inlineStr">
        <is>
          <t>Rewrite observation/alt from the directly opened image, naming the visible motif and use context.</t>
        </is>
      </c>
      <c r="J92" s="2" t="inlineStr">
        <is>
          <t>Fresh image file: D:\Shopify_Workspace\jeminise_seo\seo_runs\jeminise.com\20260906_234129\qa\20260907_181000\images\100_06.jpg; source URL: https://cdn.shopify.com/s/files/1/0792/5098/1063/files/229be66a9e9e5e22fdec36da8f53aaea958d634b94b90fbb3c8082284ba3eaf4.jpg?v=1786596780</t>
        </is>
      </c>
      <c r="K92" s="2" t="inlineStr">
        <is>
          <t>The image row accurately describes the actual media at this gallery position.</t>
        </is>
      </c>
    </row>
    <row r="93" ht="84" customHeight="1">
      <c r="A93" s="3" t="inlineStr">
        <is>
          <t>ISSUE-0092</t>
        </is>
      </c>
      <c r="B93" s="3" t="inlineStr">
        <is>
          <t>jeminise.com+custom-purple-floral-cross-with-butterflies-blanket-machi-design-14</t>
        </is>
      </c>
      <c r="C93" s="3" t="inlineStr">
        <is>
          <t>img_8346abae12f25e37</t>
        </is>
      </c>
      <c r="D93" s="3" t="inlineStr">
        <is>
          <t>MINOR</t>
        </is>
      </c>
      <c r="E93" s="3" t="inlineStr">
        <is>
          <t>image observation</t>
        </is>
      </c>
      <c r="F93" s="3" t="inlineStr">
        <is>
          <t>Additional lifestyle, feature or product detail image showing personalized purple floral cross Bible verse blanket for Estella.</t>
        </is>
      </c>
      <c r="G93" s="3" t="inlineStr">
        <is>
          <t>Fresh image file: D:\Shopify_Workspace\jeminise_seo\seo_runs\jeminise.com\20260906_234129\qa\20260907_181000\images\100_07.jpg; source URL: https://cdn.shopify.com/s/files/1/0792/5098/1063/files/c3a47e8ec44fb577496c4a89f94c907d6704a91509dd99a418f3dc0e038a4f3e.jpg?v=1786596780</t>
        </is>
      </c>
      <c r="H93" s="3" t="inlineStr">
        <is>
          <t>Observation is generic or position-based; rewrite from the actual image content.</t>
        </is>
      </c>
      <c r="I93" s="3" t="inlineStr">
        <is>
          <t>Rewrite observation/alt from the directly opened image, naming the visible motif and use context.</t>
        </is>
      </c>
      <c r="J93" s="3" t="inlineStr">
        <is>
          <t>Fresh image file: D:\Shopify_Workspace\jeminise_seo\seo_runs\jeminise.com\20260906_234129\qa\20260907_181000\images\100_07.jpg; source URL: https://cdn.shopify.com/s/files/1/0792/5098/1063/files/c3a47e8ec44fb577496c4a89f94c907d6704a91509dd99a418f3dc0e038a4f3e.jpg?v=1786596780</t>
        </is>
      </c>
      <c r="K93" s="3" t="inlineStr">
        <is>
          <t>The image row accurately describes the actual media at this gallery position.</t>
        </is>
      </c>
    </row>
    <row r="94" ht="84" customHeight="1">
      <c r="A94" s="2" t="inlineStr">
        <is>
          <t>ISSUE-0093</t>
        </is>
      </c>
      <c r="B94" s="2" t="inlineStr">
        <is>
          <t>jeminise.com+custom-purple-floral-cross-with-butterflies-blanket-machi-design-14</t>
        </is>
      </c>
      <c r="C94" s="2" t="inlineStr">
        <is>
          <t>img_8feb7dba37272bd7</t>
        </is>
      </c>
      <c r="D94" s="2" t="inlineStr">
        <is>
          <t>MINOR</t>
        </is>
      </c>
      <c r="E94" s="2" t="inlineStr">
        <is>
          <t>image observation</t>
        </is>
      </c>
      <c r="F94" s="2" t="inlineStr">
        <is>
          <t>Additional lifestyle, feature or product detail image showing personalized purple floral cross Bible verse blanket for Estella.</t>
        </is>
      </c>
      <c r="G94" s="2" t="inlineStr">
        <is>
          <t>Fresh image file: D:\Shopify_Workspace\jeminise_seo\seo_runs\jeminise.com\20260906_234129\qa\20260907_181000\images\100_08.jpg; source URL: https://cdn.shopify.com/s/files/1/0792/5098/1063/files/fae8e2040b0e02cb6244f200a057209b7427bd45ced7b542a3836dde42c2e396.jpg?v=1786596780</t>
        </is>
      </c>
      <c r="H94" s="2" t="inlineStr">
        <is>
          <t>Observation is generic or position-based; rewrite from the actual image content.</t>
        </is>
      </c>
      <c r="I94" s="2" t="inlineStr">
        <is>
          <t>Rewrite observation/alt from the directly opened image, naming the visible motif and use context.</t>
        </is>
      </c>
      <c r="J94" s="2" t="inlineStr">
        <is>
          <t>Fresh image file: D:\Shopify_Workspace\jeminise_seo\seo_runs\jeminise.com\20260906_234129\qa\20260907_181000\images\100_08.jpg; source URL: https://cdn.shopify.com/s/files/1/0792/5098/1063/files/fae8e2040b0e02cb6244f200a057209b7427bd45ced7b542a3836dde42c2e396.jpg?v=1786596780</t>
        </is>
      </c>
      <c r="K94" s="2" t="inlineStr">
        <is>
          <t>The image row accurately describes the actual media at this gallery position.</t>
        </is>
      </c>
    </row>
  </sheetData>
  <autoFilter ref="A1:K94"/>
  <conditionalFormatting sqref="D2:D94">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2026-09-07T11:39:18Z</dcterms:created>
  <dcterms:modified xmlns:dcterms="http://purl.org/dc/terms/" xmlns:xsi="http://www.w3.org/2001/XMLSchema-instance" xsi:type="dcterms:W3CDTF">2026-09-07T11:39:18Z</dcterms:modified>
</cp:coreProperties>
</file>