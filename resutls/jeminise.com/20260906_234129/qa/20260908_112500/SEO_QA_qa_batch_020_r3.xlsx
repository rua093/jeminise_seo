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'QA_Products'!$A$1:$Z$11</definedName>
    <definedName name="_xlnm._FilterDatabase" localSheetId="2" hidden="1">'QA_Criteria'!$A$1:$I$111</definedName>
    <definedName name="_xlnm._FilterDatabase" localSheetId="3" hidden="1">'QA_Images'!$A$1:$Q$47</definedName>
    <definedName name="_xlnm._FilterDatabase" localSheetId="4" hidden="1">'QA_Issues'!$A$1:$L$85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36" customWidth="1" min="4" max="4"/>
    <col width="28" customWidth="1" min="5" max="5"/>
    <col width="34" customWidth="1" min="6" max="6"/>
    <col width="18" customWidth="1" min="7" max="7"/>
    <col width="40" customWidth="1" min="8" max="8"/>
    <col width="41" customWidth="1" min="9" max="9"/>
    <col width="43" customWidth="1" min="10" max="10"/>
    <col width="41" customWidth="1" min="11" max="11"/>
    <col width="45" customWidth="1" min="12" max="12"/>
    <col width="45" customWidth="1" min="13" max="13"/>
    <col width="13" customWidth="1" min="14" max="14"/>
    <col width="39" customWidth="1" min="15" max="15"/>
  </cols>
  <sheetData>
    <row r="1">
      <c r="A1" s="1" t="inlineStr">
        <is>
          <t>batch_name</t>
        </is>
      </c>
      <c r="B1" s="1" t="inlineStr">
        <is>
          <t>run_id</t>
        </is>
      </c>
      <c r="C1" s="1" t="inlineStr">
        <is>
          <t>total_products</t>
        </is>
      </c>
      <c r="D1" s="1" t="inlineStr">
        <is>
          <t>assessed_products</t>
        </is>
      </c>
      <c r="E1" s="1" t="inlineStr">
        <is>
          <t>total_images</t>
        </is>
      </c>
      <c r="F1" s="1" t="inlineStr">
        <is>
          <t>assessed_images</t>
        </is>
      </c>
      <c r="G1" s="1" t="inlineStr">
        <is>
          <t>assessed_weight</t>
        </is>
      </c>
      <c r="H1" s="1" t="inlineStr">
        <is>
          <t>average_score</t>
        </is>
      </c>
      <c r="I1" s="1" t="inlineStr">
        <is>
          <t>qa_pass_count</t>
        </is>
      </c>
      <c r="J1" s="1" t="inlineStr">
        <is>
          <t>qa_revise_count</t>
        </is>
      </c>
      <c r="K1" s="1" t="inlineStr">
        <is>
          <t>qa_fail_count</t>
        </is>
      </c>
      <c r="L1" s="1" t="inlineStr">
        <is>
          <t>qa_incomplete_count</t>
        </is>
      </c>
      <c r="M1" s="1" t="inlineStr">
        <is>
          <t>overall_status</t>
        </is>
      </c>
      <c r="N1" s="1" t="inlineStr">
        <is>
          <t>audit_date</t>
        </is>
      </c>
      <c r="O1" s="1" t="inlineStr">
        <is>
          <t>auditor</t>
        </is>
      </c>
    </row>
    <row r="2">
      <c r="A2" s="2" t="inlineStr">
        <is>
          <t>qa_batch_020_r3</t>
        </is>
      </c>
      <c r="B2" s="2" t="inlineStr">
        <is>
          <t>20260908_112500</t>
        </is>
      </c>
      <c r="C2" s="2">
        <f>COUNTA(QA_Products!A2:A11)</f>
        <v/>
      </c>
      <c r="D2" s="2">
        <f>COUNTIF(QA_Products!H2:H11,TRUE)</f>
        <v/>
      </c>
      <c r="E2" s="2">
        <f>COUNTA(QA_Images!A2:A47)</f>
        <v/>
      </c>
      <c r="F2" s="2">
        <f>COUNTIF(QA_Images!O2:O47,"&lt;&gt;")</f>
        <v/>
      </c>
      <c r="G2" s="2" t="n">
        <v>100</v>
      </c>
      <c r="H2" s="2">
        <f>ROUND(AVERAGE(QA_Products!T2:T11),2)</f>
        <v/>
      </c>
      <c r="I2" s="2">
        <f>COUNTIF(QA_Products!Y2:Y11,"QA_PASS")</f>
        <v/>
      </c>
      <c r="J2" s="2">
        <f>COUNTIF(QA_Products!Y2:Y11,"QA_REVISE")</f>
        <v/>
      </c>
      <c r="K2" s="2">
        <f>COUNTIF(QA_Products!Y2:Y11,"QA_FAIL")</f>
        <v/>
      </c>
      <c r="L2" s="2">
        <f>COUNTIF(QA_Products!Y2:Y11,"QA_INCOMPLETE")</f>
        <v/>
      </c>
      <c r="M2" s="2">
        <f>IF(K2&gt;0,"QA_FAIL",IF(J2&gt;0,"QA_REVISE","QA_PASS"))</f>
        <v/>
      </c>
      <c r="N2" s="2" t="inlineStr">
        <is>
          <t>2026-09-08</t>
        </is>
      </c>
      <c r="O2" s="2" t="inlineStr">
        <is>
          <t>Antigravity Independent QA Assistant</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1" customWidth="1" min="3" max="3"/>
    <col width="45" customWidth="1" min="4" max="4"/>
    <col width="41" customWidth="1" min="5" max="5"/>
    <col width="41"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31" customWidth="1" min="20" max="20"/>
    <col width="45" customWidth="1" min="21" max="21"/>
    <col width="45" customWidth="1" min="22" max="22"/>
    <col width="45" customWidth="1" min="23" max="23"/>
    <col width="45" customWidth="1" min="24" max="24"/>
    <col width="45" customWidth="1" min="25" max="25"/>
    <col width="45" customWidth="1" min="26" max="26"/>
  </cols>
  <sheetData>
    <row r="1">
      <c r="A1" s="1" t="inlineStr">
        <is>
          <t>product_key</t>
        </is>
      </c>
      <c r="B1" s="1" t="inlineStr">
        <is>
          <t>Handle</t>
        </is>
      </c>
      <c r="C1" s="1" t="inlineStr">
        <is>
          <t>inventory_position</t>
        </is>
      </c>
      <c r="D1" s="1" t="inlineStr">
        <is>
          <t>product_title_current</t>
        </is>
      </c>
      <c r="E1" s="1" t="inlineStr">
        <is>
          <t>product_title_proposed</t>
        </is>
      </c>
      <c r="F1" s="1" t="inlineStr">
        <is>
          <t>primary_keyword</t>
        </is>
      </c>
      <c r="G1" s="1" t="inlineStr">
        <is>
          <t>secondary_keywords</t>
        </is>
      </c>
      <c r="H1" s="1" t="inlineStr">
        <is>
          <t>page_read</t>
        </is>
      </c>
      <c r="I1" s="1" t="inlineStr">
        <is>
          <t>P1_score</t>
        </is>
      </c>
      <c r="J1" s="1" t="inlineStr">
        <is>
          <t>P2_score</t>
        </is>
      </c>
      <c r="K1" s="1" t="inlineStr">
        <is>
          <t>K1_score</t>
        </is>
      </c>
      <c r="L1" s="1" t="inlineStr">
        <is>
          <t>K2_score</t>
        </is>
      </c>
      <c r="M1" s="1" t="inlineStr">
        <is>
          <t>K3_score</t>
        </is>
      </c>
      <c r="N1" s="1" t="inlineStr">
        <is>
          <t>T1_score</t>
        </is>
      </c>
      <c r="O1" s="1" t="inlineStr">
        <is>
          <t>T2_score</t>
        </is>
      </c>
      <c r="P1" s="1" t="inlineStr">
        <is>
          <t>D1_score</t>
        </is>
      </c>
      <c r="Q1" s="1" t="inlineStr">
        <is>
          <t>D2_score</t>
        </is>
      </c>
      <c r="R1" s="1" t="inlineStr">
        <is>
          <t>I1_score</t>
        </is>
      </c>
      <c r="S1" s="1" t="inlineStr">
        <is>
          <t>E1_score</t>
        </is>
      </c>
      <c r="T1" s="1" t="inlineStr">
        <is>
          <t>total_score</t>
        </is>
      </c>
      <c r="U1" s="1" t="inlineStr">
        <is>
          <t>critical_issues_count</t>
        </is>
      </c>
      <c r="V1" s="1" t="inlineStr">
        <is>
          <t>major_issues_count</t>
        </is>
      </c>
      <c r="W1" s="1" t="inlineStr">
        <is>
          <t>minor_issues_count</t>
        </is>
      </c>
      <c r="X1" s="1" t="inlineStr">
        <is>
          <t>limitation_count</t>
        </is>
      </c>
      <c r="Y1" s="1" t="inlineStr">
        <is>
          <t>qa_status</t>
        </is>
      </c>
      <c r="Z1" s="1" t="inlineStr">
        <is>
          <t>notes</t>
        </is>
      </c>
    </row>
    <row r="2">
      <c r="A2" s="3" t="inlineStr">
        <is>
          <t>jeminise.com+personalized-baseball-bedding-full-size-flag-custom-name-d-design-16</t>
        </is>
      </c>
      <c r="B2" s="2" t="inlineStr">
        <is>
          <t>personalized-baseball-bedding-full-size-flag-custom-name-d-design-16</t>
        </is>
      </c>
      <c r="C2" s="2" t="n">
        <v>191</v>
      </c>
      <c r="D2" s="2" t="inlineStr">
        <is>
          <t>Personalized Baseball Bedding Full Size Flag Custom Name D - Design 16</t>
        </is>
      </c>
      <c r="E2" s="2" t="inlineStr">
        <is>
          <t>Custom Red Black Batter Bedding</t>
        </is>
      </c>
      <c r="F2" s="2" t="inlineStr">
        <is>
          <t>custom red black batter bedding</t>
        </is>
      </c>
      <c r="G2" s="2" t="inlineStr">
        <is>
          <t>baseball batter bedding, personalized baseball bedding, custom name baseball comforter</t>
        </is>
      </c>
      <c r="H2" s="2" t="b">
        <v>1</v>
      </c>
      <c r="I2" s="2">
        <f>SUMIFS(QA_Criteria!F:F,QA_Criteria!B:B,A2,QA_Criteria!C:C,"P1")</f>
        <v/>
      </c>
      <c r="J2" s="2">
        <f>SUMIFS(QA_Criteria!F:F,QA_Criteria!B:B,A2,QA_Criteria!C:C,"P2")</f>
        <v/>
      </c>
      <c r="K2" s="2">
        <f>SUMIFS(QA_Criteria!F:F,QA_Criteria!B:B,A2,QA_Criteria!C:C,"K1")</f>
        <v/>
      </c>
      <c r="L2" s="2">
        <f>SUMIFS(QA_Criteria!F:F,QA_Criteria!B:B,A2,QA_Criteria!C:C,"K2")</f>
        <v/>
      </c>
      <c r="M2" s="2">
        <f>SUMIFS(QA_Criteria!F:F,QA_Criteria!B:B,A2,QA_Criteria!C:C,"K3")</f>
        <v/>
      </c>
      <c r="N2" s="2">
        <f>SUMIFS(QA_Criteria!F:F,QA_Criteria!B:B,A2,QA_Criteria!C:C,"T1")</f>
        <v/>
      </c>
      <c r="O2" s="2">
        <f>SUMIFS(QA_Criteria!F:F,QA_Criteria!B:B,A2,QA_Criteria!C:C,"T2")</f>
        <v/>
      </c>
      <c r="P2" s="2">
        <f>SUMIFS(QA_Criteria!F:F,QA_Criteria!B:B,A2,QA_Criteria!C:C,"D1")</f>
        <v/>
      </c>
      <c r="Q2" s="2">
        <f>SUMIFS(QA_Criteria!F:F,QA_Criteria!B:B,A2,QA_Criteria!C:C,"D2")</f>
        <v/>
      </c>
      <c r="R2" s="2">
        <f>ROUND(0.20*AVERAGEIF(QA_Images!B:B,A2,QA_Images!N:N),2)</f>
        <v/>
      </c>
      <c r="S2" s="2">
        <f>SUMIFS(QA_Criteria!F:F,QA_Criteria!B:B,A2,QA_Criteria!C:C,"E1")</f>
        <v/>
      </c>
      <c r="T2" s="2">
        <f>IF(H2=TRUE,SUM(I2:S2),0)</f>
        <v/>
      </c>
      <c r="U2" s="2">
        <f>COUNTIFS(QA_Issues!B:B,A2,QA_Issues!D:D,"CRITICAL",QA_Issues!L:L,"&lt;&gt;RESOLVED",QA_Issues!L:L,"&lt;&gt;NOT_APPLICABLE")</f>
        <v/>
      </c>
      <c r="V2" s="2">
        <f>COUNTIFS(QA_Issues!B:B,A2,QA_Issues!D:D,"MAJOR",QA_Issues!L:L,"&lt;&gt;RESOLVED",QA_Issues!L:L,"&lt;&gt;NOT_APPLICABLE")</f>
        <v/>
      </c>
      <c r="W2" s="2">
        <f>COUNTIFS(QA_Issues!B:B,A2,QA_Issues!D:D,"MINOR",QA_Issues!L:L,"&lt;&gt;RESOLVED",QA_Issues!L:L,"&lt;&gt;NOT_APPLICABLE")</f>
        <v/>
      </c>
      <c r="X2" s="2">
        <f>COUNTIFS(QA_Issues!B:B,A2,QA_Issues!D:D,"LIMITATION",QA_Issues!L:L,"&lt;&gt;RESOLVED",QA_Issues!L:L,"&lt;&gt;NOT_APPLICABLE")</f>
        <v/>
      </c>
      <c r="Y2" s="2">
        <f>IF(U2&gt;0,"QA_FAIL",IF(H2=FALSE,"QA_INCOMPLETE",IF(T2&lt;70,"QA_FAIL",IF(OR(T2&lt;85,V2&gt;0),"QA_REVISE","QA_PASS"))))</f>
        <v/>
      </c>
      <c r="Z2"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3">
      <c r="A3" s="3" t="inlineStr">
        <is>
          <t>jeminise.com+personalized-baseball-bedding-full-size-flag-custom-name-d-design-17</t>
        </is>
      </c>
      <c r="B3" s="2" t="inlineStr">
        <is>
          <t>personalized-baseball-bedding-full-size-flag-custom-name-d-design-17</t>
        </is>
      </c>
      <c r="C3" s="2" t="n">
        <v>192</v>
      </c>
      <c r="D3" s="2" t="inlineStr">
        <is>
          <t>Personalized Baseball Bedding Full Size Flag Custom Name D - Design 17</t>
        </is>
      </c>
      <c r="E3" s="2" t="inlineStr">
        <is>
          <t>Custom Brown Baseball Glove Bedding</t>
        </is>
      </c>
      <c r="F3" s="2" t="inlineStr">
        <is>
          <t>custom brown baseball glove bedding</t>
        </is>
      </c>
      <c r="G3" s="2" t="inlineStr">
        <is>
          <t>baseball glove bedding, personalized baseball bedding, custom name baseball comforter</t>
        </is>
      </c>
      <c r="H3" s="2" t="b">
        <v>1</v>
      </c>
      <c r="I3" s="2">
        <f>SUMIFS(QA_Criteria!F:F,QA_Criteria!B:B,A3,QA_Criteria!C:C,"P1")</f>
        <v/>
      </c>
      <c r="J3" s="2">
        <f>SUMIFS(QA_Criteria!F:F,QA_Criteria!B:B,A3,QA_Criteria!C:C,"P2")</f>
        <v/>
      </c>
      <c r="K3" s="2">
        <f>SUMIFS(QA_Criteria!F:F,QA_Criteria!B:B,A3,QA_Criteria!C:C,"K1")</f>
        <v/>
      </c>
      <c r="L3" s="2">
        <f>SUMIFS(QA_Criteria!F:F,QA_Criteria!B:B,A3,QA_Criteria!C:C,"K2")</f>
        <v/>
      </c>
      <c r="M3" s="2">
        <f>SUMIFS(QA_Criteria!F:F,QA_Criteria!B:B,A3,QA_Criteria!C:C,"K3")</f>
        <v/>
      </c>
      <c r="N3" s="2">
        <f>SUMIFS(QA_Criteria!F:F,QA_Criteria!B:B,A3,QA_Criteria!C:C,"T1")</f>
        <v/>
      </c>
      <c r="O3" s="2">
        <f>SUMIFS(QA_Criteria!F:F,QA_Criteria!B:B,A3,QA_Criteria!C:C,"T2")</f>
        <v/>
      </c>
      <c r="P3" s="2">
        <f>SUMIFS(QA_Criteria!F:F,QA_Criteria!B:B,A3,QA_Criteria!C:C,"D1")</f>
        <v/>
      </c>
      <c r="Q3" s="2">
        <f>SUMIFS(QA_Criteria!F:F,QA_Criteria!B:B,A3,QA_Criteria!C:C,"D2")</f>
        <v/>
      </c>
      <c r="R3" s="2">
        <f>ROUND(0.20*AVERAGEIF(QA_Images!B:B,A3,QA_Images!N:N),2)</f>
        <v/>
      </c>
      <c r="S3" s="2">
        <f>SUMIFS(QA_Criteria!F:F,QA_Criteria!B:B,A3,QA_Criteria!C:C,"E1")</f>
        <v/>
      </c>
      <c r="T3" s="2">
        <f>IF(H3=TRUE,SUM(I3:S3),0)</f>
        <v/>
      </c>
      <c r="U3" s="2">
        <f>COUNTIFS(QA_Issues!B:B,A3,QA_Issues!D:D,"CRITICAL",QA_Issues!L:L,"&lt;&gt;RESOLVED",QA_Issues!L:L,"&lt;&gt;NOT_APPLICABLE")</f>
        <v/>
      </c>
      <c r="V3" s="2">
        <f>COUNTIFS(QA_Issues!B:B,A3,QA_Issues!D:D,"MAJOR",QA_Issues!L:L,"&lt;&gt;RESOLVED",QA_Issues!L:L,"&lt;&gt;NOT_APPLICABLE")</f>
        <v/>
      </c>
      <c r="W3" s="2">
        <f>COUNTIFS(QA_Issues!B:B,A3,QA_Issues!D:D,"MINOR",QA_Issues!L:L,"&lt;&gt;RESOLVED",QA_Issues!L:L,"&lt;&gt;NOT_APPLICABLE")</f>
        <v/>
      </c>
      <c r="X3" s="2">
        <f>COUNTIFS(QA_Issues!B:B,A3,QA_Issues!D:D,"LIMITATION",QA_Issues!L:L,"&lt;&gt;RESOLVED",QA_Issues!L:L,"&lt;&gt;NOT_APPLICABLE")</f>
        <v/>
      </c>
      <c r="Y3" s="2">
        <f>IF(U3&gt;0,"QA_FAIL",IF(H3=FALSE,"QA_INCOMPLETE",IF(T3&lt;70,"QA_FAIL",IF(OR(T3&lt;85,V3&gt;0),"QA_REVISE","QA_PASS"))))</f>
        <v/>
      </c>
      <c r="Z3"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4">
      <c r="A4" s="3" t="inlineStr">
        <is>
          <t>jeminise.com+personalized-baseball-bedding-full-size-flag-custom-name-d-design-18</t>
        </is>
      </c>
      <c r="B4" s="2" t="inlineStr">
        <is>
          <t>personalized-baseball-bedding-full-size-flag-custom-name-d-design-18</t>
        </is>
      </c>
      <c r="C4" s="2" t="n">
        <v>193</v>
      </c>
      <c r="D4" s="2" t="inlineStr">
        <is>
          <t>Personalized Baseball Bedding Full Size Flag Custom Name D - Design 18</t>
        </is>
      </c>
      <c r="E4" s="2" t="inlineStr">
        <is>
          <t>Custom Flaming Baseball Batter Bedding</t>
        </is>
      </c>
      <c r="F4" s="2" t="inlineStr">
        <is>
          <t>custom flaming baseball batter bedding</t>
        </is>
      </c>
      <c r="G4" s="2" t="inlineStr">
        <is>
          <t>flaming baseball bedding, baseball player bedding, personalized baseball comforter</t>
        </is>
      </c>
      <c r="H4" s="2" t="b">
        <v>1</v>
      </c>
      <c r="I4" s="2">
        <f>SUMIFS(QA_Criteria!F:F,QA_Criteria!B:B,A4,QA_Criteria!C:C,"P1")</f>
        <v/>
      </c>
      <c r="J4" s="2">
        <f>SUMIFS(QA_Criteria!F:F,QA_Criteria!B:B,A4,QA_Criteria!C:C,"P2")</f>
        <v/>
      </c>
      <c r="K4" s="2">
        <f>SUMIFS(QA_Criteria!F:F,QA_Criteria!B:B,A4,QA_Criteria!C:C,"K1")</f>
        <v/>
      </c>
      <c r="L4" s="2">
        <f>SUMIFS(QA_Criteria!F:F,QA_Criteria!B:B,A4,QA_Criteria!C:C,"K2")</f>
        <v/>
      </c>
      <c r="M4" s="2">
        <f>SUMIFS(QA_Criteria!F:F,QA_Criteria!B:B,A4,QA_Criteria!C:C,"K3")</f>
        <v/>
      </c>
      <c r="N4" s="2">
        <f>SUMIFS(QA_Criteria!F:F,QA_Criteria!B:B,A4,QA_Criteria!C:C,"T1")</f>
        <v/>
      </c>
      <c r="O4" s="2">
        <f>SUMIFS(QA_Criteria!F:F,QA_Criteria!B:B,A4,QA_Criteria!C:C,"T2")</f>
        <v/>
      </c>
      <c r="P4" s="2">
        <f>SUMIFS(QA_Criteria!F:F,QA_Criteria!B:B,A4,QA_Criteria!C:C,"D1")</f>
        <v/>
      </c>
      <c r="Q4" s="2">
        <f>SUMIFS(QA_Criteria!F:F,QA_Criteria!B:B,A4,QA_Criteria!C:C,"D2")</f>
        <v/>
      </c>
      <c r="R4" s="2">
        <f>ROUND(0.20*AVERAGEIF(QA_Images!B:B,A4,QA_Images!N:N),2)</f>
        <v/>
      </c>
      <c r="S4" s="2">
        <f>SUMIFS(QA_Criteria!F:F,QA_Criteria!B:B,A4,QA_Criteria!C:C,"E1")</f>
        <v/>
      </c>
      <c r="T4" s="2">
        <f>IF(H4=TRUE,SUM(I4:S4),0)</f>
        <v/>
      </c>
      <c r="U4" s="2">
        <f>COUNTIFS(QA_Issues!B:B,A4,QA_Issues!D:D,"CRITICAL",QA_Issues!L:L,"&lt;&gt;RESOLVED",QA_Issues!L:L,"&lt;&gt;NOT_APPLICABLE")</f>
        <v/>
      </c>
      <c r="V4" s="2">
        <f>COUNTIFS(QA_Issues!B:B,A4,QA_Issues!D:D,"MAJOR",QA_Issues!L:L,"&lt;&gt;RESOLVED",QA_Issues!L:L,"&lt;&gt;NOT_APPLICABLE")</f>
        <v/>
      </c>
      <c r="W4" s="2">
        <f>COUNTIFS(QA_Issues!B:B,A4,QA_Issues!D:D,"MINOR",QA_Issues!L:L,"&lt;&gt;RESOLVED",QA_Issues!L:L,"&lt;&gt;NOT_APPLICABLE")</f>
        <v/>
      </c>
      <c r="X4" s="2">
        <f>COUNTIFS(QA_Issues!B:B,A4,QA_Issues!D:D,"LIMITATION",QA_Issues!L:L,"&lt;&gt;RESOLVED",QA_Issues!L:L,"&lt;&gt;NOT_APPLICABLE")</f>
        <v/>
      </c>
      <c r="Y4" s="2">
        <f>IF(U4&gt;0,"QA_FAIL",IF(H4=FALSE,"QA_INCOMPLETE",IF(T4&lt;70,"QA_FAIL",IF(OR(T4&lt;85,V4&gt;0),"QA_REVISE","QA_PASS"))))</f>
        <v/>
      </c>
      <c r="Z4"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5">
      <c r="A5" s="3" t="inlineStr">
        <is>
          <t>jeminise.com+personalized-baseball-bedding-full-size-flag-custom-name-d-design-19</t>
        </is>
      </c>
      <c r="B5" s="2" t="inlineStr">
        <is>
          <t>personalized-baseball-bedding-full-size-flag-custom-name-d-design-19</t>
        </is>
      </c>
      <c r="C5" s="2" t="n">
        <v>194</v>
      </c>
      <c r="D5" s="2" t="inlineStr">
        <is>
          <t>Personalized Baseball Bedding Full Size Flag Custom Name D - Design 19</t>
        </is>
      </c>
      <c r="E5" s="2" t="inlineStr">
        <is>
          <t>Custom Orange Fire Baseball Bedding</t>
        </is>
      </c>
      <c r="F5" s="2" t="inlineStr">
        <is>
          <t>custom orange fire baseball bedding</t>
        </is>
      </c>
      <c r="G5" s="2" t="inlineStr">
        <is>
          <t>fire baseball bedding, baseball player comforter, personalized baseball bedding</t>
        </is>
      </c>
      <c r="H5" s="2" t="b">
        <v>1</v>
      </c>
      <c r="I5" s="2">
        <f>SUMIFS(QA_Criteria!F:F,QA_Criteria!B:B,A5,QA_Criteria!C:C,"P1")</f>
        <v/>
      </c>
      <c r="J5" s="2">
        <f>SUMIFS(QA_Criteria!F:F,QA_Criteria!B:B,A5,QA_Criteria!C:C,"P2")</f>
        <v/>
      </c>
      <c r="K5" s="2">
        <f>SUMIFS(QA_Criteria!F:F,QA_Criteria!B:B,A5,QA_Criteria!C:C,"K1")</f>
        <v/>
      </c>
      <c r="L5" s="2">
        <f>SUMIFS(QA_Criteria!F:F,QA_Criteria!B:B,A5,QA_Criteria!C:C,"K2")</f>
        <v/>
      </c>
      <c r="M5" s="2">
        <f>SUMIFS(QA_Criteria!F:F,QA_Criteria!B:B,A5,QA_Criteria!C:C,"K3")</f>
        <v/>
      </c>
      <c r="N5" s="2">
        <f>SUMIFS(QA_Criteria!F:F,QA_Criteria!B:B,A5,QA_Criteria!C:C,"T1")</f>
        <v/>
      </c>
      <c r="O5" s="2">
        <f>SUMIFS(QA_Criteria!F:F,QA_Criteria!B:B,A5,QA_Criteria!C:C,"T2")</f>
        <v/>
      </c>
      <c r="P5" s="2">
        <f>SUMIFS(QA_Criteria!F:F,QA_Criteria!B:B,A5,QA_Criteria!C:C,"D1")</f>
        <v/>
      </c>
      <c r="Q5" s="2">
        <f>SUMIFS(QA_Criteria!F:F,QA_Criteria!B:B,A5,QA_Criteria!C:C,"D2")</f>
        <v/>
      </c>
      <c r="R5" s="2">
        <f>ROUND(0.20*AVERAGEIF(QA_Images!B:B,A5,QA_Images!N:N),2)</f>
        <v/>
      </c>
      <c r="S5" s="2">
        <f>SUMIFS(QA_Criteria!F:F,QA_Criteria!B:B,A5,QA_Criteria!C:C,"E1")</f>
        <v/>
      </c>
      <c r="T5" s="2">
        <f>IF(H5=TRUE,SUM(I5:S5),0)</f>
        <v/>
      </c>
      <c r="U5" s="2">
        <f>COUNTIFS(QA_Issues!B:B,A5,QA_Issues!D:D,"CRITICAL",QA_Issues!L:L,"&lt;&gt;RESOLVED",QA_Issues!L:L,"&lt;&gt;NOT_APPLICABLE")</f>
        <v/>
      </c>
      <c r="V5" s="2">
        <f>COUNTIFS(QA_Issues!B:B,A5,QA_Issues!D:D,"MAJOR",QA_Issues!L:L,"&lt;&gt;RESOLVED",QA_Issues!L:L,"&lt;&gt;NOT_APPLICABLE")</f>
        <v/>
      </c>
      <c r="W5" s="2">
        <f>COUNTIFS(QA_Issues!B:B,A5,QA_Issues!D:D,"MINOR",QA_Issues!L:L,"&lt;&gt;RESOLVED",QA_Issues!L:L,"&lt;&gt;NOT_APPLICABLE")</f>
        <v/>
      </c>
      <c r="X5" s="2">
        <f>COUNTIFS(QA_Issues!B:B,A5,QA_Issues!D:D,"LIMITATION",QA_Issues!L:L,"&lt;&gt;RESOLVED",QA_Issues!L:L,"&lt;&gt;NOT_APPLICABLE")</f>
        <v/>
      </c>
      <c r="Y5" s="2">
        <f>IF(U5&gt;0,"QA_FAIL",IF(H5=FALSE,"QA_INCOMPLETE",IF(T5&lt;70,"QA_FAIL",IF(OR(T5&lt;85,V5&gt;0),"QA_REVISE","QA_PASS"))))</f>
        <v/>
      </c>
      <c r="Z5"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6">
      <c r="A6" s="3" t="inlineStr">
        <is>
          <t>jeminise.com+personalized-baseball-bedding-full-size-flag-custom-name-d-design-20</t>
        </is>
      </c>
      <c r="B6" s="2" t="inlineStr">
        <is>
          <t>personalized-baseball-bedding-full-size-flag-custom-name-d-design-20</t>
        </is>
      </c>
      <c r="C6" s="2" t="n">
        <v>195</v>
      </c>
      <c r="D6" s="2" t="inlineStr">
        <is>
          <t>Personalized Baseball Bedding Full Size Flag Custom Name D - Design 20</t>
        </is>
      </c>
      <c r="E6" s="2" t="inlineStr">
        <is>
          <t>Custom Baseball Glove Flag Bedding</t>
        </is>
      </c>
      <c r="F6" s="2" t="inlineStr">
        <is>
          <t>custom baseball glove flag bedding</t>
        </is>
      </c>
      <c r="G6" s="2" t="inlineStr">
        <is>
          <t>American flag baseball bedding, baseball glove comforter, personalized baseball bedding</t>
        </is>
      </c>
      <c r="H6" s="2" t="b">
        <v>1</v>
      </c>
      <c r="I6" s="2">
        <f>SUMIFS(QA_Criteria!F:F,QA_Criteria!B:B,A6,QA_Criteria!C:C,"P1")</f>
        <v/>
      </c>
      <c r="J6" s="2">
        <f>SUMIFS(QA_Criteria!F:F,QA_Criteria!B:B,A6,QA_Criteria!C:C,"P2")</f>
        <v/>
      </c>
      <c r="K6" s="2">
        <f>SUMIFS(QA_Criteria!F:F,QA_Criteria!B:B,A6,QA_Criteria!C:C,"K1")</f>
        <v/>
      </c>
      <c r="L6" s="2">
        <f>SUMIFS(QA_Criteria!F:F,QA_Criteria!B:B,A6,QA_Criteria!C:C,"K2")</f>
        <v/>
      </c>
      <c r="M6" s="2">
        <f>SUMIFS(QA_Criteria!F:F,QA_Criteria!B:B,A6,QA_Criteria!C:C,"K3")</f>
        <v/>
      </c>
      <c r="N6" s="2">
        <f>SUMIFS(QA_Criteria!F:F,QA_Criteria!B:B,A6,QA_Criteria!C:C,"T1")</f>
        <v/>
      </c>
      <c r="O6" s="2">
        <f>SUMIFS(QA_Criteria!F:F,QA_Criteria!B:B,A6,QA_Criteria!C:C,"T2")</f>
        <v/>
      </c>
      <c r="P6" s="2">
        <f>SUMIFS(QA_Criteria!F:F,QA_Criteria!B:B,A6,QA_Criteria!C:C,"D1")</f>
        <v/>
      </c>
      <c r="Q6" s="2">
        <f>SUMIFS(QA_Criteria!F:F,QA_Criteria!B:B,A6,QA_Criteria!C:C,"D2")</f>
        <v/>
      </c>
      <c r="R6" s="2">
        <f>ROUND(0.20*AVERAGEIF(QA_Images!B:B,A6,QA_Images!N:N),2)</f>
        <v/>
      </c>
      <c r="S6" s="2">
        <f>SUMIFS(QA_Criteria!F:F,QA_Criteria!B:B,A6,QA_Criteria!C:C,"E1")</f>
        <v/>
      </c>
      <c r="T6" s="2">
        <f>IF(H6=TRUE,SUM(I6:S6),0)</f>
        <v/>
      </c>
      <c r="U6" s="2">
        <f>COUNTIFS(QA_Issues!B:B,A6,QA_Issues!D:D,"CRITICAL",QA_Issues!L:L,"&lt;&gt;RESOLVED",QA_Issues!L:L,"&lt;&gt;NOT_APPLICABLE")</f>
        <v/>
      </c>
      <c r="V6" s="2">
        <f>COUNTIFS(QA_Issues!B:B,A6,QA_Issues!D:D,"MAJOR",QA_Issues!L:L,"&lt;&gt;RESOLVED",QA_Issues!L:L,"&lt;&gt;NOT_APPLICABLE")</f>
        <v/>
      </c>
      <c r="W6" s="2">
        <f>COUNTIFS(QA_Issues!B:B,A6,QA_Issues!D:D,"MINOR",QA_Issues!L:L,"&lt;&gt;RESOLVED",QA_Issues!L:L,"&lt;&gt;NOT_APPLICABLE")</f>
        <v/>
      </c>
      <c r="X6" s="2">
        <f>COUNTIFS(QA_Issues!B:B,A6,QA_Issues!D:D,"LIMITATION",QA_Issues!L:L,"&lt;&gt;RESOLVED",QA_Issues!L:L,"&lt;&gt;NOT_APPLICABLE")</f>
        <v/>
      </c>
      <c r="Y6" s="2">
        <f>IF(U6&gt;0,"QA_FAIL",IF(H6=FALSE,"QA_INCOMPLETE",IF(T6&lt;70,"QA_FAIL",IF(OR(T6&lt;85,V6&gt;0),"QA_REVISE","QA_PASS"))))</f>
        <v/>
      </c>
      <c r="Z6"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7">
      <c r="A7" s="3" t="inlineStr">
        <is>
          <t>jeminise.com+personalized-baseball-bedding-full-size-flag-custom-name-d-design-21</t>
        </is>
      </c>
      <c r="B7" s="2" t="inlineStr">
        <is>
          <t>personalized-baseball-bedding-full-size-flag-custom-name-d-design-21</t>
        </is>
      </c>
      <c r="C7" s="2" t="n">
        <v>196</v>
      </c>
      <c r="D7" s="2" t="inlineStr">
        <is>
          <t>Personalized Baseball Bedding Full Size Flag Custom Name D - Design 21</t>
        </is>
      </c>
      <c r="E7" s="2" t="inlineStr">
        <is>
          <t>Custom Black Baseball Glove Bedding</t>
        </is>
      </c>
      <c r="F7" s="2" t="inlineStr">
        <is>
          <t>custom black baseball glove bedding</t>
        </is>
      </c>
      <c r="G7" s="2" t="inlineStr">
        <is>
          <t>black baseball bedding, baseball glove comforter, personalized baseball bedding</t>
        </is>
      </c>
      <c r="H7" s="2" t="b">
        <v>1</v>
      </c>
      <c r="I7" s="2">
        <f>SUMIFS(QA_Criteria!F:F,QA_Criteria!B:B,A7,QA_Criteria!C:C,"P1")</f>
        <v/>
      </c>
      <c r="J7" s="2">
        <f>SUMIFS(QA_Criteria!F:F,QA_Criteria!B:B,A7,QA_Criteria!C:C,"P2")</f>
        <v/>
      </c>
      <c r="K7" s="2">
        <f>SUMIFS(QA_Criteria!F:F,QA_Criteria!B:B,A7,QA_Criteria!C:C,"K1")</f>
        <v/>
      </c>
      <c r="L7" s="2">
        <f>SUMIFS(QA_Criteria!F:F,QA_Criteria!B:B,A7,QA_Criteria!C:C,"K2")</f>
        <v/>
      </c>
      <c r="M7" s="2">
        <f>SUMIFS(QA_Criteria!F:F,QA_Criteria!B:B,A7,QA_Criteria!C:C,"K3")</f>
        <v/>
      </c>
      <c r="N7" s="2">
        <f>SUMIFS(QA_Criteria!F:F,QA_Criteria!B:B,A7,QA_Criteria!C:C,"T1")</f>
        <v/>
      </c>
      <c r="O7" s="2">
        <f>SUMIFS(QA_Criteria!F:F,QA_Criteria!B:B,A7,QA_Criteria!C:C,"T2")</f>
        <v/>
      </c>
      <c r="P7" s="2">
        <f>SUMIFS(QA_Criteria!F:F,QA_Criteria!B:B,A7,QA_Criteria!C:C,"D1")</f>
        <v/>
      </c>
      <c r="Q7" s="2">
        <f>SUMIFS(QA_Criteria!F:F,QA_Criteria!B:B,A7,QA_Criteria!C:C,"D2")</f>
        <v/>
      </c>
      <c r="R7" s="2">
        <f>ROUND(0.20*AVERAGEIF(QA_Images!B:B,A7,QA_Images!N:N),2)</f>
        <v/>
      </c>
      <c r="S7" s="2">
        <f>SUMIFS(QA_Criteria!F:F,QA_Criteria!B:B,A7,QA_Criteria!C:C,"E1")</f>
        <v/>
      </c>
      <c r="T7" s="2">
        <f>IF(H7=TRUE,SUM(I7:S7),0)</f>
        <v/>
      </c>
      <c r="U7" s="2">
        <f>COUNTIFS(QA_Issues!B:B,A7,QA_Issues!D:D,"CRITICAL",QA_Issues!L:L,"&lt;&gt;RESOLVED",QA_Issues!L:L,"&lt;&gt;NOT_APPLICABLE")</f>
        <v/>
      </c>
      <c r="V7" s="2">
        <f>COUNTIFS(QA_Issues!B:B,A7,QA_Issues!D:D,"MAJOR",QA_Issues!L:L,"&lt;&gt;RESOLVED",QA_Issues!L:L,"&lt;&gt;NOT_APPLICABLE")</f>
        <v/>
      </c>
      <c r="W7" s="2">
        <f>COUNTIFS(QA_Issues!B:B,A7,QA_Issues!D:D,"MINOR",QA_Issues!L:L,"&lt;&gt;RESOLVED",QA_Issues!L:L,"&lt;&gt;NOT_APPLICABLE")</f>
        <v/>
      </c>
      <c r="X7" s="2">
        <f>COUNTIFS(QA_Issues!B:B,A7,QA_Issues!D:D,"LIMITATION",QA_Issues!L:L,"&lt;&gt;RESOLVED",QA_Issues!L:L,"&lt;&gt;NOT_APPLICABLE")</f>
        <v/>
      </c>
      <c r="Y7" s="2">
        <f>IF(U7&gt;0,"QA_FAIL",IF(H7=FALSE,"QA_INCOMPLETE",IF(T7&lt;70,"QA_FAIL",IF(OR(T7&lt;85,V7&gt;0),"QA_REVISE","QA_PASS"))))</f>
        <v/>
      </c>
      <c r="Z7"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8">
      <c r="A8" s="3" t="inlineStr">
        <is>
          <t>jeminise.com+personalized-baseball-bedding-full-size-flag-custom-name-d-design-22</t>
        </is>
      </c>
      <c r="B8" s="2" t="inlineStr">
        <is>
          <t>personalized-baseball-bedding-full-size-flag-custom-name-d-design-22</t>
        </is>
      </c>
      <c r="C8" s="2" t="n">
        <v>197</v>
      </c>
      <c r="D8" s="2" t="inlineStr">
        <is>
          <t>Personalized Baseball Bedding Full Size Flag Custom Name D - Design 22</t>
        </is>
      </c>
      <c r="E8" s="2" t="inlineStr">
        <is>
          <t>Custom Lightning Baseball Bedding</t>
        </is>
      </c>
      <c r="F8" s="2" t="inlineStr">
        <is>
          <t>custom lightning baseball bedding</t>
        </is>
      </c>
      <c r="G8" s="2" t="inlineStr">
        <is>
          <t>lightning baseball bedding, personalized baseball comforter, custom name baseball bedding</t>
        </is>
      </c>
      <c r="H8" s="2" t="b">
        <v>1</v>
      </c>
      <c r="I8" s="2">
        <f>SUMIFS(QA_Criteria!F:F,QA_Criteria!B:B,A8,QA_Criteria!C:C,"P1")</f>
        <v/>
      </c>
      <c r="J8" s="2">
        <f>SUMIFS(QA_Criteria!F:F,QA_Criteria!B:B,A8,QA_Criteria!C:C,"P2")</f>
        <v/>
      </c>
      <c r="K8" s="2">
        <f>SUMIFS(QA_Criteria!F:F,QA_Criteria!B:B,A8,QA_Criteria!C:C,"K1")</f>
        <v/>
      </c>
      <c r="L8" s="2">
        <f>SUMIFS(QA_Criteria!F:F,QA_Criteria!B:B,A8,QA_Criteria!C:C,"K2")</f>
        <v/>
      </c>
      <c r="M8" s="2">
        <f>SUMIFS(QA_Criteria!F:F,QA_Criteria!B:B,A8,QA_Criteria!C:C,"K3")</f>
        <v/>
      </c>
      <c r="N8" s="2">
        <f>SUMIFS(QA_Criteria!F:F,QA_Criteria!B:B,A8,QA_Criteria!C:C,"T1")</f>
        <v/>
      </c>
      <c r="O8" s="2">
        <f>SUMIFS(QA_Criteria!F:F,QA_Criteria!B:B,A8,QA_Criteria!C:C,"T2")</f>
        <v/>
      </c>
      <c r="P8" s="2">
        <f>SUMIFS(QA_Criteria!F:F,QA_Criteria!B:B,A8,QA_Criteria!C:C,"D1")</f>
        <v/>
      </c>
      <c r="Q8" s="2">
        <f>SUMIFS(QA_Criteria!F:F,QA_Criteria!B:B,A8,QA_Criteria!C:C,"D2")</f>
        <v/>
      </c>
      <c r="R8" s="2">
        <f>ROUND(0.20*AVERAGEIF(QA_Images!B:B,A8,QA_Images!N:N),2)</f>
        <v/>
      </c>
      <c r="S8" s="2">
        <f>SUMIFS(QA_Criteria!F:F,QA_Criteria!B:B,A8,QA_Criteria!C:C,"E1")</f>
        <v/>
      </c>
      <c r="T8" s="2">
        <f>IF(H8=TRUE,SUM(I8:S8),0)</f>
        <v/>
      </c>
      <c r="U8" s="2">
        <f>COUNTIFS(QA_Issues!B:B,A8,QA_Issues!D:D,"CRITICAL",QA_Issues!L:L,"&lt;&gt;RESOLVED",QA_Issues!L:L,"&lt;&gt;NOT_APPLICABLE")</f>
        <v/>
      </c>
      <c r="V8" s="2">
        <f>COUNTIFS(QA_Issues!B:B,A8,QA_Issues!D:D,"MAJOR",QA_Issues!L:L,"&lt;&gt;RESOLVED",QA_Issues!L:L,"&lt;&gt;NOT_APPLICABLE")</f>
        <v/>
      </c>
      <c r="W8" s="2">
        <f>COUNTIFS(QA_Issues!B:B,A8,QA_Issues!D:D,"MINOR",QA_Issues!L:L,"&lt;&gt;RESOLVED",QA_Issues!L:L,"&lt;&gt;NOT_APPLICABLE")</f>
        <v/>
      </c>
      <c r="X8" s="2">
        <f>COUNTIFS(QA_Issues!B:B,A8,QA_Issues!D:D,"LIMITATION",QA_Issues!L:L,"&lt;&gt;RESOLVED",QA_Issues!L:L,"&lt;&gt;NOT_APPLICABLE")</f>
        <v/>
      </c>
      <c r="Y8" s="2">
        <f>IF(U8&gt;0,"QA_FAIL",IF(H8=FALSE,"QA_INCOMPLETE",IF(T8&lt;70,"QA_FAIL",IF(OR(T8&lt;85,V8&gt;0),"QA_REVISE","QA_PASS"))))</f>
        <v/>
      </c>
      <c r="Z8"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9">
      <c r="A9" s="3" t="inlineStr">
        <is>
          <t>jeminise.com+personalized-baseball-bedding-full-size-flag-custom-name-d-design-23</t>
        </is>
      </c>
      <c r="B9" s="2" t="inlineStr">
        <is>
          <t>personalized-baseball-bedding-full-size-flag-custom-name-d-design-23</t>
        </is>
      </c>
      <c r="C9" s="2" t="n">
        <v>198</v>
      </c>
      <c r="D9" s="2" t="inlineStr">
        <is>
          <t>Personalized Baseball Bedding Full Size Flag Custom Name D - Design 23</t>
        </is>
      </c>
      <c r="E9" s="2" t="inlineStr">
        <is>
          <t>Custom Night Field Baseball Bedding</t>
        </is>
      </c>
      <c r="F9" s="2" t="inlineStr">
        <is>
          <t>custom night field baseball bedding</t>
        </is>
      </c>
      <c r="G9" s="2" t="inlineStr">
        <is>
          <t>night baseball bedding, baseball glove bedding, personalized baseball comforter</t>
        </is>
      </c>
      <c r="H9" s="2" t="b">
        <v>1</v>
      </c>
      <c r="I9" s="2">
        <f>SUMIFS(QA_Criteria!F:F,QA_Criteria!B:B,A9,QA_Criteria!C:C,"P1")</f>
        <v/>
      </c>
      <c r="J9" s="2">
        <f>SUMIFS(QA_Criteria!F:F,QA_Criteria!B:B,A9,QA_Criteria!C:C,"P2")</f>
        <v/>
      </c>
      <c r="K9" s="2">
        <f>SUMIFS(QA_Criteria!F:F,QA_Criteria!B:B,A9,QA_Criteria!C:C,"K1")</f>
        <v/>
      </c>
      <c r="L9" s="2">
        <f>SUMIFS(QA_Criteria!F:F,QA_Criteria!B:B,A9,QA_Criteria!C:C,"K2")</f>
        <v/>
      </c>
      <c r="M9" s="2">
        <f>SUMIFS(QA_Criteria!F:F,QA_Criteria!B:B,A9,QA_Criteria!C:C,"K3")</f>
        <v/>
      </c>
      <c r="N9" s="2">
        <f>SUMIFS(QA_Criteria!F:F,QA_Criteria!B:B,A9,QA_Criteria!C:C,"T1")</f>
        <v/>
      </c>
      <c r="O9" s="2">
        <f>SUMIFS(QA_Criteria!F:F,QA_Criteria!B:B,A9,QA_Criteria!C:C,"T2")</f>
        <v/>
      </c>
      <c r="P9" s="2">
        <f>SUMIFS(QA_Criteria!F:F,QA_Criteria!B:B,A9,QA_Criteria!C:C,"D1")</f>
        <v/>
      </c>
      <c r="Q9" s="2">
        <f>SUMIFS(QA_Criteria!F:F,QA_Criteria!B:B,A9,QA_Criteria!C:C,"D2")</f>
        <v/>
      </c>
      <c r="R9" s="2">
        <f>ROUND(0.20*AVERAGEIF(QA_Images!B:B,A9,QA_Images!N:N),2)</f>
        <v/>
      </c>
      <c r="S9" s="2">
        <f>SUMIFS(QA_Criteria!F:F,QA_Criteria!B:B,A9,QA_Criteria!C:C,"E1")</f>
        <v/>
      </c>
      <c r="T9" s="2">
        <f>IF(H9=TRUE,SUM(I9:S9),0)</f>
        <v/>
      </c>
      <c r="U9" s="2">
        <f>COUNTIFS(QA_Issues!B:B,A9,QA_Issues!D:D,"CRITICAL",QA_Issues!L:L,"&lt;&gt;RESOLVED",QA_Issues!L:L,"&lt;&gt;NOT_APPLICABLE")</f>
        <v/>
      </c>
      <c r="V9" s="2">
        <f>COUNTIFS(QA_Issues!B:B,A9,QA_Issues!D:D,"MAJOR",QA_Issues!L:L,"&lt;&gt;RESOLVED",QA_Issues!L:L,"&lt;&gt;NOT_APPLICABLE")</f>
        <v/>
      </c>
      <c r="W9" s="2">
        <f>COUNTIFS(QA_Issues!B:B,A9,QA_Issues!D:D,"MINOR",QA_Issues!L:L,"&lt;&gt;RESOLVED",QA_Issues!L:L,"&lt;&gt;NOT_APPLICABLE")</f>
        <v/>
      </c>
      <c r="X9" s="2">
        <f>COUNTIFS(QA_Issues!B:B,A9,QA_Issues!D:D,"LIMITATION",QA_Issues!L:L,"&lt;&gt;RESOLVED",QA_Issues!L:L,"&lt;&gt;NOT_APPLICABLE")</f>
        <v/>
      </c>
      <c r="Y9" s="2">
        <f>IF(U9&gt;0,"QA_FAIL",IF(H9=FALSE,"QA_INCOMPLETE",IF(T9&lt;70,"QA_FAIL",IF(OR(T9&lt;85,V9&gt;0),"QA_REVISE","QA_PASS"))))</f>
        <v/>
      </c>
      <c r="Z9"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10">
      <c r="A10" s="3" t="inlineStr">
        <is>
          <t>jeminise.com+personalized-baseball-bedding-full-size-flag-custom-name-d-design-24</t>
        </is>
      </c>
      <c r="B10" s="2" t="inlineStr">
        <is>
          <t>personalized-baseball-bedding-full-size-flag-custom-name-d-design-24</t>
        </is>
      </c>
      <c r="C10" s="2" t="n">
        <v>199</v>
      </c>
      <c r="D10" s="2" t="inlineStr">
        <is>
          <t>Personalized Baseball Bedding Full Size Flag Custom Name D - Design 24</t>
        </is>
      </c>
      <c r="E10" s="2" t="inlineStr">
        <is>
          <t>Custom Smoke Baseball Batter Bedding</t>
        </is>
      </c>
      <c r="F10" s="2" t="inlineStr">
        <is>
          <t>custom smoke baseball batter bedding</t>
        </is>
      </c>
      <c r="G10" s="2" t="inlineStr">
        <is>
          <t>smoke baseball bedding, baseball player bedding, personalized baseball comforter</t>
        </is>
      </c>
      <c r="H10" s="2" t="b">
        <v>1</v>
      </c>
      <c r="I10" s="2">
        <f>SUMIFS(QA_Criteria!F:F,QA_Criteria!B:B,A10,QA_Criteria!C:C,"P1")</f>
        <v/>
      </c>
      <c r="J10" s="2">
        <f>SUMIFS(QA_Criteria!F:F,QA_Criteria!B:B,A10,QA_Criteria!C:C,"P2")</f>
        <v/>
      </c>
      <c r="K10" s="2">
        <f>SUMIFS(QA_Criteria!F:F,QA_Criteria!B:B,A10,QA_Criteria!C:C,"K1")</f>
        <v/>
      </c>
      <c r="L10" s="2">
        <f>SUMIFS(QA_Criteria!F:F,QA_Criteria!B:B,A10,QA_Criteria!C:C,"K2")</f>
        <v/>
      </c>
      <c r="M10" s="2">
        <f>SUMIFS(QA_Criteria!F:F,QA_Criteria!B:B,A10,QA_Criteria!C:C,"K3")</f>
        <v/>
      </c>
      <c r="N10" s="2">
        <f>SUMIFS(QA_Criteria!F:F,QA_Criteria!B:B,A10,QA_Criteria!C:C,"T1")</f>
        <v/>
      </c>
      <c r="O10" s="2">
        <f>SUMIFS(QA_Criteria!F:F,QA_Criteria!B:B,A10,QA_Criteria!C:C,"T2")</f>
        <v/>
      </c>
      <c r="P10" s="2">
        <f>SUMIFS(QA_Criteria!F:F,QA_Criteria!B:B,A10,QA_Criteria!C:C,"D1")</f>
        <v/>
      </c>
      <c r="Q10" s="2">
        <f>SUMIFS(QA_Criteria!F:F,QA_Criteria!B:B,A10,QA_Criteria!C:C,"D2")</f>
        <v/>
      </c>
      <c r="R10" s="2">
        <f>ROUND(0.20*AVERAGEIF(QA_Images!B:B,A10,QA_Images!N:N),2)</f>
        <v/>
      </c>
      <c r="S10" s="2">
        <f>SUMIFS(QA_Criteria!F:F,QA_Criteria!B:B,A10,QA_Criteria!C:C,"E1")</f>
        <v/>
      </c>
      <c r="T10" s="2">
        <f>IF(H10=TRUE,SUM(I10:S10),0)</f>
        <v/>
      </c>
      <c r="U10" s="2">
        <f>COUNTIFS(QA_Issues!B:B,A10,QA_Issues!D:D,"CRITICAL",QA_Issues!L:L,"&lt;&gt;RESOLVED",QA_Issues!L:L,"&lt;&gt;NOT_APPLICABLE")</f>
        <v/>
      </c>
      <c r="V10" s="2">
        <f>COUNTIFS(QA_Issues!B:B,A10,QA_Issues!D:D,"MAJOR",QA_Issues!L:L,"&lt;&gt;RESOLVED",QA_Issues!L:L,"&lt;&gt;NOT_APPLICABLE")</f>
        <v/>
      </c>
      <c r="W10" s="2">
        <f>COUNTIFS(QA_Issues!B:B,A10,QA_Issues!D:D,"MINOR",QA_Issues!L:L,"&lt;&gt;RESOLVED",QA_Issues!L:L,"&lt;&gt;NOT_APPLICABLE")</f>
        <v/>
      </c>
      <c r="X10" s="2">
        <f>COUNTIFS(QA_Issues!B:B,A10,QA_Issues!D:D,"LIMITATION",QA_Issues!L:L,"&lt;&gt;RESOLVED",QA_Issues!L:L,"&lt;&gt;NOT_APPLICABLE")</f>
        <v/>
      </c>
      <c r="Y10" s="2">
        <f>IF(U10&gt;0,"QA_FAIL",IF(H10=FALSE,"QA_INCOMPLETE",IF(T10&lt;70,"QA_FAIL",IF(OR(T10&lt;85,V10&gt;0),"QA_REVISE","QA_PASS"))))</f>
        <v/>
      </c>
      <c r="Z10" s="2" t="inlineStr">
        <is>
          <t>Direct visual review verified across all gallery images. Titles, keywords, and meta tags are high quality. Proposed description copy contains erroneous meta-commentary denying number customization which contradicts active live customizer (D2 MAJOR issue).</t>
        </is>
      </c>
    </row>
    <row r="11">
      <c r="A11" s="3" t="inlineStr">
        <is>
          <t>jeminise.com+personalized-baseball-bedding-full-size-flag-custom-name-d-design-25</t>
        </is>
      </c>
      <c r="B11" s="2" t="inlineStr">
        <is>
          <t>personalized-baseball-bedding-full-size-flag-custom-name-d-design-25</t>
        </is>
      </c>
      <c r="C11" s="2" t="n">
        <v>200</v>
      </c>
      <c r="D11" s="2" t="inlineStr">
        <is>
          <t>Personalized Baseball Bedding Full Size Flag Custom Name D - Design 25</t>
        </is>
      </c>
      <c r="E11" s="2" t="inlineStr">
        <is>
          <t>Custom Baseball Stitch Name Bedding</t>
        </is>
      </c>
      <c r="F11" s="2" t="inlineStr">
        <is>
          <t>custom baseball stitch name bedding</t>
        </is>
      </c>
      <c r="G11" s="2" t="inlineStr">
        <is>
          <t>baseball stitching bedding, personalized baseball bedding, baseball lace comforter</t>
        </is>
      </c>
      <c r="H11" s="2" t="b">
        <v>1</v>
      </c>
      <c r="I11" s="2">
        <f>SUMIFS(QA_Criteria!F:F,QA_Criteria!B:B,A11,QA_Criteria!C:C,"P1")</f>
        <v/>
      </c>
      <c r="J11" s="2">
        <f>SUMIFS(QA_Criteria!F:F,QA_Criteria!B:B,A11,QA_Criteria!C:C,"P2")</f>
        <v/>
      </c>
      <c r="K11" s="2">
        <f>SUMIFS(QA_Criteria!F:F,QA_Criteria!B:B,A11,QA_Criteria!C:C,"K1")</f>
        <v/>
      </c>
      <c r="L11" s="2">
        <f>SUMIFS(QA_Criteria!F:F,QA_Criteria!B:B,A11,QA_Criteria!C:C,"K2")</f>
        <v/>
      </c>
      <c r="M11" s="2">
        <f>SUMIFS(QA_Criteria!F:F,QA_Criteria!B:B,A11,QA_Criteria!C:C,"K3")</f>
        <v/>
      </c>
      <c r="N11" s="2">
        <f>SUMIFS(QA_Criteria!F:F,QA_Criteria!B:B,A11,QA_Criteria!C:C,"T1")</f>
        <v/>
      </c>
      <c r="O11" s="2">
        <f>SUMIFS(QA_Criteria!F:F,QA_Criteria!B:B,A11,QA_Criteria!C:C,"T2")</f>
        <v/>
      </c>
      <c r="P11" s="2">
        <f>SUMIFS(QA_Criteria!F:F,QA_Criteria!B:B,A11,QA_Criteria!C:C,"D1")</f>
        <v/>
      </c>
      <c r="Q11" s="2">
        <f>SUMIFS(QA_Criteria!F:F,QA_Criteria!B:B,A11,QA_Criteria!C:C,"D2")</f>
        <v/>
      </c>
      <c r="R11" s="2">
        <f>ROUND(0.20*AVERAGEIF(QA_Images!B:B,A11,QA_Images!N:N),2)</f>
        <v/>
      </c>
      <c r="S11" s="2">
        <f>SUMIFS(QA_Criteria!F:F,QA_Criteria!B:B,A11,QA_Criteria!C:C,"E1")</f>
        <v/>
      </c>
      <c r="T11" s="2">
        <f>IF(H11=TRUE,SUM(I11:S11),0)</f>
        <v/>
      </c>
      <c r="U11" s="2">
        <f>COUNTIFS(QA_Issues!B:B,A11,QA_Issues!D:D,"CRITICAL",QA_Issues!L:L,"&lt;&gt;RESOLVED",QA_Issues!L:L,"&lt;&gt;NOT_APPLICABLE")</f>
        <v/>
      </c>
      <c r="V11" s="2">
        <f>COUNTIFS(QA_Issues!B:B,A11,QA_Issues!D:D,"MAJOR",QA_Issues!L:L,"&lt;&gt;RESOLVED",QA_Issues!L:L,"&lt;&gt;NOT_APPLICABLE")</f>
        <v/>
      </c>
      <c r="W11" s="2">
        <f>COUNTIFS(QA_Issues!B:B,A11,QA_Issues!D:D,"MINOR",QA_Issues!L:L,"&lt;&gt;RESOLVED",QA_Issues!L:L,"&lt;&gt;NOT_APPLICABLE")</f>
        <v/>
      </c>
      <c r="X11" s="2">
        <f>COUNTIFS(QA_Issues!B:B,A11,QA_Issues!D:D,"LIMITATION",QA_Issues!L:L,"&lt;&gt;RESOLVED",QA_Issues!L:L,"&lt;&gt;NOT_APPLICABLE")</f>
        <v/>
      </c>
      <c r="Y11" s="2">
        <f>IF(U11&gt;0,"QA_FAIL",IF(H11=FALSE,"QA_INCOMPLETE",IF(T11&lt;70,"QA_FAIL",IF(OR(T11&lt;85,V11&gt;0),"QA_REVISE","QA_PASS"))))</f>
        <v/>
      </c>
      <c r="Z11" s="2" t="inlineStr">
        <is>
          <t>Direct visual review verified across all gallery images. Titles, keywords, and meta tags are high quality. Proposed description copy contains erroneous meta-commentary denying number customization which contradicts active live customizer (D2 MAJOR issue).</t>
        </is>
      </c>
    </row>
  </sheetData>
  <autoFilter ref="A1:Z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7" customWidth="1" min="3" max="3"/>
    <col width="30" customWidth="1" min="4" max="4"/>
    <col width="13" customWidth="1" min="5" max="5"/>
    <col width="15" customWidth="1" min="6" max="6"/>
    <col width="20" customWidth="1" min="7" max="7"/>
    <col width="45" customWidth="1" min="8" max="8"/>
    <col width="45" customWidth="1" min="9" max="9"/>
  </cols>
  <sheetData>
    <row r="1">
      <c r="A1" s="1" t="inlineStr">
        <is>
          <t>criterion_id</t>
        </is>
      </c>
      <c r="B1" s="1" t="inlineStr">
        <is>
          <t>product_key</t>
        </is>
      </c>
      <c r="C1" s="1" t="inlineStr">
        <is>
          <t>criterion_code</t>
        </is>
      </c>
      <c r="D1" s="1" t="inlineStr">
        <is>
          <t>criterion_name</t>
        </is>
      </c>
      <c r="E1" s="1" t="inlineStr">
        <is>
          <t>max_weight</t>
        </is>
      </c>
      <c r="F1" s="1" t="inlineStr">
        <is>
          <t>score_earned</t>
        </is>
      </c>
      <c r="G1" s="1" t="inlineStr">
        <is>
          <t>evaluation_status</t>
        </is>
      </c>
      <c r="H1" s="1" t="inlineStr">
        <is>
          <t>evaluation_details</t>
        </is>
      </c>
      <c r="I1" s="1" t="inlineStr">
        <is>
          <t>auditor_notes</t>
        </is>
      </c>
    </row>
    <row r="2">
      <c r="A2" s="3" t="inlineStr">
        <is>
          <t>CRIT-001</t>
        </is>
      </c>
      <c r="B2" s="3" t="inlineStr">
        <is>
          <t>jeminise.com+personalized-baseball-bedding-full-size-flag-custom-name-d-design-16</t>
        </is>
      </c>
      <c r="C2" s="2" t="inlineStr">
        <is>
          <t>P1</t>
        </is>
      </c>
      <c r="D2" s="2" t="inlineStr">
        <is>
          <t>Product Identification</t>
        </is>
      </c>
      <c r="E2" s="2" t="n">
        <v>15</v>
      </c>
      <c r="F2" s="2" t="n">
        <v>15</v>
      </c>
      <c r="G2" s="2" t="inlineStr">
        <is>
          <t>PASS</t>
        </is>
      </c>
      <c r="H2" s="2" t="inlineStr">
        <is>
          <t>personalized-baseball-bedding-full-size-flag-custom-name-d-design-16: Accurately identified product form factor (Comforter / Duvet Cover), material category (high-density brushed microfiber), and baseball artwork motif from direct visual audit and storefront data.</t>
        </is>
      </c>
      <c r="I2" s="2" t="inlineStr">
        <is>
          <t>Audited in batch 20 r3. Criteria P1 weight=15.0.</t>
        </is>
      </c>
    </row>
    <row r="3">
      <c r="A3" s="3" t="inlineStr">
        <is>
          <t>CRIT-002</t>
        </is>
      </c>
      <c r="B3" s="3" t="inlineStr">
        <is>
          <t>jeminise.com+personalized-baseball-bedding-full-size-flag-custom-name-d-design-16</t>
        </is>
      </c>
      <c r="C3" s="2" t="inlineStr">
        <is>
          <t>P2</t>
        </is>
      </c>
      <c r="D3" s="2" t="inlineStr">
        <is>
          <t>Taxonomy &amp; Classification</t>
        </is>
      </c>
      <c r="E3" s="2" t="n">
        <v>10</v>
      </c>
      <c r="F3" s="2" t="n">
        <v>10</v>
      </c>
      <c r="G3" s="2" t="inlineStr">
        <is>
          <t>PASS</t>
        </is>
      </c>
      <c r="H3" s="2" t="inlineStr">
        <is>
          <t>personalized-baseball-bedding-full-size-flag-custom-name-d-design-16: Correct category assignment aligning with Shopify collections, product type (Bedding), and option configurations (Product Type + Size, Pillowcases, Sheet Cover).</t>
        </is>
      </c>
      <c r="I3" s="2" t="inlineStr">
        <is>
          <t>Audited in batch 20 r3. Criteria P2 weight=10.0.</t>
        </is>
      </c>
    </row>
    <row r="4">
      <c r="A4" s="3" t="inlineStr">
        <is>
          <t>CRIT-003</t>
        </is>
      </c>
      <c r="B4" s="3" t="inlineStr">
        <is>
          <t>jeminise.com+personalized-baseball-bedding-full-size-flag-custom-name-d-design-16</t>
        </is>
      </c>
      <c r="C4" s="2" t="inlineStr">
        <is>
          <t>K1</t>
        </is>
      </c>
      <c r="D4" s="2" t="inlineStr">
        <is>
          <t>Primary Keyword Focus</t>
        </is>
      </c>
      <c r="E4" s="2" t="n">
        <v>10</v>
      </c>
      <c r="F4" s="2" t="n">
        <v>10</v>
      </c>
      <c r="G4" s="2" t="inlineStr">
        <is>
          <t>PASS</t>
        </is>
      </c>
      <c r="H4" s="2" t="inlineStr">
        <is>
          <t>personalized-baseball-bedding-full-size-flag-custom-name-d-design-16: Primary keyword accurately targets high-intent search demand validated via live US SERP analysis.</t>
        </is>
      </c>
      <c r="I4" s="2" t="inlineStr">
        <is>
          <t>Audited in batch 20 r3. Criteria K1 weight=10.0.</t>
        </is>
      </c>
    </row>
    <row r="5">
      <c r="A5" s="3" t="inlineStr">
        <is>
          <t>CRIT-004</t>
        </is>
      </c>
      <c r="B5" s="3" t="inlineStr">
        <is>
          <t>jeminise.com+personalized-baseball-bedding-full-size-flag-custom-name-d-design-16</t>
        </is>
      </c>
      <c r="C5" s="2" t="inlineStr">
        <is>
          <t>K2</t>
        </is>
      </c>
      <c r="D5" s="2" t="inlineStr">
        <is>
          <t>Secondary Keyword Support</t>
        </is>
      </c>
      <c r="E5" s="2" t="n">
        <v>5</v>
      </c>
      <c r="F5" s="2" t="n">
        <v>5</v>
      </c>
      <c r="G5" s="2" t="inlineStr">
        <is>
          <t>PASS</t>
        </is>
      </c>
      <c r="H5" s="2" t="inlineStr">
        <is>
          <t>personalized-baseball-bedding-full-size-flag-custom-name-d-design-16: Secondary keywords support relevant long-tail variations without keyword stuffing.</t>
        </is>
      </c>
      <c r="I5" s="2" t="inlineStr">
        <is>
          <t>Audited in batch 20 r3. Criteria K2 weight=5.0.</t>
        </is>
      </c>
    </row>
    <row r="6">
      <c r="A6" s="3" t="inlineStr">
        <is>
          <t>CRIT-005</t>
        </is>
      </c>
      <c r="B6" s="3" t="inlineStr">
        <is>
          <t>jeminise.com+personalized-baseball-bedding-full-size-flag-custom-name-d-design-16</t>
        </is>
      </c>
      <c r="C6" s="2" t="inlineStr">
        <is>
          <t>K3</t>
        </is>
      </c>
      <c r="D6" s="2" t="inlineStr">
        <is>
          <t>Search Intent Alignment</t>
        </is>
      </c>
      <c r="E6" s="2" t="n">
        <v>5</v>
      </c>
      <c r="F6" s="2" t="n">
        <v>5</v>
      </c>
      <c r="G6" s="2" t="inlineStr">
        <is>
          <t>PASS</t>
        </is>
      </c>
      <c r="H6" s="2" t="inlineStr">
        <is>
          <t>personalized-baseball-bedding-full-size-flag-custom-name-d-design-16: Commercial product search intent aligned with US home decor sports bedding buyer expectations.</t>
        </is>
      </c>
      <c r="I6" s="2" t="inlineStr">
        <is>
          <t>Audited in batch 20 r3. Criteria K3 weight=5.0.</t>
        </is>
      </c>
    </row>
    <row r="7">
      <c r="A7" s="3" t="inlineStr">
        <is>
          <t>CRIT-006</t>
        </is>
      </c>
      <c r="B7" s="3" t="inlineStr">
        <is>
          <t>jeminise.com+personalized-baseball-bedding-full-size-flag-custom-name-d-design-16</t>
        </is>
      </c>
      <c r="C7" s="2" t="inlineStr">
        <is>
          <t>T1</t>
        </is>
      </c>
      <c r="D7" s="2" t="inlineStr">
        <is>
          <t>Proposed Title Optimization</t>
        </is>
      </c>
      <c r="E7" s="2" t="n">
        <v>10</v>
      </c>
      <c r="F7" s="2" t="n">
        <v>10</v>
      </c>
      <c r="G7" s="2" t="inlineStr">
        <is>
          <t>PASS</t>
        </is>
      </c>
      <c r="H7" s="2" t="inlineStr">
        <is>
          <t>personalized-baseball-bedding-full-size-flag-custom-name-d-design-16: Title proposed is concise, front-loaded with primary keyword, and eliminates redundant keyword stuffing terms.</t>
        </is>
      </c>
      <c r="I7" s="2" t="inlineStr">
        <is>
          <t>Audited in batch 20 r3. Criteria T1 weight=10.0.</t>
        </is>
      </c>
    </row>
    <row r="8">
      <c r="A8" s="3" t="inlineStr">
        <is>
          <t>CRIT-007</t>
        </is>
      </c>
      <c r="B8" s="3" t="inlineStr">
        <is>
          <t>jeminise.com+personalized-baseball-bedding-full-size-flag-custom-name-d-design-16</t>
        </is>
      </c>
      <c r="C8" s="2" t="inlineStr">
        <is>
          <t>T2</t>
        </is>
      </c>
      <c r="D8" s="2" t="inlineStr">
        <is>
          <t>Meta Title Optimization</t>
        </is>
      </c>
      <c r="E8" s="2" t="n">
        <v>5</v>
      </c>
      <c r="F8" s="2" t="n">
        <v>5</v>
      </c>
      <c r="G8" s="2" t="inlineStr">
        <is>
          <t>PASS</t>
        </is>
      </c>
      <c r="H8" s="2" t="inlineStr">
        <is>
          <t>personalized-baseball-bedding-full-size-flag-custom-name-d-design-16: Meta title is within 60 characters, brand-aligned, and free of truncation issues.</t>
        </is>
      </c>
      <c r="I8" s="2" t="inlineStr">
        <is>
          <t>Audited in batch 20 r3. Criteria T2 weight=5.0.</t>
        </is>
      </c>
    </row>
    <row r="9">
      <c r="A9" s="3" t="inlineStr">
        <is>
          <t>CRIT-008</t>
        </is>
      </c>
      <c r="B9" s="3" t="inlineStr">
        <is>
          <t>jeminise.com+personalized-baseball-bedding-full-size-flag-custom-name-d-design-16</t>
        </is>
      </c>
      <c r="C9" s="2" t="inlineStr">
        <is>
          <t>D1</t>
        </is>
      </c>
      <c r="D9" s="2" t="inlineStr">
        <is>
          <t>Meta Description SEO</t>
        </is>
      </c>
      <c r="E9" s="2" t="n">
        <v>5</v>
      </c>
      <c r="F9" s="2" t="n">
        <v>5</v>
      </c>
      <c r="G9" s="2" t="inlineStr">
        <is>
          <t>PASS</t>
        </is>
      </c>
      <c r="H9" s="2" t="inlineStr">
        <is>
          <t>personalized-baseball-bedding-full-size-flag-custom-name-d-design-16: Meta description is within 100-128 characters, compelling, and free of draft/QA tags.</t>
        </is>
      </c>
      <c r="I9" s="2" t="inlineStr">
        <is>
          <t>Audited in batch 20 r3. Criteria D1 weight=5.0.</t>
        </is>
      </c>
    </row>
    <row r="10">
      <c r="A10" s="3" t="inlineStr">
        <is>
          <t>CRIT-009</t>
        </is>
      </c>
      <c r="B10" s="3" t="inlineStr">
        <is>
          <t>jeminise.com+personalized-baseball-bedding-full-size-flag-custom-name-d-design-16</t>
        </is>
      </c>
      <c r="C10" s="2" t="inlineStr">
        <is>
          <t>D2</t>
        </is>
      </c>
      <c r="D10" s="2" t="inlineStr">
        <is>
          <t>Product Description HTML</t>
        </is>
      </c>
      <c r="E10" s="2" t="n">
        <v>10</v>
      </c>
      <c r="F10" s="2" t="n">
        <v>7</v>
      </c>
      <c r="G10" s="2" t="inlineStr">
        <is>
          <t>PARTIAL</t>
        </is>
      </c>
      <c r="H10" s="2" t="inlineStr">
        <is>
          <t>personalized-baseball-bedding-full-size-flag-custom-name-d-design-16: HTML copy excised old internal QA tags, but falsely asserts numbers cannot be customized (contradicting active live customizer collecting Customize Your Number) and omits complete Comforter vs Duvet Cover breakdown.</t>
        </is>
      </c>
      <c r="I10" s="2" t="inlineStr">
        <is>
          <t>Audited in batch 20 r3. Criteria D2 weight=10.0.</t>
        </is>
      </c>
    </row>
    <row r="11">
      <c r="A11" s="3" t="inlineStr">
        <is>
          <t>CRIT-010</t>
        </is>
      </c>
      <c r="B11" s="3" t="inlineStr">
        <is>
          <t>jeminise.com+personalized-baseball-bedding-full-size-flag-custom-name-d-design-16</t>
        </is>
      </c>
      <c r="C11" s="2" t="inlineStr">
        <is>
          <t>I1</t>
        </is>
      </c>
      <c r="D11" s="2" t="inlineStr">
        <is>
          <t>Gallery Image Optimization</t>
        </is>
      </c>
      <c r="E11" s="2" t="n">
        <v>20</v>
      </c>
      <c r="F11" s="2" t="n">
        <v>20</v>
      </c>
      <c r="G11" s="2" t="inlineStr">
        <is>
          <t>PASS</t>
        </is>
      </c>
      <c r="H11" s="2" t="inlineStr">
        <is>
          <t>personalized-baseball-bedding-full-size-flag-custom-name-d-design-16: 100% of gallery images visually audited; alt text proposed accurately reflects visual subjects and features.</t>
        </is>
      </c>
      <c r="I11" s="2" t="inlineStr">
        <is>
          <t>Audited in batch 20 r3. Criteria I1 weight=20.0.</t>
        </is>
      </c>
    </row>
    <row r="12">
      <c r="A12" s="3" t="inlineStr">
        <is>
          <t>CRIT-011</t>
        </is>
      </c>
      <c r="B12" s="3" t="inlineStr">
        <is>
          <t>jeminise.com+personalized-baseball-bedding-full-size-flag-custom-name-d-design-16</t>
        </is>
      </c>
      <c r="C12" s="2" t="inlineStr">
        <is>
          <t>E1</t>
        </is>
      </c>
      <c r="D12" s="2" t="inlineStr">
        <is>
          <t>Evidence &amp; Grounding</t>
        </is>
      </c>
      <c r="E12" s="2" t="n">
        <v>5</v>
      </c>
      <c r="F12" s="2" t="n">
        <v>5</v>
      </c>
      <c r="G12" s="2" t="inlineStr">
        <is>
          <t>PASS</t>
        </is>
      </c>
      <c r="H12" s="2" t="inlineStr">
        <is>
          <t>personalized-baseball-bedding-full-size-flag-custom-name-d-design-16: Optimization grounded in live storefront audits, direct image inspection, and SERP verification.</t>
        </is>
      </c>
      <c r="I12" s="2" t="inlineStr">
        <is>
          <t>Audited in batch 20 r3. Criteria E1 weight=5.0.</t>
        </is>
      </c>
    </row>
    <row r="13">
      <c r="A13" s="3" t="inlineStr">
        <is>
          <t>CRIT-012</t>
        </is>
      </c>
      <c r="B13" s="3" t="inlineStr">
        <is>
          <t>jeminise.com+personalized-baseball-bedding-full-size-flag-custom-name-d-design-17</t>
        </is>
      </c>
      <c r="C13" s="2" t="inlineStr">
        <is>
          <t>P1</t>
        </is>
      </c>
      <c r="D13" s="2" t="inlineStr">
        <is>
          <t>Product Identification</t>
        </is>
      </c>
      <c r="E13" s="2" t="n">
        <v>15</v>
      </c>
      <c r="F13" s="2" t="n">
        <v>15</v>
      </c>
      <c r="G13" s="2" t="inlineStr">
        <is>
          <t>PASS</t>
        </is>
      </c>
      <c r="H13" s="2" t="inlineStr">
        <is>
          <t>personalized-baseball-bedding-full-size-flag-custom-name-d-design-17: Accurately identified product form factor (Comforter / Duvet Cover), material category (high-density brushed microfiber), and baseball artwork motif from direct visual audit and storefront data.</t>
        </is>
      </c>
      <c r="I13" s="2" t="inlineStr">
        <is>
          <t>Audited in batch 20 r3. Criteria P1 weight=15.0.</t>
        </is>
      </c>
    </row>
    <row r="14">
      <c r="A14" s="3" t="inlineStr">
        <is>
          <t>CRIT-013</t>
        </is>
      </c>
      <c r="B14" s="3" t="inlineStr">
        <is>
          <t>jeminise.com+personalized-baseball-bedding-full-size-flag-custom-name-d-design-17</t>
        </is>
      </c>
      <c r="C14" s="2" t="inlineStr">
        <is>
          <t>P2</t>
        </is>
      </c>
      <c r="D14" s="2" t="inlineStr">
        <is>
          <t>Taxonomy &amp; Classification</t>
        </is>
      </c>
      <c r="E14" s="2" t="n">
        <v>10</v>
      </c>
      <c r="F14" s="2" t="n">
        <v>10</v>
      </c>
      <c r="G14" s="2" t="inlineStr">
        <is>
          <t>PASS</t>
        </is>
      </c>
      <c r="H14" s="2" t="inlineStr">
        <is>
          <t>personalized-baseball-bedding-full-size-flag-custom-name-d-design-17: Correct category assignment aligning with Shopify collections, product type (Bedding), and option configurations (Product Type + Size, Pillowcases, Sheet Cover).</t>
        </is>
      </c>
      <c r="I14" s="2" t="inlineStr">
        <is>
          <t>Audited in batch 20 r3. Criteria P2 weight=10.0.</t>
        </is>
      </c>
    </row>
    <row r="15">
      <c r="A15" s="3" t="inlineStr">
        <is>
          <t>CRIT-014</t>
        </is>
      </c>
      <c r="B15" s="3" t="inlineStr">
        <is>
          <t>jeminise.com+personalized-baseball-bedding-full-size-flag-custom-name-d-design-17</t>
        </is>
      </c>
      <c r="C15" s="2" t="inlineStr">
        <is>
          <t>K1</t>
        </is>
      </c>
      <c r="D15" s="2" t="inlineStr">
        <is>
          <t>Primary Keyword Focus</t>
        </is>
      </c>
      <c r="E15" s="2" t="n">
        <v>10</v>
      </c>
      <c r="F15" s="2" t="n">
        <v>10</v>
      </c>
      <c r="G15" s="2" t="inlineStr">
        <is>
          <t>PASS</t>
        </is>
      </c>
      <c r="H15" s="2" t="inlineStr">
        <is>
          <t>personalized-baseball-bedding-full-size-flag-custom-name-d-design-17: Primary keyword accurately targets high-intent search demand validated via live US SERP analysis.</t>
        </is>
      </c>
      <c r="I15" s="2" t="inlineStr">
        <is>
          <t>Audited in batch 20 r3. Criteria K1 weight=10.0.</t>
        </is>
      </c>
    </row>
    <row r="16">
      <c r="A16" s="3" t="inlineStr">
        <is>
          <t>CRIT-015</t>
        </is>
      </c>
      <c r="B16" s="3" t="inlineStr">
        <is>
          <t>jeminise.com+personalized-baseball-bedding-full-size-flag-custom-name-d-design-17</t>
        </is>
      </c>
      <c r="C16" s="2" t="inlineStr">
        <is>
          <t>K2</t>
        </is>
      </c>
      <c r="D16" s="2" t="inlineStr">
        <is>
          <t>Secondary Keyword Support</t>
        </is>
      </c>
      <c r="E16" s="2" t="n">
        <v>5</v>
      </c>
      <c r="F16" s="2" t="n">
        <v>5</v>
      </c>
      <c r="G16" s="2" t="inlineStr">
        <is>
          <t>PASS</t>
        </is>
      </c>
      <c r="H16" s="2" t="inlineStr">
        <is>
          <t>personalized-baseball-bedding-full-size-flag-custom-name-d-design-17: Secondary keywords support relevant long-tail variations without keyword stuffing.</t>
        </is>
      </c>
      <c r="I16" s="2" t="inlineStr">
        <is>
          <t>Audited in batch 20 r3. Criteria K2 weight=5.0.</t>
        </is>
      </c>
    </row>
    <row r="17">
      <c r="A17" s="3" t="inlineStr">
        <is>
          <t>CRIT-016</t>
        </is>
      </c>
      <c r="B17" s="3" t="inlineStr">
        <is>
          <t>jeminise.com+personalized-baseball-bedding-full-size-flag-custom-name-d-design-17</t>
        </is>
      </c>
      <c r="C17" s="2" t="inlineStr">
        <is>
          <t>K3</t>
        </is>
      </c>
      <c r="D17" s="2" t="inlineStr">
        <is>
          <t>Search Intent Alignment</t>
        </is>
      </c>
      <c r="E17" s="2" t="n">
        <v>5</v>
      </c>
      <c r="F17" s="2" t="n">
        <v>5</v>
      </c>
      <c r="G17" s="2" t="inlineStr">
        <is>
          <t>PASS</t>
        </is>
      </c>
      <c r="H17" s="2" t="inlineStr">
        <is>
          <t>personalized-baseball-bedding-full-size-flag-custom-name-d-design-17: Commercial product search intent aligned with US home decor sports bedding buyer expectations.</t>
        </is>
      </c>
      <c r="I17" s="2" t="inlineStr">
        <is>
          <t>Audited in batch 20 r3. Criteria K3 weight=5.0.</t>
        </is>
      </c>
    </row>
    <row r="18">
      <c r="A18" s="3" t="inlineStr">
        <is>
          <t>CRIT-017</t>
        </is>
      </c>
      <c r="B18" s="3" t="inlineStr">
        <is>
          <t>jeminise.com+personalized-baseball-bedding-full-size-flag-custom-name-d-design-17</t>
        </is>
      </c>
      <c r="C18" s="2" t="inlineStr">
        <is>
          <t>T1</t>
        </is>
      </c>
      <c r="D18" s="2" t="inlineStr">
        <is>
          <t>Proposed Title Optimization</t>
        </is>
      </c>
      <c r="E18" s="2" t="n">
        <v>10</v>
      </c>
      <c r="F18" s="2" t="n">
        <v>10</v>
      </c>
      <c r="G18" s="2" t="inlineStr">
        <is>
          <t>PASS</t>
        </is>
      </c>
      <c r="H18" s="2" t="inlineStr">
        <is>
          <t>personalized-baseball-bedding-full-size-flag-custom-name-d-design-17: Title proposed is concise, front-loaded with primary keyword, and eliminates redundant keyword stuffing terms.</t>
        </is>
      </c>
      <c r="I18" s="2" t="inlineStr">
        <is>
          <t>Audited in batch 20 r3. Criteria T1 weight=10.0.</t>
        </is>
      </c>
    </row>
    <row r="19">
      <c r="A19" s="3" t="inlineStr">
        <is>
          <t>CRIT-018</t>
        </is>
      </c>
      <c r="B19" s="3" t="inlineStr">
        <is>
          <t>jeminise.com+personalized-baseball-bedding-full-size-flag-custom-name-d-design-17</t>
        </is>
      </c>
      <c r="C19" s="2" t="inlineStr">
        <is>
          <t>T2</t>
        </is>
      </c>
      <c r="D19" s="2" t="inlineStr">
        <is>
          <t>Meta Title Optimization</t>
        </is>
      </c>
      <c r="E19" s="2" t="n">
        <v>5</v>
      </c>
      <c r="F19" s="2" t="n">
        <v>5</v>
      </c>
      <c r="G19" s="2" t="inlineStr">
        <is>
          <t>PASS</t>
        </is>
      </c>
      <c r="H19" s="2" t="inlineStr">
        <is>
          <t>personalized-baseball-bedding-full-size-flag-custom-name-d-design-17: Meta title is within 60 characters, brand-aligned, and free of truncation issues.</t>
        </is>
      </c>
      <c r="I19" s="2" t="inlineStr">
        <is>
          <t>Audited in batch 20 r3. Criteria T2 weight=5.0.</t>
        </is>
      </c>
    </row>
    <row r="20">
      <c r="A20" s="3" t="inlineStr">
        <is>
          <t>CRIT-019</t>
        </is>
      </c>
      <c r="B20" s="3" t="inlineStr">
        <is>
          <t>jeminise.com+personalized-baseball-bedding-full-size-flag-custom-name-d-design-17</t>
        </is>
      </c>
      <c r="C20" s="2" t="inlineStr">
        <is>
          <t>D1</t>
        </is>
      </c>
      <c r="D20" s="2" t="inlineStr">
        <is>
          <t>Meta Description SEO</t>
        </is>
      </c>
      <c r="E20" s="2" t="n">
        <v>5</v>
      </c>
      <c r="F20" s="2" t="n">
        <v>5</v>
      </c>
      <c r="G20" s="2" t="inlineStr">
        <is>
          <t>PASS</t>
        </is>
      </c>
      <c r="H20" s="2" t="inlineStr">
        <is>
          <t>personalized-baseball-bedding-full-size-flag-custom-name-d-design-17: Meta description is within 100-128 characters, compelling, and free of draft/QA tags.</t>
        </is>
      </c>
      <c r="I20" s="2" t="inlineStr">
        <is>
          <t>Audited in batch 20 r3. Criteria D1 weight=5.0.</t>
        </is>
      </c>
    </row>
    <row r="21">
      <c r="A21" s="3" t="inlineStr">
        <is>
          <t>CRIT-020</t>
        </is>
      </c>
      <c r="B21" s="3" t="inlineStr">
        <is>
          <t>jeminise.com+personalized-baseball-bedding-full-size-flag-custom-name-d-design-17</t>
        </is>
      </c>
      <c r="C21" s="2" t="inlineStr">
        <is>
          <t>D2</t>
        </is>
      </c>
      <c r="D21" s="2" t="inlineStr">
        <is>
          <t>Product Description HTML</t>
        </is>
      </c>
      <c r="E21" s="2" t="n">
        <v>10</v>
      </c>
      <c r="F21" s="2" t="n">
        <v>7</v>
      </c>
      <c r="G21" s="2" t="inlineStr">
        <is>
          <t>PARTIAL</t>
        </is>
      </c>
      <c r="H21" s="2" t="inlineStr">
        <is>
          <t>personalized-baseball-bedding-full-size-flag-custom-name-d-design-17: HTML copy excised old internal QA tags, but falsely asserts numbers cannot be customized (contradicting active live customizer collecting Customize Your Number) and omits complete Comforter vs Duvet Cover breakdown.</t>
        </is>
      </c>
      <c r="I21" s="2" t="inlineStr">
        <is>
          <t>Audited in batch 20 r3. Criteria D2 weight=10.0.</t>
        </is>
      </c>
    </row>
    <row r="22">
      <c r="A22" s="3" t="inlineStr">
        <is>
          <t>CRIT-021</t>
        </is>
      </c>
      <c r="B22" s="3" t="inlineStr">
        <is>
          <t>jeminise.com+personalized-baseball-bedding-full-size-flag-custom-name-d-design-17</t>
        </is>
      </c>
      <c r="C22" s="2" t="inlineStr">
        <is>
          <t>I1</t>
        </is>
      </c>
      <c r="D22" s="2" t="inlineStr">
        <is>
          <t>Gallery Image Optimization</t>
        </is>
      </c>
      <c r="E22" s="2" t="n">
        <v>20</v>
      </c>
      <c r="F22" s="2" t="n">
        <v>20</v>
      </c>
      <c r="G22" s="2" t="inlineStr">
        <is>
          <t>PASS</t>
        </is>
      </c>
      <c r="H22" s="2" t="inlineStr">
        <is>
          <t>personalized-baseball-bedding-full-size-flag-custom-name-d-design-17: 100% of gallery images visually audited; alt text proposed accurately reflects visual subjects and features.</t>
        </is>
      </c>
      <c r="I22" s="2" t="inlineStr">
        <is>
          <t>Audited in batch 20 r3. Criteria I1 weight=20.0.</t>
        </is>
      </c>
    </row>
    <row r="23">
      <c r="A23" s="3" t="inlineStr">
        <is>
          <t>CRIT-022</t>
        </is>
      </c>
      <c r="B23" s="3" t="inlineStr">
        <is>
          <t>jeminise.com+personalized-baseball-bedding-full-size-flag-custom-name-d-design-17</t>
        </is>
      </c>
      <c r="C23" s="2" t="inlineStr">
        <is>
          <t>E1</t>
        </is>
      </c>
      <c r="D23" s="2" t="inlineStr">
        <is>
          <t>Evidence &amp; Grounding</t>
        </is>
      </c>
      <c r="E23" s="2" t="n">
        <v>5</v>
      </c>
      <c r="F23" s="2" t="n">
        <v>5</v>
      </c>
      <c r="G23" s="2" t="inlineStr">
        <is>
          <t>PASS</t>
        </is>
      </c>
      <c r="H23" s="2" t="inlineStr">
        <is>
          <t>personalized-baseball-bedding-full-size-flag-custom-name-d-design-17: Optimization grounded in live storefront audits, direct image inspection, and SERP verification.</t>
        </is>
      </c>
      <c r="I23" s="2" t="inlineStr">
        <is>
          <t>Audited in batch 20 r3. Criteria E1 weight=5.0.</t>
        </is>
      </c>
    </row>
    <row r="24">
      <c r="A24" s="3" t="inlineStr">
        <is>
          <t>CRIT-023</t>
        </is>
      </c>
      <c r="B24" s="3" t="inlineStr">
        <is>
          <t>jeminise.com+personalized-baseball-bedding-full-size-flag-custom-name-d-design-18</t>
        </is>
      </c>
      <c r="C24" s="2" t="inlineStr">
        <is>
          <t>P1</t>
        </is>
      </c>
      <c r="D24" s="2" t="inlineStr">
        <is>
          <t>Product Identification</t>
        </is>
      </c>
      <c r="E24" s="2" t="n">
        <v>15</v>
      </c>
      <c r="F24" s="2" t="n">
        <v>15</v>
      </c>
      <c r="G24" s="2" t="inlineStr">
        <is>
          <t>PASS</t>
        </is>
      </c>
      <c r="H24" s="2" t="inlineStr">
        <is>
          <t>personalized-baseball-bedding-full-size-flag-custom-name-d-design-18: Accurately identified product form factor (Comforter / Duvet Cover), material category (high-density brushed microfiber), and baseball artwork motif from direct visual audit and storefront data.</t>
        </is>
      </c>
      <c r="I24" s="2" t="inlineStr">
        <is>
          <t>Audited in batch 20 r3. Criteria P1 weight=15.0.</t>
        </is>
      </c>
    </row>
    <row r="25">
      <c r="A25" s="3" t="inlineStr">
        <is>
          <t>CRIT-024</t>
        </is>
      </c>
      <c r="B25" s="3" t="inlineStr">
        <is>
          <t>jeminise.com+personalized-baseball-bedding-full-size-flag-custom-name-d-design-18</t>
        </is>
      </c>
      <c r="C25" s="2" t="inlineStr">
        <is>
          <t>P2</t>
        </is>
      </c>
      <c r="D25" s="2" t="inlineStr">
        <is>
          <t>Taxonomy &amp; Classification</t>
        </is>
      </c>
      <c r="E25" s="2" t="n">
        <v>10</v>
      </c>
      <c r="F25" s="2" t="n">
        <v>10</v>
      </c>
      <c r="G25" s="2" t="inlineStr">
        <is>
          <t>PASS</t>
        </is>
      </c>
      <c r="H25" s="2" t="inlineStr">
        <is>
          <t>personalized-baseball-bedding-full-size-flag-custom-name-d-design-18: Correct category assignment aligning with Shopify collections, product type (Bedding), and option configurations (Product Type + Size, Pillowcases, Sheet Cover).</t>
        </is>
      </c>
      <c r="I25" s="2" t="inlineStr">
        <is>
          <t>Audited in batch 20 r3. Criteria P2 weight=10.0.</t>
        </is>
      </c>
    </row>
    <row r="26">
      <c r="A26" s="3" t="inlineStr">
        <is>
          <t>CRIT-025</t>
        </is>
      </c>
      <c r="B26" s="3" t="inlineStr">
        <is>
          <t>jeminise.com+personalized-baseball-bedding-full-size-flag-custom-name-d-design-18</t>
        </is>
      </c>
      <c r="C26" s="2" t="inlineStr">
        <is>
          <t>K1</t>
        </is>
      </c>
      <c r="D26" s="2" t="inlineStr">
        <is>
          <t>Primary Keyword Focus</t>
        </is>
      </c>
      <c r="E26" s="2" t="n">
        <v>10</v>
      </c>
      <c r="F26" s="2" t="n">
        <v>10</v>
      </c>
      <c r="G26" s="2" t="inlineStr">
        <is>
          <t>PASS</t>
        </is>
      </c>
      <c r="H26" s="2" t="inlineStr">
        <is>
          <t>personalized-baseball-bedding-full-size-flag-custom-name-d-design-18: Primary keyword accurately targets high-intent search demand validated via live US SERP analysis.</t>
        </is>
      </c>
      <c r="I26" s="2" t="inlineStr">
        <is>
          <t>Audited in batch 20 r3. Criteria K1 weight=10.0.</t>
        </is>
      </c>
    </row>
    <row r="27">
      <c r="A27" s="3" t="inlineStr">
        <is>
          <t>CRIT-026</t>
        </is>
      </c>
      <c r="B27" s="3" t="inlineStr">
        <is>
          <t>jeminise.com+personalized-baseball-bedding-full-size-flag-custom-name-d-design-18</t>
        </is>
      </c>
      <c r="C27" s="2" t="inlineStr">
        <is>
          <t>K2</t>
        </is>
      </c>
      <c r="D27" s="2" t="inlineStr">
        <is>
          <t>Secondary Keyword Support</t>
        </is>
      </c>
      <c r="E27" s="2" t="n">
        <v>5</v>
      </c>
      <c r="F27" s="2" t="n">
        <v>5</v>
      </c>
      <c r="G27" s="2" t="inlineStr">
        <is>
          <t>PASS</t>
        </is>
      </c>
      <c r="H27" s="2" t="inlineStr">
        <is>
          <t>personalized-baseball-bedding-full-size-flag-custom-name-d-design-18: Secondary keywords support relevant long-tail variations without keyword stuffing.</t>
        </is>
      </c>
      <c r="I27" s="2" t="inlineStr">
        <is>
          <t>Audited in batch 20 r3. Criteria K2 weight=5.0.</t>
        </is>
      </c>
    </row>
    <row r="28">
      <c r="A28" s="3" t="inlineStr">
        <is>
          <t>CRIT-027</t>
        </is>
      </c>
      <c r="B28" s="3" t="inlineStr">
        <is>
          <t>jeminise.com+personalized-baseball-bedding-full-size-flag-custom-name-d-design-18</t>
        </is>
      </c>
      <c r="C28" s="2" t="inlineStr">
        <is>
          <t>K3</t>
        </is>
      </c>
      <c r="D28" s="2" t="inlineStr">
        <is>
          <t>Search Intent Alignment</t>
        </is>
      </c>
      <c r="E28" s="2" t="n">
        <v>5</v>
      </c>
      <c r="F28" s="2" t="n">
        <v>5</v>
      </c>
      <c r="G28" s="2" t="inlineStr">
        <is>
          <t>PASS</t>
        </is>
      </c>
      <c r="H28" s="2" t="inlineStr">
        <is>
          <t>personalized-baseball-bedding-full-size-flag-custom-name-d-design-18: Commercial product search intent aligned with US home decor sports bedding buyer expectations.</t>
        </is>
      </c>
      <c r="I28" s="2" t="inlineStr">
        <is>
          <t>Audited in batch 20 r3. Criteria K3 weight=5.0.</t>
        </is>
      </c>
    </row>
    <row r="29">
      <c r="A29" s="3" t="inlineStr">
        <is>
          <t>CRIT-028</t>
        </is>
      </c>
      <c r="B29" s="3" t="inlineStr">
        <is>
          <t>jeminise.com+personalized-baseball-bedding-full-size-flag-custom-name-d-design-18</t>
        </is>
      </c>
      <c r="C29" s="2" t="inlineStr">
        <is>
          <t>T1</t>
        </is>
      </c>
      <c r="D29" s="2" t="inlineStr">
        <is>
          <t>Proposed Title Optimization</t>
        </is>
      </c>
      <c r="E29" s="2" t="n">
        <v>10</v>
      </c>
      <c r="F29" s="2" t="n">
        <v>10</v>
      </c>
      <c r="G29" s="2" t="inlineStr">
        <is>
          <t>PASS</t>
        </is>
      </c>
      <c r="H29" s="2" t="inlineStr">
        <is>
          <t>personalized-baseball-bedding-full-size-flag-custom-name-d-design-18: Title proposed is concise, front-loaded with primary keyword, and eliminates redundant keyword stuffing terms.</t>
        </is>
      </c>
      <c r="I29" s="2" t="inlineStr">
        <is>
          <t>Audited in batch 20 r3. Criteria T1 weight=10.0.</t>
        </is>
      </c>
    </row>
    <row r="30">
      <c r="A30" s="3" t="inlineStr">
        <is>
          <t>CRIT-029</t>
        </is>
      </c>
      <c r="B30" s="3" t="inlineStr">
        <is>
          <t>jeminise.com+personalized-baseball-bedding-full-size-flag-custom-name-d-design-18</t>
        </is>
      </c>
      <c r="C30" s="2" t="inlineStr">
        <is>
          <t>T2</t>
        </is>
      </c>
      <c r="D30" s="2" t="inlineStr">
        <is>
          <t>Meta Title Optimization</t>
        </is>
      </c>
      <c r="E30" s="2" t="n">
        <v>5</v>
      </c>
      <c r="F30" s="2" t="n">
        <v>5</v>
      </c>
      <c r="G30" s="2" t="inlineStr">
        <is>
          <t>PASS</t>
        </is>
      </c>
      <c r="H30" s="2" t="inlineStr">
        <is>
          <t>personalized-baseball-bedding-full-size-flag-custom-name-d-design-18: Meta title is within 60 characters, brand-aligned, and free of truncation issues.</t>
        </is>
      </c>
      <c r="I30" s="2" t="inlineStr">
        <is>
          <t>Audited in batch 20 r3. Criteria T2 weight=5.0.</t>
        </is>
      </c>
    </row>
    <row r="31">
      <c r="A31" s="3" t="inlineStr">
        <is>
          <t>CRIT-030</t>
        </is>
      </c>
      <c r="B31" s="3" t="inlineStr">
        <is>
          <t>jeminise.com+personalized-baseball-bedding-full-size-flag-custom-name-d-design-18</t>
        </is>
      </c>
      <c r="C31" s="2" t="inlineStr">
        <is>
          <t>D1</t>
        </is>
      </c>
      <c r="D31" s="2" t="inlineStr">
        <is>
          <t>Meta Description SEO</t>
        </is>
      </c>
      <c r="E31" s="2" t="n">
        <v>5</v>
      </c>
      <c r="F31" s="2" t="n">
        <v>5</v>
      </c>
      <c r="G31" s="2" t="inlineStr">
        <is>
          <t>PASS</t>
        </is>
      </c>
      <c r="H31" s="2" t="inlineStr">
        <is>
          <t>personalized-baseball-bedding-full-size-flag-custom-name-d-design-18: Meta description is within 100-128 characters, compelling, and free of draft/QA tags.</t>
        </is>
      </c>
      <c r="I31" s="2" t="inlineStr">
        <is>
          <t>Audited in batch 20 r3. Criteria D1 weight=5.0.</t>
        </is>
      </c>
    </row>
    <row r="32">
      <c r="A32" s="3" t="inlineStr">
        <is>
          <t>CRIT-031</t>
        </is>
      </c>
      <c r="B32" s="3" t="inlineStr">
        <is>
          <t>jeminise.com+personalized-baseball-bedding-full-size-flag-custom-name-d-design-18</t>
        </is>
      </c>
      <c r="C32" s="2" t="inlineStr">
        <is>
          <t>D2</t>
        </is>
      </c>
      <c r="D32" s="2" t="inlineStr">
        <is>
          <t>Product Description HTML</t>
        </is>
      </c>
      <c r="E32" s="2" t="n">
        <v>10</v>
      </c>
      <c r="F32" s="2" t="n">
        <v>7</v>
      </c>
      <c r="G32" s="2" t="inlineStr">
        <is>
          <t>PARTIAL</t>
        </is>
      </c>
      <c r="H32" s="2" t="inlineStr">
        <is>
          <t>personalized-baseball-bedding-full-size-flag-custom-name-d-design-18: HTML copy excised old internal QA tags, but falsely asserts numbers cannot be customized (contradicting active live customizer collecting Customize Your Number) and omits complete Comforter vs Duvet Cover breakdown.</t>
        </is>
      </c>
      <c r="I32" s="2" t="inlineStr">
        <is>
          <t>Audited in batch 20 r3. Criteria D2 weight=10.0.</t>
        </is>
      </c>
    </row>
    <row r="33">
      <c r="A33" s="3" t="inlineStr">
        <is>
          <t>CRIT-032</t>
        </is>
      </c>
      <c r="B33" s="3" t="inlineStr">
        <is>
          <t>jeminise.com+personalized-baseball-bedding-full-size-flag-custom-name-d-design-18</t>
        </is>
      </c>
      <c r="C33" s="2" t="inlineStr">
        <is>
          <t>I1</t>
        </is>
      </c>
      <c r="D33" s="2" t="inlineStr">
        <is>
          <t>Gallery Image Optimization</t>
        </is>
      </c>
      <c r="E33" s="2" t="n">
        <v>20</v>
      </c>
      <c r="F33" s="2" t="n">
        <v>20</v>
      </c>
      <c r="G33" s="2" t="inlineStr">
        <is>
          <t>PASS</t>
        </is>
      </c>
      <c r="H33" s="2" t="inlineStr">
        <is>
          <t>personalized-baseball-bedding-full-size-flag-custom-name-d-design-18: 100% of gallery images visually audited; alt text proposed accurately reflects visual subjects and features.</t>
        </is>
      </c>
      <c r="I33" s="2" t="inlineStr">
        <is>
          <t>Audited in batch 20 r3. Criteria I1 weight=20.0.</t>
        </is>
      </c>
    </row>
    <row r="34">
      <c r="A34" s="3" t="inlineStr">
        <is>
          <t>CRIT-033</t>
        </is>
      </c>
      <c r="B34" s="3" t="inlineStr">
        <is>
          <t>jeminise.com+personalized-baseball-bedding-full-size-flag-custom-name-d-design-18</t>
        </is>
      </c>
      <c r="C34" s="2" t="inlineStr">
        <is>
          <t>E1</t>
        </is>
      </c>
      <c r="D34" s="2" t="inlineStr">
        <is>
          <t>Evidence &amp; Grounding</t>
        </is>
      </c>
      <c r="E34" s="2" t="n">
        <v>5</v>
      </c>
      <c r="F34" s="2" t="n">
        <v>5</v>
      </c>
      <c r="G34" s="2" t="inlineStr">
        <is>
          <t>PASS</t>
        </is>
      </c>
      <c r="H34" s="2" t="inlineStr">
        <is>
          <t>personalized-baseball-bedding-full-size-flag-custom-name-d-design-18: Optimization grounded in live storefront audits, direct image inspection, and SERP verification.</t>
        </is>
      </c>
      <c r="I34" s="2" t="inlineStr">
        <is>
          <t>Audited in batch 20 r3. Criteria E1 weight=5.0.</t>
        </is>
      </c>
    </row>
    <row r="35">
      <c r="A35" s="3" t="inlineStr">
        <is>
          <t>CRIT-034</t>
        </is>
      </c>
      <c r="B35" s="3" t="inlineStr">
        <is>
          <t>jeminise.com+personalized-baseball-bedding-full-size-flag-custom-name-d-design-19</t>
        </is>
      </c>
      <c r="C35" s="2" t="inlineStr">
        <is>
          <t>P1</t>
        </is>
      </c>
      <c r="D35" s="2" t="inlineStr">
        <is>
          <t>Product Identification</t>
        </is>
      </c>
      <c r="E35" s="2" t="n">
        <v>15</v>
      </c>
      <c r="F35" s="2" t="n">
        <v>15</v>
      </c>
      <c r="G35" s="2" t="inlineStr">
        <is>
          <t>PASS</t>
        </is>
      </c>
      <c r="H35" s="2" t="inlineStr">
        <is>
          <t>personalized-baseball-bedding-full-size-flag-custom-name-d-design-19: Accurately identified product form factor (Comforter / Duvet Cover), material category (high-density brushed microfiber), and baseball artwork motif from direct visual audit and storefront data.</t>
        </is>
      </c>
      <c r="I35" s="2" t="inlineStr">
        <is>
          <t>Audited in batch 20 r3. Criteria P1 weight=15.0.</t>
        </is>
      </c>
    </row>
    <row r="36">
      <c r="A36" s="3" t="inlineStr">
        <is>
          <t>CRIT-035</t>
        </is>
      </c>
      <c r="B36" s="3" t="inlineStr">
        <is>
          <t>jeminise.com+personalized-baseball-bedding-full-size-flag-custom-name-d-design-19</t>
        </is>
      </c>
      <c r="C36" s="2" t="inlineStr">
        <is>
          <t>P2</t>
        </is>
      </c>
      <c r="D36" s="2" t="inlineStr">
        <is>
          <t>Taxonomy &amp; Classification</t>
        </is>
      </c>
      <c r="E36" s="2" t="n">
        <v>10</v>
      </c>
      <c r="F36" s="2" t="n">
        <v>10</v>
      </c>
      <c r="G36" s="2" t="inlineStr">
        <is>
          <t>PASS</t>
        </is>
      </c>
      <c r="H36" s="2" t="inlineStr">
        <is>
          <t>personalized-baseball-bedding-full-size-flag-custom-name-d-design-19: Correct category assignment aligning with Shopify collections, product type (Bedding), and option configurations (Product Type + Size, Pillowcases, Sheet Cover).</t>
        </is>
      </c>
      <c r="I36" s="2" t="inlineStr">
        <is>
          <t>Audited in batch 20 r3. Criteria P2 weight=10.0.</t>
        </is>
      </c>
    </row>
    <row r="37">
      <c r="A37" s="3" t="inlineStr">
        <is>
          <t>CRIT-036</t>
        </is>
      </c>
      <c r="B37" s="3" t="inlineStr">
        <is>
          <t>jeminise.com+personalized-baseball-bedding-full-size-flag-custom-name-d-design-19</t>
        </is>
      </c>
      <c r="C37" s="2" t="inlineStr">
        <is>
          <t>K1</t>
        </is>
      </c>
      <c r="D37" s="2" t="inlineStr">
        <is>
          <t>Primary Keyword Focus</t>
        </is>
      </c>
      <c r="E37" s="2" t="n">
        <v>10</v>
      </c>
      <c r="F37" s="2" t="n">
        <v>10</v>
      </c>
      <c r="G37" s="2" t="inlineStr">
        <is>
          <t>PASS</t>
        </is>
      </c>
      <c r="H37" s="2" t="inlineStr">
        <is>
          <t>personalized-baseball-bedding-full-size-flag-custom-name-d-design-19: Primary keyword accurately targets high-intent search demand validated via live US SERP analysis.</t>
        </is>
      </c>
      <c r="I37" s="2" t="inlineStr">
        <is>
          <t>Audited in batch 20 r3. Criteria K1 weight=10.0.</t>
        </is>
      </c>
    </row>
    <row r="38">
      <c r="A38" s="3" t="inlineStr">
        <is>
          <t>CRIT-037</t>
        </is>
      </c>
      <c r="B38" s="3" t="inlineStr">
        <is>
          <t>jeminise.com+personalized-baseball-bedding-full-size-flag-custom-name-d-design-19</t>
        </is>
      </c>
      <c r="C38" s="2" t="inlineStr">
        <is>
          <t>K2</t>
        </is>
      </c>
      <c r="D38" s="2" t="inlineStr">
        <is>
          <t>Secondary Keyword Support</t>
        </is>
      </c>
      <c r="E38" s="2" t="n">
        <v>5</v>
      </c>
      <c r="F38" s="2" t="n">
        <v>5</v>
      </c>
      <c r="G38" s="2" t="inlineStr">
        <is>
          <t>PASS</t>
        </is>
      </c>
      <c r="H38" s="2" t="inlineStr">
        <is>
          <t>personalized-baseball-bedding-full-size-flag-custom-name-d-design-19: Secondary keywords support relevant long-tail variations without keyword stuffing.</t>
        </is>
      </c>
      <c r="I38" s="2" t="inlineStr">
        <is>
          <t>Audited in batch 20 r3. Criteria K2 weight=5.0.</t>
        </is>
      </c>
    </row>
    <row r="39">
      <c r="A39" s="3" t="inlineStr">
        <is>
          <t>CRIT-038</t>
        </is>
      </c>
      <c r="B39" s="3" t="inlineStr">
        <is>
          <t>jeminise.com+personalized-baseball-bedding-full-size-flag-custom-name-d-design-19</t>
        </is>
      </c>
      <c r="C39" s="2" t="inlineStr">
        <is>
          <t>K3</t>
        </is>
      </c>
      <c r="D39" s="2" t="inlineStr">
        <is>
          <t>Search Intent Alignment</t>
        </is>
      </c>
      <c r="E39" s="2" t="n">
        <v>5</v>
      </c>
      <c r="F39" s="2" t="n">
        <v>5</v>
      </c>
      <c r="G39" s="2" t="inlineStr">
        <is>
          <t>PASS</t>
        </is>
      </c>
      <c r="H39" s="2" t="inlineStr">
        <is>
          <t>personalized-baseball-bedding-full-size-flag-custom-name-d-design-19: Commercial product search intent aligned with US home decor sports bedding buyer expectations.</t>
        </is>
      </c>
      <c r="I39" s="2" t="inlineStr">
        <is>
          <t>Audited in batch 20 r3. Criteria K3 weight=5.0.</t>
        </is>
      </c>
    </row>
    <row r="40">
      <c r="A40" s="3" t="inlineStr">
        <is>
          <t>CRIT-039</t>
        </is>
      </c>
      <c r="B40" s="3" t="inlineStr">
        <is>
          <t>jeminise.com+personalized-baseball-bedding-full-size-flag-custom-name-d-design-19</t>
        </is>
      </c>
      <c r="C40" s="2" t="inlineStr">
        <is>
          <t>T1</t>
        </is>
      </c>
      <c r="D40" s="2" t="inlineStr">
        <is>
          <t>Proposed Title Optimization</t>
        </is>
      </c>
      <c r="E40" s="2" t="n">
        <v>10</v>
      </c>
      <c r="F40" s="2" t="n">
        <v>10</v>
      </c>
      <c r="G40" s="2" t="inlineStr">
        <is>
          <t>PASS</t>
        </is>
      </c>
      <c r="H40" s="2" t="inlineStr">
        <is>
          <t>personalized-baseball-bedding-full-size-flag-custom-name-d-design-19: Title proposed is concise, front-loaded with primary keyword, and eliminates redundant keyword stuffing terms.</t>
        </is>
      </c>
      <c r="I40" s="2" t="inlineStr">
        <is>
          <t>Audited in batch 20 r3. Criteria T1 weight=10.0.</t>
        </is>
      </c>
    </row>
    <row r="41">
      <c r="A41" s="3" t="inlineStr">
        <is>
          <t>CRIT-040</t>
        </is>
      </c>
      <c r="B41" s="3" t="inlineStr">
        <is>
          <t>jeminise.com+personalized-baseball-bedding-full-size-flag-custom-name-d-design-19</t>
        </is>
      </c>
      <c r="C41" s="2" t="inlineStr">
        <is>
          <t>T2</t>
        </is>
      </c>
      <c r="D41" s="2" t="inlineStr">
        <is>
          <t>Meta Title Optimization</t>
        </is>
      </c>
      <c r="E41" s="2" t="n">
        <v>5</v>
      </c>
      <c r="F41" s="2" t="n">
        <v>5</v>
      </c>
      <c r="G41" s="2" t="inlineStr">
        <is>
          <t>PASS</t>
        </is>
      </c>
      <c r="H41" s="2" t="inlineStr">
        <is>
          <t>personalized-baseball-bedding-full-size-flag-custom-name-d-design-19: Meta title is within 60 characters, brand-aligned, and free of truncation issues.</t>
        </is>
      </c>
      <c r="I41" s="2" t="inlineStr">
        <is>
          <t>Audited in batch 20 r3. Criteria T2 weight=5.0.</t>
        </is>
      </c>
    </row>
    <row r="42">
      <c r="A42" s="3" t="inlineStr">
        <is>
          <t>CRIT-041</t>
        </is>
      </c>
      <c r="B42" s="3" t="inlineStr">
        <is>
          <t>jeminise.com+personalized-baseball-bedding-full-size-flag-custom-name-d-design-19</t>
        </is>
      </c>
      <c r="C42" s="2" t="inlineStr">
        <is>
          <t>D1</t>
        </is>
      </c>
      <c r="D42" s="2" t="inlineStr">
        <is>
          <t>Meta Description SEO</t>
        </is>
      </c>
      <c r="E42" s="2" t="n">
        <v>5</v>
      </c>
      <c r="F42" s="2" t="n">
        <v>5</v>
      </c>
      <c r="G42" s="2" t="inlineStr">
        <is>
          <t>PASS</t>
        </is>
      </c>
      <c r="H42" s="2" t="inlineStr">
        <is>
          <t>personalized-baseball-bedding-full-size-flag-custom-name-d-design-19: Meta description is within 100-128 characters, compelling, and free of draft/QA tags.</t>
        </is>
      </c>
      <c r="I42" s="2" t="inlineStr">
        <is>
          <t>Audited in batch 20 r3. Criteria D1 weight=5.0.</t>
        </is>
      </c>
    </row>
    <row r="43">
      <c r="A43" s="3" t="inlineStr">
        <is>
          <t>CRIT-042</t>
        </is>
      </c>
      <c r="B43" s="3" t="inlineStr">
        <is>
          <t>jeminise.com+personalized-baseball-bedding-full-size-flag-custom-name-d-design-19</t>
        </is>
      </c>
      <c r="C43" s="2" t="inlineStr">
        <is>
          <t>D2</t>
        </is>
      </c>
      <c r="D43" s="2" t="inlineStr">
        <is>
          <t>Product Description HTML</t>
        </is>
      </c>
      <c r="E43" s="2" t="n">
        <v>10</v>
      </c>
      <c r="F43" s="2" t="n">
        <v>7</v>
      </c>
      <c r="G43" s="2" t="inlineStr">
        <is>
          <t>PARTIAL</t>
        </is>
      </c>
      <c r="H43" s="2" t="inlineStr">
        <is>
          <t>personalized-baseball-bedding-full-size-flag-custom-name-d-design-19: HTML copy excised old internal QA tags, but falsely asserts numbers cannot be customized (contradicting active live customizer collecting Customize Your Number) and omits complete Comforter vs Duvet Cover breakdown.</t>
        </is>
      </c>
      <c r="I43" s="2" t="inlineStr">
        <is>
          <t>Audited in batch 20 r3. Criteria D2 weight=10.0.</t>
        </is>
      </c>
    </row>
    <row r="44">
      <c r="A44" s="3" t="inlineStr">
        <is>
          <t>CRIT-043</t>
        </is>
      </c>
      <c r="B44" s="3" t="inlineStr">
        <is>
          <t>jeminise.com+personalized-baseball-bedding-full-size-flag-custom-name-d-design-19</t>
        </is>
      </c>
      <c r="C44" s="2" t="inlineStr">
        <is>
          <t>I1</t>
        </is>
      </c>
      <c r="D44" s="2" t="inlineStr">
        <is>
          <t>Gallery Image Optimization</t>
        </is>
      </c>
      <c r="E44" s="2" t="n">
        <v>20</v>
      </c>
      <c r="F44" s="2" t="n">
        <v>20</v>
      </c>
      <c r="G44" s="2" t="inlineStr">
        <is>
          <t>PASS</t>
        </is>
      </c>
      <c r="H44" s="2" t="inlineStr">
        <is>
          <t>personalized-baseball-bedding-full-size-flag-custom-name-d-design-19: 100% of gallery images visually audited; alt text proposed accurately reflects visual subjects and features.</t>
        </is>
      </c>
      <c r="I44" s="2" t="inlineStr">
        <is>
          <t>Audited in batch 20 r3. Criteria I1 weight=20.0.</t>
        </is>
      </c>
    </row>
    <row r="45">
      <c r="A45" s="3" t="inlineStr">
        <is>
          <t>CRIT-044</t>
        </is>
      </c>
      <c r="B45" s="3" t="inlineStr">
        <is>
          <t>jeminise.com+personalized-baseball-bedding-full-size-flag-custom-name-d-design-19</t>
        </is>
      </c>
      <c r="C45" s="2" t="inlineStr">
        <is>
          <t>E1</t>
        </is>
      </c>
      <c r="D45" s="2" t="inlineStr">
        <is>
          <t>Evidence &amp; Grounding</t>
        </is>
      </c>
      <c r="E45" s="2" t="n">
        <v>5</v>
      </c>
      <c r="F45" s="2" t="n">
        <v>5</v>
      </c>
      <c r="G45" s="2" t="inlineStr">
        <is>
          <t>PASS</t>
        </is>
      </c>
      <c r="H45" s="2" t="inlineStr">
        <is>
          <t>personalized-baseball-bedding-full-size-flag-custom-name-d-design-19: Optimization grounded in live storefront audits, direct image inspection, and SERP verification.</t>
        </is>
      </c>
      <c r="I45" s="2" t="inlineStr">
        <is>
          <t>Audited in batch 20 r3. Criteria E1 weight=5.0.</t>
        </is>
      </c>
    </row>
    <row r="46">
      <c r="A46" s="3" t="inlineStr">
        <is>
          <t>CRIT-045</t>
        </is>
      </c>
      <c r="B46" s="3" t="inlineStr">
        <is>
          <t>jeminise.com+personalized-baseball-bedding-full-size-flag-custom-name-d-design-20</t>
        </is>
      </c>
      <c r="C46" s="2" t="inlineStr">
        <is>
          <t>P1</t>
        </is>
      </c>
      <c r="D46" s="2" t="inlineStr">
        <is>
          <t>Product Identification</t>
        </is>
      </c>
      <c r="E46" s="2" t="n">
        <v>15</v>
      </c>
      <c r="F46" s="2" t="n">
        <v>15</v>
      </c>
      <c r="G46" s="2" t="inlineStr">
        <is>
          <t>PASS</t>
        </is>
      </c>
      <c r="H46" s="2" t="inlineStr">
        <is>
          <t>personalized-baseball-bedding-full-size-flag-custom-name-d-design-20: Accurately identified product form factor (Comforter / Duvet Cover), material category (high-density brushed microfiber), and baseball artwork motif from direct visual audit and storefront data.</t>
        </is>
      </c>
      <c r="I46" s="2" t="inlineStr">
        <is>
          <t>Audited in batch 20 r3. Criteria P1 weight=15.0.</t>
        </is>
      </c>
    </row>
    <row r="47">
      <c r="A47" s="3" t="inlineStr">
        <is>
          <t>CRIT-046</t>
        </is>
      </c>
      <c r="B47" s="3" t="inlineStr">
        <is>
          <t>jeminise.com+personalized-baseball-bedding-full-size-flag-custom-name-d-design-20</t>
        </is>
      </c>
      <c r="C47" s="2" t="inlineStr">
        <is>
          <t>P2</t>
        </is>
      </c>
      <c r="D47" s="2" t="inlineStr">
        <is>
          <t>Taxonomy &amp; Classification</t>
        </is>
      </c>
      <c r="E47" s="2" t="n">
        <v>10</v>
      </c>
      <c r="F47" s="2" t="n">
        <v>10</v>
      </c>
      <c r="G47" s="2" t="inlineStr">
        <is>
          <t>PASS</t>
        </is>
      </c>
      <c r="H47" s="2" t="inlineStr">
        <is>
          <t>personalized-baseball-bedding-full-size-flag-custom-name-d-design-20: Correct category assignment aligning with Shopify collections, product type (Bedding), and option configurations (Product Type + Size, Pillowcases, Sheet Cover).</t>
        </is>
      </c>
      <c r="I47" s="2" t="inlineStr">
        <is>
          <t>Audited in batch 20 r3. Criteria P2 weight=10.0.</t>
        </is>
      </c>
    </row>
    <row r="48">
      <c r="A48" s="3" t="inlineStr">
        <is>
          <t>CRIT-047</t>
        </is>
      </c>
      <c r="B48" s="3" t="inlineStr">
        <is>
          <t>jeminise.com+personalized-baseball-bedding-full-size-flag-custom-name-d-design-20</t>
        </is>
      </c>
      <c r="C48" s="2" t="inlineStr">
        <is>
          <t>K1</t>
        </is>
      </c>
      <c r="D48" s="2" t="inlineStr">
        <is>
          <t>Primary Keyword Focus</t>
        </is>
      </c>
      <c r="E48" s="2" t="n">
        <v>10</v>
      </c>
      <c r="F48" s="2" t="n">
        <v>10</v>
      </c>
      <c r="G48" s="2" t="inlineStr">
        <is>
          <t>PASS</t>
        </is>
      </c>
      <c r="H48" s="2" t="inlineStr">
        <is>
          <t>personalized-baseball-bedding-full-size-flag-custom-name-d-design-20: Primary keyword accurately targets high-intent search demand validated via live US SERP analysis.</t>
        </is>
      </c>
      <c r="I48" s="2" t="inlineStr">
        <is>
          <t>Audited in batch 20 r3. Criteria K1 weight=10.0.</t>
        </is>
      </c>
    </row>
    <row r="49">
      <c r="A49" s="3" t="inlineStr">
        <is>
          <t>CRIT-048</t>
        </is>
      </c>
      <c r="B49" s="3" t="inlineStr">
        <is>
          <t>jeminise.com+personalized-baseball-bedding-full-size-flag-custom-name-d-design-20</t>
        </is>
      </c>
      <c r="C49" s="2" t="inlineStr">
        <is>
          <t>K2</t>
        </is>
      </c>
      <c r="D49" s="2" t="inlineStr">
        <is>
          <t>Secondary Keyword Support</t>
        </is>
      </c>
      <c r="E49" s="2" t="n">
        <v>5</v>
      </c>
      <c r="F49" s="2" t="n">
        <v>5</v>
      </c>
      <c r="G49" s="2" t="inlineStr">
        <is>
          <t>PASS</t>
        </is>
      </c>
      <c r="H49" s="2" t="inlineStr">
        <is>
          <t>personalized-baseball-bedding-full-size-flag-custom-name-d-design-20: Secondary keywords support relevant long-tail variations without keyword stuffing.</t>
        </is>
      </c>
      <c r="I49" s="2" t="inlineStr">
        <is>
          <t>Audited in batch 20 r3. Criteria K2 weight=5.0.</t>
        </is>
      </c>
    </row>
    <row r="50">
      <c r="A50" s="3" t="inlineStr">
        <is>
          <t>CRIT-049</t>
        </is>
      </c>
      <c r="B50" s="3" t="inlineStr">
        <is>
          <t>jeminise.com+personalized-baseball-bedding-full-size-flag-custom-name-d-design-20</t>
        </is>
      </c>
      <c r="C50" s="2" t="inlineStr">
        <is>
          <t>K3</t>
        </is>
      </c>
      <c r="D50" s="2" t="inlineStr">
        <is>
          <t>Search Intent Alignment</t>
        </is>
      </c>
      <c r="E50" s="2" t="n">
        <v>5</v>
      </c>
      <c r="F50" s="2" t="n">
        <v>5</v>
      </c>
      <c r="G50" s="2" t="inlineStr">
        <is>
          <t>PASS</t>
        </is>
      </c>
      <c r="H50" s="2" t="inlineStr">
        <is>
          <t>personalized-baseball-bedding-full-size-flag-custom-name-d-design-20: Commercial product search intent aligned with US home decor sports bedding buyer expectations.</t>
        </is>
      </c>
      <c r="I50" s="2" t="inlineStr">
        <is>
          <t>Audited in batch 20 r3. Criteria K3 weight=5.0.</t>
        </is>
      </c>
    </row>
    <row r="51">
      <c r="A51" s="3" t="inlineStr">
        <is>
          <t>CRIT-050</t>
        </is>
      </c>
      <c r="B51" s="3" t="inlineStr">
        <is>
          <t>jeminise.com+personalized-baseball-bedding-full-size-flag-custom-name-d-design-20</t>
        </is>
      </c>
      <c r="C51" s="2" t="inlineStr">
        <is>
          <t>T1</t>
        </is>
      </c>
      <c r="D51" s="2" t="inlineStr">
        <is>
          <t>Proposed Title Optimization</t>
        </is>
      </c>
      <c r="E51" s="2" t="n">
        <v>10</v>
      </c>
      <c r="F51" s="2" t="n">
        <v>10</v>
      </c>
      <c r="G51" s="2" t="inlineStr">
        <is>
          <t>PASS</t>
        </is>
      </c>
      <c r="H51" s="2" t="inlineStr">
        <is>
          <t>personalized-baseball-bedding-full-size-flag-custom-name-d-design-20: Title proposed is concise, front-loaded with primary keyword, and eliminates redundant keyword stuffing terms.</t>
        </is>
      </c>
      <c r="I51" s="2" t="inlineStr">
        <is>
          <t>Audited in batch 20 r3. Criteria T1 weight=10.0.</t>
        </is>
      </c>
    </row>
    <row r="52">
      <c r="A52" s="3" t="inlineStr">
        <is>
          <t>CRIT-051</t>
        </is>
      </c>
      <c r="B52" s="3" t="inlineStr">
        <is>
          <t>jeminise.com+personalized-baseball-bedding-full-size-flag-custom-name-d-design-20</t>
        </is>
      </c>
      <c r="C52" s="2" t="inlineStr">
        <is>
          <t>T2</t>
        </is>
      </c>
      <c r="D52" s="2" t="inlineStr">
        <is>
          <t>Meta Title Optimization</t>
        </is>
      </c>
      <c r="E52" s="2" t="n">
        <v>5</v>
      </c>
      <c r="F52" s="2" t="n">
        <v>5</v>
      </c>
      <c r="G52" s="2" t="inlineStr">
        <is>
          <t>PASS</t>
        </is>
      </c>
      <c r="H52" s="2" t="inlineStr">
        <is>
          <t>personalized-baseball-bedding-full-size-flag-custom-name-d-design-20: Meta title is within 60 characters, brand-aligned, and free of truncation issues.</t>
        </is>
      </c>
      <c r="I52" s="2" t="inlineStr">
        <is>
          <t>Audited in batch 20 r3. Criteria T2 weight=5.0.</t>
        </is>
      </c>
    </row>
    <row r="53">
      <c r="A53" s="3" t="inlineStr">
        <is>
          <t>CRIT-052</t>
        </is>
      </c>
      <c r="B53" s="3" t="inlineStr">
        <is>
          <t>jeminise.com+personalized-baseball-bedding-full-size-flag-custom-name-d-design-20</t>
        </is>
      </c>
      <c r="C53" s="2" t="inlineStr">
        <is>
          <t>D1</t>
        </is>
      </c>
      <c r="D53" s="2" t="inlineStr">
        <is>
          <t>Meta Description SEO</t>
        </is>
      </c>
      <c r="E53" s="2" t="n">
        <v>5</v>
      </c>
      <c r="F53" s="2" t="n">
        <v>5</v>
      </c>
      <c r="G53" s="2" t="inlineStr">
        <is>
          <t>PASS</t>
        </is>
      </c>
      <c r="H53" s="2" t="inlineStr">
        <is>
          <t>personalized-baseball-bedding-full-size-flag-custom-name-d-design-20: Meta description is within 100-128 characters, compelling, and free of draft/QA tags.</t>
        </is>
      </c>
      <c r="I53" s="2" t="inlineStr">
        <is>
          <t>Audited in batch 20 r3. Criteria D1 weight=5.0.</t>
        </is>
      </c>
    </row>
    <row r="54">
      <c r="A54" s="3" t="inlineStr">
        <is>
          <t>CRIT-053</t>
        </is>
      </c>
      <c r="B54" s="3" t="inlineStr">
        <is>
          <t>jeminise.com+personalized-baseball-bedding-full-size-flag-custom-name-d-design-20</t>
        </is>
      </c>
      <c r="C54" s="2" t="inlineStr">
        <is>
          <t>D2</t>
        </is>
      </c>
      <c r="D54" s="2" t="inlineStr">
        <is>
          <t>Product Description HTML</t>
        </is>
      </c>
      <c r="E54" s="2" t="n">
        <v>10</v>
      </c>
      <c r="F54" s="2" t="n">
        <v>7</v>
      </c>
      <c r="G54" s="2" t="inlineStr">
        <is>
          <t>PARTIAL</t>
        </is>
      </c>
      <c r="H54" s="2" t="inlineStr">
        <is>
          <t>personalized-baseball-bedding-full-size-flag-custom-name-d-design-20: HTML copy excised old internal QA tags, but falsely asserts numbers cannot be customized (contradicting active live customizer collecting Customize Your Number) and omits complete Comforter vs Duvet Cover breakdown.</t>
        </is>
      </c>
      <c r="I54" s="2" t="inlineStr">
        <is>
          <t>Audited in batch 20 r3. Criteria D2 weight=10.0.</t>
        </is>
      </c>
    </row>
    <row r="55">
      <c r="A55" s="3" t="inlineStr">
        <is>
          <t>CRIT-054</t>
        </is>
      </c>
      <c r="B55" s="3" t="inlineStr">
        <is>
          <t>jeminise.com+personalized-baseball-bedding-full-size-flag-custom-name-d-design-20</t>
        </is>
      </c>
      <c r="C55" s="2" t="inlineStr">
        <is>
          <t>I1</t>
        </is>
      </c>
      <c r="D55" s="2" t="inlineStr">
        <is>
          <t>Gallery Image Optimization</t>
        </is>
      </c>
      <c r="E55" s="2" t="n">
        <v>20</v>
      </c>
      <c r="F55" s="2" t="n">
        <v>20</v>
      </c>
      <c r="G55" s="2" t="inlineStr">
        <is>
          <t>PASS</t>
        </is>
      </c>
      <c r="H55" s="2" t="inlineStr">
        <is>
          <t>personalized-baseball-bedding-full-size-flag-custom-name-d-design-20: 100% of gallery images visually audited; alt text proposed accurately reflects visual subjects and features.</t>
        </is>
      </c>
      <c r="I55" s="2" t="inlineStr">
        <is>
          <t>Audited in batch 20 r3. Criteria I1 weight=20.0.</t>
        </is>
      </c>
    </row>
    <row r="56">
      <c r="A56" s="3" t="inlineStr">
        <is>
          <t>CRIT-055</t>
        </is>
      </c>
      <c r="B56" s="3" t="inlineStr">
        <is>
          <t>jeminise.com+personalized-baseball-bedding-full-size-flag-custom-name-d-design-20</t>
        </is>
      </c>
      <c r="C56" s="2" t="inlineStr">
        <is>
          <t>E1</t>
        </is>
      </c>
      <c r="D56" s="2" t="inlineStr">
        <is>
          <t>Evidence &amp; Grounding</t>
        </is>
      </c>
      <c r="E56" s="2" t="n">
        <v>5</v>
      </c>
      <c r="F56" s="2" t="n">
        <v>5</v>
      </c>
      <c r="G56" s="2" t="inlineStr">
        <is>
          <t>PASS</t>
        </is>
      </c>
      <c r="H56" s="2" t="inlineStr">
        <is>
          <t>personalized-baseball-bedding-full-size-flag-custom-name-d-design-20: Optimization grounded in live storefront audits, direct image inspection, and SERP verification.</t>
        </is>
      </c>
      <c r="I56" s="2" t="inlineStr">
        <is>
          <t>Audited in batch 20 r3. Criteria E1 weight=5.0.</t>
        </is>
      </c>
    </row>
    <row r="57">
      <c r="A57" s="3" t="inlineStr">
        <is>
          <t>CRIT-056</t>
        </is>
      </c>
      <c r="B57" s="3" t="inlineStr">
        <is>
          <t>jeminise.com+personalized-baseball-bedding-full-size-flag-custom-name-d-design-21</t>
        </is>
      </c>
      <c r="C57" s="2" t="inlineStr">
        <is>
          <t>P1</t>
        </is>
      </c>
      <c r="D57" s="2" t="inlineStr">
        <is>
          <t>Product Identification</t>
        </is>
      </c>
      <c r="E57" s="2" t="n">
        <v>15</v>
      </c>
      <c r="F57" s="2" t="n">
        <v>15</v>
      </c>
      <c r="G57" s="2" t="inlineStr">
        <is>
          <t>PASS</t>
        </is>
      </c>
      <c r="H57" s="2" t="inlineStr">
        <is>
          <t>personalized-baseball-bedding-full-size-flag-custom-name-d-design-21: Accurately identified product form factor (Comforter / Duvet Cover), material category (high-density brushed microfiber), and baseball artwork motif from direct visual audit and storefront data.</t>
        </is>
      </c>
      <c r="I57" s="2" t="inlineStr">
        <is>
          <t>Audited in batch 20 r3. Criteria P1 weight=15.0.</t>
        </is>
      </c>
    </row>
    <row r="58">
      <c r="A58" s="3" t="inlineStr">
        <is>
          <t>CRIT-057</t>
        </is>
      </c>
      <c r="B58" s="3" t="inlineStr">
        <is>
          <t>jeminise.com+personalized-baseball-bedding-full-size-flag-custom-name-d-design-21</t>
        </is>
      </c>
      <c r="C58" s="2" t="inlineStr">
        <is>
          <t>P2</t>
        </is>
      </c>
      <c r="D58" s="2" t="inlineStr">
        <is>
          <t>Taxonomy &amp; Classification</t>
        </is>
      </c>
      <c r="E58" s="2" t="n">
        <v>10</v>
      </c>
      <c r="F58" s="2" t="n">
        <v>10</v>
      </c>
      <c r="G58" s="2" t="inlineStr">
        <is>
          <t>PASS</t>
        </is>
      </c>
      <c r="H58" s="2" t="inlineStr">
        <is>
          <t>personalized-baseball-bedding-full-size-flag-custom-name-d-design-21: Correct category assignment aligning with Shopify collections, product type (Bedding), and option configurations (Product Type + Size, Pillowcases, Sheet Cover).</t>
        </is>
      </c>
      <c r="I58" s="2" t="inlineStr">
        <is>
          <t>Audited in batch 20 r3. Criteria P2 weight=10.0.</t>
        </is>
      </c>
    </row>
    <row r="59">
      <c r="A59" s="3" t="inlineStr">
        <is>
          <t>CRIT-058</t>
        </is>
      </c>
      <c r="B59" s="3" t="inlineStr">
        <is>
          <t>jeminise.com+personalized-baseball-bedding-full-size-flag-custom-name-d-design-21</t>
        </is>
      </c>
      <c r="C59" s="2" t="inlineStr">
        <is>
          <t>K1</t>
        </is>
      </c>
      <c r="D59" s="2" t="inlineStr">
        <is>
          <t>Primary Keyword Focus</t>
        </is>
      </c>
      <c r="E59" s="2" t="n">
        <v>10</v>
      </c>
      <c r="F59" s="2" t="n">
        <v>10</v>
      </c>
      <c r="G59" s="2" t="inlineStr">
        <is>
          <t>PASS</t>
        </is>
      </c>
      <c r="H59" s="2" t="inlineStr">
        <is>
          <t>personalized-baseball-bedding-full-size-flag-custom-name-d-design-21: Primary keyword accurately targets high-intent search demand validated via live US SERP analysis.</t>
        </is>
      </c>
      <c r="I59" s="2" t="inlineStr">
        <is>
          <t>Audited in batch 20 r3. Criteria K1 weight=10.0.</t>
        </is>
      </c>
    </row>
    <row r="60">
      <c r="A60" s="3" t="inlineStr">
        <is>
          <t>CRIT-059</t>
        </is>
      </c>
      <c r="B60" s="3" t="inlineStr">
        <is>
          <t>jeminise.com+personalized-baseball-bedding-full-size-flag-custom-name-d-design-21</t>
        </is>
      </c>
      <c r="C60" s="2" t="inlineStr">
        <is>
          <t>K2</t>
        </is>
      </c>
      <c r="D60" s="2" t="inlineStr">
        <is>
          <t>Secondary Keyword Support</t>
        </is>
      </c>
      <c r="E60" s="2" t="n">
        <v>5</v>
      </c>
      <c r="F60" s="2" t="n">
        <v>5</v>
      </c>
      <c r="G60" s="2" t="inlineStr">
        <is>
          <t>PASS</t>
        </is>
      </c>
      <c r="H60" s="2" t="inlineStr">
        <is>
          <t>personalized-baseball-bedding-full-size-flag-custom-name-d-design-21: Secondary keywords support relevant long-tail variations without keyword stuffing.</t>
        </is>
      </c>
      <c r="I60" s="2" t="inlineStr">
        <is>
          <t>Audited in batch 20 r3. Criteria K2 weight=5.0.</t>
        </is>
      </c>
    </row>
    <row r="61">
      <c r="A61" s="3" t="inlineStr">
        <is>
          <t>CRIT-060</t>
        </is>
      </c>
      <c r="B61" s="3" t="inlineStr">
        <is>
          <t>jeminise.com+personalized-baseball-bedding-full-size-flag-custom-name-d-design-21</t>
        </is>
      </c>
      <c r="C61" s="2" t="inlineStr">
        <is>
          <t>K3</t>
        </is>
      </c>
      <c r="D61" s="2" t="inlineStr">
        <is>
          <t>Search Intent Alignment</t>
        </is>
      </c>
      <c r="E61" s="2" t="n">
        <v>5</v>
      </c>
      <c r="F61" s="2" t="n">
        <v>5</v>
      </c>
      <c r="G61" s="2" t="inlineStr">
        <is>
          <t>PASS</t>
        </is>
      </c>
      <c r="H61" s="2" t="inlineStr">
        <is>
          <t>personalized-baseball-bedding-full-size-flag-custom-name-d-design-21: Commercial product search intent aligned with US home decor sports bedding buyer expectations.</t>
        </is>
      </c>
      <c r="I61" s="2" t="inlineStr">
        <is>
          <t>Audited in batch 20 r3. Criteria K3 weight=5.0.</t>
        </is>
      </c>
    </row>
    <row r="62">
      <c r="A62" s="3" t="inlineStr">
        <is>
          <t>CRIT-061</t>
        </is>
      </c>
      <c r="B62" s="3" t="inlineStr">
        <is>
          <t>jeminise.com+personalized-baseball-bedding-full-size-flag-custom-name-d-design-21</t>
        </is>
      </c>
      <c r="C62" s="2" t="inlineStr">
        <is>
          <t>T1</t>
        </is>
      </c>
      <c r="D62" s="2" t="inlineStr">
        <is>
          <t>Proposed Title Optimization</t>
        </is>
      </c>
      <c r="E62" s="2" t="n">
        <v>10</v>
      </c>
      <c r="F62" s="2" t="n">
        <v>10</v>
      </c>
      <c r="G62" s="2" t="inlineStr">
        <is>
          <t>PASS</t>
        </is>
      </c>
      <c r="H62" s="2" t="inlineStr">
        <is>
          <t>personalized-baseball-bedding-full-size-flag-custom-name-d-design-21: Title proposed is concise, front-loaded with primary keyword, and eliminates redundant keyword stuffing terms.</t>
        </is>
      </c>
      <c r="I62" s="2" t="inlineStr">
        <is>
          <t>Audited in batch 20 r3. Criteria T1 weight=10.0.</t>
        </is>
      </c>
    </row>
    <row r="63">
      <c r="A63" s="3" t="inlineStr">
        <is>
          <t>CRIT-062</t>
        </is>
      </c>
      <c r="B63" s="3" t="inlineStr">
        <is>
          <t>jeminise.com+personalized-baseball-bedding-full-size-flag-custom-name-d-design-21</t>
        </is>
      </c>
      <c r="C63" s="2" t="inlineStr">
        <is>
          <t>T2</t>
        </is>
      </c>
      <c r="D63" s="2" t="inlineStr">
        <is>
          <t>Meta Title Optimization</t>
        </is>
      </c>
      <c r="E63" s="2" t="n">
        <v>5</v>
      </c>
      <c r="F63" s="2" t="n">
        <v>5</v>
      </c>
      <c r="G63" s="2" t="inlineStr">
        <is>
          <t>PASS</t>
        </is>
      </c>
      <c r="H63" s="2" t="inlineStr">
        <is>
          <t>personalized-baseball-bedding-full-size-flag-custom-name-d-design-21: Meta title is within 60 characters, brand-aligned, and free of truncation issues.</t>
        </is>
      </c>
      <c r="I63" s="2" t="inlineStr">
        <is>
          <t>Audited in batch 20 r3. Criteria T2 weight=5.0.</t>
        </is>
      </c>
    </row>
    <row r="64">
      <c r="A64" s="3" t="inlineStr">
        <is>
          <t>CRIT-063</t>
        </is>
      </c>
      <c r="B64" s="3" t="inlineStr">
        <is>
          <t>jeminise.com+personalized-baseball-bedding-full-size-flag-custom-name-d-design-21</t>
        </is>
      </c>
      <c r="C64" s="2" t="inlineStr">
        <is>
          <t>D1</t>
        </is>
      </c>
      <c r="D64" s="2" t="inlineStr">
        <is>
          <t>Meta Description SEO</t>
        </is>
      </c>
      <c r="E64" s="2" t="n">
        <v>5</v>
      </c>
      <c r="F64" s="2" t="n">
        <v>5</v>
      </c>
      <c r="G64" s="2" t="inlineStr">
        <is>
          <t>PASS</t>
        </is>
      </c>
      <c r="H64" s="2" t="inlineStr">
        <is>
          <t>personalized-baseball-bedding-full-size-flag-custom-name-d-design-21: Meta description is within 100-128 characters, compelling, and free of draft/QA tags.</t>
        </is>
      </c>
      <c r="I64" s="2" t="inlineStr">
        <is>
          <t>Audited in batch 20 r3. Criteria D1 weight=5.0.</t>
        </is>
      </c>
    </row>
    <row r="65">
      <c r="A65" s="3" t="inlineStr">
        <is>
          <t>CRIT-064</t>
        </is>
      </c>
      <c r="B65" s="3" t="inlineStr">
        <is>
          <t>jeminise.com+personalized-baseball-bedding-full-size-flag-custom-name-d-design-21</t>
        </is>
      </c>
      <c r="C65" s="2" t="inlineStr">
        <is>
          <t>D2</t>
        </is>
      </c>
      <c r="D65" s="2" t="inlineStr">
        <is>
          <t>Product Description HTML</t>
        </is>
      </c>
      <c r="E65" s="2" t="n">
        <v>10</v>
      </c>
      <c r="F65" s="2" t="n">
        <v>7</v>
      </c>
      <c r="G65" s="2" t="inlineStr">
        <is>
          <t>PARTIAL</t>
        </is>
      </c>
      <c r="H65" s="2" t="inlineStr">
        <is>
          <t>personalized-baseball-bedding-full-size-flag-custom-name-d-design-21: HTML copy excised old internal QA tags, but falsely asserts numbers cannot be customized (contradicting active live customizer collecting Customize Your Number) and omits complete Comforter vs Duvet Cover breakdown.</t>
        </is>
      </c>
      <c r="I65" s="2" t="inlineStr">
        <is>
          <t>Audited in batch 20 r3. Criteria D2 weight=10.0.</t>
        </is>
      </c>
    </row>
    <row r="66">
      <c r="A66" s="3" t="inlineStr">
        <is>
          <t>CRIT-065</t>
        </is>
      </c>
      <c r="B66" s="3" t="inlineStr">
        <is>
          <t>jeminise.com+personalized-baseball-bedding-full-size-flag-custom-name-d-design-21</t>
        </is>
      </c>
      <c r="C66" s="2" t="inlineStr">
        <is>
          <t>I1</t>
        </is>
      </c>
      <c r="D66" s="2" t="inlineStr">
        <is>
          <t>Gallery Image Optimization</t>
        </is>
      </c>
      <c r="E66" s="2" t="n">
        <v>20</v>
      </c>
      <c r="F66" s="2" t="n">
        <v>20</v>
      </c>
      <c r="G66" s="2" t="inlineStr">
        <is>
          <t>PASS</t>
        </is>
      </c>
      <c r="H66" s="2" t="inlineStr">
        <is>
          <t>personalized-baseball-bedding-full-size-flag-custom-name-d-design-21: 100% of gallery images visually audited; alt text proposed accurately reflects visual subjects and features.</t>
        </is>
      </c>
      <c r="I66" s="2" t="inlineStr">
        <is>
          <t>Audited in batch 20 r3. Criteria I1 weight=20.0.</t>
        </is>
      </c>
    </row>
    <row r="67">
      <c r="A67" s="3" t="inlineStr">
        <is>
          <t>CRIT-066</t>
        </is>
      </c>
      <c r="B67" s="3" t="inlineStr">
        <is>
          <t>jeminise.com+personalized-baseball-bedding-full-size-flag-custom-name-d-design-21</t>
        </is>
      </c>
      <c r="C67" s="2" t="inlineStr">
        <is>
          <t>E1</t>
        </is>
      </c>
      <c r="D67" s="2" t="inlineStr">
        <is>
          <t>Evidence &amp; Grounding</t>
        </is>
      </c>
      <c r="E67" s="2" t="n">
        <v>5</v>
      </c>
      <c r="F67" s="2" t="n">
        <v>5</v>
      </c>
      <c r="G67" s="2" t="inlineStr">
        <is>
          <t>PASS</t>
        </is>
      </c>
      <c r="H67" s="2" t="inlineStr">
        <is>
          <t>personalized-baseball-bedding-full-size-flag-custom-name-d-design-21: Optimization grounded in live storefront audits, direct image inspection, and SERP verification.</t>
        </is>
      </c>
      <c r="I67" s="2" t="inlineStr">
        <is>
          <t>Audited in batch 20 r3. Criteria E1 weight=5.0.</t>
        </is>
      </c>
    </row>
    <row r="68">
      <c r="A68" s="3" t="inlineStr">
        <is>
          <t>CRIT-067</t>
        </is>
      </c>
      <c r="B68" s="3" t="inlineStr">
        <is>
          <t>jeminise.com+personalized-baseball-bedding-full-size-flag-custom-name-d-design-22</t>
        </is>
      </c>
      <c r="C68" s="2" t="inlineStr">
        <is>
          <t>P1</t>
        </is>
      </c>
      <c r="D68" s="2" t="inlineStr">
        <is>
          <t>Product Identification</t>
        </is>
      </c>
      <c r="E68" s="2" t="n">
        <v>15</v>
      </c>
      <c r="F68" s="2" t="n">
        <v>15</v>
      </c>
      <c r="G68" s="2" t="inlineStr">
        <is>
          <t>PASS</t>
        </is>
      </c>
      <c r="H68" s="2" t="inlineStr">
        <is>
          <t>personalized-baseball-bedding-full-size-flag-custom-name-d-design-22: Accurately identified product form factor (Comforter / Duvet Cover), material category (high-density brushed microfiber), and baseball artwork motif from direct visual audit and storefront data.</t>
        </is>
      </c>
      <c r="I68" s="2" t="inlineStr">
        <is>
          <t>Audited in batch 20 r3. Criteria P1 weight=15.0.</t>
        </is>
      </c>
    </row>
    <row r="69">
      <c r="A69" s="3" t="inlineStr">
        <is>
          <t>CRIT-068</t>
        </is>
      </c>
      <c r="B69" s="3" t="inlineStr">
        <is>
          <t>jeminise.com+personalized-baseball-bedding-full-size-flag-custom-name-d-design-22</t>
        </is>
      </c>
      <c r="C69" s="2" t="inlineStr">
        <is>
          <t>P2</t>
        </is>
      </c>
      <c r="D69" s="2" t="inlineStr">
        <is>
          <t>Taxonomy &amp; Classification</t>
        </is>
      </c>
      <c r="E69" s="2" t="n">
        <v>10</v>
      </c>
      <c r="F69" s="2" t="n">
        <v>10</v>
      </c>
      <c r="G69" s="2" t="inlineStr">
        <is>
          <t>PASS</t>
        </is>
      </c>
      <c r="H69" s="2" t="inlineStr">
        <is>
          <t>personalized-baseball-bedding-full-size-flag-custom-name-d-design-22: Correct category assignment aligning with Shopify collections, product type (Bedding), and option configurations (Product Type + Size, Pillowcases, Sheet Cover).</t>
        </is>
      </c>
      <c r="I69" s="2" t="inlineStr">
        <is>
          <t>Audited in batch 20 r3. Criteria P2 weight=10.0.</t>
        </is>
      </c>
    </row>
    <row r="70">
      <c r="A70" s="3" t="inlineStr">
        <is>
          <t>CRIT-069</t>
        </is>
      </c>
      <c r="B70" s="3" t="inlineStr">
        <is>
          <t>jeminise.com+personalized-baseball-bedding-full-size-flag-custom-name-d-design-22</t>
        </is>
      </c>
      <c r="C70" s="2" t="inlineStr">
        <is>
          <t>K1</t>
        </is>
      </c>
      <c r="D70" s="2" t="inlineStr">
        <is>
          <t>Primary Keyword Focus</t>
        </is>
      </c>
      <c r="E70" s="2" t="n">
        <v>10</v>
      </c>
      <c r="F70" s="2" t="n">
        <v>10</v>
      </c>
      <c r="G70" s="2" t="inlineStr">
        <is>
          <t>PASS</t>
        </is>
      </c>
      <c r="H70" s="2" t="inlineStr">
        <is>
          <t>personalized-baseball-bedding-full-size-flag-custom-name-d-design-22: Primary keyword accurately targets high-intent search demand validated via live US SERP analysis.</t>
        </is>
      </c>
      <c r="I70" s="2" t="inlineStr">
        <is>
          <t>Audited in batch 20 r3. Criteria K1 weight=10.0.</t>
        </is>
      </c>
    </row>
    <row r="71">
      <c r="A71" s="3" t="inlineStr">
        <is>
          <t>CRIT-070</t>
        </is>
      </c>
      <c r="B71" s="3" t="inlineStr">
        <is>
          <t>jeminise.com+personalized-baseball-bedding-full-size-flag-custom-name-d-design-22</t>
        </is>
      </c>
      <c r="C71" s="2" t="inlineStr">
        <is>
          <t>K2</t>
        </is>
      </c>
      <c r="D71" s="2" t="inlineStr">
        <is>
          <t>Secondary Keyword Support</t>
        </is>
      </c>
      <c r="E71" s="2" t="n">
        <v>5</v>
      </c>
      <c r="F71" s="2" t="n">
        <v>5</v>
      </c>
      <c r="G71" s="2" t="inlineStr">
        <is>
          <t>PASS</t>
        </is>
      </c>
      <c r="H71" s="2" t="inlineStr">
        <is>
          <t>personalized-baseball-bedding-full-size-flag-custom-name-d-design-22: Secondary keywords support relevant long-tail variations without keyword stuffing.</t>
        </is>
      </c>
      <c r="I71" s="2" t="inlineStr">
        <is>
          <t>Audited in batch 20 r3. Criteria K2 weight=5.0.</t>
        </is>
      </c>
    </row>
    <row r="72">
      <c r="A72" s="3" t="inlineStr">
        <is>
          <t>CRIT-071</t>
        </is>
      </c>
      <c r="B72" s="3" t="inlineStr">
        <is>
          <t>jeminise.com+personalized-baseball-bedding-full-size-flag-custom-name-d-design-22</t>
        </is>
      </c>
      <c r="C72" s="2" t="inlineStr">
        <is>
          <t>K3</t>
        </is>
      </c>
      <c r="D72" s="2" t="inlineStr">
        <is>
          <t>Search Intent Alignment</t>
        </is>
      </c>
      <c r="E72" s="2" t="n">
        <v>5</v>
      </c>
      <c r="F72" s="2" t="n">
        <v>5</v>
      </c>
      <c r="G72" s="2" t="inlineStr">
        <is>
          <t>PASS</t>
        </is>
      </c>
      <c r="H72" s="2" t="inlineStr">
        <is>
          <t>personalized-baseball-bedding-full-size-flag-custom-name-d-design-22: Commercial product search intent aligned with US home decor sports bedding buyer expectations.</t>
        </is>
      </c>
      <c r="I72" s="2" t="inlineStr">
        <is>
          <t>Audited in batch 20 r3. Criteria K3 weight=5.0.</t>
        </is>
      </c>
    </row>
    <row r="73">
      <c r="A73" s="3" t="inlineStr">
        <is>
          <t>CRIT-072</t>
        </is>
      </c>
      <c r="B73" s="3" t="inlineStr">
        <is>
          <t>jeminise.com+personalized-baseball-bedding-full-size-flag-custom-name-d-design-22</t>
        </is>
      </c>
      <c r="C73" s="2" t="inlineStr">
        <is>
          <t>T1</t>
        </is>
      </c>
      <c r="D73" s="2" t="inlineStr">
        <is>
          <t>Proposed Title Optimization</t>
        </is>
      </c>
      <c r="E73" s="2" t="n">
        <v>10</v>
      </c>
      <c r="F73" s="2" t="n">
        <v>10</v>
      </c>
      <c r="G73" s="2" t="inlineStr">
        <is>
          <t>PASS</t>
        </is>
      </c>
      <c r="H73" s="2" t="inlineStr">
        <is>
          <t>personalized-baseball-bedding-full-size-flag-custom-name-d-design-22: Title proposed is concise, front-loaded with primary keyword, and eliminates redundant keyword stuffing terms.</t>
        </is>
      </c>
      <c r="I73" s="2" t="inlineStr">
        <is>
          <t>Audited in batch 20 r3. Criteria T1 weight=10.0.</t>
        </is>
      </c>
    </row>
    <row r="74">
      <c r="A74" s="3" t="inlineStr">
        <is>
          <t>CRIT-073</t>
        </is>
      </c>
      <c r="B74" s="3" t="inlineStr">
        <is>
          <t>jeminise.com+personalized-baseball-bedding-full-size-flag-custom-name-d-design-22</t>
        </is>
      </c>
      <c r="C74" s="2" t="inlineStr">
        <is>
          <t>T2</t>
        </is>
      </c>
      <c r="D74" s="2" t="inlineStr">
        <is>
          <t>Meta Title Optimization</t>
        </is>
      </c>
      <c r="E74" s="2" t="n">
        <v>5</v>
      </c>
      <c r="F74" s="2" t="n">
        <v>5</v>
      </c>
      <c r="G74" s="2" t="inlineStr">
        <is>
          <t>PASS</t>
        </is>
      </c>
      <c r="H74" s="2" t="inlineStr">
        <is>
          <t>personalized-baseball-bedding-full-size-flag-custom-name-d-design-22: Meta title is within 60 characters, brand-aligned, and free of truncation issues.</t>
        </is>
      </c>
      <c r="I74" s="2" t="inlineStr">
        <is>
          <t>Audited in batch 20 r3. Criteria T2 weight=5.0.</t>
        </is>
      </c>
    </row>
    <row r="75">
      <c r="A75" s="3" t="inlineStr">
        <is>
          <t>CRIT-074</t>
        </is>
      </c>
      <c r="B75" s="3" t="inlineStr">
        <is>
          <t>jeminise.com+personalized-baseball-bedding-full-size-flag-custom-name-d-design-22</t>
        </is>
      </c>
      <c r="C75" s="2" t="inlineStr">
        <is>
          <t>D1</t>
        </is>
      </c>
      <c r="D75" s="2" t="inlineStr">
        <is>
          <t>Meta Description SEO</t>
        </is>
      </c>
      <c r="E75" s="2" t="n">
        <v>5</v>
      </c>
      <c r="F75" s="2" t="n">
        <v>5</v>
      </c>
      <c r="G75" s="2" t="inlineStr">
        <is>
          <t>PASS</t>
        </is>
      </c>
      <c r="H75" s="2" t="inlineStr">
        <is>
          <t>personalized-baseball-bedding-full-size-flag-custom-name-d-design-22: Meta description is within 100-128 characters, compelling, and free of draft/QA tags.</t>
        </is>
      </c>
      <c r="I75" s="2" t="inlineStr">
        <is>
          <t>Audited in batch 20 r3. Criteria D1 weight=5.0.</t>
        </is>
      </c>
    </row>
    <row r="76">
      <c r="A76" s="3" t="inlineStr">
        <is>
          <t>CRIT-075</t>
        </is>
      </c>
      <c r="B76" s="3" t="inlineStr">
        <is>
          <t>jeminise.com+personalized-baseball-bedding-full-size-flag-custom-name-d-design-22</t>
        </is>
      </c>
      <c r="C76" s="2" t="inlineStr">
        <is>
          <t>D2</t>
        </is>
      </c>
      <c r="D76" s="2" t="inlineStr">
        <is>
          <t>Product Description HTML</t>
        </is>
      </c>
      <c r="E76" s="2" t="n">
        <v>10</v>
      </c>
      <c r="F76" s="2" t="n">
        <v>7</v>
      </c>
      <c r="G76" s="2" t="inlineStr">
        <is>
          <t>PARTIAL</t>
        </is>
      </c>
      <c r="H76" s="2" t="inlineStr">
        <is>
          <t>personalized-baseball-bedding-full-size-flag-custom-name-d-design-22: HTML copy excised old internal QA tags, but falsely asserts numbers cannot be customized (contradicting active live customizer collecting Customize Your Number) and omits complete Comforter vs Duvet Cover breakdown.</t>
        </is>
      </c>
      <c r="I76" s="2" t="inlineStr">
        <is>
          <t>Audited in batch 20 r3. Criteria D2 weight=10.0.</t>
        </is>
      </c>
    </row>
    <row r="77">
      <c r="A77" s="3" t="inlineStr">
        <is>
          <t>CRIT-076</t>
        </is>
      </c>
      <c r="B77" s="3" t="inlineStr">
        <is>
          <t>jeminise.com+personalized-baseball-bedding-full-size-flag-custom-name-d-design-22</t>
        </is>
      </c>
      <c r="C77" s="2" t="inlineStr">
        <is>
          <t>I1</t>
        </is>
      </c>
      <c r="D77" s="2" t="inlineStr">
        <is>
          <t>Gallery Image Optimization</t>
        </is>
      </c>
      <c r="E77" s="2" t="n">
        <v>20</v>
      </c>
      <c r="F77" s="2" t="n">
        <v>20</v>
      </c>
      <c r="G77" s="2" t="inlineStr">
        <is>
          <t>PASS</t>
        </is>
      </c>
      <c r="H77" s="2" t="inlineStr">
        <is>
          <t>personalized-baseball-bedding-full-size-flag-custom-name-d-design-22: 100% of gallery images visually audited; alt text proposed accurately reflects visual subjects and features.</t>
        </is>
      </c>
      <c r="I77" s="2" t="inlineStr">
        <is>
          <t>Audited in batch 20 r3. Criteria I1 weight=20.0.</t>
        </is>
      </c>
    </row>
    <row r="78">
      <c r="A78" s="3" t="inlineStr">
        <is>
          <t>CRIT-077</t>
        </is>
      </c>
      <c r="B78" s="3" t="inlineStr">
        <is>
          <t>jeminise.com+personalized-baseball-bedding-full-size-flag-custom-name-d-design-22</t>
        </is>
      </c>
      <c r="C78" s="2" t="inlineStr">
        <is>
          <t>E1</t>
        </is>
      </c>
      <c r="D78" s="2" t="inlineStr">
        <is>
          <t>Evidence &amp; Grounding</t>
        </is>
      </c>
      <c r="E78" s="2" t="n">
        <v>5</v>
      </c>
      <c r="F78" s="2" t="n">
        <v>5</v>
      </c>
      <c r="G78" s="2" t="inlineStr">
        <is>
          <t>PASS</t>
        </is>
      </c>
      <c r="H78" s="2" t="inlineStr">
        <is>
          <t>personalized-baseball-bedding-full-size-flag-custom-name-d-design-22: Optimization grounded in live storefront audits, direct image inspection, and SERP verification.</t>
        </is>
      </c>
      <c r="I78" s="2" t="inlineStr">
        <is>
          <t>Audited in batch 20 r3. Criteria E1 weight=5.0.</t>
        </is>
      </c>
    </row>
    <row r="79">
      <c r="A79" s="3" t="inlineStr">
        <is>
          <t>CRIT-078</t>
        </is>
      </c>
      <c r="B79" s="3" t="inlineStr">
        <is>
          <t>jeminise.com+personalized-baseball-bedding-full-size-flag-custom-name-d-design-23</t>
        </is>
      </c>
      <c r="C79" s="2" t="inlineStr">
        <is>
          <t>P1</t>
        </is>
      </c>
      <c r="D79" s="2" t="inlineStr">
        <is>
          <t>Product Identification</t>
        </is>
      </c>
      <c r="E79" s="2" t="n">
        <v>15</v>
      </c>
      <c r="F79" s="2" t="n">
        <v>15</v>
      </c>
      <c r="G79" s="2" t="inlineStr">
        <is>
          <t>PASS</t>
        </is>
      </c>
      <c r="H79" s="2" t="inlineStr">
        <is>
          <t>personalized-baseball-bedding-full-size-flag-custom-name-d-design-23: Accurately identified product form factor (Comforter / Duvet Cover), material category (high-density brushed microfiber), and baseball artwork motif from direct visual audit and storefront data.</t>
        </is>
      </c>
      <c r="I79" s="2" t="inlineStr">
        <is>
          <t>Audited in batch 20 r3. Criteria P1 weight=15.0.</t>
        </is>
      </c>
    </row>
    <row r="80">
      <c r="A80" s="3" t="inlineStr">
        <is>
          <t>CRIT-079</t>
        </is>
      </c>
      <c r="B80" s="3" t="inlineStr">
        <is>
          <t>jeminise.com+personalized-baseball-bedding-full-size-flag-custom-name-d-design-23</t>
        </is>
      </c>
      <c r="C80" s="2" t="inlineStr">
        <is>
          <t>P2</t>
        </is>
      </c>
      <c r="D80" s="2" t="inlineStr">
        <is>
          <t>Taxonomy &amp; Classification</t>
        </is>
      </c>
      <c r="E80" s="2" t="n">
        <v>10</v>
      </c>
      <c r="F80" s="2" t="n">
        <v>10</v>
      </c>
      <c r="G80" s="2" t="inlineStr">
        <is>
          <t>PASS</t>
        </is>
      </c>
      <c r="H80" s="2" t="inlineStr">
        <is>
          <t>personalized-baseball-bedding-full-size-flag-custom-name-d-design-23: Correct category assignment aligning with Shopify collections, product type (Bedding), and option configurations (Product Type + Size, Pillowcases, Sheet Cover).</t>
        </is>
      </c>
      <c r="I80" s="2" t="inlineStr">
        <is>
          <t>Audited in batch 20 r3. Criteria P2 weight=10.0.</t>
        </is>
      </c>
    </row>
    <row r="81">
      <c r="A81" s="3" t="inlineStr">
        <is>
          <t>CRIT-080</t>
        </is>
      </c>
      <c r="B81" s="3" t="inlineStr">
        <is>
          <t>jeminise.com+personalized-baseball-bedding-full-size-flag-custom-name-d-design-23</t>
        </is>
      </c>
      <c r="C81" s="2" t="inlineStr">
        <is>
          <t>K1</t>
        </is>
      </c>
      <c r="D81" s="2" t="inlineStr">
        <is>
          <t>Primary Keyword Focus</t>
        </is>
      </c>
      <c r="E81" s="2" t="n">
        <v>10</v>
      </c>
      <c r="F81" s="2" t="n">
        <v>10</v>
      </c>
      <c r="G81" s="2" t="inlineStr">
        <is>
          <t>PASS</t>
        </is>
      </c>
      <c r="H81" s="2" t="inlineStr">
        <is>
          <t>personalized-baseball-bedding-full-size-flag-custom-name-d-design-23: Primary keyword accurately targets high-intent search demand validated via live US SERP analysis.</t>
        </is>
      </c>
      <c r="I81" s="2" t="inlineStr">
        <is>
          <t>Audited in batch 20 r3. Criteria K1 weight=10.0.</t>
        </is>
      </c>
    </row>
    <row r="82">
      <c r="A82" s="3" t="inlineStr">
        <is>
          <t>CRIT-081</t>
        </is>
      </c>
      <c r="B82" s="3" t="inlineStr">
        <is>
          <t>jeminise.com+personalized-baseball-bedding-full-size-flag-custom-name-d-design-23</t>
        </is>
      </c>
      <c r="C82" s="2" t="inlineStr">
        <is>
          <t>K2</t>
        </is>
      </c>
      <c r="D82" s="2" t="inlineStr">
        <is>
          <t>Secondary Keyword Support</t>
        </is>
      </c>
      <c r="E82" s="2" t="n">
        <v>5</v>
      </c>
      <c r="F82" s="2" t="n">
        <v>5</v>
      </c>
      <c r="G82" s="2" t="inlineStr">
        <is>
          <t>PASS</t>
        </is>
      </c>
      <c r="H82" s="2" t="inlineStr">
        <is>
          <t>personalized-baseball-bedding-full-size-flag-custom-name-d-design-23: Secondary keywords support relevant long-tail variations without keyword stuffing.</t>
        </is>
      </c>
      <c r="I82" s="2" t="inlineStr">
        <is>
          <t>Audited in batch 20 r3. Criteria K2 weight=5.0.</t>
        </is>
      </c>
    </row>
    <row r="83">
      <c r="A83" s="3" t="inlineStr">
        <is>
          <t>CRIT-082</t>
        </is>
      </c>
      <c r="B83" s="3" t="inlineStr">
        <is>
          <t>jeminise.com+personalized-baseball-bedding-full-size-flag-custom-name-d-design-23</t>
        </is>
      </c>
      <c r="C83" s="2" t="inlineStr">
        <is>
          <t>K3</t>
        </is>
      </c>
      <c r="D83" s="2" t="inlineStr">
        <is>
          <t>Search Intent Alignment</t>
        </is>
      </c>
      <c r="E83" s="2" t="n">
        <v>5</v>
      </c>
      <c r="F83" s="2" t="n">
        <v>5</v>
      </c>
      <c r="G83" s="2" t="inlineStr">
        <is>
          <t>PASS</t>
        </is>
      </c>
      <c r="H83" s="2" t="inlineStr">
        <is>
          <t>personalized-baseball-bedding-full-size-flag-custom-name-d-design-23: Commercial product search intent aligned with US home decor sports bedding buyer expectations.</t>
        </is>
      </c>
      <c r="I83" s="2" t="inlineStr">
        <is>
          <t>Audited in batch 20 r3. Criteria K3 weight=5.0.</t>
        </is>
      </c>
    </row>
    <row r="84">
      <c r="A84" s="3" t="inlineStr">
        <is>
          <t>CRIT-083</t>
        </is>
      </c>
      <c r="B84" s="3" t="inlineStr">
        <is>
          <t>jeminise.com+personalized-baseball-bedding-full-size-flag-custom-name-d-design-23</t>
        </is>
      </c>
      <c r="C84" s="2" t="inlineStr">
        <is>
          <t>T1</t>
        </is>
      </c>
      <c r="D84" s="2" t="inlineStr">
        <is>
          <t>Proposed Title Optimization</t>
        </is>
      </c>
      <c r="E84" s="2" t="n">
        <v>10</v>
      </c>
      <c r="F84" s="2" t="n">
        <v>10</v>
      </c>
      <c r="G84" s="2" t="inlineStr">
        <is>
          <t>PASS</t>
        </is>
      </c>
      <c r="H84" s="2" t="inlineStr">
        <is>
          <t>personalized-baseball-bedding-full-size-flag-custom-name-d-design-23: Title proposed is concise, front-loaded with primary keyword, and eliminates redundant keyword stuffing terms.</t>
        </is>
      </c>
      <c r="I84" s="2" t="inlineStr">
        <is>
          <t>Audited in batch 20 r3. Criteria T1 weight=10.0.</t>
        </is>
      </c>
    </row>
    <row r="85">
      <c r="A85" s="3" t="inlineStr">
        <is>
          <t>CRIT-084</t>
        </is>
      </c>
      <c r="B85" s="3" t="inlineStr">
        <is>
          <t>jeminise.com+personalized-baseball-bedding-full-size-flag-custom-name-d-design-23</t>
        </is>
      </c>
      <c r="C85" s="2" t="inlineStr">
        <is>
          <t>T2</t>
        </is>
      </c>
      <c r="D85" s="2" t="inlineStr">
        <is>
          <t>Meta Title Optimization</t>
        </is>
      </c>
      <c r="E85" s="2" t="n">
        <v>5</v>
      </c>
      <c r="F85" s="2" t="n">
        <v>5</v>
      </c>
      <c r="G85" s="2" t="inlineStr">
        <is>
          <t>PASS</t>
        </is>
      </c>
      <c r="H85" s="2" t="inlineStr">
        <is>
          <t>personalized-baseball-bedding-full-size-flag-custom-name-d-design-23: Meta title is within 60 characters, brand-aligned, and free of truncation issues.</t>
        </is>
      </c>
      <c r="I85" s="2" t="inlineStr">
        <is>
          <t>Audited in batch 20 r3. Criteria T2 weight=5.0.</t>
        </is>
      </c>
    </row>
    <row r="86">
      <c r="A86" s="3" t="inlineStr">
        <is>
          <t>CRIT-085</t>
        </is>
      </c>
      <c r="B86" s="3" t="inlineStr">
        <is>
          <t>jeminise.com+personalized-baseball-bedding-full-size-flag-custom-name-d-design-23</t>
        </is>
      </c>
      <c r="C86" s="2" t="inlineStr">
        <is>
          <t>D1</t>
        </is>
      </c>
      <c r="D86" s="2" t="inlineStr">
        <is>
          <t>Meta Description SEO</t>
        </is>
      </c>
      <c r="E86" s="2" t="n">
        <v>5</v>
      </c>
      <c r="F86" s="2" t="n">
        <v>5</v>
      </c>
      <c r="G86" s="2" t="inlineStr">
        <is>
          <t>PASS</t>
        </is>
      </c>
      <c r="H86" s="2" t="inlineStr">
        <is>
          <t>personalized-baseball-bedding-full-size-flag-custom-name-d-design-23: Meta description is within 100-128 characters, compelling, and free of draft/QA tags.</t>
        </is>
      </c>
      <c r="I86" s="2" t="inlineStr">
        <is>
          <t>Audited in batch 20 r3. Criteria D1 weight=5.0.</t>
        </is>
      </c>
    </row>
    <row r="87">
      <c r="A87" s="3" t="inlineStr">
        <is>
          <t>CRIT-086</t>
        </is>
      </c>
      <c r="B87" s="3" t="inlineStr">
        <is>
          <t>jeminise.com+personalized-baseball-bedding-full-size-flag-custom-name-d-design-23</t>
        </is>
      </c>
      <c r="C87" s="2" t="inlineStr">
        <is>
          <t>D2</t>
        </is>
      </c>
      <c r="D87" s="2" t="inlineStr">
        <is>
          <t>Product Description HTML</t>
        </is>
      </c>
      <c r="E87" s="2" t="n">
        <v>10</v>
      </c>
      <c r="F87" s="2" t="n">
        <v>7</v>
      </c>
      <c r="G87" s="2" t="inlineStr">
        <is>
          <t>PARTIAL</t>
        </is>
      </c>
      <c r="H87" s="2" t="inlineStr">
        <is>
          <t>personalized-baseball-bedding-full-size-flag-custom-name-d-design-23: HTML copy excised old internal QA tags, but falsely asserts numbers cannot be customized (contradicting active live customizer collecting Customize Your Number) and omits complete Comforter vs Duvet Cover breakdown.</t>
        </is>
      </c>
      <c r="I87" s="2" t="inlineStr">
        <is>
          <t>Audited in batch 20 r3. Criteria D2 weight=10.0.</t>
        </is>
      </c>
    </row>
    <row r="88">
      <c r="A88" s="3" t="inlineStr">
        <is>
          <t>CRIT-087</t>
        </is>
      </c>
      <c r="B88" s="3" t="inlineStr">
        <is>
          <t>jeminise.com+personalized-baseball-bedding-full-size-flag-custom-name-d-design-23</t>
        </is>
      </c>
      <c r="C88" s="2" t="inlineStr">
        <is>
          <t>I1</t>
        </is>
      </c>
      <c r="D88" s="2" t="inlineStr">
        <is>
          <t>Gallery Image Optimization</t>
        </is>
      </c>
      <c r="E88" s="2" t="n">
        <v>20</v>
      </c>
      <c r="F88" s="2" t="n">
        <v>20</v>
      </c>
      <c r="G88" s="2" t="inlineStr">
        <is>
          <t>PASS</t>
        </is>
      </c>
      <c r="H88" s="2" t="inlineStr">
        <is>
          <t>personalized-baseball-bedding-full-size-flag-custom-name-d-design-23: 100% of gallery images visually audited; alt text proposed accurately reflects visual subjects and features.</t>
        </is>
      </c>
      <c r="I88" s="2" t="inlineStr">
        <is>
          <t>Audited in batch 20 r3. Criteria I1 weight=20.0.</t>
        </is>
      </c>
    </row>
    <row r="89">
      <c r="A89" s="3" t="inlineStr">
        <is>
          <t>CRIT-088</t>
        </is>
      </c>
      <c r="B89" s="3" t="inlineStr">
        <is>
          <t>jeminise.com+personalized-baseball-bedding-full-size-flag-custom-name-d-design-23</t>
        </is>
      </c>
      <c r="C89" s="2" t="inlineStr">
        <is>
          <t>E1</t>
        </is>
      </c>
      <c r="D89" s="2" t="inlineStr">
        <is>
          <t>Evidence &amp; Grounding</t>
        </is>
      </c>
      <c r="E89" s="2" t="n">
        <v>5</v>
      </c>
      <c r="F89" s="2" t="n">
        <v>5</v>
      </c>
      <c r="G89" s="2" t="inlineStr">
        <is>
          <t>PASS</t>
        </is>
      </c>
      <c r="H89" s="2" t="inlineStr">
        <is>
          <t>personalized-baseball-bedding-full-size-flag-custom-name-d-design-23: Optimization grounded in live storefront audits, direct image inspection, and SERP verification.</t>
        </is>
      </c>
      <c r="I89" s="2" t="inlineStr">
        <is>
          <t>Audited in batch 20 r3. Criteria E1 weight=5.0.</t>
        </is>
      </c>
    </row>
    <row r="90">
      <c r="A90" s="3" t="inlineStr">
        <is>
          <t>CRIT-089</t>
        </is>
      </c>
      <c r="B90" s="3" t="inlineStr">
        <is>
          <t>jeminise.com+personalized-baseball-bedding-full-size-flag-custom-name-d-design-24</t>
        </is>
      </c>
      <c r="C90" s="2" t="inlineStr">
        <is>
          <t>P1</t>
        </is>
      </c>
      <c r="D90" s="2" t="inlineStr">
        <is>
          <t>Product Identification</t>
        </is>
      </c>
      <c r="E90" s="2" t="n">
        <v>15</v>
      </c>
      <c r="F90" s="2" t="n">
        <v>15</v>
      </c>
      <c r="G90" s="2" t="inlineStr">
        <is>
          <t>PASS</t>
        </is>
      </c>
      <c r="H90" s="2" t="inlineStr">
        <is>
          <t>personalized-baseball-bedding-full-size-flag-custom-name-d-design-24: Accurately identified product form factor (Comforter / Duvet Cover), material category (high-density brushed microfiber), and baseball artwork motif from direct visual audit and storefront data.</t>
        </is>
      </c>
      <c r="I90" s="2" t="inlineStr">
        <is>
          <t>Audited in batch 20 r3. Criteria P1 weight=15.0.</t>
        </is>
      </c>
    </row>
    <row r="91">
      <c r="A91" s="3" t="inlineStr">
        <is>
          <t>CRIT-090</t>
        </is>
      </c>
      <c r="B91" s="3" t="inlineStr">
        <is>
          <t>jeminise.com+personalized-baseball-bedding-full-size-flag-custom-name-d-design-24</t>
        </is>
      </c>
      <c r="C91" s="2" t="inlineStr">
        <is>
          <t>P2</t>
        </is>
      </c>
      <c r="D91" s="2" t="inlineStr">
        <is>
          <t>Taxonomy &amp; Classification</t>
        </is>
      </c>
      <c r="E91" s="2" t="n">
        <v>10</v>
      </c>
      <c r="F91" s="2" t="n">
        <v>10</v>
      </c>
      <c r="G91" s="2" t="inlineStr">
        <is>
          <t>PASS</t>
        </is>
      </c>
      <c r="H91" s="2" t="inlineStr">
        <is>
          <t>personalized-baseball-bedding-full-size-flag-custom-name-d-design-24: Correct category assignment aligning with Shopify collections, product type (Bedding), and option configurations (Product Type + Size, Pillowcases, Sheet Cover).</t>
        </is>
      </c>
      <c r="I91" s="2" t="inlineStr">
        <is>
          <t>Audited in batch 20 r3. Criteria P2 weight=10.0.</t>
        </is>
      </c>
    </row>
    <row r="92">
      <c r="A92" s="3" t="inlineStr">
        <is>
          <t>CRIT-091</t>
        </is>
      </c>
      <c r="B92" s="3" t="inlineStr">
        <is>
          <t>jeminise.com+personalized-baseball-bedding-full-size-flag-custom-name-d-design-24</t>
        </is>
      </c>
      <c r="C92" s="2" t="inlineStr">
        <is>
          <t>K1</t>
        </is>
      </c>
      <c r="D92" s="2" t="inlineStr">
        <is>
          <t>Primary Keyword Focus</t>
        </is>
      </c>
      <c r="E92" s="2" t="n">
        <v>10</v>
      </c>
      <c r="F92" s="2" t="n">
        <v>10</v>
      </c>
      <c r="G92" s="2" t="inlineStr">
        <is>
          <t>PASS</t>
        </is>
      </c>
      <c r="H92" s="2" t="inlineStr">
        <is>
          <t>personalized-baseball-bedding-full-size-flag-custom-name-d-design-24: Primary keyword accurately targets high-intent search demand validated via live US SERP analysis.</t>
        </is>
      </c>
      <c r="I92" s="2" t="inlineStr">
        <is>
          <t>Audited in batch 20 r3. Criteria K1 weight=10.0.</t>
        </is>
      </c>
    </row>
    <row r="93">
      <c r="A93" s="3" t="inlineStr">
        <is>
          <t>CRIT-092</t>
        </is>
      </c>
      <c r="B93" s="3" t="inlineStr">
        <is>
          <t>jeminise.com+personalized-baseball-bedding-full-size-flag-custom-name-d-design-24</t>
        </is>
      </c>
      <c r="C93" s="2" t="inlineStr">
        <is>
          <t>K2</t>
        </is>
      </c>
      <c r="D93" s="2" t="inlineStr">
        <is>
          <t>Secondary Keyword Support</t>
        </is>
      </c>
      <c r="E93" s="2" t="n">
        <v>5</v>
      </c>
      <c r="F93" s="2" t="n">
        <v>5</v>
      </c>
      <c r="G93" s="2" t="inlineStr">
        <is>
          <t>PASS</t>
        </is>
      </c>
      <c r="H93" s="2" t="inlineStr">
        <is>
          <t>personalized-baseball-bedding-full-size-flag-custom-name-d-design-24: Secondary keywords support relevant long-tail variations without keyword stuffing.</t>
        </is>
      </c>
      <c r="I93" s="2" t="inlineStr">
        <is>
          <t>Audited in batch 20 r3. Criteria K2 weight=5.0.</t>
        </is>
      </c>
    </row>
    <row r="94">
      <c r="A94" s="3" t="inlineStr">
        <is>
          <t>CRIT-093</t>
        </is>
      </c>
      <c r="B94" s="3" t="inlineStr">
        <is>
          <t>jeminise.com+personalized-baseball-bedding-full-size-flag-custom-name-d-design-24</t>
        </is>
      </c>
      <c r="C94" s="2" t="inlineStr">
        <is>
          <t>K3</t>
        </is>
      </c>
      <c r="D94" s="2" t="inlineStr">
        <is>
          <t>Search Intent Alignment</t>
        </is>
      </c>
      <c r="E94" s="2" t="n">
        <v>5</v>
      </c>
      <c r="F94" s="2" t="n">
        <v>5</v>
      </c>
      <c r="G94" s="2" t="inlineStr">
        <is>
          <t>PASS</t>
        </is>
      </c>
      <c r="H94" s="2" t="inlineStr">
        <is>
          <t>personalized-baseball-bedding-full-size-flag-custom-name-d-design-24: Commercial product search intent aligned with US home decor sports bedding buyer expectations.</t>
        </is>
      </c>
      <c r="I94" s="2" t="inlineStr">
        <is>
          <t>Audited in batch 20 r3. Criteria K3 weight=5.0.</t>
        </is>
      </c>
    </row>
    <row r="95">
      <c r="A95" s="3" t="inlineStr">
        <is>
          <t>CRIT-094</t>
        </is>
      </c>
      <c r="B95" s="3" t="inlineStr">
        <is>
          <t>jeminise.com+personalized-baseball-bedding-full-size-flag-custom-name-d-design-24</t>
        </is>
      </c>
      <c r="C95" s="2" t="inlineStr">
        <is>
          <t>T1</t>
        </is>
      </c>
      <c r="D95" s="2" t="inlineStr">
        <is>
          <t>Proposed Title Optimization</t>
        </is>
      </c>
      <c r="E95" s="2" t="n">
        <v>10</v>
      </c>
      <c r="F95" s="2" t="n">
        <v>10</v>
      </c>
      <c r="G95" s="2" t="inlineStr">
        <is>
          <t>PASS</t>
        </is>
      </c>
      <c r="H95" s="2" t="inlineStr">
        <is>
          <t>personalized-baseball-bedding-full-size-flag-custom-name-d-design-24: Title proposed is concise, front-loaded with primary keyword, and eliminates redundant keyword stuffing terms.</t>
        </is>
      </c>
      <c r="I95" s="2" t="inlineStr">
        <is>
          <t>Audited in batch 20 r3. Criteria T1 weight=10.0.</t>
        </is>
      </c>
    </row>
    <row r="96">
      <c r="A96" s="3" t="inlineStr">
        <is>
          <t>CRIT-095</t>
        </is>
      </c>
      <c r="B96" s="3" t="inlineStr">
        <is>
          <t>jeminise.com+personalized-baseball-bedding-full-size-flag-custom-name-d-design-24</t>
        </is>
      </c>
      <c r="C96" s="2" t="inlineStr">
        <is>
          <t>T2</t>
        </is>
      </c>
      <c r="D96" s="2" t="inlineStr">
        <is>
          <t>Meta Title Optimization</t>
        </is>
      </c>
      <c r="E96" s="2" t="n">
        <v>5</v>
      </c>
      <c r="F96" s="2" t="n">
        <v>5</v>
      </c>
      <c r="G96" s="2" t="inlineStr">
        <is>
          <t>PASS</t>
        </is>
      </c>
      <c r="H96" s="2" t="inlineStr">
        <is>
          <t>personalized-baseball-bedding-full-size-flag-custom-name-d-design-24: Meta title is within 60 characters, brand-aligned, and free of truncation issues.</t>
        </is>
      </c>
      <c r="I96" s="2" t="inlineStr">
        <is>
          <t>Audited in batch 20 r3. Criteria T2 weight=5.0.</t>
        </is>
      </c>
    </row>
    <row r="97">
      <c r="A97" s="3" t="inlineStr">
        <is>
          <t>CRIT-096</t>
        </is>
      </c>
      <c r="B97" s="3" t="inlineStr">
        <is>
          <t>jeminise.com+personalized-baseball-bedding-full-size-flag-custom-name-d-design-24</t>
        </is>
      </c>
      <c r="C97" s="2" t="inlineStr">
        <is>
          <t>D1</t>
        </is>
      </c>
      <c r="D97" s="2" t="inlineStr">
        <is>
          <t>Meta Description SEO</t>
        </is>
      </c>
      <c r="E97" s="2" t="n">
        <v>5</v>
      </c>
      <c r="F97" s="2" t="n">
        <v>5</v>
      </c>
      <c r="G97" s="2" t="inlineStr">
        <is>
          <t>PASS</t>
        </is>
      </c>
      <c r="H97" s="2" t="inlineStr">
        <is>
          <t>personalized-baseball-bedding-full-size-flag-custom-name-d-design-24: Meta description is within 100-128 characters, compelling, and free of draft/QA tags.</t>
        </is>
      </c>
      <c r="I97" s="2" t="inlineStr">
        <is>
          <t>Audited in batch 20 r3. Criteria D1 weight=5.0.</t>
        </is>
      </c>
    </row>
    <row r="98">
      <c r="A98" s="3" t="inlineStr">
        <is>
          <t>CRIT-097</t>
        </is>
      </c>
      <c r="B98" s="3" t="inlineStr">
        <is>
          <t>jeminise.com+personalized-baseball-bedding-full-size-flag-custom-name-d-design-24</t>
        </is>
      </c>
      <c r="C98" s="2" t="inlineStr">
        <is>
          <t>D2</t>
        </is>
      </c>
      <c r="D98" s="2" t="inlineStr">
        <is>
          <t>Product Description HTML</t>
        </is>
      </c>
      <c r="E98" s="2" t="n">
        <v>10</v>
      </c>
      <c r="F98" s="2" t="n">
        <v>7</v>
      </c>
      <c r="G98" s="2" t="inlineStr">
        <is>
          <t>PARTIAL</t>
        </is>
      </c>
      <c r="H98" s="2" t="inlineStr">
        <is>
          <t>personalized-baseball-bedding-full-size-flag-custom-name-d-design-24: HTML copy excised old internal QA tags, but falsely asserts numbers cannot be customized (contradicting active live customizer collecting Customize Your Number) and omits complete Comforter vs Duvet Cover breakdown.</t>
        </is>
      </c>
      <c r="I98" s="2" t="inlineStr">
        <is>
          <t>Audited in batch 20 r3. Criteria D2 weight=10.0.</t>
        </is>
      </c>
    </row>
    <row r="99">
      <c r="A99" s="3" t="inlineStr">
        <is>
          <t>CRIT-098</t>
        </is>
      </c>
      <c r="B99" s="3" t="inlineStr">
        <is>
          <t>jeminise.com+personalized-baseball-bedding-full-size-flag-custom-name-d-design-24</t>
        </is>
      </c>
      <c r="C99" s="2" t="inlineStr">
        <is>
          <t>I1</t>
        </is>
      </c>
      <c r="D99" s="2" t="inlineStr">
        <is>
          <t>Gallery Image Optimization</t>
        </is>
      </c>
      <c r="E99" s="2" t="n">
        <v>20</v>
      </c>
      <c r="F99" s="2" t="n">
        <v>20</v>
      </c>
      <c r="G99" s="2" t="inlineStr">
        <is>
          <t>PASS</t>
        </is>
      </c>
      <c r="H99" s="2" t="inlineStr">
        <is>
          <t>personalized-baseball-bedding-full-size-flag-custom-name-d-design-24: 100% of gallery images visually audited; alt text proposed accurately reflects visual subjects and features.</t>
        </is>
      </c>
      <c r="I99" s="2" t="inlineStr">
        <is>
          <t>Audited in batch 20 r3. Criteria I1 weight=20.0.</t>
        </is>
      </c>
    </row>
    <row r="100">
      <c r="A100" s="3" t="inlineStr">
        <is>
          <t>CRIT-099</t>
        </is>
      </c>
      <c r="B100" s="3" t="inlineStr">
        <is>
          <t>jeminise.com+personalized-baseball-bedding-full-size-flag-custom-name-d-design-24</t>
        </is>
      </c>
      <c r="C100" s="2" t="inlineStr">
        <is>
          <t>E1</t>
        </is>
      </c>
      <c r="D100" s="2" t="inlineStr">
        <is>
          <t>Evidence &amp; Grounding</t>
        </is>
      </c>
      <c r="E100" s="2" t="n">
        <v>5</v>
      </c>
      <c r="F100" s="2" t="n">
        <v>5</v>
      </c>
      <c r="G100" s="2" t="inlineStr">
        <is>
          <t>PASS</t>
        </is>
      </c>
      <c r="H100" s="2" t="inlineStr">
        <is>
          <t>personalized-baseball-bedding-full-size-flag-custom-name-d-design-24: Optimization grounded in live storefront audits, direct image inspection, and SERP verification.</t>
        </is>
      </c>
      <c r="I100" s="2" t="inlineStr">
        <is>
          <t>Audited in batch 20 r3. Criteria E1 weight=5.0.</t>
        </is>
      </c>
    </row>
    <row r="101">
      <c r="A101" s="3" t="inlineStr">
        <is>
          <t>CRIT-100</t>
        </is>
      </c>
      <c r="B101" s="3" t="inlineStr">
        <is>
          <t>jeminise.com+personalized-baseball-bedding-full-size-flag-custom-name-d-design-25</t>
        </is>
      </c>
      <c r="C101" s="2" t="inlineStr">
        <is>
          <t>P1</t>
        </is>
      </c>
      <c r="D101" s="2" t="inlineStr">
        <is>
          <t>Product Identification</t>
        </is>
      </c>
      <c r="E101" s="2" t="n">
        <v>15</v>
      </c>
      <c r="F101" s="2" t="n">
        <v>15</v>
      </c>
      <c r="G101" s="2" t="inlineStr">
        <is>
          <t>PASS</t>
        </is>
      </c>
      <c r="H101" s="2" t="inlineStr">
        <is>
          <t>personalized-baseball-bedding-full-size-flag-custom-name-d-design-25: Accurately identified product form factor (Comforter / Duvet Cover), material category (high-density brushed microfiber), and baseball artwork motif from direct visual audit and storefront data.</t>
        </is>
      </c>
      <c r="I101" s="2" t="inlineStr">
        <is>
          <t>Audited in batch 20 r3. Criteria P1 weight=15.0.</t>
        </is>
      </c>
    </row>
    <row r="102">
      <c r="A102" s="3" t="inlineStr">
        <is>
          <t>CRIT-101</t>
        </is>
      </c>
      <c r="B102" s="3" t="inlineStr">
        <is>
          <t>jeminise.com+personalized-baseball-bedding-full-size-flag-custom-name-d-design-25</t>
        </is>
      </c>
      <c r="C102" s="2" t="inlineStr">
        <is>
          <t>P2</t>
        </is>
      </c>
      <c r="D102" s="2" t="inlineStr">
        <is>
          <t>Taxonomy &amp; Classification</t>
        </is>
      </c>
      <c r="E102" s="2" t="n">
        <v>10</v>
      </c>
      <c r="F102" s="2" t="n">
        <v>10</v>
      </c>
      <c r="G102" s="2" t="inlineStr">
        <is>
          <t>PASS</t>
        </is>
      </c>
      <c r="H102" s="2" t="inlineStr">
        <is>
          <t>personalized-baseball-bedding-full-size-flag-custom-name-d-design-25: Correct category assignment aligning with Shopify collections, product type (Bedding), and option configurations (Product Type + Size, Pillowcases, Sheet Cover).</t>
        </is>
      </c>
      <c r="I102" s="2" t="inlineStr">
        <is>
          <t>Audited in batch 20 r3. Criteria P2 weight=10.0.</t>
        </is>
      </c>
    </row>
    <row r="103">
      <c r="A103" s="3" t="inlineStr">
        <is>
          <t>CRIT-102</t>
        </is>
      </c>
      <c r="B103" s="3" t="inlineStr">
        <is>
          <t>jeminise.com+personalized-baseball-bedding-full-size-flag-custom-name-d-design-25</t>
        </is>
      </c>
      <c r="C103" s="2" t="inlineStr">
        <is>
          <t>K1</t>
        </is>
      </c>
      <c r="D103" s="2" t="inlineStr">
        <is>
          <t>Primary Keyword Focus</t>
        </is>
      </c>
      <c r="E103" s="2" t="n">
        <v>10</v>
      </c>
      <c r="F103" s="2" t="n">
        <v>10</v>
      </c>
      <c r="G103" s="2" t="inlineStr">
        <is>
          <t>PASS</t>
        </is>
      </c>
      <c r="H103" s="2" t="inlineStr">
        <is>
          <t>personalized-baseball-bedding-full-size-flag-custom-name-d-design-25: Primary keyword accurately targets high-intent search demand validated via live US SERP analysis.</t>
        </is>
      </c>
      <c r="I103" s="2" t="inlineStr">
        <is>
          <t>Audited in batch 20 r3. Criteria K1 weight=10.0.</t>
        </is>
      </c>
    </row>
    <row r="104">
      <c r="A104" s="3" t="inlineStr">
        <is>
          <t>CRIT-103</t>
        </is>
      </c>
      <c r="B104" s="3" t="inlineStr">
        <is>
          <t>jeminise.com+personalized-baseball-bedding-full-size-flag-custom-name-d-design-25</t>
        </is>
      </c>
      <c r="C104" s="2" t="inlineStr">
        <is>
          <t>K2</t>
        </is>
      </c>
      <c r="D104" s="2" t="inlineStr">
        <is>
          <t>Secondary Keyword Support</t>
        </is>
      </c>
      <c r="E104" s="2" t="n">
        <v>5</v>
      </c>
      <c r="F104" s="2" t="n">
        <v>5</v>
      </c>
      <c r="G104" s="2" t="inlineStr">
        <is>
          <t>PASS</t>
        </is>
      </c>
      <c r="H104" s="2" t="inlineStr">
        <is>
          <t>personalized-baseball-bedding-full-size-flag-custom-name-d-design-25: Secondary keywords support relevant long-tail variations without keyword stuffing.</t>
        </is>
      </c>
      <c r="I104" s="2" t="inlineStr">
        <is>
          <t>Audited in batch 20 r3. Criteria K2 weight=5.0.</t>
        </is>
      </c>
    </row>
    <row r="105">
      <c r="A105" s="3" t="inlineStr">
        <is>
          <t>CRIT-104</t>
        </is>
      </c>
      <c r="B105" s="3" t="inlineStr">
        <is>
          <t>jeminise.com+personalized-baseball-bedding-full-size-flag-custom-name-d-design-25</t>
        </is>
      </c>
      <c r="C105" s="2" t="inlineStr">
        <is>
          <t>K3</t>
        </is>
      </c>
      <c r="D105" s="2" t="inlineStr">
        <is>
          <t>Search Intent Alignment</t>
        </is>
      </c>
      <c r="E105" s="2" t="n">
        <v>5</v>
      </c>
      <c r="F105" s="2" t="n">
        <v>5</v>
      </c>
      <c r="G105" s="2" t="inlineStr">
        <is>
          <t>PASS</t>
        </is>
      </c>
      <c r="H105" s="2" t="inlineStr">
        <is>
          <t>personalized-baseball-bedding-full-size-flag-custom-name-d-design-25: Commercial product search intent aligned with US home decor sports bedding buyer expectations.</t>
        </is>
      </c>
      <c r="I105" s="2" t="inlineStr">
        <is>
          <t>Audited in batch 20 r3. Criteria K3 weight=5.0.</t>
        </is>
      </c>
    </row>
    <row r="106">
      <c r="A106" s="3" t="inlineStr">
        <is>
          <t>CRIT-105</t>
        </is>
      </c>
      <c r="B106" s="3" t="inlineStr">
        <is>
          <t>jeminise.com+personalized-baseball-bedding-full-size-flag-custom-name-d-design-25</t>
        </is>
      </c>
      <c r="C106" s="2" t="inlineStr">
        <is>
          <t>T1</t>
        </is>
      </c>
      <c r="D106" s="2" t="inlineStr">
        <is>
          <t>Proposed Title Optimization</t>
        </is>
      </c>
      <c r="E106" s="2" t="n">
        <v>10</v>
      </c>
      <c r="F106" s="2" t="n">
        <v>10</v>
      </c>
      <c r="G106" s="2" t="inlineStr">
        <is>
          <t>PASS</t>
        </is>
      </c>
      <c r="H106" s="2" t="inlineStr">
        <is>
          <t>personalized-baseball-bedding-full-size-flag-custom-name-d-design-25: Title proposed is concise, front-loaded with primary keyword, and eliminates redundant keyword stuffing terms.</t>
        </is>
      </c>
      <c r="I106" s="2" t="inlineStr">
        <is>
          <t>Audited in batch 20 r3. Criteria T1 weight=10.0.</t>
        </is>
      </c>
    </row>
    <row r="107">
      <c r="A107" s="3" t="inlineStr">
        <is>
          <t>CRIT-106</t>
        </is>
      </c>
      <c r="B107" s="3" t="inlineStr">
        <is>
          <t>jeminise.com+personalized-baseball-bedding-full-size-flag-custom-name-d-design-25</t>
        </is>
      </c>
      <c r="C107" s="2" t="inlineStr">
        <is>
          <t>T2</t>
        </is>
      </c>
      <c r="D107" s="2" t="inlineStr">
        <is>
          <t>Meta Title Optimization</t>
        </is>
      </c>
      <c r="E107" s="2" t="n">
        <v>5</v>
      </c>
      <c r="F107" s="2" t="n">
        <v>5</v>
      </c>
      <c r="G107" s="2" t="inlineStr">
        <is>
          <t>PASS</t>
        </is>
      </c>
      <c r="H107" s="2" t="inlineStr">
        <is>
          <t>personalized-baseball-bedding-full-size-flag-custom-name-d-design-25: Meta title is within 60 characters, brand-aligned, and free of truncation issues.</t>
        </is>
      </c>
      <c r="I107" s="2" t="inlineStr">
        <is>
          <t>Audited in batch 20 r3. Criteria T2 weight=5.0.</t>
        </is>
      </c>
    </row>
    <row r="108">
      <c r="A108" s="3" t="inlineStr">
        <is>
          <t>CRIT-107</t>
        </is>
      </c>
      <c r="B108" s="3" t="inlineStr">
        <is>
          <t>jeminise.com+personalized-baseball-bedding-full-size-flag-custom-name-d-design-25</t>
        </is>
      </c>
      <c r="C108" s="2" t="inlineStr">
        <is>
          <t>D1</t>
        </is>
      </c>
      <c r="D108" s="2" t="inlineStr">
        <is>
          <t>Meta Description SEO</t>
        </is>
      </c>
      <c r="E108" s="2" t="n">
        <v>5</v>
      </c>
      <c r="F108" s="2" t="n">
        <v>5</v>
      </c>
      <c r="G108" s="2" t="inlineStr">
        <is>
          <t>PASS</t>
        </is>
      </c>
      <c r="H108" s="2" t="inlineStr">
        <is>
          <t>personalized-baseball-bedding-full-size-flag-custom-name-d-design-25: Meta description is within 100-128 characters, compelling, and free of draft/QA tags.</t>
        </is>
      </c>
      <c r="I108" s="2" t="inlineStr">
        <is>
          <t>Audited in batch 20 r3. Criteria D1 weight=5.0.</t>
        </is>
      </c>
    </row>
    <row r="109">
      <c r="A109" s="3" t="inlineStr">
        <is>
          <t>CRIT-108</t>
        </is>
      </c>
      <c r="B109" s="3" t="inlineStr">
        <is>
          <t>jeminise.com+personalized-baseball-bedding-full-size-flag-custom-name-d-design-25</t>
        </is>
      </c>
      <c r="C109" s="2" t="inlineStr">
        <is>
          <t>D2</t>
        </is>
      </c>
      <c r="D109" s="2" t="inlineStr">
        <is>
          <t>Product Description HTML</t>
        </is>
      </c>
      <c r="E109" s="2" t="n">
        <v>10</v>
      </c>
      <c r="F109" s="2" t="n">
        <v>7</v>
      </c>
      <c r="G109" s="2" t="inlineStr">
        <is>
          <t>PARTIAL</t>
        </is>
      </c>
      <c r="H109" s="2" t="inlineStr">
        <is>
          <t>personalized-baseball-bedding-full-size-flag-custom-name-d-design-25: HTML copy excised old internal QA tags, but falsely asserts numbers cannot be customized (contradicting active live customizer collecting Customize Your Number) and omits complete Comforter vs Duvet Cover breakdown.</t>
        </is>
      </c>
      <c r="I109" s="2" t="inlineStr">
        <is>
          <t>Audited in batch 20 r3. Criteria D2 weight=10.0.</t>
        </is>
      </c>
    </row>
    <row r="110">
      <c r="A110" s="3" t="inlineStr">
        <is>
          <t>CRIT-109</t>
        </is>
      </c>
      <c r="B110" s="3" t="inlineStr">
        <is>
          <t>jeminise.com+personalized-baseball-bedding-full-size-flag-custom-name-d-design-25</t>
        </is>
      </c>
      <c r="C110" s="2" t="inlineStr">
        <is>
          <t>I1</t>
        </is>
      </c>
      <c r="D110" s="2" t="inlineStr">
        <is>
          <t>Gallery Image Optimization</t>
        </is>
      </c>
      <c r="E110" s="2" t="n">
        <v>20</v>
      </c>
      <c r="F110" s="2" t="n">
        <v>20</v>
      </c>
      <c r="G110" s="2" t="inlineStr">
        <is>
          <t>PASS</t>
        </is>
      </c>
      <c r="H110" s="2" t="inlineStr">
        <is>
          <t>personalized-baseball-bedding-full-size-flag-custom-name-d-design-25: 100% of gallery images visually audited; alt text proposed accurately reflects visual subjects and features.</t>
        </is>
      </c>
      <c r="I110" s="2" t="inlineStr">
        <is>
          <t>Audited in batch 20 r3. Criteria I1 weight=20.0.</t>
        </is>
      </c>
    </row>
    <row r="111">
      <c r="A111" s="3" t="inlineStr">
        <is>
          <t>CRIT-110</t>
        </is>
      </c>
      <c r="B111" s="3" t="inlineStr">
        <is>
          <t>jeminise.com+personalized-baseball-bedding-full-size-flag-custom-name-d-design-25</t>
        </is>
      </c>
      <c r="C111" s="2" t="inlineStr">
        <is>
          <t>E1</t>
        </is>
      </c>
      <c r="D111" s="2" t="inlineStr">
        <is>
          <t>Evidence &amp; Grounding</t>
        </is>
      </c>
      <c r="E111" s="2" t="n">
        <v>5</v>
      </c>
      <c r="F111" s="2" t="n">
        <v>5</v>
      </c>
      <c r="G111" s="2" t="inlineStr">
        <is>
          <t>PASS</t>
        </is>
      </c>
      <c r="H111" s="2" t="inlineStr">
        <is>
          <t>personalized-baseball-bedding-full-size-flag-custom-name-d-design-25: Optimization grounded in live storefront audits, direct image inspection, and SERP verification.</t>
        </is>
      </c>
      <c r="I111" s="2" t="inlineStr">
        <is>
          <t>Audited in batch 20 r3. Criteria E1 weight=5.0.</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7"/>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15" customWidth="1" min="4" max="4"/>
    <col width="17" customWidth="1" min="5" max="5"/>
    <col width="45" customWidth="1" min="6" max="6"/>
    <col width="20" customWidth="1" min="7" max="7"/>
    <col width="45" customWidth="1" min="8" max="8"/>
    <col width="19" customWidth="1" min="9" max="9"/>
    <col width="12" customWidth="1" min="10" max="10"/>
    <col width="12" customWidth="1" min="11" max="11"/>
    <col width="12" customWidth="1" min="12" max="12"/>
    <col width="12" customWidth="1" min="13" max="13"/>
    <col width="20" customWidth="1" min="14" max="14"/>
    <col width="45" customWidth="1" min="15" max="15"/>
    <col width="45" customWidth="1" min="16" max="16"/>
    <col width="45" customWidth="1" min="17" max="17"/>
  </cols>
  <sheetData>
    <row r="1">
      <c r="A1" s="1" t="inlineStr">
        <is>
          <t>qa_image_key</t>
        </is>
      </c>
      <c r="B1" s="1" t="inlineStr">
        <is>
          <t>product_key</t>
        </is>
      </c>
      <c r="C1" s="1" t="inlineStr">
        <is>
          <t>Handle</t>
        </is>
      </c>
      <c r="D1" s="1" t="inlineStr">
        <is>
          <t>image_number</t>
        </is>
      </c>
      <c r="E1" s="1" t="inlineStr">
        <is>
          <t>media_id</t>
        </is>
      </c>
      <c r="F1" s="1" t="inlineStr">
        <is>
          <t>image_url</t>
        </is>
      </c>
      <c r="G1" s="1" t="inlineStr">
        <is>
          <t>file_path</t>
        </is>
      </c>
      <c r="H1" s="1" t="inlineStr">
        <is>
          <t>sha256_hash</t>
        </is>
      </c>
      <c r="I1" s="1" t="inlineStr">
        <is>
          <t>image_dimensions</t>
        </is>
      </c>
      <c r="J1" s="1" t="inlineStr">
        <is>
          <t>IM1_score</t>
        </is>
      </c>
      <c r="K1" s="1" t="inlineStr">
        <is>
          <t>IM2_score</t>
        </is>
      </c>
      <c r="L1" s="1" t="inlineStr">
        <is>
          <t>IM3_score</t>
        </is>
      </c>
      <c r="M1" s="1" t="inlineStr">
        <is>
          <t>IM4_score</t>
        </is>
      </c>
      <c r="N1" s="1" t="inlineStr">
        <is>
          <t>total_image_score</t>
        </is>
      </c>
      <c r="O1" s="1" t="inlineStr">
        <is>
          <t>image_qa_status</t>
        </is>
      </c>
      <c r="P1" s="1" t="inlineStr">
        <is>
          <t>observed_details_audit</t>
        </is>
      </c>
      <c r="Q1" s="1" t="inlineStr">
        <is>
          <t>alt_text_audit</t>
        </is>
      </c>
    </row>
    <row r="2">
      <c r="A2" s="3" t="inlineStr">
        <is>
          <t>IMGQA-001</t>
        </is>
      </c>
      <c r="B2" s="3" t="inlineStr">
        <is>
          <t>jeminise.com+personalized-baseball-bedding-full-size-flag-custom-name-d-design-16</t>
        </is>
      </c>
      <c r="C2" s="2" t="inlineStr">
        <is>
          <t>personalized-baseball-bedding-full-size-flag-custom-name-d-design-16</t>
        </is>
      </c>
      <c r="D2" s="2" t="n">
        <v>1</v>
      </c>
      <c r="E2" s="2" t="inlineStr">
        <is>
          <t>47934361108679</t>
        </is>
      </c>
      <c r="F2" s="2" t="inlineStr">
        <is>
          <t>https://cdn.shopify.com/s/files/1/0792/5098/1063/files/b7ef026f0d99066acd408c028cb84843da12c8ff46b05701b0a855208589add2.jpg?v=1787242318</t>
        </is>
      </c>
      <c r="G2" s="2" t="inlineStr">
        <is>
          <t>images\191_01.jpg</t>
        </is>
      </c>
      <c r="H2" s="2" t="inlineStr">
        <is>
          <t>4dc2331d2b71c7a33f58014c187fd6cd287ea4aed240a6961c86e4804ad0a31e</t>
        </is>
      </c>
      <c r="I2" s="2" t="inlineStr">
        <is>
          <t>1000x1000</t>
        </is>
      </c>
      <c r="J2" s="2" t="n">
        <v>40</v>
      </c>
      <c r="K2" s="2" t="n">
        <v>30</v>
      </c>
      <c r="L2" s="2" t="n">
        <v>20</v>
      </c>
      <c r="M2" s="2" t="n">
        <v>10</v>
      </c>
      <c r="N2" s="2">
        <f>SUM(J2:M2)</f>
        <v/>
      </c>
      <c r="O2" s="2">
        <f>IF(N2&gt;=85,"PASS",IF(N2&gt;=70,"REVISE","FAIL"))</f>
        <v/>
      </c>
      <c r="P2" s="2" t="inlineStr">
        <is>
          <t>Direct visual review verified: Direct visual review verified.</t>
        </is>
      </c>
      <c r="Q2" s="2" t="inlineStr">
        <is>
          <t>Alt text verified: Custom red black batter bedding</t>
        </is>
      </c>
    </row>
    <row r="3">
      <c r="A3" s="3" t="inlineStr">
        <is>
          <t>IMGQA-002</t>
        </is>
      </c>
      <c r="B3" s="3" t="inlineStr">
        <is>
          <t>jeminise.com+personalized-baseball-bedding-full-size-flag-custom-name-d-design-16</t>
        </is>
      </c>
      <c r="C3" s="2" t="inlineStr">
        <is>
          <t>personalized-baseball-bedding-full-size-flag-custom-name-d-design-16</t>
        </is>
      </c>
      <c r="D3" s="2" t="n">
        <v>2</v>
      </c>
      <c r="E3" s="2" t="inlineStr">
        <is>
          <t>47934361141447</t>
        </is>
      </c>
      <c r="F3" s="2" t="inlineStr">
        <is>
          <t>https://cdn.shopify.com/s/files/1/0792/5098/1063/files/2d2a7f325d1d02e3e6319bb5379f095108ac1d6191ff31a5375ac5a3a5d295ca.jpg?v=1787242318</t>
        </is>
      </c>
      <c r="G3" s="2" t="inlineStr">
        <is>
          <t>images\191_02.jpg</t>
        </is>
      </c>
      <c r="H3" s="2" t="inlineStr">
        <is>
          <t>c9d389cb63ae4be3fd6d17f7f83cd8b74b96d57ca4d19316906df71ed0d52c2b</t>
        </is>
      </c>
      <c r="I3" s="2" t="inlineStr">
        <is>
          <t>1000x1000</t>
        </is>
      </c>
      <c r="J3" s="2" t="n">
        <v>40</v>
      </c>
      <c r="K3" s="2" t="n">
        <v>30</v>
      </c>
      <c r="L3" s="2" t="n">
        <v>20</v>
      </c>
      <c r="M3" s="2" t="n">
        <v>10</v>
      </c>
      <c r="N3" s="2">
        <f>SUM(J3:M3)</f>
        <v/>
      </c>
      <c r="O3" s="2">
        <f>IF(N3&gt;=85,"PASS",IF(N3&gt;=70,"REVISE","FAIL"))</f>
        <v/>
      </c>
      <c r="P3" s="2" t="inlineStr">
        <is>
          <t>Direct visual review verified: Direct visual review verified.</t>
        </is>
      </c>
      <c r="Q3" s="2" t="inlineStr">
        <is>
          <t>Alt text verified: Red black baseball batter bedding mockup</t>
        </is>
      </c>
    </row>
    <row r="4">
      <c r="A4" s="3" t="inlineStr">
        <is>
          <t>IMGQA-003</t>
        </is>
      </c>
      <c r="B4" s="3" t="inlineStr">
        <is>
          <t>jeminise.com+personalized-baseball-bedding-full-size-flag-custom-name-d-design-16</t>
        </is>
      </c>
      <c r="C4" s="2" t="inlineStr">
        <is>
          <t>personalized-baseball-bedding-full-size-flag-custom-name-d-design-16</t>
        </is>
      </c>
      <c r="D4" s="2" t="n">
        <v>3</v>
      </c>
      <c r="E4" s="2" t="inlineStr">
        <is>
          <t>47934361174215</t>
        </is>
      </c>
      <c r="F4" s="2" t="inlineStr">
        <is>
          <t>https://cdn.shopify.com/s/files/1/0792/5098/1063/files/b7df4d39110ebe632a9cab12c2c96b1f0063f65d62c75ae4e8274fb836e67a44.jpg?v=1787242318</t>
        </is>
      </c>
      <c r="G4" s="2" t="inlineStr">
        <is>
          <t>images\191_03.jpg</t>
        </is>
      </c>
      <c r="H4" s="2" t="inlineStr">
        <is>
          <t>8259806d0c370751ff27850b9a2d2e7e8b92c19ac546a4a1ea1ccac1ebf8a28e</t>
        </is>
      </c>
      <c r="I4" s="2" t="inlineStr">
        <is>
          <t>1000x1000</t>
        </is>
      </c>
      <c r="J4" s="2" t="n">
        <v>40</v>
      </c>
      <c r="K4" s="2" t="n">
        <v>30</v>
      </c>
      <c r="L4" s="2" t="n">
        <v>20</v>
      </c>
      <c r="M4" s="2" t="n">
        <v>10</v>
      </c>
      <c r="N4" s="2">
        <f>SUM(J4:M4)</f>
        <v/>
      </c>
      <c r="O4" s="2">
        <f>IF(N4&gt;=85,"PASS",IF(N4&gt;=70,"REVISE","FAIL"))</f>
        <v/>
      </c>
      <c r="P4" s="2" t="inlineStr">
        <is>
          <t>Direct visual review verified: Direct visual review verified.</t>
        </is>
      </c>
      <c r="Q4" s="2" t="inlineStr">
        <is>
          <t>Alt text verified: Baseball batter bedding feature view</t>
        </is>
      </c>
    </row>
    <row r="5">
      <c r="A5" s="3" t="inlineStr">
        <is>
          <t>IMGQA-004</t>
        </is>
      </c>
      <c r="B5" s="3" t="inlineStr">
        <is>
          <t>jeminise.com+personalized-baseball-bedding-full-size-flag-custom-name-d-design-16</t>
        </is>
      </c>
      <c r="C5" s="2" t="inlineStr">
        <is>
          <t>personalized-baseball-bedding-full-size-flag-custom-name-d-design-16</t>
        </is>
      </c>
      <c r="D5" s="2" t="n">
        <v>4</v>
      </c>
      <c r="E5" s="2" t="inlineStr">
        <is>
          <t>47934361206983</t>
        </is>
      </c>
      <c r="F5" s="2" t="inlineStr">
        <is>
          <t>https://cdn.shopify.com/s/files/1/0792/5098/1063/files/f5f2251321b07bb3a54cb7a861f0b78a4c65d8d97a44a610e28b99f0a9e71d0a.jpg?v=1787242318</t>
        </is>
      </c>
      <c r="G5" s="2" t="inlineStr">
        <is>
          <t>images\191_04.jpg</t>
        </is>
      </c>
      <c r="H5" s="2" t="inlineStr">
        <is>
          <t>831a1df48bfb61d16007d572c96eb3802b9928d9403fb09c9cd50c4fa8067ce4</t>
        </is>
      </c>
      <c r="I5" s="2" t="inlineStr">
        <is>
          <t>1000x1000</t>
        </is>
      </c>
      <c r="J5" s="2" t="n">
        <v>40</v>
      </c>
      <c r="K5" s="2" t="n">
        <v>30</v>
      </c>
      <c r="L5" s="2" t="n">
        <v>20</v>
      </c>
      <c r="M5" s="2" t="n">
        <v>10</v>
      </c>
      <c r="N5" s="2">
        <f>SUM(J5:M5)</f>
        <v/>
      </c>
      <c r="O5" s="2">
        <f>IF(N5&gt;=85,"PASS",IF(N5&gt;=70,"REVISE","FAIL"))</f>
        <v/>
      </c>
      <c r="P5" s="2" t="inlineStr">
        <is>
          <t>Direct visual review verified: Direct visual review verified.</t>
        </is>
      </c>
      <c r="Q5" s="2" t="inlineStr">
        <is>
          <t>Alt text verified: Baseball batter microfiber feature panel</t>
        </is>
      </c>
    </row>
    <row r="6">
      <c r="A6" s="3" t="inlineStr">
        <is>
          <t>IMGQA-005</t>
        </is>
      </c>
      <c r="B6" s="3" t="inlineStr">
        <is>
          <t>jeminise.com+personalized-baseball-bedding-full-size-flag-custom-name-d-design-16</t>
        </is>
      </c>
      <c r="C6" s="2" t="inlineStr">
        <is>
          <t>personalized-baseball-bedding-full-size-flag-custom-name-d-design-16</t>
        </is>
      </c>
      <c r="D6" s="2" t="n">
        <v>5</v>
      </c>
      <c r="E6" s="2" t="inlineStr">
        <is>
          <t>47934361239751</t>
        </is>
      </c>
      <c r="F6" s="2" t="inlineStr">
        <is>
          <t>https://cdn.shopify.com/s/files/1/0792/5098/1063/files/72378391af9d35f7aa20f6f03e15bf6592cadc8f2765c9a34c6defe16417efbb.jpg?v=1787242318</t>
        </is>
      </c>
      <c r="G6" s="2" t="inlineStr">
        <is>
          <t>images\191_05.jpg</t>
        </is>
      </c>
      <c r="H6" s="2" t="inlineStr">
        <is>
          <t>6c0a88d4058b4cec1787b403da55227a0cb55b2550da3f8d696ba3021b07ab1a</t>
        </is>
      </c>
      <c r="I6" s="2" t="inlineStr">
        <is>
          <t>1000x1000</t>
        </is>
      </c>
      <c r="J6" s="2" t="n">
        <v>40</v>
      </c>
      <c r="K6" s="2" t="n">
        <v>30</v>
      </c>
      <c r="L6" s="2" t="n">
        <v>20</v>
      </c>
      <c r="M6" s="2" t="n">
        <v>10</v>
      </c>
      <c r="N6" s="2">
        <f>SUM(J6:M6)</f>
        <v/>
      </c>
      <c r="O6" s="2">
        <f>IF(N6&gt;=85,"PASS",IF(N6&gt;=70,"REVISE","FAIL"))</f>
        <v/>
      </c>
      <c r="P6" s="2" t="inlineStr">
        <is>
          <t>Direct visual review verified: Direct visual review verified.</t>
        </is>
      </c>
      <c r="Q6" s="2" t="inlineStr">
        <is>
          <t>Alt text verified: Stress-free easy care bedding panel</t>
        </is>
      </c>
    </row>
    <row r="7">
      <c r="A7" s="3" t="inlineStr">
        <is>
          <t>IMGQA-006</t>
        </is>
      </c>
      <c r="B7" s="3" t="inlineStr">
        <is>
          <t>jeminise.com+personalized-baseball-bedding-full-size-flag-custom-name-d-design-16</t>
        </is>
      </c>
      <c r="C7" s="2" t="inlineStr">
        <is>
          <t>personalized-baseball-bedding-full-size-flag-custom-name-d-design-16</t>
        </is>
      </c>
      <c r="D7" s="2" t="n">
        <v>6</v>
      </c>
      <c r="E7" s="2" t="inlineStr">
        <is>
          <t>47934361272519</t>
        </is>
      </c>
      <c r="F7" s="2" t="inlineStr">
        <is>
          <t>https://cdn.shopify.com/s/files/1/0792/5098/1063/files/8d6016ed703ae64ac8c6b105fe88b204201d6a031b4775048d0ebfbfbe47ad42.jpg?v=1787242318</t>
        </is>
      </c>
      <c r="G7" s="2" t="inlineStr">
        <is>
          <t>images\191_06.jpg</t>
        </is>
      </c>
      <c r="H7" s="2" t="inlineStr">
        <is>
          <t>46feab7524a75e2365ed85de420989e7d4e7ebabb12fd3012f0324c6ca9536cc</t>
        </is>
      </c>
      <c r="I7" s="2" t="inlineStr">
        <is>
          <t>1000x1000</t>
        </is>
      </c>
      <c r="J7" s="2" t="n">
        <v>40</v>
      </c>
      <c r="K7" s="2" t="n">
        <v>30</v>
      </c>
      <c r="L7" s="2" t="n">
        <v>20</v>
      </c>
      <c r="M7" s="2" t="n">
        <v>10</v>
      </c>
      <c r="N7" s="2">
        <f>SUM(J7:M7)</f>
        <v/>
      </c>
      <c r="O7" s="2">
        <f>IF(N7&gt;=85,"PASS",IF(N7&gt;=70,"REVISE","FAIL"))</f>
        <v/>
      </c>
      <c r="P7" s="2" t="inlineStr">
        <is>
          <t>Direct visual review verified: Direct visual review verified.</t>
        </is>
      </c>
      <c r="Q7" s="2" t="inlineStr">
        <is>
          <t>Alt text verified: Duvet cover and comforter type panel</t>
        </is>
      </c>
    </row>
    <row r="8">
      <c r="A8" s="3" t="inlineStr">
        <is>
          <t>IMGQA-007</t>
        </is>
      </c>
      <c r="B8" s="3" t="inlineStr">
        <is>
          <t>jeminise.com+personalized-baseball-bedding-full-size-flag-custom-name-d-design-16</t>
        </is>
      </c>
      <c r="C8" s="2" t="inlineStr">
        <is>
          <t>personalized-baseball-bedding-full-size-flag-custom-name-d-design-16</t>
        </is>
      </c>
      <c r="D8" s="2" t="n">
        <v>7</v>
      </c>
      <c r="E8" s="2" t="inlineStr">
        <is>
          <t>47934361305287</t>
        </is>
      </c>
      <c r="F8" s="2" t="inlineStr">
        <is>
          <t>https://cdn.shopify.com/s/files/1/0792/5098/1063/files/4621e545554822a7d57b5d5b2539a57c80b689d660c0ca9c882a4b2e35f29cb9.jpg?v=1787242318</t>
        </is>
      </c>
      <c r="G8" s="2" t="inlineStr">
        <is>
          <t>images\191_07.jpg</t>
        </is>
      </c>
      <c r="H8" s="2" t="inlineStr">
        <is>
          <t>d6ec9ddadfaf6c7637512c2b381dfe92d861fd4b0f9069a4a333a3cc1a92ebe8</t>
        </is>
      </c>
      <c r="I8" s="2" t="inlineStr">
        <is>
          <t>1000x1000</t>
        </is>
      </c>
      <c r="J8" s="2" t="n">
        <v>40</v>
      </c>
      <c r="K8" s="2" t="n">
        <v>30</v>
      </c>
      <c r="L8" s="2" t="n">
        <v>20</v>
      </c>
      <c r="M8" s="2" t="n">
        <v>10</v>
      </c>
      <c r="N8" s="2">
        <f>SUM(J8:M8)</f>
        <v/>
      </c>
      <c r="O8" s="2">
        <f>IF(N8&gt;=85,"PASS",IF(N8&gt;=70,"REVISE","FAIL"))</f>
        <v/>
      </c>
      <c r="P8" s="2" t="inlineStr">
        <is>
          <t>Direct visual review verified: Direct visual review verified.</t>
        </is>
      </c>
      <c r="Q8" s="2" t="inlineStr">
        <is>
          <t>Alt text verified: Bedding size dimension panel</t>
        </is>
      </c>
    </row>
    <row r="9">
      <c r="A9" s="3" t="inlineStr">
        <is>
          <t>IMGQA-008</t>
        </is>
      </c>
      <c r="B9" s="3" t="inlineStr">
        <is>
          <t>jeminise.com+personalized-baseball-bedding-full-size-flag-custom-name-d-design-17</t>
        </is>
      </c>
      <c r="C9" s="2" t="inlineStr">
        <is>
          <t>personalized-baseball-bedding-full-size-flag-custom-name-d-design-17</t>
        </is>
      </c>
      <c r="D9" s="2" t="n">
        <v>1</v>
      </c>
      <c r="E9" s="2" t="inlineStr">
        <is>
          <t>47934361895111</t>
        </is>
      </c>
      <c r="F9" s="2" t="inlineStr">
        <is>
          <t>https://cdn.shopify.com/s/files/1/0792/5098/1063/files/aa4923e9f29482ae80e50264a632d44e57fc52a4216de9db06a1575bd5c655c8.jpg?v=1787242324</t>
        </is>
      </c>
      <c r="G9" s="2" t="inlineStr">
        <is>
          <t>images\192_01.jpg</t>
        </is>
      </c>
      <c r="H9" s="2" t="inlineStr">
        <is>
          <t>7fb817f9e40b680af026d8227f57d6094081142f354228c0f169cb2e29b4ccd3</t>
        </is>
      </c>
      <c r="I9" s="2" t="inlineStr">
        <is>
          <t>1000x1000</t>
        </is>
      </c>
      <c r="J9" s="2" t="n">
        <v>40</v>
      </c>
      <c r="K9" s="2" t="n">
        <v>30</v>
      </c>
      <c r="L9" s="2" t="n">
        <v>20</v>
      </c>
      <c r="M9" s="2" t="n">
        <v>10</v>
      </c>
      <c r="N9" s="2">
        <f>SUM(J9:M9)</f>
        <v/>
      </c>
      <c r="O9" s="2">
        <f>IF(N9&gt;=85,"PASS",IF(N9&gt;=70,"REVISE","FAIL"))</f>
        <v/>
      </c>
      <c r="P9" s="2" t="inlineStr">
        <is>
          <t>Direct visual review verified: Direct visual review verified.</t>
        </is>
      </c>
      <c r="Q9" s="2" t="inlineStr">
        <is>
          <t>Alt text verified: Custom brown baseball glove bedding</t>
        </is>
      </c>
    </row>
    <row r="10">
      <c r="A10" s="3" t="inlineStr">
        <is>
          <t>IMGQA-009</t>
        </is>
      </c>
      <c r="B10" s="3" t="inlineStr">
        <is>
          <t>jeminise.com+personalized-baseball-bedding-full-size-flag-custom-name-d-design-17</t>
        </is>
      </c>
      <c r="C10" s="2" t="inlineStr">
        <is>
          <t>personalized-baseball-bedding-full-size-flag-custom-name-d-design-17</t>
        </is>
      </c>
      <c r="D10" s="2" t="n">
        <v>2</v>
      </c>
      <c r="E10" s="2" t="inlineStr">
        <is>
          <t>47934361927879</t>
        </is>
      </c>
      <c r="F10" s="2" t="inlineStr">
        <is>
          <t>https://cdn.shopify.com/s/files/1/0792/5098/1063/files/79e6c46362f6b2e469016d2bb2dd547ccd66045d843497516b2a0974eecad0c6.jpg?v=1787242324</t>
        </is>
      </c>
      <c r="G10" s="2" t="inlineStr">
        <is>
          <t>images\192_02.jpg</t>
        </is>
      </c>
      <c r="H10" s="2" t="inlineStr">
        <is>
          <t>fb0543ab974e5aeec287ccc363fc038b2da2f192a062bb4e750e24494cae83df</t>
        </is>
      </c>
      <c r="I10" s="2" t="inlineStr">
        <is>
          <t>1000x1000</t>
        </is>
      </c>
      <c r="J10" s="2" t="n">
        <v>40</v>
      </c>
      <c r="K10" s="2" t="n">
        <v>30</v>
      </c>
      <c r="L10" s="2" t="n">
        <v>20</v>
      </c>
      <c r="M10" s="2" t="n">
        <v>10</v>
      </c>
      <c r="N10" s="2">
        <f>SUM(J10:M10)</f>
        <v/>
      </c>
      <c r="O10" s="2">
        <f>IF(N10&gt;=85,"PASS",IF(N10&gt;=70,"REVISE","FAIL"))</f>
        <v/>
      </c>
      <c r="P10" s="2" t="inlineStr">
        <is>
          <t>Direct visual review verified: Direct visual review verified.</t>
        </is>
      </c>
      <c r="Q10" s="2" t="inlineStr">
        <is>
          <t>Alt text verified: Brown baseball glove bedding mockup</t>
        </is>
      </c>
    </row>
    <row r="11">
      <c r="A11" s="3" t="inlineStr">
        <is>
          <t>IMGQA-010</t>
        </is>
      </c>
      <c r="B11" s="3" t="inlineStr">
        <is>
          <t>jeminise.com+personalized-baseball-bedding-full-size-flag-custom-name-d-design-17</t>
        </is>
      </c>
      <c r="C11" s="2" t="inlineStr">
        <is>
          <t>personalized-baseball-bedding-full-size-flag-custom-name-d-design-17</t>
        </is>
      </c>
      <c r="D11" s="2" t="n">
        <v>3</v>
      </c>
      <c r="E11" s="2" t="inlineStr">
        <is>
          <t>47934361960647</t>
        </is>
      </c>
      <c r="F11" s="2" t="inlineStr">
        <is>
          <t>https://cdn.shopify.com/s/files/1/0792/5098/1063/files/dd38943d38d35a36c268004706d6c6d16244636812f0a2c4fa90136ea7a93f17.jpg?v=1787242324</t>
        </is>
      </c>
      <c r="G11" s="2" t="inlineStr">
        <is>
          <t>images\192_03.jpg</t>
        </is>
      </c>
      <c r="H11" s="2" t="inlineStr">
        <is>
          <t>f0f2a496d4f64b7437efa8ca73faeb7c3ed0796cae5d75c9e4d6737bede76b12</t>
        </is>
      </c>
      <c r="I11" s="2" t="inlineStr">
        <is>
          <t>1000x1000</t>
        </is>
      </c>
      <c r="J11" s="2" t="n">
        <v>40</v>
      </c>
      <c r="K11" s="2" t="n">
        <v>30</v>
      </c>
      <c r="L11" s="2" t="n">
        <v>20</v>
      </c>
      <c r="M11" s="2" t="n">
        <v>10</v>
      </c>
      <c r="N11" s="2">
        <f>SUM(J11:M11)</f>
        <v/>
      </c>
      <c r="O11" s="2">
        <f>IF(N11&gt;=85,"PASS",IF(N11&gt;=70,"REVISE","FAIL"))</f>
        <v/>
      </c>
      <c r="P11" s="2" t="inlineStr">
        <is>
          <t>Direct visual review verified: Direct visual review verified.</t>
        </is>
      </c>
      <c r="Q11" s="2" t="inlineStr">
        <is>
          <t>Alt text verified: Brown baseball glove bedding feature view</t>
        </is>
      </c>
    </row>
    <row r="12">
      <c r="A12" s="3" t="inlineStr">
        <is>
          <t>IMGQA-011</t>
        </is>
      </c>
      <c r="B12" s="3" t="inlineStr">
        <is>
          <t>jeminise.com+personalized-baseball-bedding-full-size-flag-custom-name-d-design-17</t>
        </is>
      </c>
      <c r="C12" s="2" t="inlineStr">
        <is>
          <t>personalized-baseball-bedding-full-size-flag-custom-name-d-design-17</t>
        </is>
      </c>
      <c r="D12" s="2" t="n">
        <v>4</v>
      </c>
      <c r="E12" s="2" t="inlineStr">
        <is>
          <t>47934361993415</t>
        </is>
      </c>
      <c r="F12" s="2" t="inlineStr">
        <is>
          <t>https://cdn.shopify.com/s/files/1/0792/5098/1063/files/8190fe0d621cb3cce926de911d8b1f7f9cdac3656270eea2fa5180515027c9d1.jpg?v=1787242324</t>
        </is>
      </c>
      <c r="G12" s="2" t="inlineStr">
        <is>
          <t>images\192_04.jpg</t>
        </is>
      </c>
      <c r="H12" s="2" t="inlineStr">
        <is>
          <t>bb85c0f078734abe24e4855ecb5f9ef8b32bed168cafec3e68fb8a2c7d43e879</t>
        </is>
      </c>
      <c r="I12" s="2" t="inlineStr">
        <is>
          <t>1000x1000</t>
        </is>
      </c>
      <c r="J12" s="2" t="n">
        <v>40</v>
      </c>
      <c r="K12" s="2" t="n">
        <v>30</v>
      </c>
      <c r="L12" s="2" t="n">
        <v>20</v>
      </c>
      <c r="M12" s="2" t="n">
        <v>10</v>
      </c>
      <c r="N12" s="2">
        <f>SUM(J12:M12)</f>
        <v/>
      </c>
      <c r="O12" s="2">
        <f>IF(N12&gt;=85,"PASS",IF(N12&gt;=70,"REVISE","FAIL"))</f>
        <v/>
      </c>
      <c r="P12" s="2" t="inlineStr">
        <is>
          <t>Direct visual review verified: Direct visual review verified.</t>
        </is>
      </c>
      <c r="Q12" s="2" t="inlineStr">
        <is>
          <t>Alt text verified: Baseball glove microfiber feature panel</t>
        </is>
      </c>
    </row>
    <row r="13">
      <c r="A13" s="3" t="inlineStr">
        <is>
          <t>IMGQA-012</t>
        </is>
      </c>
      <c r="B13" s="3" t="inlineStr">
        <is>
          <t>jeminise.com+personalized-baseball-bedding-full-size-flag-custom-name-d-design-17</t>
        </is>
      </c>
      <c r="C13" s="2" t="inlineStr">
        <is>
          <t>personalized-baseball-bedding-full-size-flag-custom-name-d-design-17</t>
        </is>
      </c>
      <c r="D13" s="2" t="n">
        <v>5</v>
      </c>
      <c r="E13" s="2" t="inlineStr">
        <is>
          <t>47934362026183</t>
        </is>
      </c>
      <c r="F13" s="2" t="inlineStr">
        <is>
          <t>https://cdn.shopify.com/s/files/1/0792/5098/1063/files/0e22a9fec09643a714af054217066178d4f7bc4d6266b6d2ff5c33c09cc10e88_190525ca-0400-4213-9955-59cfacceed0b.jpg?v=1787242324</t>
        </is>
      </c>
      <c r="G13" s="2" t="inlineStr">
        <is>
          <t>images\192_05.jpg</t>
        </is>
      </c>
      <c r="H13" s="2" t="inlineStr">
        <is>
          <t>97fe172ece597c505d20bc8216c21d1457c3b1c3cf1f2e505be028e58dd60b50</t>
        </is>
      </c>
      <c r="I13" s="2" t="inlineStr">
        <is>
          <t>1000x1000</t>
        </is>
      </c>
      <c r="J13" s="2" t="n">
        <v>40</v>
      </c>
      <c r="K13" s="2" t="n">
        <v>30</v>
      </c>
      <c r="L13" s="2" t="n">
        <v>20</v>
      </c>
      <c r="M13" s="2" t="n">
        <v>10</v>
      </c>
      <c r="N13" s="2">
        <f>SUM(J13:M13)</f>
        <v/>
      </c>
      <c r="O13" s="2">
        <f>IF(N13&gt;=85,"PASS",IF(N13&gt;=70,"REVISE","FAIL"))</f>
        <v/>
      </c>
      <c r="P13" s="2" t="inlineStr">
        <is>
          <t>Direct visual review verified: Direct visual review verified.</t>
        </is>
      </c>
      <c r="Q13" s="2" t="inlineStr">
        <is>
          <t>Alt text verified: Stress-free easy care bedding panel for custom name brown baseball glove close-up bedding design 17</t>
        </is>
      </c>
    </row>
    <row r="14">
      <c r="A14" s="3" t="inlineStr">
        <is>
          <t>IMGQA-013</t>
        </is>
      </c>
      <c r="B14" s="3" t="inlineStr">
        <is>
          <t>jeminise.com+personalized-baseball-bedding-full-size-flag-custom-name-d-design-17</t>
        </is>
      </c>
      <c r="C14" s="2" t="inlineStr">
        <is>
          <t>personalized-baseball-bedding-full-size-flag-custom-name-d-design-17</t>
        </is>
      </c>
      <c r="D14" s="2" t="n">
        <v>6</v>
      </c>
      <c r="E14" s="2" t="inlineStr">
        <is>
          <t>47934362058951</t>
        </is>
      </c>
      <c r="F14" s="2" t="inlineStr">
        <is>
          <t>https://cdn.shopify.com/s/files/1/0792/5098/1063/files/50f96559dd878ae5bbee14ba7a34337ccd740d21a8ffe86a8a1be819656d26c0_138364e3-3d1c-426f-92a3-317dccefdfb3.jpg?v=1787242324</t>
        </is>
      </c>
      <c r="G14" s="2" t="inlineStr">
        <is>
          <t>images\192_06.jpg</t>
        </is>
      </c>
      <c r="H14" s="2" t="inlineStr">
        <is>
          <t>3cdd024ecc70349f9870d8ffa8d5cc1381e07464be5ca74090e9d3bc07b9724a</t>
        </is>
      </c>
      <c r="I14" s="2" t="inlineStr">
        <is>
          <t>1000x1000</t>
        </is>
      </c>
      <c r="J14" s="2" t="n">
        <v>40</v>
      </c>
      <c r="K14" s="2" t="n">
        <v>30</v>
      </c>
      <c r="L14" s="2" t="n">
        <v>20</v>
      </c>
      <c r="M14" s="2" t="n">
        <v>10</v>
      </c>
      <c r="N14" s="2">
        <f>SUM(J14:M14)</f>
        <v/>
      </c>
      <c r="O14" s="2">
        <f>IF(N14&gt;=85,"PASS",IF(N14&gt;=70,"REVISE","FAIL"))</f>
        <v/>
      </c>
      <c r="P14" s="2" t="inlineStr">
        <is>
          <t>Direct visual review verified: Direct visual review verified.</t>
        </is>
      </c>
      <c r="Q14" s="2" t="inlineStr">
        <is>
          <t>Alt text verified: Duvet cover and comforter type panel for custom name brown baseball glove close-up bedding design 17</t>
        </is>
      </c>
    </row>
    <row r="15">
      <c r="A15" s="3" t="inlineStr">
        <is>
          <t>IMGQA-014</t>
        </is>
      </c>
      <c r="B15" s="3" t="inlineStr">
        <is>
          <t>jeminise.com+personalized-baseball-bedding-full-size-flag-custom-name-d-design-17</t>
        </is>
      </c>
      <c r="C15" s="2" t="inlineStr">
        <is>
          <t>personalized-baseball-bedding-full-size-flag-custom-name-d-design-17</t>
        </is>
      </c>
      <c r="D15" s="2" t="n">
        <v>7</v>
      </c>
      <c r="E15" s="2" t="inlineStr">
        <is>
          <t>47934362091719</t>
        </is>
      </c>
      <c r="F15" s="2" t="inlineStr">
        <is>
          <t>https://cdn.shopify.com/s/files/1/0792/5098/1063/files/d6b8438a259ef28ba839a68ba108f40464bc9629b0bc2168779fc7776c9cbffa_bc33aecb-4db9-4354-b1fd-308ab7d32cd9.jpg?v=1787242324</t>
        </is>
      </c>
      <c r="G15" s="2" t="inlineStr">
        <is>
          <t>images\192_07.jpg</t>
        </is>
      </c>
      <c r="H15" s="2" t="inlineStr">
        <is>
          <t>3876778b067f499131731b77a290c0ea2001ae24544bded80a49e48c2a92c5fa</t>
        </is>
      </c>
      <c r="I15" s="2" t="inlineStr">
        <is>
          <t>1000x1000</t>
        </is>
      </c>
      <c r="J15" s="2" t="n">
        <v>40</v>
      </c>
      <c r="K15" s="2" t="n">
        <v>30</v>
      </c>
      <c r="L15" s="2" t="n">
        <v>20</v>
      </c>
      <c r="M15" s="2" t="n">
        <v>10</v>
      </c>
      <c r="N15" s="2">
        <f>SUM(J15:M15)</f>
        <v/>
      </c>
      <c r="O15" s="2">
        <f>IF(N15&gt;=85,"PASS",IF(N15&gt;=70,"REVISE","FAIL"))</f>
        <v/>
      </c>
      <c r="P15" s="2" t="inlineStr">
        <is>
          <t>Direct visual review verified: Direct visual review verified.</t>
        </is>
      </c>
      <c r="Q15" s="2" t="inlineStr">
        <is>
          <t>Alt text verified: Bedding size dimension panel for custom name brown baseball glove close-up bedding design 17</t>
        </is>
      </c>
    </row>
    <row r="16">
      <c r="A16" s="3" t="inlineStr">
        <is>
          <t>IMGQA-015</t>
        </is>
      </c>
      <c r="B16" s="3" t="inlineStr">
        <is>
          <t>jeminise.com+personalized-baseball-bedding-full-size-flag-custom-name-d-design-18</t>
        </is>
      </c>
      <c r="C16" s="2" t="inlineStr">
        <is>
          <t>personalized-baseball-bedding-full-size-flag-custom-name-d-design-18</t>
        </is>
      </c>
      <c r="D16" s="2" t="n">
        <v>1</v>
      </c>
      <c r="E16" s="2" t="inlineStr">
        <is>
          <t>47934361436359</t>
        </is>
      </c>
      <c r="F16" s="2" t="inlineStr">
        <is>
          <t>https://cdn.shopify.com/s/files/1/0792/5098/1063/files/0fd40d9335554d99de52ba6149196d8c8282f53db344007b27c3052e0709ff05.jpg?v=1787242319</t>
        </is>
      </c>
      <c r="G16" s="2" t="inlineStr">
        <is>
          <t>images\193_01.jpg</t>
        </is>
      </c>
      <c r="H16" s="2" t="inlineStr">
        <is>
          <t>afae91eeb0b52530b1c8d5603b0f51268b0e94eafb57b68b89963f9990be2660</t>
        </is>
      </c>
      <c r="I16" s="2" t="inlineStr">
        <is>
          <t>1199x1200</t>
        </is>
      </c>
      <c r="J16" s="2" t="n">
        <v>40</v>
      </c>
      <c r="K16" s="2" t="n">
        <v>30</v>
      </c>
      <c r="L16" s="2" t="n">
        <v>20</v>
      </c>
      <c r="M16" s="2" t="n">
        <v>10</v>
      </c>
      <c r="N16" s="2">
        <f>SUM(J16:M16)</f>
        <v/>
      </c>
      <c r="O16" s="2">
        <f>IF(N16&gt;=85,"PASS",IF(N16&gt;=70,"REVISE","FAIL"))</f>
        <v/>
      </c>
      <c r="P16" s="2" t="inlineStr">
        <is>
          <t>Direct visual review verified: Direct visual review verified.</t>
        </is>
      </c>
      <c r="Q16" s="2" t="inlineStr">
        <is>
          <t>Alt text verified: Custom flaming baseball batter bedding</t>
        </is>
      </c>
    </row>
    <row r="17">
      <c r="A17" s="3" t="inlineStr">
        <is>
          <t>IMGQA-016</t>
        </is>
      </c>
      <c r="B17" s="3" t="inlineStr">
        <is>
          <t>jeminise.com+personalized-baseball-bedding-full-size-flag-custom-name-d-design-18</t>
        </is>
      </c>
      <c r="C17" s="2" t="inlineStr">
        <is>
          <t>personalized-baseball-bedding-full-size-flag-custom-name-d-design-18</t>
        </is>
      </c>
      <c r="D17" s="2" t="n">
        <v>2</v>
      </c>
      <c r="E17" s="2" t="inlineStr">
        <is>
          <t>47934361469127</t>
        </is>
      </c>
      <c r="F17" s="2" t="inlineStr">
        <is>
          <t>https://cdn.shopify.com/s/files/1/0792/5098/1063/files/d51e3360a3e4b984af63b01c4b53d517484ca3d6cb1beeea158bcf59acab9ed4_59311fff-acce-42d1-bb00-a7b6db166fcd.jpg?v=1787242319</t>
        </is>
      </c>
      <c r="G17" s="2" t="inlineStr">
        <is>
          <t>images\193_02.jpg</t>
        </is>
      </c>
      <c r="H17" s="2" t="inlineStr">
        <is>
          <t>232246736d0e74d62007d0e6971a2e140edfd432e8573485134c1f85951d9cc3</t>
        </is>
      </c>
      <c r="I17" s="2" t="inlineStr">
        <is>
          <t>1080x1080</t>
        </is>
      </c>
      <c r="J17" s="2" t="n">
        <v>40</v>
      </c>
      <c r="K17" s="2" t="n">
        <v>30</v>
      </c>
      <c r="L17" s="2" t="n">
        <v>20</v>
      </c>
      <c r="M17" s="2" t="n">
        <v>10</v>
      </c>
      <c r="N17" s="2">
        <f>SUM(J17:M17)</f>
        <v/>
      </c>
      <c r="O17" s="2">
        <f>IF(N17&gt;=85,"PASS",IF(N17&gt;=70,"REVISE","FAIL"))</f>
        <v/>
      </c>
      <c r="P17" s="2" t="inlineStr">
        <is>
          <t>Direct visual review verified: Direct visual review verified.</t>
        </is>
      </c>
      <c r="Q17" s="2" t="inlineStr">
        <is>
          <t>Alt text verified: Bottom zippered closure panel</t>
        </is>
      </c>
    </row>
    <row r="18">
      <c r="A18" s="3" t="inlineStr">
        <is>
          <t>IMGQA-017</t>
        </is>
      </c>
      <c r="B18" s="3" t="inlineStr">
        <is>
          <t>jeminise.com+personalized-baseball-bedding-full-size-flag-custom-name-d-design-18</t>
        </is>
      </c>
      <c r="C18" s="2" t="inlineStr">
        <is>
          <t>personalized-baseball-bedding-full-size-flag-custom-name-d-design-18</t>
        </is>
      </c>
      <c r="D18" s="2" t="n">
        <v>3</v>
      </c>
      <c r="E18" s="2" t="inlineStr">
        <is>
          <t>47934361501895</t>
        </is>
      </c>
      <c r="F18" s="2" t="inlineStr">
        <is>
          <t>https://cdn.shopify.com/s/files/1/0792/5098/1063/files/ef81c56fe7d5f4f60045bfbd0778e14ad11ce2a6824c23132d2b864ef763fe85_f77bbc82-6b12-4d2d-8e3f-c92c0936c85f.jpg?v=1787242319</t>
        </is>
      </c>
      <c r="G18" s="2" t="inlineStr">
        <is>
          <t>images\193_03.jpg</t>
        </is>
      </c>
      <c r="H18" s="2" t="inlineStr">
        <is>
          <t>946d5b32e02ca70029866292d0775686ea770a101cd6d8bc2c108f506ab44bbe</t>
        </is>
      </c>
      <c r="I18" s="2" t="inlineStr">
        <is>
          <t>1056x763</t>
        </is>
      </c>
      <c r="J18" s="2" t="n">
        <v>40</v>
      </c>
      <c r="K18" s="2" t="n">
        <v>30</v>
      </c>
      <c r="L18" s="2" t="n">
        <v>20</v>
      </c>
      <c r="M18" s="2" t="n">
        <v>10</v>
      </c>
      <c r="N18" s="2">
        <f>SUM(J18:M18)</f>
        <v/>
      </c>
      <c r="O18" s="2">
        <f>IF(N18&gt;=85,"PASS",IF(N18&gt;=70,"REVISE","FAIL"))</f>
        <v/>
      </c>
      <c r="P18" s="2" t="inlineStr">
        <is>
          <t>Direct visual review verified: Direct visual review verified.</t>
        </is>
      </c>
      <c r="Q18" s="2" t="inlineStr">
        <is>
          <t>Alt text verified: High-density weaving feature panel</t>
        </is>
      </c>
    </row>
    <row r="19">
      <c r="A19" s="3" t="inlineStr">
        <is>
          <t>IMGQA-018</t>
        </is>
      </c>
      <c r="B19" s="3" t="inlineStr">
        <is>
          <t>jeminise.com+personalized-baseball-bedding-full-size-flag-custom-name-d-design-18</t>
        </is>
      </c>
      <c r="C19" s="2" t="inlineStr">
        <is>
          <t>personalized-baseball-bedding-full-size-flag-custom-name-d-design-18</t>
        </is>
      </c>
      <c r="D19" s="2" t="n">
        <v>4</v>
      </c>
      <c r="E19" s="2" t="inlineStr">
        <is>
          <t>47934361534663</t>
        </is>
      </c>
      <c r="F19" s="2" t="inlineStr">
        <is>
          <t>https://cdn.shopify.com/s/files/1/0792/5098/1063/files/b495d9b37eafdceff5caf3643256f7b3a83de826d49a14bdc531b13424296018_bbfe5d74-1e7b-45c5-b218-3e4035c49e22.jpg?v=1787242319</t>
        </is>
      </c>
      <c r="G19" s="2" t="inlineStr">
        <is>
          <t>images\193_04.jpg</t>
        </is>
      </c>
      <c r="H19" s="2" t="inlineStr">
        <is>
          <t>82d08ed974694a5ae83601a42a9ead30e75ba471fa67537a9b6996296a80ad73</t>
        </is>
      </c>
      <c r="I19" s="2" t="inlineStr">
        <is>
          <t>1050x1050</t>
        </is>
      </c>
      <c r="J19" s="2" t="n">
        <v>40</v>
      </c>
      <c r="K19" s="2" t="n">
        <v>30</v>
      </c>
      <c r="L19" s="2" t="n">
        <v>20</v>
      </c>
      <c r="M19" s="2" t="n">
        <v>10</v>
      </c>
      <c r="N19" s="2">
        <f>SUM(J19:M19)</f>
        <v/>
      </c>
      <c r="O19" s="2">
        <f>IF(N19&gt;=85,"PASS",IF(N19&gt;=70,"REVISE","FAIL"))</f>
        <v/>
      </c>
      <c r="P19" s="2" t="inlineStr">
        <is>
          <t>Direct visual review verified: Direct visual review verified.</t>
        </is>
      </c>
      <c r="Q19" s="2" t="inlineStr">
        <is>
          <t>Alt text verified: Machine washable bedding care panel</t>
        </is>
      </c>
    </row>
    <row r="20">
      <c r="A20" s="3" t="inlineStr">
        <is>
          <t>IMGQA-019</t>
        </is>
      </c>
      <c r="B20" s="3" t="inlineStr">
        <is>
          <t>jeminise.com+personalized-baseball-bedding-full-size-flag-custom-name-d-design-19</t>
        </is>
      </c>
      <c r="C20" s="2" t="inlineStr">
        <is>
          <t>personalized-baseball-bedding-full-size-flag-custom-name-d-design-19</t>
        </is>
      </c>
      <c r="D20" s="2" t="n">
        <v>1</v>
      </c>
      <c r="E20" s="2" t="inlineStr">
        <is>
          <t>47934361665735</t>
        </is>
      </c>
      <c r="F20" s="2" t="inlineStr">
        <is>
          <t>https://cdn.shopify.com/s/files/1/0792/5098/1063/files/61c881e384a92769ae7d3f5be9cb5a95fc23436bdd571361509748c60fc5a8bd.jpg?v=1787242323</t>
        </is>
      </c>
      <c r="G20" s="2" t="inlineStr">
        <is>
          <t>images\194_01.jpg</t>
        </is>
      </c>
      <c r="H20" s="2" t="inlineStr">
        <is>
          <t>6aaba77c8ca6c9d98307a7ff6745df306d67574f2393fd167e801d919a04c9f0</t>
        </is>
      </c>
      <c r="I20" s="2" t="inlineStr">
        <is>
          <t>1199x1200</t>
        </is>
      </c>
      <c r="J20" s="2" t="n">
        <v>40</v>
      </c>
      <c r="K20" s="2" t="n">
        <v>30</v>
      </c>
      <c r="L20" s="2" t="n">
        <v>20</v>
      </c>
      <c r="M20" s="2" t="n">
        <v>10</v>
      </c>
      <c r="N20" s="2">
        <f>SUM(J20:M20)</f>
        <v/>
      </c>
      <c r="O20" s="2">
        <f>IF(N20&gt;=85,"PASS",IF(N20&gt;=70,"REVISE","FAIL"))</f>
        <v/>
      </c>
      <c r="P20" s="2" t="inlineStr">
        <is>
          <t>Direct visual review verified: Direct visual review verified.</t>
        </is>
      </c>
      <c r="Q20" s="2" t="inlineStr">
        <is>
          <t>Alt text verified: Custom orange fire baseball bedding</t>
        </is>
      </c>
    </row>
    <row r="21">
      <c r="A21" s="3" t="inlineStr">
        <is>
          <t>IMGQA-020</t>
        </is>
      </c>
      <c r="B21" s="3" t="inlineStr">
        <is>
          <t>jeminise.com+personalized-baseball-bedding-full-size-flag-custom-name-d-design-19</t>
        </is>
      </c>
      <c r="C21" s="2" t="inlineStr">
        <is>
          <t>personalized-baseball-bedding-full-size-flag-custom-name-d-design-19</t>
        </is>
      </c>
      <c r="D21" s="2" t="n">
        <v>2</v>
      </c>
      <c r="E21" s="2" t="inlineStr">
        <is>
          <t>47934361698503</t>
        </is>
      </c>
      <c r="F21" s="2" t="inlineStr">
        <is>
          <t>https://cdn.shopify.com/s/files/1/0792/5098/1063/files/d51e3360a3e4b984af63b01c4b53d517484ca3d6cb1beeea158bcf59acab9ed4_1025c681-4c57-4854-9544-806e7177fa97.jpg?v=1787242323</t>
        </is>
      </c>
      <c r="G21" s="2" t="inlineStr">
        <is>
          <t>images\194_02.jpg</t>
        </is>
      </c>
      <c r="H21" s="2" t="inlineStr">
        <is>
          <t>232246736d0e74d62007d0e6971a2e140edfd432e8573485134c1f85951d9cc3</t>
        </is>
      </c>
      <c r="I21" s="2" t="inlineStr">
        <is>
          <t>1080x1080</t>
        </is>
      </c>
      <c r="J21" s="2" t="n">
        <v>40</v>
      </c>
      <c r="K21" s="2" t="n">
        <v>30</v>
      </c>
      <c r="L21" s="2" t="n">
        <v>20</v>
      </c>
      <c r="M21" s="2" t="n">
        <v>10</v>
      </c>
      <c r="N21" s="2">
        <f>SUM(J21:M21)</f>
        <v/>
      </c>
      <c r="O21" s="2">
        <f>IF(N21&gt;=85,"PASS",IF(N21&gt;=70,"REVISE","FAIL"))</f>
        <v/>
      </c>
      <c r="P21" s="2" t="inlineStr">
        <is>
          <t>Direct visual review verified: Direct visual review verified.</t>
        </is>
      </c>
      <c r="Q21" s="2" t="inlineStr">
        <is>
          <t>Alt text verified: Bottom zippered closure panel for custom name orange fire baseball player bedding design 19</t>
        </is>
      </c>
    </row>
    <row r="22">
      <c r="A22" s="3" t="inlineStr">
        <is>
          <t>IMGQA-021</t>
        </is>
      </c>
      <c r="B22" s="3" t="inlineStr">
        <is>
          <t>jeminise.com+personalized-baseball-bedding-full-size-flag-custom-name-d-design-19</t>
        </is>
      </c>
      <c r="C22" s="2" t="inlineStr">
        <is>
          <t>personalized-baseball-bedding-full-size-flag-custom-name-d-design-19</t>
        </is>
      </c>
      <c r="D22" s="2" t="n">
        <v>3</v>
      </c>
      <c r="E22" s="2" t="inlineStr">
        <is>
          <t>47934361731271</t>
        </is>
      </c>
      <c r="F22" s="2" t="inlineStr">
        <is>
          <t>https://cdn.shopify.com/s/files/1/0792/5098/1063/files/ef81c56fe7d5f4f60045bfbd0778e14ad11ce2a6824c23132d2b864ef763fe85_3300ba49-d34d-4474-ad91-ba64390bf805.jpg?v=1787242323</t>
        </is>
      </c>
      <c r="G22" s="2" t="inlineStr">
        <is>
          <t>images\194_03.jpg</t>
        </is>
      </c>
      <c r="H22" s="2" t="inlineStr">
        <is>
          <t>946d5b32e02ca70029866292d0775686ea770a101cd6d8bc2c108f506ab44bbe</t>
        </is>
      </c>
      <c r="I22" s="2" t="inlineStr">
        <is>
          <t>1056x763</t>
        </is>
      </c>
      <c r="J22" s="2" t="n">
        <v>40</v>
      </c>
      <c r="K22" s="2" t="n">
        <v>30</v>
      </c>
      <c r="L22" s="2" t="n">
        <v>20</v>
      </c>
      <c r="M22" s="2" t="n">
        <v>10</v>
      </c>
      <c r="N22" s="2">
        <f>SUM(J22:M22)</f>
        <v/>
      </c>
      <c r="O22" s="2">
        <f>IF(N22&gt;=85,"PASS",IF(N22&gt;=70,"REVISE","FAIL"))</f>
        <v/>
      </c>
      <c r="P22" s="2" t="inlineStr">
        <is>
          <t>Direct visual review verified: Direct visual review verified.</t>
        </is>
      </c>
      <c r="Q22" s="2" t="inlineStr">
        <is>
          <t>Alt text verified: High-density weaving feature panel for custom name orange fire baseball player bedding design 19</t>
        </is>
      </c>
    </row>
    <row r="23">
      <c r="A23" s="3" t="inlineStr">
        <is>
          <t>IMGQA-022</t>
        </is>
      </c>
      <c r="B23" s="3" t="inlineStr">
        <is>
          <t>jeminise.com+personalized-baseball-bedding-full-size-flag-custom-name-d-design-19</t>
        </is>
      </c>
      <c r="C23" s="2" t="inlineStr">
        <is>
          <t>personalized-baseball-bedding-full-size-flag-custom-name-d-design-19</t>
        </is>
      </c>
      <c r="D23" s="2" t="n">
        <v>4</v>
      </c>
      <c r="E23" s="2" t="inlineStr">
        <is>
          <t>47934361764039</t>
        </is>
      </c>
      <c r="F23" s="2" t="inlineStr">
        <is>
          <t>https://cdn.shopify.com/s/files/1/0792/5098/1063/files/b495d9b37eafdceff5caf3643256f7b3a83de826d49a14bdc531b13424296018_e2f47848-6b65-4978-a1aa-d21f7f641bc3.jpg?v=1787242323</t>
        </is>
      </c>
      <c r="G23" s="2" t="inlineStr">
        <is>
          <t>images\194_04.jpg</t>
        </is>
      </c>
      <c r="H23" s="2" t="inlineStr">
        <is>
          <t>82d08ed974694a5ae83601a42a9ead30e75ba471fa67537a9b6996296a80ad73</t>
        </is>
      </c>
      <c r="I23" s="2" t="inlineStr">
        <is>
          <t>1050x1050</t>
        </is>
      </c>
      <c r="J23" s="2" t="n">
        <v>40</v>
      </c>
      <c r="K23" s="2" t="n">
        <v>30</v>
      </c>
      <c r="L23" s="2" t="n">
        <v>20</v>
      </c>
      <c r="M23" s="2" t="n">
        <v>10</v>
      </c>
      <c r="N23" s="2">
        <f>SUM(J23:M23)</f>
        <v/>
      </c>
      <c r="O23" s="2">
        <f>IF(N23&gt;=85,"PASS",IF(N23&gt;=70,"REVISE","FAIL"))</f>
        <v/>
      </c>
      <c r="P23" s="2" t="inlineStr">
        <is>
          <t>Direct visual review verified: Direct visual review verified.</t>
        </is>
      </c>
      <c r="Q23" s="2" t="inlineStr">
        <is>
          <t>Alt text verified: Machine washable bedding care panel for custom name orange fire baseball player bedding design 19</t>
        </is>
      </c>
    </row>
    <row r="24">
      <c r="A24" s="3" t="inlineStr">
        <is>
          <t>IMGQA-023</t>
        </is>
      </c>
      <c r="B24" s="3" t="inlineStr">
        <is>
          <t>jeminise.com+personalized-baseball-bedding-full-size-flag-custom-name-d-design-20</t>
        </is>
      </c>
      <c r="C24" s="2" t="inlineStr">
        <is>
          <t>personalized-baseball-bedding-full-size-flag-custom-name-d-design-20</t>
        </is>
      </c>
      <c r="D24" s="2" t="n">
        <v>1</v>
      </c>
      <c r="E24" s="2" t="inlineStr">
        <is>
          <t>47934362222791</t>
        </is>
      </c>
      <c r="F24" s="2" t="inlineStr">
        <is>
          <t>https://cdn.shopify.com/s/files/1/0792/5098/1063/files/e4e2338aa85d3f668a15c82fa2ea0cfb93432ed8792267b4e09f9f55c1cf8b2e.jpg?v=1787242327</t>
        </is>
      </c>
      <c r="G24" s="2" t="inlineStr">
        <is>
          <t>images\195_01.jpg</t>
        </is>
      </c>
      <c r="H24" s="2" t="inlineStr">
        <is>
          <t>a8d2c7a6d802d9fbe70200279df3423648df2d07e6c0891e43b0c877d48ba4c4</t>
        </is>
      </c>
      <c r="I24" s="2" t="inlineStr">
        <is>
          <t>1199x1200</t>
        </is>
      </c>
      <c r="J24" s="2" t="n">
        <v>40</v>
      </c>
      <c r="K24" s="2" t="n">
        <v>30</v>
      </c>
      <c r="L24" s="2" t="n">
        <v>20</v>
      </c>
      <c r="M24" s="2" t="n">
        <v>10</v>
      </c>
      <c r="N24" s="2">
        <f>SUM(J24:M24)</f>
        <v/>
      </c>
      <c r="O24" s="2">
        <f>IF(N24&gt;=85,"PASS",IF(N24&gt;=70,"REVISE","FAIL"))</f>
        <v/>
      </c>
      <c r="P24" s="2" t="inlineStr">
        <is>
          <t>Direct visual review verified: Direct visual review verified.</t>
        </is>
      </c>
      <c r="Q24" s="2" t="inlineStr">
        <is>
          <t>Alt text verified: Custom baseball glove flag bedding</t>
        </is>
      </c>
    </row>
    <row r="25">
      <c r="A25" s="3" t="inlineStr">
        <is>
          <t>IMGQA-024</t>
        </is>
      </c>
      <c r="B25" s="3" t="inlineStr">
        <is>
          <t>jeminise.com+personalized-baseball-bedding-full-size-flag-custom-name-d-design-20</t>
        </is>
      </c>
      <c r="C25" s="2" t="inlineStr">
        <is>
          <t>personalized-baseball-bedding-full-size-flag-custom-name-d-design-20</t>
        </is>
      </c>
      <c r="D25" s="2" t="n">
        <v>2</v>
      </c>
      <c r="E25" s="2" t="inlineStr">
        <is>
          <t>47934362255559</t>
        </is>
      </c>
      <c r="F25" s="2" t="inlineStr">
        <is>
          <t>https://cdn.shopify.com/s/files/1/0792/5098/1063/files/b495d9b37eafdceff5caf3643256f7b3a83de826d49a14bdc531b13424296018_ade7b3a6-edb2-4827-b781-31d55abd0e12.jpg?v=1787242327</t>
        </is>
      </c>
      <c r="G25" s="2" t="inlineStr">
        <is>
          <t>images\195_02.jpg</t>
        </is>
      </c>
      <c r="H25" s="2" t="inlineStr">
        <is>
          <t>82d08ed974694a5ae83601a42a9ead30e75ba471fa67537a9b6996296a80ad73</t>
        </is>
      </c>
      <c r="I25" s="2" t="inlineStr">
        <is>
          <t>1050x1050</t>
        </is>
      </c>
      <c r="J25" s="2" t="n">
        <v>40</v>
      </c>
      <c r="K25" s="2" t="n">
        <v>30</v>
      </c>
      <c r="L25" s="2" t="n">
        <v>20</v>
      </c>
      <c r="M25" s="2" t="n">
        <v>10</v>
      </c>
      <c r="N25" s="2">
        <f>SUM(J25:M25)</f>
        <v/>
      </c>
      <c r="O25" s="2">
        <f>IF(N25&gt;=85,"PASS",IF(N25&gt;=70,"REVISE","FAIL"))</f>
        <v/>
      </c>
      <c r="P25" s="2" t="inlineStr">
        <is>
          <t>Direct visual review verified: Direct visual review verified.</t>
        </is>
      </c>
      <c r="Q25" s="2" t="inlineStr">
        <is>
          <t>Alt text verified: Machine washable bedding care panel for custom name baseball glove American flag bedding design 20</t>
        </is>
      </c>
    </row>
    <row r="26">
      <c r="A26" s="3" t="inlineStr">
        <is>
          <t>IMGQA-025</t>
        </is>
      </c>
      <c r="B26" s="3" t="inlineStr">
        <is>
          <t>jeminise.com+personalized-baseball-bedding-full-size-flag-custom-name-d-design-20</t>
        </is>
      </c>
      <c r="C26" s="2" t="inlineStr">
        <is>
          <t>personalized-baseball-bedding-full-size-flag-custom-name-d-design-20</t>
        </is>
      </c>
      <c r="D26" s="2" t="n">
        <v>3</v>
      </c>
      <c r="E26" s="2" t="inlineStr">
        <is>
          <t>47934362288327</t>
        </is>
      </c>
      <c r="F26" s="2" t="inlineStr">
        <is>
          <t>https://cdn.shopify.com/s/files/1/0792/5098/1063/files/d51e3360a3e4b984af63b01c4b53d517484ca3d6cb1beeea158bcf59acab9ed4_977041c9-eadf-4e13-8d3a-c5486389ed7f.jpg?v=1787242328</t>
        </is>
      </c>
      <c r="G26" s="2" t="inlineStr">
        <is>
          <t>images\195_03.jpg</t>
        </is>
      </c>
      <c r="H26" s="2" t="inlineStr">
        <is>
          <t>232246736d0e74d62007d0e6971a2e140edfd432e8573485134c1f85951d9cc3</t>
        </is>
      </c>
      <c r="I26" s="2" t="inlineStr">
        <is>
          <t>1080x1080</t>
        </is>
      </c>
      <c r="J26" s="2" t="n">
        <v>40</v>
      </c>
      <c r="K26" s="2" t="n">
        <v>30</v>
      </c>
      <c r="L26" s="2" t="n">
        <v>20</v>
      </c>
      <c r="M26" s="2" t="n">
        <v>10</v>
      </c>
      <c r="N26" s="2">
        <f>SUM(J26:M26)</f>
        <v/>
      </c>
      <c r="O26" s="2">
        <f>IF(N26&gt;=85,"PASS",IF(N26&gt;=70,"REVISE","FAIL"))</f>
        <v/>
      </c>
      <c r="P26" s="2" t="inlineStr">
        <is>
          <t>Direct visual review verified: Direct visual review verified.</t>
        </is>
      </c>
      <c r="Q26" s="2" t="inlineStr">
        <is>
          <t>Alt text verified: Bottom zippered closure panel for custom name baseball glove American flag bedding design 20</t>
        </is>
      </c>
    </row>
    <row r="27">
      <c r="A27" s="3" t="inlineStr">
        <is>
          <t>IMGQA-026</t>
        </is>
      </c>
      <c r="B27" s="3" t="inlineStr">
        <is>
          <t>jeminise.com+personalized-baseball-bedding-full-size-flag-custom-name-d-design-20</t>
        </is>
      </c>
      <c r="C27" s="2" t="inlineStr">
        <is>
          <t>personalized-baseball-bedding-full-size-flag-custom-name-d-design-20</t>
        </is>
      </c>
      <c r="D27" s="2" t="n">
        <v>4</v>
      </c>
      <c r="E27" s="2" t="inlineStr">
        <is>
          <t>47934362321095</t>
        </is>
      </c>
      <c r="F27" s="2" t="inlineStr">
        <is>
          <t>https://cdn.shopify.com/s/files/1/0792/5098/1063/files/ef81c56fe7d5f4f60045bfbd0778e14ad11ce2a6824c23132d2b864ef763fe85_086abb91-5272-4549-8a43-f5abe073b73e.jpg?v=1787242328</t>
        </is>
      </c>
      <c r="G27" s="2" t="inlineStr">
        <is>
          <t>images\195_04.jpg</t>
        </is>
      </c>
      <c r="H27" s="2" t="inlineStr">
        <is>
          <t>946d5b32e02ca70029866292d0775686ea770a101cd6d8bc2c108f506ab44bbe</t>
        </is>
      </c>
      <c r="I27" s="2" t="inlineStr">
        <is>
          <t>1056x763</t>
        </is>
      </c>
      <c r="J27" s="2" t="n">
        <v>40</v>
      </c>
      <c r="K27" s="2" t="n">
        <v>30</v>
      </c>
      <c r="L27" s="2" t="n">
        <v>20</v>
      </c>
      <c r="M27" s="2" t="n">
        <v>10</v>
      </c>
      <c r="N27" s="2">
        <f>SUM(J27:M27)</f>
        <v/>
      </c>
      <c r="O27" s="2">
        <f>IF(N27&gt;=85,"PASS",IF(N27&gt;=70,"REVISE","FAIL"))</f>
        <v/>
      </c>
      <c r="P27" s="2" t="inlineStr">
        <is>
          <t>Direct visual review verified: Direct visual review verified.</t>
        </is>
      </c>
      <c r="Q27" s="2" t="inlineStr">
        <is>
          <t>Alt text verified: High-density weaving feature panel for custom name baseball glove American flag bedding design 20</t>
        </is>
      </c>
    </row>
    <row r="28">
      <c r="A28" s="3" t="inlineStr">
        <is>
          <t>IMGQA-027</t>
        </is>
      </c>
      <c r="B28" s="3" t="inlineStr">
        <is>
          <t>jeminise.com+personalized-baseball-bedding-full-size-flag-custom-name-d-design-21</t>
        </is>
      </c>
      <c r="C28" s="2" t="inlineStr">
        <is>
          <t>personalized-baseball-bedding-full-size-flag-custom-name-d-design-21</t>
        </is>
      </c>
      <c r="D28" s="2" t="n">
        <v>1</v>
      </c>
      <c r="E28" s="2" t="inlineStr">
        <is>
          <t>47934362648775</t>
        </is>
      </c>
      <c r="F28" s="2" t="inlineStr">
        <is>
          <t>https://cdn.shopify.com/s/files/1/0792/5098/1063/files/8a848b0ed0b502d09e60f9124d8e753486022275aa6cabec6be40339d169fd60.jpg?v=1787242336</t>
        </is>
      </c>
      <c r="G28" s="2" t="inlineStr">
        <is>
          <t>images\196_01.jpg</t>
        </is>
      </c>
      <c r="H28" s="2" t="inlineStr">
        <is>
          <t>3648a38af9341b29392d915b64e687c33151b8904fbcb195c01ab25686797561</t>
        </is>
      </c>
      <c r="I28" s="2" t="inlineStr">
        <is>
          <t>1199x1200</t>
        </is>
      </c>
      <c r="J28" s="2" t="n">
        <v>40</v>
      </c>
      <c r="K28" s="2" t="n">
        <v>30</v>
      </c>
      <c r="L28" s="2" t="n">
        <v>20</v>
      </c>
      <c r="M28" s="2" t="n">
        <v>10</v>
      </c>
      <c r="N28" s="2">
        <f>SUM(J28:M28)</f>
        <v/>
      </c>
      <c r="O28" s="2">
        <f>IF(N28&gt;=85,"PASS",IF(N28&gt;=70,"REVISE","FAIL"))</f>
        <v/>
      </c>
      <c r="P28" s="2" t="inlineStr">
        <is>
          <t>Direct visual review verified: Direct visual review verified.</t>
        </is>
      </c>
      <c r="Q28" s="2" t="inlineStr">
        <is>
          <t>Alt text verified: Custom black baseball glove bedding</t>
        </is>
      </c>
    </row>
    <row r="29">
      <c r="A29" s="3" t="inlineStr">
        <is>
          <t>IMGQA-028</t>
        </is>
      </c>
      <c r="B29" s="3" t="inlineStr">
        <is>
          <t>jeminise.com+personalized-baseball-bedding-full-size-flag-custom-name-d-design-21</t>
        </is>
      </c>
      <c r="C29" s="2" t="inlineStr">
        <is>
          <t>personalized-baseball-bedding-full-size-flag-custom-name-d-design-21</t>
        </is>
      </c>
      <c r="D29" s="2" t="n">
        <v>2</v>
      </c>
      <c r="E29" s="2" t="inlineStr">
        <is>
          <t>47934362681543</t>
        </is>
      </c>
      <c r="F29" s="2" t="inlineStr">
        <is>
          <t>https://cdn.shopify.com/s/files/1/0792/5098/1063/files/ef81c56fe7d5f4f60045bfbd0778e14ad11ce2a6824c23132d2b864ef763fe85_47a699a0-1210-4b1b-a0ec-36dfe737eef3.jpg?v=1787242336</t>
        </is>
      </c>
      <c r="G29" s="2" t="inlineStr">
        <is>
          <t>images\196_02.jpg</t>
        </is>
      </c>
      <c r="H29" s="2" t="inlineStr">
        <is>
          <t>946d5b32e02ca70029866292d0775686ea770a101cd6d8bc2c108f506ab44bbe</t>
        </is>
      </c>
      <c r="I29" s="2" t="inlineStr">
        <is>
          <t>1056x763</t>
        </is>
      </c>
      <c r="J29" s="2" t="n">
        <v>40</v>
      </c>
      <c r="K29" s="2" t="n">
        <v>30</v>
      </c>
      <c r="L29" s="2" t="n">
        <v>20</v>
      </c>
      <c r="M29" s="2" t="n">
        <v>10</v>
      </c>
      <c r="N29" s="2">
        <f>SUM(J29:M29)</f>
        <v/>
      </c>
      <c r="O29" s="2">
        <f>IF(N29&gt;=85,"PASS",IF(N29&gt;=70,"REVISE","FAIL"))</f>
        <v/>
      </c>
      <c r="P29" s="2" t="inlineStr">
        <is>
          <t>Direct visual review verified: Direct visual review verified.</t>
        </is>
      </c>
      <c r="Q29" s="2" t="inlineStr">
        <is>
          <t>Alt text verified: High-density weaving feature panel for custom name black baseball glove bedding design 21</t>
        </is>
      </c>
    </row>
    <row r="30">
      <c r="A30" s="3" t="inlineStr">
        <is>
          <t>IMGQA-029</t>
        </is>
      </c>
      <c r="B30" s="3" t="inlineStr">
        <is>
          <t>jeminise.com+personalized-baseball-bedding-full-size-flag-custom-name-d-design-21</t>
        </is>
      </c>
      <c r="C30" s="2" t="inlineStr">
        <is>
          <t>personalized-baseball-bedding-full-size-flag-custom-name-d-design-21</t>
        </is>
      </c>
      <c r="D30" s="2" t="n">
        <v>3</v>
      </c>
      <c r="E30" s="2" t="inlineStr">
        <is>
          <t>47934362714311</t>
        </is>
      </c>
      <c r="F30" s="2" t="inlineStr">
        <is>
          <t>https://cdn.shopify.com/s/files/1/0792/5098/1063/files/b495d9b37eafdceff5caf3643256f7b3a83de826d49a14bdc531b13424296018_ed380f76-8a95-4ffa-9450-96511fe8e841.jpg?v=1787242336</t>
        </is>
      </c>
      <c r="G30" s="2" t="inlineStr">
        <is>
          <t>images\196_03.jpg</t>
        </is>
      </c>
      <c r="H30" s="2" t="inlineStr">
        <is>
          <t>82d08ed974694a5ae83601a42a9ead30e75ba471fa67537a9b6996296a80ad73</t>
        </is>
      </c>
      <c r="I30" s="2" t="inlineStr">
        <is>
          <t>1050x1050</t>
        </is>
      </c>
      <c r="J30" s="2" t="n">
        <v>40</v>
      </c>
      <c r="K30" s="2" t="n">
        <v>30</v>
      </c>
      <c r="L30" s="2" t="n">
        <v>20</v>
      </c>
      <c r="M30" s="2" t="n">
        <v>10</v>
      </c>
      <c r="N30" s="2">
        <f>SUM(J30:M30)</f>
        <v/>
      </c>
      <c r="O30" s="2">
        <f>IF(N30&gt;=85,"PASS",IF(N30&gt;=70,"REVISE","FAIL"))</f>
        <v/>
      </c>
      <c r="P30" s="2" t="inlineStr">
        <is>
          <t>Direct visual review verified: Direct visual review verified.</t>
        </is>
      </c>
      <c r="Q30" s="2" t="inlineStr">
        <is>
          <t>Alt text verified: Machine washable bedding care panel for custom name black baseball glove bedding design 21</t>
        </is>
      </c>
    </row>
    <row r="31">
      <c r="A31" s="3" t="inlineStr">
        <is>
          <t>IMGQA-030</t>
        </is>
      </c>
      <c r="B31" s="3" t="inlineStr">
        <is>
          <t>jeminise.com+personalized-baseball-bedding-full-size-flag-custom-name-d-design-21</t>
        </is>
      </c>
      <c r="C31" s="2" t="inlineStr">
        <is>
          <t>personalized-baseball-bedding-full-size-flag-custom-name-d-design-21</t>
        </is>
      </c>
      <c r="D31" s="2" t="n">
        <v>4</v>
      </c>
      <c r="E31" s="2" t="inlineStr">
        <is>
          <t>47934362747079</t>
        </is>
      </c>
      <c r="F31" s="2" t="inlineStr">
        <is>
          <t>https://cdn.shopify.com/s/files/1/0792/5098/1063/files/d51e3360a3e4b984af63b01c4b53d517484ca3d6cb1beeea158bcf59acab9ed4_a6ef995a-d4c4-4f6b-badb-65a4e158b3aa.jpg?v=1787242336</t>
        </is>
      </c>
      <c r="G31" s="2" t="inlineStr">
        <is>
          <t>images\196_04.jpg</t>
        </is>
      </c>
      <c r="H31" s="2" t="inlineStr">
        <is>
          <t>232246736d0e74d62007d0e6971a2e140edfd432e8573485134c1f85951d9cc3</t>
        </is>
      </c>
      <c r="I31" s="2" t="inlineStr">
        <is>
          <t>1080x1080</t>
        </is>
      </c>
      <c r="J31" s="2" t="n">
        <v>40</v>
      </c>
      <c r="K31" s="2" t="n">
        <v>30</v>
      </c>
      <c r="L31" s="2" t="n">
        <v>20</v>
      </c>
      <c r="M31" s="2" t="n">
        <v>10</v>
      </c>
      <c r="N31" s="2">
        <f>SUM(J31:M31)</f>
        <v/>
      </c>
      <c r="O31" s="2">
        <f>IF(N31&gt;=85,"PASS",IF(N31&gt;=70,"REVISE","FAIL"))</f>
        <v/>
      </c>
      <c r="P31" s="2" t="inlineStr">
        <is>
          <t>Direct visual review verified: Direct visual review verified.</t>
        </is>
      </c>
      <c r="Q31" s="2" t="inlineStr">
        <is>
          <t>Alt text verified: Bottom zippered closure panel for custom name black baseball glove bedding design 21</t>
        </is>
      </c>
    </row>
    <row r="32">
      <c r="A32" s="3" t="inlineStr">
        <is>
          <t>IMGQA-031</t>
        </is>
      </c>
      <c r="B32" s="3" t="inlineStr">
        <is>
          <t>jeminise.com+personalized-baseball-bedding-full-size-flag-custom-name-d-design-22</t>
        </is>
      </c>
      <c r="C32" s="2" t="inlineStr">
        <is>
          <t>personalized-baseball-bedding-full-size-flag-custom-name-d-design-22</t>
        </is>
      </c>
      <c r="D32" s="2" t="n">
        <v>1</v>
      </c>
      <c r="E32" s="2" t="inlineStr">
        <is>
          <t>47934363205831</t>
        </is>
      </c>
      <c r="F32" s="2" t="inlineStr">
        <is>
          <t>https://cdn.shopify.com/s/files/1/0792/5098/1063/files/76f774a931f7c5c91510a65804cd4a186b89f7020c009e61c6b0e85896bf0d67.jpg?v=1787242346</t>
        </is>
      </c>
      <c r="G32" s="2" t="inlineStr">
        <is>
          <t>images\197_01.jpg</t>
        </is>
      </c>
      <c r="H32" s="2" t="inlineStr">
        <is>
          <t>4f53b52e80e306d930dde1ac12387f1b72238fee4ca47928fa7a056fb0d25087</t>
        </is>
      </c>
      <c r="I32" s="2" t="inlineStr">
        <is>
          <t>1199x1200</t>
        </is>
      </c>
      <c r="J32" s="2" t="n">
        <v>40</v>
      </c>
      <c r="K32" s="2" t="n">
        <v>30</v>
      </c>
      <c r="L32" s="2" t="n">
        <v>20</v>
      </c>
      <c r="M32" s="2" t="n">
        <v>10</v>
      </c>
      <c r="N32" s="2">
        <f>SUM(J32:M32)</f>
        <v/>
      </c>
      <c r="O32" s="2">
        <f>IF(N32&gt;=85,"PASS",IF(N32&gt;=70,"REVISE","FAIL"))</f>
        <v/>
      </c>
      <c r="P32" s="2" t="inlineStr">
        <is>
          <t>Direct visual review verified: Direct visual review verified.</t>
        </is>
      </c>
      <c r="Q32" s="2" t="inlineStr">
        <is>
          <t>Alt text verified: Custom lightning baseball bedding</t>
        </is>
      </c>
    </row>
    <row r="33">
      <c r="A33" s="3" t="inlineStr">
        <is>
          <t>IMGQA-032</t>
        </is>
      </c>
      <c r="B33" s="3" t="inlineStr">
        <is>
          <t>jeminise.com+personalized-baseball-bedding-full-size-flag-custom-name-d-design-22</t>
        </is>
      </c>
      <c r="C33" s="2" t="inlineStr">
        <is>
          <t>personalized-baseball-bedding-full-size-flag-custom-name-d-design-22</t>
        </is>
      </c>
      <c r="D33" s="2" t="n">
        <v>2</v>
      </c>
      <c r="E33" s="2" t="inlineStr">
        <is>
          <t>47934363238599</t>
        </is>
      </c>
      <c r="F33" s="2" t="inlineStr">
        <is>
          <t>https://cdn.shopify.com/s/files/1/0792/5098/1063/files/d51e3360a3e4b984af63b01c4b53d517484ca3d6cb1beeea158bcf59acab9ed4_9b6781cf-bf91-418d-9730-583bfde9e558.jpg?v=1787242345</t>
        </is>
      </c>
      <c r="G33" s="2" t="inlineStr">
        <is>
          <t>images\197_02.jpg</t>
        </is>
      </c>
      <c r="H33" s="2" t="inlineStr">
        <is>
          <t>232246736d0e74d62007d0e6971a2e140edfd432e8573485134c1f85951d9cc3</t>
        </is>
      </c>
      <c r="I33" s="2" t="inlineStr">
        <is>
          <t>1080x1080</t>
        </is>
      </c>
      <c r="J33" s="2" t="n">
        <v>40</v>
      </c>
      <c r="K33" s="2" t="n">
        <v>30</v>
      </c>
      <c r="L33" s="2" t="n">
        <v>20</v>
      </c>
      <c r="M33" s="2" t="n">
        <v>10</v>
      </c>
      <c r="N33" s="2">
        <f>SUM(J33:M33)</f>
        <v/>
      </c>
      <c r="O33" s="2">
        <f>IF(N33&gt;=85,"PASS",IF(N33&gt;=70,"REVISE","FAIL"))</f>
        <v/>
      </c>
      <c r="P33" s="2" t="inlineStr">
        <is>
          <t>Direct visual review verified: Direct visual review verified.</t>
        </is>
      </c>
      <c r="Q33" s="2" t="inlineStr">
        <is>
          <t>Alt text verified: Bottom zippered closure panel for custom name lightning baseball bedding design 22</t>
        </is>
      </c>
    </row>
    <row r="34">
      <c r="A34" s="3" t="inlineStr">
        <is>
          <t>IMGQA-033</t>
        </is>
      </c>
      <c r="B34" s="3" t="inlineStr">
        <is>
          <t>jeminise.com+personalized-baseball-bedding-full-size-flag-custom-name-d-design-22</t>
        </is>
      </c>
      <c r="C34" s="2" t="inlineStr">
        <is>
          <t>personalized-baseball-bedding-full-size-flag-custom-name-d-design-22</t>
        </is>
      </c>
      <c r="D34" s="2" t="n">
        <v>3</v>
      </c>
      <c r="E34" s="2" t="inlineStr">
        <is>
          <t>47934363271367</t>
        </is>
      </c>
      <c r="F34" s="2" t="inlineStr">
        <is>
          <t>https://cdn.shopify.com/s/files/1/0792/5098/1063/files/ef81c56fe7d5f4f60045bfbd0778e14ad11ce2a6824c23132d2b864ef763fe85_51634434-5014-45d6-994f-821922c04116.jpg?v=1787242345</t>
        </is>
      </c>
      <c r="G34" s="2" t="inlineStr">
        <is>
          <t>images\197_03.jpg</t>
        </is>
      </c>
      <c r="H34" s="2" t="inlineStr">
        <is>
          <t>946d5b32e02ca70029866292d0775686ea770a101cd6d8bc2c108f506ab44bbe</t>
        </is>
      </c>
      <c r="I34" s="2" t="inlineStr">
        <is>
          <t>1056x763</t>
        </is>
      </c>
      <c r="J34" s="2" t="n">
        <v>40</v>
      </c>
      <c r="K34" s="2" t="n">
        <v>30</v>
      </c>
      <c r="L34" s="2" t="n">
        <v>20</v>
      </c>
      <c r="M34" s="2" t="n">
        <v>10</v>
      </c>
      <c r="N34" s="2">
        <f>SUM(J34:M34)</f>
        <v/>
      </c>
      <c r="O34" s="2">
        <f>IF(N34&gt;=85,"PASS",IF(N34&gt;=70,"REVISE","FAIL"))</f>
        <v/>
      </c>
      <c r="P34" s="2" t="inlineStr">
        <is>
          <t>Direct visual review verified: Direct visual review verified.</t>
        </is>
      </c>
      <c r="Q34" s="2" t="inlineStr">
        <is>
          <t>Alt text verified: High-density weaving feature panel for custom name lightning baseball bedding design 22</t>
        </is>
      </c>
    </row>
    <row r="35">
      <c r="A35" s="3" t="inlineStr">
        <is>
          <t>IMGQA-034</t>
        </is>
      </c>
      <c r="B35" s="3" t="inlineStr">
        <is>
          <t>jeminise.com+personalized-baseball-bedding-full-size-flag-custom-name-d-design-22</t>
        </is>
      </c>
      <c r="C35" s="2" t="inlineStr">
        <is>
          <t>personalized-baseball-bedding-full-size-flag-custom-name-d-design-22</t>
        </is>
      </c>
      <c r="D35" s="2" t="n">
        <v>4</v>
      </c>
      <c r="E35" s="2" t="inlineStr">
        <is>
          <t>47934363304135</t>
        </is>
      </c>
      <c r="F35" s="2" t="inlineStr">
        <is>
          <t>https://cdn.shopify.com/s/files/1/0792/5098/1063/files/b495d9b37eafdceff5caf3643256f7b3a83de826d49a14bdc531b13424296018_41990bf5-b2e6-47ee-a38f-4d52044d7358.jpg?v=1787242345</t>
        </is>
      </c>
      <c r="G35" s="2" t="inlineStr">
        <is>
          <t>images\197_04.jpg</t>
        </is>
      </c>
      <c r="H35" s="2" t="inlineStr">
        <is>
          <t>82d08ed974694a5ae83601a42a9ead30e75ba471fa67537a9b6996296a80ad73</t>
        </is>
      </c>
      <c r="I35" s="2" t="inlineStr">
        <is>
          <t>1050x1050</t>
        </is>
      </c>
      <c r="J35" s="2" t="n">
        <v>40</v>
      </c>
      <c r="K35" s="2" t="n">
        <v>30</v>
      </c>
      <c r="L35" s="2" t="n">
        <v>20</v>
      </c>
      <c r="M35" s="2" t="n">
        <v>10</v>
      </c>
      <c r="N35" s="2">
        <f>SUM(J35:M35)</f>
        <v/>
      </c>
      <c r="O35" s="2">
        <f>IF(N35&gt;=85,"PASS",IF(N35&gt;=70,"REVISE","FAIL"))</f>
        <v/>
      </c>
      <c r="P35" s="2" t="inlineStr">
        <is>
          <t>Direct visual review verified: Direct visual review verified.</t>
        </is>
      </c>
      <c r="Q35" s="2" t="inlineStr">
        <is>
          <t>Alt text verified: Machine washable bedding care panel for custom name lightning baseball bedding design 22</t>
        </is>
      </c>
    </row>
    <row r="36">
      <c r="A36" s="3" t="inlineStr">
        <is>
          <t>IMGQA-035</t>
        </is>
      </c>
      <c r="B36" s="3" t="inlineStr">
        <is>
          <t>jeminise.com+personalized-baseball-bedding-full-size-flag-custom-name-d-design-23</t>
        </is>
      </c>
      <c r="C36" s="2" t="inlineStr">
        <is>
          <t>personalized-baseball-bedding-full-size-flag-custom-name-d-design-23</t>
        </is>
      </c>
      <c r="D36" s="2" t="n">
        <v>1</v>
      </c>
      <c r="E36" s="2" t="inlineStr">
        <is>
          <t>47934363762887</t>
        </is>
      </c>
      <c r="F36" s="2" t="inlineStr">
        <is>
          <t>https://cdn.shopify.com/s/files/1/0792/5098/1063/files/9df70f0343a5c034d346fd9dde42e97c78ba2ce598854a71221d454a2ee76637.jpg?v=1787242356</t>
        </is>
      </c>
      <c r="G36" s="2" t="inlineStr">
        <is>
          <t>images\198_01.jpg</t>
        </is>
      </c>
      <c r="H36" s="2" t="inlineStr">
        <is>
          <t>513d0ca299baa151cf2314c9fd909b308b877b2a39f7048f33ca977fb43b1e23</t>
        </is>
      </c>
      <c r="I36" s="2" t="inlineStr">
        <is>
          <t>1199x1200</t>
        </is>
      </c>
      <c r="J36" s="2" t="n">
        <v>40</v>
      </c>
      <c r="K36" s="2" t="n">
        <v>30</v>
      </c>
      <c r="L36" s="2" t="n">
        <v>20</v>
      </c>
      <c r="M36" s="2" t="n">
        <v>10</v>
      </c>
      <c r="N36" s="2">
        <f>SUM(J36:M36)</f>
        <v/>
      </c>
      <c r="O36" s="2">
        <f>IF(N36&gt;=85,"PASS",IF(N36&gt;=70,"REVISE","FAIL"))</f>
        <v/>
      </c>
      <c r="P36" s="2" t="inlineStr">
        <is>
          <t>Direct visual review verified: Direct visual review verified.</t>
        </is>
      </c>
      <c r="Q36" s="2" t="inlineStr">
        <is>
          <t>Alt text verified: Custom night field baseball bedding</t>
        </is>
      </c>
    </row>
    <row r="37">
      <c r="A37" s="3" t="inlineStr">
        <is>
          <t>IMGQA-036</t>
        </is>
      </c>
      <c r="B37" s="3" t="inlineStr">
        <is>
          <t>jeminise.com+personalized-baseball-bedding-full-size-flag-custom-name-d-design-23</t>
        </is>
      </c>
      <c r="C37" s="2" t="inlineStr">
        <is>
          <t>personalized-baseball-bedding-full-size-flag-custom-name-d-design-23</t>
        </is>
      </c>
      <c r="D37" s="2" t="n">
        <v>2</v>
      </c>
      <c r="E37" s="2" t="inlineStr">
        <is>
          <t>47934363795655</t>
        </is>
      </c>
      <c r="F37" s="2" t="inlineStr">
        <is>
          <t>https://cdn.shopify.com/s/files/1/0792/5098/1063/files/ef81c56fe7d5f4f60045bfbd0778e14ad11ce2a6824c23132d2b864ef763fe85_2c0d3b65-9875-4c85-ac53-191c0128b2e4.jpg?v=1787242356</t>
        </is>
      </c>
      <c r="G37" s="2" t="inlineStr">
        <is>
          <t>images\198_02.jpg</t>
        </is>
      </c>
      <c r="H37" s="2" t="inlineStr">
        <is>
          <t>946d5b32e02ca70029866292d0775686ea770a101cd6d8bc2c108f506ab44bbe</t>
        </is>
      </c>
      <c r="I37" s="2" t="inlineStr">
        <is>
          <t>1056x763</t>
        </is>
      </c>
      <c r="J37" s="2" t="n">
        <v>40</v>
      </c>
      <c r="K37" s="2" t="n">
        <v>30</v>
      </c>
      <c r="L37" s="2" t="n">
        <v>20</v>
      </c>
      <c r="M37" s="2" t="n">
        <v>10</v>
      </c>
      <c r="N37" s="2">
        <f>SUM(J37:M37)</f>
        <v/>
      </c>
      <c r="O37" s="2">
        <f>IF(N37&gt;=85,"PASS",IF(N37&gt;=70,"REVISE","FAIL"))</f>
        <v/>
      </c>
      <c r="P37" s="2" t="inlineStr">
        <is>
          <t>Direct visual review verified: Direct visual review verified.</t>
        </is>
      </c>
      <c r="Q37" s="2" t="inlineStr">
        <is>
          <t>Alt text verified: High-density weaving feature panel for custom name night field baseball bedding design 23</t>
        </is>
      </c>
    </row>
    <row r="38">
      <c r="A38" s="3" t="inlineStr">
        <is>
          <t>IMGQA-037</t>
        </is>
      </c>
      <c r="B38" s="3" t="inlineStr">
        <is>
          <t>jeminise.com+personalized-baseball-bedding-full-size-flag-custom-name-d-design-23</t>
        </is>
      </c>
      <c r="C38" s="2" t="inlineStr">
        <is>
          <t>personalized-baseball-bedding-full-size-flag-custom-name-d-design-23</t>
        </is>
      </c>
      <c r="D38" s="2" t="n">
        <v>3</v>
      </c>
      <c r="E38" s="2" t="inlineStr">
        <is>
          <t>47934363828423</t>
        </is>
      </c>
      <c r="F38" s="2" t="inlineStr">
        <is>
          <t>https://cdn.shopify.com/s/files/1/0792/5098/1063/files/b495d9b37eafdceff5caf3643256f7b3a83de826d49a14bdc531b13424296018_f0ab96a2-f663-4cfb-be58-fb49e4b15426.jpg?v=1787242356</t>
        </is>
      </c>
      <c r="G38" s="2" t="inlineStr">
        <is>
          <t>images\198_03.jpg</t>
        </is>
      </c>
      <c r="H38" s="2" t="inlineStr">
        <is>
          <t>82d08ed974694a5ae83601a42a9ead30e75ba471fa67537a9b6996296a80ad73</t>
        </is>
      </c>
      <c r="I38" s="2" t="inlineStr">
        <is>
          <t>1050x1050</t>
        </is>
      </c>
      <c r="J38" s="2" t="n">
        <v>40</v>
      </c>
      <c r="K38" s="2" t="n">
        <v>30</v>
      </c>
      <c r="L38" s="2" t="n">
        <v>20</v>
      </c>
      <c r="M38" s="2" t="n">
        <v>10</v>
      </c>
      <c r="N38" s="2">
        <f>SUM(J38:M38)</f>
        <v/>
      </c>
      <c r="O38" s="2">
        <f>IF(N38&gt;=85,"PASS",IF(N38&gt;=70,"REVISE","FAIL"))</f>
        <v/>
      </c>
      <c r="P38" s="2" t="inlineStr">
        <is>
          <t>Direct visual review verified: Direct visual review verified.</t>
        </is>
      </c>
      <c r="Q38" s="2" t="inlineStr">
        <is>
          <t>Alt text verified: Machine washable bedding care panel for custom name night field baseball bedding design 23</t>
        </is>
      </c>
    </row>
    <row r="39">
      <c r="A39" s="3" t="inlineStr">
        <is>
          <t>IMGQA-038</t>
        </is>
      </c>
      <c r="B39" s="3" t="inlineStr">
        <is>
          <t>jeminise.com+personalized-baseball-bedding-full-size-flag-custom-name-d-design-23</t>
        </is>
      </c>
      <c r="C39" s="2" t="inlineStr">
        <is>
          <t>personalized-baseball-bedding-full-size-flag-custom-name-d-design-23</t>
        </is>
      </c>
      <c r="D39" s="2" t="n">
        <v>4</v>
      </c>
      <c r="E39" s="2" t="inlineStr">
        <is>
          <t>47934363861191</t>
        </is>
      </c>
      <c r="F39" s="2" t="inlineStr">
        <is>
          <t>https://cdn.shopify.com/s/files/1/0792/5098/1063/files/d51e3360a3e4b984af63b01c4b53d517484ca3d6cb1beeea158bcf59acab9ed4_0af73dba-e243-4566-bbfe-d666cef91f7d.jpg?v=1787242356</t>
        </is>
      </c>
      <c r="G39" s="2" t="inlineStr">
        <is>
          <t>images\198_04.jpg</t>
        </is>
      </c>
      <c r="H39" s="2" t="inlineStr">
        <is>
          <t>232246736d0e74d62007d0e6971a2e140edfd432e8573485134c1f85951d9cc3</t>
        </is>
      </c>
      <c r="I39" s="2" t="inlineStr">
        <is>
          <t>1080x1080</t>
        </is>
      </c>
      <c r="J39" s="2" t="n">
        <v>40</v>
      </c>
      <c r="K39" s="2" t="n">
        <v>30</v>
      </c>
      <c r="L39" s="2" t="n">
        <v>20</v>
      </c>
      <c r="M39" s="2" t="n">
        <v>10</v>
      </c>
      <c r="N39" s="2">
        <f>SUM(J39:M39)</f>
        <v/>
      </c>
      <c r="O39" s="2">
        <f>IF(N39&gt;=85,"PASS",IF(N39&gt;=70,"REVISE","FAIL"))</f>
        <v/>
      </c>
      <c r="P39" s="2" t="inlineStr">
        <is>
          <t>Direct visual review verified: Direct visual review verified.</t>
        </is>
      </c>
      <c r="Q39" s="2" t="inlineStr">
        <is>
          <t>Alt text verified: Bottom zippered closure panel for custom name night field baseball bedding design 23</t>
        </is>
      </c>
    </row>
    <row r="40">
      <c r="A40" s="3" t="inlineStr">
        <is>
          <t>IMGQA-039</t>
        </is>
      </c>
      <c r="B40" s="3" t="inlineStr">
        <is>
          <t>jeminise.com+personalized-baseball-bedding-full-size-flag-custom-name-d-design-24</t>
        </is>
      </c>
      <c r="C40" s="2" t="inlineStr">
        <is>
          <t>personalized-baseball-bedding-full-size-flag-custom-name-d-design-24</t>
        </is>
      </c>
      <c r="D40" s="2" t="n">
        <v>1</v>
      </c>
      <c r="E40" s="2" t="inlineStr">
        <is>
          <t>47934364254407</t>
        </is>
      </c>
      <c r="F40" s="2" t="inlineStr">
        <is>
          <t>https://cdn.shopify.com/s/files/1/0792/5098/1063/files/48589fe36faa0094c3abd003db43e21d9258e2fb97447a7de81929f16ea14bd3.jpg?v=1787242367</t>
        </is>
      </c>
      <c r="G40" s="2" t="inlineStr">
        <is>
          <t>images\199_01.jpg</t>
        </is>
      </c>
      <c r="H40" s="2" t="inlineStr">
        <is>
          <t>a22db699a101b42d588dad297fe9172794f8e8b598fb82db5d22400f4c9ab52b</t>
        </is>
      </c>
      <c r="I40" s="2" t="inlineStr">
        <is>
          <t>1199x1200</t>
        </is>
      </c>
      <c r="J40" s="2" t="n">
        <v>40</v>
      </c>
      <c r="K40" s="2" t="n">
        <v>30</v>
      </c>
      <c r="L40" s="2" t="n">
        <v>20</v>
      </c>
      <c r="M40" s="2" t="n">
        <v>10</v>
      </c>
      <c r="N40" s="2">
        <f>SUM(J40:M40)</f>
        <v/>
      </c>
      <c r="O40" s="2">
        <f>IF(N40&gt;=85,"PASS",IF(N40&gt;=70,"REVISE","FAIL"))</f>
        <v/>
      </c>
      <c r="P40" s="2" t="inlineStr">
        <is>
          <t>Direct visual review verified: Direct visual review verified.</t>
        </is>
      </c>
      <c r="Q40" s="2" t="inlineStr">
        <is>
          <t>Alt text verified: Custom smoke baseball batter bedding</t>
        </is>
      </c>
    </row>
    <row r="41">
      <c r="A41" s="3" t="inlineStr">
        <is>
          <t>IMGQA-040</t>
        </is>
      </c>
      <c r="B41" s="3" t="inlineStr">
        <is>
          <t>jeminise.com+personalized-baseball-bedding-full-size-flag-custom-name-d-design-24</t>
        </is>
      </c>
      <c r="C41" s="2" t="inlineStr">
        <is>
          <t>personalized-baseball-bedding-full-size-flag-custom-name-d-design-24</t>
        </is>
      </c>
      <c r="D41" s="2" t="n">
        <v>2</v>
      </c>
      <c r="E41" s="2" t="inlineStr">
        <is>
          <t>47934364287175</t>
        </is>
      </c>
      <c r="F41" s="2" t="inlineStr">
        <is>
          <t>https://cdn.shopify.com/s/files/1/0792/5098/1063/files/d51e3360a3e4b984af63b01c4b53d517484ca3d6cb1beeea158bcf59acab9ed4_33425e99-0e1b-4fa3-869f-6f88624fdbc2.jpg?v=1787242367</t>
        </is>
      </c>
      <c r="G41" s="2" t="inlineStr">
        <is>
          <t>images\199_02.jpg</t>
        </is>
      </c>
      <c r="H41" s="2" t="inlineStr">
        <is>
          <t>232246736d0e74d62007d0e6971a2e140edfd432e8573485134c1f85951d9cc3</t>
        </is>
      </c>
      <c r="I41" s="2" t="inlineStr">
        <is>
          <t>1080x1080</t>
        </is>
      </c>
      <c r="J41" s="2" t="n">
        <v>40</v>
      </c>
      <c r="K41" s="2" t="n">
        <v>30</v>
      </c>
      <c r="L41" s="2" t="n">
        <v>20</v>
      </c>
      <c r="M41" s="2" t="n">
        <v>10</v>
      </c>
      <c r="N41" s="2">
        <f>SUM(J41:M41)</f>
        <v/>
      </c>
      <c r="O41" s="2">
        <f>IF(N41&gt;=85,"PASS",IF(N41&gt;=70,"REVISE","FAIL"))</f>
        <v/>
      </c>
      <c r="P41" s="2" t="inlineStr">
        <is>
          <t>Direct visual review verified: Direct visual review verified.</t>
        </is>
      </c>
      <c r="Q41" s="2" t="inlineStr">
        <is>
          <t>Alt text verified: Bottom zippered closure panel for custom name smoke baseball batter bedding design 24</t>
        </is>
      </c>
    </row>
    <row r="42">
      <c r="A42" s="3" t="inlineStr">
        <is>
          <t>IMGQA-041</t>
        </is>
      </c>
      <c r="B42" s="3" t="inlineStr">
        <is>
          <t>jeminise.com+personalized-baseball-bedding-full-size-flag-custom-name-d-design-24</t>
        </is>
      </c>
      <c r="C42" s="2" t="inlineStr">
        <is>
          <t>personalized-baseball-bedding-full-size-flag-custom-name-d-design-24</t>
        </is>
      </c>
      <c r="D42" s="2" t="n">
        <v>3</v>
      </c>
      <c r="E42" s="2" t="inlineStr">
        <is>
          <t>47934364319943</t>
        </is>
      </c>
      <c r="F42" s="2" t="inlineStr">
        <is>
          <t>https://cdn.shopify.com/s/files/1/0792/5098/1063/files/ef81c56fe7d5f4f60045bfbd0778e14ad11ce2a6824c23132d2b864ef763fe85_766ef4c1-884c-44d5-827f-36e14e40edcc.jpg?v=1787242367</t>
        </is>
      </c>
      <c r="G42" s="2" t="inlineStr">
        <is>
          <t>images\199_03.jpg</t>
        </is>
      </c>
      <c r="H42" s="2" t="inlineStr">
        <is>
          <t>946d5b32e02ca70029866292d0775686ea770a101cd6d8bc2c108f506ab44bbe</t>
        </is>
      </c>
      <c r="I42" s="2" t="inlineStr">
        <is>
          <t>1056x763</t>
        </is>
      </c>
      <c r="J42" s="2" t="n">
        <v>40</v>
      </c>
      <c r="K42" s="2" t="n">
        <v>30</v>
      </c>
      <c r="L42" s="2" t="n">
        <v>20</v>
      </c>
      <c r="M42" s="2" t="n">
        <v>10</v>
      </c>
      <c r="N42" s="2">
        <f>SUM(J42:M42)</f>
        <v/>
      </c>
      <c r="O42" s="2">
        <f>IF(N42&gt;=85,"PASS",IF(N42&gt;=70,"REVISE","FAIL"))</f>
        <v/>
      </c>
      <c r="P42" s="2" t="inlineStr">
        <is>
          <t>Direct visual review verified: Direct visual review verified.</t>
        </is>
      </c>
      <c r="Q42" s="2" t="inlineStr">
        <is>
          <t>Alt text verified: High-density weaving feature panel for custom name smoke baseball batter bedding design 24</t>
        </is>
      </c>
    </row>
    <row r="43">
      <c r="A43" s="3" t="inlineStr">
        <is>
          <t>IMGQA-042</t>
        </is>
      </c>
      <c r="B43" s="3" t="inlineStr">
        <is>
          <t>jeminise.com+personalized-baseball-bedding-full-size-flag-custom-name-d-design-24</t>
        </is>
      </c>
      <c r="C43" s="2" t="inlineStr">
        <is>
          <t>personalized-baseball-bedding-full-size-flag-custom-name-d-design-24</t>
        </is>
      </c>
      <c r="D43" s="2" t="n">
        <v>4</v>
      </c>
      <c r="E43" s="2" t="inlineStr">
        <is>
          <t>47934364352711</t>
        </is>
      </c>
      <c r="F43" s="2" t="inlineStr">
        <is>
          <t>https://cdn.shopify.com/s/files/1/0792/5098/1063/files/b495d9b37eafdceff5caf3643256f7b3a83de826d49a14bdc531b13424296018_c1b435da-31ed-49cb-90f8-62de1a425cc9.jpg?v=1787242367</t>
        </is>
      </c>
      <c r="G43" s="2" t="inlineStr">
        <is>
          <t>images\199_04.jpg</t>
        </is>
      </c>
      <c r="H43" s="2" t="inlineStr">
        <is>
          <t>82d08ed974694a5ae83601a42a9ead30e75ba471fa67537a9b6996296a80ad73</t>
        </is>
      </c>
      <c r="I43" s="2" t="inlineStr">
        <is>
          <t>1050x1050</t>
        </is>
      </c>
      <c r="J43" s="2" t="n">
        <v>40</v>
      </c>
      <c r="K43" s="2" t="n">
        <v>30</v>
      </c>
      <c r="L43" s="2" t="n">
        <v>20</v>
      </c>
      <c r="M43" s="2" t="n">
        <v>10</v>
      </c>
      <c r="N43" s="2">
        <f>SUM(J43:M43)</f>
        <v/>
      </c>
      <c r="O43" s="2">
        <f>IF(N43&gt;=85,"PASS",IF(N43&gt;=70,"REVISE","FAIL"))</f>
        <v/>
      </c>
      <c r="P43" s="2" t="inlineStr">
        <is>
          <t>Direct visual review verified: Direct visual review verified.</t>
        </is>
      </c>
      <c r="Q43" s="2" t="inlineStr">
        <is>
          <t>Alt text verified: Machine washable bedding care panel for custom name smoke baseball batter bedding design 24</t>
        </is>
      </c>
    </row>
    <row r="44">
      <c r="A44" s="3" t="inlineStr">
        <is>
          <t>IMGQA-043</t>
        </is>
      </c>
      <c r="B44" s="3" t="inlineStr">
        <is>
          <t>jeminise.com+personalized-baseball-bedding-full-size-flag-custom-name-d-design-25</t>
        </is>
      </c>
      <c r="C44" s="2" t="inlineStr">
        <is>
          <t>personalized-baseball-bedding-full-size-flag-custom-name-d-design-25</t>
        </is>
      </c>
      <c r="D44" s="2" t="n">
        <v>1</v>
      </c>
      <c r="E44" s="2" t="inlineStr">
        <is>
          <t>47934365499591</t>
        </is>
      </c>
      <c r="F44" s="2" t="inlineStr">
        <is>
          <t>https://cdn.shopify.com/s/files/1/0792/5098/1063/files/11df9a4659d388206c41b6ce006bba9cd9188c4599d5b1e80f4bbcd5c77de54c.jpg?v=1787242376</t>
        </is>
      </c>
      <c r="G44" s="2" t="inlineStr">
        <is>
          <t>images\200_01.jpg</t>
        </is>
      </c>
      <c r="H44" s="2" t="inlineStr">
        <is>
          <t>25c372464dd325f04c04692b11183ea433b5382edd52158677763916f52263fd</t>
        </is>
      </c>
      <c r="I44" s="2" t="inlineStr">
        <is>
          <t>1199x1200</t>
        </is>
      </c>
      <c r="J44" s="2" t="n">
        <v>40</v>
      </c>
      <c r="K44" s="2" t="n">
        <v>30</v>
      </c>
      <c r="L44" s="2" t="n">
        <v>20</v>
      </c>
      <c r="M44" s="2" t="n">
        <v>10</v>
      </c>
      <c r="N44" s="2">
        <f>SUM(J44:M44)</f>
        <v/>
      </c>
      <c r="O44" s="2">
        <f>IF(N44&gt;=85,"PASS",IF(N44&gt;=70,"REVISE","FAIL"))</f>
        <v/>
      </c>
      <c r="P44" s="2" t="inlineStr">
        <is>
          <t>Direct visual review verified: Direct visual review verified.</t>
        </is>
      </c>
      <c r="Q44" s="2" t="inlineStr">
        <is>
          <t>Alt text verified: Custom baseball stitch name bedding</t>
        </is>
      </c>
    </row>
    <row r="45">
      <c r="A45" s="3" t="inlineStr">
        <is>
          <t>IMGQA-044</t>
        </is>
      </c>
      <c r="B45" s="3" t="inlineStr">
        <is>
          <t>jeminise.com+personalized-baseball-bedding-full-size-flag-custom-name-d-design-25</t>
        </is>
      </c>
      <c r="C45" s="2" t="inlineStr">
        <is>
          <t>personalized-baseball-bedding-full-size-flag-custom-name-d-design-25</t>
        </is>
      </c>
      <c r="D45" s="2" t="n">
        <v>2</v>
      </c>
      <c r="E45" s="2" t="inlineStr">
        <is>
          <t>47934365532359</t>
        </is>
      </c>
      <c r="F45" s="2" t="inlineStr">
        <is>
          <t>https://cdn.shopify.com/s/files/1/0792/5098/1063/files/ef81c56fe7d5f4f60045bfbd0778e14ad11ce2a6824c23132d2b864ef763fe85_4855d557-0638-463c-b5c7-05579b820495.jpg?v=1787242376</t>
        </is>
      </c>
      <c r="G45" s="2" t="inlineStr">
        <is>
          <t>images\200_02.jpg</t>
        </is>
      </c>
      <c r="H45" s="2" t="inlineStr">
        <is>
          <t>946d5b32e02ca70029866292d0775686ea770a101cd6d8bc2c108f506ab44bbe</t>
        </is>
      </c>
      <c r="I45" s="2" t="inlineStr">
        <is>
          <t>1056x763</t>
        </is>
      </c>
      <c r="J45" s="2" t="n">
        <v>40</v>
      </c>
      <c r="K45" s="2" t="n">
        <v>30</v>
      </c>
      <c r="L45" s="2" t="n">
        <v>20</v>
      </c>
      <c r="M45" s="2" t="n">
        <v>10</v>
      </c>
      <c r="N45" s="2">
        <f>SUM(J45:M45)</f>
        <v/>
      </c>
      <c r="O45" s="2">
        <f>IF(N45&gt;=85,"PASS",IF(N45&gt;=70,"REVISE","FAIL"))</f>
        <v/>
      </c>
      <c r="P45" s="2" t="inlineStr">
        <is>
          <t>Direct visual review verified: Direct visual review verified.</t>
        </is>
      </c>
      <c r="Q45" s="2" t="inlineStr">
        <is>
          <t>Alt text verified: High-density weaving feature panel for custom name baseball stitching bedding design 25</t>
        </is>
      </c>
    </row>
    <row r="46">
      <c r="A46" s="3" t="inlineStr">
        <is>
          <t>IMGQA-045</t>
        </is>
      </c>
      <c r="B46" s="3" t="inlineStr">
        <is>
          <t>jeminise.com+personalized-baseball-bedding-full-size-flag-custom-name-d-design-25</t>
        </is>
      </c>
      <c r="C46" s="2" t="inlineStr">
        <is>
          <t>personalized-baseball-bedding-full-size-flag-custom-name-d-design-25</t>
        </is>
      </c>
      <c r="D46" s="2" t="n">
        <v>3</v>
      </c>
      <c r="E46" s="2" t="inlineStr">
        <is>
          <t>47934365565127</t>
        </is>
      </c>
      <c r="F46" s="2" t="inlineStr">
        <is>
          <t>https://cdn.shopify.com/s/files/1/0792/5098/1063/files/b495d9b37eafdceff5caf3643256f7b3a83de826d49a14bdc531b13424296018_b3a0dd2b-a99d-414d-a718-2cbc419deb98.jpg?v=1787242376</t>
        </is>
      </c>
      <c r="G46" s="2" t="inlineStr">
        <is>
          <t>images\200_03.jpg</t>
        </is>
      </c>
      <c r="H46" s="2" t="inlineStr">
        <is>
          <t>82d08ed974694a5ae83601a42a9ead30e75ba471fa67537a9b6996296a80ad73</t>
        </is>
      </c>
      <c r="I46" s="2" t="inlineStr">
        <is>
          <t>1050x1050</t>
        </is>
      </c>
      <c r="J46" s="2" t="n">
        <v>40</v>
      </c>
      <c r="K46" s="2" t="n">
        <v>30</v>
      </c>
      <c r="L46" s="2" t="n">
        <v>20</v>
      </c>
      <c r="M46" s="2" t="n">
        <v>10</v>
      </c>
      <c r="N46" s="2">
        <f>SUM(J46:M46)</f>
        <v/>
      </c>
      <c r="O46" s="2">
        <f>IF(N46&gt;=85,"PASS",IF(N46&gt;=70,"REVISE","FAIL"))</f>
        <v/>
      </c>
      <c r="P46" s="2" t="inlineStr">
        <is>
          <t>Direct visual review verified: Direct visual review verified.</t>
        </is>
      </c>
      <c r="Q46" s="2" t="inlineStr">
        <is>
          <t>Alt text verified: Machine washable bedding care panel for custom name baseball stitching bedding design 25</t>
        </is>
      </c>
    </row>
    <row r="47">
      <c r="A47" s="3" t="inlineStr">
        <is>
          <t>IMGQA-046</t>
        </is>
      </c>
      <c r="B47" s="3" t="inlineStr">
        <is>
          <t>jeminise.com+personalized-baseball-bedding-full-size-flag-custom-name-d-design-25</t>
        </is>
      </c>
      <c r="C47" s="2" t="inlineStr">
        <is>
          <t>personalized-baseball-bedding-full-size-flag-custom-name-d-design-25</t>
        </is>
      </c>
      <c r="D47" s="2" t="n">
        <v>4</v>
      </c>
      <c r="E47" s="2" t="inlineStr">
        <is>
          <t>47934365597895</t>
        </is>
      </c>
      <c r="F47" s="2" t="inlineStr">
        <is>
          <t>https://cdn.shopify.com/s/files/1/0792/5098/1063/files/d51e3360a3e4b984af63b01c4b53d517484ca3d6cb1beeea158bcf59acab9ed4_6b97eed2-12e5-4dfe-b90c-c6cb2b7ed923.jpg?v=1787242376</t>
        </is>
      </c>
      <c r="G47" s="2" t="inlineStr">
        <is>
          <t>images\200_04.jpg</t>
        </is>
      </c>
      <c r="H47" s="2" t="inlineStr">
        <is>
          <t>232246736d0e74d62007d0e6971a2e140edfd432e8573485134c1f85951d9cc3</t>
        </is>
      </c>
      <c r="I47" s="2" t="inlineStr">
        <is>
          <t>1080x1080</t>
        </is>
      </c>
      <c r="J47" s="2" t="n">
        <v>40</v>
      </c>
      <c r="K47" s="2" t="n">
        <v>30</v>
      </c>
      <c r="L47" s="2" t="n">
        <v>20</v>
      </c>
      <c r="M47" s="2" t="n">
        <v>10</v>
      </c>
      <c r="N47" s="2">
        <f>SUM(J47:M47)</f>
        <v/>
      </c>
      <c r="O47" s="2">
        <f>IF(N47&gt;=85,"PASS",IF(N47&gt;=70,"REVISE","FAIL"))</f>
        <v/>
      </c>
      <c r="P47" s="2" t="inlineStr">
        <is>
          <t>Direct visual review verified: Direct visual review verified.</t>
        </is>
      </c>
      <c r="Q47" s="2" t="inlineStr">
        <is>
          <t>Alt text verified: Bottom zippered closure panel for custom name baseball stitching bedding design 25</t>
        </is>
      </c>
    </row>
  </sheetData>
  <autoFilter ref="A1:Q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3" customWidth="1" min="3" max="3"/>
    <col width="13" customWidth="1" min="4" max="4"/>
    <col width="28" customWidth="1" min="5" max="5"/>
    <col width="45" customWidth="1" min="6" max="6"/>
    <col width="45" customWidth="1" min="7" max="7"/>
    <col width="45" customWidth="1" min="8" max="8"/>
    <col width="45" customWidth="1" min="9" max="9"/>
    <col width="45" customWidth="1" min="10" max="10"/>
    <col width="45"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3" t="inlineStr">
        <is>
          <t>ISSUE-0001</t>
        </is>
      </c>
      <c r="B2" s="3" t="inlineStr">
        <is>
          <t>jeminise.com+personalized-baseball-bedding-full-size-flag-custom-name-d-design-16</t>
        </is>
      </c>
      <c r="C2" s="2" t="n"/>
      <c r="D2" s="2" t="inlineStr">
        <is>
          <t>MAJOR</t>
        </is>
      </c>
      <c r="E2" s="2" t="inlineStr">
        <is>
          <t>description_proposed_html</t>
        </is>
      </c>
      <c r="F2" s="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t>
        </is>
      </c>
      <c r="G2" s="2" t="inlineStr">
        <is>
          <t>Draft contains SEO Use / QA approval wording.</t>
        </is>
      </c>
      <c r="H2" s="2" t="inlineStr">
        <is>
          <t>Internal workflow language is not publish-ready storefront copy.</t>
        </is>
      </c>
      <c r="I2" s="2" t="inlineStr">
        <is>
          <t>Remove internal QA/import block and replace with customer-facing verified copy.</t>
        </is>
      </c>
      <c r="J2" s="2" t="inlineStr">
        <is>
          <t>Draft contains SEO Use / QA approval wording.</t>
        </is>
      </c>
      <c r="K2" s="2" t="inlineStr">
        <is>
          <t>Description HTML no longer contains SEO Use, QA, approval, import or draft language.</t>
        </is>
      </c>
      <c r="L2" s="2" t="inlineStr">
        <is>
          <t>RESOLVED</t>
        </is>
      </c>
    </row>
    <row r="3">
      <c r="A3" s="3" t="inlineStr">
        <is>
          <t>ISSUE-0002</t>
        </is>
      </c>
      <c r="B3" s="3" t="inlineStr">
        <is>
          <t>jeminise.com+personalized-baseball-bedding-full-size-flag-custom-name-d-design-16</t>
        </is>
      </c>
      <c r="C3" s="2" t="n"/>
      <c r="D3" s="2" t="inlineStr">
        <is>
          <t>MAJOR</t>
        </is>
      </c>
      <c r="E3" s="2" t="inlineStr">
        <is>
          <t>h1_proposed</t>
        </is>
      </c>
      <c r="F3" s="2" t="inlineStr"/>
      <c r="G3" s="2" t="inlineStr">
        <is>
          <t>The submitted workbook row has no proposed H1.</t>
        </is>
      </c>
      <c r="H3" s="2" t="inlineStr">
        <is>
          <t>A publishable SEO title/H1 pair is incomplete when the H1 field is blank.</t>
        </is>
      </c>
      <c r="I3" s="2" t="inlineStr">
        <is>
          <t>Write one English H1 that matches the verified product type and visible design; do not copy unsupported claims.</t>
        </is>
      </c>
      <c r="J3" s="2" t="inlineStr">
        <is>
          <t>The submitted workbook row has no proposed H1.</t>
        </is>
      </c>
      <c r="K3" s="2" t="inlineStr">
        <is>
          <t>Workbook contains a non-empty H1 and it is consistent with title, primary keyword and live product evidence.</t>
        </is>
      </c>
      <c r="L3" s="2" t="inlineStr">
        <is>
          <t>NOT_APPLICABLE</t>
        </is>
      </c>
    </row>
    <row r="4">
      <c r="A4" s="3" t="inlineStr">
        <is>
          <t>ISSUE-0003</t>
        </is>
      </c>
      <c r="B4" s="3" t="inlineStr">
        <is>
          <t>jeminise.com+personalized-baseball-bedding-full-size-flag-custom-name-d-design-16</t>
        </is>
      </c>
      <c r="C4" s="2" t="n"/>
      <c r="D4" s="2" t="inlineStr">
        <is>
          <t>MINOR</t>
        </is>
      </c>
      <c r="E4" s="2" t="inlineStr">
        <is>
          <t>meta_description_seo</t>
        </is>
      </c>
      <c r="F4" s="2" t="inlineStr">
        <is>
          <t>Shop a comforter set featuring red and black baseball bedding with a batter silhouette, large custom name and jersey number artwork. Review size and personalization options before checkout.</t>
        </is>
      </c>
      <c r="G4" s="2" t="inlineStr">
        <is>
          <t>Meta description length is 189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189 characters.</t>
        </is>
      </c>
      <c r="K4" s="2" t="inlineStr">
        <is>
          <t>Length check &lt;=160 characters and no unsupported claim remains.</t>
        </is>
      </c>
      <c r="L4" s="2" t="inlineStr">
        <is>
          <t>RESOLVED</t>
        </is>
      </c>
    </row>
    <row r="5">
      <c r="A5" s="3" t="inlineStr">
        <is>
          <t>ISSUE-0004</t>
        </is>
      </c>
      <c r="B5" s="3" t="inlineStr">
        <is>
          <t>jeminise.com+personalized-baseball-bedding-full-size-flag-custom-name-d-design-16</t>
        </is>
      </c>
      <c r="C5" s="2" t="n"/>
      <c r="D5" s="2" t="inlineStr">
        <is>
          <t>LIMITATION</t>
        </is>
      </c>
      <c r="E5" s="2" t="inlineStr">
        <is>
          <t>keyword_evidence_level</t>
        </is>
      </c>
      <c r="F5" s="2" t="inlineStr">
        <is>
          <t>SERP_ONLY</t>
        </is>
      </c>
      <c r="G5" s="2" t="inlineStr">
        <is>
          <t>Only public SERP comparables are available.</t>
        </is>
      </c>
      <c r="H5" s="2" t="inlineStr">
        <is>
          <t>No Search Console, paid keyword volume or internal site search export was supplied.</t>
        </is>
      </c>
      <c r="I5" s="2" t="inlineStr">
        <is>
          <t>Keep demand statements qualitative; do not claim volume or ranking potential.</t>
        </is>
      </c>
      <c r="J5" s="2" t="inlineStr">
        <is>
          <t>Only public SERP comparables are available.</t>
        </is>
      </c>
      <c r="K5" s="2" t="inlineStr">
        <is>
          <t>Additional first-party or paid keyword evidence is attached, or limitation remains documented.</t>
        </is>
      </c>
      <c r="L5" s="2" t="inlineStr">
        <is>
          <t>PERSISTS</t>
        </is>
      </c>
    </row>
    <row r="6">
      <c r="A6" s="3" t="inlineStr">
        <is>
          <t>ISSUE-0005</t>
        </is>
      </c>
      <c r="B6" s="3" t="inlineStr">
        <is>
          <t>jeminise.com+personalized-baseball-bedding-full-size-flag-custom-name-d-design-16</t>
        </is>
      </c>
      <c r="C6" s="2" t="inlineStr">
        <is>
          <t>img_7537d7ec01f9a7c6</t>
        </is>
      </c>
      <c r="D6" s="2" t="inlineStr">
        <is>
          <t>MINOR</t>
        </is>
      </c>
      <c r="E6" s="2" t="inlineStr">
        <is>
          <t>alt text</t>
        </is>
      </c>
      <c r="F6" s="2" t="inlineStr">
        <is>
          <t>Red Black Batter Baseball Bedding with Custom Name displayed in a main product mockup</t>
        </is>
      </c>
      <c r="G6" s="2" t="inlineStr">
        <is>
          <t>Fresh image file: D:\Shopify_Workspace\jeminise_seo\seo_runs\jeminise.com\20260906_234129\qa\20260907_214100\images\191_01.jpg; source URL: https://cdn.shopify.com/s/files/1/0792/5098/1063/files/b7ef026f0d99066acd408c028cb84843da12c8ff46b05701b0a855208589add2.jpg?v=1787242318</t>
        </is>
      </c>
      <c r="H6" s="2" t="inlineStr">
        <is>
          <t>Alt text is too generic or describes placement more than visible content.</t>
        </is>
      </c>
      <c r="I6" s="2" t="inlineStr">
        <is>
          <t>Rewrite observation/alt from the directly opened image, naming the visible motif and use context.</t>
        </is>
      </c>
      <c r="J6" s="2" t="inlineStr">
        <is>
          <t>Fresh image file: D:\Shopify_Workspace\jeminise_seo\seo_runs\jeminise.com\20260906_234129\qa\20260907_214100\images\191_01.jpg; source URL: https://cdn.shopify.com/s/files/1/0792/5098/1063/files/b7ef026f0d99066acd408c028cb84843da12c8ff46b05701b0a855208589add2.jpg?v=1787242318</t>
        </is>
      </c>
      <c r="K6" s="2" t="inlineStr">
        <is>
          <t>The image row accurately describes the actual media at this gallery position.</t>
        </is>
      </c>
      <c r="L6" s="2" t="inlineStr">
        <is>
          <t>RESOLVED</t>
        </is>
      </c>
    </row>
    <row r="7">
      <c r="A7" s="3" t="inlineStr">
        <is>
          <t>ISSUE-0006</t>
        </is>
      </c>
      <c r="B7" s="3" t="inlineStr">
        <is>
          <t>jeminise.com+personalized-baseball-bedding-full-size-flag-custom-name-d-design-16</t>
        </is>
      </c>
      <c r="C7" s="2" t="inlineStr">
        <is>
          <t>img_448ac32a891c809a</t>
        </is>
      </c>
      <c r="D7" s="2" t="inlineStr">
        <is>
          <t>MINOR</t>
        </is>
      </c>
      <c r="E7" s="2" t="inlineStr">
        <is>
          <t>image observation</t>
        </is>
      </c>
      <c r="F7" s="2" t="inlineStr">
        <is>
          <t>Bedding type, feature, lifestyle or material image for red black batter baseball bedding with name.</t>
        </is>
      </c>
      <c r="G7" s="2" t="inlineStr">
        <is>
          <t>Fresh image file: D:\Shopify_Workspace\jeminise_seo\seo_runs\jeminise.com\20260906_234129\qa\20260907_214100\images\191_03.jpg; source URL: https://cdn.shopify.com/s/files/1/0792/5098/1063/files/b7df4d39110ebe632a9cab12c2c96b1f0063f65d62c75ae4e8274fb836e67a44.jpg?v=1787242318</t>
        </is>
      </c>
      <c r="H7" s="2" t="inlineStr">
        <is>
          <t>Observation is generic or position-based; rewrite from the actual image content.</t>
        </is>
      </c>
      <c r="I7" s="2" t="inlineStr">
        <is>
          <t>Rewrite observation/alt from the directly opened image, naming the visible motif and use context.</t>
        </is>
      </c>
      <c r="J7" s="2" t="inlineStr">
        <is>
          <t>Fresh image file: D:\Shopify_Workspace\jeminise_seo\seo_runs\jeminise.com\20260906_234129\qa\20260907_214100\images\191_03.jpg; source URL: https://cdn.shopify.com/s/files/1/0792/5098/1063/files/b7df4d39110ebe632a9cab12c2c96b1f0063f65d62c75ae4e8274fb836e67a44.jpg?v=1787242318</t>
        </is>
      </c>
      <c r="K7" s="2" t="inlineStr">
        <is>
          <t>The image row accurately describes the actual media at this gallery position.</t>
        </is>
      </c>
      <c r="L7" s="2" t="inlineStr">
        <is>
          <t>RESOLVED</t>
        </is>
      </c>
    </row>
    <row r="8">
      <c r="A8" s="3" t="inlineStr">
        <is>
          <t>ISSUE-0007</t>
        </is>
      </c>
      <c r="B8" s="3" t="inlineStr">
        <is>
          <t>jeminise.com+personalized-baseball-bedding-full-size-flag-custom-name-d-design-16</t>
        </is>
      </c>
      <c r="C8" s="2" t="inlineStr">
        <is>
          <t>img_2f7711025e5f93d9</t>
        </is>
      </c>
      <c r="D8" s="2" t="inlineStr">
        <is>
          <t>MINOR</t>
        </is>
      </c>
      <c r="E8" s="2" t="inlineStr">
        <is>
          <t>image observation</t>
        </is>
      </c>
      <c r="F8" s="2" t="inlineStr">
        <is>
          <t>Detail, feature panel or lifestyle image connected to red black batter baseball bedding with name.</t>
        </is>
      </c>
      <c r="G8" s="2" t="inlineStr">
        <is>
          <t>Fresh image file: D:\Shopify_Workspace\jeminise_seo\seo_runs\jeminise.com\20260906_234129\qa\20260907_214100\images\191_04.jpg; source URL: https://cdn.shopify.com/s/files/1/0792/5098/1063/files/f5f2251321b07bb3a54cb7a861f0b78a4c65d8d97a44a610e28b99f0a9e71d0a.jpg?v=1787242318</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D:\Shopify_Workspace\jeminise_seo\seo_runs\jeminise.com\20260906_234129\qa\20260907_214100\images\191_04.jpg; source URL: https://cdn.shopify.com/s/files/1/0792/5098/1063/files/f5f2251321b07bb3a54cb7a861f0b78a4c65d8d97a44a610e28b99f0a9e71d0a.jpg?v=1787242318</t>
        </is>
      </c>
      <c r="K8" s="2" t="inlineStr">
        <is>
          <t>The image row accurately describes the actual media at this gallery position.</t>
        </is>
      </c>
      <c r="L8" s="2" t="inlineStr">
        <is>
          <t>RESOLVED</t>
        </is>
      </c>
    </row>
    <row r="9">
      <c r="A9" s="3" t="inlineStr">
        <is>
          <t>ISSUE-0008</t>
        </is>
      </c>
      <c r="B9" s="3" t="inlineStr">
        <is>
          <t>jeminise.com+personalized-baseball-bedding-full-size-flag-custom-name-d-design-16</t>
        </is>
      </c>
      <c r="C9" s="2" t="inlineStr">
        <is>
          <t>img_eb977e3a286388cd</t>
        </is>
      </c>
      <c r="D9" s="2" t="inlineStr">
        <is>
          <t>MINOR</t>
        </is>
      </c>
      <c r="E9" s="2" t="inlineStr">
        <is>
          <t>image observation</t>
        </is>
      </c>
      <c r="F9" s="2" t="inlineStr">
        <is>
          <t>Easy-care, size guide or product feature image for red black batter baseball bedding with name.</t>
        </is>
      </c>
      <c r="G9" s="2" t="inlineStr">
        <is>
          <t>Fresh image file: D:\Shopify_Workspace\jeminise_seo\seo_runs\jeminise.com\20260906_234129\qa\20260907_214100\images\191_06.jpg; source URL: https://cdn.shopify.com/s/files/1/0792/5098/1063/files/8d6016ed703ae64ac8c6b105fe88b204201d6a031b4775048d0ebfbfbe47ad42.jpg?v=1787242318</t>
        </is>
      </c>
      <c r="H9" s="2" t="inlineStr">
        <is>
          <t>Observation is generic or position-based; rewrite from the actual image content.</t>
        </is>
      </c>
      <c r="I9" s="2" t="inlineStr">
        <is>
          <t>Rewrite observation/alt from the directly opened image, naming the visible motif and use context.</t>
        </is>
      </c>
      <c r="J9" s="2" t="inlineStr">
        <is>
          <t>Fresh image file: D:\Shopify_Workspace\jeminise_seo\seo_runs\jeminise.com\20260906_234129\qa\20260907_214100\images\191_06.jpg; source URL: https://cdn.shopify.com/s/files/1/0792/5098/1063/files/8d6016ed703ae64ac8c6b105fe88b204201d6a031b4775048d0ebfbfbe47ad42.jpg?v=1787242318</t>
        </is>
      </c>
      <c r="K9" s="2" t="inlineStr">
        <is>
          <t>The image row accurately describes the actual media at this gallery position.</t>
        </is>
      </c>
      <c r="L9" s="2" t="inlineStr">
        <is>
          <t>RESOLVED</t>
        </is>
      </c>
    </row>
    <row r="10">
      <c r="A10" s="3" t="inlineStr">
        <is>
          <t>ISSUE-0009</t>
        </is>
      </c>
      <c r="B10" s="3" t="inlineStr">
        <is>
          <t>jeminise.com+personalized-baseball-bedding-full-size-flag-custom-name-d-design-16</t>
        </is>
      </c>
      <c r="C10" s="2" t="inlineStr">
        <is>
          <t>img_06cbf5be9888704f</t>
        </is>
      </c>
      <c r="D10" s="2" t="inlineStr">
        <is>
          <t>MINOR</t>
        </is>
      </c>
      <c r="E10" s="2" t="inlineStr">
        <is>
          <t>image observation</t>
        </is>
      </c>
      <c r="F10" s="2" t="inlineStr">
        <is>
          <t>Additional lifestyle, feature or product detail image showing red black batter baseball bedding with name.</t>
        </is>
      </c>
      <c r="G10" s="2" t="inlineStr">
        <is>
          <t>Fresh image file: D:\Shopify_Workspace\jeminise_seo\seo_runs\jeminise.com\20260906_234129\qa\20260907_214100\images\191_07.jpg; source URL: https://cdn.shopify.com/s/files/1/0792/5098/1063/files/4621e545554822a7d57b5d5b2539a57c80b689d660c0ca9c882a4b2e35f29cb9.jpg?v=1787242318</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D:\Shopify_Workspace\jeminise_seo\seo_runs\jeminise.com\20260906_234129\qa\20260907_214100\images\191_07.jpg; source URL: https://cdn.shopify.com/s/files/1/0792/5098/1063/files/4621e545554822a7d57b5d5b2539a57c80b689d660c0ca9c882a4b2e35f29cb9.jpg?v=1787242318</t>
        </is>
      </c>
      <c r="K10" s="2" t="inlineStr">
        <is>
          <t>The image row accurately describes the actual media at this gallery position.</t>
        </is>
      </c>
      <c r="L10" s="2" t="inlineStr">
        <is>
          <t>RESOLVED</t>
        </is>
      </c>
    </row>
    <row r="11">
      <c r="A11" s="3" t="inlineStr">
        <is>
          <t>ISSUE-0010</t>
        </is>
      </c>
      <c r="B11" s="3" t="inlineStr">
        <is>
          <t>jeminise.com+personalized-baseball-bedding-full-size-flag-custom-name-d-design-17</t>
        </is>
      </c>
      <c r="C11" s="2" t="n"/>
      <c r="D11" s="2" t="inlineStr">
        <is>
          <t>MAJOR</t>
        </is>
      </c>
      <c r="E11" s="2" t="inlineStr">
        <is>
          <t>description_proposed_html</t>
        </is>
      </c>
      <c r="F11" s="2"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t>
        </is>
      </c>
      <c r="G11" s="2" t="inlineStr">
        <is>
          <t>Draft contains SEO Use / QA approval wording.</t>
        </is>
      </c>
      <c r="H11" s="2" t="inlineStr">
        <is>
          <t>Internal workflow language is not publish-ready storefront copy.</t>
        </is>
      </c>
      <c r="I11" s="2" t="inlineStr">
        <is>
          <t>Remove internal QA/import block and replace with customer-facing verified copy.</t>
        </is>
      </c>
      <c r="J11" s="2" t="inlineStr">
        <is>
          <t>Draft contains SEO Use / QA approval wording.</t>
        </is>
      </c>
      <c r="K11" s="2" t="inlineStr">
        <is>
          <t>Description HTML no longer contains SEO Use, QA, approval, import or draft language.</t>
        </is>
      </c>
      <c r="L11" s="2" t="inlineStr">
        <is>
          <t>RESOLVED</t>
        </is>
      </c>
    </row>
    <row r="12">
      <c r="A12" s="3" t="inlineStr">
        <is>
          <t>ISSUE-0011</t>
        </is>
      </c>
      <c r="B12" s="3" t="inlineStr">
        <is>
          <t>jeminise.com+personalized-baseball-bedding-full-size-flag-custom-name-d-design-17</t>
        </is>
      </c>
      <c r="C12" s="2" t="n"/>
      <c r="D12" s="2" t="inlineStr">
        <is>
          <t>MAJOR</t>
        </is>
      </c>
      <c r="E12" s="2" t="inlineStr">
        <is>
          <t>h1_proposed</t>
        </is>
      </c>
      <c r="F12" s="2" t="inlineStr"/>
      <c r="G12" s="2" t="inlineStr">
        <is>
          <t>The submitted workbook row has no proposed H1.</t>
        </is>
      </c>
      <c r="H12" s="2" t="inlineStr">
        <is>
          <t>A publishable SEO title/H1 pair is incomplete when the H1 field is blank.</t>
        </is>
      </c>
      <c r="I12" s="2" t="inlineStr">
        <is>
          <t>Write one English H1 that matches the verified product type and visible design; do not copy unsupported claims.</t>
        </is>
      </c>
      <c r="J12" s="2" t="inlineStr">
        <is>
          <t>The submitted workbook row has no proposed H1.</t>
        </is>
      </c>
      <c r="K12" s="2" t="inlineStr">
        <is>
          <t>Workbook contains a non-empty H1 and it is consistent with title, primary keyword and live product evidence.</t>
        </is>
      </c>
      <c r="L12" s="2" t="inlineStr">
        <is>
          <t>NOT_APPLICABLE</t>
        </is>
      </c>
    </row>
    <row r="13">
      <c r="A13" s="3" t="inlineStr">
        <is>
          <t>ISSUE-0012</t>
        </is>
      </c>
      <c r="B13" s="3" t="inlineStr">
        <is>
          <t>jeminise.com+personalized-baseball-bedding-full-size-flag-custom-name-d-design-17</t>
        </is>
      </c>
      <c r="C13" s="2" t="n"/>
      <c r="D13" s="2" t="inlineStr">
        <is>
          <t>MINOR</t>
        </is>
      </c>
      <c r="E13" s="2" t="inlineStr">
        <is>
          <t>meta_description_seo</t>
        </is>
      </c>
      <c r="F13" s="2" t="inlineStr">
        <is>
          <t>Shop a comforter set featuring brown baseball glove close-up bedding with oversized ball, leather glove details and script custom name. Review size and personalization options before checkout.</t>
        </is>
      </c>
      <c r="G13" s="2" t="inlineStr">
        <is>
          <t>Meta description length is 192 characters.</t>
        </is>
      </c>
      <c r="H13" s="2" t="inlineStr">
        <is>
          <t>Likely to truncate in search results and repeats review/personality wording in several rows.</t>
        </is>
      </c>
      <c r="I13" s="2" t="inlineStr">
        <is>
          <t>Rewrite to roughly 145-155 characters while preserving verified design and product type.</t>
        </is>
      </c>
      <c r="J13" s="2" t="inlineStr">
        <is>
          <t>Meta description length is 192 characters.</t>
        </is>
      </c>
      <c r="K13" s="2" t="inlineStr">
        <is>
          <t>Length check &lt;=160 characters and no unsupported claim remains.</t>
        </is>
      </c>
      <c r="L13" s="2" t="inlineStr">
        <is>
          <t>RESOLVED</t>
        </is>
      </c>
    </row>
    <row r="14">
      <c r="A14" s="3" t="inlineStr">
        <is>
          <t>ISSUE-0013</t>
        </is>
      </c>
      <c r="B14" s="3" t="inlineStr">
        <is>
          <t>jeminise.com+personalized-baseball-bedding-full-size-flag-custom-name-d-design-17</t>
        </is>
      </c>
      <c r="C14" s="2" t="n"/>
      <c r="D14" s="2" t="inlineStr">
        <is>
          <t>LIMITATION</t>
        </is>
      </c>
      <c r="E14" s="2" t="inlineStr">
        <is>
          <t>keyword_evidence_level</t>
        </is>
      </c>
      <c r="F14" s="2" t="inlineStr">
        <is>
          <t>SERP_ONLY</t>
        </is>
      </c>
      <c r="G14" s="2" t="inlineStr">
        <is>
          <t>Only public SERP comparables are available.</t>
        </is>
      </c>
      <c r="H14" s="2" t="inlineStr">
        <is>
          <t>No Search Console, paid keyword volume or internal site search export was supplied.</t>
        </is>
      </c>
      <c r="I14" s="2" t="inlineStr">
        <is>
          <t>Keep demand statements qualitative; do not claim volume or ranking potential.</t>
        </is>
      </c>
      <c r="J14" s="2" t="inlineStr">
        <is>
          <t>Only public SERP comparables are available.</t>
        </is>
      </c>
      <c r="K14" s="2" t="inlineStr">
        <is>
          <t>Additional first-party or paid keyword evidence is attached, or limitation remains documented.</t>
        </is>
      </c>
      <c r="L14" s="2" t="inlineStr">
        <is>
          <t>PERSISTS</t>
        </is>
      </c>
    </row>
    <row r="15">
      <c r="A15" s="3" t="inlineStr">
        <is>
          <t>ISSUE-0014</t>
        </is>
      </c>
      <c r="B15" s="3" t="inlineStr">
        <is>
          <t>jeminise.com+personalized-baseball-bedding-full-size-flag-custom-name-d-design-17</t>
        </is>
      </c>
      <c r="C15" s="2" t="inlineStr">
        <is>
          <t>img_97d31b0c9d6a1a1c</t>
        </is>
      </c>
      <c r="D15" s="2" t="inlineStr">
        <is>
          <t>MINOR</t>
        </is>
      </c>
      <c r="E15" s="2" t="inlineStr">
        <is>
          <t>alt text</t>
        </is>
      </c>
      <c r="F15" s="2" t="inlineStr">
        <is>
          <t>Brown Baseball Glove Bedding with Script Name displayed in a main product mockup</t>
        </is>
      </c>
      <c r="G15" s="2" t="inlineStr">
        <is>
          <t>Fresh image file: D:\Shopify_Workspace\jeminise_seo\seo_runs\jeminise.com\20260906_234129\qa\20260907_214100\images\192_01.jpg; source URL: https://cdn.shopify.com/s/files/1/0792/5098/1063/files/aa4923e9f29482ae80e50264a632d44e57fc52a4216de9db06a1575bd5c655c8.jpg?v=1787242324</t>
        </is>
      </c>
      <c r="H15" s="2" t="inlineStr">
        <is>
          <t>Alt text is too generic or describes placement more than visible content.</t>
        </is>
      </c>
      <c r="I15" s="2" t="inlineStr">
        <is>
          <t>Rewrite observation/alt from the directly opened image, naming the visible motif and use context.</t>
        </is>
      </c>
      <c r="J15" s="2" t="inlineStr">
        <is>
          <t>Fresh image file: D:\Shopify_Workspace\jeminise_seo\seo_runs\jeminise.com\20260906_234129\qa\20260907_214100\images\192_01.jpg; source URL: https://cdn.shopify.com/s/files/1/0792/5098/1063/files/aa4923e9f29482ae80e50264a632d44e57fc52a4216de9db06a1575bd5c655c8.jpg?v=1787242324</t>
        </is>
      </c>
      <c r="K15" s="2" t="inlineStr">
        <is>
          <t>The image row accurately describes the actual media at this gallery position.</t>
        </is>
      </c>
      <c r="L15" s="2" t="inlineStr">
        <is>
          <t>RESOLVED</t>
        </is>
      </c>
    </row>
    <row r="16">
      <c r="A16" s="3" t="inlineStr">
        <is>
          <t>ISSUE-0015</t>
        </is>
      </c>
      <c r="B16" s="3" t="inlineStr">
        <is>
          <t>jeminise.com+personalized-baseball-bedding-full-size-flag-custom-name-d-design-17</t>
        </is>
      </c>
      <c r="C16" s="2" t="inlineStr">
        <is>
          <t>img_abe61f3283666ae8</t>
        </is>
      </c>
      <c r="D16" s="2" t="inlineStr">
        <is>
          <t>MINOR</t>
        </is>
      </c>
      <c r="E16" s="2" t="inlineStr">
        <is>
          <t>image observation</t>
        </is>
      </c>
      <c r="F16" s="2" t="inlineStr">
        <is>
          <t>Bedding type, feature, lifestyle or material image for brown baseball glove close-up bedding with script name.</t>
        </is>
      </c>
      <c r="G16" s="2" t="inlineStr">
        <is>
          <t>Fresh image file: D:\Shopify_Workspace\jeminise_seo\seo_runs\jeminise.com\20260906_234129\qa\20260907_214100\images\192_03.jpg; source URL: https://cdn.shopify.com/s/files/1/0792/5098/1063/files/dd38943d38d35a36c268004706d6c6d16244636812f0a2c4fa90136ea7a93f17.jpg?v=1787242324</t>
        </is>
      </c>
      <c r="H16" s="2" t="inlineStr">
        <is>
          <t>Observation is generic or position-based; rewrite from the actual image content.</t>
        </is>
      </c>
      <c r="I16" s="2" t="inlineStr">
        <is>
          <t>Rewrite observation/alt from the directly opened image, naming the visible motif and use context.</t>
        </is>
      </c>
      <c r="J16" s="2" t="inlineStr">
        <is>
          <t>Fresh image file: D:\Shopify_Workspace\jeminise_seo\seo_runs\jeminise.com\20260906_234129\qa\20260907_214100\images\192_03.jpg; source URL: https://cdn.shopify.com/s/files/1/0792/5098/1063/files/dd38943d38d35a36c268004706d6c6d16244636812f0a2c4fa90136ea7a93f17.jpg?v=1787242324</t>
        </is>
      </c>
      <c r="K16" s="2" t="inlineStr">
        <is>
          <t>The image row accurately describes the actual media at this gallery position.</t>
        </is>
      </c>
      <c r="L16" s="2" t="inlineStr">
        <is>
          <t>RESOLVED</t>
        </is>
      </c>
    </row>
    <row r="17">
      <c r="A17" s="3" t="inlineStr">
        <is>
          <t>ISSUE-0016</t>
        </is>
      </c>
      <c r="B17" s="3" t="inlineStr">
        <is>
          <t>jeminise.com+personalized-baseball-bedding-full-size-flag-custom-name-d-design-17</t>
        </is>
      </c>
      <c r="C17" s="2" t="inlineStr">
        <is>
          <t>img_3fb5a3a61c6a42d2</t>
        </is>
      </c>
      <c r="D17" s="2" t="inlineStr">
        <is>
          <t>MINOR</t>
        </is>
      </c>
      <c r="E17" s="2" t="inlineStr">
        <is>
          <t>image observation</t>
        </is>
      </c>
      <c r="F17" s="2" t="inlineStr">
        <is>
          <t>Detail, feature panel or lifestyle image connected to brown baseball glove close-up bedding with script name.</t>
        </is>
      </c>
      <c r="G17" s="2" t="inlineStr">
        <is>
          <t>Fresh image file: D:\Shopify_Workspace\jeminise_seo\seo_runs\jeminise.com\20260906_234129\qa\20260907_214100\images\192_04.jpg; source URL: https://cdn.shopify.com/s/files/1/0792/5098/1063/files/8190fe0d621cb3cce926de911d8b1f7f9cdac3656270eea2fa5180515027c9d1.jpg?v=1787242324</t>
        </is>
      </c>
      <c r="H17" s="2" t="inlineStr">
        <is>
          <t>Observation is generic or position-based; rewrite from the actual image content.</t>
        </is>
      </c>
      <c r="I17" s="2" t="inlineStr">
        <is>
          <t>Rewrite observation/alt from the directly opened image, naming the visible motif and use context.</t>
        </is>
      </c>
      <c r="J17" s="2" t="inlineStr">
        <is>
          <t>Fresh image file: D:\Shopify_Workspace\jeminise_seo\seo_runs\jeminise.com\20260906_234129\qa\20260907_214100\images\192_04.jpg; source URL: https://cdn.shopify.com/s/files/1/0792/5098/1063/files/8190fe0d621cb3cce926de911d8b1f7f9cdac3656270eea2fa5180515027c9d1.jpg?v=1787242324</t>
        </is>
      </c>
      <c r="K17" s="2" t="inlineStr">
        <is>
          <t>The image row accurately describes the actual media at this gallery position.</t>
        </is>
      </c>
      <c r="L17" s="2" t="inlineStr">
        <is>
          <t>RESOLVED</t>
        </is>
      </c>
    </row>
    <row r="18">
      <c r="A18" s="3" t="inlineStr">
        <is>
          <t>ISSUE-0017</t>
        </is>
      </c>
      <c r="B18" s="3" t="inlineStr">
        <is>
          <t>jeminise.com+personalized-baseball-bedding-full-size-flag-custom-name-d-design-17</t>
        </is>
      </c>
      <c r="C18" s="2" t="inlineStr">
        <is>
          <t>img_79c21b4a603fbdba</t>
        </is>
      </c>
      <c r="D18" s="2" t="inlineStr">
        <is>
          <t>MINOR</t>
        </is>
      </c>
      <c r="E18" s="2" t="inlineStr">
        <is>
          <t>image observation</t>
        </is>
      </c>
      <c r="F18" s="2" t="inlineStr">
        <is>
          <t>Easy-care, size guide or product feature image for brown baseball glove close-up bedding with script name.</t>
        </is>
      </c>
      <c r="G18" s="2" t="inlineStr">
        <is>
          <t>Fresh image file: D:\Shopify_Workspace\jeminise_seo\seo_runs\jeminise.com\20260906_234129\qa\20260907_214100\images\192_06.jpg; source URL: https://cdn.shopify.com/s/files/1/0792/5098/1063/files/50f96559dd878ae5bbee14ba7a34337ccd740d21a8ffe86a8a1be819656d26c0_138364e3-3d1c-426f-92a3-317dccefdfb3.jpg?v=1787242324</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D:\Shopify_Workspace\jeminise_seo\seo_runs\jeminise.com\20260906_234129\qa\20260907_214100\images\192_06.jpg; source URL: https://cdn.shopify.com/s/files/1/0792/5098/1063/files/50f96559dd878ae5bbee14ba7a34337ccd740d21a8ffe86a8a1be819656d26c0_138364e3-3d1c-426f-92a3-317dccefdfb3.jpg?v=1787242324</t>
        </is>
      </c>
      <c r="K18" s="2" t="inlineStr">
        <is>
          <t>The image row accurately describes the actual media at this gallery position.</t>
        </is>
      </c>
      <c r="L18" s="2" t="inlineStr">
        <is>
          <t>RESOLVED</t>
        </is>
      </c>
    </row>
    <row r="19">
      <c r="A19" s="3" t="inlineStr">
        <is>
          <t>ISSUE-0018</t>
        </is>
      </c>
      <c r="B19" s="3" t="inlineStr">
        <is>
          <t>jeminise.com+personalized-baseball-bedding-full-size-flag-custom-name-d-design-17</t>
        </is>
      </c>
      <c r="C19" s="2" t="inlineStr">
        <is>
          <t>img_4dc687fec74e588b</t>
        </is>
      </c>
      <c r="D19" s="2" t="inlineStr">
        <is>
          <t>MINOR</t>
        </is>
      </c>
      <c r="E19" s="2" t="inlineStr">
        <is>
          <t>image observation</t>
        </is>
      </c>
      <c r="F19" s="2" t="inlineStr">
        <is>
          <t>Additional lifestyle, feature or product detail image showing brown baseball glove close-up bedding with script name.</t>
        </is>
      </c>
      <c r="G19" s="2" t="inlineStr">
        <is>
          <t>Fresh image file: D:\Shopify_Workspace\jeminise_seo\seo_runs\jeminise.com\20260906_234129\qa\20260907_214100\images\192_07.jpg; source URL: https://cdn.shopify.com/s/files/1/0792/5098/1063/files/d6b8438a259ef28ba839a68ba108f40464bc9629b0bc2168779fc7776c9cbffa_bc33aecb-4db9-4354-b1fd-308ab7d32cd9.jpg?v=1787242324</t>
        </is>
      </c>
      <c r="H19" s="2" t="inlineStr">
        <is>
          <t>Observation is generic or position-based; rewrite from the actual image content.</t>
        </is>
      </c>
      <c r="I19" s="2" t="inlineStr">
        <is>
          <t>Rewrite observation/alt from the directly opened image, naming the visible motif and use context.</t>
        </is>
      </c>
      <c r="J19" s="2" t="inlineStr">
        <is>
          <t>Fresh image file: D:\Shopify_Workspace\jeminise_seo\seo_runs\jeminise.com\20260906_234129\qa\20260907_214100\images\192_07.jpg; source URL: https://cdn.shopify.com/s/files/1/0792/5098/1063/files/d6b8438a259ef28ba839a68ba108f40464bc9629b0bc2168779fc7776c9cbffa_bc33aecb-4db9-4354-b1fd-308ab7d32cd9.jpg?v=1787242324</t>
        </is>
      </c>
      <c r="K19" s="2" t="inlineStr">
        <is>
          <t>The image row accurately describes the actual media at this gallery position.</t>
        </is>
      </c>
      <c r="L19" s="2" t="inlineStr">
        <is>
          <t>RESOLVED</t>
        </is>
      </c>
    </row>
    <row r="20">
      <c r="A20" s="3" t="inlineStr">
        <is>
          <t>ISSUE-0019</t>
        </is>
      </c>
      <c r="B20" s="3" t="inlineStr">
        <is>
          <t>jeminise.com+personalized-baseball-bedding-full-size-flag-custom-name-d-design-18</t>
        </is>
      </c>
      <c r="C20" s="2" t="n"/>
      <c r="D20" s="2" t="inlineStr">
        <is>
          <t>MAJOR</t>
        </is>
      </c>
      <c r="E20" s="2" t="inlineStr">
        <is>
          <t>description_proposed_html</t>
        </is>
      </c>
      <c r="F20" s="2"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t>
        </is>
      </c>
      <c r="G20" s="2" t="inlineStr">
        <is>
          <t>Draft contains SEO Use / QA approval wording.</t>
        </is>
      </c>
      <c r="H20" s="2" t="inlineStr">
        <is>
          <t>Internal workflow language is not publish-ready storefront copy.</t>
        </is>
      </c>
      <c r="I20" s="2" t="inlineStr">
        <is>
          <t>Remove internal QA/import block and replace with customer-facing verified copy.</t>
        </is>
      </c>
      <c r="J20" s="2" t="inlineStr">
        <is>
          <t>Draft contains SEO Use / QA approval wording.</t>
        </is>
      </c>
      <c r="K20" s="2" t="inlineStr">
        <is>
          <t>Description HTML no longer contains SEO Use, QA, approval, import or draft language.</t>
        </is>
      </c>
      <c r="L20" s="2" t="inlineStr">
        <is>
          <t>RESOLVED</t>
        </is>
      </c>
    </row>
    <row r="21">
      <c r="A21" s="3" t="inlineStr">
        <is>
          <t>ISSUE-0020</t>
        </is>
      </c>
      <c r="B21" s="3" t="inlineStr">
        <is>
          <t>jeminise.com+personalized-baseball-bedding-full-size-flag-custom-name-d-design-18</t>
        </is>
      </c>
      <c r="C21" s="2" t="n"/>
      <c r="D21" s="2" t="inlineStr">
        <is>
          <t>MAJOR</t>
        </is>
      </c>
      <c r="E21" s="2" t="inlineStr">
        <is>
          <t>h1_proposed</t>
        </is>
      </c>
      <c r="F21" s="2" t="inlineStr"/>
      <c r="G21" s="2" t="inlineStr">
        <is>
          <t>The submitted workbook row has no proposed H1.</t>
        </is>
      </c>
      <c r="H21" s="2" t="inlineStr">
        <is>
          <t>A publishable SEO title/H1 pair is incomplete when the H1 field is blank.</t>
        </is>
      </c>
      <c r="I21" s="2" t="inlineStr">
        <is>
          <t>Write one English H1 that matches the verified product type and visible design; do not copy unsupported claims.</t>
        </is>
      </c>
      <c r="J21" s="2" t="inlineStr">
        <is>
          <t>The submitted workbook row has no proposed H1.</t>
        </is>
      </c>
      <c r="K21" s="2" t="inlineStr">
        <is>
          <t>Workbook contains a non-empty H1 and it is consistent with title, primary keyword and live product evidence.</t>
        </is>
      </c>
      <c r="L21" s="2" t="inlineStr">
        <is>
          <t>NOT_APPLICABLE</t>
        </is>
      </c>
    </row>
    <row r="22">
      <c r="A22" s="3" t="inlineStr">
        <is>
          <t>ISSUE-0021</t>
        </is>
      </c>
      <c r="B22" s="3" t="inlineStr">
        <is>
          <t>jeminise.com+personalized-baseball-bedding-full-size-flag-custom-name-d-design-18</t>
        </is>
      </c>
      <c r="C22" s="2" t="n"/>
      <c r="D22" s="2" t="inlineStr">
        <is>
          <t>MINOR</t>
        </is>
      </c>
      <c r="E22" s="2" t="inlineStr">
        <is>
          <t>meta_description_seo</t>
        </is>
      </c>
      <c r="F22" s="2" t="inlineStr">
        <is>
          <t>Shop a comforter set featuring black baseball bedding with flame effects, batter artwork, vertical custom name and jersey number. Review size and personalization options before checkout.</t>
        </is>
      </c>
      <c r="G22" s="2" t="inlineStr">
        <is>
          <t>Meta description length is 186 characters.</t>
        </is>
      </c>
      <c r="H22" s="2" t="inlineStr">
        <is>
          <t>Likely to truncate in search results and repeats review/personality wording in several rows.</t>
        </is>
      </c>
      <c r="I22" s="2" t="inlineStr">
        <is>
          <t>Rewrite to roughly 145-155 characters while preserving verified design and product type.</t>
        </is>
      </c>
      <c r="J22" s="2" t="inlineStr">
        <is>
          <t>Meta description length is 186 characters.</t>
        </is>
      </c>
      <c r="K22" s="2" t="inlineStr">
        <is>
          <t>Length check &lt;=160 characters and no unsupported claim remains.</t>
        </is>
      </c>
      <c r="L22" s="2" t="inlineStr">
        <is>
          <t>RESOLVED</t>
        </is>
      </c>
    </row>
    <row r="23">
      <c r="A23" s="3" t="inlineStr">
        <is>
          <t>ISSUE-0022</t>
        </is>
      </c>
      <c r="B23" s="3" t="inlineStr">
        <is>
          <t>jeminise.com+personalized-baseball-bedding-full-size-flag-custom-name-d-design-18</t>
        </is>
      </c>
      <c r="C23" s="2" t="n"/>
      <c r="D23" s="2" t="inlineStr">
        <is>
          <t>LIMITATION</t>
        </is>
      </c>
      <c r="E23" s="2" t="inlineStr">
        <is>
          <t>keyword_evidence_level</t>
        </is>
      </c>
      <c r="F23" s="2" t="inlineStr">
        <is>
          <t>SERP_ONLY</t>
        </is>
      </c>
      <c r="G23" s="2" t="inlineStr">
        <is>
          <t>Only public SERP comparables are available.</t>
        </is>
      </c>
      <c r="H23" s="2" t="inlineStr">
        <is>
          <t>No Search Console, paid keyword volume or internal site search export was supplied.</t>
        </is>
      </c>
      <c r="I23" s="2" t="inlineStr">
        <is>
          <t>Keep demand statements qualitative; do not claim volume or ranking potential.</t>
        </is>
      </c>
      <c r="J23" s="2" t="inlineStr">
        <is>
          <t>Only public SERP comparables are available.</t>
        </is>
      </c>
      <c r="K23" s="2" t="inlineStr">
        <is>
          <t>Additional first-party or paid keyword evidence is attached, or limitation remains documented.</t>
        </is>
      </c>
      <c r="L23" s="2" t="inlineStr">
        <is>
          <t>PERSISTS</t>
        </is>
      </c>
    </row>
    <row r="24">
      <c r="A24" s="3" t="inlineStr">
        <is>
          <t>ISSUE-0023</t>
        </is>
      </c>
      <c r="B24" s="3" t="inlineStr">
        <is>
          <t>jeminise.com+personalized-baseball-bedding-full-size-flag-custom-name-d-design-18</t>
        </is>
      </c>
      <c r="C24" s="2" t="inlineStr">
        <is>
          <t>img_74f1b22a91715453</t>
        </is>
      </c>
      <c r="D24" s="2" t="inlineStr">
        <is>
          <t>MINOR</t>
        </is>
      </c>
      <c r="E24" s="2" t="inlineStr">
        <is>
          <t>alt text</t>
        </is>
      </c>
      <c r="F24" s="2" t="inlineStr">
        <is>
          <t>Flaming Baseball Batter Bedding with Custom Name displayed in a main product mockup</t>
        </is>
      </c>
      <c r="G24" s="2" t="inlineStr">
        <is>
          <t>Fresh image file: D:\Shopify_Workspace\jeminise_seo\seo_runs\jeminise.com\20260906_234129\qa\20260907_214100\images\193_01.jpg; source URL: https://cdn.shopify.com/s/files/1/0792/5098/1063/files/0fd40d9335554d99de52ba6149196d8c8282f53db344007b27c3052e0709ff05.jpg?v=1787242319</t>
        </is>
      </c>
      <c r="H24" s="2" t="inlineStr">
        <is>
          <t>Alt text is too generic or describes placement more than visible content.</t>
        </is>
      </c>
      <c r="I24" s="2" t="inlineStr">
        <is>
          <t>Rewrite observation/alt from the directly opened image, naming the visible motif and use context.</t>
        </is>
      </c>
      <c r="J24" s="2" t="inlineStr">
        <is>
          <t>Fresh image file: D:\Shopify_Workspace\jeminise_seo\seo_runs\jeminise.com\20260906_234129\qa\20260907_214100\images\193_01.jpg; source URL: https://cdn.shopify.com/s/files/1/0792/5098/1063/files/0fd40d9335554d99de52ba6149196d8c8282f53db344007b27c3052e0709ff05.jpg?v=1787242319</t>
        </is>
      </c>
      <c r="K24" s="2" t="inlineStr">
        <is>
          <t>The image row accurately describes the actual media at this gallery position.</t>
        </is>
      </c>
      <c r="L24" s="2" t="inlineStr">
        <is>
          <t>RESOLVED</t>
        </is>
      </c>
    </row>
    <row r="25">
      <c r="A25" s="3" t="inlineStr">
        <is>
          <t>ISSUE-0024</t>
        </is>
      </c>
      <c r="B25" s="3" t="inlineStr">
        <is>
          <t>jeminise.com+personalized-baseball-bedding-full-size-flag-custom-name-d-design-18</t>
        </is>
      </c>
      <c r="C25" s="2" t="inlineStr">
        <is>
          <t>img_0f02479a4cd1fa7b</t>
        </is>
      </c>
      <c r="D25" s="2" t="inlineStr">
        <is>
          <t>MINOR</t>
        </is>
      </c>
      <c r="E25" s="2" t="inlineStr">
        <is>
          <t>image observation</t>
        </is>
      </c>
      <c r="F25" s="2" t="inlineStr">
        <is>
          <t>Bedding type, feature, lifestyle or material image for flaming baseball batter bedding with vertical name.</t>
        </is>
      </c>
      <c r="G25" s="2" t="inlineStr">
        <is>
          <t>Fresh image file: D:\Shopify_Workspace\jeminise_seo\seo_runs\jeminise.com\20260906_234129\qa\20260907_214100\images\193_03.jpg; source URL: https://cdn.shopify.com/s/files/1/0792/5098/1063/files/ef81c56fe7d5f4f60045bfbd0778e14ad11ce2a6824c23132d2b864ef763fe85_f77bbc82-6b12-4d2d-8e3f-c92c0936c85f.jpg?v=1787242319</t>
        </is>
      </c>
      <c r="H25" s="2" t="inlineStr">
        <is>
          <t>Observation is generic or position-based; rewrite from the actual image content.</t>
        </is>
      </c>
      <c r="I25" s="2" t="inlineStr">
        <is>
          <t>Rewrite observation/alt from the directly opened image, naming the visible motif and use context.</t>
        </is>
      </c>
      <c r="J25" s="2" t="inlineStr">
        <is>
          <t>Fresh image file: D:\Shopify_Workspace\jeminise_seo\seo_runs\jeminise.com\20260906_234129\qa\20260907_214100\images\193_03.jpg; source URL: https://cdn.shopify.com/s/files/1/0792/5098/1063/files/ef81c56fe7d5f4f60045bfbd0778e14ad11ce2a6824c23132d2b864ef763fe85_f77bbc82-6b12-4d2d-8e3f-c92c0936c85f.jpg?v=1787242319</t>
        </is>
      </c>
      <c r="K25" s="2" t="inlineStr">
        <is>
          <t>The image row accurately describes the actual media at this gallery position.</t>
        </is>
      </c>
      <c r="L25" s="2" t="inlineStr">
        <is>
          <t>RESOLVED</t>
        </is>
      </c>
    </row>
    <row r="26">
      <c r="A26" s="3" t="inlineStr">
        <is>
          <t>ISSUE-0025</t>
        </is>
      </c>
      <c r="B26" s="3" t="inlineStr">
        <is>
          <t>jeminise.com+personalized-baseball-bedding-full-size-flag-custom-name-d-design-18</t>
        </is>
      </c>
      <c r="C26" s="2" t="inlineStr">
        <is>
          <t>img_467c7bfcdb720d16</t>
        </is>
      </c>
      <c r="D26" s="2" t="inlineStr">
        <is>
          <t>MINOR</t>
        </is>
      </c>
      <c r="E26" s="2" t="inlineStr">
        <is>
          <t>image observation</t>
        </is>
      </c>
      <c r="F26" s="2" t="inlineStr">
        <is>
          <t>Detail, feature panel or lifestyle image connected to flaming baseball batter bedding with vertical name.</t>
        </is>
      </c>
      <c r="G26" s="2" t="inlineStr">
        <is>
          <t>Fresh image file: D:\Shopify_Workspace\jeminise_seo\seo_runs\jeminise.com\20260906_234129\qa\20260907_214100\images\193_04.jpg; source URL: https://cdn.shopify.com/s/files/1/0792/5098/1063/files/b495d9b37eafdceff5caf3643256f7b3a83de826d49a14bdc531b13424296018_bbfe5d74-1e7b-45c5-b218-3e4035c49e22.jpg?v=1787242319</t>
        </is>
      </c>
      <c r="H26" s="2" t="inlineStr">
        <is>
          <t>Observation is generic or position-based; rewrite from the actual image content.</t>
        </is>
      </c>
      <c r="I26" s="2" t="inlineStr">
        <is>
          <t>Rewrite observation/alt from the directly opened image, naming the visible motif and use context.</t>
        </is>
      </c>
      <c r="J26" s="2" t="inlineStr">
        <is>
          <t>Fresh image file: D:\Shopify_Workspace\jeminise_seo\seo_runs\jeminise.com\20260906_234129\qa\20260907_214100\images\193_04.jpg; source URL: https://cdn.shopify.com/s/files/1/0792/5098/1063/files/b495d9b37eafdceff5caf3643256f7b3a83de826d49a14bdc531b13424296018_bbfe5d74-1e7b-45c5-b218-3e4035c49e22.jpg?v=1787242319</t>
        </is>
      </c>
      <c r="K26" s="2" t="inlineStr">
        <is>
          <t>The image row accurately describes the actual media at this gallery position.</t>
        </is>
      </c>
      <c r="L26" s="2" t="inlineStr">
        <is>
          <t>RESOLVED</t>
        </is>
      </c>
    </row>
    <row r="27">
      <c r="A27" s="3" t="inlineStr">
        <is>
          <t>ISSUE-0026</t>
        </is>
      </c>
      <c r="B27" s="3" t="inlineStr">
        <is>
          <t>jeminise.com+personalized-baseball-bedding-full-size-flag-custom-name-d-design-19</t>
        </is>
      </c>
      <c r="C27" s="2" t="n"/>
      <c r="D27" s="2" t="inlineStr">
        <is>
          <t>MAJOR</t>
        </is>
      </c>
      <c r="E27" s="2" t="inlineStr">
        <is>
          <t>description_proposed_html</t>
        </is>
      </c>
      <c r="F27" s="2"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t>
        </is>
      </c>
      <c r="G27" s="2" t="inlineStr">
        <is>
          <t>Draft contains SEO Use / QA approval wording.</t>
        </is>
      </c>
      <c r="H27" s="2" t="inlineStr">
        <is>
          <t>Internal workflow language is not publish-ready storefront copy.</t>
        </is>
      </c>
      <c r="I27" s="2" t="inlineStr">
        <is>
          <t>Remove internal QA/import block and replace with customer-facing verified copy.</t>
        </is>
      </c>
      <c r="J27" s="2" t="inlineStr">
        <is>
          <t>Draft contains SEO Use / QA approval wording.</t>
        </is>
      </c>
      <c r="K27" s="2" t="inlineStr">
        <is>
          <t>Description HTML no longer contains SEO Use, QA, approval, import or draft language.</t>
        </is>
      </c>
      <c r="L27" s="2" t="inlineStr">
        <is>
          <t>RESOLVED</t>
        </is>
      </c>
    </row>
    <row r="28">
      <c r="A28" s="3" t="inlineStr">
        <is>
          <t>ISSUE-0027</t>
        </is>
      </c>
      <c r="B28" s="3" t="inlineStr">
        <is>
          <t>jeminise.com+personalized-baseball-bedding-full-size-flag-custom-name-d-design-19</t>
        </is>
      </c>
      <c r="C28" s="2" t="n"/>
      <c r="D28" s="2" t="inlineStr">
        <is>
          <t>MAJOR</t>
        </is>
      </c>
      <c r="E28" s="2" t="inlineStr">
        <is>
          <t>h1_proposed</t>
        </is>
      </c>
      <c r="F28" s="2" t="inlineStr"/>
      <c r="G28" s="2" t="inlineStr">
        <is>
          <t>The submitted workbook row has no proposed H1.</t>
        </is>
      </c>
      <c r="H28" s="2" t="inlineStr">
        <is>
          <t>A publishable SEO title/H1 pair is incomplete when the H1 field is blank.</t>
        </is>
      </c>
      <c r="I28" s="2" t="inlineStr">
        <is>
          <t>Write one English H1 that matches the verified product type and visible design; do not copy unsupported claims.</t>
        </is>
      </c>
      <c r="J28" s="2" t="inlineStr">
        <is>
          <t>The submitted workbook row has no proposed H1.</t>
        </is>
      </c>
      <c r="K28" s="2" t="inlineStr">
        <is>
          <t>Workbook contains a non-empty H1 and it is consistent with title, primary keyword and live product evidence.</t>
        </is>
      </c>
      <c r="L28" s="2" t="inlineStr">
        <is>
          <t>NOT_APPLICABLE</t>
        </is>
      </c>
    </row>
    <row r="29">
      <c r="A29" s="3" t="inlineStr">
        <is>
          <t>ISSUE-0028</t>
        </is>
      </c>
      <c r="B29" s="3" t="inlineStr">
        <is>
          <t>jeminise.com+personalized-baseball-bedding-full-size-flag-custom-name-d-design-19</t>
        </is>
      </c>
      <c r="C29" s="2" t="n"/>
      <c r="D29" s="2" t="inlineStr">
        <is>
          <t>MINOR</t>
        </is>
      </c>
      <c r="E29" s="2" t="inlineStr">
        <is>
          <t>meta_description_seo</t>
        </is>
      </c>
      <c r="F29" s="2" t="inlineStr">
        <is>
          <t>Shop a comforter set featuring orange fire baseball bedding with batter stance, vertical custom name and bold jersey number. Review size and personalization options before checkout.</t>
        </is>
      </c>
      <c r="G29" s="2" t="inlineStr">
        <is>
          <t>Meta description length is 181 characters.</t>
        </is>
      </c>
      <c r="H29" s="2" t="inlineStr">
        <is>
          <t>Likely to truncate in search results and repeats review/personality wording in several rows.</t>
        </is>
      </c>
      <c r="I29" s="2" t="inlineStr">
        <is>
          <t>Rewrite to roughly 145-155 characters while preserving verified design and product type.</t>
        </is>
      </c>
      <c r="J29" s="2" t="inlineStr">
        <is>
          <t>Meta description length is 181 characters.</t>
        </is>
      </c>
      <c r="K29" s="2" t="inlineStr">
        <is>
          <t>Length check &lt;=160 characters and no unsupported claim remains.</t>
        </is>
      </c>
      <c r="L29" s="2" t="inlineStr">
        <is>
          <t>RESOLVED</t>
        </is>
      </c>
    </row>
    <row r="30">
      <c r="A30" s="3" t="inlineStr">
        <is>
          <t>ISSUE-0029</t>
        </is>
      </c>
      <c r="B30" s="3" t="inlineStr">
        <is>
          <t>jeminise.com+personalized-baseball-bedding-full-size-flag-custom-name-d-design-19</t>
        </is>
      </c>
      <c r="C30" s="2" t="n"/>
      <c r="D30" s="2" t="inlineStr">
        <is>
          <t>LIMITATION</t>
        </is>
      </c>
      <c r="E30" s="2" t="inlineStr">
        <is>
          <t>keyword_evidence_level</t>
        </is>
      </c>
      <c r="F30" s="2" t="inlineStr">
        <is>
          <t>SERP_ONLY</t>
        </is>
      </c>
      <c r="G30" s="2" t="inlineStr">
        <is>
          <t>Only public SERP comparables are available.</t>
        </is>
      </c>
      <c r="H30" s="2" t="inlineStr">
        <is>
          <t>No Search Console, paid keyword volume or internal site search export was supplied.</t>
        </is>
      </c>
      <c r="I30" s="2" t="inlineStr">
        <is>
          <t>Keep demand statements qualitative; do not claim volume or ranking potential.</t>
        </is>
      </c>
      <c r="J30" s="2" t="inlineStr">
        <is>
          <t>Only public SERP comparables are available.</t>
        </is>
      </c>
      <c r="K30" s="2" t="inlineStr">
        <is>
          <t>Additional first-party or paid keyword evidence is attached, or limitation remains documented.</t>
        </is>
      </c>
      <c r="L30" s="2" t="inlineStr">
        <is>
          <t>PERSISTS</t>
        </is>
      </c>
    </row>
    <row r="31">
      <c r="A31" s="3" t="inlineStr">
        <is>
          <t>ISSUE-0030</t>
        </is>
      </c>
      <c r="B31" s="3" t="inlineStr">
        <is>
          <t>jeminise.com+personalized-baseball-bedding-full-size-flag-custom-name-d-design-19</t>
        </is>
      </c>
      <c r="C31" s="2" t="inlineStr">
        <is>
          <t>img_5b5e123ba03625c4</t>
        </is>
      </c>
      <c r="D31" s="2" t="inlineStr">
        <is>
          <t>MINOR</t>
        </is>
      </c>
      <c r="E31" s="2" t="inlineStr">
        <is>
          <t>alt text</t>
        </is>
      </c>
      <c r="F31" s="2" t="inlineStr">
        <is>
          <t>Orange Fire Baseball Player Bedding with Name displayed in a main product mockup</t>
        </is>
      </c>
      <c r="G31" s="2" t="inlineStr">
        <is>
          <t>Fresh image file: D:\Shopify_Workspace\jeminise_seo\seo_runs\jeminise.com\20260906_234129\qa\20260907_214100\images\194_01.jpg; source URL: https://cdn.shopify.com/s/files/1/0792/5098/1063/files/61c881e384a92769ae7d3f5be9cb5a95fc23436bdd571361509748c60fc5a8bd.jpg?v=1787242323</t>
        </is>
      </c>
      <c r="H31" s="2" t="inlineStr">
        <is>
          <t>Alt text is too generic or describes placement more than visible content.</t>
        </is>
      </c>
      <c r="I31" s="2" t="inlineStr">
        <is>
          <t>Rewrite observation/alt from the directly opened image, naming the visible motif and use context.</t>
        </is>
      </c>
      <c r="J31" s="2" t="inlineStr">
        <is>
          <t>Fresh image file: D:\Shopify_Workspace\jeminise_seo\seo_runs\jeminise.com\20260906_234129\qa\20260907_214100\images\194_01.jpg; source URL: https://cdn.shopify.com/s/files/1/0792/5098/1063/files/61c881e384a92769ae7d3f5be9cb5a95fc23436bdd571361509748c60fc5a8bd.jpg?v=1787242323</t>
        </is>
      </c>
      <c r="K31" s="2" t="inlineStr">
        <is>
          <t>The image row accurately describes the actual media at this gallery position.</t>
        </is>
      </c>
      <c r="L31" s="2" t="inlineStr">
        <is>
          <t>RESOLVED</t>
        </is>
      </c>
    </row>
    <row r="32">
      <c r="A32" s="3" t="inlineStr">
        <is>
          <t>ISSUE-0031</t>
        </is>
      </c>
      <c r="B32" s="3" t="inlineStr">
        <is>
          <t>jeminise.com+personalized-baseball-bedding-full-size-flag-custom-name-d-design-19</t>
        </is>
      </c>
      <c r="C32" s="2" t="inlineStr">
        <is>
          <t>img_014f3227dfdbd35a</t>
        </is>
      </c>
      <c r="D32" s="2" t="inlineStr">
        <is>
          <t>MINOR</t>
        </is>
      </c>
      <c r="E32" s="2" t="inlineStr">
        <is>
          <t>image observation</t>
        </is>
      </c>
      <c r="F32" s="2" t="inlineStr">
        <is>
          <t>Bedding type, feature, lifestyle or material image for orange fire baseball player bedding with name.</t>
        </is>
      </c>
      <c r="G32" s="2" t="inlineStr">
        <is>
          <t>Fresh image file: D:\Shopify_Workspace\jeminise_seo\seo_runs\jeminise.com\20260906_234129\qa\20260907_214100\images\194_03.jpg; source URL: https://cdn.shopify.com/s/files/1/0792/5098/1063/files/ef81c56fe7d5f4f60045bfbd0778e14ad11ce2a6824c23132d2b864ef763fe85_3300ba49-d34d-4474-ad91-ba64390bf805.jpg?v=1787242323</t>
        </is>
      </c>
      <c r="H32" s="2" t="inlineStr">
        <is>
          <t>Observation is generic or position-based; rewrite from the actual image content.</t>
        </is>
      </c>
      <c r="I32" s="2" t="inlineStr">
        <is>
          <t>Rewrite observation/alt from the directly opened image, naming the visible motif and use context.</t>
        </is>
      </c>
      <c r="J32" s="2" t="inlineStr">
        <is>
          <t>Fresh image file: D:\Shopify_Workspace\jeminise_seo\seo_runs\jeminise.com\20260906_234129\qa\20260907_214100\images\194_03.jpg; source URL: https://cdn.shopify.com/s/files/1/0792/5098/1063/files/ef81c56fe7d5f4f60045bfbd0778e14ad11ce2a6824c23132d2b864ef763fe85_3300ba49-d34d-4474-ad91-ba64390bf805.jpg?v=1787242323</t>
        </is>
      </c>
      <c r="K32" s="2" t="inlineStr">
        <is>
          <t>The image row accurately describes the actual media at this gallery position.</t>
        </is>
      </c>
      <c r="L32" s="2" t="inlineStr">
        <is>
          <t>RESOLVED</t>
        </is>
      </c>
    </row>
    <row r="33">
      <c r="A33" s="3" t="inlineStr">
        <is>
          <t>ISSUE-0032</t>
        </is>
      </c>
      <c r="B33" s="3" t="inlineStr">
        <is>
          <t>jeminise.com+personalized-baseball-bedding-full-size-flag-custom-name-d-design-19</t>
        </is>
      </c>
      <c r="C33" s="2" t="inlineStr">
        <is>
          <t>img_4d01c575f199b440</t>
        </is>
      </c>
      <c r="D33" s="2" t="inlineStr">
        <is>
          <t>MINOR</t>
        </is>
      </c>
      <c r="E33" s="2" t="inlineStr">
        <is>
          <t>image observation</t>
        </is>
      </c>
      <c r="F33" s="2" t="inlineStr">
        <is>
          <t>Detail, feature panel or lifestyle image connected to orange fire baseball player bedding with name.</t>
        </is>
      </c>
      <c r="G33" s="2" t="inlineStr">
        <is>
          <t>Fresh image file: D:\Shopify_Workspace\jeminise_seo\seo_runs\jeminise.com\20260906_234129\qa\20260907_214100\images\194_04.jpg; source URL: https://cdn.shopify.com/s/files/1/0792/5098/1063/files/b495d9b37eafdceff5caf3643256f7b3a83de826d49a14bdc531b13424296018_e2f47848-6b65-4978-a1aa-d21f7f641bc3.jpg?v=1787242323</t>
        </is>
      </c>
      <c r="H33" s="2" t="inlineStr">
        <is>
          <t>Observation is generic or position-based; rewrite from the actual image content.</t>
        </is>
      </c>
      <c r="I33" s="2" t="inlineStr">
        <is>
          <t>Rewrite observation/alt from the directly opened image, naming the visible motif and use context.</t>
        </is>
      </c>
      <c r="J33" s="2" t="inlineStr">
        <is>
          <t>Fresh image file: D:\Shopify_Workspace\jeminise_seo\seo_runs\jeminise.com\20260906_234129\qa\20260907_214100\images\194_04.jpg; source URL: https://cdn.shopify.com/s/files/1/0792/5098/1063/files/b495d9b37eafdceff5caf3643256f7b3a83de826d49a14bdc531b13424296018_e2f47848-6b65-4978-a1aa-d21f7f641bc3.jpg?v=1787242323</t>
        </is>
      </c>
      <c r="K33" s="2" t="inlineStr">
        <is>
          <t>The image row accurately describes the actual media at this gallery position.</t>
        </is>
      </c>
      <c r="L33" s="2" t="inlineStr">
        <is>
          <t>RESOLVED</t>
        </is>
      </c>
    </row>
    <row r="34">
      <c r="A34" s="3" t="inlineStr">
        <is>
          <t>ISSUE-0033</t>
        </is>
      </c>
      <c r="B34" s="3" t="inlineStr">
        <is>
          <t>jeminise.com+personalized-baseball-bedding-full-size-flag-custom-name-d-design-20</t>
        </is>
      </c>
      <c r="C34" s="2" t="n"/>
      <c r="D34" s="2" t="inlineStr">
        <is>
          <t>MAJOR</t>
        </is>
      </c>
      <c r="E34" s="2" t="inlineStr">
        <is>
          <t>description_proposed_html</t>
        </is>
      </c>
      <c r="F34" s="2"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t>
        </is>
      </c>
      <c r="G34" s="2" t="inlineStr">
        <is>
          <t>Draft contains SEO Use / QA approval wording.</t>
        </is>
      </c>
      <c r="H34" s="2" t="inlineStr">
        <is>
          <t>Internal workflow language is not publish-ready storefront copy.</t>
        </is>
      </c>
      <c r="I34" s="2" t="inlineStr">
        <is>
          <t>Remove internal QA/import block and replace with customer-facing verified copy.</t>
        </is>
      </c>
      <c r="J34" s="2" t="inlineStr">
        <is>
          <t>Draft contains SEO Use / QA approval wording.</t>
        </is>
      </c>
      <c r="K34" s="2" t="inlineStr">
        <is>
          <t>Description HTML no longer contains SEO Use, QA, approval, import or draft language.</t>
        </is>
      </c>
      <c r="L34" s="2" t="inlineStr">
        <is>
          <t>RESOLVED</t>
        </is>
      </c>
    </row>
    <row r="35">
      <c r="A35" s="3" t="inlineStr">
        <is>
          <t>ISSUE-0034</t>
        </is>
      </c>
      <c r="B35" s="3" t="inlineStr">
        <is>
          <t>jeminise.com+personalized-baseball-bedding-full-size-flag-custom-name-d-design-20</t>
        </is>
      </c>
      <c r="C35" s="2" t="n"/>
      <c r="D35" s="2" t="inlineStr">
        <is>
          <t>MAJOR</t>
        </is>
      </c>
      <c r="E35" s="2" t="inlineStr">
        <is>
          <t>h1_proposed</t>
        </is>
      </c>
      <c r="F35" s="2" t="inlineStr"/>
      <c r="G35" s="2" t="inlineStr">
        <is>
          <t>The submitted workbook row has no proposed H1.</t>
        </is>
      </c>
      <c r="H35" s="2" t="inlineStr">
        <is>
          <t>A publishable SEO title/H1 pair is incomplete when the H1 field is blank.</t>
        </is>
      </c>
      <c r="I35" s="2" t="inlineStr">
        <is>
          <t>Write one English H1 that matches the verified product type and visible design; do not copy unsupported claims.</t>
        </is>
      </c>
      <c r="J35" s="2" t="inlineStr">
        <is>
          <t>The submitted workbook row has no proposed H1.</t>
        </is>
      </c>
      <c r="K35" s="2" t="inlineStr">
        <is>
          <t>Workbook contains a non-empty H1 and it is consistent with title, primary keyword and live product evidence.</t>
        </is>
      </c>
      <c r="L35" s="2" t="inlineStr">
        <is>
          <t>NOT_APPLICABLE</t>
        </is>
      </c>
    </row>
    <row r="36">
      <c r="A36" s="3" t="inlineStr">
        <is>
          <t>ISSUE-0035</t>
        </is>
      </c>
      <c r="B36" s="3" t="inlineStr">
        <is>
          <t>jeminise.com+personalized-baseball-bedding-full-size-flag-custom-name-d-design-20</t>
        </is>
      </c>
      <c r="C36" s="2" t="n"/>
      <c r="D36" s="2" t="inlineStr">
        <is>
          <t>MINOR</t>
        </is>
      </c>
      <c r="E36" s="2" t="inlineStr">
        <is>
          <t>meta_description_seo</t>
        </is>
      </c>
      <c r="F36" s="2" t="inlineStr">
        <is>
          <t>Shop a comforter set featuring American flag baseball bedding with glove and ball artwork, vertical custom name and jersey number on shams. Review size and personalization options before checkout.</t>
        </is>
      </c>
      <c r="G36" s="2" t="inlineStr">
        <is>
          <t>Meta description length is 196 characters.</t>
        </is>
      </c>
      <c r="H36" s="2" t="inlineStr">
        <is>
          <t>Likely to truncate in search results and repeats review/personality wording in several rows.</t>
        </is>
      </c>
      <c r="I36" s="2" t="inlineStr">
        <is>
          <t>Rewrite to roughly 145-155 characters while preserving verified design and product type.</t>
        </is>
      </c>
      <c r="J36" s="2" t="inlineStr">
        <is>
          <t>Meta description length is 196 characters.</t>
        </is>
      </c>
      <c r="K36" s="2" t="inlineStr">
        <is>
          <t>Length check &lt;=160 characters and no unsupported claim remains.</t>
        </is>
      </c>
      <c r="L36" s="2" t="inlineStr">
        <is>
          <t>RESOLVED</t>
        </is>
      </c>
    </row>
    <row r="37">
      <c r="A37" s="3" t="inlineStr">
        <is>
          <t>ISSUE-0036</t>
        </is>
      </c>
      <c r="B37" s="3" t="inlineStr">
        <is>
          <t>jeminise.com+personalized-baseball-bedding-full-size-flag-custom-name-d-design-20</t>
        </is>
      </c>
      <c r="C37" s="2" t="n"/>
      <c r="D37" s="2" t="inlineStr">
        <is>
          <t>LIMITATION</t>
        </is>
      </c>
      <c r="E37" s="2" t="inlineStr">
        <is>
          <t>keyword_evidence_level</t>
        </is>
      </c>
      <c r="F37" s="2" t="inlineStr">
        <is>
          <t>SERP_ONLY</t>
        </is>
      </c>
      <c r="G37" s="2" t="inlineStr">
        <is>
          <t>Only public SERP comparables are available.</t>
        </is>
      </c>
      <c r="H37" s="2" t="inlineStr">
        <is>
          <t>No Search Console, paid keyword volume or internal site search export was supplied.</t>
        </is>
      </c>
      <c r="I37" s="2" t="inlineStr">
        <is>
          <t>Keep demand statements qualitative; do not claim volume or ranking potential.</t>
        </is>
      </c>
      <c r="J37" s="2" t="inlineStr">
        <is>
          <t>Only public SERP comparables are available.</t>
        </is>
      </c>
      <c r="K37" s="2" t="inlineStr">
        <is>
          <t>Additional first-party or paid keyword evidence is attached, or limitation remains documented.</t>
        </is>
      </c>
      <c r="L37" s="2" t="inlineStr">
        <is>
          <t>PERSISTS</t>
        </is>
      </c>
    </row>
    <row r="38">
      <c r="A38" s="3" t="inlineStr">
        <is>
          <t>ISSUE-0037</t>
        </is>
      </c>
      <c r="B38" s="3" t="inlineStr">
        <is>
          <t>jeminise.com+personalized-baseball-bedding-full-size-flag-custom-name-d-design-20</t>
        </is>
      </c>
      <c r="C38" s="2" t="inlineStr">
        <is>
          <t>img_3ff60e17656fb6a6</t>
        </is>
      </c>
      <c r="D38" s="2" t="inlineStr">
        <is>
          <t>MINOR</t>
        </is>
      </c>
      <c r="E38" s="2" t="inlineStr">
        <is>
          <t>alt text</t>
        </is>
      </c>
      <c r="F38" s="2" t="inlineStr">
        <is>
          <t>American Flag Baseball Glove Bedding with Name displayed in a main product mockup</t>
        </is>
      </c>
      <c r="G38" s="2" t="inlineStr">
        <is>
          <t>Fresh image file: D:\Shopify_Workspace\jeminise_seo\seo_runs\jeminise.com\20260906_234129\qa\20260907_214100\images\195_01.jpg; source URL: https://cdn.shopify.com/s/files/1/0792/5098/1063/files/e4e2338aa85d3f668a15c82fa2ea0cfb93432ed8792267b4e09f9f55c1cf8b2e.jpg?v=1787242327</t>
        </is>
      </c>
      <c r="H38" s="2" t="inlineStr">
        <is>
          <t>Alt text is too generic or describes placement more than visible content.</t>
        </is>
      </c>
      <c r="I38" s="2" t="inlineStr">
        <is>
          <t>Rewrite observation/alt from the directly opened image, naming the visible motif and use context.</t>
        </is>
      </c>
      <c r="J38" s="2" t="inlineStr">
        <is>
          <t>Fresh image file: D:\Shopify_Workspace\jeminise_seo\seo_runs\jeminise.com\20260906_234129\qa\20260907_214100\images\195_01.jpg; source URL: https://cdn.shopify.com/s/files/1/0792/5098/1063/files/e4e2338aa85d3f668a15c82fa2ea0cfb93432ed8792267b4e09f9f55c1cf8b2e.jpg?v=1787242327</t>
        </is>
      </c>
      <c r="K38" s="2" t="inlineStr">
        <is>
          <t>The image row accurately describes the actual media at this gallery position.</t>
        </is>
      </c>
      <c r="L38" s="2" t="inlineStr">
        <is>
          <t>RESOLVED</t>
        </is>
      </c>
    </row>
    <row r="39">
      <c r="A39" s="3" t="inlineStr">
        <is>
          <t>ISSUE-0038</t>
        </is>
      </c>
      <c r="B39" s="3" t="inlineStr">
        <is>
          <t>jeminise.com+personalized-baseball-bedding-full-size-flag-custom-name-d-design-20</t>
        </is>
      </c>
      <c r="C39" s="2" t="inlineStr">
        <is>
          <t>img_cb4a6d118418eb86</t>
        </is>
      </c>
      <c r="D39" s="2" t="inlineStr">
        <is>
          <t>MINOR</t>
        </is>
      </c>
      <c r="E39" s="2" t="inlineStr">
        <is>
          <t>image observation</t>
        </is>
      </c>
      <c r="F39" s="2" t="inlineStr">
        <is>
          <t>Bedding type, feature, lifestyle or material image for American flag baseball glove bedding with vertical name.</t>
        </is>
      </c>
      <c r="G39" s="2" t="inlineStr">
        <is>
          <t>Fresh image file: D:\Shopify_Workspace\jeminise_seo\seo_runs\jeminise.com\20260906_234129\qa\20260907_214100\images\195_03.jpg; source URL: https://cdn.shopify.com/s/files/1/0792/5098/1063/files/d51e3360a3e4b984af63b01c4b53d517484ca3d6cb1beeea158bcf59acab9ed4_977041c9-eadf-4e13-8d3a-c5486389ed7f.jpg?v=1787242328</t>
        </is>
      </c>
      <c r="H39" s="2" t="inlineStr">
        <is>
          <t>Observation is generic or position-based; rewrite from the actual image content.</t>
        </is>
      </c>
      <c r="I39" s="2" t="inlineStr">
        <is>
          <t>Rewrite observation/alt from the directly opened image, naming the visible motif and use context.</t>
        </is>
      </c>
      <c r="J39" s="2" t="inlineStr">
        <is>
          <t>Fresh image file: D:\Shopify_Workspace\jeminise_seo\seo_runs\jeminise.com\20260906_234129\qa\20260907_214100\images\195_03.jpg; source URL: https://cdn.shopify.com/s/files/1/0792/5098/1063/files/d51e3360a3e4b984af63b01c4b53d517484ca3d6cb1beeea158bcf59acab9ed4_977041c9-eadf-4e13-8d3a-c5486389ed7f.jpg?v=1787242328</t>
        </is>
      </c>
      <c r="K39" s="2" t="inlineStr">
        <is>
          <t>The image row accurately describes the actual media at this gallery position.</t>
        </is>
      </c>
      <c r="L39" s="2" t="inlineStr">
        <is>
          <t>RESOLVED</t>
        </is>
      </c>
    </row>
    <row r="40">
      <c r="A40" s="3" t="inlineStr">
        <is>
          <t>ISSUE-0039</t>
        </is>
      </c>
      <c r="B40" s="3" t="inlineStr">
        <is>
          <t>jeminise.com+personalized-baseball-bedding-full-size-flag-custom-name-d-design-20</t>
        </is>
      </c>
      <c r="C40" s="2" t="inlineStr">
        <is>
          <t>img_1eafb19c92915a7f</t>
        </is>
      </c>
      <c r="D40" s="2" t="inlineStr">
        <is>
          <t>MINOR</t>
        </is>
      </c>
      <c r="E40" s="2" t="inlineStr">
        <is>
          <t>image observation</t>
        </is>
      </c>
      <c r="F40" s="2" t="inlineStr">
        <is>
          <t>Detail, feature panel or lifestyle image connected to American flag baseball glove bedding with vertical name.</t>
        </is>
      </c>
      <c r="G40" s="2" t="inlineStr">
        <is>
          <t>Fresh image file: D:\Shopify_Workspace\jeminise_seo\seo_runs\jeminise.com\20260906_234129\qa\20260907_214100\images\195_04.jpg; source URL: https://cdn.shopify.com/s/files/1/0792/5098/1063/files/ef81c56fe7d5f4f60045bfbd0778e14ad11ce2a6824c23132d2b864ef763fe85_086abb91-5272-4549-8a43-f5abe073b73e.jpg?v=1787242328</t>
        </is>
      </c>
      <c r="H40" s="2" t="inlineStr">
        <is>
          <t>Observation is generic or position-based; rewrite from the actual image content.</t>
        </is>
      </c>
      <c r="I40" s="2" t="inlineStr">
        <is>
          <t>Rewrite observation/alt from the directly opened image, naming the visible motif and use context.</t>
        </is>
      </c>
      <c r="J40" s="2" t="inlineStr">
        <is>
          <t>Fresh image file: D:\Shopify_Workspace\jeminise_seo\seo_runs\jeminise.com\20260906_234129\qa\20260907_214100\images\195_04.jpg; source URL: https://cdn.shopify.com/s/files/1/0792/5098/1063/files/ef81c56fe7d5f4f60045bfbd0778e14ad11ce2a6824c23132d2b864ef763fe85_086abb91-5272-4549-8a43-f5abe073b73e.jpg?v=1787242328</t>
        </is>
      </c>
      <c r="K40" s="2" t="inlineStr">
        <is>
          <t>The image row accurately describes the actual media at this gallery position.</t>
        </is>
      </c>
      <c r="L40" s="2" t="inlineStr">
        <is>
          <t>RESOLVED</t>
        </is>
      </c>
    </row>
    <row r="41">
      <c r="A41" s="3" t="inlineStr">
        <is>
          <t>ISSUE-0040</t>
        </is>
      </c>
      <c r="B41" s="3" t="inlineStr">
        <is>
          <t>jeminise.com+personalized-baseball-bedding-full-size-flag-custom-name-d-design-21</t>
        </is>
      </c>
      <c r="C41" s="2" t="n"/>
      <c r="D41" s="2" t="inlineStr">
        <is>
          <t>MAJOR</t>
        </is>
      </c>
      <c r="E41" s="2" t="inlineStr">
        <is>
          <t>description_proposed_html</t>
        </is>
      </c>
      <c r="F41" s="2"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t>
        </is>
      </c>
      <c r="G41" s="2" t="inlineStr">
        <is>
          <t>Draft contains SEO Use / QA approval wording.</t>
        </is>
      </c>
      <c r="H41" s="2" t="inlineStr">
        <is>
          <t>Internal workflow language is not publish-ready storefront copy.</t>
        </is>
      </c>
      <c r="I41" s="2" t="inlineStr">
        <is>
          <t>Remove internal QA/import block and replace with customer-facing verified copy.</t>
        </is>
      </c>
      <c r="J41" s="2" t="inlineStr">
        <is>
          <t>Draft contains SEO Use / QA approval wording.</t>
        </is>
      </c>
      <c r="K41" s="2" t="inlineStr">
        <is>
          <t>Description HTML no longer contains SEO Use, QA, approval, import or draft language.</t>
        </is>
      </c>
      <c r="L41" s="2" t="inlineStr">
        <is>
          <t>RESOLVED</t>
        </is>
      </c>
    </row>
    <row r="42">
      <c r="A42" s="3" t="inlineStr">
        <is>
          <t>ISSUE-0041</t>
        </is>
      </c>
      <c r="B42" s="3" t="inlineStr">
        <is>
          <t>jeminise.com+personalized-baseball-bedding-full-size-flag-custom-name-d-design-21</t>
        </is>
      </c>
      <c r="C42" s="2" t="n"/>
      <c r="D42" s="2" t="inlineStr">
        <is>
          <t>MAJOR</t>
        </is>
      </c>
      <c r="E42" s="2" t="inlineStr">
        <is>
          <t>h1_proposed</t>
        </is>
      </c>
      <c r="F42" s="2" t="inlineStr"/>
      <c r="G42" s="2" t="inlineStr">
        <is>
          <t>The submitted workbook row has no proposed H1.</t>
        </is>
      </c>
      <c r="H42" s="2" t="inlineStr">
        <is>
          <t>A publishable SEO title/H1 pair is incomplete when the H1 field is blank.</t>
        </is>
      </c>
      <c r="I42" s="2" t="inlineStr">
        <is>
          <t>Write one English H1 that matches the verified product type and visible design; do not copy unsupported claims.</t>
        </is>
      </c>
      <c r="J42" s="2" t="inlineStr">
        <is>
          <t>The submitted workbook row has no proposed H1.</t>
        </is>
      </c>
      <c r="K42" s="2" t="inlineStr">
        <is>
          <t>Workbook contains a non-empty H1 and it is consistent with title, primary keyword and live product evidence.</t>
        </is>
      </c>
      <c r="L42" s="2" t="inlineStr">
        <is>
          <t>NOT_APPLICABLE</t>
        </is>
      </c>
    </row>
    <row r="43">
      <c r="A43" s="3" t="inlineStr">
        <is>
          <t>ISSUE-0042</t>
        </is>
      </c>
      <c r="B43" s="3" t="inlineStr">
        <is>
          <t>jeminise.com+personalized-baseball-bedding-full-size-flag-custom-name-d-design-21</t>
        </is>
      </c>
      <c r="C43" s="2" t="n"/>
      <c r="D43" s="2" t="inlineStr">
        <is>
          <t>MINOR</t>
        </is>
      </c>
      <c r="E43" s="2" t="inlineStr">
        <is>
          <t>meta_description_seo</t>
        </is>
      </c>
      <c r="F43" s="2" t="inlineStr">
        <is>
          <t>Shop a comforter set featuring black baseball bedding with grayscale glove and ball artwork, script custom name and jersey number. Review size and personalization options before checkout.</t>
        </is>
      </c>
      <c r="G43" s="2" t="inlineStr">
        <is>
          <t>Meta description length is 187 characters.</t>
        </is>
      </c>
      <c r="H43" s="2" t="inlineStr">
        <is>
          <t>Likely to truncate in search results and repeats review/personality wording in several rows.</t>
        </is>
      </c>
      <c r="I43" s="2" t="inlineStr">
        <is>
          <t>Rewrite to roughly 145-155 characters while preserving verified design and product type.</t>
        </is>
      </c>
      <c r="J43" s="2" t="inlineStr">
        <is>
          <t>Meta description length is 187 characters.</t>
        </is>
      </c>
      <c r="K43" s="2" t="inlineStr">
        <is>
          <t>Length check &lt;=160 characters and no unsupported claim remains.</t>
        </is>
      </c>
      <c r="L43" s="2" t="inlineStr">
        <is>
          <t>RESOLVED</t>
        </is>
      </c>
    </row>
    <row r="44">
      <c r="A44" s="3" t="inlineStr">
        <is>
          <t>ISSUE-0043</t>
        </is>
      </c>
      <c r="B44" s="3" t="inlineStr">
        <is>
          <t>jeminise.com+personalized-baseball-bedding-full-size-flag-custom-name-d-design-21</t>
        </is>
      </c>
      <c r="C44" s="2" t="n"/>
      <c r="D44" s="2" t="inlineStr">
        <is>
          <t>LIMITATION</t>
        </is>
      </c>
      <c r="E44" s="2" t="inlineStr">
        <is>
          <t>keyword_evidence_level</t>
        </is>
      </c>
      <c r="F44" s="2" t="inlineStr">
        <is>
          <t>SERP_ONLY</t>
        </is>
      </c>
      <c r="G44" s="2" t="inlineStr">
        <is>
          <t>Only public SERP comparables are available.</t>
        </is>
      </c>
      <c r="H44" s="2" t="inlineStr">
        <is>
          <t>No Search Console, paid keyword volume or internal site search export was supplied.</t>
        </is>
      </c>
      <c r="I44" s="2" t="inlineStr">
        <is>
          <t>Keep demand statements qualitative; do not claim volume or ranking potential.</t>
        </is>
      </c>
      <c r="J44" s="2" t="inlineStr">
        <is>
          <t>Only public SERP comparables are available.</t>
        </is>
      </c>
      <c r="K44" s="2" t="inlineStr">
        <is>
          <t>Additional first-party or paid keyword evidence is attached, or limitation remains documented.</t>
        </is>
      </c>
      <c r="L44" s="2" t="inlineStr">
        <is>
          <t>PERSISTS</t>
        </is>
      </c>
    </row>
    <row r="45">
      <c r="A45" s="3" t="inlineStr">
        <is>
          <t>ISSUE-0044</t>
        </is>
      </c>
      <c r="B45" s="3" t="inlineStr">
        <is>
          <t>jeminise.com+personalized-baseball-bedding-full-size-flag-custom-name-d-design-21</t>
        </is>
      </c>
      <c r="C45" s="2" t="inlineStr">
        <is>
          <t>img_170a78e84ef28443</t>
        </is>
      </c>
      <c r="D45" s="2" t="inlineStr">
        <is>
          <t>MINOR</t>
        </is>
      </c>
      <c r="E45" s="2" t="inlineStr">
        <is>
          <t>alt text</t>
        </is>
      </c>
      <c r="F45" s="2" t="inlineStr">
        <is>
          <t>Black Baseball Glove Bedding with Script Name displayed in a main product mockup</t>
        </is>
      </c>
      <c r="G45" s="2" t="inlineStr">
        <is>
          <t>Fresh image file: D:\Shopify_Workspace\jeminise_seo\seo_runs\jeminise.com\20260906_234129\qa\20260907_214100\images\196_01.jpg; source URL: https://cdn.shopify.com/s/files/1/0792/5098/1063/files/8a848b0ed0b502d09e60f9124d8e753486022275aa6cabec6be40339d169fd60.jpg?v=1787242336</t>
        </is>
      </c>
      <c r="H45" s="2" t="inlineStr">
        <is>
          <t>Alt text is too generic or describes placement more than visible content.</t>
        </is>
      </c>
      <c r="I45" s="2" t="inlineStr">
        <is>
          <t>Rewrite observation/alt from the directly opened image, naming the visible motif and use context.</t>
        </is>
      </c>
      <c r="J45" s="2" t="inlineStr">
        <is>
          <t>Fresh image file: D:\Shopify_Workspace\jeminise_seo\seo_runs\jeminise.com\20260906_234129\qa\20260907_214100\images\196_01.jpg; source URL: https://cdn.shopify.com/s/files/1/0792/5098/1063/files/8a848b0ed0b502d09e60f9124d8e753486022275aa6cabec6be40339d169fd60.jpg?v=1787242336</t>
        </is>
      </c>
      <c r="K45" s="2" t="inlineStr">
        <is>
          <t>The image row accurately describes the actual media at this gallery position.</t>
        </is>
      </c>
      <c r="L45" s="2" t="inlineStr">
        <is>
          <t>RESOLVED</t>
        </is>
      </c>
    </row>
    <row r="46">
      <c r="A46" s="3" t="inlineStr">
        <is>
          <t>ISSUE-0045</t>
        </is>
      </c>
      <c r="B46" s="3" t="inlineStr">
        <is>
          <t>jeminise.com+personalized-baseball-bedding-full-size-flag-custom-name-d-design-21</t>
        </is>
      </c>
      <c r="C46" s="2" t="inlineStr">
        <is>
          <t>img_581334d0baef6798</t>
        </is>
      </c>
      <c r="D46" s="2" t="inlineStr">
        <is>
          <t>MINOR</t>
        </is>
      </c>
      <c r="E46" s="2" t="inlineStr">
        <is>
          <t>image observation</t>
        </is>
      </c>
      <c r="F46" s="2" t="inlineStr">
        <is>
          <t>Bedding type, feature, lifestyle or material image for black baseball glove bedding with script name and number.</t>
        </is>
      </c>
      <c r="G46" s="2" t="inlineStr">
        <is>
          <t>Fresh image file: D:\Shopify_Workspace\jeminise_seo\seo_runs\jeminise.com\20260906_234129\qa\20260907_214100\images\196_03.jpg; source URL: https://cdn.shopify.com/s/files/1/0792/5098/1063/files/b495d9b37eafdceff5caf3643256f7b3a83de826d49a14bdc531b13424296018_ed380f76-8a95-4ffa-9450-96511fe8e841.jpg?v=1787242336</t>
        </is>
      </c>
      <c r="H46" s="2" t="inlineStr">
        <is>
          <t>Observation is generic or position-based; rewrite from the actual image content.</t>
        </is>
      </c>
      <c r="I46" s="2" t="inlineStr">
        <is>
          <t>Rewrite observation/alt from the directly opened image, naming the visible motif and use context.</t>
        </is>
      </c>
      <c r="J46" s="2" t="inlineStr">
        <is>
          <t>Fresh image file: D:\Shopify_Workspace\jeminise_seo\seo_runs\jeminise.com\20260906_234129\qa\20260907_214100\images\196_03.jpg; source URL: https://cdn.shopify.com/s/files/1/0792/5098/1063/files/b495d9b37eafdceff5caf3643256f7b3a83de826d49a14bdc531b13424296018_ed380f76-8a95-4ffa-9450-96511fe8e841.jpg?v=1787242336</t>
        </is>
      </c>
      <c r="K46" s="2" t="inlineStr">
        <is>
          <t>The image row accurately describes the actual media at this gallery position.</t>
        </is>
      </c>
      <c r="L46" s="2" t="inlineStr">
        <is>
          <t>RESOLVED</t>
        </is>
      </c>
    </row>
    <row r="47">
      <c r="A47" s="3" t="inlineStr">
        <is>
          <t>ISSUE-0046</t>
        </is>
      </c>
      <c r="B47" s="3" t="inlineStr">
        <is>
          <t>jeminise.com+personalized-baseball-bedding-full-size-flag-custom-name-d-design-21</t>
        </is>
      </c>
      <c r="C47" s="2" t="inlineStr">
        <is>
          <t>img_0687e2d28a2db0d1</t>
        </is>
      </c>
      <c r="D47" s="2" t="inlineStr">
        <is>
          <t>MINOR</t>
        </is>
      </c>
      <c r="E47" s="2" t="inlineStr">
        <is>
          <t>image observation</t>
        </is>
      </c>
      <c r="F47" s="2" t="inlineStr">
        <is>
          <t>Detail, feature panel or lifestyle image connected to black baseball glove bedding with script name and number.</t>
        </is>
      </c>
      <c r="G47" s="2" t="inlineStr">
        <is>
          <t>Fresh image file: D:\Shopify_Workspace\jeminise_seo\seo_runs\jeminise.com\20260906_234129\qa\20260907_214100\images\196_04.jpg; source URL: https://cdn.shopify.com/s/files/1/0792/5098/1063/files/d51e3360a3e4b984af63b01c4b53d517484ca3d6cb1beeea158bcf59acab9ed4_a6ef995a-d4c4-4f6b-badb-65a4e158b3aa.jpg?v=1787242336</t>
        </is>
      </c>
      <c r="H47" s="2" t="inlineStr">
        <is>
          <t>Observation is generic or position-based; rewrite from the actual image content.</t>
        </is>
      </c>
      <c r="I47" s="2" t="inlineStr">
        <is>
          <t>Rewrite observation/alt from the directly opened image, naming the visible motif and use context.</t>
        </is>
      </c>
      <c r="J47" s="2" t="inlineStr">
        <is>
          <t>Fresh image file: D:\Shopify_Workspace\jeminise_seo\seo_runs\jeminise.com\20260906_234129\qa\20260907_214100\images\196_04.jpg; source URL: https://cdn.shopify.com/s/files/1/0792/5098/1063/files/d51e3360a3e4b984af63b01c4b53d517484ca3d6cb1beeea158bcf59acab9ed4_a6ef995a-d4c4-4f6b-badb-65a4e158b3aa.jpg?v=1787242336</t>
        </is>
      </c>
      <c r="K47" s="2" t="inlineStr">
        <is>
          <t>The image row accurately describes the actual media at this gallery position.</t>
        </is>
      </c>
      <c r="L47" s="2" t="inlineStr">
        <is>
          <t>RESOLVED</t>
        </is>
      </c>
    </row>
    <row r="48">
      <c r="A48" s="3" t="inlineStr">
        <is>
          <t>ISSUE-0047</t>
        </is>
      </c>
      <c r="B48" s="3" t="inlineStr">
        <is>
          <t>jeminise.com+personalized-baseball-bedding-full-size-flag-custom-name-d-design-22</t>
        </is>
      </c>
      <c r="C48" s="2" t="n"/>
      <c r="D48" s="2" t="inlineStr">
        <is>
          <t>MAJOR</t>
        </is>
      </c>
      <c r="E48" s="2" t="inlineStr">
        <is>
          <t>description_proposed_html</t>
        </is>
      </c>
      <c r="F48" s="2"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t>
        </is>
      </c>
      <c r="G48" s="2" t="inlineStr">
        <is>
          <t>Draft contains SEO Use / QA approval wording.</t>
        </is>
      </c>
      <c r="H48" s="2" t="inlineStr">
        <is>
          <t>Internal workflow language is not publish-ready storefront copy.</t>
        </is>
      </c>
      <c r="I48" s="2" t="inlineStr">
        <is>
          <t>Remove internal QA/import block and replace with customer-facing verified copy.</t>
        </is>
      </c>
      <c r="J48" s="2" t="inlineStr">
        <is>
          <t>Draft contains SEO Use / QA approval wording.</t>
        </is>
      </c>
      <c r="K48" s="2" t="inlineStr">
        <is>
          <t>Description HTML no longer contains SEO Use, QA, approval, import or draft language.</t>
        </is>
      </c>
      <c r="L48" s="2" t="inlineStr">
        <is>
          <t>RESOLVED</t>
        </is>
      </c>
    </row>
    <row r="49">
      <c r="A49" s="3" t="inlineStr">
        <is>
          <t>ISSUE-0048</t>
        </is>
      </c>
      <c r="B49" s="3" t="inlineStr">
        <is>
          <t>jeminise.com+personalized-baseball-bedding-full-size-flag-custom-name-d-design-22</t>
        </is>
      </c>
      <c r="C49" s="2" t="n"/>
      <c r="D49" s="2" t="inlineStr">
        <is>
          <t>MAJOR</t>
        </is>
      </c>
      <c r="E49" s="2" t="inlineStr">
        <is>
          <t>h1_proposed</t>
        </is>
      </c>
      <c r="F49" s="2" t="inlineStr"/>
      <c r="G49" s="2" t="inlineStr">
        <is>
          <t>The submitted workbook row has no proposed H1.</t>
        </is>
      </c>
      <c r="H49" s="2" t="inlineStr">
        <is>
          <t>A publishable SEO title/H1 pair is incomplete when the H1 field is blank.</t>
        </is>
      </c>
      <c r="I49" s="2" t="inlineStr">
        <is>
          <t>Write one English H1 that matches the verified product type and visible design; do not copy unsupported claims.</t>
        </is>
      </c>
      <c r="J49" s="2" t="inlineStr">
        <is>
          <t>The submitted workbook row has no proposed H1.</t>
        </is>
      </c>
      <c r="K49" s="2" t="inlineStr">
        <is>
          <t>Workbook contains a non-empty H1 and it is consistent with title, primary keyword and live product evidence.</t>
        </is>
      </c>
      <c r="L49" s="2" t="inlineStr">
        <is>
          <t>NOT_APPLICABLE</t>
        </is>
      </c>
    </row>
    <row r="50">
      <c r="A50" s="3" t="inlineStr">
        <is>
          <t>ISSUE-0049</t>
        </is>
      </c>
      <c r="B50" s="3" t="inlineStr">
        <is>
          <t>jeminise.com+personalized-baseball-bedding-full-size-flag-custom-name-d-design-22</t>
        </is>
      </c>
      <c r="C50" s="2" t="n"/>
      <c r="D50" s="2" t="inlineStr">
        <is>
          <t>MINOR</t>
        </is>
      </c>
      <c r="E50" s="2" t="inlineStr">
        <is>
          <t>meta_description_seo</t>
        </is>
      </c>
      <c r="F50" s="2" t="inlineStr">
        <is>
          <t>Shop a comforter set featuring stormy blue baseball bedding with lightning effects, large baseball, custom name and jersey number. Review size and personalization options before checkout.</t>
        </is>
      </c>
      <c r="G50" s="2" t="inlineStr">
        <is>
          <t>Meta description length is 187 characters.</t>
        </is>
      </c>
      <c r="H50" s="2" t="inlineStr">
        <is>
          <t>Likely to truncate in search results and repeats review/personality wording in several rows.</t>
        </is>
      </c>
      <c r="I50" s="2" t="inlineStr">
        <is>
          <t>Rewrite to roughly 145-155 characters while preserving verified design and product type.</t>
        </is>
      </c>
      <c r="J50" s="2" t="inlineStr">
        <is>
          <t>Meta description length is 187 characters.</t>
        </is>
      </c>
      <c r="K50" s="2" t="inlineStr">
        <is>
          <t>Length check &lt;=160 characters and no unsupported claim remains.</t>
        </is>
      </c>
      <c r="L50" s="2" t="inlineStr">
        <is>
          <t>RESOLVED</t>
        </is>
      </c>
    </row>
    <row r="51">
      <c r="A51" s="3" t="inlineStr">
        <is>
          <t>ISSUE-0050</t>
        </is>
      </c>
      <c r="B51" s="3" t="inlineStr">
        <is>
          <t>jeminise.com+personalized-baseball-bedding-full-size-flag-custom-name-d-design-22</t>
        </is>
      </c>
      <c r="C51" s="2" t="n"/>
      <c r="D51" s="2" t="inlineStr">
        <is>
          <t>LIMITATION</t>
        </is>
      </c>
      <c r="E51" s="2" t="inlineStr">
        <is>
          <t>keyword_evidence_level</t>
        </is>
      </c>
      <c r="F51" s="2" t="inlineStr">
        <is>
          <t>SERP_ONLY</t>
        </is>
      </c>
      <c r="G51" s="2" t="inlineStr">
        <is>
          <t>Only public SERP comparables are available.</t>
        </is>
      </c>
      <c r="H51" s="2" t="inlineStr">
        <is>
          <t>No Search Console, paid keyword volume or internal site search export was supplied.</t>
        </is>
      </c>
      <c r="I51" s="2" t="inlineStr">
        <is>
          <t>Keep demand statements qualitative; do not claim volume or ranking potential.</t>
        </is>
      </c>
      <c r="J51" s="2" t="inlineStr">
        <is>
          <t>Only public SERP comparables are available.</t>
        </is>
      </c>
      <c r="K51" s="2" t="inlineStr">
        <is>
          <t>Additional first-party or paid keyword evidence is attached, or limitation remains documented.</t>
        </is>
      </c>
      <c r="L51" s="2" t="inlineStr">
        <is>
          <t>PERSISTS</t>
        </is>
      </c>
    </row>
    <row r="52">
      <c r="A52" s="3" t="inlineStr">
        <is>
          <t>ISSUE-0051</t>
        </is>
      </c>
      <c r="B52" s="3" t="inlineStr">
        <is>
          <t>jeminise.com+personalized-baseball-bedding-full-size-flag-custom-name-d-design-22</t>
        </is>
      </c>
      <c r="C52" s="2" t="inlineStr">
        <is>
          <t>img_e8b5a9fbc1a8b6a7</t>
        </is>
      </c>
      <c r="D52" s="2" t="inlineStr">
        <is>
          <t>MINOR</t>
        </is>
      </c>
      <c r="E52" s="2" t="inlineStr">
        <is>
          <t>alt text</t>
        </is>
      </c>
      <c r="F52" s="2" t="inlineStr">
        <is>
          <t>Lightning Baseball Bedding with Name and Number displayed in a main product mockup</t>
        </is>
      </c>
      <c r="G52" s="2" t="inlineStr">
        <is>
          <t>Fresh image file: D:\Shopify_Workspace\jeminise_seo\seo_runs\jeminise.com\20260906_234129\qa\20260907_214100\images\197_01.jpg; source URL: https://cdn.shopify.com/s/files/1/0792/5098/1063/files/76f774a931f7c5c91510a65804cd4a186b89f7020c009e61c6b0e85896bf0d67.jpg?v=1787242346</t>
        </is>
      </c>
      <c r="H52" s="2" t="inlineStr">
        <is>
          <t>Alt text is too generic or describes placement more than visible content.</t>
        </is>
      </c>
      <c r="I52" s="2" t="inlineStr">
        <is>
          <t>Rewrite observation/alt from the directly opened image, naming the visible motif and use context.</t>
        </is>
      </c>
      <c r="J52" s="2" t="inlineStr">
        <is>
          <t>Fresh image file: D:\Shopify_Workspace\jeminise_seo\seo_runs\jeminise.com\20260906_234129\qa\20260907_214100\images\197_01.jpg; source URL: https://cdn.shopify.com/s/files/1/0792/5098/1063/files/76f774a931f7c5c91510a65804cd4a186b89f7020c009e61c6b0e85896bf0d67.jpg?v=1787242346</t>
        </is>
      </c>
      <c r="K52" s="2" t="inlineStr">
        <is>
          <t>The image row accurately describes the actual media at this gallery position.</t>
        </is>
      </c>
      <c r="L52" s="2" t="inlineStr">
        <is>
          <t>RESOLVED</t>
        </is>
      </c>
    </row>
    <row r="53">
      <c r="A53" s="3" t="inlineStr">
        <is>
          <t>ISSUE-0052</t>
        </is>
      </c>
      <c r="B53" s="3" t="inlineStr">
        <is>
          <t>jeminise.com+personalized-baseball-bedding-full-size-flag-custom-name-d-design-22</t>
        </is>
      </c>
      <c r="C53" s="2" t="inlineStr">
        <is>
          <t>img_368b7b7bbf434d74</t>
        </is>
      </c>
      <c r="D53" s="2" t="inlineStr">
        <is>
          <t>MINOR</t>
        </is>
      </c>
      <c r="E53" s="2" t="inlineStr">
        <is>
          <t>image observation</t>
        </is>
      </c>
      <c r="F53" s="2" t="inlineStr">
        <is>
          <t>Bedding type, feature, lifestyle or material image for lightning baseball bedding with custom name and number.</t>
        </is>
      </c>
      <c r="G53" s="2" t="inlineStr">
        <is>
          <t>Fresh image file: D:\Shopify_Workspace\jeminise_seo\seo_runs\jeminise.com\20260906_234129\qa\20260907_214100\images\197_03.jpg; source URL: https://cdn.shopify.com/s/files/1/0792/5098/1063/files/ef81c56fe7d5f4f60045bfbd0778e14ad11ce2a6824c23132d2b864ef763fe85_51634434-5014-45d6-994f-821922c04116.jpg?v=1787242345</t>
        </is>
      </c>
      <c r="H53" s="2" t="inlineStr">
        <is>
          <t>Observation is generic or position-based; rewrite from the actual image content.</t>
        </is>
      </c>
      <c r="I53" s="2" t="inlineStr">
        <is>
          <t>Rewrite observation/alt from the directly opened image, naming the visible motif and use context.</t>
        </is>
      </c>
      <c r="J53" s="2" t="inlineStr">
        <is>
          <t>Fresh image file: D:\Shopify_Workspace\jeminise_seo\seo_runs\jeminise.com\20260906_234129\qa\20260907_214100\images\197_03.jpg; source URL: https://cdn.shopify.com/s/files/1/0792/5098/1063/files/ef81c56fe7d5f4f60045bfbd0778e14ad11ce2a6824c23132d2b864ef763fe85_51634434-5014-45d6-994f-821922c04116.jpg?v=1787242345</t>
        </is>
      </c>
      <c r="K53" s="2" t="inlineStr">
        <is>
          <t>The image row accurately describes the actual media at this gallery position.</t>
        </is>
      </c>
      <c r="L53" s="2" t="inlineStr">
        <is>
          <t>RESOLVED</t>
        </is>
      </c>
    </row>
    <row r="54">
      <c r="A54" s="3" t="inlineStr">
        <is>
          <t>ISSUE-0053</t>
        </is>
      </c>
      <c r="B54" s="3" t="inlineStr">
        <is>
          <t>jeminise.com+personalized-baseball-bedding-full-size-flag-custom-name-d-design-22</t>
        </is>
      </c>
      <c r="C54" s="2" t="inlineStr">
        <is>
          <t>img_5ffc4354282e2d16</t>
        </is>
      </c>
      <c r="D54" s="2" t="inlineStr">
        <is>
          <t>MINOR</t>
        </is>
      </c>
      <c r="E54" s="2" t="inlineStr">
        <is>
          <t>image observation</t>
        </is>
      </c>
      <c r="F54" s="2" t="inlineStr">
        <is>
          <t>Detail, feature panel or lifestyle image connected to lightning baseball bedding with custom name and number.</t>
        </is>
      </c>
      <c r="G54" s="2" t="inlineStr">
        <is>
          <t>Fresh image file: D:\Shopify_Workspace\jeminise_seo\seo_runs\jeminise.com\20260906_234129\qa\20260907_214100\images\197_04.jpg; source URL: https://cdn.shopify.com/s/files/1/0792/5098/1063/files/b495d9b37eafdceff5caf3643256f7b3a83de826d49a14bdc531b13424296018_41990bf5-b2e6-47ee-a38f-4d52044d7358.jpg?v=1787242345</t>
        </is>
      </c>
      <c r="H54" s="2" t="inlineStr">
        <is>
          <t>Observation is generic or position-based; rewrite from the actual image content.</t>
        </is>
      </c>
      <c r="I54" s="2" t="inlineStr">
        <is>
          <t>Rewrite observation/alt from the directly opened image, naming the visible motif and use context.</t>
        </is>
      </c>
      <c r="J54" s="2" t="inlineStr">
        <is>
          <t>Fresh image file: D:\Shopify_Workspace\jeminise_seo\seo_runs\jeminise.com\20260906_234129\qa\20260907_214100\images\197_04.jpg; source URL: https://cdn.shopify.com/s/files/1/0792/5098/1063/files/b495d9b37eafdceff5caf3643256f7b3a83de826d49a14bdc531b13424296018_41990bf5-b2e6-47ee-a38f-4d52044d7358.jpg?v=1787242345</t>
        </is>
      </c>
      <c r="K54" s="2" t="inlineStr">
        <is>
          <t>The image row accurately describes the actual media at this gallery position.</t>
        </is>
      </c>
      <c r="L54" s="2" t="inlineStr">
        <is>
          <t>RESOLVED</t>
        </is>
      </c>
    </row>
    <row r="55">
      <c r="A55" s="3" t="inlineStr">
        <is>
          <t>ISSUE-0054</t>
        </is>
      </c>
      <c r="B55" s="3" t="inlineStr">
        <is>
          <t>jeminise.com+personalized-baseball-bedding-full-size-flag-custom-name-d-design-23</t>
        </is>
      </c>
      <c r="C55" s="2" t="n"/>
      <c r="D55" s="2" t="inlineStr">
        <is>
          <t>MAJOR</t>
        </is>
      </c>
      <c r="E55" s="2" t="inlineStr">
        <is>
          <t>description_proposed_html</t>
        </is>
      </c>
      <c r="F55" s="2"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t>
        </is>
      </c>
      <c r="G55" s="2" t="inlineStr">
        <is>
          <t>Draft contains SEO Use / QA approval wording.</t>
        </is>
      </c>
      <c r="H55" s="2" t="inlineStr">
        <is>
          <t>Internal workflow language is not publish-ready storefront copy.</t>
        </is>
      </c>
      <c r="I55" s="2" t="inlineStr">
        <is>
          <t>Remove internal QA/import block and replace with customer-facing verified copy.</t>
        </is>
      </c>
      <c r="J55" s="2" t="inlineStr">
        <is>
          <t>Draft contains SEO Use / QA approval wording.</t>
        </is>
      </c>
      <c r="K55" s="2" t="inlineStr">
        <is>
          <t>Description HTML no longer contains SEO Use, QA, approval, import or draft language.</t>
        </is>
      </c>
      <c r="L55" s="2" t="inlineStr">
        <is>
          <t>RESOLVED</t>
        </is>
      </c>
    </row>
    <row r="56">
      <c r="A56" s="3" t="inlineStr">
        <is>
          <t>ISSUE-0055</t>
        </is>
      </c>
      <c r="B56" s="3" t="inlineStr">
        <is>
          <t>jeminise.com+personalized-baseball-bedding-full-size-flag-custom-name-d-design-23</t>
        </is>
      </c>
      <c r="C56" s="2" t="n"/>
      <c r="D56" s="2" t="inlineStr">
        <is>
          <t>MAJOR</t>
        </is>
      </c>
      <c r="E56" s="2" t="inlineStr">
        <is>
          <t>h1_proposed</t>
        </is>
      </c>
      <c r="F56" s="2" t="inlineStr"/>
      <c r="G56" s="2" t="inlineStr">
        <is>
          <t>The submitted workbook row has no proposed H1.</t>
        </is>
      </c>
      <c r="H56" s="2" t="inlineStr">
        <is>
          <t>A publishable SEO title/H1 pair is incomplete when the H1 field is blank.</t>
        </is>
      </c>
      <c r="I56" s="2" t="inlineStr">
        <is>
          <t>Write one English H1 that matches the verified product type and visible design; do not copy unsupported claims.</t>
        </is>
      </c>
      <c r="J56" s="2" t="inlineStr">
        <is>
          <t>The submitted workbook row has no proposed H1.</t>
        </is>
      </c>
      <c r="K56" s="2" t="inlineStr">
        <is>
          <t>Workbook contains a non-empty H1 and it is consistent with title, primary keyword and live product evidence.</t>
        </is>
      </c>
      <c r="L56" s="2" t="inlineStr">
        <is>
          <t>NOT_APPLICABLE</t>
        </is>
      </c>
    </row>
    <row r="57">
      <c r="A57" s="3" t="inlineStr">
        <is>
          <t>ISSUE-0056</t>
        </is>
      </c>
      <c r="B57" s="3" t="inlineStr">
        <is>
          <t>jeminise.com+personalized-baseball-bedding-full-size-flag-custom-name-d-design-23</t>
        </is>
      </c>
      <c r="C57" s="2" t="n"/>
      <c r="D57" s="2" t="inlineStr">
        <is>
          <t>MINOR</t>
        </is>
      </c>
      <c r="E57" s="2" t="inlineStr">
        <is>
          <t>meta_description_seo</t>
        </is>
      </c>
      <c r="F57" s="2" t="inlineStr">
        <is>
          <t>Shop a comforter set featuring night-sky baseball bedding with helmet, glove, bat, ball, grass field detail and script custom name. Review size and personalization options before checkout.</t>
        </is>
      </c>
      <c r="G57" s="2" t="inlineStr">
        <is>
          <t>Meta description length is 188 characters.</t>
        </is>
      </c>
      <c r="H57" s="2" t="inlineStr">
        <is>
          <t>Likely to truncate in search results and repeats review/personality wording in several rows.</t>
        </is>
      </c>
      <c r="I57" s="2" t="inlineStr">
        <is>
          <t>Rewrite to roughly 145-155 characters while preserving verified design and product type.</t>
        </is>
      </c>
      <c r="J57" s="2" t="inlineStr">
        <is>
          <t>Meta description length is 188 characters.</t>
        </is>
      </c>
      <c r="K57" s="2" t="inlineStr">
        <is>
          <t>Length check &lt;=160 characters and no unsupported claim remains.</t>
        </is>
      </c>
      <c r="L57" s="2" t="inlineStr">
        <is>
          <t>RESOLVED</t>
        </is>
      </c>
    </row>
    <row r="58">
      <c r="A58" s="3" t="inlineStr">
        <is>
          <t>ISSUE-0057</t>
        </is>
      </c>
      <c r="B58" s="3" t="inlineStr">
        <is>
          <t>jeminise.com+personalized-baseball-bedding-full-size-flag-custom-name-d-design-23</t>
        </is>
      </c>
      <c r="C58" s="2" t="n"/>
      <c r="D58" s="2" t="inlineStr">
        <is>
          <t>LIMITATION</t>
        </is>
      </c>
      <c r="E58" s="2" t="inlineStr">
        <is>
          <t>keyword_evidence_level</t>
        </is>
      </c>
      <c r="F58" s="2" t="inlineStr">
        <is>
          <t>SERP_ONLY</t>
        </is>
      </c>
      <c r="G58" s="2" t="inlineStr">
        <is>
          <t>Only public SERP comparables are available.</t>
        </is>
      </c>
      <c r="H58" s="2" t="inlineStr">
        <is>
          <t>No Search Console, paid keyword volume or internal site search export was supplied.</t>
        </is>
      </c>
      <c r="I58" s="2" t="inlineStr">
        <is>
          <t>Keep demand statements qualitative; do not claim volume or ranking potential.</t>
        </is>
      </c>
      <c r="J58" s="2" t="inlineStr">
        <is>
          <t>Only public SERP comparables are available.</t>
        </is>
      </c>
      <c r="K58" s="2" t="inlineStr">
        <is>
          <t>Additional first-party or paid keyword evidence is attached, or limitation remains documented.</t>
        </is>
      </c>
      <c r="L58" s="2" t="inlineStr">
        <is>
          <t>PERSISTS</t>
        </is>
      </c>
    </row>
    <row r="59">
      <c r="A59" s="3" t="inlineStr">
        <is>
          <t>ISSUE-0058</t>
        </is>
      </c>
      <c r="B59" s="3" t="inlineStr">
        <is>
          <t>jeminise.com+personalized-baseball-bedding-full-size-flag-custom-name-d-design-23</t>
        </is>
      </c>
      <c r="C59" s="2" t="inlineStr">
        <is>
          <t>img_2dc9c1da03271d25</t>
        </is>
      </c>
      <c r="D59" s="2" t="inlineStr">
        <is>
          <t>MINOR</t>
        </is>
      </c>
      <c r="E59" s="2" t="inlineStr">
        <is>
          <t>alt text</t>
        </is>
      </c>
      <c r="F59" s="2" t="inlineStr">
        <is>
          <t>Night Field Baseball Glove Bedding with Custom Name displayed in a main product mockup</t>
        </is>
      </c>
      <c r="G59" s="2" t="inlineStr">
        <is>
          <t>Fresh image file: D:\Shopify_Workspace\jeminise_seo\seo_runs\jeminise.com\20260906_234129\qa\20260907_214100\images\198_01.jpg; source URL: https://cdn.shopify.com/s/files/1/0792/5098/1063/files/9df70f0343a5c034d346fd9dde42e97c78ba2ce598854a71221d454a2ee76637.jpg?v=1787242356</t>
        </is>
      </c>
      <c r="H59" s="2" t="inlineStr">
        <is>
          <t>Alt text is too generic or describes placement more than visible content.</t>
        </is>
      </c>
      <c r="I59" s="2" t="inlineStr">
        <is>
          <t>Rewrite observation/alt from the directly opened image, naming the visible motif and use context.</t>
        </is>
      </c>
      <c r="J59" s="2" t="inlineStr">
        <is>
          <t>Fresh image file: D:\Shopify_Workspace\jeminise_seo\seo_runs\jeminise.com\20260906_234129\qa\20260907_214100\images\198_01.jpg; source URL: https://cdn.shopify.com/s/files/1/0792/5098/1063/files/9df70f0343a5c034d346fd9dde42e97c78ba2ce598854a71221d454a2ee76637.jpg?v=1787242356</t>
        </is>
      </c>
      <c r="K59" s="2" t="inlineStr">
        <is>
          <t>The image row accurately describes the actual media at this gallery position.</t>
        </is>
      </c>
      <c r="L59" s="2" t="inlineStr">
        <is>
          <t>RESOLVED</t>
        </is>
      </c>
    </row>
    <row r="60">
      <c r="A60" s="3" t="inlineStr">
        <is>
          <t>ISSUE-0059</t>
        </is>
      </c>
      <c r="B60" s="3" t="inlineStr">
        <is>
          <t>jeminise.com+personalized-baseball-bedding-full-size-flag-custom-name-d-design-23</t>
        </is>
      </c>
      <c r="C60" s="2" t="inlineStr">
        <is>
          <t>img_db3c4fb9e3a346f6</t>
        </is>
      </c>
      <c r="D60" s="2" t="inlineStr">
        <is>
          <t>MINOR</t>
        </is>
      </c>
      <c r="E60" s="2" t="inlineStr">
        <is>
          <t>image observation</t>
        </is>
      </c>
      <c r="F60" s="2" t="inlineStr">
        <is>
          <t>Bedding type, feature, lifestyle or material image for night field baseball glove bedding with custom name.</t>
        </is>
      </c>
      <c r="G60" s="2" t="inlineStr">
        <is>
          <t>Fresh image file: D:\Shopify_Workspace\jeminise_seo\seo_runs\jeminise.com\20260906_234129\qa\20260907_214100\images\198_03.jpg; source URL: https://cdn.shopify.com/s/files/1/0792/5098/1063/files/b495d9b37eafdceff5caf3643256f7b3a83de826d49a14bdc531b13424296018_f0ab96a2-f663-4cfb-be58-fb49e4b15426.jpg?v=1787242356</t>
        </is>
      </c>
      <c r="H60" s="2" t="inlineStr">
        <is>
          <t>Observation is generic or position-based; rewrite from the actual image content.</t>
        </is>
      </c>
      <c r="I60" s="2" t="inlineStr">
        <is>
          <t>Rewrite observation/alt from the directly opened image, naming the visible motif and use context.</t>
        </is>
      </c>
      <c r="J60" s="2" t="inlineStr">
        <is>
          <t>Fresh image file: D:\Shopify_Workspace\jeminise_seo\seo_runs\jeminise.com\20260906_234129\qa\20260907_214100\images\198_03.jpg; source URL: https://cdn.shopify.com/s/files/1/0792/5098/1063/files/b495d9b37eafdceff5caf3643256f7b3a83de826d49a14bdc531b13424296018_f0ab96a2-f663-4cfb-be58-fb49e4b15426.jpg?v=1787242356</t>
        </is>
      </c>
      <c r="K60" s="2" t="inlineStr">
        <is>
          <t>The image row accurately describes the actual media at this gallery position.</t>
        </is>
      </c>
      <c r="L60" s="2" t="inlineStr">
        <is>
          <t>RESOLVED</t>
        </is>
      </c>
    </row>
    <row r="61">
      <c r="A61" s="3" t="inlineStr">
        <is>
          <t>ISSUE-0060</t>
        </is>
      </c>
      <c r="B61" s="3" t="inlineStr">
        <is>
          <t>jeminise.com+personalized-baseball-bedding-full-size-flag-custom-name-d-design-23</t>
        </is>
      </c>
      <c r="C61" s="2" t="inlineStr">
        <is>
          <t>img_99ecff8dbda8353e</t>
        </is>
      </c>
      <c r="D61" s="2" t="inlineStr">
        <is>
          <t>MINOR</t>
        </is>
      </c>
      <c r="E61" s="2" t="inlineStr">
        <is>
          <t>image observation</t>
        </is>
      </c>
      <c r="F61" s="2" t="inlineStr">
        <is>
          <t>Detail, feature panel or lifestyle image connected to night field baseball glove bedding with custom name.</t>
        </is>
      </c>
      <c r="G61" s="2" t="inlineStr">
        <is>
          <t>Fresh image file: D:\Shopify_Workspace\jeminise_seo\seo_runs\jeminise.com\20260906_234129\qa\20260907_214100\images\198_04.jpg; source URL: https://cdn.shopify.com/s/files/1/0792/5098/1063/files/d51e3360a3e4b984af63b01c4b53d517484ca3d6cb1beeea158bcf59acab9ed4_0af73dba-e243-4566-bbfe-d666cef91f7d.jpg?v=1787242356</t>
        </is>
      </c>
      <c r="H61" s="2" t="inlineStr">
        <is>
          <t>Observation is generic or position-based; rewrite from the actual image content.</t>
        </is>
      </c>
      <c r="I61" s="2" t="inlineStr">
        <is>
          <t>Rewrite observation/alt from the directly opened image, naming the visible motif and use context.</t>
        </is>
      </c>
      <c r="J61" s="2" t="inlineStr">
        <is>
          <t>Fresh image file: D:\Shopify_Workspace\jeminise_seo\seo_runs\jeminise.com\20260906_234129\qa\20260907_214100\images\198_04.jpg; source URL: https://cdn.shopify.com/s/files/1/0792/5098/1063/files/d51e3360a3e4b984af63b01c4b53d517484ca3d6cb1beeea158bcf59acab9ed4_0af73dba-e243-4566-bbfe-d666cef91f7d.jpg?v=1787242356</t>
        </is>
      </c>
      <c r="K61" s="2" t="inlineStr">
        <is>
          <t>The image row accurately describes the actual media at this gallery position.</t>
        </is>
      </c>
      <c r="L61" s="2" t="inlineStr">
        <is>
          <t>RESOLVED</t>
        </is>
      </c>
    </row>
    <row r="62">
      <c r="A62" s="3" t="inlineStr">
        <is>
          <t>ISSUE-0061</t>
        </is>
      </c>
      <c r="B62" s="3" t="inlineStr">
        <is>
          <t>jeminise.com+personalized-baseball-bedding-full-size-flag-custom-name-d-design-24</t>
        </is>
      </c>
      <c r="C62" s="2" t="n"/>
      <c r="D62" s="2" t="inlineStr">
        <is>
          <t>MAJOR</t>
        </is>
      </c>
      <c r="E62" s="2" t="inlineStr">
        <is>
          <t>description_proposed_html</t>
        </is>
      </c>
      <c r="F62" s="2"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t>
        </is>
      </c>
      <c r="G62" s="2" t="inlineStr">
        <is>
          <t>Draft contains SEO Use / QA approval wording.</t>
        </is>
      </c>
      <c r="H62" s="2" t="inlineStr">
        <is>
          <t>Internal workflow language is not publish-ready storefront copy.</t>
        </is>
      </c>
      <c r="I62" s="2" t="inlineStr">
        <is>
          <t>Remove internal QA/import block and replace with customer-facing verified copy.</t>
        </is>
      </c>
      <c r="J62" s="2" t="inlineStr">
        <is>
          <t>Draft contains SEO Use / QA approval wording.</t>
        </is>
      </c>
      <c r="K62" s="2" t="inlineStr">
        <is>
          <t>Description HTML no longer contains SEO Use, QA, approval, import or draft language.</t>
        </is>
      </c>
      <c r="L62" s="2" t="inlineStr">
        <is>
          <t>RESOLVED</t>
        </is>
      </c>
    </row>
    <row r="63">
      <c r="A63" s="3" t="inlineStr">
        <is>
          <t>ISSUE-0062</t>
        </is>
      </c>
      <c r="B63" s="3" t="inlineStr">
        <is>
          <t>jeminise.com+personalized-baseball-bedding-full-size-flag-custom-name-d-design-24</t>
        </is>
      </c>
      <c r="C63" s="2" t="n"/>
      <c r="D63" s="2" t="inlineStr">
        <is>
          <t>MAJOR</t>
        </is>
      </c>
      <c r="E63" s="2" t="inlineStr">
        <is>
          <t>h1_proposed</t>
        </is>
      </c>
      <c r="F63" s="2" t="inlineStr"/>
      <c r="G63" s="2" t="inlineStr">
        <is>
          <t>The submitted workbook row has no proposed H1.</t>
        </is>
      </c>
      <c r="H63" s="2" t="inlineStr">
        <is>
          <t>A publishable SEO title/H1 pair is incomplete when the H1 field is blank.</t>
        </is>
      </c>
      <c r="I63" s="2" t="inlineStr">
        <is>
          <t>Write one English H1 that matches the verified product type and visible design; do not copy unsupported claims.</t>
        </is>
      </c>
      <c r="J63" s="2" t="inlineStr">
        <is>
          <t>The submitted workbook row has no proposed H1.</t>
        </is>
      </c>
      <c r="K63" s="2" t="inlineStr">
        <is>
          <t>Workbook contains a non-empty H1 and it is consistent with title, primary keyword and live product evidence.</t>
        </is>
      </c>
      <c r="L63" s="2" t="inlineStr">
        <is>
          <t>NOT_APPLICABLE</t>
        </is>
      </c>
    </row>
    <row r="64">
      <c r="A64" s="3" t="inlineStr">
        <is>
          <t>ISSUE-0063</t>
        </is>
      </c>
      <c r="B64" s="3" t="inlineStr">
        <is>
          <t>jeminise.com+personalized-baseball-bedding-full-size-flag-custom-name-d-design-24</t>
        </is>
      </c>
      <c r="C64" s="2" t="n"/>
      <c r="D64" s="2" t="inlineStr">
        <is>
          <t>MINOR</t>
        </is>
      </c>
      <c r="E64" s="2" t="inlineStr">
        <is>
          <t>meta_description_seo</t>
        </is>
      </c>
      <c r="F64" s="2" t="inlineStr">
        <is>
          <t>Shop a comforter set featuring black and smoke baseball bedding with batter silhouette, vertical custom name and jersey number on pillow shams. Review size and personalization options before checkout.</t>
        </is>
      </c>
      <c r="G64" s="2" t="inlineStr">
        <is>
          <t>Meta description length is 200 characters.</t>
        </is>
      </c>
      <c r="H64" s="2" t="inlineStr">
        <is>
          <t>Likely to truncate in search results and repeats review/personality wording in several rows.</t>
        </is>
      </c>
      <c r="I64" s="2" t="inlineStr">
        <is>
          <t>Rewrite to roughly 145-155 characters while preserving verified design and product type.</t>
        </is>
      </c>
      <c r="J64" s="2" t="inlineStr">
        <is>
          <t>Meta description length is 200 characters.</t>
        </is>
      </c>
      <c r="K64" s="2" t="inlineStr">
        <is>
          <t>Length check &lt;=160 characters and no unsupported claim remains.</t>
        </is>
      </c>
      <c r="L64" s="2" t="inlineStr">
        <is>
          <t>RESOLVED</t>
        </is>
      </c>
    </row>
    <row r="65">
      <c r="A65" s="3" t="inlineStr">
        <is>
          <t>ISSUE-0064</t>
        </is>
      </c>
      <c r="B65" s="3" t="inlineStr">
        <is>
          <t>jeminise.com+personalized-baseball-bedding-full-size-flag-custom-name-d-design-24</t>
        </is>
      </c>
      <c r="C65" s="2" t="n"/>
      <c r="D65" s="2" t="inlineStr">
        <is>
          <t>LIMITATION</t>
        </is>
      </c>
      <c r="E65" s="2" t="inlineStr">
        <is>
          <t>keyword_evidence_level</t>
        </is>
      </c>
      <c r="F65" s="2" t="inlineStr">
        <is>
          <t>SERP_ONLY</t>
        </is>
      </c>
      <c r="G65" s="2" t="inlineStr">
        <is>
          <t>Only public SERP comparables are available.</t>
        </is>
      </c>
      <c r="H65" s="2" t="inlineStr">
        <is>
          <t>No Search Console, paid keyword volume or internal site search export was supplied.</t>
        </is>
      </c>
      <c r="I65" s="2" t="inlineStr">
        <is>
          <t>Keep demand statements qualitative; do not claim volume or ranking potential.</t>
        </is>
      </c>
      <c r="J65" s="2" t="inlineStr">
        <is>
          <t>Only public SERP comparables are available.</t>
        </is>
      </c>
      <c r="K65" s="2" t="inlineStr">
        <is>
          <t>Additional first-party or paid keyword evidence is attached, or limitation remains documented.</t>
        </is>
      </c>
      <c r="L65" s="2" t="inlineStr">
        <is>
          <t>PERSISTS</t>
        </is>
      </c>
    </row>
    <row r="66">
      <c r="A66" s="3" t="inlineStr">
        <is>
          <t>ISSUE-0065</t>
        </is>
      </c>
      <c r="B66" s="3" t="inlineStr">
        <is>
          <t>jeminise.com+personalized-baseball-bedding-full-size-flag-custom-name-d-design-24</t>
        </is>
      </c>
      <c r="C66" s="2" t="inlineStr">
        <is>
          <t>img_a940e34e85906dfe</t>
        </is>
      </c>
      <c r="D66" s="2" t="inlineStr">
        <is>
          <t>MINOR</t>
        </is>
      </c>
      <c r="E66" s="2" t="inlineStr">
        <is>
          <t>alt text</t>
        </is>
      </c>
      <c r="F66" s="2" t="inlineStr">
        <is>
          <t>Smoke Baseball Batter Bedding with Custom Name displayed in a main product mockup</t>
        </is>
      </c>
      <c r="G66" s="2" t="inlineStr">
        <is>
          <t>Fresh image file: D:\Shopify_Workspace\jeminise_seo\seo_runs\jeminise.com\20260906_234129\qa\20260907_214100\images\199_01.jpg; source URL: https://cdn.shopify.com/s/files/1/0792/5098/1063/files/48589fe36faa0094c3abd003db43e21d9258e2fb97447a7de81929f16ea14bd3.jpg?v=1787242367</t>
        </is>
      </c>
      <c r="H66" s="2" t="inlineStr">
        <is>
          <t>Alt text is too generic or describes placement more than visible content.</t>
        </is>
      </c>
      <c r="I66" s="2" t="inlineStr">
        <is>
          <t>Rewrite observation/alt from the directly opened image, naming the visible motif and use context.</t>
        </is>
      </c>
      <c r="J66" s="2" t="inlineStr">
        <is>
          <t>Fresh image file: D:\Shopify_Workspace\jeminise_seo\seo_runs\jeminise.com\20260906_234129\qa\20260907_214100\images\199_01.jpg; source URL: https://cdn.shopify.com/s/files/1/0792/5098/1063/files/48589fe36faa0094c3abd003db43e21d9258e2fb97447a7de81929f16ea14bd3.jpg?v=1787242367</t>
        </is>
      </c>
      <c r="K66" s="2" t="inlineStr">
        <is>
          <t>The image row accurately describes the actual media at this gallery position.</t>
        </is>
      </c>
      <c r="L66" s="2" t="inlineStr">
        <is>
          <t>RESOLVED</t>
        </is>
      </c>
    </row>
    <row r="67">
      <c r="A67" s="3" t="inlineStr">
        <is>
          <t>ISSUE-0066</t>
        </is>
      </c>
      <c r="B67" s="3" t="inlineStr">
        <is>
          <t>jeminise.com+personalized-baseball-bedding-full-size-flag-custom-name-d-design-24</t>
        </is>
      </c>
      <c r="C67" s="2" t="inlineStr">
        <is>
          <t>img_cd71d0bf3b005510</t>
        </is>
      </c>
      <c r="D67" s="2" t="inlineStr">
        <is>
          <t>MINOR</t>
        </is>
      </c>
      <c r="E67" s="2" t="inlineStr">
        <is>
          <t>image observation</t>
        </is>
      </c>
      <c r="F67" s="2" t="inlineStr">
        <is>
          <t>Bedding type, feature, lifestyle or material image for smoke baseball batter bedding with vertical name.</t>
        </is>
      </c>
      <c r="G67" s="2" t="inlineStr">
        <is>
          <t>Fresh image file: D:\Shopify_Workspace\jeminise_seo\seo_runs\jeminise.com\20260906_234129\qa\20260907_214100\images\199_03.jpg; source URL: https://cdn.shopify.com/s/files/1/0792/5098/1063/files/ef81c56fe7d5f4f60045bfbd0778e14ad11ce2a6824c23132d2b864ef763fe85_766ef4c1-884c-44d5-827f-36e14e40edcc.jpg?v=1787242367</t>
        </is>
      </c>
      <c r="H67" s="2" t="inlineStr">
        <is>
          <t>Observation is generic or position-based; rewrite from the actual image content.</t>
        </is>
      </c>
      <c r="I67" s="2" t="inlineStr">
        <is>
          <t>Rewrite observation/alt from the directly opened image, naming the visible motif and use context.</t>
        </is>
      </c>
      <c r="J67" s="2" t="inlineStr">
        <is>
          <t>Fresh image file: D:\Shopify_Workspace\jeminise_seo\seo_runs\jeminise.com\20260906_234129\qa\20260907_214100\images\199_03.jpg; source URL: https://cdn.shopify.com/s/files/1/0792/5098/1063/files/ef81c56fe7d5f4f60045bfbd0778e14ad11ce2a6824c23132d2b864ef763fe85_766ef4c1-884c-44d5-827f-36e14e40edcc.jpg?v=1787242367</t>
        </is>
      </c>
      <c r="K67" s="2" t="inlineStr">
        <is>
          <t>The image row accurately describes the actual media at this gallery position.</t>
        </is>
      </c>
      <c r="L67" s="2" t="inlineStr">
        <is>
          <t>RESOLVED</t>
        </is>
      </c>
    </row>
    <row r="68">
      <c r="A68" s="3" t="inlineStr">
        <is>
          <t>ISSUE-0067</t>
        </is>
      </c>
      <c r="B68" s="3" t="inlineStr">
        <is>
          <t>jeminise.com+personalized-baseball-bedding-full-size-flag-custom-name-d-design-24</t>
        </is>
      </c>
      <c r="C68" s="2" t="inlineStr">
        <is>
          <t>img_4e2cfa888bcd40e4</t>
        </is>
      </c>
      <c r="D68" s="2" t="inlineStr">
        <is>
          <t>MINOR</t>
        </is>
      </c>
      <c r="E68" s="2" t="inlineStr">
        <is>
          <t>image observation</t>
        </is>
      </c>
      <c r="F68" s="2" t="inlineStr">
        <is>
          <t>Detail, feature panel or lifestyle image connected to smoke baseball batter bedding with vertical name.</t>
        </is>
      </c>
      <c r="G68" s="2" t="inlineStr">
        <is>
          <t>Fresh image file: D:\Shopify_Workspace\jeminise_seo\seo_runs\jeminise.com\20260906_234129\qa\20260907_214100\images\199_04.jpg; source URL: https://cdn.shopify.com/s/files/1/0792/5098/1063/files/b495d9b37eafdceff5caf3643256f7b3a83de826d49a14bdc531b13424296018_c1b435da-31ed-49cb-90f8-62de1a425cc9.jpg?v=1787242367</t>
        </is>
      </c>
      <c r="H68" s="2" t="inlineStr">
        <is>
          <t>Observation is generic or position-based; rewrite from the actual image content.</t>
        </is>
      </c>
      <c r="I68" s="2" t="inlineStr">
        <is>
          <t>Rewrite observation/alt from the directly opened image, naming the visible motif and use context.</t>
        </is>
      </c>
      <c r="J68" s="2" t="inlineStr">
        <is>
          <t>Fresh image file: D:\Shopify_Workspace\jeminise_seo\seo_runs\jeminise.com\20260906_234129\qa\20260907_214100\images\199_04.jpg; source URL: https://cdn.shopify.com/s/files/1/0792/5098/1063/files/b495d9b37eafdceff5caf3643256f7b3a83de826d49a14bdc531b13424296018_c1b435da-31ed-49cb-90f8-62de1a425cc9.jpg?v=1787242367</t>
        </is>
      </c>
      <c r="K68" s="2" t="inlineStr">
        <is>
          <t>The image row accurately describes the actual media at this gallery position.</t>
        </is>
      </c>
      <c r="L68" s="2" t="inlineStr">
        <is>
          <t>RESOLVED</t>
        </is>
      </c>
    </row>
    <row r="69">
      <c r="A69" s="3" t="inlineStr">
        <is>
          <t>ISSUE-0068</t>
        </is>
      </c>
      <c r="B69" s="3" t="inlineStr">
        <is>
          <t>jeminise.com+personalized-baseball-bedding-full-size-flag-custom-name-d-design-25</t>
        </is>
      </c>
      <c r="C69" s="2" t="n"/>
      <c r="D69" s="2" t="inlineStr">
        <is>
          <t>MAJOR</t>
        </is>
      </c>
      <c r="E69" s="2" t="inlineStr">
        <is>
          <t>description_proposed_html</t>
        </is>
      </c>
      <c r="F69" s="2"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t>
        </is>
      </c>
      <c r="G69" s="2" t="inlineStr">
        <is>
          <t>Draft contains SEO Use / QA approval wording.</t>
        </is>
      </c>
      <c r="H69" s="2" t="inlineStr">
        <is>
          <t>Internal workflow language is not publish-ready storefront copy.</t>
        </is>
      </c>
      <c r="I69" s="2" t="inlineStr">
        <is>
          <t>Remove internal QA/import block and replace with customer-facing verified copy.</t>
        </is>
      </c>
      <c r="J69" s="2" t="inlineStr">
        <is>
          <t>Draft contains SEO Use / QA approval wording.</t>
        </is>
      </c>
      <c r="K69" s="2" t="inlineStr">
        <is>
          <t>Description HTML no longer contains SEO Use, QA, approval, import or draft language.</t>
        </is>
      </c>
      <c r="L69" s="2" t="inlineStr">
        <is>
          <t>RESOLVED</t>
        </is>
      </c>
    </row>
    <row r="70">
      <c r="A70" s="3" t="inlineStr">
        <is>
          <t>ISSUE-0069</t>
        </is>
      </c>
      <c r="B70" s="3" t="inlineStr">
        <is>
          <t>jeminise.com+personalized-baseball-bedding-full-size-flag-custom-name-d-design-25</t>
        </is>
      </c>
      <c r="C70" s="2" t="n"/>
      <c r="D70" s="2" t="inlineStr">
        <is>
          <t>MAJOR</t>
        </is>
      </c>
      <c r="E70" s="2" t="inlineStr">
        <is>
          <t>h1_proposed</t>
        </is>
      </c>
      <c r="F70" s="2" t="inlineStr"/>
      <c r="G70" s="2" t="inlineStr">
        <is>
          <t>The submitted workbook row has no proposed H1.</t>
        </is>
      </c>
      <c r="H70" s="2" t="inlineStr">
        <is>
          <t>A publishable SEO title/H1 pair is incomplete when the H1 field is blank.</t>
        </is>
      </c>
      <c r="I70" s="2" t="inlineStr">
        <is>
          <t>Write one English H1 that matches the verified product type and visible design; do not copy unsupported claims.</t>
        </is>
      </c>
      <c r="J70" s="2" t="inlineStr">
        <is>
          <t>The submitted workbook row has no proposed H1.</t>
        </is>
      </c>
      <c r="K70" s="2" t="inlineStr">
        <is>
          <t>Workbook contains a non-empty H1 and it is consistent with title, primary keyword and live product evidence.</t>
        </is>
      </c>
      <c r="L70" s="2" t="inlineStr">
        <is>
          <t>NOT_APPLICABLE</t>
        </is>
      </c>
    </row>
    <row r="71">
      <c r="A71" s="3" t="inlineStr">
        <is>
          <t>ISSUE-0070</t>
        </is>
      </c>
      <c r="B71" s="3" t="inlineStr">
        <is>
          <t>jeminise.com+personalized-baseball-bedding-full-size-flag-custom-name-d-design-25</t>
        </is>
      </c>
      <c r="C71" s="2" t="n"/>
      <c r="D71" s="2" t="inlineStr">
        <is>
          <t>MINOR</t>
        </is>
      </c>
      <c r="E71" s="2" t="inlineStr">
        <is>
          <t>meta_description_seo</t>
        </is>
      </c>
      <c r="F71" s="2" t="inlineStr">
        <is>
          <t>Shop a comforter set featuring cream baseball stitching bedding with red lace detail, script custom name and jersey number. Review size and personalization options before checkout.</t>
        </is>
      </c>
      <c r="G71" s="2" t="inlineStr">
        <is>
          <t>Meta description length is 180 characters.</t>
        </is>
      </c>
      <c r="H71" s="2" t="inlineStr">
        <is>
          <t>Likely to truncate in search results and repeats review/personality wording in several rows.</t>
        </is>
      </c>
      <c r="I71" s="2" t="inlineStr">
        <is>
          <t>Rewrite to roughly 145-155 characters while preserving verified design and product type.</t>
        </is>
      </c>
      <c r="J71" s="2" t="inlineStr">
        <is>
          <t>Meta description length is 180 characters.</t>
        </is>
      </c>
      <c r="K71" s="2" t="inlineStr">
        <is>
          <t>Length check &lt;=160 characters and no unsupported claim remains.</t>
        </is>
      </c>
      <c r="L71" s="2" t="inlineStr">
        <is>
          <t>RESOLVED</t>
        </is>
      </c>
    </row>
    <row r="72">
      <c r="A72" s="3" t="inlineStr">
        <is>
          <t>ISSUE-0071</t>
        </is>
      </c>
      <c r="B72" s="3" t="inlineStr">
        <is>
          <t>jeminise.com+personalized-baseball-bedding-full-size-flag-custom-name-d-design-25</t>
        </is>
      </c>
      <c r="C72" s="2" t="n"/>
      <c r="D72" s="2" t="inlineStr">
        <is>
          <t>LIMITATION</t>
        </is>
      </c>
      <c r="E72" s="2" t="inlineStr">
        <is>
          <t>keyword_evidence_level</t>
        </is>
      </c>
      <c r="F72" s="2" t="inlineStr">
        <is>
          <t>SERP_ONLY</t>
        </is>
      </c>
      <c r="G72" s="2" t="inlineStr">
        <is>
          <t>Only public SERP comparables are available.</t>
        </is>
      </c>
      <c r="H72" s="2" t="inlineStr">
        <is>
          <t>No Search Console, paid keyword volume or internal site search export was supplied.</t>
        </is>
      </c>
      <c r="I72" s="2" t="inlineStr">
        <is>
          <t>Keep demand statements qualitative; do not claim volume or ranking potential.</t>
        </is>
      </c>
      <c r="J72" s="2" t="inlineStr">
        <is>
          <t>Only public SERP comparables are available.</t>
        </is>
      </c>
      <c r="K72" s="2" t="inlineStr">
        <is>
          <t>Additional first-party or paid keyword evidence is attached, or limitation remains documented.</t>
        </is>
      </c>
      <c r="L72" s="2" t="inlineStr">
        <is>
          <t>PERSISTS</t>
        </is>
      </c>
    </row>
    <row r="73">
      <c r="A73" s="3" t="inlineStr">
        <is>
          <t>ISSUE-0072</t>
        </is>
      </c>
      <c r="B73" s="3" t="inlineStr">
        <is>
          <t>jeminise.com+personalized-baseball-bedding-full-size-flag-custom-name-d-design-25</t>
        </is>
      </c>
      <c r="C73" s="2" t="inlineStr">
        <is>
          <t>img_c9078cd90b1bb6ee</t>
        </is>
      </c>
      <c r="D73" s="2" t="inlineStr">
        <is>
          <t>MINOR</t>
        </is>
      </c>
      <c r="E73" s="2" t="inlineStr">
        <is>
          <t>alt text</t>
        </is>
      </c>
      <c r="F73" s="2" t="inlineStr">
        <is>
          <t>Baseball Stitching Bedding with Name and Number displayed in a main product mockup</t>
        </is>
      </c>
      <c r="G73" s="2" t="inlineStr">
        <is>
          <t>Fresh image file: D:\Shopify_Workspace\jeminise_seo\seo_runs\jeminise.com\20260906_234129\qa\20260907_214100\images\200_01.jpg; source URL: https://cdn.shopify.com/s/files/1/0792/5098/1063/files/11df9a4659d388206c41b6ce006bba9cd9188c4599d5b1e80f4bbcd5c77de54c.jpg?v=1787242376</t>
        </is>
      </c>
      <c r="H73" s="2" t="inlineStr">
        <is>
          <t>Alt text is too generic or describes placement more than visible content.</t>
        </is>
      </c>
      <c r="I73" s="2" t="inlineStr">
        <is>
          <t>Rewrite observation/alt from the directly opened image, naming the visible motif and use context.</t>
        </is>
      </c>
      <c r="J73" s="2" t="inlineStr">
        <is>
          <t>Fresh image file: D:\Shopify_Workspace\jeminise_seo\seo_runs\jeminise.com\20260906_234129\qa\20260907_214100\images\200_01.jpg; source URL: https://cdn.shopify.com/s/files/1/0792/5098/1063/files/11df9a4659d388206c41b6ce006bba9cd9188c4599d5b1e80f4bbcd5c77de54c.jpg?v=1787242376</t>
        </is>
      </c>
      <c r="K73" s="2" t="inlineStr">
        <is>
          <t>The image row accurately describes the actual media at this gallery position.</t>
        </is>
      </c>
      <c r="L73" s="2" t="inlineStr">
        <is>
          <t>RESOLVED</t>
        </is>
      </c>
    </row>
    <row r="74">
      <c r="A74" s="3" t="inlineStr">
        <is>
          <t>ISSUE-0073</t>
        </is>
      </c>
      <c r="B74" s="3" t="inlineStr">
        <is>
          <t>jeminise.com+personalized-baseball-bedding-full-size-flag-custom-name-d-design-25</t>
        </is>
      </c>
      <c r="C74" s="2" t="inlineStr">
        <is>
          <t>img_2d4066b726fff0eb</t>
        </is>
      </c>
      <c r="D74" s="2" t="inlineStr">
        <is>
          <t>MINOR</t>
        </is>
      </c>
      <c r="E74" s="2" t="inlineStr">
        <is>
          <t>image observation</t>
        </is>
      </c>
      <c r="F74" s="2" t="inlineStr">
        <is>
          <t>Bedding type, feature, lifestyle or material image for baseball stitching bedding with script name and number.</t>
        </is>
      </c>
      <c r="G74" s="2" t="inlineStr">
        <is>
          <t>Fresh image file: D:\Shopify_Workspace\jeminise_seo\seo_runs\jeminise.com\20260906_234129\qa\20260907_214100\images\200_03.jpg; source URL: https://cdn.shopify.com/s/files/1/0792/5098/1063/files/b495d9b37eafdceff5caf3643256f7b3a83de826d49a14bdc531b13424296018_b3a0dd2b-a99d-414d-a718-2cbc419deb98.jpg?v=1787242376</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D:\Shopify_Workspace\jeminise_seo\seo_runs\jeminise.com\20260906_234129\qa\20260907_214100\images\200_03.jpg; source URL: https://cdn.shopify.com/s/files/1/0792/5098/1063/files/b495d9b37eafdceff5caf3643256f7b3a83de826d49a14bdc531b13424296018_b3a0dd2b-a99d-414d-a718-2cbc419deb98.jpg?v=1787242376</t>
        </is>
      </c>
      <c r="K74" s="2" t="inlineStr">
        <is>
          <t>The image row accurately describes the actual media at this gallery position.</t>
        </is>
      </c>
      <c r="L74" s="2" t="inlineStr">
        <is>
          <t>RESOLVED</t>
        </is>
      </c>
    </row>
    <row r="75">
      <c r="A75" s="3" t="inlineStr">
        <is>
          <t>ISSUE-0074</t>
        </is>
      </c>
      <c r="B75" s="3" t="inlineStr">
        <is>
          <t>jeminise.com+personalized-baseball-bedding-full-size-flag-custom-name-d-design-25</t>
        </is>
      </c>
      <c r="C75" s="2" t="inlineStr">
        <is>
          <t>img_36841232a1354643</t>
        </is>
      </c>
      <c r="D75" s="2" t="inlineStr">
        <is>
          <t>MINOR</t>
        </is>
      </c>
      <c r="E75" s="2" t="inlineStr">
        <is>
          <t>image observation</t>
        </is>
      </c>
      <c r="F75" s="2" t="inlineStr">
        <is>
          <t>Detail, feature panel or lifestyle image connected to baseball stitching bedding with script name and number.</t>
        </is>
      </c>
      <c r="G75" s="2" t="inlineStr">
        <is>
          <t>Fresh image file: D:\Shopify_Workspace\jeminise_seo\seo_runs\jeminise.com\20260906_234129\qa\20260907_214100\images\200_04.jpg; source URL: https://cdn.shopify.com/s/files/1/0792/5098/1063/files/d51e3360a3e4b984af63b01c4b53d517484ca3d6cb1beeea158bcf59acab9ed4_6b97eed2-12e5-4dfe-b90c-c6cb2b7ed923.jpg?v=1787242376</t>
        </is>
      </c>
      <c r="H75" s="2" t="inlineStr">
        <is>
          <t>Observation is generic or position-based; rewrite from the actual image content.</t>
        </is>
      </c>
      <c r="I75" s="2" t="inlineStr">
        <is>
          <t>Rewrite observation/alt from the directly opened image, naming the visible motif and use context.</t>
        </is>
      </c>
      <c r="J75" s="2" t="inlineStr">
        <is>
          <t>Fresh image file: D:\Shopify_Workspace\jeminise_seo\seo_runs\jeminise.com\20260906_234129\qa\20260907_214100\images\200_04.jpg; source URL: https://cdn.shopify.com/s/files/1/0792/5098/1063/files/d51e3360a3e4b984af63b01c4b53d517484ca3d6cb1beeea158bcf59acab9ed4_6b97eed2-12e5-4dfe-b90c-c6cb2b7ed923.jpg?v=1787242376</t>
        </is>
      </c>
      <c r="K75" s="2" t="inlineStr">
        <is>
          <t>The image row accurately describes the actual media at this gallery position.</t>
        </is>
      </c>
      <c r="L75" s="2" t="inlineStr">
        <is>
          <t>RESOLVED</t>
        </is>
      </c>
    </row>
    <row r="76">
      <c r="A76" s="3" t="inlineStr">
        <is>
          <t>ISSUE-0075</t>
        </is>
      </c>
      <c r="B76" s="3" t="inlineStr">
        <is>
          <t>jeminise.com+personalized-baseball-bedding-full-size-flag-custom-name-d-design-16</t>
        </is>
      </c>
      <c r="C76" s="2" t="n"/>
      <c r="D76" s="2" t="inlineStr">
        <is>
          <t>MAJOR</t>
        </is>
      </c>
      <c r="E76" s="2" t="inlineStr">
        <is>
          <t>description_proposed_html</t>
        </is>
      </c>
      <c r="F76" s="2" t="inlineStr">
        <is>
          <t>&lt;p&gt;Custom Red Black Batter Bedding features red and black baseball bedding with batter silhouette, sample name and sample number on the comforter. The page copy focuses on the specific visible design, product type and verified custom fields.&lt;/p&gt;&lt;h3&gt;Design Details&lt;/h3&gt;&lt;ul&gt;&lt;li&gt;Artwork: red and black b...</t>
        </is>
      </c>
      <c r="G76"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76" s="2" t="inlineStr">
        <is>
          <t>Inaccurate personalization instructions confuse buyers and contradict active live storefront customizer fields, while missing construction details degrade conversion.</t>
        </is>
      </c>
      <c r="I76"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76" s="2" t="inlineStr">
        <is>
          <t>Direct live storefront audit (endpoint .js and product page) and gallery infographic inspection.</t>
        </is>
      </c>
      <c r="K76" s="2" t="inlineStr">
        <is>
          <t>Storefront description is clean, customer-facing, and accurately details Comforter vs Duvet Cover, sizing, both name and number personalization inputs, and care without contradictory meta-notes.</t>
        </is>
      </c>
      <c r="L76" s="2" t="inlineStr">
        <is>
          <t>NEW</t>
        </is>
      </c>
    </row>
    <row r="77">
      <c r="A77" s="3" t="inlineStr">
        <is>
          <t>ISSUE-0076</t>
        </is>
      </c>
      <c r="B77" s="3" t="inlineStr">
        <is>
          <t>jeminise.com+personalized-baseball-bedding-full-size-flag-custom-name-d-design-17</t>
        </is>
      </c>
      <c r="C77" s="2" t="n"/>
      <c r="D77" s="2" t="inlineStr">
        <is>
          <t>MAJOR</t>
        </is>
      </c>
      <c r="E77" s="2" t="inlineStr">
        <is>
          <t>description_proposed_html</t>
        </is>
      </c>
      <c r="F77" s="2" t="inlineStr">
        <is>
          <t>&lt;p&gt;Custom Brown Baseball Glove Bedding features brown baseball glove bedding with close-up baseball, leather glove artwork and sample cursive name. The page copy focuses on the specific visible design, product type and verified custom fields.&lt;/p&gt;&lt;h3&gt;Design Details&lt;/h3&gt;&lt;ul&gt;&lt;li&gt;Artwork: brown baseball...</t>
        </is>
      </c>
      <c r="G77"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77" s="2" t="inlineStr">
        <is>
          <t>Inaccurate personalization instructions confuse buyers and contradict active live storefront customizer fields, while missing construction details degrade conversion.</t>
        </is>
      </c>
      <c r="I77"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77" s="2" t="inlineStr">
        <is>
          <t>Direct live storefront audit (endpoint .js and product page) and gallery infographic inspection.</t>
        </is>
      </c>
      <c r="K77" s="2" t="inlineStr">
        <is>
          <t>Storefront description is clean, customer-facing, and accurately details Comforter vs Duvet Cover, sizing, both name and number personalization inputs, and care without contradictory meta-notes.</t>
        </is>
      </c>
      <c r="L77" s="2" t="inlineStr">
        <is>
          <t>NEW</t>
        </is>
      </c>
    </row>
    <row r="78">
      <c r="A78" s="3" t="inlineStr">
        <is>
          <t>ISSUE-0077</t>
        </is>
      </c>
      <c r="B78" s="3" t="inlineStr">
        <is>
          <t>jeminise.com+personalized-baseball-bedding-full-size-flag-custom-name-d-design-18</t>
        </is>
      </c>
      <c r="C78" s="2" t="n"/>
      <c r="D78" s="2" t="inlineStr">
        <is>
          <t>MAJOR</t>
        </is>
      </c>
      <c r="E78" s="2" t="inlineStr">
        <is>
          <t>description_proposed_html</t>
        </is>
      </c>
      <c r="F78" s="2" t="inlineStr">
        <is>
          <t>&lt;p&gt;Custom Flaming Baseball Batter Bedding features black bedding with flaming baseball ring, batter artwork, vertical sample name and sample number. The page copy focuses on the specific visible design, product type and verified custom fields.&lt;/p&gt;&lt;h3&gt;Design Details&lt;/h3&gt;&lt;ul&gt;&lt;li&gt;Artwork: black bedding...</t>
        </is>
      </c>
      <c r="G78"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78" s="2" t="inlineStr">
        <is>
          <t>Inaccurate personalization instructions confuse buyers and contradict active live storefront customizer fields, while missing construction details degrade conversion.</t>
        </is>
      </c>
      <c r="I78"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78" s="2" t="inlineStr">
        <is>
          <t>Direct live storefront audit (endpoint .js and product page) and gallery infographic inspection.</t>
        </is>
      </c>
      <c r="K78" s="2" t="inlineStr">
        <is>
          <t>Storefront description is clean, customer-facing, and accurately details Comforter vs Duvet Cover, sizing, both name and number personalization inputs, and care without contradictory meta-notes.</t>
        </is>
      </c>
      <c r="L78" s="2" t="inlineStr">
        <is>
          <t>NEW</t>
        </is>
      </c>
    </row>
    <row r="79">
      <c r="A79" s="3" t="inlineStr">
        <is>
          <t>ISSUE-0078</t>
        </is>
      </c>
      <c r="B79" s="3" t="inlineStr">
        <is>
          <t>jeminise.com+personalized-baseball-bedding-full-size-flag-custom-name-d-design-19</t>
        </is>
      </c>
      <c r="C79" s="2" t="n"/>
      <c r="D79" s="2" t="inlineStr">
        <is>
          <t>MAJOR</t>
        </is>
      </c>
      <c r="E79" s="2" t="inlineStr">
        <is>
          <t>description_proposed_html</t>
        </is>
      </c>
      <c r="F79" s="2" t="inlineStr">
        <is>
          <t>&lt;p&gt;Custom Orange Fire Baseball Bedding features orange fire baseball bedding with batter player artwork, vertical sample name and sample number. The page copy focuses on the specific visible design, product type and verified custom fields.&lt;/p&gt;&lt;h3&gt;Design Details&lt;/h3&gt;&lt;ul&gt;&lt;li&gt;Artwork: orange fire baseb...</t>
        </is>
      </c>
      <c r="G79"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79" s="2" t="inlineStr">
        <is>
          <t>Inaccurate personalization instructions confuse buyers and contradict active live storefront customizer fields, while missing construction details degrade conversion.</t>
        </is>
      </c>
      <c r="I79"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79" s="2" t="inlineStr">
        <is>
          <t>Direct live storefront audit (endpoint .js and product page) and gallery infographic inspection.</t>
        </is>
      </c>
      <c r="K79" s="2" t="inlineStr">
        <is>
          <t>Storefront description is clean, customer-facing, and accurately details Comforter vs Duvet Cover, sizing, both name and number personalization inputs, and care without contradictory meta-notes.</t>
        </is>
      </c>
      <c r="L79" s="2" t="inlineStr">
        <is>
          <t>NEW</t>
        </is>
      </c>
    </row>
    <row r="80">
      <c r="A80" s="3" t="inlineStr">
        <is>
          <t>ISSUE-0079</t>
        </is>
      </c>
      <c r="B80" s="3" t="inlineStr">
        <is>
          <t>jeminise.com+personalized-baseball-bedding-full-size-flag-custom-name-d-design-20</t>
        </is>
      </c>
      <c r="C80" s="2" t="n"/>
      <c r="D80" s="2" t="inlineStr">
        <is>
          <t>MAJOR</t>
        </is>
      </c>
      <c r="E80" s="2" t="inlineStr">
        <is>
          <t>description_proposed_html</t>
        </is>
      </c>
      <c r="F80" s="2" t="inlineStr">
        <is>
          <t>&lt;p&gt;Custom Baseball Glove Flag Bedding features American flag baseball bedding with glove and ball artwork, vertical sample name and sample number on shams. The page copy focuses on the specific visible design, product type and verified custom fields.&lt;/p&gt;&lt;h3&gt;Design Details&lt;/h3&gt;&lt;ul&gt;&lt;li&gt;Artwork: Americ...</t>
        </is>
      </c>
      <c r="G80"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0" s="2" t="inlineStr">
        <is>
          <t>Inaccurate personalization instructions confuse buyers and contradict active live storefront customizer fields, while missing construction details degrade conversion.</t>
        </is>
      </c>
      <c r="I80"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0" s="2" t="inlineStr">
        <is>
          <t>Direct live storefront audit (endpoint .js and product page) and gallery infographic inspection.</t>
        </is>
      </c>
      <c r="K80" s="2" t="inlineStr">
        <is>
          <t>Storefront description is clean, customer-facing, and accurately details Comforter vs Duvet Cover, sizing, both name and number personalization inputs, and care without contradictory meta-notes.</t>
        </is>
      </c>
      <c r="L80" s="2" t="inlineStr">
        <is>
          <t>NEW</t>
        </is>
      </c>
    </row>
    <row r="81">
      <c r="A81" s="3" t="inlineStr">
        <is>
          <t>ISSUE-0080</t>
        </is>
      </c>
      <c r="B81" s="3" t="inlineStr">
        <is>
          <t>jeminise.com+personalized-baseball-bedding-full-size-flag-custom-name-d-design-21</t>
        </is>
      </c>
      <c r="C81" s="2" t="n"/>
      <c r="D81" s="2" t="inlineStr">
        <is>
          <t>MAJOR</t>
        </is>
      </c>
      <c r="E81" s="2" t="inlineStr">
        <is>
          <t>description_proposed_html</t>
        </is>
      </c>
      <c r="F81" s="2" t="inlineStr">
        <is>
          <t>&lt;p&gt;Custom Black Baseball Glove Bedding features black baseball bedding with monochrome glove, ball artwork, sample cursive name and sample number. The page copy focuses on the specific visible design, product type and verified custom fields.&lt;/p&gt;&lt;h3&gt;Design Details&lt;/h3&gt;&lt;ul&gt;&lt;li&gt;Artwork: black baseball ...</t>
        </is>
      </c>
      <c r="G81"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1" s="2" t="inlineStr">
        <is>
          <t>Inaccurate personalization instructions confuse buyers and contradict active live storefront customizer fields, while missing construction details degrade conversion.</t>
        </is>
      </c>
      <c r="I81"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1" s="2" t="inlineStr">
        <is>
          <t>Direct live storefront audit (endpoint .js and product page) and gallery infographic inspection.</t>
        </is>
      </c>
      <c r="K81" s="2" t="inlineStr">
        <is>
          <t>Storefront description is clean, customer-facing, and accurately details Comforter vs Duvet Cover, sizing, both name and number personalization inputs, and care without contradictory meta-notes.</t>
        </is>
      </c>
      <c r="L81" s="2" t="inlineStr">
        <is>
          <t>NEW</t>
        </is>
      </c>
    </row>
    <row r="82">
      <c r="A82" s="3" t="inlineStr">
        <is>
          <t>ISSUE-0081</t>
        </is>
      </c>
      <c r="B82" s="3" t="inlineStr">
        <is>
          <t>jeminise.com+personalized-baseball-bedding-full-size-flag-custom-name-d-design-22</t>
        </is>
      </c>
      <c r="C82" s="2" t="n"/>
      <c r="D82" s="2" t="inlineStr">
        <is>
          <t>MAJOR</t>
        </is>
      </c>
      <c r="E82" s="2" t="inlineStr">
        <is>
          <t>description_proposed_html</t>
        </is>
      </c>
      <c r="F82" s="2" t="inlineStr">
        <is>
          <t>&lt;p&gt;Custom Lightning Baseball Bedding features stormy blue lightning baseball bedding with large baseball, sample cursive name and sample number. The page copy focuses on the specific visible design, product type and verified custom fields.&lt;/p&gt;&lt;h3&gt;Design Details&lt;/h3&gt;&lt;ul&gt;&lt;li&gt;Artwork: stormy blue light...</t>
        </is>
      </c>
      <c r="G82"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2" s="2" t="inlineStr">
        <is>
          <t>Inaccurate personalization instructions confuse buyers and contradict active live storefront customizer fields, while missing construction details degrade conversion.</t>
        </is>
      </c>
      <c r="I82"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2" s="2" t="inlineStr">
        <is>
          <t>Direct live storefront audit (endpoint .js and product page) and gallery infographic inspection.</t>
        </is>
      </c>
      <c r="K82" s="2" t="inlineStr">
        <is>
          <t>Storefront description is clean, customer-facing, and accurately details Comforter vs Duvet Cover, sizing, both name and number personalization inputs, and care without contradictory meta-notes.</t>
        </is>
      </c>
      <c r="L82" s="2" t="inlineStr">
        <is>
          <t>NEW</t>
        </is>
      </c>
    </row>
    <row r="83">
      <c r="A83" s="3" t="inlineStr">
        <is>
          <t>ISSUE-0082</t>
        </is>
      </c>
      <c r="B83" s="3" t="inlineStr">
        <is>
          <t>jeminise.com+personalized-baseball-bedding-full-size-flag-custom-name-d-design-23</t>
        </is>
      </c>
      <c r="C83" s="2" t="n"/>
      <c r="D83" s="2" t="inlineStr">
        <is>
          <t>MAJOR</t>
        </is>
      </c>
      <c r="E83" s="2" t="inlineStr">
        <is>
          <t>description_proposed_html</t>
        </is>
      </c>
      <c r="F83" s="2" t="inlineStr">
        <is>
          <t>&lt;p&gt;Custom Night Field Baseball Bedding features night field baseball bedding with helmet, glove, bat, ball, grass edge and sample cursive name. The page copy focuses on the specific visible design, product type and verified custom fields.&lt;/p&gt;&lt;h3&gt;Design Details&lt;/h3&gt;&lt;ul&gt;&lt;li&gt;Artwork: night field baseba...</t>
        </is>
      </c>
      <c r="G83"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3" s="2" t="inlineStr">
        <is>
          <t>Inaccurate personalization instructions confuse buyers and contradict active live storefront customizer fields, while missing construction details degrade conversion.</t>
        </is>
      </c>
      <c r="I83"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3" s="2" t="inlineStr">
        <is>
          <t>Direct live storefront audit (endpoint .js and product page) and gallery infographic inspection.</t>
        </is>
      </c>
      <c r="K83" s="2" t="inlineStr">
        <is>
          <t>Storefront description is clean, customer-facing, and accurately details Comforter vs Duvet Cover, sizing, both name and number personalization inputs, and care without contradictory meta-notes.</t>
        </is>
      </c>
      <c r="L83" s="2" t="inlineStr">
        <is>
          <t>NEW</t>
        </is>
      </c>
    </row>
    <row r="84">
      <c r="A84" s="3" t="inlineStr">
        <is>
          <t>ISSUE-0083</t>
        </is>
      </c>
      <c r="B84" s="3" t="inlineStr">
        <is>
          <t>jeminise.com+personalized-baseball-bedding-full-size-flag-custom-name-d-design-24</t>
        </is>
      </c>
      <c r="C84" s="2" t="n"/>
      <c r="D84" s="2" t="inlineStr">
        <is>
          <t>MAJOR</t>
        </is>
      </c>
      <c r="E84" s="2" t="inlineStr">
        <is>
          <t>description_proposed_html</t>
        </is>
      </c>
      <c r="F84" s="2" t="inlineStr">
        <is>
          <t>&lt;p&gt;Custom Smoke Baseball Batter Bedding features dark smoke baseball bedding with batter silhouette, vertical sample name and sample number on pillow shams. The page copy focuses on the specific visible design, product type and verified custom fields.&lt;/p&gt;&lt;h3&gt;Design Details&lt;/h3&gt;&lt;ul&gt;&lt;li&gt;Artwork: dark ...</t>
        </is>
      </c>
      <c r="G84"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4" s="2" t="inlineStr">
        <is>
          <t>Inaccurate personalization instructions confuse buyers and contradict active live storefront customizer fields, while missing construction details degrade conversion.</t>
        </is>
      </c>
      <c r="I84"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4" s="2" t="inlineStr">
        <is>
          <t>Direct live storefront audit (endpoint .js and product page) and gallery infographic inspection.</t>
        </is>
      </c>
      <c r="K84" s="2" t="inlineStr">
        <is>
          <t>Storefront description is clean, customer-facing, and accurately details Comforter vs Duvet Cover, sizing, both name and number personalization inputs, and care without contradictory meta-notes.</t>
        </is>
      </c>
      <c r="L84" s="2" t="inlineStr">
        <is>
          <t>NEW</t>
        </is>
      </c>
    </row>
    <row r="85">
      <c r="A85" s="3" t="inlineStr">
        <is>
          <t>ISSUE-0084</t>
        </is>
      </c>
      <c r="B85" s="3" t="inlineStr">
        <is>
          <t>jeminise.com+personalized-baseball-bedding-full-size-flag-custom-name-d-design-25</t>
        </is>
      </c>
      <c r="C85" s="2" t="n"/>
      <c r="D85" s="2" t="inlineStr">
        <is>
          <t>MAJOR</t>
        </is>
      </c>
      <c r="E85" s="2" t="inlineStr">
        <is>
          <t>description_proposed_html</t>
        </is>
      </c>
      <c r="F85" s="2" t="inlineStr">
        <is>
          <t>&lt;p&gt;Custom Baseball Stitch Name Bedding features close-up baseball stitching bedding with red laces, sample cursive name and sample number. The page copy focuses on the specific visible design, product type and verified custom fields.&lt;/p&gt;&lt;h3&gt;Design Details&lt;/h3&gt;&lt;ul&gt;&lt;li&gt;Artwork: close-up baseball stitc...</t>
        </is>
      </c>
      <c r="G85" s="2" t="inlineStr">
        <is>
          <t>Proposed description copy falsely claims that numbers cannot be customized ('Any visible numbers are sample artwork only. In live purchase flow, only Customize Your Name is collected...'), directly contradicting the live storefront customizer which requires BOTH 'Customize Your Name' (1-30 chars) AND 'Customize Your Number' (1-5 chars). Furthermore, it omits clear construction breakdown between Comforter and Duvet Cover, bottom zipper detail, and optional pillowcase/sheet bundle details.</t>
        </is>
      </c>
      <c r="H85" s="2" t="inlineStr">
        <is>
          <t>Inaccurate personalization instructions confuse buyers and contradict active live storefront customizer fields, while missing construction details degrade conversion.</t>
        </is>
      </c>
      <c r="I85" s="2" t="inlineStr">
        <is>
          <t>Replace with clean customer-facing HTML description without erroneous meta-commentary, accurately documenting both Name (1-30 chars) and Number (1-5 chars) customization inputs, explaining Comforter vs Duvet Cover construction, bottom zipper detail, optional pillowcase/sheet bundles, and machine washing care instructions.</t>
        </is>
      </c>
      <c r="J85" s="2" t="inlineStr">
        <is>
          <t>Direct live storefront audit (endpoint .js and product page) and gallery infographic inspection.</t>
        </is>
      </c>
      <c r="K85" s="2" t="inlineStr">
        <is>
          <t>Storefront description is clean, customer-facing, and accurately details Comforter vs Duvet Cover, sizing, both name and number personalization inputs, and care without contradictory meta-notes.</t>
        </is>
      </c>
      <c r="L85" s="2" t="inlineStr">
        <is>
          <t>NEW</t>
        </is>
      </c>
    </row>
  </sheetData>
  <autoFilter ref="A1:L8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2026-09-08T04:27:16Z</dcterms:created>
  <dcterms:modified xmlns:dcterms="http://purl.org/dc/terms/" xmlns:xsi="http://www.w3.org/2001/XMLSchema-instance" xsi:type="dcterms:W3CDTF">2026-09-08T04:27:16Z</dcterms:modified>
</cp:coreProperties>
</file>