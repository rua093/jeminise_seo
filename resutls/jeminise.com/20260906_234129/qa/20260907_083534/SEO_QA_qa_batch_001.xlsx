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Shopify_Workspace\jeminise_seo\resutls\jeminise.com\20260906_234129\qa\20260907_083534\"/>
    </mc:Choice>
  </mc:AlternateContent>
  <xr:revisionPtr revIDLastSave="0" documentId="13_ncr:1_{22D77E11-6510-447D-8E1B-446E0BF98207}" xr6:coauthVersionLast="47" xr6:coauthVersionMax="47" xr10:uidLastSave="{00000000-0000-0000-0000-000000000000}"/>
  <bookViews>
    <workbookView xWindow="-108" yWindow="-108" windowWidth="23256" windowHeight="12456" xr2:uid="{00000000-000D-0000-FFFF-FFFF00000000}"/>
  </bookViews>
  <sheets>
    <sheet name="QA_Summary" sheetId="1" r:id="rId1"/>
    <sheet name="QA_Products" sheetId="2" r:id="rId2"/>
    <sheet name="QA_Criteria" sheetId="3" r:id="rId3"/>
    <sheet name="QA_Images" sheetId="4" r:id="rId4"/>
    <sheet name="QA_Issues" sheetId="5" r:id="rId5"/>
  </sheets>
  <definedNames>
    <definedName name="_xlnm._FilterDatabase" localSheetId="2" hidden="1">QA_Criteria!$A$1:$J$111</definedName>
    <definedName name="_xlnm._FilterDatabase" localSheetId="3" hidden="1">QA_Images!$A$1:$Z$66</definedName>
    <definedName name="_xlnm._FilterDatabase" localSheetId="4" hidden="1">QA_Issues!$A$1:$K$52</definedName>
    <definedName name="_xlnm._FilterDatabase" localSheetId="1" hidden="1">QA_Products!$A$1:$W$11</definedName>
    <definedName name="_xlnm._FilterDatabase" localSheetId="0" hidden="1">QA_Summary!$A$1:$C$14</definedName>
    <definedName name="_xlnm.Print_Titles" localSheetId="2">QA_Criteria!$1:$1</definedName>
    <definedName name="_xlnm.Print_Titles" localSheetId="3">QA_Images!$1:$1</definedName>
    <definedName name="_xlnm.Print_Titles" localSheetId="4">QA_Issues!$1:$1</definedName>
    <definedName name="_xlnm.Print_Titles" localSheetId="1">QA_Products!$1:$1</definedName>
    <definedName name="_xlnm.Print_Titles" localSheetId="0">QA_Summary!$1:$1</definedName>
  </definedNames>
  <calcPr calcId="181029" forceFullCalc="1"/>
</workbook>
</file>

<file path=xl/calcChain.xml><?xml version="1.0" encoding="utf-8"?>
<calcChain xmlns="http://schemas.openxmlformats.org/spreadsheetml/2006/main">
  <c r="U66" i="4" l="1"/>
  <c r="T66" i="4"/>
  <c r="X66" i="4" s="1"/>
  <c r="U65" i="4"/>
  <c r="V65" i="4" s="1"/>
  <c r="T65" i="4"/>
  <c r="X65" i="4" s="1"/>
  <c r="U64" i="4"/>
  <c r="T64" i="4"/>
  <c r="X64" i="4" s="1"/>
  <c r="U63" i="4"/>
  <c r="T63" i="4"/>
  <c r="U62" i="4"/>
  <c r="V62" i="4" s="1"/>
  <c r="T62" i="4"/>
  <c r="W62" i="4" s="1"/>
  <c r="U61" i="4"/>
  <c r="V61" i="4" s="1"/>
  <c r="T61" i="4"/>
  <c r="U60" i="4"/>
  <c r="T60" i="4"/>
  <c r="X60" i="4" s="1"/>
  <c r="U59" i="4"/>
  <c r="T59" i="4"/>
  <c r="W59" i="4" s="1"/>
  <c r="U58" i="4"/>
  <c r="T58" i="4"/>
  <c r="X58" i="4" s="1"/>
  <c r="U57" i="4"/>
  <c r="T57" i="4"/>
  <c r="U56" i="4"/>
  <c r="T56" i="4"/>
  <c r="W56" i="4" s="1"/>
  <c r="W55" i="4"/>
  <c r="U55" i="4"/>
  <c r="T55" i="4"/>
  <c r="U54" i="4"/>
  <c r="T54" i="4"/>
  <c r="X54" i="4" s="1"/>
  <c r="U53" i="4"/>
  <c r="T53" i="4"/>
  <c r="W53" i="4" s="1"/>
  <c r="U52" i="4"/>
  <c r="T52" i="4"/>
  <c r="W51" i="4"/>
  <c r="U51" i="4"/>
  <c r="T51" i="4"/>
  <c r="X51" i="4" s="1"/>
  <c r="U50" i="4"/>
  <c r="V50" i="4" s="1"/>
  <c r="T50" i="4"/>
  <c r="W50" i="4" s="1"/>
  <c r="U49" i="4"/>
  <c r="T49" i="4"/>
  <c r="X49" i="4" s="1"/>
  <c r="W48" i="4"/>
  <c r="V48" i="4"/>
  <c r="U48" i="4"/>
  <c r="X48" i="4" s="1"/>
  <c r="T48" i="4"/>
  <c r="U47" i="4"/>
  <c r="T47" i="4"/>
  <c r="W47" i="4" s="1"/>
  <c r="U46" i="4"/>
  <c r="V46" i="4" s="1"/>
  <c r="T46" i="4"/>
  <c r="U45" i="4"/>
  <c r="T45" i="4"/>
  <c r="X45" i="4" s="1"/>
  <c r="U44" i="4"/>
  <c r="T44" i="4"/>
  <c r="W44" i="4" s="1"/>
  <c r="U43" i="4"/>
  <c r="T43" i="4"/>
  <c r="U42" i="4"/>
  <c r="T42" i="4"/>
  <c r="X42" i="4" s="1"/>
  <c r="U41" i="4"/>
  <c r="T41" i="4"/>
  <c r="W41" i="4" s="1"/>
  <c r="U40" i="4"/>
  <c r="T40" i="4"/>
  <c r="E77" i="3" s="1"/>
  <c r="F77" i="3" s="1"/>
  <c r="U39" i="4"/>
  <c r="T39" i="4"/>
  <c r="X39" i="4" s="1"/>
  <c r="U38" i="4"/>
  <c r="T38" i="4"/>
  <c r="W38" i="4" s="1"/>
  <c r="U37" i="4"/>
  <c r="V37" i="4" s="1"/>
  <c r="T37" i="4"/>
  <c r="U36" i="4"/>
  <c r="X36" i="4" s="1"/>
  <c r="T36" i="4"/>
  <c r="W36" i="4" s="1"/>
  <c r="U35" i="4"/>
  <c r="T35" i="4"/>
  <c r="W35" i="4" s="1"/>
  <c r="U34" i="4"/>
  <c r="T34" i="4"/>
  <c r="U33" i="4"/>
  <c r="T33" i="4"/>
  <c r="X33" i="4" s="1"/>
  <c r="X32" i="4"/>
  <c r="W32" i="4"/>
  <c r="U32" i="4"/>
  <c r="V32" i="4" s="1"/>
  <c r="T32" i="4"/>
  <c r="U31" i="4"/>
  <c r="T31" i="4"/>
  <c r="X31" i="4" s="1"/>
  <c r="U30" i="4"/>
  <c r="T30" i="4"/>
  <c r="X30" i="4" s="1"/>
  <c r="U29" i="4"/>
  <c r="T29" i="4"/>
  <c r="W29" i="4" s="1"/>
  <c r="U28" i="4"/>
  <c r="T28" i="4"/>
  <c r="X28" i="4" s="1"/>
  <c r="U27" i="4"/>
  <c r="T27" i="4"/>
  <c r="X27" i="4" s="1"/>
  <c r="U26" i="4"/>
  <c r="T26" i="4"/>
  <c r="W26" i="4" s="1"/>
  <c r="U25" i="4"/>
  <c r="V25" i="4" s="1"/>
  <c r="T25" i="4"/>
  <c r="W25" i="4" s="1"/>
  <c r="U24" i="4"/>
  <c r="T24" i="4"/>
  <c r="W24" i="4" s="1"/>
  <c r="U23" i="4"/>
  <c r="T23" i="4"/>
  <c r="W23" i="4" s="1"/>
  <c r="U22" i="4"/>
  <c r="V22" i="4" s="1"/>
  <c r="T22" i="4"/>
  <c r="U21" i="4"/>
  <c r="V21" i="4" s="1"/>
  <c r="T21" i="4"/>
  <c r="U20" i="4"/>
  <c r="V20" i="4" s="1"/>
  <c r="T20" i="4"/>
  <c r="W20" i="4" s="1"/>
  <c r="U19" i="4"/>
  <c r="T19" i="4"/>
  <c r="X19" i="4" s="1"/>
  <c r="U18" i="4"/>
  <c r="T18" i="4"/>
  <c r="X18" i="4" s="1"/>
  <c r="W17" i="4"/>
  <c r="U17" i="4"/>
  <c r="T17" i="4"/>
  <c r="U16" i="4"/>
  <c r="T16" i="4"/>
  <c r="W15" i="4"/>
  <c r="U15" i="4"/>
  <c r="T15" i="4"/>
  <c r="X15" i="4" s="1"/>
  <c r="U14" i="4"/>
  <c r="T14" i="4"/>
  <c r="W14" i="4" s="1"/>
  <c r="U13" i="4"/>
  <c r="T13" i="4"/>
  <c r="W13" i="4" s="1"/>
  <c r="X12" i="4"/>
  <c r="U12" i="4"/>
  <c r="V12" i="4" s="1"/>
  <c r="T12" i="4"/>
  <c r="W12" i="4" s="1"/>
  <c r="U11" i="4"/>
  <c r="T11" i="4"/>
  <c r="W11" i="4" s="1"/>
  <c r="U10" i="4"/>
  <c r="V10" i="4" s="1"/>
  <c r="T10" i="4"/>
  <c r="U9" i="4"/>
  <c r="V9" i="4" s="1"/>
  <c r="T9" i="4"/>
  <c r="U8" i="4"/>
  <c r="V8" i="4" s="1"/>
  <c r="T8" i="4"/>
  <c r="W8" i="4" s="1"/>
  <c r="U7" i="4"/>
  <c r="T7" i="4"/>
  <c r="X7" i="4" s="1"/>
  <c r="W6" i="4"/>
  <c r="U6" i="4"/>
  <c r="G11" i="3" s="1"/>
  <c r="T6" i="4"/>
  <c r="U5" i="4"/>
  <c r="T5" i="4"/>
  <c r="W5" i="4" s="1"/>
  <c r="U4" i="4"/>
  <c r="T4" i="4"/>
  <c r="U3" i="4"/>
  <c r="T3" i="4"/>
  <c r="E11" i="3" s="1"/>
  <c r="F11" i="3" s="1"/>
  <c r="U2" i="4"/>
  <c r="V2" i="4" s="1"/>
  <c r="T2" i="4"/>
  <c r="W2" i="4" s="1"/>
  <c r="G111" i="3"/>
  <c r="E111" i="3"/>
  <c r="F111" i="3" s="1"/>
  <c r="G109" i="3"/>
  <c r="E109" i="3"/>
  <c r="F109" i="3" s="1"/>
  <c r="G108" i="3"/>
  <c r="E108" i="3"/>
  <c r="F108" i="3" s="1"/>
  <c r="G107" i="3"/>
  <c r="E107" i="3"/>
  <c r="F107" i="3" s="1"/>
  <c r="G106" i="3"/>
  <c r="E106" i="3"/>
  <c r="F106" i="3" s="1"/>
  <c r="G105" i="3"/>
  <c r="E105" i="3"/>
  <c r="F105" i="3" s="1"/>
  <c r="G104" i="3"/>
  <c r="E104" i="3"/>
  <c r="F104" i="3" s="1"/>
  <c r="G103" i="3"/>
  <c r="E103" i="3"/>
  <c r="F103" i="3" s="1"/>
  <c r="G102" i="3"/>
  <c r="E102" i="3"/>
  <c r="F102" i="3" s="1"/>
  <c r="G101" i="3"/>
  <c r="E101" i="3"/>
  <c r="F101" i="3" s="1"/>
  <c r="G100" i="3"/>
  <c r="E100" i="3"/>
  <c r="F100" i="3" s="1"/>
  <c r="G98" i="3"/>
  <c r="E98" i="3"/>
  <c r="F98" i="3" s="1"/>
  <c r="G97" i="3"/>
  <c r="E97" i="3"/>
  <c r="F97" i="3" s="1"/>
  <c r="G96" i="3"/>
  <c r="E96" i="3"/>
  <c r="F96" i="3" s="1"/>
  <c r="G95" i="3"/>
  <c r="E95" i="3"/>
  <c r="F95" i="3" s="1"/>
  <c r="G94" i="3"/>
  <c r="E94" i="3"/>
  <c r="F94" i="3" s="1"/>
  <c r="G93" i="3"/>
  <c r="F93" i="3"/>
  <c r="E93" i="3"/>
  <c r="G92" i="3"/>
  <c r="E92" i="3"/>
  <c r="F92" i="3" s="1"/>
  <c r="G91" i="3"/>
  <c r="E91" i="3"/>
  <c r="F91" i="3" s="1"/>
  <c r="G90" i="3"/>
  <c r="E90" i="3"/>
  <c r="F90" i="3" s="1"/>
  <c r="G89" i="3"/>
  <c r="E89" i="3"/>
  <c r="F89" i="3" s="1"/>
  <c r="G87" i="3"/>
  <c r="E87" i="3"/>
  <c r="F87" i="3" s="1"/>
  <c r="G86" i="3"/>
  <c r="E86" i="3"/>
  <c r="F86" i="3" s="1"/>
  <c r="G85" i="3"/>
  <c r="E85" i="3"/>
  <c r="F85" i="3" s="1"/>
  <c r="G84" i="3"/>
  <c r="E84" i="3"/>
  <c r="F84" i="3" s="1"/>
  <c r="G83" i="3"/>
  <c r="E83" i="3"/>
  <c r="F83" i="3" s="1"/>
  <c r="G82" i="3"/>
  <c r="E82" i="3"/>
  <c r="F82" i="3" s="1"/>
  <c r="G81" i="3"/>
  <c r="F81" i="3"/>
  <c r="E81" i="3"/>
  <c r="G80" i="3"/>
  <c r="E80" i="3"/>
  <c r="F80" i="3" s="1"/>
  <c r="G79" i="3"/>
  <c r="E79" i="3"/>
  <c r="F79" i="3" s="1"/>
  <c r="G78" i="3"/>
  <c r="E78" i="3"/>
  <c r="F78" i="3" s="1"/>
  <c r="G76" i="3"/>
  <c r="E76" i="3"/>
  <c r="F76" i="3" s="1"/>
  <c r="G75" i="3"/>
  <c r="E75" i="3"/>
  <c r="F75" i="3" s="1"/>
  <c r="G74" i="3"/>
  <c r="E74" i="3"/>
  <c r="F74" i="3" s="1"/>
  <c r="G73" i="3"/>
  <c r="E73" i="3"/>
  <c r="F73" i="3" s="1"/>
  <c r="G72" i="3"/>
  <c r="E72" i="3"/>
  <c r="F72" i="3" s="1"/>
  <c r="G71" i="3"/>
  <c r="E71" i="3"/>
  <c r="F71" i="3" s="1"/>
  <c r="G70" i="3"/>
  <c r="E70" i="3"/>
  <c r="F70" i="3" s="1"/>
  <c r="G69" i="3"/>
  <c r="E69" i="3"/>
  <c r="F69" i="3" s="1"/>
  <c r="G68" i="3"/>
  <c r="E68" i="3"/>
  <c r="F68" i="3" s="1"/>
  <c r="G67" i="3"/>
  <c r="E67" i="3"/>
  <c r="F67" i="3" s="1"/>
  <c r="G65" i="3"/>
  <c r="E65" i="3"/>
  <c r="F65" i="3" s="1"/>
  <c r="G64" i="3"/>
  <c r="E64" i="3"/>
  <c r="F64" i="3" s="1"/>
  <c r="G63" i="3"/>
  <c r="E63" i="3"/>
  <c r="F63" i="3" s="1"/>
  <c r="G62" i="3"/>
  <c r="E62" i="3"/>
  <c r="F62" i="3" s="1"/>
  <c r="G61" i="3"/>
  <c r="E61" i="3"/>
  <c r="F61" i="3" s="1"/>
  <c r="G60" i="3"/>
  <c r="E60" i="3"/>
  <c r="F60" i="3" s="1"/>
  <c r="G59" i="3"/>
  <c r="E59" i="3"/>
  <c r="F59" i="3" s="1"/>
  <c r="G58" i="3"/>
  <c r="E58" i="3"/>
  <c r="F58" i="3" s="1"/>
  <c r="G57" i="3"/>
  <c r="E57" i="3"/>
  <c r="F57" i="3" s="1"/>
  <c r="G56" i="3"/>
  <c r="E56" i="3"/>
  <c r="F56" i="3" s="1"/>
  <c r="G54" i="3"/>
  <c r="E54" i="3"/>
  <c r="F54" i="3" s="1"/>
  <c r="G53" i="3"/>
  <c r="E53" i="3"/>
  <c r="F53" i="3" s="1"/>
  <c r="G52" i="3"/>
  <c r="E52" i="3"/>
  <c r="F52" i="3" s="1"/>
  <c r="G51" i="3"/>
  <c r="E51" i="3"/>
  <c r="F51" i="3" s="1"/>
  <c r="G50" i="3"/>
  <c r="E50" i="3"/>
  <c r="F50" i="3" s="1"/>
  <c r="G49" i="3"/>
  <c r="E49" i="3"/>
  <c r="F49" i="3" s="1"/>
  <c r="G48" i="3"/>
  <c r="E48" i="3"/>
  <c r="F48" i="3" s="1"/>
  <c r="G47" i="3"/>
  <c r="E47" i="3"/>
  <c r="F47" i="3" s="1"/>
  <c r="G46" i="3"/>
  <c r="E46" i="3"/>
  <c r="F46" i="3" s="1"/>
  <c r="G45" i="3"/>
  <c r="E45" i="3"/>
  <c r="F45" i="3" s="1"/>
  <c r="G43" i="3"/>
  <c r="E43" i="3"/>
  <c r="F43" i="3" s="1"/>
  <c r="G42" i="3"/>
  <c r="E42" i="3"/>
  <c r="F42" i="3" s="1"/>
  <c r="G41" i="3"/>
  <c r="E41" i="3"/>
  <c r="F41" i="3" s="1"/>
  <c r="G40" i="3"/>
  <c r="E40" i="3"/>
  <c r="F40" i="3" s="1"/>
  <c r="G39" i="3"/>
  <c r="E39" i="3"/>
  <c r="F39" i="3" s="1"/>
  <c r="G38" i="3"/>
  <c r="E38" i="3"/>
  <c r="F38" i="3" s="1"/>
  <c r="G37" i="3"/>
  <c r="E37" i="3"/>
  <c r="F37" i="3" s="1"/>
  <c r="G36" i="3"/>
  <c r="E36" i="3"/>
  <c r="F36" i="3" s="1"/>
  <c r="G35" i="3"/>
  <c r="E35" i="3"/>
  <c r="F35" i="3" s="1"/>
  <c r="G34" i="3"/>
  <c r="E34" i="3"/>
  <c r="F34" i="3" s="1"/>
  <c r="G32" i="3"/>
  <c r="E32" i="3"/>
  <c r="F32" i="3" s="1"/>
  <c r="G31" i="3"/>
  <c r="E31" i="3"/>
  <c r="F31" i="3" s="1"/>
  <c r="G30" i="3"/>
  <c r="E30" i="3"/>
  <c r="F30" i="3" s="1"/>
  <c r="G29" i="3"/>
  <c r="E29" i="3"/>
  <c r="F29" i="3" s="1"/>
  <c r="G28" i="3"/>
  <c r="E28" i="3"/>
  <c r="F28" i="3" s="1"/>
  <c r="G27" i="3"/>
  <c r="E27" i="3"/>
  <c r="F27" i="3" s="1"/>
  <c r="G26" i="3"/>
  <c r="E26" i="3"/>
  <c r="F26" i="3" s="1"/>
  <c r="G25" i="3"/>
  <c r="E25" i="3"/>
  <c r="F25" i="3" s="1"/>
  <c r="G24" i="3"/>
  <c r="E24" i="3"/>
  <c r="F24" i="3" s="1"/>
  <c r="G23" i="3"/>
  <c r="E23" i="3"/>
  <c r="F23" i="3" s="1"/>
  <c r="G21" i="3"/>
  <c r="E21" i="3"/>
  <c r="F21" i="3" s="1"/>
  <c r="G20" i="3"/>
  <c r="E20" i="3"/>
  <c r="F20" i="3" s="1"/>
  <c r="G19" i="3"/>
  <c r="E19" i="3"/>
  <c r="F19" i="3" s="1"/>
  <c r="G18" i="3"/>
  <c r="E18" i="3"/>
  <c r="F18" i="3" s="1"/>
  <c r="G17" i="3"/>
  <c r="E17" i="3"/>
  <c r="F17" i="3" s="1"/>
  <c r="G16" i="3"/>
  <c r="E16" i="3"/>
  <c r="F16" i="3" s="1"/>
  <c r="G15" i="3"/>
  <c r="E15" i="3"/>
  <c r="F15" i="3" s="1"/>
  <c r="G14" i="3"/>
  <c r="E14" i="3"/>
  <c r="F14" i="3" s="1"/>
  <c r="G13" i="3"/>
  <c r="E13" i="3"/>
  <c r="F13" i="3" s="1"/>
  <c r="G12" i="3"/>
  <c r="E12" i="3"/>
  <c r="F12" i="3" s="1"/>
  <c r="G10" i="3"/>
  <c r="E10" i="3"/>
  <c r="F10" i="3" s="1"/>
  <c r="G9" i="3"/>
  <c r="E9" i="3"/>
  <c r="F9" i="3" s="1"/>
  <c r="G8" i="3"/>
  <c r="E8" i="3"/>
  <c r="F8" i="3" s="1"/>
  <c r="G7" i="3"/>
  <c r="E7" i="3"/>
  <c r="F7" i="3" s="1"/>
  <c r="G6" i="3"/>
  <c r="E6" i="3"/>
  <c r="F6" i="3" s="1"/>
  <c r="G5" i="3"/>
  <c r="E5" i="3"/>
  <c r="F5" i="3" s="1"/>
  <c r="G4" i="3"/>
  <c r="E4" i="3"/>
  <c r="F4" i="3" s="1"/>
  <c r="G3" i="3"/>
  <c r="E3" i="3"/>
  <c r="F3" i="3" s="1"/>
  <c r="G2" i="3"/>
  <c r="E2" i="3"/>
  <c r="F2" i="3" s="1"/>
  <c r="U11" i="2"/>
  <c r="T11" i="2"/>
  <c r="S11" i="2"/>
  <c r="R11" i="2"/>
  <c r="L11" i="2" s="1"/>
  <c r="U10" i="2"/>
  <c r="T10" i="2"/>
  <c r="S10" i="2"/>
  <c r="R10" i="2"/>
  <c r="U9" i="2"/>
  <c r="T9" i="2"/>
  <c r="S9" i="2"/>
  <c r="R9" i="2"/>
  <c r="U8" i="2"/>
  <c r="T8" i="2"/>
  <c r="S8" i="2"/>
  <c r="R8" i="2"/>
  <c r="U7" i="2"/>
  <c r="T7" i="2"/>
  <c r="S7" i="2"/>
  <c r="R7" i="2"/>
  <c r="U6" i="2"/>
  <c r="T6" i="2"/>
  <c r="S6" i="2"/>
  <c r="R6" i="2"/>
  <c r="L6" i="2" s="1"/>
  <c r="U5" i="2"/>
  <c r="T5" i="2"/>
  <c r="S5" i="2"/>
  <c r="R5" i="2"/>
  <c r="U4" i="2"/>
  <c r="T4" i="2"/>
  <c r="S4" i="2"/>
  <c r="R4" i="2"/>
  <c r="U3" i="2"/>
  <c r="T3" i="2"/>
  <c r="S3" i="2"/>
  <c r="R3" i="2"/>
  <c r="U2" i="2"/>
  <c r="T2" i="2"/>
  <c r="S2" i="2"/>
  <c r="R2" i="2"/>
  <c r="X46" i="4" l="1"/>
  <c r="X61" i="4"/>
  <c r="W19" i="4"/>
  <c r="H2" i="2"/>
  <c r="W31" i="4"/>
  <c r="X57" i="4"/>
  <c r="X63" i="4"/>
  <c r="X37" i="4"/>
  <c r="X43" i="4"/>
  <c r="X52" i="4"/>
  <c r="X22" i="4"/>
  <c r="V58" i="4"/>
  <c r="V38" i="4"/>
  <c r="V44" i="4"/>
  <c r="X8" i="4"/>
  <c r="V13" i="4"/>
  <c r="X4" i="4"/>
  <c r="X34" i="4"/>
  <c r="V49" i="4"/>
  <c r="X55" i="4"/>
  <c r="V60" i="4"/>
  <c r="V66" i="4"/>
  <c r="V11" i="4"/>
  <c r="X14" i="4"/>
  <c r="W60" i="4"/>
  <c r="X20" i="4"/>
  <c r="X24" i="4"/>
  <c r="V36" i="4"/>
  <c r="W39" i="4"/>
  <c r="W43" i="4"/>
  <c r="V18" i="4"/>
  <c r="X44" i="4"/>
  <c r="W63" i="4"/>
  <c r="X6" i="4"/>
  <c r="X10" i="4"/>
  <c r="X17" i="4"/>
  <c r="X21" i="4"/>
  <c r="X25" i="4"/>
  <c r="V28" i="4"/>
  <c r="V51" i="4"/>
  <c r="V59" i="4"/>
  <c r="X62" i="4"/>
  <c r="V3" i="4"/>
  <c r="W18" i="4"/>
  <c r="W3" i="4"/>
  <c r="W7" i="4"/>
  <c r="V26" i="4"/>
  <c r="G55" i="3"/>
  <c r="W37" i="4"/>
  <c r="V45" i="4"/>
  <c r="X56" i="4"/>
  <c r="X3" i="4"/>
  <c r="V15" i="4"/>
  <c r="V23" i="4"/>
  <c r="X26" i="4"/>
  <c r="W30" i="4"/>
  <c r="V34" i="4"/>
  <c r="X53" i="4"/>
  <c r="V64" i="4"/>
  <c r="H6" i="2"/>
  <c r="X29" i="4"/>
  <c r="V63" i="4"/>
  <c r="V33" i="4"/>
  <c r="V52" i="4"/>
  <c r="E55" i="3"/>
  <c r="F55" i="3" s="1"/>
  <c r="G6" i="2" s="1"/>
  <c r="G77" i="3"/>
  <c r="H8" i="2" s="1"/>
  <c r="W49" i="4"/>
  <c r="V57" i="4"/>
  <c r="V4" i="4"/>
  <c r="V27" i="4"/>
  <c r="V35" i="4"/>
  <c r="X38" i="4"/>
  <c r="W42" i="4"/>
  <c r="X2" i="4"/>
  <c r="V40" i="4"/>
  <c r="V14" i="4"/>
  <c r="X41" i="4"/>
  <c r="E33" i="3"/>
  <c r="F33" i="3" s="1"/>
  <c r="G4" i="2" s="1"/>
  <c r="V24" i="4"/>
  <c r="W27" i="4"/>
  <c r="G99" i="3"/>
  <c r="H10" i="2" s="1"/>
  <c r="K10" i="2" s="1"/>
  <c r="L10" i="2" s="1"/>
  <c r="W61" i="4"/>
  <c r="V56" i="4"/>
  <c r="E88" i="3"/>
  <c r="F88" i="3" s="1"/>
  <c r="G9" i="2" s="1"/>
  <c r="E99" i="3"/>
  <c r="F99" i="3" s="1"/>
  <c r="X5" i="4"/>
  <c r="X9" i="4"/>
  <c r="X13" i="4"/>
  <c r="V16" i="4"/>
  <c r="V39" i="4"/>
  <c r="V47" i="4"/>
  <c r="X50" i="4"/>
  <c r="W54" i="4"/>
  <c r="G10" i="2"/>
  <c r="G2" i="2"/>
  <c r="G8" i="2"/>
  <c r="V6" i="4"/>
  <c r="E44" i="3"/>
  <c r="F44" i="3" s="1"/>
  <c r="G5" i="2" s="1"/>
  <c r="W4" i="4"/>
  <c r="X11" i="4"/>
  <c r="W16" i="4"/>
  <c r="X23" i="4"/>
  <c r="W28" i="4"/>
  <c r="X35" i="4"/>
  <c r="W40" i="4"/>
  <c r="X47" i="4"/>
  <c r="W52" i="4"/>
  <c r="X59" i="4"/>
  <c r="W64" i="4"/>
  <c r="G44" i="3"/>
  <c r="H5" i="2" s="1"/>
  <c r="G88" i="3"/>
  <c r="H9" i="2" s="1"/>
  <c r="W9" i="4"/>
  <c r="X16" i="4"/>
  <c r="W21" i="4"/>
  <c r="W33" i="4"/>
  <c r="X40" i="4"/>
  <c r="W45" i="4"/>
  <c r="W57" i="4"/>
  <c r="V7" i="4"/>
  <c r="V19" i="4"/>
  <c r="V31" i="4"/>
  <c r="V43" i="4"/>
  <c r="V55" i="4"/>
  <c r="V30" i="4"/>
  <c r="V42" i="4"/>
  <c r="V54" i="4"/>
  <c r="G33" i="3"/>
  <c r="H4" i="2" s="1"/>
  <c r="V5" i="4"/>
  <c r="V17" i="4"/>
  <c r="V29" i="4"/>
  <c r="V41" i="4"/>
  <c r="V53" i="4"/>
  <c r="E22" i="3"/>
  <c r="F22" i="3" s="1"/>
  <c r="G3" i="2" s="1"/>
  <c r="E66" i="3"/>
  <c r="F66" i="3" s="1"/>
  <c r="G7" i="2" s="1"/>
  <c r="E110" i="3"/>
  <c r="F110" i="3" s="1"/>
  <c r="G11" i="2" s="1"/>
  <c r="W65" i="4"/>
  <c r="W10" i="4"/>
  <c r="W22" i="4"/>
  <c r="W34" i="4"/>
  <c r="W46" i="4"/>
  <c r="W58" i="4"/>
  <c r="G22" i="3"/>
  <c r="H3" i="2" s="1"/>
  <c r="G66" i="3"/>
  <c r="H7" i="2" s="1"/>
  <c r="G110" i="3"/>
  <c r="H11" i="2" s="1"/>
  <c r="W66" i="4"/>
  <c r="K9" i="2" l="1"/>
  <c r="L9" i="2" s="1"/>
  <c r="K4" i="2"/>
  <c r="L4" i="2" s="1"/>
  <c r="J11" i="2"/>
  <c r="I11" i="2"/>
  <c r="J7" i="2"/>
  <c r="I7" i="2"/>
  <c r="J5" i="2"/>
  <c r="I5" i="2"/>
  <c r="J3" i="2"/>
  <c r="I3" i="2"/>
  <c r="K3" i="2"/>
  <c r="L3" i="2" s="1"/>
  <c r="K11" i="2"/>
  <c r="J2" i="2"/>
  <c r="I2" i="2"/>
  <c r="J8" i="2"/>
  <c r="I8" i="2"/>
  <c r="I6" i="2"/>
  <c r="J6" i="2"/>
  <c r="J4" i="2"/>
  <c r="I4" i="2"/>
  <c r="K6" i="2"/>
  <c r="K7" i="2"/>
  <c r="L7" i="2" s="1"/>
  <c r="J10" i="2"/>
  <c r="I10" i="2"/>
  <c r="K5" i="2"/>
  <c r="L5" i="2" s="1"/>
  <c r="J9" i="2"/>
  <c r="I9" i="2"/>
  <c r="K8" i="2"/>
  <c r="L8" i="2" s="1"/>
  <c r="K2" i="2"/>
  <c r="B9" i="1" l="1"/>
  <c r="L2" i="2"/>
  <c r="B11" i="1" l="1"/>
  <c r="B10" i="1"/>
</calcChain>
</file>

<file path=xl/sharedStrings.xml><?xml version="1.0" encoding="utf-8"?>
<sst xmlns="http://schemas.openxmlformats.org/spreadsheetml/2006/main" count="2685" uniqueCount="937">
  <si>
    <t>metric</t>
  </si>
  <si>
    <t>value</t>
  </si>
  <si>
    <t>definition</t>
  </si>
  <si>
    <t>rubric_version</t>
  </si>
  <si>
    <t>prompt_qa.md@sha256:C2C1DEFDB72362291F7DA656FA7FEA9283A02782FC8CA66D2E4637F2511500DD</t>
  </si>
  <si>
    <t>Rubric QA áp dụng.</t>
  </si>
  <si>
    <t>source_workbook</t>
  </si>
  <si>
    <t>D:\Shopify_Workspace\jeminise_seo\resutls\jeminise.com\20260906_234129\batches\SEO_Product_Optimization_through_batch_034.xlsx</t>
  </si>
  <si>
    <t>Workbook giai đoạn 1 được đóng băng; không chỉnh sửa.</t>
  </si>
  <si>
    <t>source_sha256_at_handoff</t>
  </si>
  <si>
    <t>609EF38D46896F234EA7AAEEC74F393267003D20D6DE8C5BA9BD21BFB19675EE</t>
  </si>
  <si>
    <t>Hash tính lại khi hoàn tất báo cáo.</t>
  </si>
  <si>
    <t>qa_run_id</t>
  </si>
  <si>
    <t>20260907_083534</t>
  </si>
  <si>
    <t>Run QA độc lập.</t>
  </si>
  <si>
    <t>batch_id</t>
  </si>
  <si>
    <t>qa_batch_001</t>
  </si>
  <si>
    <t>Inventory positions 1–10.</t>
  </si>
  <si>
    <t>products_checked</t>
  </si>
  <si>
    <t>Đúng 10 product key.</t>
  </si>
  <si>
    <t>images_checked</t>
  </si>
  <si>
    <t>65/65 ảnh mở trực tiếp ở ảnh gốc.</t>
  </si>
  <si>
    <t>batch_final_score</t>
  </si>
  <si>
    <t>Trung bình đều 10 final_score; không bù lỗi chặn.</t>
  </si>
  <si>
    <t>batch_result</t>
  </si>
  <si>
    <t>Lô chỉ đạt khi mọi sản phẩm QA_PASS.</t>
  </si>
  <si>
    <t>status_counts</t>
  </si>
  <si>
    <t>Số sản phẩm theo kết luận.</t>
  </si>
  <si>
    <t>issue_counts</t>
  </si>
  <si>
    <t>{"MINOR": 17, "MAJOR": 29, "LIMITATION": 3, "CRITICAL": 2}</t>
  </si>
  <si>
    <t>Số phát hiện theo severity.</t>
  </si>
  <si>
    <t>admin_limitation</t>
  </si>
  <si>
    <t>No Shopify admin export</t>
  </si>
  <si>
    <t>Không suy ra admin SEO fields/alt từ storefront.</t>
  </si>
  <si>
    <t>xlsx_status</t>
  </si>
  <si>
    <t>COMPLETE</t>
  </si>
  <si>
    <t>Workbook QA đã được tạo bằng openpyxl theo yêu cầu rõ của người dùng, tính lại và render kiểm tra.</t>
  </si>
  <si>
    <t>inventory_position</t>
  </si>
  <si>
    <t>product_key</t>
  </si>
  <si>
    <t>url</t>
  </si>
  <si>
    <t>handle</t>
  </si>
  <si>
    <t>product_id</t>
  </si>
  <si>
    <t>revision</t>
  </si>
  <si>
    <t>verified_points</t>
  </si>
  <si>
    <t>assessed_weight</t>
  </si>
  <si>
    <t>score_lower_bound</t>
  </si>
  <si>
    <t>score_upper_bound</t>
  </si>
  <si>
    <t>final_score</t>
  </si>
  <si>
    <t>qa_status</t>
  </si>
  <si>
    <t>keyword_evidence_level</t>
  </si>
  <si>
    <t>images_expected</t>
  </si>
  <si>
    <t>image_inventory_complete</t>
  </si>
  <si>
    <t>image_coverage</t>
  </si>
  <si>
    <t>critical_count</t>
  </si>
  <si>
    <t>major_count</t>
  </si>
  <si>
    <t>minor_count</t>
  </si>
  <si>
    <t>limitation_count</t>
  </si>
  <si>
    <t>issue_refs</t>
  </si>
  <si>
    <t>evidence_refs</t>
  </si>
  <si>
    <t>jeminise.com+autumn-cardinals-perched-above-large-sunflowers-quilt-with-cardinal-birds-9a3b408b20-9a3b408b20</t>
  </si>
  <si>
    <t>https://jeminise.com/products/autumn-cardinals-perched-above-large-sunflowers-quilt-with-cardinal-birds-9a3b408b20-9a3b408b20</t>
  </si>
  <si>
    <t>autumn-cardinals-perched-above-large-sunflowers-quilt-with-cardinal-birds-9a3b408b20-9a3b408b20</t>
  </si>
  <si>
    <t>8834718105799</t>
  </si>
  <si>
    <t>r1</t>
  </si>
  <si>
    <t>HYPOTHESIS_ONLY</t>
  </si>
  <si>
    <t>["ISS-001-IMG-05", "ISS-001-DESC", "ISS-001-KW"]</t>
  </si>
  <si>
    <t>["evidence_batch_001_001", "https://jeminise.com/products/autumn-cardinals-perched-above-large-sunflowers-quilt-with-cardinal-birds-9a3b408b20-9a3b408b20", "serp_qa_001"]</t>
  </si>
  <si>
    <t>jeminise.com+bright-teal-yellow-softball-comforter-set-premium-sports-theme</t>
  </si>
  <si>
    <t>https://jeminise.com/products/bright-teal-yellow-softball-comforter-set-premium-sports-theme</t>
  </si>
  <si>
    <t>bright-teal-yellow-softball-comforter-set-premium-sports-theme</t>
  </si>
  <si>
    <t>8867219865799</t>
  </si>
  <si>
    <t>SERP_ONLY</t>
  </si>
  <si>
    <t>["ISS-002-IMG-02", "ISS-002-IMG-04", "ISS-002-IMG-05", "ISS-002-IMG-07", "ISS-002-DESC", "ISS-002-ENC"]</t>
  </si>
  <si>
    <t>["evidence_batch_001_002", "https://jeminise.com/products/bright-teal-yellow-softball-comforter-set-premium-sports-theme", "serp_qa_002"]</t>
  </si>
  <si>
    <t>jeminise.com+cardinals-perched-beside-decorated-christmas-tree-patchwork-winter-quilt-7cd7bc46a0-7cd7bc46a0</t>
  </si>
  <si>
    <t>https://jeminise.com/products/cardinals-perched-beside-decorated-christmas-tree-patchwork-winter-quilt-7cd7bc46a0-7cd7bc46a0</t>
  </si>
  <si>
    <t>cardinals-perched-beside-decorated-christmas-tree-patchwork-winter-quilt-7cd7bc46a0-7cd7bc46a0</t>
  </si>
  <si>
    <t>8834714534087</t>
  </si>
  <si>
    <t>["ISS-003-IMG-05", "ISS-003-DESC", "ISS-003-SERP"]</t>
  </si>
  <si>
    <t>["evidence_batch_001_003", "https://jeminise.com/products/cardinals-perched-beside-decorated-christmas-tree-patchwork-winter-quilt-7cd7bc46a0-7cd7bc46a0", "serp_qa_003"]</t>
  </si>
  <si>
    <t>jeminise.com+cardinals-perched-on-branch-with-roses-patchwork-winter-quilt-21ac904cd7-21ac904cd7</t>
  </si>
  <si>
    <t>https://jeminise.com/products/cardinals-perched-on-branch-with-roses-patchwork-winter-quilt-21ac904cd7-21ac904cd7</t>
  </si>
  <si>
    <t>cardinals-perched-on-branch-with-roses-patchwork-winter-quilt-21ac904cd7-21ac904cd7</t>
  </si>
  <si>
    <t>8834733015239</t>
  </si>
  <si>
    <t>["ISS-004-IMG-05", "ISS-004-DESC", "ISS-004-SERP"]</t>
  </si>
  <si>
    <t>["evidence_batch_001_004", "https://jeminise.com/products/cardinals-perched-on-branch-with-roses-patchwork-winter-quilt-21ac904cd7-21ac904cd7", "serp_qa_004"]</t>
  </si>
  <si>
    <t>jeminise.com+cat-patchwork-quilt-set-animal-pattern-bedding-cat-pattern-quilt-set</t>
  </si>
  <si>
    <t>https://jeminise.com/products/cat-patchwork-quilt-set-animal-pattern-bedding-cat-pattern-quilt-set</t>
  </si>
  <si>
    <t>cat-patchwork-quilt-set-animal-pattern-bedding-cat-pattern-quilt-set</t>
  </si>
  <si>
    <t>8867094823111</t>
  </si>
  <si>
    <t>["ISS-005-IMG-02", "ISS-005-IMG-03", "ISS-005-IMG-04", "ISS-005-DESC", "ISS-005-FACT", "ISS-005-SERP"]</t>
  </si>
  <si>
    <t>["evidence_batch_001_005", "https://jeminise.com/products/cat-patchwork-quilt-set-animal-pattern-bedding-cat-pattern-quilt-set", "serp_qa_005"]</t>
  </si>
  <si>
    <t>jeminise.com+cat-quilt-set-cat-patchwork-style-printed-bedding-animal-patchwork</t>
  </si>
  <si>
    <t>https://jeminise.com/products/cat-quilt-set-cat-patchwork-style-printed-bedding-animal-patchwork</t>
  </si>
  <si>
    <t>cat-quilt-set-cat-patchwork-style-printed-bedding-animal-patchwork</t>
  </si>
  <si>
    <t>8867094986951</t>
  </si>
  <si>
    <t>["ISS-006-IMG-02", "ISS-006-IMG-03", "ISS-006-IMG-04", "ISS-006-DESC", "ISS-006-KW", "ISS-006-FACT"]</t>
  </si>
  <si>
    <t>["evidence_batch_001_006", "https://jeminise.com/products/cat-quilt-set-cat-patchwork-style-printed-bedding-animal-patchwork", "serp_qa_006"]</t>
  </si>
  <si>
    <t>jeminise.com+celtic-and-fantasy-quilt-set-with-twisting-tree-trunk-and-exposed-roots-c7b1460bad-c7b1460bad</t>
  </si>
  <si>
    <t>https://jeminise.com/products/celtic-and-fantasy-quilt-set-with-twisting-tree-trunk-and-exposed-roots-c7b1460bad-c7b1460bad</t>
  </si>
  <si>
    <t>celtic-and-fantasy-quilt-set-with-twisting-tree-trunk-and-exposed-roots-c7b1460bad-c7b1460bad</t>
  </si>
  <si>
    <t>8833350467783</t>
  </si>
  <si>
    <t>["ISS-007-IMG-02", "ISS-007-IMG-03", "ISS-007-IMG-04", "ISS-007-DESC"]</t>
  </si>
  <si>
    <t>["evidence_batch_001_007", "https://jeminise.com/products/celtic-and-fantasy-quilt-set-with-twisting-tree-trunk-and-exposed-roots-c7b1460bad-c7b1460bad", "serp_qa_007"]</t>
  </si>
  <si>
    <t>jeminise.com+celtic-mythology-tree-of-life-quilt-set-with-celtic-knotwork-border-12786aba7e-12786aba7e</t>
  </si>
  <si>
    <t>https://jeminise.com/products/celtic-mythology-tree-of-life-quilt-set-with-celtic-knotwork-border-12786aba7e-12786aba7e</t>
  </si>
  <si>
    <t>celtic-mythology-tree-of-life-quilt-set-with-celtic-knotwork-border-12786aba7e-12786aba7e</t>
  </si>
  <si>
    <t>8833347518663</t>
  </si>
  <si>
    <t>["ISS-008-IMG-02", "ISS-008-IMG-03", "ISS-008-IMG-04", "ISS-008-DESC"]</t>
  </si>
  <si>
    <t>["evidence_batch_001_008", "https://jeminise.com/products/celtic-mythology-tree-of-life-quilt-set-with-celtic-knotwork-border-12786aba7e-12786aba7e", "serp_qa_008"]</t>
  </si>
  <si>
    <t>jeminise.com+chicken-pattern-quilt-set-animal-patchwork-farmhouse-quilt-set</t>
  </si>
  <si>
    <t>https://jeminise.com/products/chicken-pattern-quilt-set-animal-patchwork-farmhouse-quilt-set</t>
  </si>
  <si>
    <t>chicken-pattern-quilt-set-animal-patchwork-farmhouse-quilt-set</t>
  </si>
  <si>
    <t>8867095019719</t>
  </si>
  <si>
    <t>["ISS-009-IMG-02", "ISS-009-IMG-03", "ISS-009-IMG-04", "ISS-009-DESC", "ISS-009-FACT"]</t>
  </si>
  <si>
    <t>["evidence_batch_001_009", "https://jeminise.com/products/chicken-pattern-quilt-set-animal-patchwork-farmhouse-quilt-set", "serp_qa_009"]</t>
  </si>
  <si>
    <t>jeminise.com+christian-bedding-set-inspirational-bible-verse-comforte-design-01</t>
  </si>
  <si>
    <t>https://jeminise.com/products/christian-bedding-set-inspirational-bible-verse-comforte-design-01</t>
  </si>
  <si>
    <t>christian-bedding-set-inspirational-bible-verse-comforte-design-01</t>
  </si>
  <si>
    <t>8867138240711</t>
  </si>
  <si>
    <t>["ISS-010-IMG-02", "ISS-010-IMG-03", "ISS-010-IMG-04", "ISS-010-IMG-05", "ISS-010-IMG-06", "ISS-010-IMG-07", "ISS-010-IMG-08", "ISS-010-DESC", "ISS-010-ENC", "ISS-010-PERS"]</t>
  </si>
  <si>
    <t>["evidence_batch_001_010", "https://jeminise.com/products/christian-bedding-set-inspirational-bible-verse-comforte-design-01", "serp_qa_010"]</t>
  </si>
  <si>
    <t>criterion_id</t>
  </si>
  <si>
    <t>weight</t>
  </si>
  <si>
    <t>assessment</t>
  </si>
  <si>
    <t>rating</t>
  </si>
  <si>
    <t>earned_points</t>
  </si>
  <si>
    <t>reason</t>
  </si>
  <si>
    <t>P1</t>
  </si>
  <si>
    <t>FULL</t>
  </si>
  <si>
    <t>Đối chiếu loại sản phẩm, thiết kế và màu với product JSON, H1 live và toàn bộ gallery.</t>
  </si>
  <si>
    <t>P2</t>
  </si>
  <si>
    <t>PARTIAL</t>
  </si>
  <si>
    <t>Đối chiếu chất liệu, kích thước, thành phần đi kèm, biến thể và personalization với nguồn live/snapshot.</t>
  </si>
  <si>
    <t>K1</t>
  </si>
  <si>
    <t>Đối chiếu long-tail với thiết kế riêng và nguy cơ trùng intent trong cụm sản phẩm.</t>
  </si>
  <si>
    <t>K2</t>
  </si>
  <si>
    <t>Đã đọc SERP cho primary keyword và phương án gần nhất; đánh giá loại trang/intent.</t>
  </si>
  <si>
    <t>K3</t>
  </si>
  <si>
    <t>Không suy diễn volume; phân biệt SERP_ONLY và HYPOTHESIS_ONLY.</t>
  </si>
  <si>
    <t>T1</t>
  </si>
  <si>
    <t>Đánh giá SEO title English về độ đúng, tự nhiên, keyword và điểm phân biệt.</t>
  </si>
  <si>
    <t>T2</t>
  </si>
  <si>
    <t>Đánh giá H1 đề xuất độc lập với SEO title và đối chiếu lỗi ký tự nguồn.</t>
  </si>
  <si>
    <t>D1</t>
  </si>
  <si>
    <t>Đánh giá meta description về tính cụ thể và căn cứ claim.</t>
  </si>
  <si>
    <t>D2</t>
  </si>
  <si>
    <t>FAIL</t>
  </si>
  <si>
    <t>Description SET có HTML đầy đủ nhưng chứa câu nội bộ 'This draft should be reviewed...' và dữ liệu nguồn thô/mâu thuẫn; chưa phải nội dung publish-ready.</t>
  </si>
  <si>
    <t>I1</t>
  </si>
  <si>
    <t>DERIVED</t>
  </si>
  <si>
    <t>Tính từ trung bình 5 ảnh: 95.0000/100.</t>
  </si>
  <si>
    <t>E1</t>
  </si>
  <si>
    <t>Kiểm tra liên kết product key/handle/evidence/revision giữa workbook, snapshot và nguồn live.</t>
  </si>
  <si>
    <t>Tính từ trung bình 7 ảnh: 75.7143/100.</t>
  </si>
  <si>
    <t>Tính từ trung bình 7 ảnh: 87.8571/100.</t>
  </si>
  <si>
    <t>Tính từ trung bình 8 ảnh: 66.2500/100.</t>
  </si>
  <si>
    <t>qa_image_key</t>
  </si>
  <si>
    <t>image_url_source</t>
  </si>
  <si>
    <t>image_url_workbook</t>
  </si>
  <si>
    <t>media_id</t>
  </si>
  <si>
    <t>workbook_image_id</t>
  </si>
  <si>
    <t>variant</t>
  </si>
  <si>
    <t>image_location</t>
  </si>
  <si>
    <t>check_method</t>
  </si>
  <si>
    <t>checked_at</t>
  </si>
  <si>
    <t>qa_observation</t>
  </si>
  <si>
    <t>submitted_observation</t>
  </si>
  <si>
    <t>storefront_alt_observed</t>
  </si>
  <si>
    <t>alt_action</t>
  </si>
  <si>
    <t>alt_effective</t>
  </si>
  <si>
    <t>IM1</t>
  </si>
  <si>
    <t>IM2</t>
  </si>
  <si>
    <t>IM3</t>
  </si>
  <si>
    <t>IM4</t>
  </si>
  <si>
    <t>image_verified_points</t>
  </si>
  <si>
    <t>image_assessed_weight</t>
  </si>
  <si>
    <t>image_final_score</t>
  </si>
  <si>
    <t>image_score_lower_bound</t>
  </si>
  <si>
    <t>image_score_upper_bound</t>
  </si>
  <si>
    <t>qaimg_9808a3488a22128b</t>
  </si>
  <si>
    <t>https://cdn.shopify.com/s/files/1/0792/5098/1063/files/0754b2731a7ffd916d0ef8b214706e796d780fbd4ba38c8f47f27b6dcfbf352e.jpg?v=1785099190</t>
  </si>
  <si>
    <t>38506577854663</t>
  </si>
  <si>
    <t>47540016382151</t>
  </si>
  <si>
    <t>GALLERY</t>
  </si>
  <si>
    <t>DIRECT_ORIGINAL_IMAGE</t>
  </si>
  <si>
    <t>2026-09-07T09:05:41.201318+07:00</t>
  </si>
  <si>
    <t>Bed mockup with two red cardinals, large yellow sunflowers and autumn leaves.</t>
  </si>
  <si>
    <t>Main bed mockup showing red cardinals, large yellow sunflowers, autumn leaves.</t>
  </si>
  <si>
    <t>Autumn Cardinals Perched Above Large Sunflowers Quilt with Cardinal Birds</t>
  </si>
  <si>
    <t>SET</t>
  </si>
  <si>
    <t>Cardinal Sunflower Patchwork Quilt Set displayed on a bed</t>
  </si>
  <si>
    <t>[]</t>
  </si>
  <si>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 "https://jeminise.com/products/autumn-cardinals-perched-above-large-sunflowers-quilt-with-cardinal-birds-9a3b408b20-9a3b408b20", "https://cdn.shopify.com/s/files/1/0792/5098/1063/files/0754b2731a7ffd916d0ef8b214706e796d780fbd4ba38c8f47f27b6dcfbf352e.jpg?v=1785099190"]</t>
  </si>
  <si>
    <t>qaimg_c8e0c4111df9742a</t>
  </si>
  <si>
    <t>https://cdn.shopify.com/s/files/1/0792/5098/1063/files/a10aa0018e665e644a60b7c4aea8b5e152ec768ebb35af1090452cddbc9e9828.jpg?v=1785099190</t>
  </si>
  <si>
    <t>38506577887431</t>
  </si>
  <si>
    <t>47540016414919</t>
  </si>
  <si>
    <t>Close-up of the cardinal-and-sunflower print and quilted stitching.</t>
  </si>
  <si>
    <t>Secondary detail or room mockup showing red cardinals, large yellow sunflowers, autumn leaves and visible quilted/printed texture.</t>
  </si>
  <si>
    <t>Close view of red cardinals, large yellow sunflowers, autumn leaves on the quilt set</t>
  </si>
  <si>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 "https://jeminise.com/products/autumn-cardinals-perched-above-large-sunflowers-quilt-with-cardinal-birds-9a3b408b20-9a3b408b20", "https://cdn.shopify.com/s/files/1/0792/5098/1063/files/a10aa0018e665e644a60b7c4aea8b5e152ec768ebb35af1090452cddbc9e9828.jpg?v=1785099190"]</t>
  </si>
  <si>
    <t>qaimg_151738926e676561</t>
  </si>
  <si>
    <t>https://cdn.shopify.com/s/files/1/0792/5098/1063/files/c50488380d22611c83d218b77be9cfcf5799df4d9903913c09a1798712931b22.jpg?v=1785099190</t>
  </si>
  <si>
    <t>38506577920199</t>
  </si>
  <si>
    <t>47540016447687</t>
  </si>
  <si>
    <t>Pillow sham using the cardinal-and-sunflower artwork.</t>
  </si>
  <si>
    <t>Matching pillow sham or bedding detail using the same red cardinals, large yellow sunflowers, autumn leaves artwork.</t>
  </si>
  <si>
    <t>Matching pillow sham for Cardinal Sunflower Patchwork Quilt Set</t>
  </si>
  <si>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 "https://jeminise.com/products/autumn-cardinals-perched-above-large-sunflowers-quilt-with-cardinal-birds-9a3b408b20-9a3b408b20", "https://cdn.shopify.com/s/files/1/0792/5098/1063/files/c50488380d22611c83d218b77be9cfcf5799df4d9903913c09a1798712931b22.jpg?v=1785099190"]</t>
  </si>
  <si>
    <t>qaimg_e40aceb16ae7429c</t>
  </si>
  <si>
    <t>https://cdn.shopify.com/s/files/1/0792/5098/1063/files/455c5869333cc7654f6c30f3d09716ec1513311734a21a6aa82bf5fe0767ac69.jpg?v=1785099191</t>
  </si>
  <si>
    <t>38506577952967</t>
  </si>
  <si>
    <t>47540016480455</t>
  </si>
  <si>
    <t>Alternate bedroom angle showing the cardinal-and-sunflower quilt.</t>
  </si>
  <si>
    <t>Room/folded product or fabric information image tied to the red cardinals, large yellow sunflowers, autumn leaves design.</t>
  </si>
  <si>
    <t>Cardinal Sunflower Patchwork Quilt Set shown in a bedroom setting</t>
  </si>
  <si>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 "https://jeminise.com/products/autumn-cardinals-perched-above-large-sunflowers-quilt-with-cardinal-birds-9a3b408b20-9a3b408b20", "https://cdn.shopify.com/s/files/1/0792/5098/1063/files/455c5869333cc7654f6c30f3d09716ec1513311734a21a6aa82bf5fe0767ac69.jpg?v=1785099191"]</t>
  </si>
  <si>
    <t>qaimg_8a56044406ccfa03</t>
  </si>
  <si>
    <t>https://cdn.shopify.com/s/files/1/0792/5098/1063/files/f17ccb354040b3320b99a1960533bd6ef949db1145d3897d55a33673489caad9.jpg?v=1785099190</t>
  </si>
  <si>
    <t>38506577985735</t>
  </si>
  <si>
    <t>47540016513223</t>
  </si>
  <si>
    <t>Included-components and dimensions graphic: one quilt; two standard shams are optional; Throw/Twin/Queen/King sizes shown.</t>
  </si>
  <si>
    <t>Sizing or included-components information image for the bedding set.</t>
  </si>
  <si>
    <t>Size guide for Cardinal Sunflower Patchwork Quilt Set</t>
  </si>
  <si>
    <t>["ISS-001-IMG-05"]</t>
  </si>
  <si>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 "https://jeminise.com/products/autumn-cardinals-perched-above-large-sunflowers-quilt-with-cardinal-birds-9a3b408b20-9a3b408b20", "https://cdn.shopify.com/s/files/1/0792/5098/1063/files/f17ccb354040b3320b99a1960533bd6ef949db1145d3897d55a33673489caad9.jpg?v=1785099190"]</t>
  </si>
  <si>
    <t>qaimg_1fd378044829575a</t>
  </si>
  <si>
    <t>https://cdn.shopify.com/s/files/1/0792/5098/1063/files/aaac3be2edd458da15620b4b48ea0557ee8e33aa5a6ff9ed0d0db11848fd4cbe.jpg?v=1787245111</t>
  </si>
  <si>
    <t>38895967404231</t>
  </si>
  <si>
    <t>47934735909063</t>
  </si>
  <si>
    <t>Front bed mockup: teal, black and white softball patchwork, player silhouettes, number 88, RILEY and EAT SLEEP SOFTBALL text.</t>
  </si>
  <si>
    <t>Main bed mockup showing softball patchwork in teal, black and white with player silhouettes and text.</t>
  </si>
  <si>
    <t>Bright Teal Yellow Softball Comforter Set – Premium Sports Theme Bedding for Girls, Teens &amp; Women Who Love Softball, Offered in Twin, Queen, King Bed Sizes</t>
  </si>
  <si>
    <t>Bright Teal Softball Comforter Set displayed on a bed</t>
  </si>
  <si>
    <t>["seo_runs\\jeminise.com\\20260906_234129\\evidence\\images\\2_bright-teal-yellow-softball-comforter-set-premium-sports-theme\\image_01_47934735909063.jpg; seo_runs\\jeminise.com\\20260906_234129\\evidence\\contact_sheets\\2_bright-teal-yellow-softball-comforter-set-premium-sports-theme.jpg", "https://jeminise.com/products/bright-teal-yellow-softball-comforter-set-premium-sports-theme", "https://cdn.shopify.com/s/files/1/0792/5098/1063/files/aaac3be2edd458da15620b4b48ea0557ee8e33aa5a6ff9ed0d0db11848fd4cbe.jpg?v=1787245111"]</t>
  </si>
  <si>
    <t>qaimg_e4eff0625849f778</t>
  </si>
  <si>
    <t>https://cdn.shopify.com/s/files/1/0792/5098/1063/files/b4d8d185bcbb550263dadfadb3419fffc97f4c44e070091e393e7296e5d6fb3c.jpg?v=1787245111</t>
  </si>
  <si>
    <t>38895967436999</t>
  </si>
  <si>
    <t>47934735941831</t>
  </si>
  <si>
    <t>Angled bedroom mockup of the same softball comforter design.</t>
  </si>
  <si>
    <t>Secondary detail or room mockup showing softball patchwork in teal, black and white with player silhouettes and text and visible quilted/printed texture.</t>
  </si>
  <si>
    <t>Close view of softball patchwork in teal, black and white with player silhouettes and text on the comforter set</t>
  </si>
  <si>
    <t>["ISS-002-IMG-02"]</t>
  </si>
  <si>
    <t>["seo_runs\\jeminise.com\\20260906_234129\\evidence\\images\\2_bright-teal-yellow-softball-comforter-set-premium-sports-theme\\image_02_47934735941831.jpg; seo_runs\\jeminise.com\\20260906_234129\\evidence\\contact_sheets\\2_bright-teal-yellow-softball-comforter-set-premium-sports-theme.jpg", "https://jeminise.com/products/bright-teal-yellow-softball-comforter-set-premium-sports-theme", "https://cdn.shopify.com/s/files/1/0792/5098/1063/files/b4d8d185bcbb550263dadfadb3419fffc97f4c44e070091e393e7296e5d6fb3c.jpg?v=1787245111"]</t>
  </si>
  <si>
    <t>qaimg_818a7f1a1cf31342</t>
  </si>
  <si>
    <t>https://cdn.shopify.com/s/files/1/0792/5098/1063/files/4905418785c478f3ccf76145151452929eacdfc883190607ac14b204c401e760.jpg?v=1787245111</t>
  </si>
  <si>
    <t>38895967469767</t>
  </si>
  <si>
    <t>47934735974599</t>
  </si>
  <si>
    <t>Close view of two pillowcases with number 88 and a batter silhouette.</t>
  </si>
  <si>
    <t>Matching pillow sham or bedding detail using the same softball patchwork in teal, black and white with player silhouettes and text artwork.</t>
  </si>
  <si>
    <t>Matching pillow sham for Bright Teal Softball Comforter Set</t>
  </si>
  <si>
    <t>["seo_runs\\jeminise.com\\20260906_234129\\evidence\\images\\2_bright-teal-yellow-softball-comforter-set-premium-sports-theme\\image_03_47934735974599.jpg; seo_runs\\jeminise.com\\20260906_234129\\evidence\\contact_sheets\\2_bright-teal-yellow-softball-comforter-set-premium-sports-theme.jpg", "https://jeminise.com/products/bright-teal-yellow-softball-comforter-set-premium-sports-theme", "https://cdn.shopify.com/s/files/1/0792/5098/1063/files/4905418785c478f3ccf76145151452929eacdfc883190607ac14b204c401e760.jpg?v=1787245111"]</t>
  </si>
  <si>
    <t>qaimg_e39a0722bea43dc5</t>
  </si>
  <si>
    <t>https://cdn.shopify.com/s/files/1/0792/5098/1063/files/66e753b90ce33322bda9902192b0d181e5f65b4823b1464fb51d32bee82398ed.jpg?v=1787245111</t>
  </si>
  <si>
    <t>38895967502535</t>
  </si>
  <si>
    <t>47934736007367</t>
  </si>
  <si>
    <t>Folded comforter showing the printed face and plain white reverse.</t>
  </si>
  <si>
    <t>Room/folded product or fabric information image tied to the softball patchwork in teal, black and white with player silhouettes and text design.</t>
  </si>
  <si>
    <t>Bright Teal Softball Comforter Set shown in a bedroom setting</t>
  </si>
  <si>
    <t>["ISS-002-IMG-04"]</t>
  </si>
  <si>
    <t>["seo_runs\\jeminise.com\\20260906_234129\\evidence\\images\\2_bright-teal-yellow-softball-comforter-set-premium-sports-theme\\image_04_47934736007367.jpg; seo_runs\\jeminise.com\\20260906_234129\\evidence\\contact_sheets\\2_bright-teal-yellow-softball-comforter-set-premium-sports-theme.jpg", "https://jeminise.com/products/bright-teal-yellow-softball-comforter-set-premium-sports-theme", "https://cdn.shopify.com/s/files/1/0792/5098/1063/files/66e753b90ce33322bda9902192b0d181e5f65b4823b1464fb51d32bee82398ed.jpg?v=1787245111"]</t>
  </si>
  <si>
    <t>qaimg_d6033fe2a892182c</t>
  </si>
  <si>
    <t>https://cdn.shopify.com/s/files/1/0792/5098/1063/files/a8d8145d1b6e7b4bbc3eb1dc71a100a3f3243648810f40f7f678de166dbfd428.jpg?v=1787245111</t>
  </si>
  <si>
    <t>38895967535303</t>
  </si>
  <si>
    <t>47934736040135</t>
  </si>
  <si>
    <t>Close-up comparing the plain reverse with the printed face; no size chart is present.</t>
  </si>
  <si>
    <t>Size guide for Bright Teal Softball Comforter Set</t>
  </si>
  <si>
    <t>["ISS-002-IMG-05"]</t>
  </si>
  <si>
    <t>["seo_runs\\jeminise.com\\20260906_234129\\evidence\\images\\2_bright-teal-yellow-softball-comforter-set-premium-sports-theme\\image_05_47934736040135.jpg; seo_runs\\jeminise.com\\20260906_234129\\evidence\\contact_sheets\\2_bright-teal-yellow-softball-comforter-set-premium-sports-theme.jpg", "https://jeminise.com/products/bright-teal-yellow-softball-comforter-set-premium-sports-theme", "https://cdn.shopify.com/s/files/1/0792/5098/1063/files/a8d8145d1b6e7b4bbc3eb1dc71a100a3f3243648810f40f7f678de166dbfd428.jpg?v=1787245111"]</t>
  </si>
  <si>
    <t>qaimg_fef8ad032f828b5c</t>
  </si>
  <si>
    <t>https://cdn.shopify.com/s/files/1/0792/5098/1063/files/b5c74b68d1b4eff2209b7123e3fbe61d1e31afd73aa5ba647e17c194e2e66c44_6ab5c586-a618-40f4-b48e-38e09e6a461b.jpg?v=1787245111</t>
  </si>
  <si>
    <t>38895967568071</t>
  </si>
  <si>
    <t>47934736072903</t>
  </si>
  <si>
    <t>Feature graphic stating machine washable, soft microfiber filling, lightweight and breathable.</t>
  </si>
  <si>
    <t>Feature image describing fabric layers, softness, breathability or care details.</t>
  </si>
  <si>
    <t>Fabric feature graphic for Bright Teal Softball Comforter Set</t>
  </si>
  <si>
    <t>["seo_runs\\jeminise.com\\20260906_234129\\evidence\\images\\2_bright-teal-yellow-softball-comforter-set-premium-sports-theme\\image_06_47934736072903.jpg; seo_runs\\jeminise.com\\20260906_234129\\evidence\\contact_sheets\\2_bright-teal-yellow-softball-comforter-set-premium-sports-theme.jpg", "https://jeminise.com/products/bright-teal-yellow-softball-comforter-set-premium-sports-theme", "https://cdn.shopify.com/s/files/1/0792/5098/1063/files/b5c74b68d1b4eff2209b7123e3fbe61d1e31afd73aa5ba647e17c194e2e66c44_6ab5c586-a618-40f4-b48e-38e09e6a461b.jpg?v=1787245111"]</t>
  </si>
  <si>
    <t>qaimg_f68e96fb788aa5d7</t>
  </si>
  <si>
    <t>https://cdn.shopify.com/s/files/1/0792/5098/1063/files/a0ebf0c8e5cb1f2c8f924529805ea1d20494460dd41a740514b8862f5d5a2f4f_b03a920f-a52a-4b39-842e-77c13ca56137.jpg?v=1787245111</t>
  </si>
  <si>
    <t>38895967600839</t>
  </si>
  <si>
    <t>47934736105671</t>
  </si>
  <si>
    <t>Included-components graphic stating one comforter and two pillowcases included.</t>
  </si>
  <si>
    <t>Additional bedroom mockup showing the softball patchwork in teal, black and white with player silhouettes and text design on a bed.</t>
  </si>
  <si>
    <t>Bedroom mockup of Bright Teal Softball Comforter Set</t>
  </si>
  <si>
    <t>["ISS-002-IMG-07"]</t>
  </si>
  <si>
    <t>["seo_runs\\jeminise.com\\20260906_234129\\evidence\\images\\2_bright-teal-yellow-softball-comforter-set-premium-sports-theme\\image_07_47934736105671.jpg; seo_runs\\jeminise.com\\20260906_234129\\evidence\\contact_sheets\\2_bright-teal-yellow-softball-comforter-set-premium-sports-theme.jpg", "https://jeminise.com/products/bright-teal-yellow-softball-comforter-set-premium-sports-theme", "https://cdn.shopify.com/s/files/1/0792/5098/1063/files/a0ebf0c8e5cb1f2c8f924529805ea1d20494460dd41a740514b8862f5d5a2f4f_b03a920f-a52a-4b39-842e-77c13ca56137.jpg?v=1787245111"]</t>
  </si>
  <si>
    <t>qaimg_d074ca80051530d5</t>
  </si>
  <si>
    <t>https://cdn.shopify.com/s/files/1/0792/5098/1063/files/3a652bff5b2cdcf1fb571a14f08c2175d783a6106bb14665fb5861e23501a1fa.jpg?v=1785099109</t>
  </si>
  <si>
    <t>38506565566663</t>
  </si>
  <si>
    <t>47540004094151</t>
  </si>
  <si>
    <t>Bed mockup with red cardinals, a decorated snowy Christmas tree, ornaments and I Am Always with You text.</t>
  </si>
  <si>
    <t>Main bed mockup showing red cardinals beside a decorated Christmas tree with memorial text.</t>
  </si>
  <si>
    <t>Cardinals Perched Beside Decorated Christmas Tree Patchwork Winter Quilt</t>
  </si>
  <si>
    <t>Cardinal Christmas Memorial Patchwork Quilt displayed on a bed</t>
  </si>
  <si>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 "https://jeminise.com/products/cardinals-perched-beside-decorated-christmas-tree-patchwork-winter-quilt-7cd7bc46a0-7cd7bc46a0", "https://cdn.shopify.com/s/files/1/0792/5098/1063/files/3a652bff5b2cdcf1fb571a14f08c2175d783a6106bb14665fb5861e23501a1fa.jpg?v=1785099109"]</t>
  </si>
  <si>
    <t>qaimg_84ef68ebb3b01805</t>
  </si>
  <si>
    <t>https://cdn.shopify.com/s/files/1/0792/5098/1063/files/23aae70766fcc57c63f2a120721dae1baf196f15ef46a71bef7a702d11c656ca.jpg?v=1785099109</t>
  </si>
  <si>
    <t>38506565599431</t>
  </si>
  <si>
    <t>47540004126919</t>
  </si>
  <si>
    <t>Close-up of the Christmas cardinal print and quilted stitching.</t>
  </si>
  <si>
    <t>Secondary detail or room mockup showing red cardinals beside a decorated Christmas tree with memorial text and visible quilted/printed texture.</t>
  </si>
  <si>
    <t>Close view of red cardinals beside a decorated Christmas tree with memorial text on the quilt set</t>
  </si>
  <si>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 "https://jeminise.com/products/cardinals-perched-beside-decorated-christmas-tree-patchwork-winter-quilt-7cd7bc46a0-7cd7bc46a0", "https://cdn.shopify.com/s/files/1/0792/5098/1063/files/23aae70766fcc57c63f2a120721dae1baf196f15ef46a71bef7a702d11c656ca.jpg?v=1785099109"]</t>
  </si>
  <si>
    <t>qaimg_70729ec5a2b04039</t>
  </si>
  <si>
    <t>https://cdn.shopify.com/s/files/1/0792/5098/1063/files/3357b4715872fc6507e88263f9aa17ed3b1495f7db35293b4d27a2a5b80d78cc.jpg?v=1785099109</t>
  </si>
  <si>
    <t>38506565632199</t>
  </si>
  <si>
    <t>47540004159687</t>
  </si>
  <si>
    <t>Pillow sham using the Christmas cardinal artwork.</t>
  </si>
  <si>
    <t>Matching pillow sham or bedding detail using the same red cardinals beside a decorated Christmas tree with memorial text artwork.</t>
  </si>
  <si>
    <t>Matching pillow sham for Cardinal Christmas Memorial Patchwork Quilt</t>
  </si>
  <si>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 "https://jeminise.com/products/cardinals-perched-beside-decorated-christmas-tree-patchwork-winter-quilt-7cd7bc46a0-7cd7bc46a0", "https://cdn.shopify.com/s/files/1/0792/5098/1063/files/3357b4715872fc6507e88263f9aa17ed3b1495f7db35293b4d27a2a5b80d78cc.jpg?v=1785099109"]</t>
  </si>
  <si>
    <t>qaimg_69dd8be14caf7f96</t>
  </si>
  <si>
    <t>https://cdn.shopify.com/s/files/1/0792/5098/1063/files/04eb35beff0bef995d4912767e2bdec2b80be1f53292fdd9777645dd9375b5aa.jpg?v=1785099109</t>
  </si>
  <si>
    <t>38506565664967</t>
  </si>
  <si>
    <t>47540004192455</t>
  </si>
  <si>
    <t>Alternate bedroom angle showing the Christmas cardinal quilt.</t>
  </si>
  <si>
    <t>Room/folded product or fabric information image tied to the red cardinals beside a decorated Christmas tree with memorial text design.</t>
  </si>
  <si>
    <t>Cardinal Christmas Memorial Patchwork Quilt shown in a bedroom setting</t>
  </si>
  <si>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 "https://jeminise.com/products/cardinals-perched-beside-decorated-christmas-tree-patchwork-winter-quilt-7cd7bc46a0-7cd7bc46a0", "https://cdn.shopify.com/s/files/1/0792/5098/1063/files/04eb35beff0bef995d4912767e2bdec2b80be1f53292fdd9777645dd9375b5aa.jpg?v=1785099109"]</t>
  </si>
  <si>
    <t>qaimg_5ee8cd8c5a75c19e</t>
  </si>
  <si>
    <t>https://cdn.shopify.com/s/files/1/0792/5098/1063/files/61192968c1230d5ae97babcfd885b0b0e273f4d893aaaf63a91706f8a569a358.jpg?v=1785099109</t>
  </si>
  <si>
    <t>38506565697735</t>
  </si>
  <si>
    <t>47540004225223</t>
  </si>
  <si>
    <t>Included-components and dimensions graphic for the quilt and optional shams.</t>
  </si>
  <si>
    <t>Size guide for Cardinal Christmas Memorial Patchwork Quilt</t>
  </si>
  <si>
    <t>["ISS-003-IMG-05"]</t>
  </si>
  <si>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 "https://jeminise.com/products/cardinals-perched-beside-decorated-christmas-tree-patchwork-winter-quilt-7cd7bc46a0-7cd7bc46a0", "https://cdn.shopify.com/s/files/1/0792/5098/1063/files/61192968c1230d5ae97babcfd885b0b0e273f4d893aaaf63a91706f8a569a358.jpg?v=1785099109"]</t>
  </si>
  <si>
    <t>qaimg_ee51e6c474a57ba1</t>
  </si>
  <si>
    <t>https://cdn.shopify.com/s/files/1/0792/5098/1063/files/e3dd349b4f8425ce46aea21296a0670e616f15f912e8415586fd0ccdb402fadf.jpg?v=1785099574</t>
  </si>
  <si>
    <t>38506618847431</t>
  </si>
  <si>
    <t>47540058390727</t>
  </si>
  <si>
    <t>Bed mockup with a red male cardinal, tan female cardinal, red roses and I Am Always with You text.</t>
  </si>
  <si>
    <t>Main bed mockup showing male and female cardinal pair on a branch with red roses and memorial text.</t>
  </si>
  <si>
    <t>Cardinals Perched on Branch with Roses Patchwork Winter Quilt</t>
  </si>
  <si>
    <t>Cardinal and Roses Memorial Quilt Set displayed on a bed</t>
  </si>
  <si>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 "https://jeminise.com/products/cardinals-perched-on-branch-with-roses-patchwork-winter-quilt-21ac904cd7-21ac904cd7", "https://cdn.shopify.com/s/files/1/0792/5098/1063/files/e3dd349b4f8425ce46aea21296a0670e616f15f912e8415586fd0ccdb402fadf.jpg?v=1785099574"]</t>
  </si>
  <si>
    <t>qaimg_c95b0e3c51c94796</t>
  </si>
  <si>
    <t>https://cdn.shopify.com/s/files/1/0792/5098/1063/files/5df2ae7ecc00cd0ab65d149177b7575a1608763d1d943fb3e9c2f1d9d8ad8183.jpg?v=1785099574</t>
  </si>
  <si>
    <t>38506618880199</t>
  </si>
  <si>
    <t>47540058423495</t>
  </si>
  <si>
    <t>Close-up of the cardinal-and-roses print and quilted stitching.</t>
  </si>
  <si>
    <t>Secondary detail or room mockup showing male and female cardinal pair on a branch with red roses and memorial text and visible quilted/printed texture.</t>
  </si>
  <si>
    <t>Close view of male and female cardinal pair on a branch with red roses and memorial text on the quilt set</t>
  </si>
  <si>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 "https://jeminise.com/products/cardinals-perched-on-branch-with-roses-patchwork-winter-quilt-21ac904cd7-21ac904cd7", "https://cdn.shopify.com/s/files/1/0792/5098/1063/files/5df2ae7ecc00cd0ab65d149177b7575a1608763d1d943fb3e9c2f1d9d8ad8183.jpg?v=1785099574"]</t>
  </si>
  <si>
    <t>qaimg_39dddcc1006bd994</t>
  </si>
  <si>
    <t>https://cdn.shopify.com/s/files/1/0792/5098/1063/files/237f2056af02c2988db426ce4802f4abd6dac07ceb24c04b20a244c9be27b457.jpg?v=1785099574</t>
  </si>
  <si>
    <t>38506618912967</t>
  </si>
  <si>
    <t>47540058456263</t>
  </si>
  <si>
    <t>Pillow sham using the cardinal-and-roses artwork.</t>
  </si>
  <si>
    <t>Matching pillow sham or bedding detail using the same male and female cardinal pair on a branch with red roses and memorial text artwork.</t>
  </si>
  <si>
    <t>Matching pillow sham for Cardinal and Roses Memorial Quilt Set</t>
  </si>
  <si>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 "https://jeminise.com/products/cardinals-perched-on-branch-with-roses-patchwork-winter-quilt-21ac904cd7-21ac904cd7", "https://cdn.shopify.com/s/files/1/0792/5098/1063/files/237f2056af02c2988db426ce4802f4abd6dac07ceb24c04b20a244c9be27b457.jpg?v=1785099574"]</t>
  </si>
  <si>
    <t>qaimg_f5020eb5719b5e5a</t>
  </si>
  <si>
    <t>https://cdn.shopify.com/s/files/1/0792/5098/1063/files/f1d2e21fbc5647f823f22c48940e5deec0311ead7e9b772c492ecf82b2b3ff3b.jpg?v=1785099574</t>
  </si>
  <si>
    <t>38506618945735</t>
  </si>
  <si>
    <t>47540058489031</t>
  </si>
  <si>
    <t>Alternate bedroom angle showing the cardinal-and-roses quilt.</t>
  </si>
  <si>
    <t>Room/folded product or fabric information image tied to the male and female cardinal pair on a branch with red roses and memorial text design.</t>
  </si>
  <si>
    <t>Cardinal and Roses Memorial Quilt Set shown in a bedroom setting</t>
  </si>
  <si>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 "https://jeminise.com/products/cardinals-perched-on-branch-with-roses-patchwork-winter-quilt-21ac904cd7-21ac904cd7", "https://cdn.shopify.com/s/files/1/0792/5098/1063/files/f1d2e21fbc5647f823f22c48940e5deec0311ead7e9b772c492ecf82b2b3ff3b.jpg?v=1785099574"]</t>
  </si>
  <si>
    <t>qaimg_71cd069a035cbcd3</t>
  </si>
  <si>
    <t>https://cdn.shopify.com/s/files/1/0792/5098/1063/files/1cb933b580b777ff9fc7d527ca0ea879bde39d1f8b7faaac1505885401cf4b7b.jpg?v=1785099574</t>
  </si>
  <si>
    <t>38506618978503</t>
  </si>
  <si>
    <t>47540058521799</t>
  </si>
  <si>
    <t>Size guide for Cardinal and Roses Memorial Quilt Set</t>
  </si>
  <si>
    <t>["ISS-004-IMG-05"]</t>
  </si>
  <si>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 "https://jeminise.com/products/cardinals-perched-on-branch-with-roses-patchwork-winter-quilt-21ac904cd7-21ac904cd7", "https://cdn.shopify.com/s/files/1/0792/5098/1063/files/1cb933b580b777ff9fc7d527ca0ea879bde39d1f8b7faaac1505885401cf4b7b.jpg?v=1785099574"]</t>
  </si>
  <si>
    <t>qaimg_0900bd26aa91fc70</t>
  </si>
  <si>
    <t>https://cdn.shopify.com/s/files/1/0792/5098/1063/files/4cb58385aa64c7ba3ce5dabd48014490cd060d90ab8ef7be5d1681dbc0c68a37.jpg?v=1787233666</t>
  </si>
  <si>
    <t>38894702166215</t>
  </si>
  <si>
    <t>47933460349127</t>
  </si>
  <si>
    <t>Front bed mockup with a large colorful patchwork cat face.</t>
  </si>
  <si>
    <t>Main bed mockup showing large colorful cat face in patchwork blocks.</t>
  </si>
  <si>
    <t>Cat Patchwork Quilt Set, Animal Pattern Bedding, Cat Pattern Quilt Set Patchwork Style, Colorful Quilts Bedspread Twin Size, Throw Full Queen King Quilt Blanket</t>
  </si>
  <si>
    <t>Colorful Cat Patchwork Quilt Set displayed on a bed</t>
  </si>
  <si>
    <t>["seo_runs\\jeminise.com\\20260906_234129\\evidence\\images\\5_cat-patchwork-quilt-set-animal-pattern-bedding-cat-pattern-quilt-set\\image_01_47933460349127.jpg; seo_runs\\jeminise.com\\20260906_234129\\evidence\\contact_sheets\\5_cat-patchwork-quilt-set-animal-pattern-bedding-cat-pattern-quilt-set.jpg", "https://jeminise.com/products/cat-patchwork-quilt-set-animal-pattern-bedding-cat-pattern-quilt-set", "https://cdn.shopify.com/s/files/1/0792/5098/1063/files/4cb58385aa64c7ba3ce5dabd48014490cd060d90ab8ef7be5d1681dbc0c68a37.jpg?v=1787233666"]</t>
  </si>
  <si>
    <t>qaimg_9c314e0a1d7d0ddc</t>
  </si>
  <si>
    <t>https://cdn.shopify.com/s/files/1/0792/5098/1063/files/94180d9f213d8233e384ef8416ec958afd6fe38eeda43d032fd598d852a3a274.jpg?v=1787233665</t>
  </si>
  <si>
    <t>38894702198983</t>
  </si>
  <si>
    <t>47933460381895</t>
  </si>
  <si>
    <t>Bedroom/feature graphic with premium print, no fading and skin-friendly callouts.</t>
  </si>
  <si>
    <t>Secondary detail or room mockup showing large colorful cat face in patchwork blocks and visible quilted/printed texture.</t>
  </si>
  <si>
    <t>Close view of large colorful cat face in patchwork blocks on the quilt set</t>
  </si>
  <si>
    <t>["ISS-005-IMG-02"]</t>
  </si>
  <si>
    <t>["seo_runs\\jeminise.com\\20260906_234129\\evidence\\images\\5_cat-patchwork-quilt-set-animal-pattern-bedding-cat-pattern-quilt-set\\image_02_47933460381895.jpg; seo_runs\\jeminise.com\\20260906_234129\\evidence\\contact_sheets\\5_cat-patchwork-quilt-set-animal-pattern-bedding-cat-pattern-quilt-set.jpg", "https://jeminise.com/products/cat-patchwork-quilt-set-animal-pattern-bedding-cat-pattern-quilt-set", "https://cdn.shopify.com/s/files/1/0792/5098/1063/files/94180d9f213d8233e384ef8416ec958afd6fe38eeda43d032fd598d852a3a274.jpg?v=1787233665"]</t>
  </si>
  <si>
    <t>qaimg_8ee331aeea047210</t>
  </si>
  <si>
    <t>https://cdn.shopify.com/s/files/1/0792/5098/1063/files/a98e42be7f34a03d4b9ee94c19374ef39f213c4ad9c5936eb702be120e072cb3.jpg?v=1787233666</t>
  </si>
  <si>
    <t>38894702231751</t>
  </si>
  <si>
    <t>47933460414663</t>
  </si>
  <si>
    <t>Pillow shams plus lightweight, soft, anti-pill and anti-static feature callouts.</t>
  </si>
  <si>
    <t>Matching pillow sham or bedding detail using the same large colorful cat face in patchwork blocks artwork.</t>
  </si>
  <si>
    <t>Matching pillow sham for Colorful Cat Patchwork Quilt Set</t>
  </si>
  <si>
    <t>["ISS-005-IMG-03"]</t>
  </si>
  <si>
    <t>["seo_runs\\jeminise.com\\20260906_234129\\evidence\\images\\5_cat-patchwork-quilt-set-animal-pattern-bedding-cat-pattern-quilt-set\\image_03_47933460414663.jpg; seo_runs\\jeminise.com\\20260906_234129\\evidence\\contact_sheets\\5_cat-patchwork-quilt-set-animal-pattern-bedding-cat-pattern-quilt-set.jpg", "https://jeminise.com/products/cat-patchwork-quilt-set-animal-pattern-bedding-cat-pattern-quilt-set", "https://cdn.shopify.com/s/files/1/0792/5098/1063/files/a98e42be7f34a03d4b9ee94c19374ef39f213c4ad9c5936eb702be120e072cb3.jpg?v=1787233666"]</t>
  </si>
  <si>
    <t>qaimg_e489694ea785f60c</t>
  </si>
  <si>
    <t>https://cdn.shopify.com/s/files/1/0792/5098/1063/files/06467b270df2093a70f746e873ebb0b88964a81ef45800624c02604fd1ec068a.jpg?v=1787233666</t>
  </si>
  <si>
    <t>38894702264519</t>
  </si>
  <si>
    <t>47933460447431</t>
  </si>
  <si>
    <t>All-season and fabric-quality feature graphic with a small bed mockup.</t>
  </si>
  <si>
    <t>Room/folded product or fabric information image tied to the large colorful cat face in patchwork blocks design.</t>
  </si>
  <si>
    <t>Colorful Cat Patchwork Quilt Set shown in a bedroom setting</t>
  </si>
  <si>
    <t>["ISS-005-IMG-04"]</t>
  </si>
  <si>
    <t>["seo_runs\\jeminise.com\\20260906_234129\\evidence\\images\\5_cat-patchwork-quilt-set-animal-pattern-bedding-cat-pattern-quilt-set\\image_04_47933460447431.jpg; seo_runs\\jeminise.com\\20260906_234129\\evidence\\contact_sheets\\5_cat-patchwork-quilt-set-animal-pattern-bedding-cat-pattern-quilt-set.jpg", "https://jeminise.com/products/cat-patchwork-quilt-set-animal-pattern-bedding-cat-pattern-quilt-set", "https://cdn.shopify.com/s/files/1/0792/5098/1063/files/06467b270df2093a70f746e873ebb0b88964a81ef45800624c02604fd1ec068a.jpg?v=1787233666"]</t>
  </si>
  <si>
    <t>qaimg_6722a038b55780ad</t>
  </si>
  <si>
    <t>https://cdn.shopify.com/s/files/1/0792/5098/1063/files/1869de0465a480871b4b80a13c5f44c85e64ca5f22f90032fa07b5ca5660dbfb.jpg?v=1787233666</t>
  </si>
  <si>
    <t>38894702297287</t>
  </si>
  <si>
    <t>47933460480199</t>
  </si>
  <si>
    <t>Quilt size chart.</t>
  </si>
  <si>
    <t>Size guide for Colorful Cat Patchwork Quilt Set</t>
  </si>
  <si>
    <t>["seo_runs\\jeminise.com\\20260906_234129\\evidence\\images\\5_cat-patchwork-quilt-set-animal-pattern-bedding-cat-pattern-quilt-set\\image_05_47933460480199.jpg; seo_runs\\jeminise.com\\20260906_234129\\evidence\\contact_sheets\\5_cat-patchwork-quilt-set-animal-pattern-bedding-cat-pattern-quilt-set.jpg", "https://jeminise.com/products/cat-patchwork-quilt-set-animal-pattern-bedding-cat-pattern-quilt-set", "https://cdn.shopify.com/s/files/1/0792/5098/1063/files/1869de0465a480871b4b80a13c5f44c85e64ca5f22f90032fa07b5ca5660dbfb.jpg?v=1787233666"]</t>
  </si>
  <si>
    <t>qaimg_1c3c5b263938ef5b</t>
  </si>
  <si>
    <t>https://cdn.shopify.com/s/files/1/0792/5098/1063/files/bac284f19ea6eaebff7bffc00fe351531fdc59f4eed7da6ff7803f1bb87999b1.jpg?v=1787233665</t>
  </si>
  <si>
    <t>38894702330055</t>
  </si>
  <si>
    <t>47933460512967</t>
  </si>
  <si>
    <t>Bedspread construction-layer and fabric-feature graphic.</t>
  </si>
  <si>
    <t>Fabric feature graphic for Colorful Cat Patchwork Quilt Set</t>
  </si>
  <si>
    <t>["seo_runs\\jeminise.com\\20260906_234129\\evidence\\images\\5_cat-patchwork-quilt-set-animal-pattern-bedding-cat-pattern-quilt-set\\image_06_47933460512967.jpg; seo_runs\\jeminise.com\\20260906_234129\\evidence\\contact_sheets\\5_cat-patchwork-quilt-set-animal-pattern-bedding-cat-pattern-quilt-set.jpg", "https://jeminise.com/products/cat-patchwork-quilt-set-animal-pattern-bedding-cat-pattern-quilt-set", "https://cdn.shopify.com/s/files/1/0792/5098/1063/files/bac284f19ea6eaebff7bffc00fe351531fdc59f4eed7da6ff7803f1bb87999b1.jpg?v=1787233665"]</t>
  </si>
  <si>
    <t>qaimg_983bf2587d60a7f8</t>
  </si>
  <si>
    <t>https://cdn.shopify.com/s/files/1/0792/5098/1063/files/08d3fe0c396e254e929909cf54b1707f62fb396b6d05c2ab0c56c631789ab04d.jpg?v=1787233665</t>
  </si>
  <si>
    <t>38894702362823</t>
  </si>
  <si>
    <t>47933460545735</t>
  </si>
  <si>
    <t>Overhead bedroom mockup of the colorful cat quilt.</t>
  </si>
  <si>
    <t>Additional bedroom mockup showing the large colorful cat face in patchwork blocks design on a bed.</t>
  </si>
  <si>
    <t>Bedroom mockup of Colorful Cat Patchwork Quilt Set</t>
  </si>
  <si>
    <t>["seo_runs\\jeminise.com\\20260906_234129\\evidence\\images\\5_cat-patchwork-quilt-set-animal-pattern-bedding-cat-pattern-quilt-set\\image_07_47933460545735.jpg; seo_runs\\jeminise.com\\20260906_234129\\evidence\\contact_sheets\\5_cat-patchwork-quilt-set-animal-pattern-bedding-cat-pattern-quilt-set.jpg", "https://jeminise.com/products/cat-patchwork-quilt-set-animal-pattern-bedding-cat-pattern-quilt-set", "https://cdn.shopify.com/s/files/1/0792/5098/1063/files/08d3fe0c396e254e929909cf54b1707f62fb396b6d05c2ab0c56c631789ab04d.jpg?v=1787233665"]</t>
  </si>
  <si>
    <t>qaimg_5a5f2cb07e2d367d</t>
  </si>
  <si>
    <t>https://cdn.shopify.com/s/files/1/0792/5098/1063/files/168d48c33af74fd729615aa6c0790691ec2ec8ab000886bd93c0851b05764cb5.jpg?v=1787233678</t>
  </si>
  <si>
    <t>38894703575239</t>
  </si>
  <si>
    <t>47933461725383</t>
  </si>
  <si>
    <t>Front bed mockup with a seated geometric calico cat on a beige leaf background.</t>
  </si>
  <si>
    <t>Main bed mockup showing sitting cat in geometric patchwork colors on beige leaf background.</t>
  </si>
  <si>
    <t>Cat Quilt Set - Cat Patchwork Style Printed Bedding, Animal Patchwork Bedset, Farmhouse Blanket with Pillowcases, Premium Quilt Pattern Bedding Set, Twin Full Queen Size</t>
  </si>
  <si>
    <t>Geometric Cat Patchwork Quilt Set displayed on a bed</t>
  </si>
  <si>
    <t>["seo_runs\\jeminise.com\\20260906_234129\\evidence\\images\\6_cat-quilt-set-cat-patchwork-style-printed-bedding-animal-patchwork\\image_01_47933461725383.jpg; seo_runs\\jeminise.com\\20260906_234129\\evidence\\contact_sheets\\6_cat-quilt-set-cat-patchwork-style-printed-bedding-animal-patchwork.jpg", "https://jeminise.com/products/cat-quilt-set-cat-patchwork-style-printed-bedding-animal-patchwork", "https://cdn.shopify.com/s/files/1/0792/5098/1063/files/168d48c33af74fd729615aa6c0790691ec2ec8ab000886bd93c0851b05764cb5.jpg?v=1787233678"]</t>
  </si>
  <si>
    <t>qaimg_58238be182b433d2</t>
  </si>
  <si>
    <t>https://cdn.shopify.com/s/files/1/0792/5098/1063/files/5fb11ab02ba6d7c7d6dc7b600952eeed36e59dc4fd7d78e26290c5b4432ce84a.jpg?v=1787233677</t>
  </si>
  <si>
    <t>38894703608007</t>
  </si>
  <si>
    <t>47933461758151</t>
  </si>
  <si>
    <t>Secondary detail or room mockup showing sitting cat in geometric patchwork colors on beige leaf background and visible quilted/printed texture.</t>
  </si>
  <si>
    <t>Close view of sitting cat in geometric patchwork colors on beige leaf background on the quilt set</t>
  </si>
  <si>
    <t>["ISS-006-IMG-02"]</t>
  </si>
  <si>
    <t>["seo_runs\\jeminise.com\\20260906_234129\\evidence\\images\\6_cat-quilt-set-cat-patchwork-style-printed-bedding-animal-patchwork\\image_02_47933461758151.jpg; seo_runs\\jeminise.com\\20260906_234129\\evidence\\contact_sheets\\6_cat-quilt-set-cat-patchwork-style-printed-bedding-animal-patchwork.jpg", "https://jeminise.com/products/cat-quilt-set-cat-patchwork-style-printed-bedding-animal-patchwork", "https://cdn.shopify.com/s/files/1/0792/5098/1063/files/5fb11ab02ba6d7c7d6dc7b600952eeed36e59dc4fd7d78e26290c5b4432ce84a.jpg?v=1787233677"]</t>
  </si>
  <si>
    <t>qaimg_38a990d7377750d0</t>
  </si>
  <si>
    <t>https://cdn.shopify.com/s/files/1/0792/5098/1063/files/016cba1137ec3b2b7bdd46e0d797a4962a5f54c2379fde509b2301ca87b4ad35.jpg?v=1787233678</t>
  </si>
  <si>
    <t>38894703640775</t>
  </si>
  <si>
    <t>47933461790919</t>
  </si>
  <si>
    <t>Matching pillow sham or bedding detail using the same sitting cat in geometric patchwork colors on beige leaf background artwork.</t>
  </si>
  <si>
    <t>Matching pillow sham for Geometric Cat Patchwork Quilt Set</t>
  </si>
  <si>
    <t>["ISS-006-IMG-03"]</t>
  </si>
  <si>
    <t>["seo_runs\\jeminise.com\\20260906_234129\\evidence\\images\\6_cat-quilt-set-cat-patchwork-style-printed-bedding-animal-patchwork\\image_03_47933461790919.jpg; seo_runs\\jeminise.com\\20260906_234129\\evidence\\contact_sheets\\6_cat-quilt-set-cat-patchwork-style-printed-bedding-animal-patchwork.jpg", "https://jeminise.com/products/cat-quilt-set-cat-patchwork-style-printed-bedding-animal-patchwork", "https://cdn.shopify.com/s/files/1/0792/5098/1063/files/016cba1137ec3b2b7bdd46e0d797a4962a5f54c2379fde509b2301ca87b4ad35.jpg?v=1787233678"]</t>
  </si>
  <si>
    <t>qaimg_ea46fac1ea4531f6</t>
  </si>
  <si>
    <t>https://cdn.shopify.com/s/files/1/0792/5098/1063/files/f8cc70311d22e4bc770b45756e723f2451f8d0e3a5de4035dc223375ea6ac88e.jpg?v=1787233678</t>
  </si>
  <si>
    <t>38894703673543</t>
  </si>
  <si>
    <t>47933461823687</t>
  </si>
  <si>
    <t>Room/folded product or fabric information image tied to the sitting cat in geometric patchwork colors on beige leaf background design.</t>
  </si>
  <si>
    <t>Geometric Cat Patchwork Quilt Set shown in a bedroom setting</t>
  </si>
  <si>
    <t>["ISS-006-IMG-04"]</t>
  </si>
  <si>
    <t>["seo_runs\\jeminise.com\\20260906_234129\\evidence\\images\\6_cat-quilt-set-cat-patchwork-style-printed-bedding-animal-patchwork\\image_04_47933461823687.jpg; seo_runs\\jeminise.com\\20260906_234129\\evidence\\contact_sheets\\6_cat-quilt-set-cat-patchwork-style-printed-bedding-animal-patchwork.jpg", "https://jeminise.com/products/cat-quilt-set-cat-patchwork-style-printed-bedding-animal-patchwork", "https://cdn.shopify.com/s/files/1/0792/5098/1063/files/f8cc70311d22e4bc770b45756e723f2451f8d0e3a5de4035dc223375ea6ac88e.jpg?v=1787233678"]</t>
  </si>
  <si>
    <t>qaimg_b2b44d883616dea8</t>
  </si>
  <si>
    <t>https://cdn.shopify.com/s/files/1/0792/5098/1063/files/0b98d63f67b9b39913382ed53f2a21445b22531d2b9fff267d884d37d466742f.jpg?v=1787233678</t>
  </si>
  <si>
    <t>38894703706311</t>
  </si>
  <si>
    <t>47933461856455</t>
  </si>
  <si>
    <t>Size guide for Geometric Cat Patchwork Quilt Set</t>
  </si>
  <si>
    <t>["seo_runs\\jeminise.com\\20260906_234129\\evidence\\images\\6_cat-quilt-set-cat-patchwork-style-printed-bedding-animal-patchwork\\image_05_47933461856455.jpg; seo_runs\\jeminise.com\\20260906_234129\\evidence\\contact_sheets\\6_cat-quilt-set-cat-patchwork-style-printed-bedding-animal-patchwork.jpg", "https://jeminise.com/products/cat-quilt-set-cat-patchwork-style-printed-bedding-animal-patchwork", "https://cdn.shopify.com/s/files/1/0792/5098/1063/files/0b98d63f67b9b39913382ed53f2a21445b22531d2b9fff267d884d37d466742f.jpg?v=1787233678"]</t>
  </si>
  <si>
    <t>qaimg_b1148a843758595a</t>
  </si>
  <si>
    <t>https://cdn.shopify.com/s/files/1/0792/5098/1063/files/5155a60b18436e391bed973022f7062d5434ddd6d570a51bc67a5fdb0c719df7.jpg?v=1787233678</t>
  </si>
  <si>
    <t>38894703739079</t>
  </si>
  <si>
    <t>47933461889223</t>
  </si>
  <si>
    <t>Fabric feature graphic for Geometric Cat Patchwork Quilt Set</t>
  </si>
  <si>
    <t>["seo_runs\\jeminise.com\\20260906_234129\\evidence\\images\\6_cat-quilt-set-cat-patchwork-style-printed-bedding-animal-patchwork\\image_06_47933461889223.jpg; seo_runs\\jeminise.com\\20260906_234129\\evidence\\contact_sheets\\6_cat-quilt-set-cat-patchwork-style-printed-bedding-animal-patchwork.jpg", "https://jeminise.com/products/cat-quilt-set-cat-patchwork-style-printed-bedding-animal-patchwork", "https://cdn.shopify.com/s/files/1/0792/5098/1063/files/5155a60b18436e391bed973022f7062d5434ddd6d570a51bc67a5fdb0c719df7.jpg?v=1787233678"]</t>
  </si>
  <si>
    <t>qaimg_0551983ac01ea8e3</t>
  </si>
  <si>
    <t>https://cdn.shopify.com/s/files/1/0792/5098/1063/files/0df0c698011b3a8e7982071042b9453452548b6175c2c4076cc8bb84ebb1a277.jpg?v=1787233678</t>
  </si>
  <si>
    <t>38894703771847</t>
  </si>
  <si>
    <t>47933461921991</t>
  </si>
  <si>
    <t>Overhead bedroom mockup of the geometric cat quilt.</t>
  </si>
  <si>
    <t>Additional bedroom mockup showing the sitting cat in geometric patchwork colors on beige leaf background design on a bed.</t>
  </si>
  <si>
    <t>Bedroom mockup of Geometric Cat Patchwork Quilt Set</t>
  </si>
  <si>
    <t>["seo_runs\\jeminise.com\\20260906_234129\\evidence\\images\\6_cat-quilt-set-cat-patchwork-style-printed-bedding-animal-patchwork\\image_07_47933461921991.jpg; seo_runs\\jeminise.com\\20260906_234129\\evidence\\contact_sheets\\6_cat-quilt-set-cat-patchwork-style-printed-bedding-animal-patchwork.jpg", "https://jeminise.com/products/cat-quilt-set-cat-patchwork-style-printed-bedding-animal-patchwork", "https://cdn.shopify.com/s/files/1/0792/5098/1063/files/0df0c698011b3a8e7982071042b9453452548b6175c2c4076cc8bb84ebb1a277.jpg?v=1787233678"]</t>
  </si>
  <si>
    <t>qaimg_6b99be0f184fc3c9</t>
  </si>
  <si>
    <t>https://cdn.shopify.com/s/files/1/0792/5098/1063/files/fa88df693fa60cabcd0f81ce06bcd29af56cdf7514f68810d99ef599203c821d.jpg?v=1785047367</t>
  </si>
  <si>
    <t>38498696233159</t>
  </si>
  <si>
    <t>47531997331655</t>
  </si>
  <si>
    <t>Front bed mockup with a twisting tree, exposed roots, teal night sky and Celtic knot border.</t>
  </si>
  <si>
    <t>Main bed mockup showing twisting tree trunk with exposed roots and Celtic knot border.</t>
  </si>
  <si>
    <t>Celtic and Fantasy Quilt Set with Twisting Tree Trunk And Exposed Roots</t>
  </si>
  <si>
    <t>Celtic Fantasy Tree Quilt Set displayed on a bed</t>
  </si>
  <si>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 "https://jeminise.com/products/celtic-and-fantasy-quilt-set-with-twisting-tree-trunk-and-exposed-roots-c7b1460bad-c7b1460bad", "https://cdn.shopify.com/s/files/1/0792/5098/1063/files/fa88df693fa60cabcd0f81ce06bcd29af56cdf7514f68810d99ef599203c821d.jpg?v=1785047367"]</t>
  </si>
  <si>
    <t>qaimg_ffc42bf7184918e6</t>
  </si>
  <si>
    <t>https://cdn.shopify.com/s/files/1/0792/5098/1063/files/77672c69bdca6fa3e34e5d859164a2661a0ec26b6ac10221a3df3171a6df2791.jpg?v=1785047367</t>
  </si>
  <si>
    <t>38498696265927</t>
  </si>
  <si>
    <t>47531997364423</t>
  </si>
  <si>
    <t>Secondary detail or room mockup showing twisting tree trunk with exposed roots and Celtic knot border and visible quilted/printed texture.</t>
  </si>
  <si>
    <t>Close view of twisting tree trunk with exposed roots and Celtic knot border on the quilt set</t>
  </si>
  <si>
    <t>["ISS-007-IMG-02"]</t>
  </si>
  <si>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 "https://jeminise.com/products/celtic-and-fantasy-quilt-set-with-twisting-tree-trunk-and-exposed-roots-c7b1460bad-c7b1460bad", "https://cdn.shopify.com/s/files/1/0792/5098/1063/files/77672c69bdca6fa3e34e5d859164a2661a0ec26b6ac10221a3df3171a6df2791.jpg?v=1785047367"]</t>
  </si>
  <si>
    <t>qaimg_99f7cdc5b247185b</t>
  </si>
  <si>
    <t>https://cdn.shopify.com/s/files/1/0792/5098/1063/files/ef4c0af4b6e931816fba2b315617ce40f57b62cc23bc9476fc29bcd9f7fea3ed.jpg?v=1785047367</t>
  </si>
  <si>
    <t>38498696298695</t>
  </si>
  <si>
    <t>47531997397191</t>
  </si>
  <si>
    <t>Matching pillow sham or bedding detail using the same twisting tree trunk with exposed roots and Celtic knot border artwork.</t>
  </si>
  <si>
    <t>Matching pillow sham for Celtic Fantasy Tree Quilt Set</t>
  </si>
  <si>
    <t>["ISS-007-IMG-03"]</t>
  </si>
  <si>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 "https://jeminise.com/products/celtic-and-fantasy-quilt-set-with-twisting-tree-trunk-and-exposed-roots-c7b1460bad-c7b1460bad", "https://cdn.shopify.com/s/files/1/0792/5098/1063/files/ef4c0af4b6e931816fba2b315617ce40f57b62cc23bc9476fc29bcd9f7fea3ed.jpg?v=1785047367"]</t>
  </si>
  <si>
    <t>qaimg_0d3e7de6663733e5</t>
  </si>
  <si>
    <t>https://cdn.shopify.com/s/files/1/0792/5098/1063/files/a0029afc03d47a3a82238a1bab89f1066c3687b3f06500badea074cba44f9e80.jpg?v=1785047367</t>
  </si>
  <si>
    <t>38498696331463</t>
  </si>
  <si>
    <t>47531997429959</t>
  </si>
  <si>
    <t>Room/folded product or fabric information image tied to the twisting tree trunk with exposed roots and Celtic knot border design.</t>
  </si>
  <si>
    <t>Celtic Fantasy Tree Quilt Set shown in a bedroom setting</t>
  </si>
  <si>
    <t>["ISS-007-IMG-04"]</t>
  </si>
  <si>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 "https://jeminise.com/products/celtic-and-fantasy-quilt-set-with-twisting-tree-trunk-and-exposed-roots-c7b1460bad-c7b1460bad", "https://cdn.shopify.com/s/files/1/0792/5098/1063/files/a0029afc03d47a3a82238a1bab89f1066c3687b3f06500badea074cba44f9e80.jpg?v=1785047367"]</t>
  </si>
  <si>
    <t>qaimg_818f0207514cb1d1</t>
  </si>
  <si>
    <t>https://cdn.shopify.com/s/files/1/0792/5098/1063/files/ce768ad21d8034d259875beb1f86914d1af6b1b5f584dd33080fe12b5797fde7.jpg?v=1785047367</t>
  </si>
  <si>
    <t>38498696364231</t>
  </si>
  <si>
    <t>47531997462727</t>
  </si>
  <si>
    <t>Size guide for Celtic Fantasy Tree Quilt Set</t>
  </si>
  <si>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 "https://jeminise.com/products/celtic-and-fantasy-quilt-set-with-twisting-tree-trunk-and-exposed-roots-c7b1460bad-c7b1460bad", "https://cdn.shopify.com/s/files/1/0792/5098/1063/files/ce768ad21d8034d259875beb1f86914d1af6b1b5f584dd33080fe12b5797fde7.jpg?v=1785047367"]</t>
  </si>
  <si>
    <t>qaimg_8b91368a5a5d58f6</t>
  </si>
  <si>
    <t>https://cdn.shopify.com/s/files/1/0792/5098/1063/files/211a7f518d47f7ccc7aea2fcf7dd6eccdae71860c4b90e78d4de70ce53d36eb9.jpg?v=1785047367</t>
  </si>
  <si>
    <t>38498696396999</t>
  </si>
  <si>
    <t>47531997495495</t>
  </si>
  <si>
    <t>Fabric feature graphic for Celtic Fantasy Tree Quilt Set</t>
  </si>
  <si>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 "https://jeminise.com/products/celtic-and-fantasy-quilt-set-with-twisting-tree-trunk-and-exposed-roots-c7b1460bad-c7b1460bad", "https://cdn.shopify.com/s/files/1/0792/5098/1063/files/211a7f518d47f7ccc7aea2fcf7dd6eccdae71860c4b90e78d4de70ce53d36eb9.jpg?v=1785047367"]</t>
  </si>
  <si>
    <t>qaimg_e1eafb43df382a3c</t>
  </si>
  <si>
    <t>https://cdn.shopify.com/s/files/1/0792/5098/1063/files/285b33441b58fd0660e7d9fbad77f1aeb4d88a3e3678d0ef0a1341e0d0cab3fa.jpg?v=1785047367</t>
  </si>
  <si>
    <t>38498696429767</t>
  </si>
  <si>
    <t>47531997528263</t>
  </si>
  <si>
    <t>Overhead bedroom mockup of the Celtic fantasy tree quilt.</t>
  </si>
  <si>
    <t>Additional bedroom mockup showing the twisting tree trunk with exposed roots and Celtic knot border design on a bed.</t>
  </si>
  <si>
    <t>Bedroom mockup of Celtic Fantasy Tree Quilt Set</t>
  </si>
  <si>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 "https://jeminise.com/products/celtic-and-fantasy-quilt-set-with-twisting-tree-trunk-and-exposed-roots-c7b1460bad-c7b1460bad", "https://cdn.shopify.com/s/files/1/0792/5098/1063/files/285b33441b58fd0660e7d9fbad77f1aeb4d88a3e3678d0ef0a1341e0d0cab3fa.jpg?v=1785047367"]</t>
  </si>
  <si>
    <t>qaimg_d13255335d186826</t>
  </si>
  <si>
    <t>https://cdn.shopify.com/s/files/1/0792/5098/1063/files/eeee3be59c912ddfb95b556144ad283287f06b56c3797e9000aed4094e9c0f46.jpg?v=1785047188</t>
  </si>
  <si>
    <t>38498652651719</t>
  </si>
  <si>
    <t>47531950571719</t>
  </si>
  <si>
    <t>Front bed mockup with a green Tree of Life medallion and Celtic knotwork border.</t>
  </si>
  <si>
    <t>Main bed mockup showing green tree of life medallion with Celtic knotwork border.</t>
  </si>
  <si>
    <t>Celtic Mythology Tree of Life Quilt Set With Celtic Knotwork Border</t>
  </si>
  <si>
    <t>Celtic Tree of Life Quilt Set displayed on a bed</t>
  </si>
  <si>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 "https://jeminise.com/products/celtic-mythology-tree-of-life-quilt-set-with-celtic-knotwork-border-12786aba7e-12786aba7e", "https://cdn.shopify.com/s/files/1/0792/5098/1063/files/eeee3be59c912ddfb95b556144ad283287f06b56c3797e9000aed4094e9c0f46.jpg?v=1785047188"]</t>
  </si>
  <si>
    <t>qaimg_fcc661342df8f7e6</t>
  </si>
  <si>
    <t>https://cdn.shopify.com/s/files/1/0792/5098/1063/files/b62d307163504bede5d79d6a1894e1fb2390a7f6bb97d231a74b900c216c6f10.jpg?v=1785047189</t>
  </si>
  <si>
    <t>38498652684487</t>
  </si>
  <si>
    <t>47531950604487</t>
  </si>
  <si>
    <t>Secondary detail or room mockup showing green tree of life medallion with Celtic knotwork border and visible quilted/printed texture.</t>
  </si>
  <si>
    <t>Close view of green tree of life medallion with Celtic knotwork border on the quilt set</t>
  </si>
  <si>
    <t>["ISS-008-IMG-02"]</t>
  </si>
  <si>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 "https://jeminise.com/products/celtic-mythology-tree-of-life-quilt-set-with-celtic-knotwork-border-12786aba7e-12786aba7e", "https://cdn.shopify.com/s/files/1/0792/5098/1063/files/b62d307163504bede5d79d6a1894e1fb2390a7f6bb97d231a74b900c216c6f10.jpg?v=1785047189"]</t>
  </si>
  <si>
    <t>qaimg_a448f078c92e2bb0</t>
  </si>
  <si>
    <t>https://cdn.shopify.com/s/files/1/0792/5098/1063/files/492ae2152294ed05b1b9c9c476c3f0407f72dd5f9231dfabab608600dfcfca18.jpg?v=1785047188</t>
  </si>
  <si>
    <t>38498652717255</t>
  </si>
  <si>
    <t>47531950637255</t>
  </si>
  <si>
    <t>Matching pillow sham or bedding detail using the same green tree of life medallion with Celtic knotwork border artwork.</t>
  </si>
  <si>
    <t>Matching pillow sham for Celtic Tree of Life Quilt Set</t>
  </si>
  <si>
    <t>["ISS-008-IMG-03"]</t>
  </si>
  <si>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 "https://jeminise.com/products/celtic-mythology-tree-of-life-quilt-set-with-celtic-knotwork-border-12786aba7e-12786aba7e", "https://cdn.shopify.com/s/files/1/0792/5098/1063/files/492ae2152294ed05b1b9c9c476c3f0407f72dd5f9231dfabab608600dfcfca18.jpg?v=1785047188"]</t>
  </si>
  <si>
    <t>qaimg_3828d6eeb0c0036a</t>
  </si>
  <si>
    <t>https://cdn.shopify.com/s/files/1/0792/5098/1063/files/d9597bfb2c08a10fed85d6814082edddf7b30bf76e5108fb36b1aee207514584.jpg?v=1785047189</t>
  </si>
  <si>
    <t>38498652750023</t>
  </si>
  <si>
    <t>47531950670023</t>
  </si>
  <si>
    <t>Room/folded product or fabric information image tied to the green tree of life medallion with Celtic knotwork border design.</t>
  </si>
  <si>
    <t>Celtic Tree of Life Quilt Set shown in a bedroom setting</t>
  </si>
  <si>
    <t>["ISS-008-IMG-04"]</t>
  </si>
  <si>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 "https://jeminise.com/products/celtic-mythology-tree-of-life-quilt-set-with-celtic-knotwork-border-12786aba7e-12786aba7e", "https://cdn.shopify.com/s/files/1/0792/5098/1063/files/d9597bfb2c08a10fed85d6814082edddf7b30bf76e5108fb36b1aee207514584.jpg?v=1785047189"]</t>
  </si>
  <si>
    <t>qaimg_6f372352ca4346d8</t>
  </si>
  <si>
    <t>https://cdn.shopify.com/s/files/1/0792/5098/1063/files/d48cccbb819c4ecffd7785e920fd2b840e50a24ee2a5033e47adf1a0f7ac2dd4.jpg?v=1785047189</t>
  </si>
  <si>
    <t>38498652782791</t>
  </si>
  <si>
    <t>47531950702791</t>
  </si>
  <si>
    <t>Size guide for Celtic Tree of Life Quilt Set</t>
  </si>
  <si>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 "https://jeminise.com/products/celtic-mythology-tree-of-life-quilt-set-with-celtic-knotwork-border-12786aba7e-12786aba7e", "https://cdn.shopify.com/s/files/1/0792/5098/1063/files/d48cccbb819c4ecffd7785e920fd2b840e50a24ee2a5033e47adf1a0f7ac2dd4.jpg?v=1785047189"]</t>
  </si>
  <si>
    <t>qaimg_7755084158711bce</t>
  </si>
  <si>
    <t>https://cdn.shopify.com/s/files/1/0792/5098/1063/files/eb7addcbef4e997dedf995d8edc2c3fb7ac03e00ca967e746fc0f52cc5daca82.jpg?v=1785047189</t>
  </si>
  <si>
    <t>38498652815559</t>
  </si>
  <si>
    <t>47531950735559</t>
  </si>
  <si>
    <t>Fabric feature graphic for Celtic Tree of Life Quilt Set</t>
  </si>
  <si>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 "https://jeminise.com/products/celtic-mythology-tree-of-life-quilt-set-with-celtic-knotwork-border-12786aba7e-12786aba7e", "https://cdn.shopify.com/s/files/1/0792/5098/1063/files/eb7addcbef4e997dedf995d8edc2c3fb7ac03e00ca967e746fc0f52cc5daca82.jpg?v=1785047189"]</t>
  </si>
  <si>
    <t>qaimg_37745ca08ec72780</t>
  </si>
  <si>
    <t>https://cdn.shopify.com/s/files/1/0792/5098/1063/files/622bf0b0bbd2db15d18f7453d631905d39821f40d39fc016cd52742300cd6741.jpg?v=1785047189</t>
  </si>
  <si>
    <t>38498652848327</t>
  </si>
  <si>
    <t>47531950768327</t>
  </si>
  <si>
    <t>Overhead bedroom mockup of the green Celtic Tree of Life quilt.</t>
  </si>
  <si>
    <t>Additional bedroom mockup showing the green tree of life medallion with Celtic knotwork border design on a bed.</t>
  </si>
  <si>
    <t>Bedroom mockup of Celtic Tree of Life Quilt Set</t>
  </si>
  <si>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 "https://jeminise.com/products/celtic-mythology-tree-of-life-quilt-set-with-celtic-knotwork-border-12786aba7e-12786aba7e", "https://cdn.shopify.com/s/files/1/0792/5098/1063/files/622bf0b0bbd2db15d18f7453d631905d39821f40d39fc016cd52742300cd6741.jpg?v=1785047189"]</t>
  </si>
  <si>
    <t>qaimg_beee33be559c29b5</t>
  </si>
  <si>
    <t>https://cdn.shopify.com/s/files/1/0792/5098/1063/files/df2728478e8364bc96182ba33c31dd08dcdab3758f1c26ecd4c76bcfacdeadc5.jpg?v=1787233682</t>
  </si>
  <si>
    <t>38894703968455</t>
  </si>
  <si>
    <t>47933462118599</t>
  </si>
  <si>
    <t>Front bed mockup with farmhouse hens, a nest with eggs and black patchwork accents.</t>
  </si>
  <si>
    <t>Main bed mockup showing farmhouse chicken and hen pattern with nest and eggs.</t>
  </si>
  <si>
    <t>Chicken Pattern Quilt Set, Animal Patchwork Farmhouse Quilt Set Bedspread, Premium Pattern Quilt Bedspread, Bedding Gift for Lover Daughter Son Father Mother</t>
  </si>
  <si>
    <t>Farmhouse Chicken Patchwork Quilt Set displayed on a bed</t>
  </si>
  <si>
    <t>["seo_runs\\jeminise.com\\20260906_234129\\evidence\\images\\9_chicken-pattern-quilt-set-animal-patchwork-farmhouse-quilt-set\\image_01_47933462118599.jpg; seo_runs\\jeminise.com\\20260906_234129\\evidence\\contact_sheets\\9_chicken-pattern-quilt-set-animal-patchwork-farmhouse-quilt-set.jpg", "https://jeminise.com/products/chicken-pattern-quilt-set-animal-patchwork-farmhouse-quilt-set", "https://cdn.shopify.com/s/files/1/0792/5098/1063/files/df2728478e8364bc96182ba33c31dd08dcdab3758f1c26ecd4c76bcfacdeadc5.jpg?v=1787233682"]</t>
  </si>
  <si>
    <t>qaimg_506f7cb7e11bab27</t>
  </si>
  <si>
    <t>https://cdn.shopify.com/s/files/1/0792/5098/1063/files/3fb22c532d2ea675077fa5f07538ad0693869d76604d9f54efbb12cf12dc3012.jpg?v=1787233682</t>
  </si>
  <si>
    <t>38894704001223</t>
  </si>
  <si>
    <t>47933462151367</t>
  </si>
  <si>
    <t>Secondary detail or room mockup showing farmhouse chicken and hen pattern with nest and eggs and visible quilted/printed texture.</t>
  </si>
  <si>
    <t>Close view of farmhouse chicken and hen pattern with nest and eggs on the quilt set</t>
  </si>
  <si>
    <t>["ISS-009-IMG-02"]</t>
  </si>
  <si>
    <t>["seo_runs\\jeminise.com\\20260906_234129\\evidence\\images\\9_chicken-pattern-quilt-set-animal-patchwork-farmhouse-quilt-set\\image_02_47933462151367.jpg; seo_runs\\jeminise.com\\20260906_234129\\evidence\\contact_sheets\\9_chicken-pattern-quilt-set-animal-patchwork-farmhouse-quilt-set.jpg", "https://jeminise.com/products/chicken-pattern-quilt-set-animal-patchwork-farmhouse-quilt-set", "https://cdn.shopify.com/s/files/1/0792/5098/1063/files/3fb22c532d2ea675077fa5f07538ad0693869d76604d9f54efbb12cf12dc3012.jpg?v=1787233682"]</t>
  </si>
  <si>
    <t>qaimg_ab9d2b121f273ff8</t>
  </si>
  <si>
    <t>https://cdn.shopify.com/s/files/1/0792/5098/1063/files/015c23cc578e135b61ae727b347772c42c1d51319bdc062c7e1f665e85a0a3f3.jpg?v=1787233682</t>
  </si>
  <si>
    <t>38894704033991</t>
  </si>
  <si>
    <t>47933462184135</t>
  </si>
  <si>
    <t>Matching pillow sham or bedding detail using the same farmhouse chicken and hen pattern with nest and eggs artwork.</t>
  </si>
  <si>
    <t>Matching pillow sham for Farmhouse Chicken Patchwork Quilt Set</t>
  </si>
  <si>
    <t>["ISS-009-IMG-03"]</t>
  </si>
  <si>
    <t>["seo_runs\\jeminise.com\\20260906_234129\\evidence\\images\\9_chicken-pattern-quilt-set-animal-patchwork-farmhouse-quilt-set\\image_03_47933462184135.jpg; seo_runs\\jeminise.com\\20260906_234129\\evidence\\contact_sheets\\9_chicken-pattern-quilt-set-animal-patchwork-farmhouse-quilt-set.jpg", "https://jeminise.com/products/chicken-pattern-quilt-set-animal-patchwork-farmhouse-quilt-set", "https://cdn.shopify.com/s/files/1/0792/5098/1063/files/015c23cc578e135b61ae727b347772c42c1d51319bdc062c7e1f665e85a0a3f3.jpg?v=1787233682"]</t>
  </si>
  <si>
    <t>qaimg_f427ee73b00f9112</t>
  </si>
  <si>
    <t>https://cdn.shopify.com/s/files/1/0792/5098/1063/files/044a88434534608756b0c91fa034b5bd3e06078ac0802d9eb409cbb4177ff68e.jpg?v=1787233682</t>
  </si>
  <si>
    <t>38894704066759</t>
  </si>
  <si>
    <t>47933462216903</t>
  </si>
  <si>
    <t>Room/folded product or fabric information image tied to the farmhouse chicken and hen pattern with nest and eggs design.</t>
  </si>
  <si>
    <t>Farmhouse Chicken Patchwork Quilt Set shown in a bedroom setting</t>
  </si>
  <si>
    <t>["ISS-009-IMG-04"]</t>
  </si>
  <si>
    <t>["seo_runs\\jeminise.com\\20260906_234129\\evidence\\images\\9_chicken-pattern-quilt-set-animal-patchwork-farmhouse-quilt-set\\image_04_47933462216903.jpg; seo_runs\\jeminise.com\\20260906_234129\\evidence\\contact_sheets\\9_chicken-pattern-quilt-set-animal-patchwork-farmhouse-quilt-set.jpg", "https://jeminise.com/products/chicken-pattern-quilt-set-animal-patchwork-farmhouse-quilt-set", "https://cdn.shopify.com/s/files/1/0792/5098/1063/files/044a88434534608756b0c91fa034b5bd3e06078ac0802d9eb409cbb4177ff68e.jpg?v=1787233682"]</t>
  </si>
  <si>
    <t>qaimg_6eb75a31eb3bed4c</t>
  </si>
  <si>
    <t>https://cdn.shopify.com/s/files/1/0792/5098/1063/files/8f7c582280e89587a9220b27404f887ca04a3550cb155e58214bec320e7e7a84.jpg?v=1787233682</t>
  </si>
  <si>
    <t>38894704099527</t>
  </si>
  <si>
    <t>47933462249671</t>
  </si>
  <si>
    <t>Size guide for Farmhouse Chicken Patchwork Quilt Set</t>
  </si>
  <si>
    <t>["seo_runs\\jeminise.com\\20260906_234129\\evidence\\images\\9_chicken-pattern-quilt-set-animal-patchwork-farmhouse-quilt-set\\image_05_47933462249671.jpg; seo_runs\\jeminise.com\\20260906_234129\\evidence\\contact_sheets\\9_chicken-pattern-quilt-set-animal-patchwork-farmhouse-quilt-set.jpg", "https://jeminise.com/products/chicken-pattern-quilt-set-animal-patchwork-farmhouse-quilt-set", "https://cdn.shopify.com/s/files/1/0792/5098/1063/files/8f7c582280e89587a9220b27404f887ca04a3550cb155e58214bec320e7e7a84.jpg?v=1787233682"]</t>
  </si>
  <si>
    <t>qaimg_be10ae77ff56c1f9</t>
  </si>
  <si>
    <t>https://cdn.shopify.com/s/files/1/0792/5098/1063/files/1790d972d34f1676ff9960602f32a073d75ae00ce5514be8d583a1bee054cb72.jpg?v=1787233682</t>
  </si>
  <si>
    <t>38894704132295</t>
  </si>
  <si>
    <t>47933462282439</t>
  </si>
  <si>
    <t>Fabric feature graphic for Farmhouse Chicken Patchwork Quilt Set</t>
  </si>
  <si>
    <t>["seo_runs\\jeminise.com\\20260906_234129\\evidence\\images\\9_chicken-pattern-quilt-set-animal-patchwork-farmhouse-quilt-set\\image_06_47933462282439.jpg; seo_runs\\jeminise.com\\20260906_234129\\evidence\\contact_sheets\\9_chicken-pattern-quilt-set-animal-patchwork-farmhouse-quilt-set.jpg", "https://jeminise.com/products/chicken-pattern-quilt-set-animal-patchwork-farmhouse-quilt-set", "https://cdn.shopify.com/s/files/1/0792/5098/1063/files/1790d972d34f1676ff9960602f32a073d75ae00ce5514be8d583a1bee054cb72.jpg?v=1787233682"]</t>
  </si>
  <si>
    <t>qaimg_e84d78a19c537db2</t>
  </si>
  <si>
    <t>https://cdn.shopify.com/s/files/1/0792/5098/1063/files/9b0208488bc2babfa22f4cf50f3e6213152506148e49cdd0bae5d159838e9105.jpg?v=1787233682</t>
  </si>
  <si>
    <t>38894704165063</t>
  </si>
  <si>
    <t>47933462315207</t>
  </si>
  <si>
    <t>Overhead bedroom mockup of the farmhouse chicken quilt.</t>
  </si>
  <si>
    <t>Additional bedroom mockup showing the farmhouse chicken and hen pattern with nest and eggs design on a bed.</t>
  </si>
  <si>
    <t>Bedroom mockup of Farmhouse Chicken Patchwork Quilt Set</t>
  </si>
  <si>
    <t>["seo_runs\\jeminise.com\\20260906_234129\\evidence\\images\\9_chicken-pattern-quilt-set-animal-patchwork-farmhouse-quilt-set\\image_07_47933462315207.jpg; seo_runs\\jeminise.com\\20260906_234129\\evidence\\contact_sheets\\9_chicken-pattern-quilt-set-animal-patchwork-farmhouse-quilt-set.jpg", "https://jeminise.com/products/chicken-pattern-quilt-set-animal-patchwork-farmhouse-quilt-set", "https://cdn.shopify.com/s/files/1/0792/5098/1063/files/9b0208488bc2babfa22f4cf50f3e6213152506148e49cdd0bae5d159838e9105.jpg?v=1787233682"]</t>
  </si>
  <si>
    <t>qaimg_eb118c0f2373e1a0</t>
  </si>
  <si>
    <t>https://cdn.shopify.com/s/files/1/0792/5098/1063/files/e0fe73b713afc62cfffb3946372bff45f6aba6f1bc25f209c29052448bc1decb.jpg?v=1787237695</t>
  </si>
  <si>
    <t>38895075492039</t>
  </si>
  <si>
    <t>47933837967559</t>
  </si>
  <si>
    <t>Main bed mockup with God Says I Am, the sample name Jessica, floral artwork and butterflies.</t>
  </si>
  <si>
    <t>Main bed mockup showing personalized Christian God Says I Am design with name Jessica, flowers and butterflies.</t>
  </si>
  <si>
    <t>Christian Bedding Set – Inspirational Bible Verse Comforter – Religious Bedding for Women, Faith Gift for Mom, Daughter, Sister, Birthday &amp; Religious Gifts (God Says I am #1)</t>
  </si>
  <si>
    <t>Personalized God Says I Am Christian Bedding Set displayed on a bed</t>
  </si>
  <si>
    <t>["seo_runs\\jeminise.com\\20260906_234129\\evidence\\images\\10_christian-bedding-set-inspirational-bible-verse-comforte-design-01\\image_01_47933837967559.jpg; seo_runs\\jeminise.com\\20260906_234129\\evidence\\contact_sheets\\10_christian-bedding-set-inspirational-bible-verse-comforte-design-01.jpg", "https://jeminise.com/products/christian-bedding-set-inspirational-bible-verse-comforte-design-01", "https://cdn.shopify.com/s/files/1/0792/5098/1063/files/e0fe73b713afc62cfffb3946372bff45f6aba6f1bc25f209c29052448bc1decb.jpg?v=1787237695"]</t>
  </si>
  <si>
    <t>qaimg_f47acf64a83d52b7</t>
  </si>
  <si>
    <t>https://cdn.shopify.com/s/files/1/0792/5098/1063/files/9a2ea3655358889bfb8939e5d43749d9fc1a68a15bb91eb7257e168947c5d449.jpg?v=1787237695</t>
  </si>
  <si>
    <t>38895075524807</t>
  </si>
  <si>
    <t>47933838000327</t>
  </si>
  <si>
    <t>Alternate bed mockup of the same Christian affirmation design.</t>
  </si>
  <si>
    <t>Secondary detail or room mockup showing personalized Christian God Says I Am design with name Jessica, flowers and butterflies and visible quilted/printed texture.</t>
  </si>
  <si>
    <t>Close view of personalized Christian God Says I Am design with name Jessica, flowers and butterflies on the comforter set</t>
  </si>
  <si>
    <t>["ISS-010-IMG-02"]</t>
  </si>
  <si>
    <t>["seo_runs\\jeminise.com\\20260906_234129\\evidence\\images\\10_christian-bedding-set-inspirational-bible-verse-comforte-design-01\\image_02_47933838000327.jpg; seo_runs\\jeminise.com\\20260906_234129\\evidence\\contact_sheets\\10_christian-bedding-set-inspirational-bible-verse-comforte-design-01.jpg", "https://jeminise.com/products/christian-bedding-set-inspirational-bible-verse-comforte-design-01", "https://cdn.shopify.com/s/files/1/0792/5098/1063/files/9a2ea3655358889bfb8939e5d43749d9fc1a68a15bb91eb7257e168947c5d449.jpg?v=1787237695"]</t>
  </si>
  <si>
    <t>qaimg_6d1025fe7e8d137a</t>
  </si>
  <si>
    <t>https://cdn.shopify.com/s/files/1/0792/5098/1063/files/50f96559dd878ae5bbee14ba7a34337ccd740d21a8ffe86a8a1be819656d26c0.jpg?v=1787237695</t>
  </si>
  <si>
    <t>38895075557575</t>
  </si>
  <si>
    <t>47933838033095</t>
  </si>
  <si>
    <t>Comparison graphic for Duvet Cover Set versus Comforter Set.</t>
  </si>
  <si>
    <t>Matching pillow sham or bedding detail using the same personalized Christian God Says I Am design with name Jessica, flowers and butterflies artwork.</t>
  </si>
  <si>
    <t>Matching pillow sham for Personalized God Says I Am Christian Bedding Set</t>
  </si>
  <si>
    <t>["ISS-010-IMG-03"]</t>
  </si>
  <si>
    <t>["seo_runs\\jeminise.com\\20260906_234129\\evidence\\images\\10_christian-bedding-set-inspirational-bible-verse-comforte-design-01\\image_03_47933838033095.jpg; seo_runs\\jeminise.com\\20260906_234129\\evidence\\contact_sheets\\10_christian-bedding-set-inspirational-bible-verse-comforte-design-01.jpg", "https://jeminise.com/products/christian-bedding-set-inspirational-bible-verse-comforte-design-01", "https://cdn.shopify.com/s/files/1/0792/5098/1063/files/50f96559dd878ae5bbee14ba7a34337ccd740d21a8ffe86a8a1be819656d26c0.jpg?v=1787237695"]</t>
  </si>
  <si>
    <t>qaimg_07763f3daebff903</t>
  </si>
  <si>
    <t>https://cdn.shopify.com/s/files/1/0792/5098/1063/files/e177a63ec5fdef284072a06f2775ebbbf78d53d430946e0a479a9aea59e23193.jpg?v=1787237695</t>
  </si>
  <si>
    <t>38895075590343</t>
  </si>
  <si>
    <t>47933838065863</t>
  </si>
  <si>
    <t>Feature graphic stating 100% microfiber, 3D print, soft, lightweight and breathable.</t>
  </si>
  <si>
    <t>Room/folded product or fabric information image tied to the personalized Christian God Says I Am design with name Jessica, flowers and butterflies design.</t>
  </si>
  <si>
    <t>Personalized God Says I Am Christian Bedding Set shown in a bedroom setting</t>
  </si>
  <si>
    <t>["ISS-010-IMG-04"]</t>
  </si>
  <si>
    <t>["seo_runs\\jeminise.com\\20260906_234129\\evidence\\images\\10_christian-bedding-set-inspirational-bible-verse-comforte-design-01\\image_04_47933838065863.jpg; seo_runs\\jeminise.com\\20260906_234129\\evidence\\contact_sheets\\10_christian-bedding-set-inspirational-bible-verse-comforte-design-01.jpg", "https://jeminise.com/products/christian-bedding-set-inspirational-bible-verse-comforte-design-01", "https://cdn.shopify.com/s/files/1/0792/5098/1063/files/e177a63ec5fdef284072a06f2775ebbbf78d53d430946e0a479a9aea59e23193.jpg?v=1787237695"]</t>
  </si>
  <si>
    <t>qaimg_529e4c8d486051e5</t>
  </si>
  <si>
    <t>https://cdn.shopify.com/s/files/1/0792/5098/1063/files/c0229b109e769b68f8c9f35623479c094bab31ad756f2c9dfcf50eadd39d92c5.jpg?v=1787237695</t>
  </si>
  <si>
    <t>38895075623111</t>
  </si>
  <si>
    <t>47933838098631</t>
  </si>
  <si>
    <t>Birth Month Flowers chart from January through December.</t>
  </si>
  <si>
    <t>Size guide for Personalized God Says I Am Christian Bedding Set</t>
  </si>
  <si>
    <t>["ISS-010-IMG-05"]</t>
  </si>
  <si>
    <t>["seo_runs\\jeminise.com\\20260906_234129\\evidence\\images\\10_christian-bedding-set-inspirational-bible-verse-comforte-design-01\\image_05_47933838098631.jpg; seo_runs\\jeminise.com\\20260906_234129\\evidence\\contact_sheets\\10_christian-bedding-set-inspirational-bible-verse-comforte-design-01.jpg", "https://jeminise.com/products/christian-bedding-set-inspirational-bible-verse-comforte-design-01", "https://cdn.shopify.com/s/files/1/0792/5098/1063/files/c0229b109e769b68f8c9f35623479c094bab31ad756f2c9dfcf50eadd39d92c5.jpg?v=1787237695"]</t>
  </si>
  <si>
    <t>qaimg_0fc13a12a35a3633</t>
  </si>
  <si>
    <t>https://cdn.shopify.com/s/files/1/0792/5098/1063/files/e22715b9d350060d7f718ca936fb51ae74bf407c9cd643e977844be314d468df.jpg?v=1787237695</t>
  </si>
  <si>
    <t>38895075655879</t>
  </si>
  <si>
    <t>47933838131399</t>
  </si>
  <si>
    <t>Bedroom feature graphic with soft, lightweight, durable and breathable callouts.</t>
  </si>
  <si>
    <t>Fabric feature graphic for Personalized God Says I Am Christian Bedding Set</t>
  </si>
  <si>
    <t>["ISS-010-IMG-06"]</t>
  </si>
  <si>
    <t>["seo_runs\\jeminise.com\\20260906_234129\\evidence\\images\\10_christian-bedding-set-inspirational-bible-verse-comforte-design-01\\image_06_47933838131399.jpg; seo_runs\\jeminise.com\\20260906_234129\\evidence\\contact_sheets\\10_christian-bedding-set-inspirational-bible-verse-comforte-design-01.jpg", "https://jeminise.com/products/christian-bedding-set-inspirational-bible-verse-comforte-design-01", "https://cdn.shopify.com/s/files/1/0792/5098/1063/files/e22715b9d350060d7f718ca936fb51ae74bf407c9cd643e977844be314d468df.jpg?v=1787237695"]</t>
  </si>
  <si>
    <t>qaimg_b90439d89675fae5</t>
  </si>
  <si>
    <t>https://cdn.shopify.com/s/files/1/0792/5098/1063/files/0e22a9fec09643a714af054217066178d4f7bc4d6266b6d2ff5c33c09cc10e88.jpg?v=1787237695</t>
  </si>
  <si>
    <t>38895075688647</t>
  </si>
  <si>
    <t>47933838164167</t>
  </si>
  <si>
    <t>Easy-care graphic with wrinkle-free, stain-proof, anti-pilling and won't-fade claims.</t>
  </si>
  <si>
    <t>Additional bedroom mockup showing the personalized Christian God Says I Am design with name Jessica, flowers and butterflies design on a bed.</t>
  </si>
  <si>
    <t>Bedroom mockup of Personalized God Says I Am Christian Bedding Set</t>
  </si>
  <si>
    <t>["ISS-010-IMG-07"]</t>
  </si>
  <si>
    <t>["seo_runs\\jeminise.com\\20260906_234129\\evidence\\images\\10_christian-bedding-set-inspirational-bible-verse-comforte-design-01\\image_07_47933838164167.jpg; seo_runs\\jeminise.com\\20260906_234129\\evidence\\contact_sheets\\10_christian-bedding-set-inspirational-bible-verse-comforte-design-01.jpg", "https://jeminise.com/products/christian-bedding-set-inspirational-bible-verse-comforte-design-01", "https://cdn.shopify.com/s/files/1/0792/5098/1063/files/0e22a9fec09643a714af054217066178d4f7bc4d6266b6d2ff5c33c09cc10e88.jpg?v=1787237695"]</t>
  </si>
  <si>
    <t>qaimg_734f2f8be24b67c2</t>
  </si>
  <si>
    <t>https://cdn.shopify.com/s/files/1/0792/5098/1063/files/d6b8438a259ef28ba839a68ba108f40464bc9629b0bc2168779fc7776c9cbffa.jpg?v=1787237695</t>
  </si>
  <si>
    <t>38895075721415</t>
  </si>
  <si>
    <t>47933838196935</t>
  </si>
  <si>
    <t>Twin, Full, Queen and King dimension chart.</t>
  </si>
  <si>
    <t>Additional product information image for size, care, personalization or bedding type.</t>
  </si>
  <si>
    <t>Size or personalization guide for Personalized God Says I Am Christian Bedding Set</t>
  </si>
  <si>
    <t>["ISS-010-IMG-08"]</t>
  </si>
  <si>
    <t>["seo_runs\\jeminise.com\\20260906_234129\\evidence\\images\\10_christian-bedding-set-inspirational-bible-verse-comforte-design-01\\image_08_47933838196935.jpg; seo_runs\\jeminise.com\\20260906_234129\\evidence\\contact_sheets\\10_christian-bedding-set-inspirational-bible-verse-comforte-design-01.jpg", "https://jeminise.com/products/christian-bedding-set-inspirational-bible-verse-comforte-design-01", "https://cdn.shopify.com/s/files/1/0792/5098/1063/files/d6b8438a259ef28ba839a68ba108f40464bc9629b0bc2168779fc7776c9cbffa.jpg?v=1787237695"]</t>
  </si>
  <si>
    <t>issue_id</t>
  </si>
  <si>
    <t>severity</t>
  </si>
  <si>
    <t>field</t>
  </si>
  <si>
    <t>submitted_value</t>
  </si>
  <si>
    <t>source_observation</t>
  </si>
  <si>
    <t>recommended_fix</t>
  </si>
  <si>
    <t>supporting_evidence</t>
  </si>
  <si>
    <t>recheck_condition</t>
  </si>
  <si>
    <t>ISS-001-IMG-05</t>
  </si>
  <si>
    <t>MINOR</t>
  </si>
  <si>
    <t>image_observation/alt_effective</t>
  </si>
  <si>
    <t>Sizing or included-components information image for the bedding set. | Size guide for Cardinal Sunflower Patchwork Quilt Set</t>
  </si>
  <si>
    <t>Nhận xét hoặc alt theo mẫu vị trí không phản ánh đầy đủ/đúng nội dung ảnh thực tế.</t>
  </si>
  <si>
    <t>Cardinal sunflower quilt size and optional sham guide</t>
  </si>
  <si>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 https://jeminise.com/products/autumn-cardinals-perched-above-large-sunflowers-quilt-with-cardinal-birds-9a3b408b20-9a3b408b20; https://cdn.shopify.com/s/files/1/0792/5098/1063/files/f17ccb354040b3320b99a1960533bd6ef949db1145d3897d55a33673489caad9.jpg?v=1785099190</t>
  </si>
  <si>
    <t>Mở lại ảnh gốc và xác nhận observation/alt mới mô tả đúng ảnh.</t>
  </si>
  <si>
    <t>ISS-002-IMG-02</t>
  </si>
  <si>
    <t>MAJOR</t>
  </si>
  <si>
    <t>Secondary detail or room mockup showing softball patchwork in teal, black and white with player silhouettes and text and visible quilted/printed texture. | Close view of softball patchwork in teal, black and white with player silhouettes and text on the comforter set</t>
  </si>
  <si>
    <t>Teal softball comforter set in an angled bedroom view</t>
  </si>
  <si>
    <t>seo_runs\jeminise.com\20260906_234129\evidence\images\2_bright-teal-yellow-softball-comforter-set-premium-sports-theme\image_02_47934735941831.jpg; seo_runs\jeminise.com\20260906_234129\evidence\contact_sheets\2_bright-teal-yellow-softball-comforter-set-premium-sports-theme.jpg; https://jeminise.com/products/bright-teal-yellow-softball-comforter-set-premium-sports-theme; https://cdn.shopify.com/s/files/1/0792/5098/1063/files/b4d8d185bcbb550263dadfadb3419fffc97f4c44e070091e393e7296e5d6fb3c.jpg?v=1787245111</t>
  </si>
  <si>
    <t>ISS-002-IMG-04</t>
  </si>
  <si>
    <t>Room/folded product or fabric information image tied to the softball patchwork in teal, black and white with player silhouettes and text design. | Bright Teal Softball Comforter Set shown in a bedroom setting</t>
  </si>
  <si>
    <t>Folded teal softball comforter showing the white reverse</t>
  </si>
  <si>
    <t>seo_runs\jeminise.com\20260906_234129\evidence\images\2_bright-teal-yellow-softball-comforter-set-premium-sports-theme\image_04_47934736007367.jpg; seo_runs\jeminise.com\20260906_234129\evidence\contact_sheets\2_bright-teal-yellow-softball-comforter-set-premium-sports-theme.jpg; https://jeminise.com/products/bright-teal-yellow-softball-comforter-set-premium-sports-theme; https://cdn.shopify.com/s/files/1/0792/5098/1063/files/66e753b90ce33322bda9902192b0d181e5f65b4823b1464fb51d32bee82398ed.jpg?v=1787245111</t>
  </si>
  <si>
    <t>ISS-002-IMG-05</t>
  </si>
  <si>
    <t>Sizing or included-components information image for the bedding set. | Size guide for Bright Teal Softball Comforter Set</t>
  </si>
  <si>
    <t>Close-up of teal softball comforter print and white reverse</t>
  </si>
  <si>
    <t>seo_runs\jeminise.com\20260906_234129\evidence\images\2_bright-teal-yellow-softball-comforter-set-premium-sports-theme\image_05_47934736040135.jpg; seo_runs\jeminise.com\20260906_234129\evidence\contact_sheets\2_bright-teal-yellow-softball-comforter-set-premium-sports-theme.jpg; https://jeminise.com/products/bright-teal-yellow-softball-comforter-set-premium-sports-theme; https://cdn.shopify.com/s/files/1/0792/5098/1063/files/a8d8145d1b6e7b4bbc3eb1dc71a100a3f3243648810f40f7f678de166dbfd428.jpg?v=1787245111</t>
  </si>
  <si>
    <t>ISS-002-IMG-07</t>
  </si>
  <si>
    <t>Additional bedroom mockup showing the softball patchwork in teal, black and white with player silhouettes and text design on a bed. | Bedroom mockup of Bright Teal Softball Comforter Set</t>
  </si>
  <si>
    <t>Teal softball comforter set with two included pillowcases</t>
  </si>
  <si>
    <t>seo_runs\jeminise.com\20260906_234129\evidence\images\2_bright-teal-yellow-softball-comforter-set-premium-sports-theme\image_07_47934736105671.jpg; seo_runs\jeminise.com\20260906_234129\evidence\contact_sheets\2_bright-teal-yellow-softball-comforter-set-premium-sports-theme.jpg; https://jeminise.com/products/bright-teal-yellow-softball-comforter-set-premium-sports-theme; https://cdn.shopify.com/s/files/1/0792/5098/1063/files/a0ebf0c8e5cb1f2c8f924529805ea1d20494460dd41a740514b8862f5d5a2f4f_b03a920f-a52a-4b39-842e-77c13ca56137.jpg?v=1787245111</t>
  </si>
  <si>
    <t>ISS-003-IMG-05</t>
  </si>
  <si>
    <t>Sizing or included-components information image for the bedding set. | Size guide for Cardinal Christmas Memorial Patchwork Quilt</t>
  </si>
  <si>
    <t>Christmas cardinal quilt size and optional sham guide</t>
  </si>
  <si>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 https://jeminise.com/products/cardinals-perched-beside-decorated-christmas-tree-patchwork-winter-quilt-7cd7bc46a0-7cd7bc46a0; https://cdn.shopify.com/s/files/1/0792/5098/1063/files/61192968c1230d5ae97babcfd885b0b0e273f4d893aaaf63a91706f8a569a358.jpg?v=1785099109</t>
  </si>
  <si>
    <t>ISS-004-IMG-05</t>
  </si>
  <si>
    <t>Sizing or included-components information image for the bedding set. | Size guide for Cardinal and Roses Memorial Quilt Set</t>
  </si>
  <si>
    <t>Cardinal and roses quilt size and optional sham guide</t>
  </si>
  <si>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 https://jeminise.com/products/cardinals-perched-on-branch-with-roses-patchwork-winter-quilt-21ac904cd7-21ac904cd7; https://cdn.shopify.com/s/files/1/0792/5098/1063/files/1cb933b580b777ff9fc7d527ca0ea879bde39d1f8b7faaac1505885401cf4b7b.jpg?v=1785099574</t>
  </si>
  <si>
    <t>ISS-005-IMG-02</t>
  </si>
  <si>
    <t>Secondary detail or room mockup showing large colorful cat face in patchwork blocks and visible quilted/printed texture. | Close view of large colorful cat face in patchwork blocks on the quilt set</t>
  </si>
  <si>
    <t>Colorful cat quilt with print and fabric feature callouts</t>
  </si>
  <si>
    <t>seo_runs\jeminise.com\20260906_234129\evidence\images\5_cat-patchwork-quilt-set-animal-pattern-bedding-cat-pattern-quilt-set\image_02_47933460381895.jpg; seo_runs\jeminise.com\20260906_234129\evidence\contact_sheets\5_cat-patchwork-quilt-set-animal-pattern-bedding-cat-pattern-quilt-set.jpg; https://jeminise.com/products/cat-patchwork-quilt-set-animal-pattern-bedding-cat-pattern-quilt-set; https://cdn.shopify.com/s/files/1/0792/5098/1063/files/94180d9f213d8233e384ef8416ec958afd6fe38eeda43d032fd598d852a3a274.jpg?v=1787233665</t>
  </si>
  <si>
    <t>ISS-005-IMG-03</t>
  </si>
  <si>
    <t>Matching pillow sham or bedding detail using the same large colorful cat face in patchwork blocks artwork. | Matching pillow sham for Colorful Cat Patchwork Quilt Set</t>
  </si>
  <si>
    <t>Colorful cat pillow shams with lightweight fabric features</t>
  </si>
  <si>
    <t>seo_runs\jeminise.com\20260906_234129\evidence\images\5_cat-patchwork-quilt-set-animal-pattern-bedding-cat-pattern-quilt-set\image_03_47933460414663.jpg; seo_runs\jeminise.com\20260906_234129\evidence\contact_sheets\5_cat-patchwork-quilt-set-animal-pattern-bedding-cat-pattern-quilt-set.jpg; https://jeminise.com/products/cat-patchwork-quilt-set-animal-pattern-bedding-cat-pattern-quilt-set; https://cdn.shopify.com/s/files/1/0792/5098/1063/files/a98e42be7f34a03d4b9ee94c19374ef39f213c4ad9c5936eb702be120e072cb3.jpg?v=1787233666</t>
  </si>
  <si>
    <t>ISS-005-IMG-04</t>
  </si>
  <si>
    <t>Room/folded product or fabric information image tied to the large colorful cat face in patchwork blocks design. | Colorful Cat Patchwork Quilt Set shown in a bedroom setting</t>
  </si>
  <si>
    <t>Colorful cat quilt all-season fabric feature graphic</t>
  </si>
  <si>
    <t>seo_runs\jeminise.com\20260906_234129\evidence\images\5_cat-patchwork-quilt-set-animal-pattern-bedding-cat-pattern-quilt-set\image_04_47933460447431.jpg; seo_runs\jeminise.com\20260906_234129\evidence\contact_sheets\5_cat-patchwork-quilt-set-animal-pattern-bedding-cat-pattern-quilt-set.jpg; https://jeminise.com/products/cat-patchwork-quilt-set-animal-pattern-bedding-cat-pattern-quilt-set; https://cdn.shopify.com/s/files/1/0792/5098/1063/files/06467b270df2093a70f746e873ebb0b88964a81ef45800624c02604fd1ec068a.jpg?v=1787233666</t>
  </si>
  <si>
    <t>ISS-006-IMG-02</t>
  </si>
  <si>
    <t>Secondary detail or room mockup showing sitting cat in geometric patchwork colors on beige leaf background and visible quilted/printed texture. | Close view of sitting cat in geometric patchwork colors on beige leaf background on the quilt set</t>
  </si>
  <si>
    <t>Geometric cat quilt with print and fabric feature callouts</t>
  </si>
  <si>
    <t>seo_runs\jeminise.com\20260906_234129\evidence\images\6_cat-quilt-set-cat-patchwork-style-printed-bedding-animal-patchwork\image_02_47933461758151.jpg; seo_runs\jeminise.com\20260906_234129\evidence\contact_sheets\6_cat-quilt-set-cat-patchwork-style-printed-bedding-animal-patchwork.jpg; https://jeminise.com/products/cat-quilt-set-cat-patchwork-style-printed-bedding-animal-patchwork; https://cdn.shopify.com/s/files/1/0792/5098/1063/files/5fb11ab02ba6d7c7d6dc7b600952eeed36e59dc4fd7d78e26290c5b4432ce84a.jpg?v=1787233677</t>
  </si>
  <si>
    <t>ISS-006-IMG-03</t>
  </si>
  <si>
    <t>Matching pillow sham or bedding detail using the same sitting cat in geometric patchwork colors on beige leaf background artwork. | Matching pillow sham for Geometric Cat Patchwork Quilt Set</t>
  </si>
  <si>
    <t>Geometric cat pillow shams with lightweight fabric features</t>
  </si>
  <si>
    <t>seo_runs\jeminise.com\20260906_234129\evidence\images\6_cat-quilt-set-cat-patchwork-style-printed-bedding-animal-patchwork\image_03_47933461790919.jpg; seo_runs\jeminise.com\20260906_234129\evidence\contact_sheets\6_cat-quilt-set-cat-patchwork-style-printed-bedding-animal-patchwork.jpg; https://jeminise.com/products/cat-quilt-set-cat-patchwork-style-printed-bedding-animal-patchwork; https://cdn.shopify.com/s/files/1/0792/5098/1063/files/016cba1137ec3b2b7bdd46e0d797a4962a5f54c2379fde509b2301ca87b4ad35.jpg?v=1787233678</t>
  </si>
  <si>
    <t>ISS-006-IMG-04</t>
  </si>
  <si>
    <t>Room/folded product or fabric information image tied to the sitting cat in geometric patchwork colors on beige leaf background design. | Geometric Cat Patchwork Quilt Set shown in a bedroom setting</t>
  </si>
  <si>
    <t>Geometric cat quilt all-season fabric feature graphic</t>
  </si>
  <si>
    <t>seo_runs\jeminise.com\20260906_234129\evidence\images\6_cat-quilt-set-cat-patchwork-style-printed-bedding-animal-patchwork\image_04_47933461823687.jpg; seo_runs\jeminise.com\20260906_234129\evidence\contact_sheets\6_cat-quilt-set-cat-patchwork-style-printed-bedding-animal-patchwork.jpg; https://jeminise.com/products/cat-quilt-set-cat-patchwork-style-printed-bedding-animal-patchwork; https://cdn.shopify.com/s/files/1/0792/5098/1063/files/f8cc70311d22e4bc770b45756e723f2451f8d0e3a5de4035dc223375ea6ac88e.jpg?v=1787233678</t>
  </si>
  <si>
    <t>ISS-007-IMG-02</t>
  </si>
  <si>
    <t>Secondary detail or room mockup showing twisting tree trunk with exposed roots and Celtic knot border and visible quilted/printed texture. | Close view of twisting tree trunk with exposed roots and Celtic knot border on the quilt set</t>
  </si>
  <si>
    <t>Celtic fantasy tree quilt with print and fabric feature callouts</t>
  </si>
  <si>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 https://jeminise.com/products/celtic-and-fantasy-quilt-set-with-twisting-tree-trunk-and-exposed-roots-c7b1460bad-c7b1460bad; https://cdn.shopify.com/s/files/1/0792/5098/1063/files/77672c69bdca6fa3e34e5d859164a2661a0ec26b6ac10221a3df3171a6df2791.jpg?v=1785047367</t>
  </si>
  <si>
    <t>ISS-007-IMG-03</t>
  </si>
  <si>
    <t>Matching pillow sham or bedding detail using the same twisting tree trunk with exposed roots and Celtic knot border artwork. | Matching pillow sham for Celtic Fantasy Tree Quilt Set</t>
  </si>
  <si>
    <t>Celtic tree pillow shams with lightweight fabric features</t>
  </si>
  <si>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 https://jeminise.com/products/celtic-and-fantasy-quilt-set-with-twisting-tree-trunk-and-exposed-roots-c7b1460bad-c7b1460bad; https://cdn.shopify.com/s/files/1/0792/5098/1063/files/ef4c0af4b6e931816fba2b315617ce40f57b62cc23bc9476fc29bcd9f7fea3ed.jpg?v=1785047367</t>
  </si>
  <si>
    <t>ISS-007-IMG-04</t>
  </si>
  <si>
    <t>Room/folded product or fabric information image tied to the twisting tree trunk with exposed roots and Celtic knot border design. | Celtic Fantasy Tree Quilt Set shown in a bedroom setting</t>
  </si>
  <si>
    <t>Celtic fantasy tree quilt all-season fabric feature graphic</t>
  </si>
  <si>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 https://jeminise.com/products/celtic-and-fantasy-quilt-set-with-twisting-tree-trunk-and-exposed-roots-c7b1460bad-c7b1460bad; https://cdn.shopify.com/s/files/1/0792/5098/1063/files/a0029afc03d47a3a82238a1bab89f1066c3687b3f06500badea074cba44f9e80.jpg?v=1785047367</t>
  </si>
  <si>
    <t>ISS-008-IMG-02</t>
  </si>
  <si>
    <t>Secondary detail or room mockup showing green tree of life medallion with Celtic knotwork border and visible quilted/printed texture. | Close view of green tree of life medallion with Celtic knotwork border on the quilt set</t>
  </si>
  <si>
    <t>Celtic Tree of Life quilt with print and fabric feature callouts</t>
  </si>
  <si>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 https://jeminise.com/products/celtic-mythology-tree-of-life-quilt-set-with-celtic-knotwork-border-12786aba7e-12786aba7e; https://cdn.shopify.com/s/files/1/0792/5098/1063/files/b62d307163504bede5d79d6a1894e1fb2390a7f6bb97d231a74b900c216c6f10.jpg?v=1785047189</t>
  </si>
  <si>
    <t>ISS-008-IMG-03</t>
  </si>
  <si>
    <t>Matching pillow sham or bedding detail using the same green tree of life medallion with Celtic knotwork border artwork. | Matching pillow sham for Celtic Tree of Life Quilt Set</t>
  </si>
  <si>
    <t>Celtic Tree of Life shams with lightweight fabric features</t>
  </si>
  <si>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 https://jeminise.com/products/celtic-mythology-tree-of-life-quilt-set-with-celtic-knotwork-border-12786aba7e-12786aba7e; https://cdn.shopify.com/s/files/1/0792/5098/1063/files/492ae2152294ed05b1b9c9c476c3f0407f72dd5f9231dfabab608600dfcfca18.jpg?v=1785047188</t>
  </si>
  <si>
    <t>ISS-008-IMG-04</t>
  </si>
  <si>
    <t>Room/folded product or fabric information image tied to the green tree of life medallion with Celtic knotwork border design. | Celtic Tree of Life Quilt Set shown in a bedroom setting</t>
  </si>
  <si>
    <t>Celtic Tree of Life quilt all-season fabric feature graphic</t>
  </si>
  <si>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 https://jeminise.com/products/celtic-mythology-tree-of-life-quilt-set-with-celtic-knotwork-border-12786aba7e-12786aba7e; https://cdn.shopify.com/s/files/1/0792/5098/1063/files/d9597bfb2c08a10fed85d6814082edddf7b30bf76e5108fb36b1aee207514584.jpg?v=1785047189</t>
  </si>
  <si>
    <t>ISS-009-IMG-02</t>
  </si>
  <si>
    <t>Secondary detail or room mockup showing farmhouse chicken and hen pattern with nest and eggs and visible quilted/printed texture. | Close view of farmhouse chicken and hen pattern with nest and eggs on the quilt set</t>
  </si>
  <si>
    <t>Farmhouse chicken quilt with print and fabric feature callouts</t>
  </si>
  <si>
    <t>seo_runs\jeminise.com\20260906_234129\evidence\images\9_chicken-pattern-quilt-set-animal-patchwork-farmhouse-quilt-set\image_02_47933462151367.jpg; seo_runs\jeminise.com\20260906_234129\evidence\contact_sheets\9_chicken-pattern-quilt-set-animal-patchwork-farmhouse-quilt-set.jpg; https://jeminise.com/products/chicken-pattern-quilt-set-animal-patchwork-farmhouse-quilt-set; https://cdn.shopify.com/s/files/1/0792/5098/1063/files/3fb22c532d2ea675077fa5f07538ad0693869d76604d9f54efbb12cf12dc3012.jpg?v=1787233682</t>
  </si>
  <si>
    <t>ISS-009-IMG-03</t>
  </si>
  <si>
    <t>Matching pillow sham or bedding detail using the same farmhouse chicken and hen pattern with nest and eggs artwork. | Matching pillow sham for Farmhouse Chicken Patchwork Quilt Set</t>
  </si>
  <si>
    <t>Farmhouse chicken shams with lightweight fabric features</t>
  </si>
  <si>
    <t>seo_runs\jeminise.com\20260906_234129\evidence\images\9_chicken-pattern-quilt-set-animal-patchwork-farmhouse-quilt-set\image_03_47933462184135.jpg; seo_runs\jeminise.com\20260906_234129\evidence\contact_sheets\9_chicken-pattern-quilt-set-animal-patchwork-farmhouse-quilt-set.jpg; https://jeminise.com/products/chicken-pattern-quilt-set-animal-patchwork-farmhouse-quilt-set; https://cdn.shopify.com/s/files/1/0792/5098/1063/files/015c23cc578e135b61ae727b347772c42c1d51319bdc062c7e1f665e85a0a3f3.jpg?v=1787233682</t>
  </si>
  <si>
    <t>ISS-009-IMG-04</t>
  </si>
  <si>
    <t>Room/folded product or fabric information image tied to the farmhouse chicken and hen pattern with nest and eggs design. | Farmhouse Chicken Patchwork Quilt Set shown in a bedroom setting</t>
  </si>
  <si>
    <t>Farmhouse chicken quilt all-season fabric feature graphic</t>
  </si>
  <si>
    <t>seo_runs\jeminise.com\20260906_234129\evidence\images\9_chicken-pattern-quilt-set-animal-patchwork-farmhouse-quilt-set\image_04_47933462216903.jpg; seo_runs\jeminise.com\20260906_234129\evidence\contact_sheets\9_chicken-pattern-quilt-set-animal-patchwork-farmhouse-quilt-set.jpg; https://jeminise.com/products/chicken-pattern-quilt-set-animal-patchwork-farmhouse-quilt-set; https://cdn.shopify.com/s/files/1/0792/5098/1063/files/044a88434534608756b0c91fa034b5bd3e06078ac0802d9eb409cbb4177ff68e.jpg?v=1787233682</t>
  </si>
  <si>
    <t>ISS-010-IMG-02</t>
  </si>
  <si>
    <t>Secondary detail or room mockup showing personalized Christian God Says I Am design with name Jessica, flowers and butterflies and visible quilted/printed texture. | Close view of personalized Christian God Says I Am design with name Jessica, flowers and butterflies on the comforter set</t>
  </si>
  <si>
    <t>Christian God Says I Am bedding in an alternate bedroom view</t>
  </si>
  <si>
    <t>seo_runs\jeminise.com\20260906_234129\evidence\images\10_christian-bedding-set-inspirational-bible-verse-comforte-design-01\image_02_47933838000327.jpg; seo_runs\jeminise.com\20260906_234129\evidence\contact_sheets\10_christian-bedding-set-inspirational-bible-verse-comforte-design-01.jpg; https://jeminise.com/products/christian-bedding-set-inspirational-bible-verse-comforte-design-01; https://cdn.shopify.com/s/files/1/0792/5098/1063/files/9a2ea3655358889bfb8939e5d43749d9fc1a68a15bb91eb7257e168947c5d449.jpg?v=1787237695</t>
  </si>
  <si>
    <t>ISS-010-IMG-03</t>
  </si>
  <si>
    <t>Matching pillow sham or bedding detail using the same personalized Christian God Says I Am design with name Jessica, flowers and butterflies artwork. | Matching pillow sham for Personalized God Says I Am Christian Bedding Set</t>
  </si>
  <si>
    <t>Duvet cover and comforter set construction comparison</t>
  </si>
  <si>
    <t>seo_runs\jeminise.com\20260906_234129\evidence\images\10_christian-bedding-set-inspirational-bible-verse-comforte-design-01\image_03_47933838033095.jpg; seo_runs\jeminise.com\20260906_234129\evidence\contact_sheets\10_christian-bedding-set-inspirational-bible-verse-comforte-design-01.jpg; https://jeminise.com/products/christian-bedding-set-inspirational-bible-verse-comforte-design-01; https://cdn.shopify.com/s/files/1/0792/5098/1063/files/50f96559dd878ae5bbee14ba7a34337ccd740d21a8ffe86a8a1be819656d26c0.jpg?v=1787237695</t>
  </si>
  <si>
    <t>ISS-010-IMG-04</t>
  </si>
  <si>
    <t>Room/folded product or fabric information image tied to the personalized Christian God Says I Am design with name Jessica, flowers and butterflies design. | Personalized God Says I Am Christian Bedding Set shown in a bedroom setting</t>
  </si>
  <si>
    <t>Christian bedding microfiber and breathable fabric features</t>
  </si>
  <si>
    <t>seo_runs\jeminise.com\20260906_234129\evidence\images\10_christian-bedding-set-inspirational-bible-verse-comforte-design-01\image_04_47933838065863.jpg; seo_runs\jeminise.com\20260906_234129\evidence\contact_sheets\10_christian-bedding-set-inspirational-bible-verse-comforte-design-01.jpg; https://jeminise.com/products/christian-bedding-set-inspirational-bible-verse-comforte-design-01; https://cdn.shopify.com/s/files/1/0792/5098/1063/files/e177a63ec5fdef284072a06f2775ebbbf78d53d430946e0a479a9aea59e23193.jpg?v=1787237695</t>
  </si>
  <si>
    <t>ISS-010-IMG-05</t>
  </si>
  <si>
    <t>Sizing or included-components information image for the bedding set. | Size guide for Personalized God Says I Am Christian Bedding Set</t>
  </si>
  <si>
    <t>Birth month flower options from January through December</t>
  </si>
  <si>
    <t>seo_runs\jeminise.com\20260906_234129\evidence\images\10_christian-bedding-set-inspirational-bible-verse-comforte-design-01\image_05_47933838098631.jpg; seo_runs\jeminise.com\20260906_234129\evidence\contact_sheets\10_christian-bedding-set-inspirational-bible-verse-comforte-design-01.jpg; https://jeminise.com/products/christian-bedding-set-inspirational-bible-verse-comforte-design-01; https://cdn.shopify.com/s/files/1/0792/5098/1063/files/c0229b109e769b68f8c9f35623479c094bab31ad756f2c9dfcf50eadd39d92c5.jpg?v=1787237695</t>
  </si>
  <si>
    <t>ISS-010-IMG-06</t>
  </si>
  <si>
    <t>Feature image describing fabric layers, softness, breathability or care details. | Fabric feature graphic for Personalized God Says I Am Christian Bedding Set</t>
  </si>
  <si>
    <t>Christian bedding softness and durability feature graphic</t>
  </si>
  <si>
    <t>seo_runs\jeminise.com\20260906_234129\evidence\images\10_christian-bedding-set-inspirational-bible-verse-comforte-design-01\image_06_47933838131399.jpg; seo_runs\jeminise.com\20260906_234129\evidence\contact_sheets\10_christian-bedding-set-inspirational-bible-verse-comforte-design-01.jpg; https://jeminise.com/products/christian-bedding-set-inspirational-bible-verse-comforte-design-01; https://cdn.shopify.com/s/files/1/0792/5098/1063/files/e22715b9d350060d7f718ca936fb51ae74bf407c9cd643e977844be314d468df.jpg?v=1787237695</t>
  </si>
  <si>
    <t>ISS-010-IMG-07</t>
  </si>
  <si>
    <t>Additional bedroom mockup showing the personalized Christian God Says I Am design with name Jessica, flowers and butterflies design on a bed. | Bedroom mockup of Personalized God Says I Am Christian Bedding Set</t>
  </si>
  <si>
    <t>Christian bedding easy-care and fade-resistance features</t>
  </si>
  <si>
    <t>seo_runs\jeminise.com\20260906_234129\evidence\images\10_christian-bedding-set-inspirational-bible-verse-comforte-design-01\image_07_47933838164167.jpg; seo_runs\jeminise.com\20260906_234129\evidence\contact_sheets\10_christian-bedding-set-inspirational-bible-verse-comforte-design-01.jpg; https://jeminise.com/products/christian-bedding-set-inspirational-bible-verse-comforte-design-01; https://cdn.shopify.com/s/files/1/0792/5098/1063/files/0e22a9fec09643a714af054217066178d4f7bc4d6266b6d2ff5c33c09cc10e88.jpg?v=1787237695</t>
  </si>
  <si>
    <t>ISS-010-IMG-08</t>
  </si>
  <si>
    <t>Additional product information image for size, care, personalization or bedding type. | Size or personalization guide for Personalized God Says I Am Christian Bedding Set</t>
  </si>
  <si>
    <t>Christian bedding size chart for Twin through King</t>
  </si>
  <si>
    <t>seo_runs\jeminise.com\20260906_234129\evidence\images\10_christian-bedding-set-inspirational-bible-verse-comforte-design-01\image_08_47933838196935.jpg; seo_runs\jeminise.com\20260906_234129\evidence\contact_sheets\10_christian-bedding-set-inspirational-bible-verse-comforte-design-01.jpg; https://jeminise.com/products/christian-bedding-set-inspirational-bible-verse-comforte-design-01; https://cdn.shopify.com/s/files/1/0792/5098/1063/files/d6b8438a259ef28ba839a68ba108f40464bc9629b0bc2168779fc7776c9cbffa.jpg?v=1787237695</t>
  </si>
  <si>
    <t>ISS-001-DESC</t>
  </si>
  <si>
    <t>description_proposed_html</t>
  </si>
  <si>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</si>
  <si>
    <t>HTML chứa ngôn ngữ quy trình nội bộ và dữ liệu nguồn thô.</t>
  </si>
  <si>
    <t>Description SET chưa publish-ready và có thể đưa ghi chú QA lên storefront.</t>
  </si>
  <si>
    <t>Rewrite as customer-facing English HTML; remove internal drafting/QA language and resolve source conflicts.</t>
  </si>
  <si>
    <t>evidence_batch_001_001</t>
  </si>
  <si>
    <t>Review full rendered HTML and confirm no internal QA language remains.</t>
  </si>
  <si>
    <t>ISS-002-DESC</t>
  </si>
  <si>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</si>
  <si>
    <t>evidence_batch_001_002</t>
  </si>
  <si>
    <t>ISS-003-DESC</t>
  </si>
  <si>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</si>
  <si>
    <t>evidence_batch_001_003</t>
  </si>
  <si>
    <t>ISS-004-DESC</t>
  </si>
  <si>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</si>
  <si>
    <t>evidence_batch_001_004</t>
  </si>
  <si>
    <t>ISS-005-DESC</t>
  </si>
  <si>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</si>
  <si>
    <t>evidence_batch_001_005</t>
  </si>
  <si>
    <t>ISS-006-DESC</t>
  </si>
  <si>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</si>
  <si>
    <t>evidence_batch_001_006</t>
  </si>
  <si>
    <t>ISS-007-DESC</t>
  </si>
  <si>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</si>
  <si>
    <t>evidence_batch_001_007</t>
  </si>
  <si>
    <t>ISS-008-DESC</t>
  </si>
  <si>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</si>
  <si>
    <t>evidence_batch_001_008</t>
  </si>
  <si>
    <t>ISS-009-DESC</t>
  </si>
  <si>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</si>
  <si>
    <t>evidence_batch_001_009</t>
  </si>
  <si>
    <t>ISS-010-DESC</t>
  </si>
  <si>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</si>
  <si>
    <t>evidence_batch_001_010</t>
  </si>
  <si>
    <t>ISS-001-KW</t>
  </si>
  <si>
    <t>LIMITATION</t>
  </si>
  <si>
    <t>primary_keyword</t>
  </si>
  <si>
    <t>cardinal sunflower quilt set</t>
  </si>
  <si>
    <t>Hai truy vấn QA cho thấy intent liên quan nhưng không có dữ liệu volume trả phí.</t>
  </si>
  <si>
    <t>Mức evidence chỉ là HYPOTHESIS_ONLY; không được mô tả như demand đã xác minh.</t>
  </si>
  <si>
    <t>Keep the keyword as a hypothesis or validate with US keyword-volume data before prioritization.</t>
  </si>
  <si>
    <t>[["cardinal sunflower quilt set", ["https://vantique.net/collections/cardinal-quilts"]], ["autumn cardinal bedding", ["https://www.target.com/s/cardinal%2Bquilt"]]]</t>
  </si>
  <si>
    <t>Cung cấp và kiểm tra nguồn demand/volume US có kỳ dữ liệu rõ.</t>
  </si>
  <si>
    <t>ISS-006-KW</t>
  </si>
  <si>
    <t>cat patchwork bedding set</t>
  </si>
  <si>
    <t>[["cat patchwork bedding set", ["https://www.wayfair.com/bed-bath/pdp/ambesonne-cat-bedspread-set-patchwork-style-silly-faces-multicolor-bbqv8335.html"]], ["geometric cat quilt set", ["https://vantique.net/products/whimsical-cat-patchwork-3-piece-quilted-bedding-set-ncu0nt5145"]]]</t>
  </si>
  <si>
    <t>ISS-005-FACT</t>
  </si>
  <si>
    <t>description_proposed_html/source facts</t>
  </si>
  <si>
    <t>Pattern/Color/Selected Design includes Dragonfly</t>
  </si>
  <si>
    <t>Dữ liệu cấu trúc nguồn mâu thuẫn rõ với thiết kế cat/chicken đang hiển thị; draft đã chép xung đột vào description.</t>
  </si>
  <si>
    <t>Remove 'Dragonfly' from customer-facing copy and resolve the product metafield/source mapping before publication.</t>
  </si>
  <si>
    <t>evidence_batch_001_005; https://jeminise.com/products/cat-patchwork-quilt-set-animal-pattern-bedding-cat-pattern-quilt-set</t>
  </si>
  <si>
    <t>Snapshot/admin mapping confirms the correct design value and revised HTML omits the conflict.</t>
  </si>
  <si>
    <t>ISS-006-FACT</t>
  </si>
  <si>
    <t>evidence_batch_001_006; https://jeminise.com/products/cat-quilt-set-cat-patchwork-style-printed-bedding-animal-patchwork</t>
  </si>
  <si>
    <t>ISS-009-FACT</t>
  </si>
  <si>
    <t>evidence_batch_001_009; https://jeminise.com/products/chicken-pattern-quilt-set-animal-patchwork-farmhouse-quilt-set</t>
  </si>
  <si>
    <t>ISS-005-SERP</t>
  </si>
  <si>
    <t>CRITICAL</t>
  </si>
  <si>
    <t>SERP_evidence_references</t>
  </si>
  <si>
    <t>https://www.etsy.com/market/chicken_quilt; search result showed cat patchwork quilt queries but no strong volume source</t>
  </si>
  <si>
    <t>Nguồn đã nộp dẫn tới chicken quilt, không phải cat patchwork quilt.</t>
  </si>
  <si>
    <t>Liên kết evidence sai sản phẩm làm chuỗi bằng chứng keyword không đáng tin cậy.</t>
  </si>
  <si>
    <t>Replace with the two QA-verified cat patchwork SERP sources and rerun keyword selection.</t>
  </si>
  <si>
    <t>https://www.etsy.com/market/chicken_quilt; https://www.walmart.com/ip/20788770071</t>
  </si>
  <si>
    <t>Hai URL thay thế được đọc lại, lưu timestamp/locale và map đúng product key.</t>
  </si>
  <si>
    <t>ISS-003-SERP</t>
  </si>
  <si>
    <t>https://www.youtube.com/; https://www.facebook.com/groups/291023511046957/posts/836018899880746/</t>
  </si>
  <si>
    <t>Reference cũ không chứng minh trực tiếp intent sản phẩm cardinal tương ứng.</t>
  </si>
  <si>
    <t>Evidence cũ quá chung hoặc không truy được nội dung sản phẩm; QA đã tìm nguồn đối chiếu phù hợp hơn.</t>
  </si>
  <si>
    <t>Replace the submitted references with the QA SERP URLs and document product-page intent.</t>
  </si>
  <si>
    <t>[["Christmas cardinal memorial quilt", ["https://www.target.com/s/cardinal%2Bquilt"]], ["cardinal Christmas quilt", ["https://www.marcielobedding.com/products/marcelo-3-pcs-winter-cardinals-christmas-quilt-bedspread-set-decor"]]]</t>
  </si>
  <si>
    <t>Mở lại URL mới, xác nhận intent và map đúng keyword/product.</t>
  </si>
  <si>
    <t>ISS-004-SERP</t>
  </si>
  <si>
    <t>[["cardinal memorial quilt with roses", ["https://www.reddit.com/r/quilting/comments/19fiv3f"]], ["cardinal remembrance quilt", ["https://www.reddit.com/r/quilting/comments/166n7be"]]]</t>
  </si>
  <si>
    <t>ISS-002-ENC</t>
  </si>
  <si>
    <t>title_current/H1_current</t>
  </si>
  <si>
    <t>Bright Teal Yellow Softball Comforter Set – Premium Sports Theme</t>
  </si>
  <si>
    <t>Ký tự thay thế � tồn tại trong title/H1 nguồn live.</t>
  </si>
  <si>
    <t>Bright Teal Softball Comforter Set</t>
  </si>
  <si>
    <t>Rendered H1 and title no longer contain U+FFFD.</t>
  </si>
  <si>
    <t>ISS-010-ENC</t>
  </si>
  <si>
    <t>Christian Bedding Set – Inspirational Bible Verse Comforte - Design 01</t>
  </si>
  <si>
    <t>Personalized God Says I Am Christian Bedding Set</t>
  </si>
  <si>
    <t>ISS-010-PERS</t>
  </si>
  <si>
    <t>title/meta/description personalization claim</t>
  </si>
  <si>
    <t>Personalized / Personalize</t>
  </si>
  <si>
    <t>Product JSON exposes product type/size, pillowcase and sheet options but no name or birth-flower personalization input.</t>
  </si>
  <si>
    <t>Personalization is a material purchasing attribute and was not verifiable in the selectable live variants.</t>
  </si>
  <si>
    <t>Remove 'Personalized' unless a working customization control is evidenced; otherwise document the exact name/birth-flower input and fulfillment mapping.</t>
  </si>
  <si>
    <t>https://jeminise.com/products/christian-bedding-set-inspirational-bible-verse-comforte-design-01; live product.js options</t>
  </si>
  <si>
    <t>Live purchase flow visibly accepts and preserves the claimed personalization values.</t>
  </si>
  <si>
    <t>ISS-GLOBAL-ADMIN</t>
  </si>
  <si>
    <t>current admin SEO fields/current admin alt</t>
  </si>
  <si>
    <t>Not supplied</t>
  </si>
  <si>
    <t>Storefront metadata and product.js media alt were readable, but no Shopify admin export was provided.</t>
  </si>
  <si>
    <t>Storefront values cannot prove the current admin field values or future import mapping.</t>
  </si>
  <si>
    <t>Provide a Shopify admin/export snapshot before approval or import mapping.</t>
  </si>
  <si>
    <t>Admin export revision and hash are frozen and compared to storefront/workbook.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</si>
</sst>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 x14ac:knownFonts="1">
    <font>
      <sz val="11"/>
      <color theme="1"/>
      <name val="Calibri"/>
      <family val="2"/>
      <scheme val="minor"/>
    </font>
    <font>
      <b/>
      <sz val="11"/>
      <color rgb="FFFFFFFF"/>
      <name val="Aptos Display"/>
    </font>
    <font>
      <sz val="10"/>
      <color rgb="FF1F2937"/>
      <name val="Aptos"/>
    </font>
    <font>
      <sz val="12"/>
      <color theme="10"/>
      <name val="Calibri"/>
      <family val="2"/>
      <scheme val="minor"/>
    </font>
  </fonts>
  <fills count="4">
    <fill>
      <patternFill patternType="none"/>
    </fill>
    <fill>
      <patternFill patternType="gray125"/>
    </fill>
    <fill>
      <patternFill patternType="solid">
        <fgColor rgb="FF17365D"/>
      </patternFill>
    </fill>
    <fill>
      <patternFill patternType="solid">
        <fgColor rgb="FFF8FAFC"/>
      </patternFill>
    </fill>
  </fills>
  <borders count="3">
    <border>
      <left/>
      <right/>
      <top/>
      <bottom/>
      <diagonal/>
    </border>
    <border>
      <left/>
      <right/>
      <top/>
      <bottom style="medium">
        <color rgb="FF2F75B5"/>
      </bottom>
      <diagonal/>
    </border>
    <border>
      <left/>
      <right/>
      <top/>
      <bottom style="thin">
        <color rgb="FFCBD5E1"/>
      </bottom>
      <diagonal/>
    </border>
  </borders>
  <cellStyleXfs count="2">
    <xf numFmtId="0" fontId="0" fillId="0" borderId="0"/>
    <xf numFmtId="0" fontId="3" fillId="0" borderId="0"/>
  </cellStyleXfs>
  <cellXfs count="9">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vertical="top" wrapText="1"/>
    </xf>
    <xf numFmtId="0" fontId="2" fillId="0" borderId="2" xfId="0" applyFont="1" applyBorder="1" applyAlignment="1">
      <alignment vertical="top" wrapText="1"/>
    </xf>
    <xf numFmtId="0" fontId="3" fillId="0" borderId="0" xfId="1" applyAlignment="1">
      <alignment vertical="top" wrapText="1"/>
    </xf>
    <xf numFmtId="164" fontId="2" fillId="3" borderId="2" xfId="0" applyNumberFormat="1" applyFont="1" applyFill="1" applyBorder="1" applyAlignment="1">
      <alignment vertical="top" wrapText="1"/>
    </xf>
    <xf numFmtId="165" fontId="2" fillId="3" borderId="2" xfId="0" applyNumberFormat="1" applyFont="1" applyFill="1" applyBorder="1" applyAlignment="1">
      <alignment vertical="top" wrapText="1"/>
    </xf>
    <xf numFmtId="164" fontId="2" fillId="0" borderId="2" xfId="0" applyNumberFormat="1" applyFont="1" applyBorder="1" applyAlignment="1">
      <alignment vertical="top" wrapText="1"/>
    </xf>
    <xf numFmtId="165" fontId="2" fillId="0" borderId="2" xfId="0" applyNumberFormat="1" applyFont="1" applyBorder="1" applyAlignment="1">
      <alignment vertical="top" wrapText="1"/>
    </xf>
  </cellXfs>
  <cellStyles count="2">
    <cellStyle name="Hyperlink" xfId="1" builtinId="8"/>
    <cellStyle name="Normal" xfId="0" builtinId="0"/>
  </cellStyles>
  <dxfs count="7">
    <dxf>
      <fill>
        <patternFill patternType="solid">
          <fgColor rgb="FFE4DFEC"/>
        </patternFill>
      </fill>
    </dxf>
    <dxf>
      <fill>
        <patternFill patternType="solid">
          <fgColor rgb="FFFFF2CC"/>
        </patternFill>
      </fill>
    </dxf>
    <dxf>
      <fill>
        <patternFill patternType="solid">
          <fgColor rgb="FFFCE4D6"/>
        </patternFill>
      </fill>
    </dxf>
    <dxf>
      <fill>
        <patternFill patternType="solid">
          <fgColor rgb="FFF4CCCC"/>
        </patternFill>
      </fill>
    </dxf>
    <dxf>
      <fill>
        <patternFill patternType="solid">
          <fgColor rgb="FFFCE4D6"/>
        </patternFill>
      </fill>
    </dxf>
    <dxf>
      <fill>
        <patternFill patternType="solid">
          <fgColor rgb="FFFFF2CC"/>
        </patternFill>
      </fill>
    </dxf>
    <dxf>
      <fill>
        <patternFill patternType="solid">
          <fgColor rgb="FFE2F0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jeminise.com/products/celtic-mythology-tree-of-life-quilt-set-with-celtic-knotwork-border-12786aba7e-12786aba7e" TargetMode="External"/><Relationship Id="rId3" Type="http://schemas.openxmlformats.org/officeDocument/2006/relationships/hyperlink" Target="https://jeminise.com/products/cardinals-perched-beside-decorated-christmas-tree-patchwork-winter-quilt-7cd7bc46a0-7cd7bc46a0" TargetMode="External"/><Relationship Id="rId7" Type="http://schemas.openxmlformats.org/officeDocument/2006/relationships/hyperlink" Target="https://jeminise.com/products/celtic-and-fantasy-quilt-set-with-twisting-tree-trunk-and-exposed-roots-c7b1460bad-c7b1460bad" TargetMode="External"/><Relationship Id="rId2" Type="http://schemas.openxmlformats.org/officeDocument/2006/relationships/hyperlink" Target="https://jeminise.com/products/bright-teal-yellow-softball-comforter-set-premium-sports-theme" TargetMode="External"/><Relationship Id="rId1" Type="http://schemas.openxmlformats.org/officeDocument/2006/relationships/hyperlink" Target="https://jeminise.com/products/autumn-cardinals-perched-above-large-sunflowers-quilt-with-cardinal-birds-9a3b408b20-9a3b408b20" TargetMode="External"/><Relationship Id="rId6" Type="http://schemas.openxmlformats.org/officeDocument/2006/relationships/hyperlink" Target="https://jeminise.com/products/cat-quilt-set-cat-patchwork-style-printed-bedding-animal-patchwork" TargetMode="External"/><Relationship Id="rId5" Type="http://schemas.openxmlformats.org/officeDocument/2006/relationships/hyperlink" Target="https://jeminise.com/products/cat-patchwork-quilt-set-animal-pattern-bedding-cat-pattern-quilt-set" TargetMode="External"/><Relationship Id="rId10" Type="http://schemas.openxmlformats.org/officeDocument/2006/relationships/hyperlink" Target="https://jeminise.com/products/christian-bedding-set-inspirational-bible-verse-comforte-design-01" TargetMode="External"/><Relationship Id="rId4" Type="http://schemas.openxmlformats.org/officeDocument/2006/relationships/hyperlink" Target="https://jeminise.com/products/cardinals-perched-on-branch-with-roses-patchwork-winter-quilt-21ac904cd7-21ac904cd7" TargetMode="External"/><Relationship Id="rId9" Type="http://schemas.openxmlformats.org/officeDocument/2006/relationships/hyperlink" Target="https://jeminise.com/products/chicken-pattern-quilt-set-animal-patchwork-farmhouse-quilt-set"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cdn.shopify.com/s/files/1/0792/5098/1063/files/9a2ea3655358889bfb8939e5d43749d9fc1a68a15bb91eb7257e168947c5d449.jpg?v=1787237695" TargetMode="External"/><Relationship Id="rId21" Type="http://schemas.openxmlformats.org/officeDocument/2006/relationships/hyperlink" Target="https://cdn.shopify.com/s/files/1/0792/5098/1063/files/b5c74b68d1b4eff2209b7123e3fbe61d1e31afd73aa5ba647e17c194e2e66c44_6ab5c586-a618-40f4-b48e-38e09e6a461b.jpg?v=1787245111" TargetMode="External"/><Relationship Id="rId42" Type="http://schemas.openxmlformats.org/officeDocument/2006/relationships/hyperlink" Target="https://cdn.shopify.com/s/files/1/0792/5098/1063/files/f1d2e21fbc5647f823f22c48940e5deec0311ead7e9b772c492ecf82b2b3ff3b.jpg?v=1785099574" TargetMode="External"/><Relationship Id="rId47" Type="http://schemas.openxmlformats.org/officeDocument/2006/relationships/hyperlink" Target="https://cdn.shopify.com/s/files/1/0792/5098/1063/files/94180d9f213d8233e384ef8416ec958afd6fe38eeda43d032fd598d852a3a274.jpg?v=1787233665" TargetMode="External"/><Relationship Id="rId63" Type="http://schemas.openxmlformats.org/officeDocument/2006/relationships/hyperlink" Target="https://cdn.shopify.com/s/files/1/0792/5098/1063/files/016cba1137ec3b2b7bdd46e0d797a4962a5f54c2379fde509b2301ca87b4ad35.jpg?v=1787233678" TargetMode="External"/><Relationship Id="rId68" Type="http://schemas.openxmlformats.org/officeDocument/2006/relationships/hyperlink" Target="https://cdn.shopify.com/s/files/1/0792/5098/1063/files/0b98d63f67b9b39913382ed53f2a21445b22531d2b9fff267d884d37d466742f.jpg?v=1787233678" TargetMode="External"/><Relationship Id="rId84" Type="http://schemas.openxmlformats.org/officeDocument/2006/relationships/hyperlink" Target="https://cdn.shopify.com/s/files/1/0792/5098/1063/files/211a7f518d47f7ccc7aea2fcf7dd6eccdae71860c4b90e78d4de70ce53d36eb9.jpg?v=1785047367" TargetMode="External"/><Relationship Id="rId89" Type="http://schemas.openxmlformats.org/officeDocument/2006/relationships/hyperlink" Target="https://cdn.shopify.com/s/files/1/0792/5098/1063/files/b62d307163504bede5d79d6a1894e1fb2390a7f6bb97d231a74b900c216c6f10.jpg?v=1785047189" TargetMode="External"/><Relationship Id="rId112" Type="http://schemas.openxmlformats.org/officeDocument/2006/relationships/hyperlink" Target="https://cdn.shopify.com/s/files/1/0792/5098/1063/files/1790d972d34f1676ff9960602f32a073d75ae00ce5514be8d583a1bee054cb72.jpg?v=1787233682" TargetMode="External"/><Relationship Id="rId16" Type="http://schemas.openxmlformats.org/officeDocument/2006/relationships/hyperlink" Target="https://cdn.shopify.com/s/files/1/0792/5098/1063/files/4905418785c478f3ccf76145151452929eacdfc883190607ac14b204c401e760.jpg?v=1787245111" TargetMode="External"/><Relationship Id="rId107" Type="http://schemas.openxmlformats.org/officeDocument/2006/relationships/hyperlink" Target="https://cdn.shopify.com/s/files/1/0792/5098/1063/files/044a88434534608756b0c91fa034b5bd3e06078ac0802d9eb409cbb4177ff68e.jpg?v=1787233682" TargetMode="External"/><Relationship Id="rId11" Type="http://schemas.openxmlformats.org/officeDocument/2006/relationships/hyperlink" Target="https://cdn.shopify.com/s/files/1/0792/5098/1063/files/aaac3be2edd458da15620b4b48ea0557ee8e33aa5a6ff9ed0d0db11848fd4cbe.jpg?v=1787245111" TargetMode="External"/><Relationship Id="rId32" Type="http://schemas.openxmlformats.org/officeDocument/2006/relationships/hyperlink" Target="https://cdn.shopify.com/s/files/1/0792/5098/1063/files/04eb35beff0bef995d4912767e2bdec2b80be1f53292fdd9777645dd9375b5aa.jpg?v=1785099109" TargetMode="External"/><Relationship Id="rId37" Type="http://schemas.openxmlformats.org/officeDocument/2006/relationships/hyperlink" Target="https://cdn.shopify.com/s/files/1/0792/5098/1063/files/5df2ae7ecc00cd0ab65d149177b7575a1608763d1d943fb3e9c2f1d9d8ad8183.jpg?v=1785099574" TargetMode="External"/><Relationship Id="rId53" Type="http://schemas.openxmlformats.org/officeDocument/2006/relationships/hyperlink" Target="https://cdn.shopify.com/s/files/1/0792/5098/1063/files/1869de0465a480871b4b80a13c5f44c85e64ca5f22f90032fa07b5ca5660dbfb.jpg?v=1787233666" TargetMode="External"/><Relationship Id="rId58" Type="http://schemas.openxmlformats.org/officeDocument/2006/relationships/hyperlink" Target="https://cdn.shopify.com/s/files/1/0792/5098/1063/files/08d3fe0c396e254e929909cf54b1707f62fb396b6d05c2ab0c56c631789ab04d.jpg?v=1787233665" TargetMode="External"/><Relationship Id="rId74" Type="http://schemas.openxmlformats.org/officeDocument/2006/relationships/hyperlink" Target="https://cdn.shopify.com/s/files/1/0792/5098/1063/files/fa88df693fa60cabcd0f81ce06bcd29af56cdf7514f68810d99ef599203c821d.jpg?v=1785047367" TargetMode="External"/><Relationship Id="rId79" Type="http://schemas.openxmlformats.org/officeDocument/2006/relationships/hyperlink" Target="https://cdn.shopify.com/s/files/1/0792/5098/1063/files/a0029afc03d47a3a82238a1bab89f1066c3687b3f06500badea074cba44f9e80.jpg?v=1785047367" TargetMode="External"/><Relationship Id="rId102" Type="http://schemas.openxmlformats.org/officeDocument/2006/relationships/hyperlink" Target="https://cdn.shopify.com/s/files/1/0792/5098/1063/files/df2728478e8364bc96182ba33c31dd08dcdab3758f1c26ecd4c76bcfacdeadc5.jpg?v=1787233682" TargetMode="External"/><Relationship Id="rId123" Type="http://schemas.openxmlformats.org/officeDocument/2006/relationships/hyperlink" Target="https://cdn.shopify.com/s/files/1/0792/5098/1063/files/c0229b109e769b68f8c9f35623479c094bab31ad756f2c9dfcf50eadd39d92c5.jpg?v=1787237695" TargetMode="External"/><Relationship Id="rId128" Type="http://schemas.openxmlformats.org/officeDocument/2006/relationships/hyperlink" Target="https://cdn.shopify.com/s/files/1/0792/5098/1063/files/0e22a9fec09643a714af054217066178d4f7bc4d6266b6d2ff5c33c09cc10e88.jpg?v=1787237695" TargetMode="External"/><Relationship Id="rId5" Type="http://schemas.openxmlformats.org/officeDocument/2006/relationships/hyperlink" Target="https://cdn.shopify.com/s/files/1/0792/5098/1063/files/c50488380d22611c83d218b77be9cfcf5799df4d9903913c09a1798712931b22.jpg?v=1785099190" TargetMode="External"/><Relationship Id="rId90" Type="http://schemas.openxmlformats.org/officeDocument/2006/relationships/hyperlink" Target="https://cdn.shopify.com/s/files/1/0792/5098/1063/files/b62d307163504bede5d79d6a1894e1fb2390a7f6bb97d231a74b900c216c6f10.jpg?v=1785047189" TargetMode="External"/><Relationship Id="rId95" Type="http://schemas.openxmlformats.org/officeDocument/2006/relationships/hyperlink" Target="https://cdn.shopify.com/s/files/1/0792/5098/1063/files/d48cccbb819c4ecffd7785e920fd2b840e50a24ee2a5033e47adf1a0f7ac2dd4.jpg?v=1785047189" TargetMode="External"/><Relationship Id="rId22" Type="http://schemas.openxmlformats.org/officeDocument/2006/relationships/hyperlink" Target="https://cdn.shopify.com/s/files/1/0792/5098/1063/files/b5c74b68d1b4eff2209b7123e3fbe61d1e31afd73aa5ba647e17c194e2e66c44_6ab5c586-a618-40f4-b48e-38e09e6a461b.jpg?v=1787245111" TargetMode="External"/><Relationship Id="rId27" Type="http://schemas.openxmlformats.org/officeDocument/2006/relationships/hyperlink" Target="https://cdn.shopify.com/s/files/1/0792/5098/1063/files/23aae70766fcc57c63f2a120721dae1baf196f15ef46a71bef7a702d11c656ca.jpg?v=1785099109" TargetMode="External"/><Relationship Id="rId43" Type="http://schemas.openxmlformats.org/officeDocument/2006/relationships/hyperlink" Target="https://cdn.shopify.com/s/files/1/0792/5098/1063/files/1cb933b580b777ff9fc7d527ca0ea879bde39d1f8b7faaac1505885401cf4b7b.jpg?v=1785099574" TargetMode="External"/><Relationship Id="rId48" Type="http://schemas.openxmlformats.org/officeDocument/2006/relationships/hyperlink" Target="https://cdn.shopify.com/s/files/1/0792/5098/1063/files/94180d9f213d8233e384ef8416ec958afd6fe38eeda43d032fd598d852a3a274.jpg?v=1787233665" TargetMode="External"/><Relationship Id="rId64" Type="http://schemas.openxmlformats.org/officeDocument/2006/relationships/hyperlink" Target="https://cdn.shopify.com/s/files/1/0792/5098/1063/files/016cba1137ec3b2b7bdd46e0d797a4962a5f54c2379fde509b2301ca87b4ad35.jpg?v=1787233678" TargetMode="External"/><Relationship Id="rId69" Type="http://schemas.openxmlformats.org/officeDocument/2006/relationships/hyperlink" Target="https://cdn.shopify.com/s/files/1/0792/5098/1063/files/5155a60b18436e391bed973022f7062d5434ddd6d570a51bc67a5fdb0c719df7.jpg?v=1787233678" TargetMode="External"/><Relationship Id="rId113" Type="http://schemas.openxmlformats.org/officeDocument/2006/relationships/hyperlink" Target="https://cdn.shopify.com/s/files/1/0792/5098/1063/files/9b0208488bc2babfa22f4cf50f3e6213152506148e49cdd0bae5d159838e9105.jpg?v=1787233682" TargetMode="External"/><Relationship Id="rId118" Type="http://schemas.openxmlformats.org/officeDocument/2006/relationships/hyperlink" Target="https://cdn.shopify.com/s/files/1/0792/5098/1063/files/9a2ea3655358889bfb8939e5d43749d9fc1a68a15bb91eb7257e168947c5d449.jpg?v=1787237695" TargetMode="External"/><Relationship Id="rId80" Type="http://schemas.openxmlformats.org/officeDocument/2006/relationships/hyperlink" Target="https://cdn.shopify.com/s/files/1/0792/5098/1063/files/a0029afc03d47a3a82238a1bab89f1066c3687b3f06500badea074cba44f9e80.jpg?v=1785047367" TargetMode="External"/><Relationship Id="rId85" Type="http://schemas.openxmlformats.org/officeDocument/2006/relationships/hyperlink" Target="https://cdn.shopify.com/s/files/1/0792/5098/1063/files/285b33441b58fd0660e7d9fbad77f1aeb4d88a3e3678d0ef0a1341e0d0cab3fa.jpg?v=1785047367" TargetMode="External"/><Relationship Id="rId12" Type="http://schemas.openxmlformats.org/officeDocument/2006/relationships/hyperlink" Target="https://cdn.shopify.com/s/files/1/0792/5098/1063/files/aaac3be2edd458da15620b4b48ea0557ee8e33aa5a6ff9ed0d0db11848fd4cbe.jpg?v=1787245111" TargetMode="External"/><Relationship Id="rId17" Type="http://schemas.openxmlformats.org/officeDocument/2006/relationships/hyperlink" Target="https://cdn.shopify.com/s/files/1/0792/5098/1063/files/66e753b90ce33322bda9902192b0d181e5f65b4823b1464fb51d32bee82398ed.jpg?v=1787245111" TargetMode="External"/><Relationship Id="rId33" Type="http://schemas.openxmlformats.org/officeDocument/2006/relationships/hyperlink" Target="https://cdn.shopify.com/s/files/1/0792/5098/1063/files/61192968c1230d5ae97babcfd885b0b0e273f4d893aaaf63a91706f8a569a358.jpg?v=1785099109" TargetMode="External"/><Relationship Id="rId38" Type="http://schemas.openxmlformats.org/officeDocument/2006/relationships/hyperlink" Target="https://cdn.shopify.com/s/files/1/0792/5098/1063/files/5df2ae7ecc00cd0ab65d149177b7575a1608763d1d943fb3e9c2f1d9d8ad8183.jpg?v=1785099574" TargetMode="External"/><Relationship Id="rId59" Type="http://schemas.openxmlformats.org/officeDocument/2006/relationships/hyperlink" Target="https://cdn.shopify.com/s/files/1/0792/5098/1063/files/168d48c33af74fd729615aa6c0790691ec2ec8ab000886bd93c0851b05764cb5.jpg?v=1787233678" TargetMode="External"/><Relationship Id="rId103" Type="http://schemas.openxmlformats.org/officeDocument/2006/relationships/hyperlink" Target="https://cdn.shopify.com/s/files/1/0792/5098/1063/files/3fb22c532d2ea675077fa5f07538ad0693869d76604d9f54efbb12cf12dc3012.jpg?v=1787233682" TargetMode="External"/><Relationship Id="rId108" Type="http://schemas.openxmlformats.org/officeDocument/2006/relationships/hyperlink" Target="https://cdn.shopify.com/s/files/1/0792/5098/1063/files/044a88434534608756b0c91fa034b5bd3e06078ac0802d9eb409cbb4177ff68e.jpg?v=1787233682" TargetMode="External"/><Relationship Id="rId124" Type="http://schemas.openxmlformats.org/officeDocument/2006/relationships/hyperlink" Target="https://cdn.shopify.com/s/files/1/0792/5098/1063/files/c0229b109e769b68f8c9f35623479c094bab31ad756f2c9dfcf50eadd39d92c5.jpg?v=1787237695" TargetMode="External"/><Relationship Id="rId129" Type="http://schemas.openxmlformats.org/officeDocument/2006/relationships/hyperlink" Target="https://cdn.shopify.com/s/files/1/0792/5098/1063/files/d6b8438a259ef28ba839a68ba108f40464bc9629b0bc2168779fc7776c9cbffa.jpg?v=1787237695" TargetMode="External"/><Relationship Id="rId54" Type="http://schemas.openxmlformats.org/officeDocument/2006/relationships/hyperlink" Target="https://cdn.shopify.com/s/files/1/0792/5098/1063/files/1869de0465a480871b4b80a13c5f44c85e64ca5f22f90032fa07b5ca5660dbfb.jpg?v=1787233666" TargetMode="External"/><Relationship Id="rId70" Type="http://schemas.openxmlformats.org/officeDocument/2006/relationships/hyperlink" Target="https://cdn.shopify.com/s/files/1/0792/5098/1063/files/5155a60b18436e391bed973022f7062d5434ddd6d570a51bc67a5fdb0c719df7.jpg?v=1787233678" TargetMode="External"/><Relationship Id="rId75" Type="http://schemas.openxmlformats.org/officeDocument/2006/relationships/hyperlink" Target="https://cdn.shopify.com/s/files/1/0792/5098/1063/files/77672c69bdca6fa3e34e5d859164a2661a0ec26b6ac10221a3df3171a6df2791.jpg?v=1785047367" TargetMode="External"/><Relationship Id="rId91" Type="http://schemas.openxmlformats.org/officeDocument/2006/relationships/hyperlink" Target="https://cdn.shopify.com/s/files/1/0792/5098/1063/files/492ae2152294ed05b1b9c9c476c3f0407f72dd5f9231dfabab608600dfcfca18.jpg?v=1785047188" TargetMode="External"/><Relationship Id="rId96" Type="http://schemas.openxmlformats.org/officeDocument/2006/relationships/hyperlink" Target="https://cdn.shopify.com/s/files/1/0792/5098/1063/files/d48cccbb819c4ecffd7785e920fd2b840e50a24ee2a5033e47adf1a0f7ac2dd4.jpg?v=1785047189" TargetMode="External"/><Relationship Id="rId1" Type="http://schemas.openxmlformats.org/officeDocument/2006/relationships/hyperlink" Target="https://cdn.shopify.com/s/files/1/0792/5098/1063/files/0754b2731a7ffd916d0ef8b214706e796d780fbd4ba38c8f47f27b6dcfbf352e.jpg?v=1785099190" TargetMode="External"/><Relationship Id="rId6" Type="http://schemas.openxmlformats.org/officeDocument/2006/relationships/hyperlink" Target="https://cdn.shopify.com/s/files/1/0792/5098/1063/files/c50488380d22611c83d218b77be9cfcf5799df4d9903913c09a1798712931b22.jpg?v=1785099190" TargetMode="External"/><Relationship Id="rId23" Type="http://schemas.openxmlformats.org/officeDocument/2006/relationships/hyperlink" Target="https://cdn.shopify.com/s/files/1/0792/5098/1063/files/a0ebf0c8e5cb1f2c8f924529805ea1d20494460dd41a740514b8862f5d5a2f4f_b03a920f-a52a-4b39-842e-77c13ca56137.jpg?v=1787245111" TargetMode="External"/><Relationship Id="rId28" Type="http://schemas.openxmlformats.org/officeDocument/2006/relationships/hyperlink" Target="https://cdn.shopify.com/s/files/1/0792/5098/1063/files/23aae70766fcc57c63f2a120721dae1baf196f15ef46a71bef7a702d11c656ca.jpg?v=1785099109" TargetMode="External"/><Relationship Id="rId49" Type="http://schemas.openxmlformats.org/officeDocument/2006/relationships/hyperlink" Target="https://cdn.shopify.com/s/files/1/0792/5098/1063/files/a98e42be7f34a03d4b9ee94c19374ef39f213c4ad9c5936eb702be120e072cb3.jpg?v=1787233666" TargetMode="External"/><Relationship Id="rId114" Type="http://schemas.openxmlformats.org/officeDocument/2006/relationships/hyperlink" Target="https://cdn.shopify.com/s/files/1/0792/5098/1063/files/9b0208488bc2babfa22f4cf50f3e6213152506148e49cdd0bae5d159838e9105.jpg?v=1787233682" TargetMode="External"/><Relationship Id="rId119" Type="http://schemas.openxmlformats.org/officeDocument/2006/relationships/hyperlink" Target="https://cdn.shopify.com/s/files/1/0792/5098/1063/files/50f96559dd878ae5bbee14ba7a34337ccd740d21a8ffe86a8a1be819656d26c0.jpg?v=1787237695" TargetMode="External"/><Relationship Id="rId44" Type="http://schemas.openxmlformats.org/officeDocument/2006/relationships/hyperlink" Target="https://cdn.shopify.com/s/files/1/0792/5098/1063/files/1cb933b580b777ff9fc7d527ca0ea879bde39d1f8b7faaac1505885401cf4b7b.jpg?v=1785099574" TargetMode="External"/><Relationship Id="rId60" Type="http://schemas.openxmlformats.org/officeDocument/2006/relationships/hyperlink" Target="https://cdn.shopify.com/s/files/1/0792/5098/1063/files/168d48c33af74fd729615aa6c0790691ec2ec8ab000886bd93c0851b05764cb5.jpg?v=1787233678" TargetMode="External"/><Relationship Id="rId65" Type="http://schemas.openxmlformats.org/officeDocument/2006/relationships/hyperlink" Target="https://cdn.shopify.com/s/files/1/0792/5098/1063/files/f8cc70311d22e4bc770b45756e723f2451f8d0e3a5de4035dc223375ea6ac88e.jpg?v=1787233678" TargetMode="External"/><Relationship Id="rId81" Type="http://schemas.openxmlformats.org/officeDocument/2006/relationships/hyperlink" Target="https://cdn.shopify.com/s/files/1/0792/5098/1063/files/ce768ad21d8034d259875beb1f86914d1af6b1b5f584dd33080fe12b5797fde7.jpg?v=1785047367" TargetMode="External"/><Relationship Id="rId86" Type="http://schemas.openxmlformats.org/officeDocument/2006/relationships/hyperlink" Target="https://cdn.shopify.com/s/files/1/0792/5098/1063/files/285b33441b58fd0660e7d9fbad77f1aeb4d88a3e3678d0ef0a1341e0d0cab3fa.jpg?v=1785047367" TargetMode="External"/><Relationship Id="rId130" Type="http://schemas.openxmlformats.org/officeDocument/2006/relationships/hyperlink" Target="https://cdn.shopify.com/s/files/1/0792/5098/1063/files/d6b8438a259ef28ba839a68ba108f40464bc9629b0bc2168779fc7776c9cbffa.jpg?v=1787237695" TargetMode="External"/><Relationship Id="rId13" Type="http://schemas.openxmlformats.org/officeDocument/2006/relationships/hyperlink" Target="https://cdn.shopify.com/s/files/1/0792/5098/1063/files/b4d8d185bcbb550263dadfadb3419fffc97f4c44e070091e393e7296e5d6fb3c.jpg?v=1787245111" TargetMode="External"/><Relationship Id="rId18" Type="http://schemas.openxmlformats.org/officeDocument/2006/relationships/hyperlink" Target="https://cdn.shopify.com/s/files/1/0792/5098/1063/files/66e753b90ce33322bda9902192b0d181e5f65b4823b1464fb51d32bee82398ed.jpg?v=1787245111" TargetMode="External"/><Relationship Id="rId39" Type="http://schemas.openxmlformats.org/officeDocument/2006/relationships/hyperlink" Target="https://cdn.shopify.com/s/files/1/0792/5098/1063/files/237f2056af02c2988db426ce4802f4abd6dac07ceb24c04b20a244c9be27b457.jpg?v=1785099574" TargetMode="External"/><Relationship Id="rId109" Type="http://schemas.openxmlformats.org/officeDocument/2006/relationships/hyperlink" Target="https://cdn.shopify.com/s/files/1/0792/5098/1063/files/8f7c582280e89587a9220b27404f887ca04a3550cb155e58214bec320e7e7a84.jpg?v=1787233682" TargetMode="External"/><Relationship Id="rId34" Type="http://schemas.openxmlformats.org/officeDocument/2006/relationships/hyperlink" Target="https://cdn.shopify.com/s/files/1/0792/5098/1063/files/61192968c1230d5ae97babcfd885b0b0e273f4d893aaaf63a91706f8a569a358.jpg?v=1785099109" TargetMode="External"/><Relationship Id="rId50" Type="http://schemas.openxmlformats.org/officeDocument/2006/relationships/hyperlink" Target="https://cdn.shopify.com/s/files/1/0792/5098/1063/files/a98e42be7f34a03d4b9ee94c19374ef39f213c4ad9c5936eb702be120e072cb3.jpg?v=1787233666" TargetMode="External"/><Relationship Id="rId55" Type="http://schemas.openxmlformats.org/officeDocument/2006/relationships/hyperlink" Target="https://cdn.shopify.com/s/files/1/0792/5098/1063/files/bac284f19ea6eaebff7bffc00fe351531fdc59f4eed7da6ff7803f1bb87999b1.jpg?v=1787233665" TargetMode="External"/><Relationship Id="rId76" Type="http://schemas.openxmlformats.org/officeDocument/2006/relationships/hyperlink" Target="https://cdn.shopify.com/s/files/1/0792/5098/1063/files/77672c69bdca6fa3e34e5d859164a2661a0ec26b6ac10221a3df3171a6df2791.jpg?v=1785047367" TargetMode="External"/><Relationship Id="rId97" Type="http://schemas.openxmlformats.org/officeDocument/2006/relationships/hyperlink" Target="https://cdn.shopify.com/s/files/1/0792/5098/1063/files/eb7addcbef4e997dedf995d8edc2c3fb7ac03e00ca967e746fc0f52cc5daca82.jpg?v=1785047189" TargetMode="External"/><Relationship Id="rId104" Type="http://schemas.openxmlformats.org/officeDocument/2006/relationships/hyperlink" Target="https://cdn.shopify.com/s/files/1/0792/5098/1063/files/3fb22c532d2ea675077fa5f07538ad0693869d76604d9f54efbb12cf12dc3012.jpg?v=1787233682" TargetMode="External"/><Relationship Id="rId120" Type="http://schemas.openxmlformats.org/officeDocument/2006/relationships/hyperlink" Target="https://cdn.shopify.com/s/files/1/0792/5098/1063/files/50f96559dd878ae5bbee14ba7a34337ccd740d21a8ffe86a8a1be819656d26c0.jpg?v=1787237695" TargetMode="External"/><Relationship Id="rId125" Type="http://schemas.openxmlformats.org/officeDocument/2006/relationships/hyperlink" Target="https://cdn.shopify.com/s/files/1/0792/5098/1063/files/e22715b9d350060d7f718ca936fb51ae74bf407c9cd643e977844be314d468df.jpg?v=1787237695" TargetMode="External"/><Relationship Id="rId7" Type="http://schemas.openxmlformats.org/officeDocument/2006/relationships/hyperlink" Target="https://cdn.shopify.com/s/files/1/0792/5098/1063/files/455c5869333cc7654f6c30f3d09716ec1513311734a21a6aa82bf5fe0767ac69.jpg?v=1785099191" TargetMode="External"/><Relationship Id="rId71" Type="http://schemas.openxmlformats.org/officeDocument/2006/relationships/hyperlink" Target="https://cdn.shopify.com/s/files/1/0792/5098/1063/files/0df0c698011b3a8e7982071042b9453452548b6175c2c4076cc8bb84ebb1a277.jpg?v=1787233678" TargetMode="External"/><Relationship Id="rId92" Type="http://schemas.openxmlformats.org/officeDocument/2006/relationships/hyperlink" Target="https://cdn.shopify.com/s/files/1/0792/5098/1063/files/492ae2152294ed05b1b9c9c476c3f0407f72dd5f9231dfabab608600dfcfca18.jpg?v=1785047188" TargetMode="External"/><Relationship Id="rId2" Type="http://schemas.openxmlformats.org/officeDocument/2006/relationships/hyperlink" Target="https://cdn.shopify.com/s/files/1/0792/5098/1063/files/0754b2731a7ffd916d0ef8b214706e796d780fbd4ba38c8f47f27b6dcfbf352e.jpg?v=1785099190" TargetMode="External"/><Relationship Id="rId29" Type="http://schemas.openxmlformats.org/officeDocument/2006/relationships/hyperlink" Target="https://cdn.shopify.com/s/files/1/0792/5098/1063/files/3357b4715872fc6507e88263f9aa17ed3b1495f7db35293b4d27a2a5b80d78cc.jpg?v=1785099109" TargetMode="External"/><Relationship Id="rId24" Type="http://schemas.openxmlformats.org/officeDocument/2006/relationships/hyperlink" Target="https://cdn.shopify.com/s/files/1/0792/5098/1063/files/a0ebf0c8e5cb1f2c8f924529805ea1d20494460dd41a740514b8862f5d5a2f4f_b03a920f-a52a-4b39-842e-77c13ca56137.jpg?v=1787245111" TargetMode="External"/><Relationship Id="rId40" Type="http://schemas.openxmlformats.org/officeDocument/2006/relationships/hyperlink" Target="https://cdn.shopify.com/s/files/1/0792/5098/1063/files/237f2056af02c2988db426ce4802f4abd6dac07ceb24c04b20a244c9be27b457.jpg?v=1785099574" TargetMode="External"/><Relationship Id="rId45" Type="http://schemas.openxmlformats.org/officeDocument/2006/relationships/hyperlink" Target="https://cdn.shopify.com/s/files/1/0792/5098/1063/files/4cb58385aa64c7ba3ce5dabd48014490cd060d90ab8ef7be5d1681dbc0c68a37.jpg?v=1787233666" TargetMode="External"/><Relationship Id="rId66" Type="http://schemas.openxmlformats.org/officeDocument/2006/relationships/hyperlink" Target="https://cdn.shopify.com/s/files/1/0792/5098/1063/files/f8cc70311d22e4bc770b45756e723f2451f8d0e3a5de4035dc223375ea6ac88e.jpg?v=1787233678" TargetMode="External"/><Relationship Id="rId87" Type="http://schemas.openxmlformats.org/officeDocument/2006/relationships/hyperlink" Target="https://cdn.shopify.com/s/files/1/0792/5098/1063/files/eeee3be59c912ddfb95b556144ad283287f06b56c3797e9000aed4094e9c0f46.jpg?v=1785047188" TargetMode="External"/><Relationship Id="rId110" Type="http://schemas.openxmlformats.org/officeDocument/2006/relationships/hyperlink" Target="https://cdn.shopify.com/s/files/1/0792/5098/1063/files/8f7c582280e89587a9220b27404f887ca04a3550cb155e58214bec320e7e7a84.jpg?v=1787233682" TargetMode="External"/><Relationship Id="rId115" Type="http://schemas.openxmlformats.org/officeDocument/2006/relationships/hyperlink" Target="https://cdn.shopify.com/s/files/1/0792/5098/1063/files/e0fe73b713afc62cfffb3946372bff45f6aba6f1bc25f209c29052448bc1decb.jpg?v=1787237695" TargetMode="External"/><Relationship Id="rId61" Type="http://schemas.openxmlformats.org/officeDocument/2006/relationships/hyperlink" Target="https://cdn.shopify.com/s/files/1/0792/5098/1063/files/5fb11ab02ba6d7c7d6dc7b600952eeed36e59dc4fd7d78e26290c5b4432ce84a.jpg?v=1787233677" TargetMode="External"/><Relationship Id="rId82" Type="http://schemas.openxmlformats.org/officeDocument/2006/relationships/hyperlink" Target="https://cdn.shopify.com/s/files/1/0792/5098/1063/files/ce768ad21d8034d259875beb1f86914d1af6b1b5f584dd33080fe12b5797fde7.jpg?v=1785047367" TargetMode="External"/><Relationship Id="rId19" Type="http://schemas.openxmlformats.org/officeDocument/2006/relationships/hyperlink" Target="https://cdn.shopify.com/s/files/1/0792/5098/1063/files/a8d8145d1b6e7b4bbc3eb1dc71a100a3f3243648810f40f7f678de166dbfd428.jpg?v=1787245111" TargetMode="External"/><Relationship Id="rId14" Type="http://schemas.openxmlformats.org/officeDocument/2006/relationships/hyperlink" Target="https://cdn.shopify.com/s/files/1/0792/5098/1063/files/b4d8d185bcbb550263dadfadb3419fffc97f4c44e070091e393e7296e5d6fb3c.jpg?v=1787245111" TargetMode="External"/><Relationship Id="rId30" Type="http://schemas.openxmlformats.org/officeDocument/2006/relationships/hyperlink" Target="https://cdn.shopify.com/s/files/1/0792/5098/1063/files/3357b4715872fc6507e88263f9aa17ed3b1495f7db35293b4d27a2a5b80d78cc.jpg?v=1785099109" TargetMode="External"/><Relationship Id="rId35" Type="http://schemas.openxmlformats.org/officeDocument/2006/relationships/hyperlink" Target="https://cdn.shopify.com/s/files/1/0792/5098/1063/files/e3dd349b4f8425ce46aea21296a0670e616f15f912e8415586fd0ccdb402fadf.jpg?v=1785099574" TargetMode="External"/><Relationship Id="rId56" Type="http://schemas.openxmlformats.org/officeDocument/2006/relationships/hyperlink" Target="https://cdn.shopify.com/s/files/1/0792/5098/1063/files/bac284f19ea6eaebff7bffc00fe351531fdc59f4eed7da6ff7803f1bb87999b1.jpg?v=1787233665" TargetMode="External"/><Relationship Id="rId77" Type="http://schemas.openxmlformats.org/officeDocument/2006/relationships/hyperlink" Target="https://cdn.shopify.com/s/files/1/0792/5098/1063/files/ef4c0af4b6e931816fba2b315617ce40f57b62cc23bc9476fc29bcd9f7fea3ed.jpg?v=1785047367" TargetMode="External"/><Relationship Id="rId100" Type="http://schemas.openxmlformats.org/officeDocument/2006/relationships/hyperlink" Target="https://cdn.shopify.com/s/files/1/0792/5098/1063/files/622bf0b0bbd2db15d18f7453d631905d39821f40d39fc016cd52742300cd6741.jpg?v=1785047189" TargetMode="External"/><Relationship Id="rId105" Type="http://schemas.openxmlformats.org/officeDocument/2006/relationships/hyperlink" Target="https://cdn.shopify.com/s/files/1/0792/5098/1063/files/015c23cc578e135b61ae727b347772c42c1d51319bdc062c7e1f665e85a0a3f3.jpg?v=1787233682" TargetMode="External"/><Relationship Id="rId126" Type="http://schemas.openxmlformats.org/officeDocument/2006/relationships/hyperlink" Target="https://cdn.shopify.com/s/files/1/0792/5098/1063/files/e22715b9d350060d7f718ca936fb51ae74bf407c9cd643e977844be314d468df.jpg?v=1787237695" TargetMode="External"/><Relationship Id="rId8" Type="http://schemas.openxmlformats.org/officeDocument/2006/relationships/hyperlink" Target="https://cdn.shopify.com/s/files/1/0792/5098/1063/files/455c5869333cc7654f6c30f3d09716ec1513311734a21a6aa82bf5fe0767ac69.jpg?v=1785099191" TargetMode="External"/><Relationship Id="rId51" Type="http://schemas.openxmlformats.org/officeDocument/2006/relationships/hyperlink" Target="https://cdn.shopify.com/s/files/1/0792/5098/1063/files/06467b270df2093a70f746e873ebb0b88964a81ef45800624c02604fd1ec068a.jpg?v=1787233666" TargetMode="External"/><Relationship Id="rId72" Type="http://schemas.openxmlformats.org/officeDocument/2006/relationships/hyperlink" Target="https://cdn.shopify.com/s/files/1/0792/5098/1063/files/0df0c698011b3a8e7982071042b9453452548b6175c2c4076cc8bb84ebb1a277.jpg?v=1787233678" TargetMode="External"/><Relationship Id="rId93" Type="http://schemas.openxmlformats.org/officeDocument/2006/relationships/hyperlink" Target="https://cdn.shopify.com/s/files/1/0792/5098/1063/files/d9597bfb2c08a10fed85d6814082edddf7b30bf76e5108fb36b1aee207514584.jpg?v=1785047189" TargetMode="External"/><Relationship Id="rId98" Type="http://schemas.openxmlformats.org/officeDocument/2006/relationships/hyperlink" Target="https://cdn.shopify.com/s/files/1/0792/5098/1063/files/eb7addcbef4e997dedf995d8edc2c3fb7ac03e00ca967e746fc0f52cc5daca82.jpg?v=1785047189" TargetMode="External"/><Relationship Id="rId121" Type="http://schemas.openxmlformats.org/officeDocument/2006/relationships/hyperlink" Target="https://cdn.shopify.com/s/files/1/0792/5098/1063/files/e177a63ec5fdef284072a06f2775ebbbf78d53d430946e0a479a9aea59e23193.jpg?v=1787237695" TargetMode="External"/><Relationship Id="rId3" Type="http://schemas.openxmlformats.org/officeDocument/2006/relationships/hyperlink" Target="https://cdn.shopify.com/s/files/1/0792/5098/1063/files/a10aa0018e665e644a60b7c4aea8b5e152ec768ebb35af1090452cddbc9e9828.jpg?v=1785099190" TargetMode="External"/><Relationship Id="rId25" Type="http://schemas.openxmlformats.org/officeDocument/2006/relationships/hyperlink" Target="https://cdn.shopify.com/s/files/1/0792/5098/1063/files/3a652bff5b2cdcf1fb571a14f08c2175d783a6106bb14665fb5861e23501a1fa.jpg?v=1785099109" TargetMode="External"/><Relationship Id="rId46" Type="http://schemas.openxmlformats.org/officeDocument/2006/relationships/hyperlink" Target="https://cdn.shopify.com/s/files/1/0792/5098/1063/files/4cb58385aa64c7ba3ce5dabd48014490cd060d90ab8ef7be5d1681dbc0c68a37.jpg?v=1787233666" TargetMode="External"/><Relationship Id="rId67" Type="http://schemas.openxmlformats.org/officeDocument/2006/relationships/hyperlink" Target="https://cdn.shopify.com/s/files/1/0792/5098/1063/files/0b98d63f67b9b39913382ed53f2a21445b22531d2b9fff267d884d37d466742f.jpg?v=1787233678" TargetMode="External"/><Relationship Id="rId116" Type="http://schemas.openxmlformats.org/officeDocument/2006/relationships/hyperlink" Target="https://cdn.shopify.com/s/files/1/0792/5098/1063/files/e0fe73b713afc62cfffb3946372bff45f6aba6f1bc25f209c29052448bc1decb.jpg?v=1787237695" TargetMode="External"/><Relationship Id="rId20" Type="http://schemas.openxmlformats.org/officeDocument/2006/relationships/hyperlink" Target="https://cdn.shopify.com/s/files/1/0792/5098/1063/files/a8d8145d1b6e7b4bbc3eb1dc71a100a3f3243648810f40f7f678de166dbfd428.jpg?v=1787245111" TargetMode="External"/><Relationship Id="rId41" Type="http://schemas.openxmlformats.org/officeDocument/2006/relationships/hyperlink" Target="https://cdn.shopify.com/s/files/1/0792/5098/1063/files/f1d2e21fbc5647f823f22c48940e5deec0311ead7e9b772c492ecf82b2b3ff3b.jpg?v=1785099574" TargetMode="External"/><Relationship Id="rId62" Type="http://schemas.openxmlformats.org/officeDocument/2006/relationships/hyperlink" Target="https://cdn.shopify.com/s/files/1/0792/5098/1063/files/5fb11ab02ba6d7c7d6dc7b600952eeed36e59dc4fd7d78e26290c5b4432ce84a.jpg?v=1787233677" TargetMode="External"/><Relationship Id="rId83" Type="http://schemas.openxmlformats.org/officeDocument/2006/relationships/hyperlink" Target="https://cdn.shopify.com/s/files/1/0792/5098/1063/files/211a7f518d47f7ccc7aea2fcf7dd6eccdae71860c4b90e78d4de70ce53d36eb9.jpg?v=1785047367" TargetMode="External"/><Relationship Id="rId88" Type="http://schemas.openxmlformats.org/officeDocument/2006/relationships/hyperlink" Target="https://cdn.shopify.com/s/files/1/0792/5098/1063/files/eeee3be59c912ddfb95b556144ad283287f06b56c3797e9000aed4094e9c0f46.jpg?v=1785047188" TargetMode="External"/><Relationship Id="rId111" Type="http://schemas.openxmlformats.org/officeDocument/2006/relationships/hyperlink" Target="https://cdn.shopify.com/s/files/1/0792/5098/1063/files/1790d972d34f1676ff9960602f32a073d75ae00ce5514be8d583a1bee054cb72.jpg?v=1787233682" TargetMode="External"/><Relationship Id="rId15" Type="http://schemas.openxmlformats.org/officeDocument/2006/relationships/hyperlink" Target="https://cdn.shopify.com/s/files/1/0792/5098/1063/files/4905418785c478f3ccf76145151452929eacdfc883190607ac14b204c401e760.jpg?v=1787245111" TargetMode="External"/><Relationship Id="rId36" Type="http://schemas.openxmlformats.org/officeDocument/2006/relationships/hyperlink" Target="https://cdn.shopify.com/s/files/1/0792/5098/1063/files/e3dd349b4f8425ce46aea21296a0670e616f15f912e8415586fd0ccdb402fadf.jpg?v=1785099574" TargetMode="External"/><Relationship Id="rId57" Type="http://schemas.openxmlformats.org/officeDocument/2006/relationships/hyperlink" Target="https://cdn.shopify.com/s/files/1/0792/5098/1063/files/08d3fe0c396e254e929909cf54b1707f62fb396b6d05c2ab0c56c631789ab04d.jpg?v=1787233665" TargetMode="External"/><Relationship Id="rId106" Type="http://schemas.openxmlformats.org/officeDocument/2006/relationships/hyperlink" Target="https://cdn.shopify.com/s/files/1/0792/5098/1063/files/015c23cc578e135b61ae727b347772c42c1d51319bdc062c7e1f665e85a0a3f3.jpg?v=1787233682" TargetMode="External"/><Relationship Id="rId127" Type="http://schemas.openxmlformats.org/officeDocument/2006/relationships/hyperlink" Target="https://cdn.shopify.com/s/files/1/0792/5098/1063/files/0e22a9fec09643a714af054217066178d4f7bc4d6266b6d2ff5c33c09cc10e88.jpg?v=1787237695" TargetMode="External"/><Relationship Id="rId10" Type="http://schemas.openxmlformats.org/officeDocument/2006/relationships/hyperlink" Target="https://cdn.shopify.com/s/files/1/0792/5098/1063/files/f17ccb354040b3320b99a1960533bd6ef949db1145d3897d55a33673489caad9.jpg?v=1785099190" TargetMode="External"/><Relationship Id="rId31" Type="http://schemas.openxmlformats.org/officeDocument/2006/relationships/hyperlink" Target="https://cdn.shopify.com/s/files/1/0792/5098/1063/files/04eb35beff0bef995d4912767e2bdec2b80be1f53292fdd9777645dd9375b5aa.jpg?v=1785099109" TargetMode="External"/><Relationship Id="rId52" Type="http://schemas.openxmlformats.org/officeDocument/2006/relationships/hyperlink" Target="https://cdn.shopify.com/s/files/1/0792/5098/1063/files/06467b270df2093a70f746e873ebb0b88964a81ef45800624c02604fd1ec068a.jpg?v=1787233666" TargetMode="External"/><Relationship Id="rId73" Type="http://schemas.openxmlformats.org/officeDocument/2006/relationships/hyperlink" Target="https://cdn.shopify.com/s/files/1/0792/5098/1063/files/fa88df693fa60cabcd0f81ce06bcd29af56cdf7514f68810d99ef599203c821d.jpg?v=1785047367" TargetMode="External"/><Relationship Id="rId78" Type="http://schemas.openxmlformats.org/officeDocument/2006/relationships/hyperlink" Target="https://cdn.shopify.com/s/files/1/0792/5098/1063/files/ef4c0af4b6e931816fba2b315617ce40f57b62cc23bc9476fc29bcd9f7fea3ed.jpg?v=1785047367" TargetMode="External"/><Relationship Id="rId94" Type="http://schemas.openxmlformats.org/officeDocument/2006/relationships/hyperlink" Target="https://cdn.shopify.com/s/files/1/0792/5098/1063/files/d9597bfb2c08a10fed85d6814082edddf7b30bf76e5108fb36b1aee207514584.jpg?v=1785047189" TargetMode="External"/><Relationship Id="rId99" Type="http://schemas.openxmlformats.org/officeDocument/2006/relationships/hyperlink" Target="https://cdn.shopify.com/s/files/1/0792/5098/1063/files/622bf0b0bbd2db15d18f7453d631905d39821f40d39fc016cd52742300cd6741.jpg?v=1785047189" TargetMode="External"/><Relationship Id="rId101" Type="http://schemas.openxmlformats.org/officeDocument/2006/relationships/hyperlink" Target="https://cdn.shopify.com/s/files/1/0792/5098/1063/files/df2728478e8364bc96182ba33c31dd08dcdab3758f1c26ecd4c76bcfacdeadc5.jpg?v=1787233682" TargetMode="External"/><Relationship Id="rId122" Type="http://schemas.openxmlformats.org/officeDocument/2006/relationships/hyperlink" Target="https://cdn.shopify.com/s/files/1/0792/5098/1063/files/e177a63ec5fdef284072a06f2775ebbbf78d53d430946e0a479a9aea59e23193.jpg?v=1787237695" TargetMode="External"/><Relationship Id="rId4" Type="http://schemas.openxmlformats.org/officeDocument/2006/relationships/hyperlink" Target="https://cdn.shopify.com/s/files/1/0792/5098/1063/files/a10aa0018e665e644a60b7c4aea8b5e152ec768ebb35af1090452cddbc9e9828.jpg?v=1785099190" TargetMode="External"/><Relationship Id="rId9" Type="http://schemas.openxmlformats.org/officeDocument/2006/relationships/hyperlink" Target="https://cdn.shopify.com/s/files/1/0792/5098/1063/files/f17ccb354040b3320b99a1960533bd6ef949db1145d3897d55a33673489caad9.jpg?v=1785099190" TargetMode="External"/><Relationship Id="rId26" Type="http://schemas.openxmlformats.org/officeDocument/2006/relationships/hyperlink" Target="https://cdn.shopify.com/s/files/1/0792/5098/1063/files/3a652bff5b2cdcf1fb571a14f08c2175d783a6106bb14665fb5861e23501a1fa.jpg?v=178509910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4"/>
  <sheetViews>
    <sheetView showGridLines="0" tabSelected="1" workbookViewId="0">
      <pane ySplit="1" topLeftCell="A2" activePane="bottomLeft" state="frozen"/>
      <selection pane="bottomLeft"/>
    </sheetView>
  </sheetViews>
  <sheetFormatPr defaultRowHeight="14.4" x14ac:dyDescent="0.3"/>
  <cols>
    <col min="1" max="1" width="24" customWidth="1"/>
    <col min="2" max="3" width="42" customWidth="1"/>
  </cols>
  <sheetData>
    <row r="1" spans="1:3" ht="31.95" customHeight="1" x14ac:dyDescent="0.3">
      <c r="A1" s="1" t="s">
        <v>0</v>
      </c>
      <c r="B1" s="1" t="s">
        <v>1</v>
      </c>
      <c r="C1" s="1" t="s">
        <v>2</v>
      </c>
    </row>
    <row r="2" spans="1:3" ht="36" customHeight="1" x14ac:dyDescent="0.3">
      <c r="A2" s="2" t="s">
        <v>3</v>
      </c>
      <c r="B2" s="2" t="s">
        <v>4</v>
      </c>
      <c r="C2" s="2" t="s">
        <v>5</v>
      </c>
    </row>
    <row r="3" spans="1:3" ht="36" customHeight="1" x14ac:dyDescent="0.3">
      <c r="A3" s="3" t="s">
        <v>6</v>
      </c>
      <c r="B3" s="3" t="s">
        <v>7</v>
      </c>
      <c r="C3" s="3" t="s">
        <v>8</v>
      </c>
    </row>
    <row r="4" spans="1:3" ht="36" customHeight="1" x14ac:dyDescent="0.3">
      <c r="A4" s="2" t="s">
        <v>9</v>
      </c>
      <c r="B4" s="2" t="s">
        <v>10</v>
      </c>
      <c r="C4" s="2" t="s">
        <v>11</v>
      </c>
    </row>
    <row r="5" spans="1:3" ht="36" customHeight="1" x14ac:dyDescent="0.3">
      <c r="A5" s="3" t="s">
        <v>12</v>
      </c>
      <c r="B5" s="3" t="s">
        <v>13</v>
      </c>
      <c r="C5" s="3" t="s">
        <v>14</v>
      </c>
    </row>
    <row r="6" spans="1:3" ht="36" customHeight="1" x14ac:dyDescent="0.3">
      <c r="A6" s="2" t="s">
        <v>15</v>
      </c>
      <c r="B6" s="2" t="s">
        <v>16</v>
      </c>
      <c r="C6" s="2" t="s">
        <v>17</v>
      </c>
    </row>
    <row r="7" spans="1:3" ht="36" customHeight="1" x14ac:dyDescent="0.3">
      <c r="A7" s="3" t="s">
        <v>18</v>
      </c>
      <c r="B7" s="3">
        <v>10</v>
      </c>
      <c r="C7" s="3" t="s">
        <v>19</v>
      </c>
    </row>
    <row r="8" spans="1:3" ht="36" customHeight="1" x14ac:dyDescent="0.3">
      <c r="A8" s="2" t="s">
        <v>20</v>
      </c>
      <c r="B8" s="2">
        <v>65</v>
      </c>
      <c r="C8" s="2" t="s">
        <v>21</v>
      </c>
    </row>
    <row r="9" spans="1:3" ht="36" customHeight="1" x14ac:dyDescent="0.3">
      <c r="A9" s="3" t="s">
        <v>22</v>
      </c>
      <c r="B9" s="3">
        <f>AVERAGE(QA_Products!$K$2:$K$11)</f>
        <v>74.324999999999989</v>
      </c>
      <c r="C9" s="3" t="s">
        <v>23</v>
      </c>
    </row>
    <row r="10" spans="1:3" ht="36" customHeight="1" x14ac:dyDescent="0.3">
      <c r="A10" s="2" t="s">
        <v>24</v>
      </c>
      <c r="B10" s="2" t="str">
        <f>IF(COUNTIF(QA_Products!$L$2:$L$11,"QA_PASS")=ROWS(QA_Products!$L$2:$L$11),"PASSED","NOT_PASSED")</f>
        <v>NOT_PASSED</v>
      </c>
      <c r="C10" s="2" t="s">
        <v>25</v>
      </c>
    </row>
    <row r="11" spans="1:3" ht="36" customHeight="1" x14ac:dyDescent="0.3">
      <c r="A11" s="3" t="s">
        <v>26</v>
      </c>
      <c r="B11" s="3" t="str">
        <f>"PASS="&amp;COUNTIF(QA_Products!$L$2:$L$11,"QA_PASS")&amp;"; REVISE="&amp;COUNTIF(QA_Products!$L$2:$L$11,"QA_REVISE")&amp;"; FAIL="&amp;COUNTIF(QA_Products!$L$2:$L$11,"QA_FAIL")&amp;"; INCOMPLETE="&amp;COUNTIF(QA_Products!$L$2:$L$11,"QA_INCOMPLETE")</f>
        <v>PASS=0; REVISE=7; FAIL=3; INCOMPLETE=0</v>
      </c>
      <c r="C11" s="3" t="s">
        <v>27</v>
      </c>
    </row>
    <row r="12" spans="1:3" ht="36" customHeight="1" x14ac:dyDescent="0.3">
      <c r="A12" s="2" t="s">
        <v>28</v>
      </c>
      <c r="B12" s="2" t="s">
        <v>29</v>
      </c>
      <c r="C12" s="2" t="s">
        <v>30</v>
      </c>
    </row>
    <row r="13" spans="1:3" ht="36" customHeight="1" x14ac:dyDescent="0.3">
      <c r="A13" s="3" t="s">
        <v>31</v>
      </c>
      <c r="B13" s="3" t="s">
        <v>32</v>
      </c>
      <c r="C13" s="3" t="s">
        <v>33</v>
      </c>
    </row>
    <row r="14" spans="1:3" ht="36" customHeight="1" x14ac:dyDescent="0.3">
      <c r="A14" s="2" t="s">
        <v>34</v>
      </c>
      <c r="B14" s="2" t="s">
        <v>35</v>
      </c>
      <c r="C14" s="2" t="s">
        <v>36</v>
      </c>
    </row>
  </sheetData>
  <autoFilter ref="A1:C14" xr:uid="{00000000-0009-0000-0000-000000000000}"/>
  <pageMargins left="0.25" right="0.25" top="0.5" bottom="0.5"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W11"/>
  <sheetViews>
    <sheetView showGridLines="0" workbookViewId="0">
      <pane ySplit="1" topLeftCell="A2" activePane="bottomLeft" state="frozen"/>
      <selection pane="bottomLeft"/>
    </sheetView>
  </sheetViews>
  <sheetFormatPr defaultRowHeight="14.4" x14ac:dyDescent="0.3"/>
  <cols>
    <col min="1" max="1" width="20" customWidth="1"/>
    <col min="2" max="2" width="42" customWidth="1"/>
    <col min="3" max="3" width="38" customWidth="1"/>
    <col min="4" max="4" width="24" customWidth="1"/>
    <col min="5" max="5" width="15" customWidth="1"/>
    <col min="6" max="6" width="11" customWidth="1"/>
    <col min="7" max="8" width="24" customWidth="1"/>
    <col min="9" max="10" width="19" customWidth="1"/>
    <col min="11" max="11" width="24" customWidth="1"/>
    <col min="12" max="12" width="20" customWidth="1"/>
    <col min="13" max="13" width="38" customWidth="1"/>
    <col min="14" max="14" width="17" customWidth="1"/>
    <col min="15" max="15" width="16" customWidth="1"/>
    <col min="16" max="16" width="24" customWidth="1"/>
    <col min="17" max="17" width="16" customWidth="1"/>
    <col min="18" max="21" width="24" customWidth="1"/>
    <col min="22" max="23" width="42" customWidth="1"/>
  </cols>
  <sheetData>
    <row r="1" spans="1:23" ht="31.95" customHeight="1" x14ac:dyDescent="0.3">
      <c r="A1" s="1" t="s">
        <v>37</v>
      </c>
      <c r="B1" s="1" t="s">
        <v>38</v>
      </c>
      <c r="C1" s="1" t="s">
        <v>39</v>
      </c>
      <c r="D1" s="1" t="s">
        <v>40</v>
      </c>
      <c r="E1" s="1" t="s">
        <v>41</v>
      </c>
      <c r="F1" s="1" t="s">
        <v>42</v>
      </c>
      <c r="G1" s="1" t="s">
        <v>43</v>
      </c>
      <c r="H1" s="1" t="s">
        <v>44</v>
      </c>
      <c r="I1" s="1" t="s">
        <v>45</v>
      </c>
      <c r="J1" s="1" t="s">
        <v>46</v>
      </c>
      <c r="K1" s="1" t="s">
        <v>47</v>
      </c>
      <c r="L1" s="1" t="s">
        <v>48</v>
      </c>
      <c r="M1" s="1" t="s">
        <v>49</v>
      </c>
      <c r="N1" s="1" t="s">
        <v>50</v>
      </c>
      <c r="O1" s="1" t="s">
        <v>20</v>
      </c>
      <c r="P1" s="1" t="s">
        <v>51</v>
      </c>
      <c r="Q1" s="1" t="s">
        <v>52</v>
      </c>
      <c r="R1" s="1" t="s">
        <v>53</v>
      </c>
      <c r="S1" s="1" t="s">
        <v>54</v>
      </c>
      <c r="T1" s="1" t="s">
        <v>55</v>
      </c>
      <c r="U1" s="1" t="s">
        <v>56</v>
      </c>
      <c r="V1" s="1" t="s">
        <v>57</v>
      </c>
      <c r="W1" s="1" t="s">
        <v>58</v>
      </c>
    </row>
    <row r="2" spans="1:23" ht="36" customHeight="1" x14ac:dyDescent="0.3">
      <c r="A2" s="2">
        <v>1</v>
      </c>
      <c r="B2" s="2" t="s">
        <v>59</v>
      </c>
      <c r="C2" s="4" t="s">
        <v>60</v>
      </c>
      <c r="D2" s="2" t="s">
        <v>61</v>
      </c>
      <c r="E2" s="2" t="s">
        <v>62</v>
      </c>
      <c r="F2" s="2" t="s">
        <v>63</v>
      </c>
      <c r="G2" s="5">
        <f>SUMIF(QA_Criteria!$A$2:$A$111,B2,QA_Criteria!$F$2:$F$111)</f>
        <v>76.5</v>
      </c>
      <c r="H2" s="5">
        <f>SUMIF(QA_Criteria!$A$2:$A$111,B2,QA_Criteria!$G$2:$G$111)</f>
        <v>100</v>
      </c>
      <c r="I2" s="5">
        <f t="shared" ref="I2:I11" si="0">G2</f>
        <v>76.5</v>
      </c>
      <c r="J2" s="5">
        <f t="shared" ref="J2:J11" si="1">G2+(100-H2)</f>
        <v>76.5</v>
      </c>
      <c r="K2" s="5">
        <f t="shared" ref="K2:K11" si="2">IF(AND(H2=100,Q2=1,P2=TRUE),G2,"")</f>
        <v>76.5</v>
      </c>
      <c r="L2" s="2" t="str">
        <f t="shared" ref="L2:L11" si="3">IF(R2&gt;0,"QA_FAIL",IF(K2="","QA_INCOMPLETE",IF(K2&lt;70,"QA_FAIL",IF(OR(K2&lt;85,S2&gt;0),"QA_REVISE","QA_PASS"))))</f>
        <v>QA_REVISE</v>
      </c>
      <c r="M2" s="2" t="s">
        <v>64</v>
      </c>
      <c r="N2" s="2">
        <v>5</v>
      </c>
      <c r="O2" s="2">
        <v>5</v>
      </c>
      <c r="P2" s="2" t="b">
        <v>1</v>
      </c>
      <c r="Q2" s="6">
        <v>1</v>
      </c>
      <c r="R2" s="2">
        <f>COUNTIFS(QA_Issues!$B$2:$B$52,B2,QA_Issues!$D$2:$D$52,"CRITICAL")</f>
        <v>0</v>
      </c>
      <c r="S2" s="2">
        <f>COUNTIFS(QA_Issues!$B$2:$B$52,B2,QA_Issues!$D$2:$D$52,"MAJOR")</f>
        <v>1</v>
      </c>
      <c r="T2" s="2">
        <f>COUNTIFS(QA_Issues!$B$2:$B$52,B2,QA_Issues!$D$2:$D$52,"MINOR")</f>
        <v>1</v>
      </c>
      <c r="U2" s="2">
        <f>COUNTIFS(QA_Issues!$B$2:$B$52,B2,QA_Issues!$D$2:$D$52,"LIMITATION")</f>
        <v>1</v>
      </c>
      <c r="V2" s="2" t="s">
        <v>65</v>
      </c>
      <c r="W2" s="2" t="s">
        <v>66</v>
      </c>
    </row>
    <row r="3" spans="1:23" ht="36" customHeight="1" x14ac:dyDescent="0.3">
      <c r="A3" s="3">
        <v>2</v>
      </c>
      <c r="B3" s="3" t="s">
        <v>67</v>
      </c>
      <c r="C3" s="4" t="s">
        <v>68</v>
      </c>
      <c r="D3" s="3" t="s">
        <v>69</v>
      </c>
      <c r="E3" s="3" t="s">
        <v>70</v>
      </c>
      <c r="F3" s="3" t="s">
        <v>63</v>
      </c>
      <c r="G3" s="7">
        <f>SUMIF(QA_Criteria!$A$2:$A$111,B3,QA_Criteria!$F$2:$F$111)</f>
        <v>77.642857142857139</v>
      </c>
      <c r="H3" s="7">
        <f>SUMIF(QA_Criteria!$A$2:$A$111,B3,QA_Criteria!$G$2:$G$111)</f>
        <v>100</v>
      </c>
      <c r="I3" s="7">
        <f t="shared" si="0"/>
        <v>77.642857142857139</v>
      </c>
      <c r="J3" s="7">
        <f t="shared" si="1"/>
        <v>77.642857142857139</v>
      </c>
      <c r="K3" s="7">
        <f t="shared" si="2"/>
        <v>77.642857142857139</v>
      </c>
      <c r="L3" s="3" t="str">
        <f t="shared" si="3"/>
        <v>QA_REVISE</v>
      </c>
      <c r="M3" s="3" t="s">
        <v>71</v>
      </c>
      <c r="N3" s="3">
        <v>7</v>
      </c>
      <c r="O3" s="3">
        <v>7</v>
      </c>
      <c r="P3" s="3" t="b">
        <v>1</v>
      </c>
      <c r="Q3" s="8">
        <v>1</v>
      </c>
      <c r="R3" s="3">
        <f>COUNTIFS(QA_Issues!$B$2:$B$52,B3,QA_Issues!$D$2:$D$52,"CRITICAL")</f>
        <v>0</v>
      </c>
      <c r="S3" s="3">
        <f>COUNTIFS(QA_Issues!$B$2:$B$52,B3,QA_Issues!$D$2:$D$52,"MAJOR")</f>
        <v>5</v>
      </c>
      <c r="T3" s="3">
        <f>COUNTIFS(QA_Issues!$B$2:$B$52,B3,QA_Issues!$D$2:$D$52,"MINOR")</f>
        <v>1</v>
      </c>
      <c r="U3" s="3">
        <f>COUNTIFS(QA_Issues!$B$2:$B$52,B3,QA_Issues!$D$2:$D$52,"LIMITATION")</f>
        <v>0</v>
      </c>
      <c r="V3" s="3" t="s">
        <v>72</v>
      </c>
      <c r="W3" s="3" t="s">
        <v>73</v>
      </c>
    </row>
    <row r="4" spans="1:23" ht="36" customHeight="1" x14ac:dyDescent="0.3">
      <c r="A4" s="2">
        <v>3</v>
      </c>
      <c r="B4" s="2" t="s">
        <v>74</v>
      </c>
      <c r="C4" s="4" t="s">
        <v>75</v>
      </c>
      <c r="D4" s="2" t="s">
        <v>76</v>
      </c>
      <c r="E4" s="2" t="s">
        <v>77</v>
      </c>
      <c r="F4" s="2" t="s">
        <v>63</v>
      </c>
      <c r="G4" s="5">
        <f>SUMIF(QA_Criteria!$A$2:$A$111,B4,QA_Criteria!$F$2:$F$111)</f>
        <v>79</v>
      </c>
      <c r="H4" s="5">
        <f>SUMIF(QA_Criteria!$A$2:$A$111,B4,QA_Criteria!$G$2:$G$111)</f>
        <v>100</v>
      </c>
      <c r="I4" s="5">
        <f t="shared" si="0"/>
        <v>79</v>
      </c>
      <c r="J4" s="5">
        <f t="shared" si="1"/>
        <v>79</v>
      </c>
      <c r="K4" s="5">
        <f t="shared" si="2"/>
        <v>79</v>
      </c>
      <c r="L4" s="2" t="str">
        <f t="shared" si="3"/>
        <v>QA_REVISE</v>
      </c>
      <c r="M4" s="2" t="s">
        <v>71</v>
      </c>
      <c r="N4" s="2">
        <v>5</v>
      </c>
      <c r="O4" s="2">
        <v>5</v>
      </c>
      <c r="P4" s="2" t="b">
        <v>1</v>
      </c>
      <c r="Q4" s="6">
        <v>1</v>
      </c>
      <c r="R4" s="2">
        <f>COUNTIFS(QA_Issues!$B$2:$B$52,B4,QA_Issues!$D$2:$D$52,"CRITICAL")</f>
        <v>0</v>
      </c>
      <c r="S4" s="2">
        <f>COUNTIFS(QA_Issues!$B$2:$B$52,B4,QA_Issues!$D$2:$D$52,"MAJOR")</f>
        <v>2</v>
      </c>
      <c r="T4" s="2">
        <f>COUNTIFS(QA_Issues!$B$2:$B$52,B4,QA_Issues!$D$2:$D$52,"MINOR")</f>
        <v>1</v>
      </c>
      <c r="U4" s="2">
        <f>COUNTIFS(QA_Issues!$B$2:$B$52,B4,QA_Issues!$D$2:$D$52,"LIMITATION")</f>
        <v>0</v>
      </c>
      <c r="V4" s="2" t="s">
        <v>78</v>
      </c>
      <c r="W4" s="2" t="s">
        <v>79</v>
      </c>
    </row>
    <row r="5" spans="1:23" ht="36" customHeight="1" x14ac:dyDescent="0.3">
      <c r="A5" s="3">
        <v>4</v>
      </c>
      <c r="B5" s="3" t="s">
        <v>80</v>
      </c>
      <c r="C5" s="4" t="s">
        <v>81</v>
      </c>
      <c r="D5" s="3" t="s">
        <v>82</v>
      </c>
      <c r="E5" s="3" t="s">
        <v>83</v>
      </c>
      <c r="F5" s="3" t="s">
        <v>63</v>
      </c>
      <c r="G5" s="7">
        <f>SUMIF(QA_Criteria!$A$2:$A$111,B5,QA_Criteria!$F$2:$F$111)</f>
        <v>76.5</v>
      </c>
      <c r="H5" s="7">
        <f>SUMIF(QA_Criteria!$A$2:$A$111,B5,QA_Criteria!$G$2:$G$111)</f>
        <v>100</v>
      </c>
      <c r="I5" s="7">
        <f t="shared" si="0"/>
        <v>76.5</v>
      </c>
      <c r="J5" s="7">
        <f t="shared" si="1"/>
        <v>76.5</v>
      </c>
      <c r="K5" s="7">
        <f t="shared" si="2"/>
        <v>76.5</v>
      </c>
      <c r="L5" s="3" t="str">
        <f t="shared" si="3"/>
        <v>QA_REVISE</v>
      </c>
      <c r="M5" s="3" t="s">
        <v>71</v>
      </c>
      <c r="N5" s="3">
        <v>5</v>
      </c>
      <c r="O5" s="3">
        <v>5</v>
      </c>
      <c r="P5" s="3" t="b">
        <v>1</v>
      </c>
      <c r="Q5" s="8">
        <v>1</v>
      </c>
      <c r="R5" s="3">
        <f>COUNTIFS(QA_Issues!$B$2:$B$52,B5,QA_Issues!$D$2:$D$52,"CRITICAL")</f>
        <v>0</v>
      </c>
      <c r="S5" s="3">
        <f>COUNTIFS(QA_Issues!$B$2:$B$52,B5,QA_Issues!$D$2:$D$52,"MAJOR")</f>
        <v>2</v>
      </c>
      <c r="T5" s="3">
        <f>COUNTIFS(QA_Issues!$B$2:$B$52,B5,QA_Issues!$D$2:$D$52,"MINOR")</f>
        <v>1</v>
      </c>
      <c r="U5" s="3">
        <f>COUNTIFS(QA_Issues!$B$2:$B$52,B5,QA_Issues!$D$2:$D$52,"LIMITATION")</f>
        <v>0</v>
      </c>
      <c r="V5" s="3" t="s">
        <v>84</v>
      </c>
      <c r="W5" s="3" t="s">
        <v>85</v>
      </c>
    </row>
    <row r="6" spans="1:23" ht="36" customHeight="1" x14ac:dyDescent="0.3">
      <c r="A6" s="2">
        <v>5</v>
      </c>
      <c r="B6" s="2" t="s">
        <v>86</v>
      </c>
      <c r="C6" s="4" t="s">
        <v>87</v>
      </c>
      <c r="D6" s="2" t="s">
        <v>88</v>
      </c>
      <c r="E6" s="2" t="s">
        <v>89</v>
      </c>
      <c r="F6" s="2" t="s">
        <v>63</v>
      </c>
      <c r="G6" s="5">
        <f>SUMIF(QA_Criteria!$A$2:$A$111,B6,QA_Criteria!$F$2:$F$111)</f>
        <v>70.071428571428569</v>
      </c>
      <c r="H6" s="5">
        <f>SUMIF(QA_Criteria!$A$2:$A$111,B6,QA_Criteria!$G$2:$G$111)</f>
        <v>100</v>
      </c>
      <c r="I6" s="5">
        <f t="shared" si="0"/>
        <v>70.071428571428569</v>
      </c>
      <c r="J6" s="5">
        <f t="shared" si="1"/>
        <v>70.071428571428569</v>
      </c>
      <c r="K6" s="5">
        <f t="shared" si="2"/>
        <v>70.071428571428569</v>
      </c>
      <c r="L6" s="2" t="str">
        <f t="shared" si="3"/>
        <v>QA_FAIL</v>
      </c>
      <c r="M6" s="2" t="s">
        <v>71</v>
      </c>
      <c r="N6" s="2">
        <v>7</v>
      </c>
      <c r="O6" s="2">
        <v>7</v>
      </c>
      <c r="P6" s="2" t="b">
        <v>1</v>
      </c>
      <c r="Q6" s="6">
        <v>1</v>
      </c>
      <c r="R6" s="2">
        <f>COUNTIFS(QA_Issues!$B$2:$B$52,B6,QA_Issues!$D$2:$D$52,"CRITICAL")</f>
        <v>1</v>
      </c>
      <c r="S6" s="2">
        <f>COUNTIFS(QA_Issues!$B$2:$B$52,B6,QA_Issues!$D$2:$D$52,"MAJOR")</f>
        <v>3</v>
      </c>
      <c r="T6" s="2">
        <f>COUNTIFS(QA_Issues!$B$2:$B$52,B6,QA_Issues!$D$2:$D$52,"MINOR")</f>
        <v>2</v>
      </c>
      <c r="U6" s="2">
        <f>COUNTIFS(QA_Issues!$B$2:$B$52,B6,QA_Issues!$D$2:$D$52,"LIMITATION")</f>
        <v>0</v>
      </c>
      <c r="V6" s="2" t="s">
        <v>90</v>
      </c>
      <c r="W6" s="2" t="s">
        <v>91</v>
      </c>
    </row>
    <row r="7" spans="1:23" ht="36" customHeight="1" x14ac:dyDescent="0.3">
      <c r="A7" s="3">
        <v>6</v>
      </c>
      <c r="B7" s="3" t="s">
        <v>92</v>
      </c>
      <c r="C7" s="4" t="s">
        <v>93</v>
      </c>
      <c r="D7" s="3" t="s">
        <v>94</v>
      </c>
      <c r="E7" s="3" t="s">
        <v>95</v>
      </c>
      <c r="F7" s="3" t="s">
        <v>63</v>
      </c>
      <c r="G7" s="7">
        <f>SUMIF(QA_Criteria!$A$2:$A$111,B7,QA_Criteria!$F$2:$F$111)</f>
        <v>65.071428571428569</v>
      </c>
      <c r="H7" s="7">
        <f>SUMIF(QA_Criteria!$A$2:$A$111,B7,QA_Criteria!$G$2:$G$111)</f>
        <v>100</v>
      </c>
      <c r="I7" s="7">
        <f t="shared" si="0"/>
        <v>65.071428571428569</v>
      </c>
      <c r="J7" s="7">
        <f t="shared" si="1"/>
        <v>65.071428571428569</v>
      </c>
      <c r="K7" s="7">
        <f t="shared" si="2"/>
        <v>65.071428571428569</v>
      </c>
      <c r="L7" s="3" t="str">
        <f t="shared" si="3"/>
        <v>QA_FAIL</v>
      </c>
      <c r="M7" s="3" t="s">
        <v>64</v>
      </c>
      <c r="N7" s="3">
        <v>7</v>
      </c>
      <c r="O7" s="3">
        <v>7</v>
      </c>
      <c r="P7" s="3" t="b">
        <v>1</v>
      </c>
      <c r="Q7" s="8">
        <v>1</v>
      </c>
      <c r="R7" s="3">
        <f>COUNTIFS(QA_Issues!$B$2:$B$52,B7,QA_Issues!$D$2:$D$52,"CRITICAL")</f>
        <v>0</v>
      </c>
      <c r="S7" s="3">
        <f>COUNTIFS(QA_Issues!$B$2:$B$52,B7,QA_Issues!$D$2:$D$52,"MAJOR")</f>
        <v>3</v>
      </c>
      <c r="T7" s="3">
        <f>COUNTIFS(QA_Issues!$B$2:$B$52,B7,QA_Issues!$D$2:$D$52,"MINOR")</f>
        <v>2</v>
      </c>
      <c r="U7" s="3">
        <f>COUNTIFS(QA_Issues!$B$2:$B$52,B7,QA_Issues!$D$2:$D$52,"LIMITATION")</f>
        <v>1</v>
      </c>
      <c r="V7" s="3" t="s">
        <v>96</v>
      </c>
      <c r="W7" s="3" t="s">
        <v>97</v>
      </c>
    </row>
    <row r="8" spans="1:23" ht="36" customHeight="1" x14ac:dyDescent="0.3">
      <c r="A8" s="2">
        <v>7</v>
      </c>
      <c r="B8" s="2" t="s">
        <v>98</v>
      </c>
      <c r="C8" s="4" t="s">
        <v>99</v>
      </c>
      <c r="D8" s="2" t="s">
        <v>100</v>
      </c>
      <c r="E8" s="2" t="s">
        <v>101</v>
      </c>
      <c r="F8" s="2" t="s">
        <v>63</v>
      </c>
      <c r="G8" s="5">
        <f>SUMIF(QA_Criteria!$A$2:$A$111,B8,QA_Criteria!$F$2:$F$111)</f>
        <v>80.071428571428569</v>
      </c>
      <c r="H8" s="5">
        <f>SUMIF(QA_Criteria!$A$2:$A$111,B8,QA_Criteria!$G$2:$G$111)</f>
        <v>100</v>
      </c>
      <c r="I8" s="5">
        <f t="shared" si="0"/>
        <v>80.071428571428569</v>
      </c>
      <c r="J8" s="5">
        <f t="shared" si="1"/>
        <v>80.071428571428569</v>
      </c>
      <c r="K8" s="5">
        <f t="shared" si="2"/>
        <v>80.071428571428569</v>
      </c>
      <c r="L8" s="2" t="str">
        <f t="shared" si="3"/>
        <v>QA_REVISE</v>
      </c>
      <c r="M8" s="2" t="s">
        <v>71</v>
      </c>
      <c r="N8" s="2">
        <v>7</v>
      </c>
      <c r="O8" s="2">
        <v>7</v>
      </c>
      <c r="P8" s="2" t="b">
        <v>1</v>
      </c>
      <c r="Q8" s="6">
        <v>1</v>
      </c>
      <c r="R8" s="2">
        <f>COUNTIFS(QA_Issues!$B$2:$B$52,B8,QA_Issues!$D$2:$D$52,"CRITICAL")</f>
        <v>0</v>
      </c>
      <c r="S8" s="2">
        <f>COUNTIFS(QA_Issues!$B$2:$B$52,B8,QA_Issues!$D$2:$D$52,"MAJOR")</f>
        <v>2</v>
      </c>
      <c r="T8" s="2">
        <f>COUNTIFS(QA_Issues!$B$2:$B$52,B8,QA_Issues!$D$2:$D$52,"MINOR")</f>
        <v>2</v>
      </c>
      <c r="U8" s="2">
        <f>COUNTIFS(QA_Issues!$B$2:$B$52,B8,QA_Issues!$D$2:$D$52,"LIMITATION")</f>
        <v>0</v>
      </c>
      <c r="V8" s="2" t="s">
        <v>102</v>
      </c>
      <c r="W8" s="2" t="s">
        <v>103</v>
      </c>
    </row>
    <row r="9" spans="1:23" ht="36" customHeight="1" x14ac:dyDescent="0.3">
      <c r="A9" s="3">
        <v>8</v>
      </c>
      <c r="B9" s="3" t="s">
        <v>104</v>
      </c>
      <c r="C9" s="4" t="s">
        <v>105</v>
      </c>
      <c r="D9" s="3" t="s">
        <v>106</v>
      </c>
      <c r="E9" s="3" t="s">
        <v>107</v>
      </c>
      <c r="F9" s="3" t="s">
        <v>63</v>
      </c>
      <c r="G9" s="7">
        <f>SUMIF(QA_Criteria!$A$2:$A$111,B9,QA_Criteria!$F$2:$F$111)</f>
        <v>85.071428571428569</v>
      </c>
      <c r="H9" s="7">
        <f>SUMIF(QA_Criteria!$A$2:$A$111,B9,QA_Criteria!$G$2:$G$111)</f>
        <v>100</v>
      </c>
      <c r="I9" s="7">
        <f t="shared" si="0"/>
        <v>85.071428571428569</v>
      </c>
      <c r="J9" s="7">
        <f t="shared" si="1"/>
        <v>85.071428571428569</v>
      </c>
      <c r="K9" s="7">
        <f t="shared" si="2"/>
        <v>85.071428571428569</v>
      </c>
      <c r="L9" s="3" t="str">
        <f t="shared" si="3"/>
        <v>QA_REVISE</v>
      </c>
      <c r="M9" s="3" t="s">
        <v>71</v>
      </c>
      <c r="N9" s="3">
        <v>7</v>
      </c>
      <c r="O9" s="3">
        <v>7</v>
      </c>
      <c r="P9" s="3" t="b">
        <v>1</v>
      </c>
      <c r="Q9" s="8">
        <v>1</v>
      </c>
      <c r="R9" s="3">
        <f>COUNTIFS(QA_Issues!$B$2:$B$52,B9,QA_Issues!$D$2:$D$52,"CRITICAL")</f>
        <v>0</v>
      </c>
      <c r="S9" s="3">
        <f>COUNTIFS(QA_Issues!$B$2:$B$52,B9,QA_Issues!$D$2:$D$52,"MAJOR")</f>
        <v>2</v>
      </c>
      <c r="T9" s="3">
        <f>COUNTIFS(QA_Issues!$B$2:$B$52,B9,QA_Issues!$D$2:$D$52,"MINOR")</f>
        <v>2</v>
      </c>
      <c r="U9" s="3">
        <f>COUNTIFS(QA_Issues!$B$2:$B$52,B9,QA_Issues!$D$2:$D$52,"LIMITATION")</f>
        <v>0</v>
      </c>
      <c r="V9" s="3" t="s">
        <v>108</v>
      </c>
      <c r="W9" s="3" t="s">
        <v>109</v>
      </c>
    </row>
    <row r="10" spans="1:23" ht="36" customHeight="1" x14ac:dyDescent="0.3">
      <c r="A10" s="2">
        <v>9</v>
      </c>
      <c r="B10" s="2" t="s">
        <v>110</v>
      </c>
      <c r="C10" s="4" t="s">
        <v>111</v>
      </c>
      <c r="D10" s="2" t="s">
        <v>112</v>
      </c>
      <c r="E10" s="2" t="s">
        <v>113</v>
      </c>
      <c r="F10" s="2" t="s">
        <v>63</v>
      </c>
      <c r="G10" s="5">
        <f>SUMIF(QA_Criteria!$A$2:$A$111,B10,QA_Criteria!$F$2:$F$111)</f>
        <v>72.571428571428569</v>
      </c>
      <c r="H10" s="5">
        <f>SUMIF(QA_Criteria!$A$2:$A$111,B10,QA_Criteria!$G$2:$G$111)</f>
        <v>100</v>
      </c>
      <c r="I10" s="5">
        <f t="shared" si="0"/>
        <v>72.571428571428569</v>
      </c>
      <c r="J10" s="5">
        <f t="shared" si="1"/>
        <v>72.571428571428569</v>
      </c>
      <c r="K10" s="5">
        <f t="shared" si="2"/>
        <v>72.571428571428569</v>
      </c>
      <c r="L10" s="2" t="str">
        <f t="shared" si="3"/>
        <v>QA_REVISE</v>
      </c>
      <c r="M10" s="2" t="s">
        <v>71</v>
      </c>
      <c r="N10" s="2">
        <v>7</v>
      </c>
      <c r="O10" s="2">
        <v>7</v>
      </c>
      <c r="P10" s="2" t="b">
        <v>1</v>
      </c>
      <c r="Q10" s="6">
        <v>1</v>
      </c>
      <c r="R10" s="2">
        <f>COUNTIFS(QA_Issues!$B$2:$B$52,B10,QA_Issues!$D$2:$D$52,"CRITICAL")</f>
        <v>0</v>
      </c>
      <c r="S10" s="2">
        <f>COUNTIFS(QA_Issues!$B$2:$B$52,B10,QA_Issues!$D$2:$D$52,"MAJOR")</f>
        <v>3</v>
      </c>
      <c r="T10" s="2">
        <f>COUNTIFS(QA_Issues!$B$2:$B$52,B10,QA_Issues!$D$2:$D$52,"MINOR")</f>
        <v>2</v>
      </c>
      <c r="U10" s="2">
        <f>COUNTIFS(QA_Issues!$B$2:$B$52,B10,QA_Issues!$D$2:$D$52,"LIMITATION")</f>
        <v>0</v>
      </c>
      <c r="V10" s="2" t="s">
        <v>114</v>
      </c>
      <c r="W10" s="2" t="s">
        <v>115</v>
      </c>
    </row>
    <row r="11" spans="1:23" ht="36" customHeight="1" x14ac:dyDescent="0.3">
      <c r="A11" s="3">
        <v>10</v>
      </c>
      <c r="B11" s="3" t="s">
        <v>116</v>
      </c>
      <c r="C11" s="4" t="s">
        <v>117</v>
      </c>
      <c r="D11" s="3" t="s">
        <v>118</v>
      </c>
      <c r="E11" s="3" t="s">
        <v>119</v>
      </c>
      <c r="F11" s="3" t="s">
        <v>63</v>
      </c>
      <c r="G11" s="7">
        <f>SUMIF(QA_Criteria!$A$2:$A$111,B11,QA_Criteria!$F$2:$F$111)</f>
        <v>60.75</v>
      </c>
      <c r="H11" s="7">
        <f>SUMIF(QA_Criteria!$A$2:$A$111,B11,QA_Criteria!$G$2:$G$111)</f>
        <v>100</v>
      </c>
      <c r="I11" s="7">
        <f t="shared" si="0"/>
        <v>60.75</v>
      </c>
      <c r="J11" s="7">
        <f t="shared" si="1"/>
        <v>60.75</v>
      </c>
      <c r="K11" s="7">
        <f t="shared" si="2"/>
        <v>60.75</v>
      </c>
      <c r="L11" s="3" t="str">
        <f t="shared" si="3"/>
        <v>QA_FAIL</v>
      </c>
      <c r="M11" s="3" t="s">
        <v>71</v>
      </c>
      <c r="N11" s="3">
        <v>8</v>
      </c>
      <c r="O11" s="3">
        <v>8</v>
      </c>
      <c r="P11" s="3" t="b">
        <v>1</v>
      </c>
      <c r="Q11" s="8">
        <v>1</v>
      </c>
      <c r="R11" s="3">
        <f>COUNTIFS(QA_Issues!$B$2:$B$52,B11,QA_Issues!$D$2:$D$52,"CRITICAL")</f>
        <v>1</v>
      </c>
      <c r="S11" s="3">
        <f>COUNTIFS(QA_Issues!$B$2:$B$52,B11,QA_Issues!$D$2:$D$52,"MAJOR")</f>
        <v>6</v>
      </c>
      <c r="T11" s="3">
        <f>COUNTIFS(QA_Issues!$B$2:$B$52,B11,QA_Issues!$D$2:$D$52,"MINOR")</f>
        <v>3</v>
      </c>
      <c r="U11" s="3">
        <f>COUNTIFS(QA_Issues!$B$2:$B$52,B11,QA_Issues!$D$2:$D$52,"LIMITATION")</f>
        <v>0</v>
      </c>
      <c r="V11" s="3" t="s">
        <v>120</v>
      </c>
      <c r="W11" s="3" t="s">
        <v>121</v>
      </c>
    </row>
  </sheetData>
  <autoFilter ref="A1:W11" xr:uid="{00000000-0009-0000-0000-000001000000}"/>
  <conditionalFormatting sqref="L2:L11">
    <cfRule type="expression" dxfId="6" priority="1">
      <formula>L2="QA_PASS"</formula>
    </cfRule>
    <cfRule type="expression" dxfId="5" priority="2">
      <formula>L2="QA_REVISE"</formula>
    </cfRule>
    <cfRule type="expression" dxfId="4" priority="3">
      <formula>L2="QA_FAIL"</formula>
    </cfRule>
  </conditionalFormatting>
  <hyperlinks>
    <hyperlink ref="C2" r:id="rId1" xr:uid="{00000000-0004-0000-0100-000000000000}"/>
    <hyperlink ref="C3" r:id="rId2" xr:uid="{00000000-0004-0000-0100-000001000000}"/>
    <hyperlink ref="C4" r:id="rId3" xr:uid="{00000000-0004-0000-0100-000002000000}"/>
    <hyperlink ref="C5" r:id="rId4" xr:uid="{00000000-0004-0000-0100-000003000000}"/>
    <hyperlink ref="C6" r:id="rId5" xr:uid="{00000000-0004-0000-0100-000004000000}"/>
    <hyperlink ref="C7" r:id="rId6" xr:uid="{00000000-0004-0000-0100-000005000000}"/>
    <hyperlink ref="C8" r:id="rId7" xr:uid="{00000000-0004-0000-0100-000006000000}"/>
    <hyperlink ref="C9" r:id="rId8" xr:uid="{00000000-0004-0000-0100-000007000000}"/>
    <hyperlink ref="C10" r:id="rId9" xr:uid="{00000000-0004-0000-0100-000008000000}"/>
    <hyperlink ref="C11" r:id="rId10" xr:uid="{00000000-0004-0000-0100-000009000000}"/>
  </hyperlinks>
  <pageMargins left="0.25" right="0.25" top="0.5" bottom="0.5" header="0.5" footer="0.5"/>
  <pageSetup fitToWidth="2"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111"/>
  <sheetViews>
    <sheetView showGridLines="0" workbookViewId="0">
      <pane ySplit="1" topLeftCell="A2" activePane="bottomLeft" state="frozen"/>
      <selection pane="bottomLeft"/>
    </sheetView>
  </sheetViews>
  <sheetFormatPr defaultRowHeight="14.4" x14ac:dyDescent="0.3"/>
  <cols>
    <col min="1" max="1" width="42" customWidth="1"/>
    <col min="2" max="2" width="20" customWidth="1"/>
    <col min="3" max="3" width="11" customWidth="1"/>
    <col min="4" max="4" width="12" customWidth="1"/>
    <col min="5" max="5" width="24" customWidth="1"/>
    <col min="6" max="6" width="23" customWidth="1"/>
    <col min="7" max="7" width="24" customWidth="1"/>
    <col min="8" max="10" width="42" customWidth="1"/>
  </cols>
  <sheetData>
    <row r="1" spans="1:10" ht="31.95" customHeight="1" x14ac:dyDescent="0.3">
      <c r="A1" s="1" t="s">
        <v>38</v>
      </c>
      <c r="B1" s="1" t="s">
        <v>122</v>
      </c>
      <c r="C1" s="1" t="s">
        <v>123</v>
      </c>
      <c r="D1" s="1" t="s">
        <v>124</v>
      </c>
      <c r="E1" s="1" t="s">
        <v>125</v>
      </c>
      <c r="F1" s="1" t="s">
        <v>126</v>
      </c>
      <c r="G1" s="1" t="s">
        <v>44</v>
      </c>
      <c r="H1" s="1" t="s">
        <v>127</v>
      </c>
      <c r="I1" s="1" t="s">
        <v>58</v>
      </c>
      <c r="J1" s="1" t="s">
        <v>57</v>
      </c>
    </row>
    <row r="2" spans="1:10" ht="36" customHeight="1" x14ac:dyDescent="0.3">
      <c r="A2" s="2" t="s">
        <v>59</v>
      </c>
      <c r="B2" s="2" t="s">
        <v>128</v>
      </c>
      <c r="C2" s="2">
        <v>15</v>
      </c>
      <c r="D2" s="2" t="s">
        <v>129</v>
      </c>
      <c r="E2" s="5">
        <f>IF(B2="I1",AVERAGEIF(QA_Images!$A$2:$A$66,A2,QA_Images!$T$2:$T$66)/100,IF(D2="FULL",1,IF(D2="PARTIAL",0.5,IF(D2="FAIL",0,""))))</f>
        <v>1</v>
      </c>
      <c r="F2" s="5">
        <f t="shared" ref="F2:F33" si="0">IF(E2="",0,C2*E2)</f>
        <v>15</v>
      </c>
      <c r="G2" s="5">
        <f>IF(B2="I1",20*AVERAGEIF(QA_Images!$A$2:$A$66,A2,QA_Images!$U$2:$U$66)/100,IF(D2="NOT_CHECKED",0,C2))</f>
        <v>15</v>
      </c>
      <c r="H2" s="2" t="s">
        <v>130</v>
      </c>
      <c r="I2" s="2" t="s">
        <v>66</v>
      </c>
      <c r="J2" s="2" t="s">
        <v>65</v>
      </c>
    </row>
    <row r="3" spans="1:10" ht="36" customHeight="1" x14ac:dyDescent="0.3">
      <c r="A3" s="3" t="s">
        <v>59</v>
      </c>
      <c r="B3" s="3" t="s">
        <v>131</v>
      </c>
      <c r="C3" s="3">
        <v>10</v>
      </c>
      <c r="D3" s="3" t="s">
        <v>132</v>
      </c>
      <c r="E3" s="7">
        <f>IF(B3="I1",AVERAGEIF(QA_Images!$A$2:$A$66,A3,QA_Images!$T$2:$T$66)/100,IF(D3="FULL",1,IF(D3="PARTIAL",0.5,IF(D3="FAIL",0,""))))</f>
        <v>0.5</v>
      </c>
      <c r="F3" s="7">
        <f t="shared" si="0"/>
        <v>5</v>
      </c>
      <c r="G3" s="7">
        <f>IF(B3="I1",20*AVERAGEIF(QA_Images!$A$2:$A$66,A3,QA_Images!$U$2:$U$66)/100,IF(D3="NOT_CHECKED",0,C3))</f>
        <v>10</v>
      </c>
      <c r="H3" s="3" t="s">
        <v>133</v>
      </c>
      <c r="I3" s="3" t="s">
        <v>66</v>
      </c>
      <c r="J3" s="3" t="s">
        <v>65</v>
      </c>
    </row>
    <row r="4" spans="1:10" ht="36" customHeight="1" x14ac:dyDescent="0.3">
      <c r="A4" s="2" t="s">
        <v>59</v>
      </c>
      <c r="B4" s="2" t="s">
        <v>134</v>
      </c>
      <c r="C4" s="2">
        <v>10</v>
      </c>
      <c r="D4" s="2" t="s">
        <v>129</v>
      </c>
      <c r="E4" s="5">
        <f>IF(B4="I1",AVERAGEIF(QA_Images!$A$2:$A$66,A4,QA_Images!$T$2:$T$66)/100,IF(D4="FULL",1,IF(D4="PARTIAL",0.5,IF(D4="FAIL",0,""))))</f>
        <v>1</v>
      </c>
      <c r="F4" s="5">
        <f t="shared" si="0"/>
        <v>10</v>
      </c>
      <c r="G4" s="5">
        <f>IF(B4="I1",20*AVERAGEIF(QA_Images!$A$2:$A$66,A4,QA_Images!$U$2:$U$66)/100,IF(D4="NOT_CHECKED",0,C4))</f>
        <v>10</v>
      </c>
      <c r="H4" s="2" t="s">
        <v>135</v>
      </c>
      <c r="I4" s="2" t="s">
        <v>66</v>
      </c>
      <c r="J4" s="2" t="s">
        <v>65</v>
      </c>
    </row>
    <row r="5" spans="1:10" ht="36" customHeight="1" x14ac:dyDescent="0.3">
      <c r="A5" s="3" t="s">
        <v>59</v>
      </c>
      <c r="B5" s="3" t="s">
        <v>136</v>
      </c>
      <c r="C5" s="3">
        <v>5</v>
      </c>
      <c r="D5" s="3" t="s">
        <v>132</v>
      </c>
      <c r="E5" s="7">
        <f>IF(B5="I1",AVERAGEIF(QA_Images!$A$2:$A$66,A5,QA_Images!$T$2:$T$66)/100,IF(D5="FULL",1,IF(D5="PARTIAL",0.5,IF(D5="FAIL",0,""))))</f>
        <v>0.5</v>
      </c>
      <c r="F5" s="7">
        <f t="shared" si="0"/>
        <v>2.5</v>
      </c>
      <c r="G5" s="7">
        <f>IF(B5="I1",20*AVERAGEIF(QA_Images!$A$2:$A$66,A5,QA_Images!$U$2:$U$66)/100,IF(D5="NOT_CHECKED",0,C5))</f>
        <v>5</v>
      </c>
      <c r="H5" s="3" t="s">
        <v>137</v>
      </c>
      <c r="I5" s="3" t="s">
        <v>66</v>
      </c>
      <c r="J5" s="3" t="s">
        <v>65</v>
      </c>
    </row>
    <row r="6" spans="1:10" ht="36" customHeight="1" x14ac:dyDescent="0.3">
      <c r="A6" s="2" t="s">
        <v>59</v>
      </c>
      <c r="B6" s="2" t="s">
        <v>138</v>
      </c>
      <c r="C6" s="2">
        <v>5</v>
      </c>
      <c r="D6" s="2" t="s">
        <v>132</v>
      </c>
      <c r="E6" s="5">
        <f>IF(B6="I1",AVERAGEIF(QA_Images!$A$2:$A$66,A6,QA_Images!$T$2:$T$66)/100,IF(D6="FULL",1,IF(D6="PARTIAL",0.5,IF(D6="FAIL",0,""))))</f>
        <v>0.5</v>
      </c>
      <c r="F6" s="5">
        <f t="shared" si="0"/>
        <v>2.5</v>
      </c>
      <c r="G6" s="5">
        <f>IF(B6="I1",20*AVERAGEIF(QA_Images!$A$2:$A$66,A6,QA_Images!$U$2:$U$66)/100,IF(D6="NOT_CHECKED",0,C6))</f>
        <v>5</v>
      </c>
      <c r="H6" s="2" t="s">
        <v>139</v>
      </c>
      <c r="I6" s="2" t="s">
        <v>66</v>
      </c>
      <c r="J6" s="2" t="s">
        <v>65</v>
      </c>
    </row>
    <row r="7" spans="1:10" ht="36" customHeight="1" x14ac:dyDescent="0.3">
      <c r="A7" s="3" t="s">
        <v>59</v>
      </c>
      <c r="B7" s="3" t="s">
        <v>140</v>
      </c>
      <c r="C7" s="3">
        <v>10</v>
      </c>
      <c r="D7" s="3" t="s">
        <v>129</v>
      </c>
      <c r="E7" s="7">
        <f>IF(B7="I1",AVERAGEIF(QA_Images!$A$2:$A$66,A7,QA_Images!$T$2:$T$66)/100,IF(D7="FULL",1,IF(D7="PARTIAL",0.5,IF(D7="FAIL",0,""))))</f>
        <v>1</v>
      </c>
      <c r="F7" s="7">
        <f t="shared" si="0"/>
        <v>10</v>
      </c>
      <c r="G7" s="7">
        <f>IF(B7="I1",20*AVERAGEIF(QA_Images!$A$2:$A$66,A7,QA_Images!$U$2:$U$66)/100,IF(D7="NOT_CHECKED",0,C7))</f>
        <v>10</v>
      </c>
      <c r="H7" s="3" t="s">
        <v>141</v>
      </c>
      <c r="I7" s="3" t="s">
        <v>66</v>
      </c>
      <c r="J7" s="3" t="s">
        <v>65</v>
      </c>
    </row>
    <row r="8" spans="1:10" ht="36" customHeight="1" x14ac:dyDescent="0.3">
      <c r="A8" s="2" t="s">
        <v>59</v>
      </c>
      <c r="B8" s="2" t="s">
        <v>142</v>
      </c>
      <c r="C8" s="2">
        <v>5</v>
      </c>
      <c r="D8" s="2" t="s">
        <v>129</v>
      </c>
      <c r="E8" s="5">
        <f>IF(B8="I1",AVERAGEIF(QA_Images!$A$2:$A$66,A8,QA_Images!$T$2:$T$66)/100,IF(D8="FULL",1,IF(D8="PARTIAL",0.5,IF(D8="FAIL",0,""))))</f>
        <v>1</v>
      </c>
      <c r="F8" s="5">
        <f t="shared" si="0"/>
        <v>5</v>
      </c>
      <c r="G8" s="5">
        <f>IF(B8="I1",20*AVERAGEIF(QA_Images!$A$2:$A$66,A8,QA_Images!$U$2:$U$66)/100,IF(D8="NOT_CHECKED",0,C8))</f>
        <v>5</v>
      </c>
      <c r="H8" s="2" t="s">
        <v>143</v>
      </c>
      <c r="I8" s="2" t="s">
        <v>66</v>
      </c>
      <c r="J8" s="2" t="s">
        <v>65</v>
      </c>
    </row>
    <row r="9" spans="1:10" ht="36" customHeight="1" x14ac:dyDescent="0.3">
      <c r="A9" s="3" t="s">
        <v>59</v>
      </c>
      <c r="B9" s="3" t="s">
        <v>144</v>
      </c>
      <c r="C9" s="3">
        <v>5</v>
      </c>
      <c r="D9" s="3" t="s">
        <v>129</v>
      </c>
      <c r="E9" s="7">
        <f>IF(B9="I1",AVERAGEIF(QA_Images!$A$2:$A$66,A9,QA_Images!$T$2:$T$66)/100,IF(D9="FULL",1,IF(D9="PARTIAL",0.5,IF(D9="FAIL",0,""))))</f>
        <v>1</v>
      </c>
      <c r="F9" s="7">
        <f t="shared" si="0"/>
        <v>5</v>
      </c>
      <c r="G9" s="7">
        <f>IF(B9="I1",20*AVERAGEIF(QA_Images!$A$2:$A$66,A9,QA_Images!$U$2:$U$66)/100,IF(D9="NOT_CHECKED",0,C9))</f>
        <v>5</v>
      </c>
      <c r="H9" s="3" t="s">
        <v>145</v>
      </c>
      <c r="I9" s="3" t="s">
        <v>66</v>
      </c>
      <c r="J9" s="3" t="s">
        <v>65</v>
      </c>
    </row>
    <row r="10" spans="1:10" ht="36" customHeight="1" x14ac:dyDescent="0.3">
      <c r="A10" s="2" t="s">
        <v>59</v>
      </c>
      <c r="B10" s="2" t="s">
        <v>146</v>
      </c>
      <c r="C10" s="2">
        <v>10</v>
      </c>
      <c r="D10" s="2" t="s">
        <v>147</v>
      </c>
      <c r="E10" s="5">
        <f>IF(B10="I1",AVERAGEIF(QA_Images!$A$2:$A$66,A10,QA_Images!$T$2:$T$66)/100,IF(D10="FULL",1,IF(D10="PARTIAL",0.5,IF(D10="FAIL",0,""))))</f>
        <v>0</v>
      </c>
      <c r="F10" s="5">
        <f t="shared" si="0"/>
        <v>0</v>
      </c>
      <c r="G10" s="5">
        <f>IF(B10="I1",20*AVERAGEIF(QA_Images!$A$2:$A$66,A10,QA_Images!$U$2:$U$66)/100,IF(D10="NOT_CHECKED",0,C10))</f>
        <v>10</v>
      </c>
      <c r="H10" s="2" t="s">
        <v>148</v>
      </c>
      <c r="I10" s="2" t="s">
        <v>66</v>
      </c>
      <c r="J10" s="2" t="s">
        <v>65</v>
      </c>
    </row>
    <row r="11" spans="1:10" ht="36" customHeight="1" x14ac:dyDescent="0.3">
      <c r="A11" s="3" t="s">
        <v>59</v>
      </c>
      <c r="B11" s="3" t="s">
        <v>149</v>
      </c>
      <c r="C11" s="3">
        <v>20</v>
      </c>
      <c r="D11" s="3" t="s">
        <v>150</v>
      </c>
      <c r="E11" s="7">
        <f>IF(B11="I1",AVERAGEIF(QA_Images!$A$2:$A$66,A11,QA_Images!$T$2:$T$66)/100,IF(D11="FULL",1,IF(D11="PARTIAL",0.5,IF(D11="FAIL",0,""))))</f>
        <v>0.95</v>
      </c>
      <c r="F11" s="7">
        <f t="shared" si="0"/>
        <v>19</v>
      </c>
      <c r="G11" s="7">
        <f>IF(B11="I1",20*AVERAGEIF(QA_Images!$A$2:$A$66,A11,QA_Images!$U$2:$U$66)/100,IF(D11="NOT_CHECKED",0,C11))</f>
        <v>20</v>
      </c>
      <c r="H11" s="3" t="s">
        <v>151</v>
      </c>
      <c r="I11" s="3" t="s">
        <v>66</v>
      </c>
      <c r="J11" s="3" t="s">
        <v>65</v>
      </c>
    </row>
    <row r="12" spans="1:10" ht="36" customHeight="1" x14ac:dyDescent="0.3">
      <c r="A12" s="2" t="s">
        <v>59</v>
      </c>
      <c r="B12" s="2" t="s">
        <v>152</v>
      </c>
      <c r="C12" s="2">
        <v>5</v>
      </c>
      <c r="D12" s="2" t="s">
        <v>132</v>
      </c>
      <c r="E12" s="5">
        <f>IF(B12="I1",AVERAGEIF(QA_Images!$A$2:$A$66,A12,QA_Images!$T$2:$T$66)/100,IF(D12="FULL",1,IF(D12="PARTIAL",0.5,IF(D12="FAIL",0,""))))</f>
        <v>0.5</v>
      </c>
      <c r="F12" s="5">
        <f t="shared" si="0"/>
        <v>2.5</v>
      </c>
      <c r="G12" s="5">
        <f>IF(B12="I1",20*AVERAGEIF(QA_Images!$A$2:$A$66,A12,QA_Images!$U$2:$U$66)/100,IF(D12="NOT_CHECKED",0,C12))</f>
        <v>5</v>
      </c>
      <c r="H12" s="2" t="s">
        <v>153</v>
      </c>
      <c r="I12" s="2" t="s">
        <v>66</v>
      </c>
      <c r="J12" s="2" t="s">
        <v>65</v>
      </c>
    </row>
    <row r="13" spans="1:10" ht="36" customHeight="1" x14ac:dyDescent="0.3">
      <c r="A13" s="3" t="s">
        <v>67</v>
      </c>
      <c r="B13" s="3" t="s">
        <v>128</v>
      </c>
      <c r="C13" s="3">
        <v>15</v>
      </c>
      <c r="D13" s="3" t="s">
        <v>129</v>
      </c>
      <c r="E13" s="7">
        <f>IF(B13="I1",AVERAGEIF(QA_Images!$A$2:$A$66,A13,QA_Images!$T$2:$T$66)/100,IF(D13="FULL",1,IF(D13="PARTIAL",0.5,IF(D13="FAIL",0,""))))</f>
        <v>1</v>
      </c>
      <c r="F13" s="7">
        <f t="shared" si="0"/>
        <v>15</v>
      </c>
      <c r="G13" s="7">
        <f>IF(B13="I1",20*AVERAGEIF(QA_Images!$A$2:$A$66,A13,QA_Images!$U$2:$U$66)/100,IF(D13="NOT_CHECKED",0,C13))</f>
        <v>15</v>
      </c>
      <c r="H13" s="3" t="s">
        <v>130</v>
      </c>
      <c r="I13" s="3" t="s">
        <v>73</v>
      </c>
      <c r="J13" s="3" t="s">
        <v>72</v>
      </c>
    </row>
    <row r="14" spans="1:10" ht="36" customHeight="1" x14ac:dyDescent="0.3">
      <c r="A14" s="2" t="s">
        <v>67</v>
      </c>
      <c r="B14" s="2" t="s">
        <v>131</v>
      </c>
      <c r="C14" s="2">
        <v>10</v>
      </c>
      <c r="D14" s="2" t="s">
        <v>132</v>
      </c>
      <c r="E14" s="5">
        <f>IF(B14="I1",AVERAGEIF(QA_Images!$A$2:$A$66,A14,QA_Images!$T$2:$T$66)/100,IF(D14="FULL",1,IF(D14="PARTIAL",0.5,IF(D14="FAIL",0,""))))</f>
        <v>0.5</v>
      </c>
      <c r="F14" s="5">
        <f t="shared" si="0"/>
        <v>5</v>
      </c>
      <c r="G14" s="5">
        <f>IF(B14="I1",20*AVERAGEIF(QA_Images!$A$2:$A$66,A14,QA_Images!$U$2:$U$66)/100,IF(D14="NOT_CHECKED",0,C14))</f>
        <v>10</v>
      </c>
      <c r="H14" s="2" t="s">
        <v>133</v>
      </c>
      <c r="I14" s="2" t="s">
        <v>73</v>
      </c>
      <c r="J14" s="2" t="s">
        <v>72</v>
      </c>
    </row>
    <row r="15" spans="1:10" ht="36" customHeight="1" x14ac:dyDescent="0.3">
      <c r="A15" s="3" t="s">
        <v>67</v>
      </c>
      <c r="B15" s="3" t="s">
        <v>134</v>
      </c>
      <c r="C15" s="3">
        <v>10</v>
      </c>
      <c r="D15" s="3" t="s">
        <v>129</v>
      </c>
      <c r="E15" s="7">
        <f>IF(B15="I1",AVERAGEIF(QA_Images!$A$2:$A$66,A15,QA_Images!$T$2:$T$66)/100,IF(D15="FULL",1,IF(D15="PARTIAL",0.5,IF(D15="FAIL",0,""))))</f>
        <v>1</v>
      </c>
      <c r="F15" s="7">
        <f t="shared" si="0"/>
        <v>10</v>
      </c>
      <c r="G15" s="7">
        <f>IF(B15="I1",20*AVERAGEIF(QA_Images!$A$2:$A$66,A15,QA_Images!$U$2:$U$66)/100,IF(D15="NOT_CHECKED",0,C15))</f>
        <v>10</v>
      </c>
      <c r="H15" s="3" t="s">
        <v>135</v>
      </c>
      <c r="I15" s="3" t="s">
        <v>73</v>
      </c>
      <c r="J15" s="3" t="s">
        <v>72</v>
      </c>
    </row>
    <row r="16" spans="1:10" ht="36" customHeight="1" x14ac:dyDescent="0.3">
      <c r="A16" s="2" t="s">
        <v>67</v>
      </c>
      <c r="B16" s="2" t="s">
        <v>136</v>
      </c>
      <c r="C16" s="2">
        <v>5</v>
      </c>
      <c r="D16" s="2" t="s">
        <v>129</v>
      </c>
      <c r="E16" s="5">
        <f>IF(B16="I1",AVERAGEIF(QA_Images!$A$2:$A$66,A16,QA_Images!$T$2:$T$66)/100,IF(D16="FULL",1,IF(D16="PARTIAL",0.5,IF(D16="FAIL",0,""))))</f>
        <v>1</v>
      </c>
      <c r="F16" s="5">
        <f t="shared" si="0"/>
        <v>5</v>
      </c>
      <c r="G16" s="5">
        <f>IF(B16="I1",20*AVERAGEIF(QA_Images!$A$2:$A$66,A16,QA_Images!$U$2:$U$66)/100,IF(D16="NOT_CHECKED",0,C16))</f>
        <v>5</v>
      </c>
      <c r="H16" s="2" t="s">
        <v>137</v>
      </c>
      <c r="I16" s="2" t="s">
        <v>73</v>
      </c>
      <c r="J16" s="2" t="s">
        <v>72</v>
      </c>
    </row>
    <row r="17" spans="1:10" ht="36" customHeight="1" x14ac:dyDescent="0.3">
      <c r="A17" s="3" t="s">
        <v>67</v>
      </c>
      <c r="B17" s="3" t="s">
        <v>138</v>
      </c>
      <c r="C17" s="3">
        <v>5</v>
      </c>
      <c r="D17" s="3" t="s">
        <v>129</v>
      </c>
      <c r="E17" s="7">
        <f>IF(B17="I1",AVERAGEIF(QA_Images!$A$2:$A$66,A17,QA_Images!$T$2:$T$66)/100,IF(D17="FULL",1,IF(D17="PARTIAL",0.5,IF(D17="FAIL",0,""))))</f>
        <v>1</v>
      </c>
      <c r="F17" s="7">
        <f t="shared" si="0"/>
        <v>5</v>
      </c>
      <c r="G17" s="7">
        <f>IF(B17="I1",20*AVERAGEIF(QA_Images!$A$2:$A$66,A17,QA_Images!$U$2:$U$66)/100,IF(D17="NOT_CHECKED",0,C17))</f>
        <v>5</v>
      </c>
      <c r="H17" s="3" t="s">
        <v>139</v>
      </c>
      <c r="I17" s="3" t="s">
        <v>73</v>
      </c>
      <c r="J17" s="3" t="s">
        <v>72</v>
      </c>
    </row>
    <row r="18" spans="1:10" ht="36" customHeight="1" x14ac:dyDescent="0.3">
      <c r="A18" s="2" t="s">
        <v>67</v>
      </c>
      <c r="B18" s="2" t="s">
        <v>140</v>
      </c>
      <c r="C18" s="2">
        <v>10</v>
      </c>
      <c r="D18" s="2" t="s">
        <v>129</v>
      </c>
      <c r="E18" s="5">
        <f>IF(B18="I1",AVERAGEIF(QA_Images!$A$2:$A$66,A18,QA_Images!$T$2:$T$66)/100,IF(D18="FULL",1,IF(D18="PARTIAL",0.5,IF(D18="FAIL",0,""))))</f>
        <v>1</v>
      </c>
      <c r="F18" s="5">
        <f t="shared" si="0"/>
        <v>10</v>
      </c>
      <c r="G18" s="5">
        <f>IF(B18="I1",20*AVERAGEIF(QA_Images!$A$2:$A$66,A18,QA_Images!$U$2:$U$66)/100,IF(D18="NOT_CHECKED",0,C18))</f>
        <v>10</v>
      </c>
      <c r="H18" s="2" t="s">
        <v>141</v>
      </c>
      <c r="I18" s="2" t="s">
        <v>73</v>
      </c>
      <c r="J18" s="2" t="s">
        <v>72</v>
      </c>
    </row>
    <row r="19" spans="1:10" ht="36" customHeight="1" x14ac:dyDescent="0.3">
      <c r="A19" s="3" t="s">
        <v>67</v>
      </c>
      <c r="B19" s="3" t="s">
        <v>142</v>
      </c>
      <c r="C19" s="3">
        <v>5</v>
      </c>
      <c r="D19" s="3" t="s">
        <v>129</v>
      </c>
      <c r="E19" s="7">
        <f>IF(B19="I1",AVERAGEIF(QA_Images!$A$2:$A$66,A19,QA_Images!$T$2:$T$66)/100,IF(D19="FULL",1,IF(D19="PARTIAL",0.5,IF(D19="FAIL",0,""))))</f>
        <v>1</v>
      </c>
      <c r="F19" s="7">
        <f t="shared" si="0"/>
        <v>5</v>
      </c>
      <c r="G19" s="7">
        <f>IF(B19="I1",20*AVERAGEIF(QA_Images!$A$2:$A$66,A19,QA_Images!$U$2:$U$66)/100,IF(D19="NOT_CHECKED",0,C19))</f>
        <v>5</v>
      </c>
      <c r="H19" s="3" t="s">
        <v>143</v>
      </c>
      <c r="I19" s="3" t="s">
        <v>73</v>
      </c>
      <c r="J19" s="3" t="s">
        <v>72</v>
      </c>
    </row>
    <row r="20" spans="1:10" ht="36" customHeight="1" x14ac:dyDescent="0.3">
      <c r="A20" s="2" t="s">
        <v>67</v>
      </c>
      <c r="B20" s="2" t="s">
        <v>144</v>
      </c>
      <c r="C20" s="2">
        <v>5</v>
      </c>
      <c r="D20" s="2" t="s">
        <v>129</v>
      </c>
      <c r="E20" s="5">
        <f>IF(B20="I1",AVERAGEIF(QA_Images!$A$2:$A$66,A20,QA_Images!$T$2:$T$66)/100,IF(D20="FULL",1,IF(D20="PARTIAL",0.5,IF(D20="FAIL",0,""))))</f>
        <v>1</v>
      </c>
      <c r="F20" s="5">
        <f t="shared" si="0"/>
        <v>5</v>
      </c>
      <c r="G20" s="5">
        <f>IF(B20="I1",20*AVERAGEIF(QA_Images!$A$2:$A$66,A20,QA_Images!$U$2:$U$66)/100,IF(D20="NOT_CHECKED",0,C20))</f>
        <v>5</v>
      </c>
      <c r="H20" s="2" t="s">
        <v>145</v>
      </c>
      <c r="I20" s="2" t="s">
        <v>73</v>
      </c>
      <c r="J20" s="2" t="s">
        <v>72</v>
      </c>
    </row>
    <row r="21" spans="1:10" ht="36" customHeight="1" x14ac:dyDescent="0.3">
      <c r="A21" s="3" t="s">
        <v>67</v>
      </c>
      <c r="B21" s="3" t="s">
        <v>146</v>
      </c>
      <c r="C21" s="3">
        <v>10</v>
      </c>
      <c r="D21" s="3" t="s">
        <v>147</v>
      </c>
      <c r="E21" s="7">
        <f>IF(B21="I1",AVERAGEIF(QA_Images!$A$2:$A$66,A21,QA_Images!$T$2:$T$66)/100,IF(D21="FULL",1,IF(D21="PARTIAL",0.5,IF(D21="FAIL",0,""))))</f>
        <v>0</v>
      </c>
      <c r="F21" s="7">
        <f t="shared" si="0"/>
        <v>0</v>
      </c>
      <c r="G21" s="7">
        <f>IF(B21="I1",20*AVERAGEIF(QA_Images!$A$2:$A$66,A21,QA_Images!$U$2:$U$66)/100,IF(D21="NOT_CHECKED",0,C21))</f>
        <v>10</v>
      </c>
      <c r="H21" s="3" t="s">
        <v>148</v>
      </c>
      <c r="I21" s="3" t="s">
        <v>73</v>
      </c>
      <c r="J21" s="3" t="s">
        <v>72</v>
      </c>
    </row>
    <row r="22" spans="1:10" ht="36" customHeight="1" x14ac:dyDescent="0.3">
      <c r="A22" s="2" t="s">
        <v>67</v>
      </c>
      <c r="B22" s="2" t="s">
        <v>149</v>
      </c>
      <c r="C22" s="2">
        <v>20</v>
      </c>
      <c r="D22" s="2" t="s">
        <v>150</v>
      </c>
      <c r="E22" s="5">
        <f>IF(B22="I1",AVERAGEIF(QA_Images!$A$2:$A$66,A22,QA_Images!$T$2:$T$66)/100,IF(D22="FULL",1,IF(D22="PARTIAL",0.5,IF(D22="FAIL",0,""))))</f>
        <v>0.75714285714285712</v>
      </c>
      <c r="F22" s="5">
        <f t="shared" si="0"/>
        <v>15.142857142857142</v>
      </c>
      <c r="G22" s="5">
        <f>IF(B22="I1",20*AVERAGEIF(QA_Images!$A$2:$A$66,A22,QA_Images!$U$2:$U$66)/100,IF(D22="NOT_CHECKED",0,C22))</f>
        <v>20</v>
      </c>
      <c r="H22" s="2" t="s">
        <v>154</v>
      </c>
      <c r="I22" s="2" t="s">
        <v>73</v>
      </c>
      <c r="J22" s="2" t="s">
        <v>72</v>
      </c>
    </row>
    <row r="23" spans="1:10" ht="36" customHeight="1" x14ac:dyDescent="0.3">
      <c r="A23" s="3" t="s">
        <v>67</v>
      </c>
      <c r="B23" s="3" t="s">
        <v>152</v>
      </c>
      <c r="C23" s="3">
        <v>5</v>
      </c>
      <c r="D23" s="3" t="s">
        <v>132</v>
      </c>
      <c r="E23" s="7">
        <f>IF(B23="I1",AVERAGEIF(QA_Images!$A$2:$A$66,A23,QA_Images!$T$2:$T$66)/100,IF(D23="FULL",1,IF(D23="PARTIAL",0.5,IF(D23="FAIL",0,""))))</f>
        <v>0.5</v>
      </c>
      <c r="F23" s="7">
        <f t="shared" si="0"/>
        <v>2.5</v>
      </c>
      <c r="G23" s="7">
        <f>IF(B23="I1",20*AVERAGEIF(QA_Images!$A$2:$A$66,A23,QA_Images!$U$2:$U$66)/100,IF(D23="NOT_CHECKED",0,C23))</f>
        <v>5</v>
      </c>
      <c r="H23" s="3" t="s">
        <v>153</v>
      </c>
      <c r="I23" s="3" t="s">
        <v>73</v>
      </c>
      <c r="J23" s="3" t="s">
        <v>72</v>
      </c>
    </row>
    <row r="24" spans="1:10" ht="36" customHeight="1" x14ac:dyDescent="0.3">
      <c r="A24" s="2" t="s">
        <v>74</v>
      </c>
      <c r="B24" s="2" t="s">
        <v>128</v>
      </c>
      <c r="C24" s="2">
        <v>15</v>
      </c>
      <c r="D24" s="2" t="s">
        <v>129</v>
      </c>
      <c r="E24" s="5">
        <f>IF(B24="I1",AVERAGEIF(QA_Images!$A$2:$A$66,A24,QA_Images!$T$2:$T$66)/100,IF(D24="FULL",1,IF(D24="PARTIAL",0.5,IF(D24="FAIL",0,""))))</f>
        <v>1</v>
      </c>
      <c r="F24" s="5">
        <f t="shared" si="0"/>
        <v>15</v>
      </c>
      <c r="G24" s="5">
        <f>IF(B24="I1",20*AVERAGEIF(QA_Images!$A$2:$A$66,A24,QA_Images!$U$2:$U$66)/100,IF(D24="NOT_CHECKED",0,C24))</f>
        <v>15</v>
      </c>
      <c r="H24" s="2" t="s">
        <v>130</v>
      </c>
      <c r="I24" s="2" t="s">
        <v>79</v>
      </c>
      <c r="J24" s="2" t="s">
        <v>78</v>
      </c>
    </row>
    <row r="25" spans="1:10" ht="36" customHeight="1" x14ac:dyDescent="0.3">
      <c r="A25" s="3" t="s">
        <v>74</v>
      </c>
      <c r="B25" s="3" t="s">
        <v>131</v>
      </c>
      <c r="C25" s="3">
        <v>10</v>
      </c>
      <c r="D25" s="3" t="s">
        <v>129</v>
      </c>
      <c r="E25" s="7">
        <f>IF(B25="I1",AVERAGEIF(QA_Images!$A$2:$A$66,A25,QA_Images!$T$2:$T$66)/100,IF(D25="FULL",1,IF(D25="PARTIAL",0.5,IF(D25="FAIL",0,""))))</f>
        <v>1</v>
      </c>
      <c r="F25" s="7">
        <f t="shared" si="0"/>
        <v>10</v>
      </c>
      <c r="G25" s="7">
        <f>IF(B25="I1",20*AVERAGEIF(QA_Images!$A$2:$A$66,A25,QA_Images!$U$2:$U$66)/100,IF(D25="NOT_CHECKED",0,C25))</f>
        <v>10</v>
      </c>
      <c r="H25" s="3" t="s">
        <v>133</v>
      </c>
      <c r="I25" s="3" t="s">
        <v>79</v>
      </c>
      <c r="J25" s="3" t="s">
        <v>78</v>
      </c>
    </row>
    <row r="26" spans="1:10" ht="36" customHeight="1" x14ac:dyDescent="0.3">
      <c r="A26" s="2" t="s">
        <v>74</v>
      </c>
      <c r="B26" s="2" t="s">
        <v>134</v>
      </c>
      <c r="C26" s="2">
        <v>10</v>
      </c>
      <c r="D26" s="2" t="s">
        <v>132</v>
      </c>
      <c r="E26" s="5">
        <f>IF(B26="I1",AVERAGEIF(QA_Images!$A$2:$A$66,A26,QA_Images!$T$2:$T$66)/100,IF(D26="FULL",1,IF(D26="PARTIAL",0.5,IF(D26="FAIL",0,""))))</f>
        <v>0.5</v>
      </c>
      <c r="F26" s="5">
        <f t="shared" si="0"/>
        <v>5</v>
      </c>
      <c r="G26" s="5">
        <f>IF(B26="I1",20*AVERAGEIF(QA_Images!$A$2:$A$66,A26,QA_Images!$U$2:$U$66)/100,IF(D26="NOT_CHECKED",0,C26))</f>
        <v>10</v>
      </c>
      <c r="H26" s="2" t="s">
        <v>135</v>
      </c>
      <c r="I26" s="2" t="s">
        <v>79</v>
      </c>
      <c r="J26" s="2" t="s">
        <v>78</v>
      </c>
    </row>
    <row r="27" spans="1:10" ht="36" customHeight="1" x14ac:dyDescent="0.3">
      <c r="A27" s="3" t="s">
        <v>74</v>
      </c>
      <c r="B27" s="3" t="s">
        <v>136</v>
      </c>
      <c r="C27" s="3">
        <v>5</v>
      </c>
      <c r="D27" s="3" t="s">
        <v>129</v>
      </c>
      <c r="E27" s="7">
        <f>IF(B27="I1",AVERAGEIF(QA_Images!$A$2:$A$66,A27,QA_Images!$T$2:$T$66)/100,IF(D27="FULL",1,IF(D27="PARTIAL",0.5,IF(D27="FAIL",0,""))))</f>
        <v>1</v>
      </c>
      <c r="F27" s="7">
        <f t="shared" si="0"/>
        <v>5</v>
      </c>
      <c r="G27" s="7">
        <f>IF(B27="I1",20*AVERAGEIF(QA_Images!$A$2:$A$66,A27,QA_Images!$U$2:$U$66)/100,IF(D27="NOT_CHECKED",0,C27))</f>
        <v>5</v>
      </c>
      <c r="H27" s="3" t="s">
        <v>137</v>
      </c>
      <c r="I27" s="3" t="s">
        <v>79</v>
      </c>
      <c r="J27" s="3" t="s">
        <v>78</v>
      </c>
    </row>
    <row r="28" spans="1:10" ht="36" customHeight="1" x14ac:dyDescent="0.3">
      <c r="A28" s="2" t="s">
        <v>74</v>
      </c>
      <c r="B28" s="2" t="s">
        <v>138</v>
      </c>
      <c r="C28" s="2">
        <v>5</v>
      </c>
      <c r="D28" s="2" t="s">
        <v>132</v>
      </c>
      <c r="E28" s="5">
        <f>IF(B28="I1",AVERAGEIF(QA_Images!$A$2:$A$66,A28,QA_Images!$T$2:$T$66)/100,IF(D28="FULL",1,IF(D28="PARTIAL",0.5,IF(D28="FAIL",0,""))))</f>
        <v>0.5</v>
      </c>
      <c r="F28" s="5">
        <f t="shared" si="0"/>
        <v>2.5</v>
      </c>
      <c r="G28" s="5">
        <f>IF(B28="I1",20*AVERAGEIF(QA_Images!$A$2:$A$66,A28,QA_Images!$U$2:$U$66)/100,IF(D28="NOT_CHECKED",0,C28))</f>
        <v>5</v>
      </c>
      <c r="H28" s="2" t="s">
        <v>139</v>
      </c>
      <c r="I28" s="2" t="s">
        <v>79</v>
      </c>
      <c r="J28" s="2" t="s">
        <v>78</v>
      </c>
    </row>
    <row r="29" spans="1:10" ht="36" customHeight="1" x14ac:dyDescent="0.3">
      <c r="A29" s="3" t="s">
        <v>74</v>
      </c>
      <c r="B29" s="3" t="s">
        <v>140</v>
      </c>
      <c r="C29" s="3">
        <v>10</v>
      </c>
      <c r="D29" s="3" t="s">
        <v>129</v>
      </c>
      <c r="E29" s="7">
        <f>IF(B29="I1",AVERAGEIF(QA_Images!$A$2:$A$66,A29,QA_Images!$T$2:$T$66)/100,IF(D29="FULL",1,IF(D29="PARTIAL",0.5,IF(D29="FAIL",0,""))))</f>
        <v>1</v>
      </c>
      <c r="F29" s="7">
        <f t="shared" si="0"/>
        <v>10</v>
      </c>
      <c r="G29" s="7">
        <f>IF(B29="I1",20*AVERAGEIF(QA_Images!$A$2:$A$66,A29,QA_Images!$U$2:$U$66)/100,IF(D29="NOT_CHECKED",0,C29))</f>
        <v>10</v>
      </c>
      <c r="H29" s="3" t="s">
        <v>141</v>
      </c>
      <c r="I29" s="3" t="s">
        <v>79</v>
      </c>
      <c r="J29" s="3" t="s">
        <v>78</v>
      </c>
    </row>
    <row r="30" spans="1:10" ht="36" customHeight="1" x14ac:dyDescent="0.3">
      <c r="A30" s="2" t="s">
        <v>74</v>
      </c>
      <c r="B30" s="2" t="s">
        <v>142</v>
      </c>
      <c r="C30" s="2">
        <v>5</v>
      </c>
      <c r="D30" s="2" t="s">
        <v>129</v>
      </c>
      <c r="E30" s="5">
        <f>IF(B30="I1",AVERAGEIF(QA_Images!$A$2:$A$66,A30,QA_Images!$T$2:$T$66)/100,IF(D30="FULL",1,IF(D30="PARTIAL",0.5,IF(D30="FAIL",0,""))))</f>
        <v>1</v>
      </c>
      <c r="F30" s="5">
        <f t="shared" si="0"/>
        <v>5</v>
      </c>
      <c r="G30" s="5">
        <f>IF(B30="I1",20*AVERAGEIF(QA_Images!$A$2:$A$66,A30,QA_Images!$U$2:$U$66)/100,IF(D30="NOT_CHECKED",0,C30))</f>
        <v>5</v>
      </c>
      <c r="H30" s="2" t="s">
        <v>143</v>
      </c>
      <c r="I30" s="2" t="s">
        <v>79</v>
      </c>
      <c r="J30" s="2" t="s">
        <v>78</v>
      </c>
    </row>
    <row r="31" spans="1:10" ht="36" customHeight="1" x14ac:dyDescent="0.3">
      <c r="A31" s="3" t="s">
        <v>74</v>
      </c>
      <c r="B31" s="3" t="s">
        <v>144</v>
      </c>
      <c r="C31" s="3">
        <v>5</v>
      </c>
      <c r="D31" s="3" t="s">
        <v>129</v>
      </c>
      <c r="E31" s="7">
        <f>IF(B31="I1",AVERAGEIF(QA_Images!$A$2:$A$66,A31,QA_Images!$T$2:$T$66)/100,IF(D31="FULL",1,IF(D31="PARTIAL",0.5,IF(D31="FAIL",0,""))))</f>
        <v>1</v>
      </c>
      <c r="F31" s="7">
        <f t="shared" si="0"/>
        <v>5</v>
      </c>
      <c r="G31" s="7">
        <f>IF(B31="I1",20*AVERAGEIF(QA_Images!$A$2:$A$66,A31,QA_Images!$U$2:$U$66)/100,IF(D31="NOT_CHECKED",0,C31))</f>
        <v>5</v>
      </c>
      <c r="H31" s="3" t="s">
        <v>145</v>
      </c>
      <c r="I31" s="3" t="s">
        <v>79</v>
      </c>
      <c r="J31" s="3" t="s">
        <v>78</v>
      </c>
    </row>
    <row r="32" spans="1:10" ht="36" customHeight="1" x14ac:dyDescent="0.3">
      <c r="A32" s="2" t="s">
        <v>74</v>
      </c>
      <c r="B32" s="2" t="s">
        <v>146</v>
      </c>
      <c r="C32" s="2">
        <v>10</v>
      </c>
      <c r="D32" s="2" t="s">
        <v>147</v>
      </c>
      <c r="E32" s="5">
        <f>IF(B32="I1",AVERAGEIF(QA_Images!$A$2:$A$66,A32,QA_Images!$T$2:$T$66)/100,IF(D32="FULL",1,IF(D32="PARTIAL",0.5,IF(D32="FAIL",0,""))))</f>
        <v>0</v>
      </c>
      <c r="F32" s="5">
        <f t="shared" si="0"/>
        <v>0</v>
      </c>
      <c r="G32" s="5">
        <f>IF(B32="I1",20*AVERAGEIF(QA_Images!$A$2:$A$66,A32,QA_Images!$U$2:$U$66)/100,IF(D32="NOT_CHECKED",0,C32))</f>
        <v>10</v>
      </c>
      <c r="H32" s="2" t="s">
        <v>148</v>
      </c>
      <c r="I32" s="2" t="s">
        <v>79</v>
      </c>
      <c r="J32" s="2" t="s">
        <v>78</v>
      </c>
    </row>
    <row r="33" spans="1:10" ht="36" customHeight="1" x14ac:dyDescent="0.3">
      <c r="A33" s="3" t="s">
        <v>74</v>
      </c>
      <c r="B33" s="3" t="s">
        <v>149</v>
      </c>
      <c r="C33" s="3">
        <v>20</v>
      </c>
      <c r="D33" s="3" t="s">
        <v>150</v>
      </c>
      <c r="E33" s="7">
        <f>IF(B33="I1",AVERAGEIF(QA_Images!$A$2:$A$66,A33,QA_Images!$T$2:$T$66)/100,IF(D33="FULL",1,IF(D33="PARTIAL",0.5,IF(D33="FAIL",0,""))))</f>
        <v>0.95</v>
      </c>
      <c r="F33" s="7">
        <f t="shared" si="0"/>
        <v>19</v>
      </c>
      <c r="G33" s="7">
        <f>IF(B33="I1",20*AVERAGEIF(QA_Images!$A$2:$A$66,A33,QA_Images!$U$2:$U$66)/100,IF(D33="NOT_CHECKED",0,C33))</f>
        <v>20</v>
      </c>
      <c r="H33" s="3" t="s">
        <v>151</v>
      </c>
      <c r="I33" s="3" t="s">
        <v>79</v>
      </c>
      <c r="J33" s="3" t="s">
        <v>78</v>
      </c>
    </row>
    <row r="34" spans="1:10" ht="36" customHeight="1" x14ac:dyDescent="0.3">
      <c r="A34" s="2" t="s">
        <v>74</v>
      </c>
      <c r="B34" s="2" t="s">
        <v>152</v>
      </c>
      <c r="C34" s="2">
        <v>5</v>
      </c>
      <c r="D34" s="2" t="s">
        <v>132</v>
      </c>
      <c r="E34" s="5">
        <f>IF(B34="I1",AVERAGEIF(QA_Images!$A$2:$A$66,A34,QA_Images!$T$2:$T$66)/100,IF(D34="FULL",1,IF(D34="PARTIAL",0.5,IF(D34="FAIL",0,""))))</f>
        <v>0.5</v>
      </c>
      <c r="F34" s="5">
        <f t="shared" ref="F34:F65" si="1">IF(E34="",0,C34*E34)</f>
        <v>2.5</v>
      </c>
      <c r="G34" s="5">
        <f>IF(B34="I1",20*AVERAGEIF(QA_Images!$A$2:$A$66,A34,QA_Images!$U$2:$U$66)/100,IF(D34="NOT_CHECKED",0,C34))</f>
        <v>5</v>
      </c>
      <c r="H34" s="2" t="s">
        <v>153</v>
      </c>
      <c r="I34" s="2" t="s">
        <v>79</v>
      </c>
      <c r="J34" s="2" t="s">
        <v>78</v>
      </c>
    </row>
    <row r="35" spans="1:10" ht="36" customHeight="1" x14ac:dyDescent="0.3">
      <c r="A35" s="3" t="s">
        <v>80</v>
      </c>
      <c r="B35" s="3" t="s">
        <v>128</v>
      </c>
      <c r="C35" s="3">
        <v>15</v>
      </c>
      <c r="D35" s="3" t="s">
        <v>129</v>
      </c>
      <c r="E35" s="7">
        <f>IF(B35="I1",AVERAGEIF(QA_Images!$A$2:$A$66,A35,QA_Images!$T$2:$T$66)/100,IF(D35="FULL",1,IF(D35="PARTIAL",0.5,IF(D35="FAIL",0,""))))</f>
        <v>1</v>
      </c>
      <c r="F35" s="7">
        <f t="shared" si="1"/>
        <v>15</v>
      </c>
      <c r="G35" s="7">
        <f>IF(B35="I1",20*AVERAGEIF(QA_Images!$A$2:$A$66,A35,QA_Images!$U$2:$U$66)/100,IF(D35="NOT_CHECKED",0,C35))</f>
        <v>15</v>
      </c>
      <c r="H35" s="3" t="s">
        <v>130</v>
      </c>
      <c r="I35" s="3" t="s">
        <v>85</v>
      </c>
      <c r="J35" s="3" t="s">
        <v>84</v>
      </c>
    </row>
    <row r="36" spans="1:10" ht="36" customHeight="1" x14ac:dyDescent="0.3">
      <c r="A36" s="2" t="s">
        <v>80</v>
      </c>
      <c r="B36" s="2" t="s">
        <v>131</v>
      </c>
      <c r="C36" s="2">
        <v>10</v>
      </c>
      <c r="D36" s="2" t="s">
        <v>129</v>
      </c>
      <c r="E36" s="5">
        <f>IF(B36="I1",AVERAGEIF(QA_Images!$A$2:$A$66,A36,QA_Images!$T$2:$T$66)/100,IF(D36="FULL",1,IF(D36="PARTIAL",0.5,IF(D36="FAIL",0,""))))</f>
        <v>1</v>
      </c>
      <c r="F36" s="5">
        <f t="shared" si="1"/>
        <v>10</v>
      </c>
      <c r="G36" s="5">
        <f>IF(B36="I1",20*AVERAGEIF(QA_Images!$A$2:$A$66,A36,QA_Images!$U$2:$U$66)/100,IF(D36="NOT_CHECKED",0,C36))</f>
        <v>10</v>
      </c>
      <c r="H36" s="2" t="s">
        <v>133</v>
      </c>
      <c r="I36" s="2" t="s">
        <v>85</v>
      </c>
      <c r="J36" s="2" t="s">
        <v>84</v>
      </c>
    </row>
    <row r="37" spans="1:10" ht="36" customHeight="1" x14ac:dyDescent="0.3">
      <c r="A37" s="3" t="s">
        <v>80</v>
      </c>
      <c r="B37" s="3" t="s">
        <v>134</v>
      </c>
      <c r="C37" s="3">
        <v>10</v>
      </c>
      <c r="D37" s="3" t="s">
        <v>132</v>
      </c>
      <c r="E37" s="7">
        <f>IF(B37="I1",AVERAGEIF(QA_Images!$A$2:$A$66,A37,QA_Images!$T$2:$T$66)/100,IF(D37="FULL",1,IF(D37="PARTIAL",0.5,IF(D37="FAIL",0,""))))</f>
        <v>0.5</v>
      </c>
      <c r="F37" s="7">
        <f t="shared" si="1"/>
        <v>5</v>
      </c>
      <c r="G37" s="7">
        <f>IF(B37="I1",20*AVERAGEIF(QA_Images!$A$2:$A$66,A37,QA_Images!$U$2:$U$66)/100,IF(D37="NOT_CHECKED",0,C37))</f>
        <v>10</v>
      </c>
      <c r="H37" s="3" t="s">
        <v>135</v>
      </c>
      <c r="I37" s="3" t="s">
        <v>85</v>
      </c>
      <c r="J37" s="3" t="s">
        <v>84</v>
      </c>
    </row>
    <row r="38" spans="1:10" ht="36" customHeight="1" x14ac:dyDescent="0.3">
      <c r="A38" s="2" t="s">
        <v>80</v>
      </c>
      <c r="B38" s="2" t="s">
        <v>136</v>
      </c>
      <c r="C38" s="2">
        <v>5</v>
      </c>
      <c r="D38" s="2" t="s">
        <v>132</v>
      </c>
      <c r="E38" s="5">
        <f>IF(B38="I1",AVERAGEIF(QA_Images!$A$2:$A$66,A38,QA_Images!$T$2:$T$66)/100,IF(D38="FULL",1,IF(D38="PARTIAL",0.5,IF(D38="FAIL",0,""))))</f>
        <v>0.5</v>
      </c>
      <c r="F38" s="5">
        <f t="shared" si="1"/>
        <v>2.5</v>
      </c>
      <c r="G38" s="5">
        <f>IF(B38="I1",20*AVERAGEIF(QA_Images!$A$2:$A$66,A38,QA_Images!$U$2:$U$66)/100,IF(D38="NOT_CHECKED",0,C38))</f>
        <v>5</v>
      </c>
      <c r="H38" s="2" t="s">
        <v>137</v>
      </c>
      <c r="I38" s="2" t="s">
        <v>85</v>
      </c>
      <c r="J38" s="2" t="s">
        <v>84</v>
      </c>
    </row>
    <row r="39" spans="1:10" ht="36" customHeight="1" x14ac:dyDescent="0.3">
      <c r="A39" s="3" t="s">
        <v>80</v>
      </c>
      <c r="B39" s="3" t="s">
        <v>138</v>
      </c>
      <c r="C39" s="3">
        <v>5</v>
      </c>
      <c r="D39" s="3" t="s">
        <v>132</v>
      </c>
      <c r="E39" s="7">
        <f>IF(B39="I1",AVERAGEIF(QA_Images!$A$2:$A$66,A39,QA_Images!$T$2:$T$66)/100,IF(D39="FULL",1,IF(D39="PARTIAL",0.5,IF(D39="FAIL",0,""))))</f>
        <v>0.5</v>
      </c>
      <c r="F39" s="7">
        <f t="shared" si="1"/>
        <v>2.5</v>
      </c>
      <c r="G39" s="7">
        <f>IF(B39="I1",20*AVERAGEIF(QA_Images!$A$2:$A$66,A39,QA_Images!$U$2:$U$66)/100,IF(D39="NOT_CHECKED",0,C39))</f>
        <v>5</v>
      </c>
      <c r="H39" s="3" t="s">
        <v>139</v>
      </c>
      <c r="I39" s="3" t="s">
        <v>85</v>
      </c>
      <c r="J39" s="3" t="s">
        <v>84</v>
      </c>
    </row>
    <row r="40" spans="1:10" ht="36" customHeight="1" x14ac:dyDescent="0.3">
      <c r="A40" s="2" t="s">
        <v>80</v>
      </c>
      <c r="B40" s="2" t="s">
        <v>140</v>
      </c>
      <c r="C40" s="2">
        <v>10</v>
      </c>
      <c r="D40" s="2" t="s">
        <v>129</v>
      </c>
      <c r="E40" s="5">
        <f>IF(B40="I1",AVERAGEIF(QA_Images!$A$2:$A$66,A40,QA_Images!$T$2:$T$66)/100,IF(D40="FULL",1,IF(D40="PARTIAL",0.5,IF(D40="FAIL",0,""))))</f>
        <v>1</v>
      </c>
      <c r="F40" s="5">
        <f t="shared" si="1"/>
        <v>10</v>
      </c>
      <c r="G40" s="5">
        <f>IF(B40="I1",20*AVERAGEIF(QA_Images!$A$2:$A$66,A40,QA_Images!$U$2:$U$66)/100,IF(D40="NOT_CHECKED",0,C40))</f>
        <v>10</v>
      </c>
      <c r="H40" s="2" t="s">
        <v>141</v>
      </c>
      <c r="I40" s="2" t="s">
        <v>85</v>
      </c>
      <c r="J40" s="2" t="s">
        <v>84</v>
      </c>
    </row>
    <row r="41" spans="1:10" ht="36" customHeight="1" x14ac:dyDescent="0.3">
      <c r="A41" s="3" t="s">
        <v>80</v>
      </c>
      <c r="B41" s="3" t="s">
        <v>142</v>
      </c>
      <c r="C41" s="3">
        <v>5</v>
      </c>
      <c r="D41" s="3" t="s">
        <v>129</v>
      </c>
      <c r="E41" s="7">
        <f>IF(B41="I1",AVERAGEIF(QA_Images!$A$2:$A$66,A41,QA_Images!$T$2:$T$66)/100,IF(D41="FULL",1,IF(D41="PARTIAL",0.5,IF(D41="FAIL",0,""))))</f>
        <v>1</v>
      </c>
      <c r="F41" s="7">
        <f t="shared" si="1"/>
        <v>5</v>
      </c>
      <c r="G41" s="7">
        <f>IF(B41="I1",20*AVERAGEIF(QA_Images!$A$2:$A$66,A41,QA_Images!$U$2:$U$66)/100,IF(D41="NOT_CHECKED",0,C41))</f>
        <v>5</v>
      </c>
      <c r="H41" s="3" t="s">
        <v>143</v>
      </c>
      <c r="I41" s="3" t="s">
        <v>85</v>
      </c>
      <c r="J41" s="3" t="s">
        <v>84</v>
      </c>
    </row>
    <row r="42" spans="1:10" ht="36" customHeight="1" x14ac:dyDescent="0.3">
      <c r="A42" s="2" t="s">
        <v>80</v>
      </c>
      <c r="B42" s="2" t="s">
        <v>144</v>
      </c>
      <c r="C42" s="2">
        <v>5</v>
      </c>
      <c r="D42" s="2" t="s">
        <v>129</v>
      </c>
      <c r="E42" s="5">
        <f>IF(B42="I1",AVERAGEIF(QA_Images!$A$2:$A$66,A42,QA_Images!$T$2:$T$66)/100,IF(D42="FULL",1,IF(D42="PARTIAL",0.5,IF(D42="FAIL",0,""))))</f>
        <v>1</v>
      </c>
      <c r="F42" s="5">
        <f t="shared" si="1"/>
        <v>5</v>
      </c>
      <c r="G42" s="5">
        <f>IF(B42="I1",20*AVERAGEIF(QA_Images!$A$2:$A$66,A42,QA_Images!$U$2:$U$66)/100,IF(D42="NOT_CHECKED",0,C42))</f>
        <v>5</v>
      </c>
      <c r="H42" s="2" t="s">
        <v>145</v>
      </c>
      <c r="I42" s="2" t="s">
        <v>85</v>
      </c>
      <c r="J42" s="2" t="s">
        <v>84</v>
      </c>
    </row>
    <row r="43" spans="1:10" ht="36" customHeight="1" x14ac:dyDescent="0.3">
      <c r="A43" s="3" t="s">
        <v>80</v>
      </c>
      <c r="B43" s="3" t="s">
        <v>146</v>
      </c>
      <c r="C43" s="3">
        <v>10</v>
      </c>
      <c r="D43" s="3" t="s">
        <v>147</v>
      </c>
      <c r="E43" s="7">
        <f>IF(B43="I1",AVERAGEIF(QA_Images!$A$2:$A$66,A43,QA_Images!$T$2:$T$66)/100,IF(D43="FULL",1,IF(D43="PARTIAL",0.5,IF(D43="FAIL",0,""))))</f>
        <v>0</v>
      </c>
      <c r="F43" s="7">
        <f t="shared" si="1"/>
        <v>0</v>
      </c>
      <c r="G43" s="7">
        <f>IF(B43="I1",20*AVERAGEIF(QA_Images!$A$2:$A$66,A43,QA_Images!$U$2:$U$66)/100,IF(D43="NOT_CHECKED",0,C43))</f>
        <v>10</v>
      </c>
      <c r="H43" s="3" t="s">
        <v>148</v>
      </c>
      <c r="I43" s="3" t="s">
        <v>85</v>
      </c>
      <c r="J43" s="3" t="s">
        <v>84</v>
      </c>
    </row>
    <row r="44" spans="1:10" ht="36" customHeight="1" x14ac:dyDescent="0.3">
      <c r="A44" s="2" t="s">
        <v>80</v>
      </c>
      <c r="B44" s="2" t="s">
        <v>149</v>
      </c>
      <c r="C44" s="2">
        <v>20</v>
      </c>
      <c r="D44" s="2" t="s">
        <v>150</v>
      </c>
      <c r="E44" s="5">
        <f>IF(B44="I1",AVERAGEIF(QA_Images!$A$2:$A$66,A44,QA_Images!$T$2:$T$66)/100,IF(D44="FULL",1,IF(D44="PARTIAL",0.5,IF(D44="FAIL",0,""))))</f>
        <v>0.95</v>
      </c>
      <c r="F44" s="5">
        <f t="shared" si="1"/>
        <v>19</v>
      </c>
      <c r="G44" s="5">
        <f>IF(B44="I1",20*AVERAGEIF(QA_Images!$A$2:$A$66,A44,QA_Images!$U$2:$U$66)/100,IF(D44="NOT_CHECKED",0,C44))</f>
        <v>20</v>
      </c>
      <c r="H44" s="2" t="s">
        <v>151</v>
      </c>
      <c r="I44" s="2" t="s">
        <v>85</v>
      </c>
      <c r="J44" s="2" t="s">
        <v>84</v>
      </c>
    </row>
    <row r="45" spans="1:10" ht="36" customHeight="1" x14ac:dyDescent="0.3">
      <c r="A45" s="3" t="s">
        <v>80</v>
      </c>
      <c r="B45" s="3" t="s">
        <v>152</v>
      </c>
      <c r="C45" s="3">
        <v>5</v>
      </c>
      <c r="D45" s="3" t="s">
        <v>132</v>
      </c>
      <c r="E45" s="7">
        <f>IF(B45="I1",AVERAGEIF(QA_Images!$A$2:$A$66,A45,QA_Images!$T$2:$T$66)/100,IF(D45="FULL",1,IF(D45="PARTIAL",0.5,IF(D45="FAIL",0,""))))</f>
        <v>0.5</v>
      </c>
      <c r="F45" s="7">
        <f t="shared" si="1"/>
        <v>2.5</v>
      </c>
      <c r="G45" s="7">
        <f>IF(B45="I1",20*AVERAGEIF(QA_Images!$A$2:$A$66,A45,QA_Images!$U$2:$U$66)/100,IF(D45="NOT_CHECKED",0,C45))</f>
        <v>5</v>
      </c>
      <c r="H45" s="3" t="s">
        <v>153</v>
      </c>
      <c r="I45" s="3" t="s">
        <v>85</v>
      </c>
      <c r="J45" s="3" t="s">
        <v>84</v>
      </c>
    </row>
    <row r="46" spans="1:10" ht="36" customHeight="1" x14ac:dyDescent="0.3">
      <c r="A46" s="2" t="s">
        <v>86</v>
      </c>
      <c r="B46" s="2" t="s">
        <v>128</v>
      </c>
      <c r="C46" s="2">
        <v>15</v>
      </c>
      <c r="D46" s="2" t="s">
        <v>132</v>
      </c>
      <c r="E46" s="5">
        <f>IF(B46="I1",AVERAGEIF(QA_Images!$A$2:$A$66,A46,QA_Images!$T$2:$T$66)/100,IF(D46="FULL",1,IF(D46="PARTIAL",0.5,IF(D46="FAIL",0,""))))</f>
        <v>0.5</v>
      </c>
      <c r="F46" s="5">
        <f t="shared" si="1"/>
        <v>7.5</v>
      </c>
      <c r="G46" s="5">
        <f>IF(B46="I1",20*AVERAGEIF(QA_Images!$A$2:$A$66,A46,QA_Images!$U$2:$U$66)/100,IF(D46="NOT_CHECKED",0,C46))</f>
        <v>15</v>
      </c>
      <c r="H46" s="2" t="s">
        <v>130</v>
      </c>
      <c r="I46" s="2" t="s">
        <v>91</v>
      </c>
      <c r="J46" s="2" t="s">
        <v>90</v>
      </c>
    </row>
    <row r="47" spans="1:10" ht="36" customHeight="1" x14ac:dyDescent="0.3">
      <c r="A47" s="3" t="s">
        <v>86</v>
      </c>
      <c r="B47" s="3" t="s">
        <v>131</v>
      </c>
      <c r="C47" s="3">
        <v>10</v>
      </c>
      <c r="D47" s="3" t="s">
        <v>132</v>
      </c>
      <c r="E47" s="7">
        <f>IF(B47="I1",AVERAGEIF(QA_Images!$A$2:$A$66,A47,QA_Images!$T$2:$T$66)/100,IF(D47="FULL",1,IF(D47="PARTIAL",0.5,IF(D47="FAIL",0,""))))</f>
        <v>0.5</v>
      </c>
      <c r="F47" s="7">
        <f t="shared" si="1"/>
        <v>5</v>
      </c>
      <c r="G47" s="7">
        <f>IF(B47="I1",20*AVERAGEIF(QA_Images!$A$2:$A$66,A47,QA_Images!$U$2:$U$66)/100,IF(D47="NOT_CHECKED",0,C47))</f>
        <v>10</v>
      </c>
      <c r="H47" s="3" t="s">
        <v>133</v>
      </c>
      <c r="I47" s="3" t="s">
        <v>91</v>
      </c>
      <c r="J47" s="3" t="s">
        <v>90</v>
      </c>
    </row>
    <row r="48" spans="1:10" ht="36" customHeight="1" x14ac:dyDescent="0.3">
      <c r="A48" s="2" t="s">
        <v>86</v>
      </c>
      <c r="B48" s="2" t="s">
        <v>134</v>
      </c>
      <c r="C48" s="2">
        <v>10</v>
      </c>
      <c r="D48" s="2" t="s">
        <v>129</v>
      </c>
      <c r="E48" s="5">
        <f>IF(B48="I1",AVERAGEIF(QA_Images!$A$2:$A$66,A48,QA_Images!$T$2:$T$66)/100,IF(D48="FULL",1,IF(D48="PARTIAL",0.5,IF(D48="FAIL",0,""))))</f>
        <v>1</v>
      </c>
      <c r="F48" s="5">
        <f t="shared" si="1"/>
        <v>10</v>
      </c>
      <c r="G48" s="5">
        <f>IF(B48="I1",20*AVERAGEIF(QA_Images!$A$2:$A$66,A48,QA_Images!$U$2:$U$66)/100,IF(D48="NOT_CHECKED",0,C48))</f>
        <v>10</v>
      </c>
      <c r="H48" s="2" t="s">
        <v>135</v>
      </c>
      <c r="I48" s="2" t="s">
        <v>91</v>
      </c>
      <c r="J48" s="2" t="s">
        <v>90</v>
      </c>
    </row>
    <row r="49" spans="1:10" ht="36" customHeight="1" x14ac:dyDescent="0.3">
      <c r="A49" s="3" t="s">
        <v>86</v>
      </c>
      <c r="B49" s="3" t="s">
        <v>136</v>
      </c>
      <c r="C49" s="3">
        <v>5</v>
      </c>
      <c r="D49" s="3" t="s">
        <v>129</v>
      </c>
      <c r="E49" s="7">
        <f>IF(B49="I1",AVERAGEIF(QA_Images!$A$2:$A$66,A49,QA_Images!$T$2:$T$66)/100,IF(D49="FULL",1,IF(D49="PARTIAL",0.5,IF(D49="FAIL",0,""))))</f>
        <v>1</v>
      </c>
      <c r="F49" s="7">
        <f t="shared" si="1"/>
        <v>5</v>
      </c>
      <c r="G49" s="7">
        <f>IF(B49="I1",20*AVERAGEIF(QA_Images!$A$2:$A$66,A49,QA_Images!$U$2:$U$66)/100,IF(D49="NOT_CHECKED",0,C49))</f>
        <v>5</v>
      </c>
      <c r="H49" s="3" t="s">
        <v>137</v>
      </c>
      <c r="I49" s="3" t="s">
        <v>91</v>
      </c>
      <c r="J49" s="3" t="s">
        <v>90</v>
      </c>
    </row>
    <row r="50" spans="1:10" ht="36" customHeight="1" x14ac:dyDescent="0.3">
      <c r="A50" s="2" t="s">
        <v>86</v>
      </c>
      <c r="B50" s="2" t="s">
        <v>138</v>
      </c>
      <c r="C50" s="2">
        <v>5</v>
      </c>
      <c r="D50" s="2" t="s">
        <v>129</v>
      </c>
      <c r="E50" s="5">
        <f>IF(B50="I1",AVERAGEIF(QA_Images!$A$2:$A$66,A50,QA_Images!$T$2:$T$66)/100,IF(D50="FULL",1,IF(D50="PARTIAL",0.5,IF(D50="FAIL",0,""))))</f>
        <v>1</v>
      </c>
      <c r="F50" s="5">
        <f t="shared" si="1"/>
        <v>5</v>
      </c>
      <c r="G50" s="5">
        <f>IF(B50="I1",20*AVERAGEIF(QA_Images!$A$2:$A$66,A50,QA_Images!$U$2:$U$66)/100,IF(D50="NOT_CHECKED",0,C50))</f>
        <v>5</v>
      </c>
      <c r="H50" s="2" t="s">
        <v>139</v>
      </c>
      <c r="I50" s="2" t="s">
        <v>91</v>
      </c>
      <c r="J50" s="2" t="s">
        <v>90</v>
      </c>
    </row>
    <row r="51" spans="1:10" ht="36" customHeight="1" x14ac:dyDescent="0.3">
      <c r="A51" s="3" t="s">
        <v>86</v>
      </c>
      <c r="B51" s="3" t="s">
        <v>140</v>
      </c>
      <c r="C51" s="3">
        <v>10</v>
      </c>
      <c r="D51" s="3" t="s">
        <v>129</v>
      </c>
      <c r="E51" s="7">
        <f>IF(B51="I1",AVERAGEIF(QA_Images!$A$2:$A$66,A51,QA_Images!$T$2:$T$66)/100,IF(D51="FULL",1,IF(D51="PARTIAL",0.5,IF(D51="FAIL",0,""))))</f>
        <v>1</v>
      </c>
      <c r="F51" s="7">
        <f t="shared" si="1"/>
        <v>10</v>
      </c>
      <c r="G51" s="7">
        <f>IF(B51="I1",20*AVERAGEIF(QA_Images!$A$2:$A$66,A51,QA_Images!$U$2:$U$66)/100,IF(D51="NOT_CHECKED",0,C51))</f>
        <v>10</v>
      </c>
      <c r="H51" s="3" t="s">
        <v>141</v>
      </c>
      <c r="I51" s="3" t="s">
        <v>91</v>
      </c>
      <c r="J51" s="3" t="s">
        <v>90</v>
      </c>
    </row>
    <row r="52" spans="1:10" ht="36" customHeight="1" x14ac:dyDescent="0.3">
      <c r="A52" s="2" t="s">
        <v>86</v>
      </c>
      <c r="B52" s="2" t="s">
        <v>142</v>
      </c>
      <c r="C52" s="2">
        <v>5</v>
      </c>
      <c r="D52" s="2" t="s">
        <v>129</v>
      </c>
      <c r="E52" s="5">
        <f>IF(B52="I1",AVERAGEIF(QA_Images!$A$2:$A$66,A52,QA_Images!$T$2:$T$66)/100,IF(D52="FULL",1,IF(D52="PARTIAL",0.5,IF(D52="FAIL",0,""))))</f>
        <v>1</v>
      </c>
      <c r="F52" s="5">
        <f t="shared" si="1"/>
        <v>5</v>
      </c>
      <c r="G52" s="5">
        <f>IF(B52="I1",20*AVERAGEIF(QA_Images!$A$2:$A$66,A52,QA_Images!$U$2:$U$66)/100,IF(D52="NOT_CHECKED",0,C52))</f>
        <v>5</v>
      </c>
      <c r="H52" s="2" t="s">
        <v>143</v>
      </c>
      <c r="I52" s="2" t="s">
        <v>91</v>
      </c>
      <c r="J52" s="2" t="s">
        <v>90</v>
      </c>
    </row>
    <row r="53" spans="1:10" ht="36" customHeight="1" x14ac:dyDescent="0.3">
      <c r="A53" s="3" t="s">
        <v>86</v>
      </c>
      <c r="B53" s="3" t="s">
        <v>144</v>
      </c>
      <c r="C53" s="3">
        <v>5</v>
      </c>
      <c r="D53" s="3" t="s">
        <v>129</v>
      </c>
      <c r="E53" s="7">
        <f>IF(B53="I1",AVERAGEIF(QA_Images!$A$2:$A$66,A53,QA_Images!$T$2:$T$66)/100,IF(D53="FULL",1,IF(D53="PARTIAL",0.5,IF(D53="FAIL",0,""))))</f>
        <v>1</v>
      </c>
      <c r="F53" s="7">
        <f t="shared" si="1"/>
        <v>5</v>
      </c>
      <c r="G53" s="7">
        <f>IF(B53="I1",20*AVERAGEIF(QA_Images!$A$2:$A$66,A53,QA_Images!$U$2:$U$66)/100,IF(D53="NOT_CHECKED",0,C53))</f>
        <v>5</v>
      </c>
      <c r="H53" s="3" t="s">
        <v>145</v>
      </c>
      <c r="I53" s="3" t="s">
        <v>91</v>
      </c>
      <c r="J53" s="3" t="s">
        <v>90</v>
      </c>
    </row>
    <row r="54" spans="1:10" ht="36" customHeight="1" x14ac:dyDescent="0.3">
      <c r="A54" s="2" t="s">
        <v>86</v>
      </c>
      <c r="B54" s="2" t="s">
        <v>146</v>
      </c>
      <c r="C54" s="2">
        <v>10</v>
      </c>
      <c r="D54" s="2" t="s">
        <v>147</v>
      </c>
      <c r="E54" s="5">
        <f>IF(B54="I1",AVERAGEIF(QA_Images!$A$2:$A$66,A54,QA_Images!$T$2:$T$66)/100,IF(D54="FULL",1,IF(D54="PARTIAL",0.5,IF(D54="FAIL",0,""))))</f>
        <v>0</v>
      </c>
      <c r="F54" s="5">
        <f t="shared" si="1"/>
        <v>0</v>
      </c>
      <c r="G54" s="5">
        <f>IF(B54="I1",20*AVERAGEIF(QA_Images!$A$2:$A$66,A54,QA_Images!$U$2:$U$66)/100,IF(D54="NOT_CHECKED",0,C54))</f>
        <v>10</v>
      </c>
      <c r="H54" s="2" t="s">
        <v>148</v>
      </c>
      <c r="I54" s="2" t="s">
        <v>91</v>
      </c>
      <c r="J54" s="2" t="s">
        <v>90</v>
      </c>
    </row>
    <row r="55" spans="1:10" ht="36" customHeight="1" x14ac:dyDescent="0.3">
      <c r="A55" s="3" t="s">
        <v>86</v>
      </c>
      <c r="B55" s="3" t="s">
        <v>149</v>
      </c>
      <c r="C55" s="3">
        <v>20</v>
      </c>
      <c r="D55" s="3" t="s">
        <v>150</v>
      </c>
      <c r="E55" s="7">
        <f>IF(B55="I1",AVERAGEIF(QA_Images!$A$2:$A$66,A55,QA_Images!$T$2:$T$66)/100,IF(D55="FULL",1,IF(D55="PARTIAL",0.5,IF(D55="FAIL",0,""))))</f>
        <v>0.87857142857142856</v>
      </c>
      <c r="F55" s="7">
        <f t="shared" si="1"/>
        <v>17.571428571428569</v>
      </c>
      <c r="G55" s="7">
        <f>IF(B55="I1",20*AVERAGEIF(QA_Images!$A$2:$A$66,A55,QA_Images!$U$2:$U$66)/100,IF(D55="NOT_CHECKED",0,C55))</f>
        <v>20</v>
      </c>
      <c r="H55" s="3" t="s">
        <v>155</v>
      </c>
      <c r="I55" s="3" t="s">
        <v>91</v>
      </c>
      <c r="J55" s="3" t="s">
        <v>90</v>
      </c>
    </row>
    <row r="56" spans="1:10" ht="36" customHeight="1" x14ac:dyDescent="0.3">
      <c r="A56" s="2" t="s">
        <v>86</v>
      </c>
      <c r="B56" s="2" t="s">
        <v>152</v>
      </c>
      <c r="C56" s="2">
        <v>5</v>
      </c>
      <c r="D56" s="2" t="s">
        <v>147</v>
      </c>
      <c r="E56" s="5">
        <f>IF(B56="I1",AVERAGEIF(QA_Images!$A$2:$A$66,A56,QA_Images!$T$2:$T$66)/100,IF(D56="FULL",1,IF(D56="PARTIAL",0.5,IF(D56="FAIL",0,""))))</f>
        <v>0</v>
      </c>
      <c r="F56" s="5">
        <f t="shared" si="1"/>
        <v>0</v>
      </c>
      <c r="G56" s="5">
        <f>IF(B56="I1",20*AVERAGEIF(QA_Images!$A$2:$A$66,A56,QA_Images!$U$2:$U$66)/100,IF(D56="NOT_CHECKED",0,C56))</f>
        <v>5</v>
      </c>
      <c r="H56" s="2" t="s">
        <v>153</v>
      </c>
      <c r="I56" s="2" t="s">
        <v>91</v>
      </c>
      <c r="J56" s="2" t="s">
        <v>90</v>
      </c>
    </row>
    <row r="57" spans="1:10" ht="36" customHeight="1" x14ac:dyDescent="0.3">
      <c r="A57" s="3" t="s">
        <v>92</v>
      </c>
      <c r="B57" s="3" t="s">
        <v>128</v>
      </c>
      <c r="C57" s="3">
        <v>15</v>
      </c>
      <c r="D57" s="3" t="s">
        <v>132</v>
      </c>
      <c r="E57" s="7">
        <f>IF(B57="I1",AVERAGEIF(QA_Images!$A$2:$A$66,A57,QA_Images!$T$2:$T$66)/100,IF(D57="FULL",1,IF(D57="PARTIAL",0.5,IF(D57="FAIL",0,""))))</f>
        <v>0.5</v>
      </c>
      <c r="F57" s="7">
        <f t="shared" si="1"/>
        <v>7.5</v>
      </c>
      <c r="G57" s="7">
        <f>IF(B57="I1",20*AVERAGEIF(QA_Images!$A$2:$A$66,A57,QA_Images!$U$2:$U$66)/100,IF(D57="NOT_CHECKED",0,C57))</f>
        <v>15</v>
      </c>
      <c r="H57" s="3" t="s">
        <v>130</v>
      </c>
      <c r="I57" s="3" t="s">
        <v>97</v>
      </c>
      <c r="J57" s="3" t="s">
        <v>96</v>
      </c>
    </row>
    <row r="58" spans="1:10" ht="36" customHeight="1" x14ac:dyDescent="0.3">
      <c r="A58" s="2" t="s">
        <v>92</v>
      </c>
      <c r="B58" s="2" t="s">
        <v>131</v>
      </c>
      <c r="C58" s="2">
        <v>10</v>
      </c>
      <c r="D58" s="2" t="s">
        <v>132</v>
      </c>
      <c r="E58" s="5">
        <f>IF(B58="I1",AVERAGEIF(QA_Images!$A$2:$A$66,A58,QA_Images!$T$2:$T$66)/100,IF(D58="FULL",1,IF(D58="PARTIAL",0.5,IF(D58="FAIL",0,""))))</f>
        <v>0.5</v>
      </c>
      <c r="F58" s="5">
        <f t="shared" si="1"/>
        <v>5</v>
      </c>
      <c r="G58" s="5">
        <f>IF(B58="I1",20*AVERAGEIF(QA_Images!$A$2:$A$66,A58,QA_Images!$U$2:$U$66)/100,IF(D58="NOT_CHECKED",0,C58))</f>
        <v>10</v>
      </c>
      <c r="H58" s="2" t="s">
        <v>133</v>
      </c>
      <c r="I58" s="2" t="s">
        <v>97</v>
      </c>
      <c r="J58" s="2" t="s">
        <v>96</v>
      </c>
    </row>
    <row r="59" spans="1:10" ht="36" customHeight="1" x14ac:dyDescent="0.3">
      <c r="A59" s="3" t="s">
        <v>92</v>
      </c>
      <c r="B59" s="3" t="s">
        <v>134</v>
      </c>
      <c r="C59" s="3">
        <v>10</v>
      </c>
      <c r="D59" s="3" t="s">
        <v>132</v>
      </c>
      <c r="E59" s="7">
        <f>IF(B59="I1",AVERAGEIF(QA_Images!$A$2:$A$66,A59,QA_Images!$T$2:$T$66)/100,IF(D59="FULL",1,IF(D59="PARTIAL",0.5,IF(D59="FAIL",0,""))))</f>
        <v>0.5</v>
      </c>
      <c r="F59" s="7">
        <f t="shared" si="1"/>
        <v>5</v>
      </c>
      <c r="G59" s="7">
        <f>IF(B59="I1",20*AVERAGEIF(QA_Images!$A$2:$A$66,A59,QA_Images!$U$2:$U$66)/100,IF(D59="NOT_CHECKED",0,C59))</f>
        <v>10</v>
      </c>
      <c r="H59" s="3" t="s">
        <v>135</v>
      </c>
      <c r="I59" s="3" t="s">
        <v>97</v>
      </c>
      <c r="J59" s="3" t="s">
        <v>96</v>
      </c>
    </row>
    <row r="60" spans="1:10" ht="36" customHeight="1" x14ac:dyDescent="0.3">
      <c r="A60" s="2" t="s">
        <v>92</v>
      </c>
      <c r="B60" s="2" t="s">
        <v>136</v>
      </c>
      <c r="C60" s="2">
        <v>5</v>
      </c>
      <c r="D60" s="2" t="s">
        <v>129</v>
      </c>
      <c r="E60" s="5">
        <f>IF(B60="I1",AVERAGEIF(QA_Images!$A$2:$A$66,A60,QA_Images!$T$2:$T$66)/100,IF(D60="FULL",1,IF(D60="PARTIAL",0.5,IF(D60="FAIL",0,""))))</f>
        <v>1</v>
      </c>
      <c r="F60" s="5">
        <f t="shared" si="1"/>
        <v>5</v>
      </c>
      <c r="G60" s="5">
        <f>IF(B60="I1",20*AVERAGEIF(QA_Images!$A$2:$A$66,A60,QA_Images!$U$2:$U$66)/100,IF(D60="NOT_CHECKED",0,C60))</f>
        <v>5</v>
      </c>
      <c r="H60" s="2" t="s">
        <v>137</v>
      </c>
      <c r="I60" s="2" t="s">
        <v>97</v>
      </c>
      <c r="J60" s="2" t="s">
        <v>96</v>
      </c>
    </row>
    <row r="61" spans="1:10" ht="36" customHeight="1" x14ac:dyDescent="0.3">
      <c r="A61" s="3" t="s">
        <v>92</v>
      </c>
      <c r="B61" s="3" t="s">
        <v>138</v>
      </c>
      <c r="C61" s="3">
        <v>5</v>
      </c>
      <c r="D61" s="3" t="s">
        <v>132</v>
      </c>
      <c r="E61" s="7">
        <f>IF(B61="I1",AVERAGEIF(QA_Images!$A$2:$A$66,A61,QA_Images!$T$2:$T$66)/100,IF(D61="FULL",1,IF(D61="PARTIAL",0.5,IF(D61="FAIL",0,""))))</f>
        <v>0.5</v>
      </c>
      <c r="F61" s="7">
        <f t="shared" si="1"/>
        <v>2.5</v>
      </c>
      <c r="G61" s="7">
        <f>IF(B61="I1",20*AVERAGEIF(QA_Images!$A$2:$A$66,A61,QA_Images!$U$2:$U$66)/100,IF(D61="NOT_CHECKED",0,C61))</f>
        <v>5</v>
      </c>
      <c r="H61" s="3" t="s">
        <v>139</v>
      </c>
      <c r="I61" s="3" t="s">
        <v>97</v>
      </c>
      <c r="J61" s="3" t="s">
        <v>96</v>
      </c>
    </row>
    <row r="62" spans="1:10" ht="36" customHeight="1" x14ac:dyDescent="0.3">
      <c r="A62" s="2" t="s">
        <v>92</v>
      </c>
      <c r="B62" s="2" t="s">
        <v>140</v>
      </c>
      <c r="C62" s="2">
        <v>10</v>
      </c>
      <c r="D62" s="2" t="s">
        <v>129</v>
      </c>
      <c r="E62" s="5">
        <f>IF(B62="I1",AVERAGEIF(QA_Images!$A$2:$A$66,A62,QA_Images!$T$2:$T$66)/100,IF(D62="FULL",1,IF(D62="PARTIAL",0.5,IF(D62="FAIL",0,""))))</f>
        <v>1</v>
      </c>
      <c r="F62" s="5">
        <f t="shared" si="1"/>
        <v>10</v>
      </c>
      <c r="G62" s="5">
        <f>IF(B62="I1",20*AVERAGEIF(QA_Images!$A$2:$A$66,A62,QA_Images!$U$2:$U$66)/100,IF(D62="NOT_CHECKED",0,C62))</f>
        <v>10</v>
      </c>
      <c r="H62" s="2" t="s">
        <v>141</v>
      </c>
      <c r="I62" s="2" t="s">
        <v>97</v>
      </c>
      <c r="J62" s="2" t="s">
        <v>96</v>
      </c>
    </row>
    <row r="63" spans="1:10" ht="36" customHeight="1" x14ac:dyDescent="0.3">
      <c r="A63" s="3" t="s">
        <v>92</v>
      </c>
      <c r="B63" s="3" t="s">
        <v>142</v>
      </c>
      <c r="C63" s="3">
        <v>5</v>
      </c>
      <c r="D63" s="3" t="s">
        <v>129</v>
      </c>
      <c r="E63" s="7">
        <f>IF(B63="I1",AVERAGEIF(QA_Images!$A$2:$A$66,A63,QA_Images!$T$2:$T$66)/100,IF(D63="FULL",1,IF(D63="PARTIAL",0.5,IF(D63="FAIL",0,""))))</f>
        <v>1</v>
      </c>
      <c r="F63" s="7">
        <f t="shared" si="1"/>
        <v>5</v>
      </c>
      <c r="G63" s="7">
        <f>IF(B63="I1",20*AVERAGEIF(QA_Images!$A$2:$A$66,A63,QA_Images!$U$2:$U$66)/100,IF(D63="NOT_CHECKED",0,C63))</f>
        <v>5</v>
      </c>
      <c r="H63" s="3" t="s">
        <v>143</v>
      </c>
      <c r="I63" s="3" t="s">
        <v>97</v>
      </c>
      <c r="J63" s="3" t="s">
        <v>96</v>
      </c>
    </row>
    <row r="64" spans="1:10" ht="36" customHeight="1" x14ac:dyDescent="0.3">
      <c r="A64" s="2" t="s">
        <v>92</v>
      </c>
      <c r="B64" s="2" t="s">
        <v>144</v>
      </c>
      <c r="C64" s="2">
        <v>5</v>
      </c>
      <c r="D64" s="2" t="s">
        <v>129</v>
      </c>
      <c r="E64" s="5">
        <f>IF(B64="I1",AVERAGEIF(QA_Images!$A$2:$A$66,A64,QA_Images!$T$2:$T$66)/100,IF(D64="FULL",1,IF(D64="PARTIAL",0.5,IF(D64="FAIL",0,""))))</f>
        <v>1</v>
      </c>
      <c r="F64" s="5">
        <f t="shared" si="1"/>
        <v>5</v>
      </c>
      <c r="G64" s="5">
        <f>IF(B64="I1",20*AVERAGEIF(QA_Images!$A$2:$A$66,A64,QA_Images!$U$2:$U$66)/100,IF(D64="NOT_CHECKED",0,C64))</f>
        <v>5</v>
      </c>
      <c r="H64" s="2" t="s">
        <v>145</v>
      </c>
      <c r="I64" s="2" t="s">
        <v>97</v>
      </c>
      <c r="J64" s="2" t="s">
        <v>96</v>
      </c>
    </row>
    <row r="65" spans="1:10" ht="36" customHeight="1" x14ac:dyDescent="0.3">
      <c r="A65" s="3" t="s">
        <v>92</v>
      </c>
      <c r="B65" s="3" t="s">
        <v>146</v>
      </c>
      <c r="C65" s="3">
        <v>10</v>
      </c>
      <c r="D65" s="3" t="s">
        <v>147</v>
      </c>
      <c r="E65" s="7">
        <f>IF(B65="I1",AVERAGEIF(QA_Images!$A$2:$A$66,A65,QA_Images!$T$2:$T$66)/100,IF(D65="FULL",1,IF(D65="PARTIAL",0.5,IF(D65="FAIL",0,""))))</f>
        <v>0</v>
      </c>
      <c r="F65" s="7">
        <f t="shared" si="1"/>
        <v>0</v>
      </c>
      <c r="G65" s="7">
        <f>IF(B65="I1",20*AVERAGEIF(QA_Images!$A$2:$A$66,A65,QA_Images!$U$2:$U$66)/100,IF(D65="NOT_CHECKED",0,C65))</f>
        <v>10</v>
      </c>
      <c r="H65" s="3" t="s">
        <v>148</v>
      </c>
      <c r="I65" s="3" t="s">
        <v>97</v>
      </c>
      <c r="J65" s="3" t="s">
        <v>96</v>
      </c>
    </row>
    <row r="66" spans="1:10" ht="36" customHeight="1" x14ac:dyDescent="0.3">
      <c r="A66" s="2" t="s">
        <v>92</v>
      </c>
      <c r="B66" s="2" t="s">
        <v>149</v>
      </c>
      <c r="C66" s="2">
        <v>20</v>
      </c>
      <c r="D66" s="2" t="s">
        <v>150</v>
      </c>
      <c r="E66" s="5">
        <f>IF(B66="I1",AVERAGEIF(QA_Images!$A$2:$A$66,A66,QA_Images!$T$2:$T$66)/100,IF(D66="FULL",1,IF(D66="PARTIAL",0.5,IF(D66="FAIL",0,""))))</f>
        <v>0.87857142857142856</v>
      </c>
      <c r="F66" s="5">
        <f t="shared" ref="F66:F97" si="2">IF(E66="",0,C66*E66)</f>
        <v>17.571428571428569</v>
      </c>
      <c r="G66" s="5">
        <f>IF(B66="I1",20*AVERAGEIF(QA_Images!$A$2:$A$66,A66,QA_Images!$U$2:$U$66)/100,IF(D66="NOT_CHECKED",0,C66))</f>
        <v>20</v>
      </c>
      <c r="H66" s="2" t="s">
        <v>155</v>
      </c>
      <c r="I66" s="2" t="s">
        <v>97</v>
      </c>
      <c r="J66" s="2" t="s">
        <v>96</v>
      </c>
    </row>
    <row r="67" spans="1:10" ht="36" customHeight="1" x14ac:dyDescent="0.3">
      <c r="A67" s="3" t="s">
        <v>92</v>
      </c>
      <c r="B67" s="3" t="s">
        <v>152</v>
      </c>
      <c r="C67" s="3">
        <v>5</v>
      </c>
      <c r="D67" s="3" t="s">
        <v>132</v>
      </c>
      <c r="E67" s="7">
        <f>IF(B67="I1",AVERAGEIF(QA_Images!$A$2:$A$66,A67,QA_Images!$T$2:$T$66)/100,IF(D67="FULL",1,IF(D67="PARTIAL",0.5,IF(D67="FAIL",0,""))))</f>
        <v>0.5</v>
      </c>
      <c r="F67" s="7">
        <f t="shared" si="2"/>
        <v>2.5</v>
      </c>
      <c r="G67" s="7">
        <f>IF(B67="I1",20*AVERAGEIF(QA_Images!$A$2:$A$66,A67,QA_Images!$U$2:$U$66)/100,IF(D67="NOT_CHECKED",0,C67))</f>
        <v>5</v>
      </c>
      <c r="H67" s="3" t="s">
        <v>153</v>
      </c>
      <c r="I67" s="3" t="s">
        <v>97</v>
      </c>
      <c r="J67" s="3" t="s">
        <v>96</v>
      </c>
    </row>
    <row r="68" spans="1:10" ht="36" customHeight="1" x14ac:dyDescent="0.3">
      <c r="A68" s="2" t="s">
        <v>98</v>
      </c>
      <c r="B68" s="2" t="s">
        <v>128</v>
      </c>
      <c r="C68" s="2">
        <v>15</v>
      </c>
      <c r="D68" s="2" t="s">
        <v>129</v>
      </c>
      <c r="E68" s="5">
        <f>IF(B68="I1",AVERAGEIF(QA_Images!$A$2:$A$66,A68,QA_Images!$T$2:$T$66)/100,IF(D68="FULL",1,IF(D68="PARTIAL",0.5,IF(D68="FAIL",0,""))))</f>
        <v>1</v>
      </c>
      <c r="F68" s="5">
        <f t="shared" si="2"/>
        <v>15</v>
      </c>
      <c r="G68" s="5">
        <f>IF(B68="I1",20*AVERAGEIF(QA_Images!$A$2:$A$66,A68,QA_Images!$U$2:$U$66)/100,IF(D68="NOT_CHECKED",0,C68))</f>
        <v>15</v>
      </c>
      <c r="H68" s="2" t="s">
        <v>130</v>
      </c>
      <c r="I68" s="2" t="s">
        <v>103</v>
      </c>
      <c r="J68" s="2" t="s">
        <v>102</v>
      </c>
    </row>
    <row r="69" spans="1:10" ht="36" customHeight="1" x14ac:dyDescent="0.3">
      <c r="A69" s="3" t="s">
        <v>98</v>
      </c>
      <c r="B69" s="3" t="s">
        <v>131</v>
      </c>
      <c r="C69" s="3">
        <v>10</v>
      </c>
      <c r="D69" s="3" t="s">
        <v>129</v>
      </c>
      <c r="E69" s="7">
        <f>IF(B69="I1",AVERAGEIF(QA_Images!$A$2:$A$66,A69,QA_Images!$T$2:$T$66)/100,IF(D69="FULL",1,IF(D69="PARTIAL",0.5,IF(D69="FAIL",0,""))))</f>
        <v>1</v>
      </c>
      <c r="F69" s="7">
        <f t="shared" si="2"/>
        <v>10</v>
      </c>
      <c r="G69" s="7">
        <f>IF(B69="I1",20*AVERAGEIF(QA_Images!$A$2:$A$66,A69,QA_Images!$U$2:$U$66)/100,IF(D69="NOT_CHECKED",0,C69))</f>
        <v>10</v>
      </c>
      <c r="H69" s="3" t="s">
        <v>133</v>
      </c>
      <c r="I69" s="3" t="s">
        <v>103</v>
      </c>
      <c r="J69" s="3" t="s">
        <v>102</v>
      </c>
    </row>
    <row r="70" spans="1:10" ht="36" customHeight="1" x14ac:dyDescent="0.3">
      <c r="A70" s="2" t="s">
        <v>98</v>
      </c>
      <c r="B70" s="2" t="s">
        <v>134</v>
      </c>
      <c r="C70" s="2">
        <v>10</v>
      </c>
      <c r="D70" s="2" t="s">
        <v>132</v>
      </c>
      <c r="E70" s="5">
        <f>IF(B70="I1",AVERAGEIF(QA_Images!$A$2:$A$66,A70,QA_Images!$T$2:$T$66)/100,IF(D70="FULL",1,IF(D70="PARTIAL",0.5,IF(D70="FAIL",0,""))))</f>
        <v>0.5</v>
      </c>
      <c r="F70" s="5">
        <f t="shared" si="2"/>
        <v>5</v>
      </c>
      <c r="G70" s="5">
        <f>IF(B70="I1",20*AVERAGEIF(QA_Images!$A$2:$A$66,A70,QA_Images!$U$2:$U$66)/100,IF(D70="NOT_CHECKED",0,C70))</f>
        <v>10</v>
      </c>
      <c r="H70" s="2" t="s">
        <v>135</v>
      </c>
      <c r="I70" s="2" t="s">
        <v>103</v>
      </c>
      <c r="J70" s="2" t="s">
        <v>102</v>
      </c>
    </row>
    <row r="71" spans="1:10" ht="36" customHeight="1" x14ac:dyDescent="0.3">
      <c r="A71" s="3" t="s">
        <v>98</v>
      </c>
      <c r="B71" s="3" t="s">
        <v>136</v>
      </c>
      <c r="C71" s="3">
        <v>5</v>
      </c>
      <c r="D71" s="3" t="s">
        <v>129</v>
      </c>
      <c r="E71" s="7">
        <f>IF(B71="I1",AVERAGEIF(QA_Images!$A$2:$A$66,A71,QA_Images!$T$2:$T$66)/100,IF(D71="FULL",1,IF(D71="PARTIAL",0.5,IF(D71="FAIL",0,""))))</f>
        <v>1</v>
      </c>
      <c r="F71" s="7">
        <f t="shared" si="2"/>
        <v>5</v>
      </c>
      <c r="G71" s="7">
        <f>IF(B71="I1",20*AVERAGEIF(QA_Images!$A$2:$A$66,A71,QA_Images!$U$2:$U$66)/100,IF(D71="NOT_CHECKED",0,C71))</f>
        <v>5</v>
      </c>
      <c r="H71" s="3" t="s">
        <v>137</v>
      </c>
      <c r="I71" s="3" t="s">
        <v>103</v>
      </c>
      <c r="J71" s="3" t="s">
        <v>102</v>
      </c>
    </row>
    <row r="72" spans="1:10" ht="36" customHeight="1" x14ac:dyDescent="0.3">
      <c r="A72" s="2" t="s">
        <v>98</v>
      </c>
      <c r="B72" s="2" t="s">
        <v>138</v>
      </c>
      <c r="C72" s="2">
        <v>5</v>
      </c>
      <c r="D72" s="2" t="s">
        <v>129</v>
      </c>
      <c r="E72" s="5">
        <f>IF(B72="I1",AVERAGEIF(QA_Images!$A$2:$A$66,A72,QA_Images!$T$2:$T$66)/100,IF(D72="FULL",1,IF(D72="PARTIAL",0.5,IF(D72="FAIL",0,""))))</f>
        <v>1</v>
      </c>
      <c r="F72" s="5">
        <f t="shared" si="2"/>
        <v>5</v>
      </c>
      <c r="G72" s="5">
        <f>IF(B72="I1",20*AVERAGEIF(QA_Images!$A$2:$A$66,A72,QA_Images!$U$2:$U$66)/100,IF(D72="NOT_CHECKED",0,C72))</f>
        <v>5</v>
      </c>
      <c r="H72" s="2" t="s">
        <v>139</v>
      </c>
      <c r="I72" s="2" t="s">
        <v>103</v>
      </c>
      <c r="J72" s="2" t="s">
        <v>102</v>
      </c>
    </row>
    <row r="73" spans="1:10" ht="36" customHeight="1" x14ac:dyDescent="0.3">
      <c r="A73" s="3" t="s">
        <v>98</v>
      </c>
      <c r="B73" s="3" t="s">
        <v>140</v>
      </c>
      <c r="C73" s="3">
        <v>10</v>
      </c>
      <c r="D73" s="3" t="s">
        <v>129</v>
      </c>
      <c r="E73" s="7">
        <f>IF(B73="I1",AVERAGEIF(QA_Images!$A$2:$A$66,A73,QA_Images!$T$2:$T$66)/100,IF(D73="FULL",1,IF(D73="PARTIAL",0.5,IF(D73="FAIL",0,""))))</f>
        <v>1</v>
      </c>
      <c r="F73" s="7">
        <f t="shared" si="2"/>
        <v>10</v>
      </c>
      <c r="G73" s="7">
        <f>IF(B73="I1",20*AVERAGEIF(QA_Images!$A$2:$A$66,A73,QA_Images!$U$2:$U$66)/100,IF(D73="NOT_CHECKED",0,C73))</f>
        <v>10</v>
      </c>
      <c r="H73" s="3" t="s">
        <v>141</v>
      </c>
      <c r="I73" s="3" t="s">
        <v>103</v>
      </c>
      <c r="J73" s="3" t="s">
        <v>102</v>
      </c>
    </row>
    <row r="74" spans="1:10" ht="36" customHeight="1" x14ac:dyDescent="0.3">
      <c r="A74" s="2" t="s">
        <v>98</v>
      </c>
      <c r="B74" s="2" t="s">
        <v>142</v>
      </c>
      <c r="C74" s="2">
        <v>5</v>
      </c>
      <c r="D74" s="2" t="s">
        <v>129</v>
      </c>
      <c r="E74" s="5">
        <f>IF(B74="I1",AVERAGEIF(QA_Images!$A$2:$A$66,A74,QA_Images!$T$2:$T$66)/100,IF(D74="FULL",1,IF(D74="PARTIAL",0.5,IF(D74="FAIL",0,""))))</f>
        <v>1</v>
      </c>
      <c r="F74" s="5">
        <f t="shared" si="2"/>
        <v>5</v>
      </c>
      <c r="G74" s="5">
        <f>IF(B74="I1",20*AVERAGEIF(QA_Images!$A$2:$A$66,A74,QA_Images!$U$2:$U$66)/100,IF(D74="NOT_CHECKED",0,C74))</f>
        <v>5</v>
      </c>
      <c r="H74" s="2" t="s">
        <v>143</v>
      </c>
      <c r="I74" s="2" t="s">
        <v>103</v>
      </c>
      <c r="J74" s="2" t="s">
        <v>102</v>
      </c>
    </row>
    <row r="75" spans="1:10" ht="36" customHeight="1" x14ac:dyDescent="0.3">
      <c r="A75" s="3" t="s">
        <v>98</v>
      </c>
      <c r="B75" s="3" t="s">
        <v>144</v>
      </c>
      <c r="C75" s="3">
        <v>5</v>
      </c>
      <c r="D75" s="3" t="s">
        <v>129</v>
      </c>
      <c r="E75" s="7">
        <f>IF(B75="I1",AVERAGEIF(QA_Images!$A$2:$A$66,A75,QA_Images!$T$2:$T$66)/100,IF(D75="FULL",1,IF(D75="PARTIAL",0.5,IF(D75="FAIL",0,""))))</f>
        <v>1</v>
      </c>
      <c r="F75" s="7">
        <f t="shared" si="2"/>
        <v>5</v>
      </c>
      <c r="G75" s="7">
        <f>IF(B75="I1",20*AVERAGEIF(QA_Images!$A$2:$A$66,A75,QA_Images!$U$2:$U$66)/100,IF(D75="NOT_CHECKED",0,C75))</f>
        <v>5</v>
      </c>
      <c r="H75" s="3" t="s">
        <v>145</v>
      </c>
      <c r="I75" s="3" t="s">
        <v>103</v>
      </c>
      <c r="J75" s="3" t="s">
        <v>102</v>
      </c>
    </row>
    <row r="76" spans="1:10" ht="36" customHeight="1" x14ac:dyDescent="0.3">
      <c r="A76" s="2" t="s">
        <v>98</v>
      </c>
      <c r="B76" s="2" t="s">
        <v>146</v>
      </c>
      <c r="C76" s="2">
        <v>10</v>
      </c>
      <c r="D76" s="2" t="s">
        <v>147</v>
      </c>
      <c r="E76" s="5">
        <f>IF(B76="I1",AVERAGEIF(QA_Images!$A$2:$A$66,A76,QA_Images!$T$2:$T$66)/100,IF(D76="FULL",1,IF(D76="PARTIAL",0.5,IF(D76="FAIL",0,""))))</f>
        <v>0</v>
      </c>
      <c r="F76" s="5">
        <f t="shared" si="2"/>
        <v>0</v>
      </c>
      <c r="G76" s="5">
        <f>IF(B76="I1",20*AVERAGEIF(QA_Images!$A$2:$A$66,A76,QA_Images!$U$2:$U$66)/100,IF(D76="NOT_CHECKED",0,C76))</f>
        <v>10</v>
      </c>
      <c r="H76" s="2" t="s">
        <v>148</v>
      </c>
      <c r="I76" s="2" t="s">
        <v>103</v>
      </c>
      <c r="J76" s="2" t="s">
        <v>102</v>
      </c>
    </row>
    <row r="77" spans="1:10" ht="36" customHeight="1" x14ac:dyDescent="0.3">
      <c r="A77" s="3" t="s">
        <v>98</v>
      </c>
      <c r="B77" s="3" t="s">
        <v>149</v>
      </c>
      <c r="C77" s="3">
        <v>20</v>
      </c>
      <c r="D77" s="3" t="s">
        <v>150</v>
      </c>
      <c r="E77" s="7">
        <f>IF(B77="I1",AVERAGEIF(QA_Images!$A$2:$A$66,A77,QA_Images!$T$2:$T$66)/100,IF(D77="FULL",1,IF(D77="PARTIAL",0.5,IF(D77="FAIL",0,""))))</f>
        <v>0.87857142857142856</v>
      </c>
      <c r="F77" s="7">
        <f t="shared" si="2"/>
        <v>17.571428571428569</v>
      </c>
      <c r="G77" s="7">
        <f>IF(B77="I1",20*AVERAGEIF(QA_Images!$A$2:$A$66,A77,QA_Images!$U$2:$U$66)/100,IF(D77="NOT_CHECKED",0,C77))</f>
        <v>20</v>
      </c>
      <c r="H77" s="3" t="s">
        <v>155</v>
      </c>
      <c r="I77" s="3" t="s">
        <v>103</v>
      </c>
      <c r="J77" s="3" t="s">
        <v>102</v>
      </c>
    </row>
    <row r="78" spans="1:10" ht="36" customHeight="1" x14ac:dyDescent="0.3">
      <c r="A78" s="2" t="s">
        <v>98</v>
      </c>
      <c r="B78" s="2" t="s">
        <v>152</v>
      </c>
      <c r="C78" s="2">
        <v>5</v>
      </c>
      <c r="D78" s="2" t="s">
        <v>132</v>
      </c>
      <c r="E78" s="5">
        <f>IF(B78="I1",AVERAGEIF(QA_Images!$A$2:$A$66,A78,QA_Images!$T$2:$T$66)/100,IF(D78="FULL",1,IF(D78="PARTIAL",0.5,IF(D78="FAIL",0,""))))</f>
        <v>0.5</v>
      </c>
      <c r="F78" s="5">
        <f t="shared" si="2"/>
        <v>2.5</v>
      </c>
      <c r="G78" s="5">
        <f>IF(B78="I1",20*AVERAGEIF(QA_Images!$A$2:$A$66,A78,QA_Images!$U$2:$U$66)/100,IF(D78="NOT_CHECKED",0,C78))</f>
        <v>5</v>
      </c>
      <c r="H78" s="2" t="s">
        <v>153</v>
      </c>
      <c r="I78" s="2" t="s">
        <v>103</v>
      </c>
      <c r="J78" s="2" t="s">
        <v>102</v>
      </c>
    </row>
    <row r="79" spans="1:10" ht="36" customHeight="1" x14ac:dyDescent="0.3">
      <c r="A79" s="3" t="s">
        <v>104</v>
      </c>
      <c r="B79" s="3" t="s">
        <v>128</v>
      </c>
      <c r="C79" s="3">
        <v>15</v>
      </c>
      <c r="D79" s="3" t="s">
        <v>129</v>
      </c>
      <c r="E79" s="7">
        <f>IF(B79="I1",AVERAGEIF(QA_Images!$A$2:$A$66,A79,QA_Images!$T$2:$T$66)/100,IF(D79="FULL",1,IF(D79="PARTIAL",0.5,IF(D79="FAIL",0,""))))</f>
        <v>1</v>
      </c>
      <c r="F79" s="7">
        <f t="shared" si="2"/>
        <v>15</v>
      </c>
      <c r="G79" s="7">
        <f>IF(B79="I1",20*AVERAGEIF(QA_Images!$A$2:$A$66,A79,QA_Images!$U$2:$U$66)/100,IF(D79="NOT_CHECKED",0,C79))</f>
        <v>15</v>
      </c>
      <c r="H79" s="3" t="s">
        <v>130</v>
      </c>
      <c r="I79" s="3" t="s">
        <v>109</v>
      </c>
      <c r="J79" s="3" t="s">
        <v>108</v>
      </c>
    </row>
    <row r="80" spans="1:10" ht="36" customHeight="1" x14ac:dyDescent="0.3">
      <c r="A80" s="2" t="s">
        <v>104</v>
      </c>
      <c r="B80" s="2" t="s">
        <v>131</v>
      </c>
      <c r="C80" s="2">
        <v>10</v>
      </c>
      <c r="D80" s="2" t="s">
        <v>129</v>
      </c>
      <c r="E80" s="5">
        <f>IF(B80="I1",AVERAGEIF(QA_Images!$A$2:$A$66,A80,QA_Images!$T$2:$T$66)/100,IF(D80="FULL",1,IF(D80="PARTIAL",0.5,IF(D80="FAIL",0,""))))</f>
        <v>1</v>
      </c>
      <c r="F80" s="5">
        <f t="shared" si="2"/>
        <v>10</v>
      </c>
      <c r="G80" s="5">
        <f>IF(B80="I1",20*AVERAGEIF(QA_Images!$A$2:$A$66,A80,QA_Images!$U$2:$U$66)/100,IF(D80="NOT_CHECKED",0,C80))</f>
        <v>10</v>
      </c>
      <c r="H80" s="2" t="s">
        <v>133</v>
      </c>
      <c r="I80" s="2" t="s">
        <v>109</v>
      </c>
      <c r="J80" s="2" t="s">
        <v>108</v>
      </c>
    </row>
    <row r="81" spans="1:10" ht="36" customHeight="1" x14ac:dyDescent="0.3">
      <c r="A81" s="3" t="s">
        <v>104</v>
      </c>
      <c r="B81" s="3" t="s">
        <v>134</v>
      </c>
      <c r="C81" s="3">
        <v>10</v>
      </c>
      <c r="D81" s="3" t="s">
        <v>129</v>
      </c>
      <c r="E81" s="7">
        <f>IF(B81="I1",AVERAGEIF(QA_Images!$A$2:$A$66,A81,QA_Images!$T$2:$T$66)/100,IF(D81="FULL",1,IF(D81="PARTIAL",0.5,IF(D81="FAIL",0,""))))</f>
        <v>1</v>
      </c>
      <c r="F81" s="7">
        <f t="shared" si="2"/>
        <v>10</v>
      </c>
      <c r="G81" s="7">
        <f>IF(B81="I1",20*AVERAGEIF(QA_Images!$A$2:$A$66,A81,QA_Images!$U$2:$U$66)/100,IF(D81="NOT_CHECKED",0,C81))</f>
        <v>10</v>
      </c>
      <c r="H81" s="3" t="s">
        <v>135</v>
      </c>
      <c r="I81" s="3" t="s">
        <v>109</v>
      </c>
      <c r="J81" s="3" t="s">
        <v>108</v>
      </c>
    </row>
    <row r="82" spans="1:10" ht="36" customHeight="1" x14ac:dyDescent="0.3">
      <c r="A82" s="2" t="s">
        <v>104</v>
      </c>
      <c r="B82" s="2" t="s">
        <v>136</v>
      </c>
      <c r="C82" s="2">
        <v>5</v>
      </c>
      <c r="D82" s="2" t="s">
        <v>129</v>
      </c>
      <c r="E82" s="5">
        <f>IF(B82="I1",AVERAGEIF(QA_Images!$A$2:$A$66,A82,QA_Images!$T$2:$T$66)/100,IF(D82="FULL",1,IF(D82="PARTIAL",0.5,IF(D82="FAIL",0,""))))</f>
        <v>1</v>
      </c>
      <c r="F82" s="5">
        <f t="shared" si="2"/>
        <v>5</v>
      </c>
      <c r="G82" s="5">
        <f>IF(B82="I1",20*AVERAGEIF(QA_Images!$A$2:$A$66,A82,QA_Images!$U$2:$U$66)/100,IF(D82="NOT_CHECKED",0,C82))</f>
        <v>5</v>
      </c>
      <c r="H82" s="2" t="s">
        <v>137</v>
      </c>
      <c r="I82" s="2" t="s">
        <v>109</v>
      </c>
      <c r="J82" s="2" t="s">
        <v>108</v>
      </c>
    </row>
    <row r="83" spans="1:10" ht="36" customHeight="1" x14ac:dyDescent="0.3">
      <c r="A83" s="3" t="s">
        <v>104</v>
      </c>
      <c r="B83" s="3" t="s">
        <v>138</v>
      </c>
      <c r="C83" s="3">
        <v>5</v>
      </c>
      <c r="D83" s="3" t="s">
        <v>129</v>
      </c>
      <c r="E83" s="7">
        <f>IF(B83="I1",AVERAGEIF(QA_Images!$A$2:$A$66,A83,QA_Images!$T$2:$T$66)/100,IF(D83="FULL",1,IF(D83="PARTIAL",0.5,IF(D83="FAIL",0,""))))</f>
        <v>1</v>
      </c>
      <c r="F83" s="7">
        <f t="shared" si="2"/>
        <v>5</v>
      </c>
      <c r="G83" s="7">
        <f>IF(B83="I1",20*AVERAGEIF(QA_Images!$A$2:$A$66,A83,QA_Images!$U$2:$U$66)/100,IF(D83="NOT_CHECKED",0,C83))</f>
        <v>5</v>
      </c>
      <c r="H83" s="3" t="s">
        <v>139</v>
      </c>
      <c r="I83" s="3" t="s">
        <v>109</v>
      </c>
      <c r="J83" s="3" t="s">
        <v>108</v>
      </c>
    </row>
    <row r="84" spans="1:10" ht="36" customHeight="1" x14ac:dyDescent="0.3">
      <c r="A84" s="2" t="s">
        <v>104</v>
      </c>
      <c r="B84" s="2" t="s">
        <v>140</v>
      </c>
      <c r="C84" s="2">
        <v>10</v>
      </c>
      <c r="D84" s="2" t="s">
        <v>129</v>
      </c>
      <c r="E84" s="5">
        <f>IF(B84="I1",AVERAGEIF(QA_Images!$A$2:$A$66,A84,QA_Images!$T$2:$T$66)/100,IF(D84="FULL",1,IF(D84="PARTIAL",0.5,IF(D84="FAIL",0,""))))</f>
        <v>1</v>
      </c>
      <c r="F84" s="5">
        <f t="shared" si="2"/>
        <v>10</v>
      </c>
      <c r="G84" s="5">
        <f>IF(B84="I1",20*AVERAGEIF(QA_Images!$A$2:$A$66,A84,QA_Images!$U$2:$U$66)/100,IF(D84="NOT_CHECKED",0,C84))</f>
        <v>10</v>
      </c>
      <c r="H84" s="2" t="s">
        <v>141</v>
      </c>
      <c r="I84" s="2" t="s">
        <v>109</v>
      </c>
      <c r="J84" s="2" t="s">
        <v>108</v>
      </c>
    </row>
    <row r="85" spans="1:10" ht="36" customHeight="1" x14ac:dyDescent="0.3">
      <c r="A85" s="3" t="s">
        <v>104</v>
      </c>
      <c r="B85" s="3" t="s">
        <v>142</v>
      </c>
      <c r="C85" s="3">
        <v>5</v>
      </c>
      <c r="D85" s="3" t="s">
        <v>129</v>
      </c>
      <c r="E85" s="7">
        <f>IF(B85="I1",AVERAGEIF(QA_Images!$A$2:$A$66,A85,QA_Images!$T$2:$T$66)/100,IF(D85="FULL",1,IF(D85="PARTIAL",0.5,IF(D85="FAIL",0,""))))</f>
        <v>1</v>
      </c>
      <c r="F85" s="7">
        <f t="shared" si="2"/>
        <v>5</v>
      </c>
      <c r="G85" s="7">
        <f>IF(B85="I1",20*AVERAGEIF(QA_Images!$A$2:$A$66,A85,QA_Images!$U$2:$U$66)/100,IF(D85="NOT_CHECKED",0,C85))</f>
        <v>5</v>
      </c>
      <c r="H85" s="3" t="s">
        <v>143</v>
      </c>
      <c r="I85" s="3" t="s">
        <v>109</v>
      </c>
      <c r="J85" s="3" t="s">
        <v>108</v>
      </c>
    </row>
    <row r="86" spans="1:10" ht="36" customHeight="1" x14ac:dyDescent="0.3">
      <c r="A86" s="2" t="s">
        <v>104</v>
      </c>
      <c r="B86" s="2" t="s">
        <v>144</v>
      </c>
      <c r="C86" s="2">
        <v>5</v>
      </c>
      <c r="D86" s="2" t="s">
        <v>129</v>
      </c>
      <c r="E86" s="5">
        <f>IF(B86="I1",AVERAGEIF(QA_Images!$A$2:$A$66,A86,QA_Images!$T$2:$T$66)/100,IF(D86="FULL",1,IF(D86="PARTIAL",0.5,IF(D86="FAIL",0,""))))</f>
        <v>1</v>
      </c>
      <c r="F86" s="5">
        <f t="shared" si="2"/>
        <v>5</v>
      </c>
      <c r="G86" s="5">
        <f>IF(B86="I1",20*AVERAGEIF(QA_Images!$A$2:$A$66,A86,QA_Images!$U$2:$U$66)/100,IF(D86="NOT_CHECKED",0,C86))</f>
        <v>5</v>
      </c>
      <c r="H86" s="2" t="s">
        <v>145</v>
      </c>
      <c r="I86" s="2" t="s">
        <v>109</v>
      </c>
      <c r="J86" s="2" t="s">
        <v>108</v>
      </c>
    </row>
    <row r="87" spans="1:10" ht="36" customHeight="1" x14ac:dyDescent="0.3">
      <c r="A87" s="3" t="s">
        <v>104</v>
      </c>
      <c r="B87" s="3" t="s">
        <v>146</v>
      </c>
      <c r="C87" s="3">
        <v>10</v>
      </c>
      <c r="D87" s="3" t="s">
        <v>147</v>
      </c>
      <c r="E87" s="7">
        <f>IF(B87="I1",AVERAGEIF(QA_Images!$A$2:$A$66,A87,QA_Images!$T$2:$T$66)/100,IF(D87="FULL",1,IF(D87="PARTIAL",0.5,IF(D87="FAIL",0,""))))</f>
        <v>0</v>
      </c>
      <c r="F87" s="7">
        <f t="shared" si="2"/>
        <v>0</v>
      </c>
      <c r="G87" s="7">
        <f>IF(B87="I1",20*AVERAGEIF(QA_Images!$A$2:$A$66,A87,QA_Images!$U$2:$U$66)/100,IF(D87="NOT_CHECKED",0,C87))</f>
        <v>10</v>
      </c>
      <c r="H87" s="3" t="s">
        <v>148</v>
      </c>
      <c r="I87" s="3" t="s">
        <v>109</v>
      </c>
      <c r="J87" s="3" t="s">
        <v>108</v>
      </c>
    </row>
    <row r="88" spans="1:10" ht="36" customHeight="1" x14ac:dyDescent="0.3">
      <c r="A88" s="2" t="s">
        <v>104</v>
      </c>
      <c r="B88" s="2" t="s">
        <v>149</v>
      </c>
      <c r="C88" s="2">
        <v>20</v>
      </c>
      <c r="D88" s="2" t="s">
        <v>150</v>
      </c>
      <c r="E88" s="5">
        <f>IF(B88="I1",AVERAGEIF(QA_Images!$A$2:$A$66,A88,QA_Images!$T$2:$T$66)/100,IF(D88="FULL",1,IF(D88="PARTIAL",0.5,IF(D88="FAIL",0,""))))</f>
        <v>0.87857142857142856</v>
      </c>
      <c r="F88" s="5">
        <f t="shared" si="2"/>
        <v>17.571428571428569</v>
      </c>
      <c r="G88" s="5">
        <f>IF(B88="I1",20*AVERAGEIF(QA_Images!$A$2:$A$66,A88,QA_Images!$U$2:$U$66)/100,IF(D88="NOT_CHECKED",0,C88))</f>
        <v>20</v>
      </c>
      <c r="H88" s="2" t="s">
        <v>155</v>
      </c>
      <c r="I88" s="2" t="s">
        <v>109</v>
      </c>
      <c r="J88" s="2" t="s">
        <v>108</v>
      </c>
    </row>
    <row r="89" spans="1:10" ht="36" customHeight="1" x14ac:dyDescent="0.3">
      <c r="A89" s="3" t="s">
        <v>104</v>
      </c>
      <c r="B89" s="3" t="s">
        <v>152</v>
      </c>
      <c r="C89" s="3">
        <v>5</v>
      </c>
      <c r="D89" s="3" t="s">
        <v>132</v>
      </c>
      <c r="E89" s="7">
        <f>IF(B89="I1",AVERAGEIF(QA_Images!$A$2:$A$66,A89,QA_Images!$T$2:$T$66)/100,IF(D89="FULL",1,IF(D89="PARTIAL",0.5,IF(D89="FAIL",0,""))))</f>
        <v>0.5</v>
      </c>
      <c r="F89" s="7">
        <f t="shared" si="2"/>
        <v>2.5</v>
      </c>
      <c r="G89" s="7">
        <f>IF(B89="I1",20*AVERAGEIF(QA_Images!$A$2:$A$66,A89,QA_Images!$U$2:$U$66)/100,IF(D89="NOT_CHECKED",0,C89))</f>
        <v>5</v>
      </c>
      <c r="H89" s="3" t="s">
        <v>153</v>
      </c>
      <c r="I89" s="3" t="s">
        <v>109</v>
      </c>
      <c r="J89" s="3" t="s">
        <v>108</v>
      </c>
    </row>
    <row r="90" spans="1:10" ht="36" customHeight="1" x14ac:dyDescent="0.3">
      <c r="A90" s="2" t="s">
        <v>110</v>
      </c>
      <c r="B90" s="2" t="s">
        <v>128</v>
      </c>
      <c r="C90" s="2">
        <v>15</v>
      </c>
      <c r="D90" s="2" t="s">
        <v>132</v>
      </c>
      <c r="E90" s="5">
        <f>IF(B90="I1",AVERAGEIF(QA_Images!$A$2:$A$66,A90,QA_Images!$T$2:$T$66)/100,IF(D90="FULL",1,IF(D90="PARTIAL",0.5,IF(D90="FAIL",0,""))))</f>
        <v>0.5</v>
      </c>
      <c r="F90" s="5">
        <f t="shared" si="2"/>
        <v>7.5</v>
      </c>
      <c r="G90" s="5">
        <f>IF(B90="I1",20*AVERAGEIF(QA_Images!$A$2:$A$66,A90,QA_Images!$U$2:$U$66)/100,IF(D90="NOT_CHECKED",0,C90))</f>
        <v>15</v>
      </c>
      <c r="H90" s="2" t="s">
        <v>130</v>
      </c>
      <c r="I90" s="2" t="s">
        <v>115</v>
      </c>
      <c r="J90" s="2" t="s">
        <v>114</v>
      </c>
    </row>
    <row r="91" spans="1:10" ht="36" customHeight="1" x14ac:dyDescent="0.3">
      <c r="A91" s="3" t="s">
        <v>110</v>
      </c>
      <c r="B91" s="3" t="s">
        <v>131</v>
      </c>
      <c r="C91" s="3">
        <v>10</v>
      </c>
      <c r="D91" s="3" t="s">
        <v>132</v>
      </c>
      <c r="E91" s="7">
        <f>IF(B91="I1",AVERAGEIF(QA_Images!$A$2:$A$66,A91,QA_Images!$T$2:$T$66)/100,IF(D91="FULL",1,IF(D91="PARTIAL",0.5,IF(D91="FAIL",0,""))))</f>
        <v>0.5</v>
      </c>
      <c r="F91" s="7">
        <f t="shared" si="2"/>
        <v>5</v>
      </c>
      <c r="G91" s="7">
        <f>IF(B91="I1",20*AVERAGEIF(QA_Images!$A$2:$A$66,A91,QA_Images!$U$2:$U$66)/100,IF(D91="NOT_CHECKED",0,C91))</f>
        <v>10</v>
      </c>
      <c r="H91" s="3" t="s">
        <v>133</v>
      </c>
      <c r="I91" s="3" t="s">
        <v>115</v>
      </c>
      <c r="J91" s="3" t="s">
        <v>114</v>
      </c>
    </row>
    <row r="92" spans="1:10" ht="36" customHeight="1" x14ac:dyDescent="0.3">
      <c r="A92" s="2" t="s">
        <v>110</v>
      </c>
      <c r="B92" s="2" t="s">
        <v>134</v>
      </c>
      <c r="C92" s="2">
        <v>10</v>
      </c>
      <c r="D92" s="2" t="s">
        <v>129</v>
      </c>
      <c r="E92" s="5">
        <f>IF(B92="I1",AVERAGEIF(QA_Images!$A$2:$A$66,A92,QA_Images!$T$2:$T$66)/100,IF(D92="FULL",1,IF(D92="PARTIAL",0.5,IF(D92="FAIL",0,""))))</f>
        <v>1</v>
      </c>
      <c r="F92" s="5">
        <f t="shared" si="2"/>
        <v>10</v>
      </c>
      <c r="G92" s="5">
        <f>IF(B92="I1",20*AVERAGEIF(QA_Images!$A$2:$A$66,A92,QA_Images!$U$2:$U$66)/100,IF(D92="NOT_CHECKED",0,C92))</f>
        <v>10</v>
      </c>
      <c r="H92" s="2" t="s">
        <v>135</v>
      </c>
      <c r="I92" s="2" t="s">
        <v>115</v>
      </c>
      <c r="J92" s="2" t="s">
        <v>114</v>
      </c>
    </row>
    <row r="93" spans="1:10" ht="36" customHeight="1" x14ac:dyDescent="0.3">
      <c r="A93" s="3" t="s">
        <v>110</v>
      </c>
      <c r="B93" s="3" t="s">
        <v>136</v>
      </c>
      <c r="C93" s="3">
        <v>5</v>
      </c>
      <c r="D93" s="3" t="s">
        <v>129</v>
      </c>
      <c r="E93" s="7">
        <f>IF(B93="I1",AVERAGEIF(QA_Images!$A$2:$A$66,A93,QA_Images!$T$2:$T$66)/100,IF(D93="FULL",1,IF(D93="PARTIAL",0.5,IF(D93="FAIL",0,""))))</f>
        <v>1</v>
      </c>
      <c r="F93" s="7">
        <f t="shared" si="2"/>
        <v>5</v>
      </c>
      <c r="G93" s="7">
        <f>IF(B93="I1",20*AVERAGEIF(QA_Images!$A$2:$A$66,A93,QA_Images!$U$2:$U$66)/100,IF(D93="NOT_CHECKED",0,C93))</f>
        <v>5</v>
      </c>
      <c r="H93" s="3" t="s">
        <v>137</v>
      </c>
      <c r="I93" s="3" t="s">
        <v>115</v>
      </c>
      <c r="J93" s="3" t="s">
        <v>114</v>
      </c>
    </row>
    <row r="94" spans="1:10" ht="36" customHeight="1" x14ac:dyDescent="0.3">
      <c r="A94" s="2" t="s">
        <v>110</v>
      </c>
      <c r="B94" s="2" t="s">
        <v>138</v>
      </c>
      <c r="C94" s="2">
        <v>5</v>
      </c>
      <c r="D94" s="2" t="s">
        <v>129</v>
      </c>
      <c r="E94" s="5">
        <f>IF(B94="I1",AVERAGEIF(QA_Images!$A$2:$A$66,A94,QA_Images!$T$2:$T$66)/100,IF(D94="FULL",1,IF(D94="PARTIAL",0.5,IF(D94="FAIL",0,""))))</f>
        <v>1</v>
      </c>
      <c r="F94" s="5">
        <f t="shared" si="2"/>
        <v>5</v>
      </c>
      <c r="G94" s="5">
        <f>IF(B94="I1",20*AVERAGEIF(QA_Images!$A$2:$A$66,A94,QA_Images!$U$2:$U$66)/100,IF(D94="NOT_CHECKED",0,C94))</f>
        <v>5</v>
      </c>
      <c r="H94" s="2" t="s">
        <v>139</v>
      </c>
      <c r="I94" s="2" t="s">
        <v>115</v>
      </c>
      <c r="J94" s="2" t="s">
        <v>114</v>
      </c>
    </row>
    <row r="95" spans="1:10" ht="36" customHeight="1" x14ac:dyDescent="0.3">
      <c r="A95" s="3" t="s">
        <v>110</v>
      </c>
      <c r="B95" s="3" t="s">
        <v>140</v>
      </c>
      <c r="C95" s="3">
        <v>10</v>
      </c>
      <c r="D95" s="3" t="s">
        <v>129</v>
      </c>
      <c r="E95" s="7">
        <f>IF(B95="I1",AVERAGEIF(QA_Images!$A$2:$A$66,A95,QA_Images!$T$2:$T$66)/100,IF(D95="FULL",1,IF(D95="PARTIAL",0.5,IF(D95="FAIL",0,""))))</f>
        <v>1</v>
      </c>
      <c r="F95" s="7">
        <f t="shared" si="2"/>
        <v>10</v>
      </c>
      <c r="G95" s="7">
        <f>IF(B95="I1",20*AVERAGEIF(QA_Images!$A$2:$A$66,A95,QA_Images!$U$2:$U$66)/100,IF(D95="NOT_CHECKED",0,C95))</f>
        <v>10</v>
      </c>
      <c r="H95" s="3" t="s">
        <v>141</v>
      </c>
      <c r="I95" s="3" t="s">
        <v>115</v>
      </c>
      <c r="J95" s="3" t="s">
        <v>114</v>
      </c>
    </row>
    <row r="96" spans="1:10" ht="36" customHeight="1" x14ac:dyDescent="0.3">
      <c r="A96" s="2" t="s">
        <v>110</v>
      </c>
      <c r="B96" s="2" t="s">
        <v>142</v>
      </c>
      <c r="C96" s="2">
        <v>5</v>
      </c>
      <c r="D96" s="2" t="s">
        <v>129</v>
      </c>
      <c r="E96" s="5">
        <f>IF(B96="I1",AVERAGEIF(QA_Images!$A$2:$A$66,A96,QA_Images!$T$2:$T$66)/100,IF(D96="FULL",1,IF(D96="PARTIAL",0.5,IF(D96="FAIL",0,""))))</f>
        <v>1</v>
      </c>
      <c r="F96" s="5">
        <f t="shared" si="2"/>
        <v>5</v>
      </c>
      <c r="G96" s="5">
        <f>IF(B96="I1",20*AVERAGEIF(QA_Images!$A$2:$A$66,A96,QA_Images!$U$2:$U$66)/100,IF(D96="NOT_CHECKED",0,C96))</f>
        <v>5</v>
      </c>
      <c r="H96" s="2" t="s">
        <v>143</v>
      </c>
      <c r="I96" s="2" t="s">
        <v>115</v>
      </c>
      <c r="J96" s="2" t="s">
        <v>114</v>
      </c>
    </row>
    <row r="97" spans="1:10" ht="36" customHeight="1" x14ac:dyDescent="0.3">
      <c r="A97" s="3" t="s">
        <v>110</v>
      </c>
      <c r="B97" s="3" t="s">
        <v>144</v>
      </c>
      <c r="C97" s="3">
        <v>5</v>
      </c>
      <c r="D97" s="3" t="s">
        <v>129</v>
      </c>
      <c r="E97" s="7">
        <f>IF(B97="I1",AVERAGEIF(QA_Images!$A$2:$A$66,A97,QA_Images!$T$2:$T$66)/100,IF(D97="FULL",1,IF(D97="PARTIAL",0.5,IF(D97="FAIL",0,""))))</f>
        <v>1</v>
      </c>
      <c r="F97" s="7">
        <f t="shared" si="2"/>
        <v>5</v>
      </c>
      <c r="G97" s="7">
        <f>IF(B97="I1",20*AVERAGEIF(QA_Images!$A$2:$A$66,A97,QA_Images!$U$2:$U$66)/100,IF(D97="NOT_CHECKED",0,C97))</f>
        <v>5</v>
      </c>
      <c r="H97" s="3" t="s">
        <v>145</v>
      </c>
      <c r="I97" s="3" t="s">
        <v>115</v>
      </c>
      <c r="J97" s="3" t="s">
        <v>114</v>
      </c>
    </row>
    <row r="98" spans="1:10" ht="36" customHeight="1" x14ac:dyDescent="0.3">
      <c r="A98" s="2" t="s">
        <v>110</v>
      </c>
      <c r="B98" s="2" t="s">
        <v>146</v>
      </c>
      <c r="C98" s="2">
        <v>10</v>
      </c>
      <c r="D98" s="2" t="s">
        <v>147</v>
      </c>
      <c r="E98" s="5">
        <f>IF(B98="I1",AVERAGEIF(QA_Images!$A$2:$A$66,A98,QA_Images!$T$2:$T$66)/100,IF(D98="FULL",1,IF(D98="PARTIAL",0.5,IF(D98="FAIL",0,""))))</f>
        <v>0</v>
      </c>
      <c r="F98" s="5">
        <f t="shared" ref="F98:F129" si="3">IF(E98="",0,C98*E98)</f>
        <v>0</v>
      </c>
      <c r="G98" s="5">
        <f>IF(B98="I1",20*AVERAGEIF(QA_Images!$A$2:$A$66,A98,QA_Images!$U$2:$U$66)/100,IF(D98="NOT_CHECKED",0,C98))</f>
        <v>10</v>
      </c>
      <c r="H98" s="2" t="s">
        <v>148</v>
      </c>
      <c r="I98" s="2" t="s">
        <v>115</v>
      </c>
      <c r="J98" s="2" t="s">
        <v>114</v>
      </c>
    </row>
    <row r="99" spans="1:10" ht="36" customHeight="1" x14ac:dyDescent="0.3">
      <c r="A99" s="3" t="s">
        <v>110</v>
      </c>
      <c r="B99" s="3" t="s">
        <v>149</v>
      </c>
      <c r="C99" s="3">
        <v>20</v>
      </c>
      <c r="D99" s="3" t="s">
        <v>150</v>
      </c>
      <c r="E99" s="7">
        <f>IF(B99="I1",AVERAGEIF(QA_Images!$A$2:$A$66,A99,QA_Images!$T$2:$T$66)/100,IF(D99="FULL",1,IF(D99="PARTIAL",0.5,IF(D99="FAIL",0,""))))</f>
        <v>0.87857142857142856</v>
      </c>
      <c r="F99" s="7">
        <f t="shared" si="3"/>
        <v>17.571428571428569</v>
      </c>
      <c r="G99" s="7">
        <f>IF(B99="I1",20*AVERAGEIF(QA_Images!$A$2:$A$66,A99,QA_Images!$U$2:$U$66)/100,IF(D99="NOT_CHECKED",0,C99))</f>
        <v>20</v>
      </c>
      <c r="H99" s="3" t="s">
        <v>155</v>
      </c>
      <c r="I99" s="3" t="s">
        <v>115</v>
      </c>
      <c r="J99" s="3" t="s">
        <v>114</v>
      </c>
    </row>
    <row r="100" spans="1:10" ht="36" customHeight="1" x14ac:dyDescent="0.3">
      <c r="A100" s="2" t="s">
        <v>110</v>
      </c>
      <c r="B100" s="2" t="s">
        <v>152</v>
      </c>
      <c r="C100" s="2">
        <v>5</v>
      </c>
      <c r="D100" s="2" t="s">
        <v>132</v>
      </c>
      <c r="E100" s="5">
        <f>IF(B100="I1",AVERAGEIF(QA_Images!$A$2:$A$66,A100,QA_Images!$T$2:$T$66)/100,IF(D100="FULL",1,IF(D100="PARTIAL",0.5,IF(D100="FAIL",0,""))))</f>
        <v>0.5</v>
      </c>
      <c r="F100" s="5">
        <f t="shared" si="3"/>
        <v>2.5</v>
      </c>
      <c r="G100" s="5">
        <f>IF(B100="I1",20*AVERAGEIF(QA_Images!$A$2:$A$66,A100,QA_Images!$U$2:$U$66)/100,IF(D100="NOT_CHECKED",0,C100))</f>
        <v>5</v>
      </c>
      <c r="H100" s="2" t="s">
        <v>153</v>
      </c>
      <c r="I100" s="2" t="s">
        <v>115</v>
      </c>
      <c r="J100" s="2" t="s">
        <v>114</v>
      </c>
    </row>
    <row r="101" spans="1:10" ht="36" customHeight="1" x14ac:dyDescent="0.3">
      <c r="A101" s="3" t="s">
        <v>116</v>
      </c>
      <c r="B101" s="3" t="s">
        <v>128</v>
      </c>
      <c r="C101" s="3">
        <v>15</v>
      </c>
      <c r="D101" s="3" t="s">
        <v>129</v>
      </c>
      <c r="E101" s="7">
        <f>IF(B101="I1",AVERAGEIF(QA_Images!$A$2:$A$66,A101,QA_Images!$T$2:$T$66)/100,IF(D101="FULL",1,IF(D101="PARTIAL",0.5,IF(D101="FAIL",0,""))))</f>
        <v>1</v>
      </c>
      <c r="F101" s="7">
        <f t="shared" si="3"/>
        <v>15</v>
      </c>
      <c r="G101" s="7">
        <f>IF(B101="I1",20*AVERAGEIF(QA_Images!$A$2:$A$66,A101,QA_Images!$U$2:$U$66)/100,IF(D101="NOT_CHECKED",0,C101))</f>
        <v>15</v>
      </c>
      <c r="H101" s="3" t="s">
        <v>130</v>
      </c>
      <c r="I101" s="3" t="s">
        <v>121</v>
      </c>
      <c r="J101" s="3" t="s">
        <v>120</v>
      </c>
    </row>
    <row r="102" spans="1:10" ht="36" customHeight="1" x14ac:dyDescent="0.3">
      <c r="A102" s="2" t="s">
        <v>116</v>
      </c>
      <c r="B102" s="2" t="s">
        <v>131</v>
      </c>
      <c r="C102" s="2">
        <v>10</v>
      </c>
      <c r="D102" s="2" t="s">
        <v>147</v>
      </c>
      <c r="E102" s="5">
        <f>IF(B102="I1",AVERAGEIF(QA_Images!$A$2:$A$66,A102,QA_Images!$T$2:$T$66)/100,IF(D102="FULL",1,IF(D102="PARTIAL",0.5,IF(D102="FAIL",0,""))))</f>
        <v>0</v>
      </c>
      <c r="F102" s="5">
        <f t="shared" si="3"/>
        <v>0</v>
      </c>
      <c r="G102" s="5">
        <f>IF(B102="I1",20*AVERAGEIF(QA_Images!$A$2:$A$66,A102,QA_Images!$U$2:$U$66)/100,IF(D102="NOT_CHECKED",0,C102))</f>
        <v>10</v>
      </c>
      <c r="H102" s="2" t="s">
        <v>133</v>
      </c>
      <c r="I102" s="2" t="s">
        <v>121</v>
      </c>
      <c r="J102" s="2" t="s">
        <v>120</v>
      </c>
    </row>
    <row r="103" spans="1:10" ht="36" customHeight="1" x14ac:dyDescent="0.3">
      <c r="A103" s="3" t="s">
        <v>116</v>
      </c>
      <c r="B103" s="3" t="s">
        <v>134</v>
      </c>
      <c r="C103" s="3">
        <v>10</v>
      </c>
      <c r="D103" s="3" t="s">
        <v>129</v>
      </c>
      <c r="E103" s="7">
        <f>IF(B103="I1",AVERAGEIF(QA_Images!$A$2:$A$66,A103,QA_Images!$T$2:$T$66)/100,IF(D103="FULL",1,IF(D103="PARTIAL",0.5,IF(D103="FAIL",0,""))))</f>
        <v>1</v>
      </c>
      <c r="F103" s="7">
        <f t="shared" si="3"/>
        <v>10</v>
      </c>
      <c r="G103" s="7">
        <f>IF(B103="I1",20*AVERAGEIF(QA_Images!$A$2:$A$66,A103,QA_Images!$U$2:$U$66)/100,IF(D103="NOT_CHECKED",0,C103))</f>
        <v>10</v>
      </c>
      <c r="H103" s="3" t="s">
        <v>135</v>
      </c>
      <c r="I103" s="3" t="s">
        <v>121</v>
      </c>
      <c r="J103" s="3" t="s">
        <v>120</v>
      </c>
    </row>
    <row r="104" spans="1:10" ht="36" customHeight="1" x14ac:dyDescent="0.3">
      <c r="A104" s="2" t="s">
        <v>116</v>
      </c>
      <c r="B104" s="2" t="s">
        <v>136</v>
      </c>
      <c r="C104" s="2">
        <v>5</v>
      </c>
      <c r="D104" s="2" t="s">
        <v>129</v>
      </c>
      <c r="E104" s="5">
        <f>IF(B104="I1",AVERAGEIF(QA_Images!$A$2:$A$66,A104,QA_Images!$T$2:$T$66)/100,IF(D104="FULL",1,IF(D104="PARTIAL",0.5,IF(D104="FAIL",0,""))))</f>
        <v>1</v>
      </c>
      <c r="F104" s="5">
        <f t="shared" si="3"/>
        <v>5</v>
      </c>
      <c r="G104" s="5">
        <f>IF(B104="I1",20*AVERAGEIF(QA_Images!$A$2:$A$66,A104,QA_Images!$U$2:$U$66)/100,IF(D104="NOT_CHECKED",0,C104))</f>
        <v>5</v>
      </c>
      <c r="H104" s="2" t="s">
        <v>137</v>
      </c>
      <c r="I104" s="2" t="s">
        <v>121</v>
      </c>
      <c r="J104" s="2" t="s">
        <v>120</v>
      </c>
    </row>
    <row r="105" spans="1:10" ht="36" customHeight="1" x14ac:dyDescent="0.3">
      <c r="A105" s="3" t="s">
        <v>116</v>
      </c>
      <c r="B105" s="3" t="s">
        <v>138</v>
      </c>
      <c r="C105" s="3">
        <v>5</v>
      </c>
      <c r="D105" s="3" t="s">
        <v>129</v>
      </c>
      <c r="E105" s="7">
        <f>IF(B105="I1",AVERAGEIF(QA_Images!$A$2:$A$66,A105,QA_Images!$T$2:$T$66)/100,IF(D105="FULL",1,IF(D105="PARTIAL",0.5,IF(D105="FAIL",0,""))))</f>
        <v>1</v>
      </c>
      <c r="F105" s="7">
        <f t="shared" si="3"/>
        <v>5</v>
      </c>
      <c r="G105" s="7">
        <f>IF(B105="I1",20*AVERAGEIF(QA_Images!$A$2:$A$66,A105,QA_Images!$U$2:$U$66)/100,IF(D105="NOT_CHECKED",0,C105))</f>
        <v>5</v>
      </c>
      <c r="H105" s="3" t="s">
        <v>139</v>
      </c>
      <c r="I105" s="3" t="s">
        <v>121</v>
      </c>
      <c r="J105" s="3" t="s">
        <v>120</v>
      </c>
    </row>
    <row r="106" spans="1:10" ht="36" customHeight="1" x14ac:dyDescent="0.3">
      <c r="A106" s="2" t="s">
        <v>116</v>
      </c>
      <c r="B106" s="2" t="s">
        <v>140</v>
      </c>
      <c r="C106" s="2">
        <v>10</v>
      </c>
      <c r="D106" s="2" t="s">
        <v>132</v>
      </c>
      <c r="E106" s="5">
        <f>IF(B106="I1",AVERAGEIF(QA_Images!$A$2:$A$66,A106,QA_Images!$T$2:$T$66)/100,IF(D106="FULL",1,IF(D106="PARTIAL",0.5,IF(D106="FAIL",0,""))))</f>
        <v>0.5</v>
      </c>
      <c r="F106" s="5">
        <f t="shared" si="3"/>
        <v>5</v>
      </c>
      <c r="G106" s="5">
        <f>IF(B106="I1",20*AVERAGEIF(QA_Images!$A$2:$A$66,A106,QA_Images!$U$2:$U$66)/100,IF(D106="NOT_CHECKED",0,C106))</f>
        <v>10</v>
      </c>
      <c r="H106" s="2" t="s">
        <v>141</v>
      </c>
      <c r="I106" s="2" t="s">
        <v>121</v>
      </c>
      <c r="J106" s="2" t="s">
        <v>120</v>
      </c>
    </row>
    <row r="107" spans="1:10" ht="36" customHeight="1" x14ac:dyDescent="0.3">
      <c r="A107" s="3" t="s">
        <v>116</v>
      </c>
      <c r="B107" s="3" t="s">
        <v>142</v>
      </c>
      <c r="C107" s="3">
        <v>5</v>
      </c>
      <c r="D107" s="3" t="s">
        <v>132</v>
      </c>
      <c r="E107" s="7">
        <f>IF(B107="I1",AVERAGEIF(QA_Images!$A$2:$A$66,A107,QA_Images!$T$2:$T$66)/100,IF(D107="FULL",1,IF(D107="PARTIAL",0.5,IF(D107="FAIL",0,""))))</f>
        <v>0.5</v>
      </c>
      <c r="F107" s="7">
        <f t="shared" si="3"/>
        <v>2.5</v>
      </c>
      <c r="G107" s="7">
        <f>IF(B107="I1",20*AVERAGEIF(QA_Images!$A$2:$A$66,A107,QA_Images!$U$2:$U$66)/100,IF(D107="NOT_CHECKED",0,C107))</f>
        <v>5</v>
      </c>
      <c r="H107" s="3" t="s">
        <v>143</v>
      </c>
      <c r="I107" s="3" t="s">
        <v>121</v>
      </c>
      <c r="J107" s="3" t="s">
        <v>120</v>
      </c>
    </row>
    <row r="108" spans="1:10" ht="36" customHeight="1" x14ac:dyDescent="0.3">
      <c r="A108" s="2" t="s">
        <v>116</v>
      </c>
      <c r="B108" s="2" t="s">
        <v>144</v>
      </c>
      <c r="C108" s="2">
        <v>5</v>
      </c>
      <c r="D108" s="2" t="s">
        <v>132</v>
      </c>
      <c r="E108" s="5">
        <f>IF(B108="I1",AVERAGEIF(QA_Images!$A$2:$A$66,A108,QA_Images!$T$2:$T$66)/100,IF(D108="FULL",1,IF(D108="PARTIAL",0.5,IF(D108="FAIL",0,""))))</f>
        <v>0.5</v>
      </c>
      <c r="F108" s="5">
        <f t="shared" si="3"/>
        <v>2.5</v>
      </c>
      <c r="G108" s="5">
        <f>IF(B108="I1",20*AVERAGEIF(QA_Images!$A$2:$A$66,A108,QA_Images!$U$2:$U$66)/100,IF(D108="NOT_CHECKED",0,C108))</f>
        <v>5</v>
      </c>
      <c r="H108" s="2" t="s">
        <v>145</v>
      </c>
      <c r="I108" s="2" t="s">
        <v>121</v>
      </c>
      <c r="J108" s="2" t="s">
        <v>120</v>
      </c>
    </row>
    <row r="109" spans="1:10" ht="36" customHeight="1" x14ac:dyDescent="0.3">
      <c r="A109" s="3" t="s">
        <v>116</v>
      </c>
      <c r="B109" s="3" t="s">
        <v>146</v>
      </c>
      <c r="C109" s="3">
        <v>10</v>
      </c>
      <c r="D109" s="3" t="s">
        <v>147</v>
      </c>
      <c r="E109" s="7">
        <f>IF(B109="I1",AVERAGEIF(QA_Images!$A$2:$A$66,A109,QA_Images!$T$2:$T$66)/100,IF(D109="FULL",1,IF(D109="PARTIAL",0.5,IF(D109="FAIL",0,""))))</f>
        <v>0</v>
      </c>
      <c r="F109" s="7">
        <f t="shared" si="3"/>
        <v>0</v>
      </c>
      <c r="G109" s="7">
        <f>IF(B109="I1",20*AVERAGEIF(QA_Images!$A$2:$A$66,A109,QA_Images!$U$2:$U$66)/100,IF(D109="NOT_CHECKED",0,C109))</f>
        <v>10</v>
      </c>
      <c r="H109" s="3" t="s">
        <v>148</v>
      </c>
      <c r="I109" s="3" t="s">
        <v>121</v>
      </c>
      <c r="J109" s="3" t="s">
        <v>120</v>
      </c>
    </row>
    <row r="110" spans="1:10" ht="36" customHeight="1" x14ac:dyDescent="0.3">
      <c r="A110" s="2" t="s">
        <v>116</v>
      </c>
      <c r="B110" s="2" t="s">
        <v>149</v>
      </c>
      <c r="C110" s="2">
        <v>20</v>
      </c>
      <c r="D110" s="2" t="s">
        <v>150</v>
      </c>
      <c r="E110" s="5">
        <f>IF(B110="I1",AVERAGEIF(QA_Images!$A$2:$A$66,A110,QA_Images!$T$2:$T$66)/100,IF(D110="FULL",1,IF(D110="PARTIAL",0.5,IF(D110="FAIL",0,""))))</f>
        <v>0.66249999999999998</v>
      </c>
      <c r="F110" s="5">
        <f t="shared" si="3"/>
        <v>13.25</v>
      </c>
      <c r="G110" s="5">
        <f>IF(B110="I1",20*AVERAGEIF(QA_Images!$A$2:$A$66,A110,QA_Images!$U$2:$U$66)/100,IF(D110="NOT_CHECKED",0,C110))</f>
        <v>20</v>
      </c>
      <c r="H110" s="2" t="s">
        <v>156</v>
      </c>
      <c r="I110" s="2" t="s">
        <v>121</v>
      </c>
      <c r="J110" s="2" t="s">
        <v>120</v>
      </c>
    </row>
    <row r="111" spans="1:10" ht="36" customHeight="1" x14ac:dyDescent="0.3">
      <c r="A111" s="3" t="s">
        <v>116</v>
      </c>
      <c r="B111" s="3" t="s">
        <v>152</v>
      </c>
      <c r="C111" s="3">
        <v>5</v>
      </c>
      <c r="D111" s="3" t="s">
        <v>132</v>
      </c>
      <c r="E111" s="7">
        <f>IF(B111="I1",AVERAGEIF(QA_Images!$A$2:$A$66,A111,QA_Images!$T$2:$T$66)/100,IF(D111="FULL",1,IF(D111="PARTIAL",0.5,IF(D111="FAIL",0,""))))</f>
        <v>0.5</v>
      </c>
      <c r="F111" s="7">
        <f t="shared" si="3"/>
        <v>2.5</v>
      </c>
      <c r="G111" s="7">
        <f>IF(B111="I1",20*AVERAGEIF(QA_Images!$A$2:$A$66,A111,QA_Images!$U$2:$U$66)/100,IF(D111="NOT_CHECKED",0,C111))</f>
        <v>5</v>
      </c>
      <c r="H111" s="3" t="s">
        <v>153</v>
      </c>
      <c r="I111" s="3" t="s">
        <v>121</v>
      </c>
      <c r="J111" s="3" t="s">
        <v>120</v>
      </c>
    </row>
  </sheetData>
  <autoFilter ref="A1:J111" xr:uid="{00000000-0009-0000-0000-000002000000}"/>
  <pageMargins left="0.25" right="0.25" top="0.5" bottom="0.5"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66"/>
  <sheetViews>
    <sheetView showGridLines="0" workbookViewId="0">
      <pane ySplit="1" topLeftCell="A2" activePane="bottomLeft" state="frozen"/>
      <selection pane="bottomLeft"/>
    </sheetView>
  </sheetViews>
  <sheetFormatPr defaultRowHeight="14.4" x14ac:dyDescent="0.3"/>
  <cols>
    <col min="1" max="1" width="42" customWidth="1"/>
    <col min="2" max="2" width="20" customWidth="1"/>
    <col min="3" max="4" width="38" customWidth="1"/>
    <col min="5" max="5" width="20" customWidth="1"/>
    <col min="6" max="6" width="38" customWidth="1"/>
    <col min="7" max="7" width="11" customWidth="1"/>
    <col min="8" max="8" width="16" customWidth="1"/>
    <col min="9" max="9" width="23" customWidth="1"/>
    <col min="10" max="10" width="24" customWidth="1"/>
    <col min="11" max="12" width="42" customWidth="1"/>
    <col min="13" max="13" width="24" customWidth="1"/>
    <col min="14" max="14" width="12" customWidth="1"/>
    <col min="15" max="15" width="42" customWidth="1"/>
    <col min="16" max="19" width="11" customWidth="1"/>
    <col min="20" max="21" width="24" customWidth="1"/>
    <col min="22" max="22" width="21" customWidth="1"/>
    <col min="23" max="24" width="24" customWidth="1"/>
    <col min="25" max="26" width="42" customWidth="1"/>
  </cols>
  <sheetData>
    <row r="1" spans="1:26" ht="31.95" customHeight="1" x14ac:dyDescent="0.3">
      <c r="A1" s="1" t="s">
        <v>38</v>
      </c>
      <c r="B1" s="1" t="s">
        <v>157</v>
      </c>
      <c r="C1" s="1" t="s">
        <v>158</v>
      </c>
      <c r="D1" s="1" t="s">
        <v>159</v>
      </c>
      <c r="E1" s="1" t="s">
        <v>160</v>
      </c>
      <c r="F1" s="1" t="s">
        <v>161</v>
      </c>
      <c r="G1" s="1" t="s">
        <v>162</v>
      </c>
      <c r="H1" s="1" t="s">
        <v>163</v>
      </c>
      <c r="I1" s="1" t="s">
        <v>164</v>
      </c>
      <c r="J1" s="1" t="s">
        <v>165</v>
      </c>
      <c r="K1" s="1" t="s">
        <v>166</v>
      </c>
      <c r="L1" s="1" t="s">
        <v>167</v>
      </c>
      <c r="M1" s="1" t="s">
        <v>168</v>
      </c>
      <c r="N1" s="1" t="s">
        <v>169</v>
      </c>
      <c r="O1" s="1" t="s">
        <v>170</v>
      </c>
      <c r="P1" s="1" t="s">
        <v>171</v>
      </c>
      <c r="Q1" s="1" t="s">
        <v>172</v>
      </c>
      <c r="R1" s="1" t="s">
        <v>173</v>
      </c>
      <c r="S1" s="1" t="s">
        <v>174</v>
      </c>
      <c r="T1" s="1" t="s">
        <v>175</v>
      </c>
      <c r="U1" s="1" t="s">
        <v>176</v>
      </c>
      <c r="V1" s="1" t="s">
        <v>177</v>
      </c>
      <c r="W1" s="1" t="s">
        <v>178</v>
      </c>
      <c r="X1" s="1" t="s">
        <v>179</v>
      </c>
      <c r="Y1" s="1" t="s">
        <v>57</v>
      </c>
      <c r="Z1" s="1" t="s">
        <v>58</v>
      </c>
    </row>
    <row r="2" spans="1:26" ht="48" customHeight="1" x14ac:dyDescent="0.3">
      <c r="A2" s="2" t="s">
        <v>59</v>
      </c>
      <c r="B2" s="2" t="s">
        <v>180</v>
      </c>
      <c r="C2" s="4" t="s">
        <v>181</v>
      </c>
      <c r="D2" s="4" t="s">
        <v>181</v>
      </c>
      <c r="E2" s="2" t="s">
        <v>182</v>
      </c>
      <c r="F2" s="2" t="s">
        <v>183</v>
      </c>
      <c r="G2" s="2"/>
      <c r="H2" s="2" t="s">
        <v>184</v>
      </c>
      <c r="I2" s="2" t="s">
        <v>185</v>
      </c>
      <c r="J2" s="2" t="s">
        <v>186</v>
      </c>
      <c r="K2" s="2" t="s">
        <v>187</v>
      </c>
      <c r="L2" s="2" t="s">
        <v>188</v>
      </c>
      <c r="M2" s="2" t="s">
        <v>189</v>
      </c>
      <c r="N2" s="2" t="s">
        <v>190</v>
      </c>
      <c r="O2" s="2" t="s">
        <v>191</v>
      </c>
      <c r="P2" s="2" t="s">
        <v>129</v>
      </c>
      <c r="Q2" s="2" t="s">
        <v>129</v>
      </c>
      <c r="R2" s="2" t="s">
        <v>129</v>
      </c>
      <c r="S2" s="2" t="s">
        <v>129</v>
      </c>
      <c r="T2" s="5">
        <f t="shared" ref="T2:T33" si="0">IF(P2="FULL",40,IF(P2="PARTIAL",40/2,0))+IF(Q2="FULL",30,IF(Q2="PARTIAL",30/2,0))+IF(R2="FULL",20,IF(R2="PARTIAL",20/2,0))+IF(S2="FULL",10,IF(S2="PARTIAL",10/2,0))</f>
        <v>100</v>
      </c>
      <c r="U2" s="5">
        <f t="shared" ref="U2:U33" si="1">IF(P2="NOT_CHECKED",0,40)+IF(Q2="NOT_CHECKED",0,30)+IF(R2="NOT_CHECKED",0,20)+IF(S2="NOT_CHECKED",0,10)</f>
        <v>100</v>
      </c>
      <c r="V2" s="5">
        <f t="shared" ref="V2:V33" si="2">IF(U2=100,T2,"")</f>
        <v>100</v>
      </c>
      <c r="W2" s="5">
        <f t="shared" ref="W2:W33" si="3">T2</f>
        <v>100</v>
      </c>
      <c r="X2" s="5">
        <f t="shared" ref="X2:X33" si="4">T2+(100-U2)</f>
        <v>100</v>
      </c>
      <c r="Y2" s="2" t="s">
        <v>192</v>
      </c>
      <c r="Z2" s="2" t="s">
        <v>193</v>
      </c>
    </row>
    <row r="3" spans="1:26" ht="48" customHeight="1" x14ac:dyDescent="0.3">
      <c r="A3" s="3" t="s">
        <v>59</v>
      </c>
      <c r="B3" s="3" t="s">
        <v>194</v>
      </c>
      <c r="C3" s="4" t="s">
        <v>195</v>
      </c>
      <c r="D3" s="4" t="s">
        <v>195</v>
      </c>
      <c r="E3" s="3" t="s">
        <v>196</v>
      </c>
      <c r="F3" s="3" t="s">
        <v>197</v>
      </c>
      <c r="G3" s="3"/>
      <c r="H3" s="3" t="s">
        <v>184</v>
      </c>
      <c r="I3" s="3" t="s">
        <v>185</v>
      </c>
      <c r="J3" s="3" t="s">
        <v>186</v>
      </c>
      <c r="K3" s="3" t="s">
        <v>198</v>
      </c>
      <c r="L3" s="3" t="s">
        <v>199</v>
      </c>
      <c r="M3" s="3" t="s">
        <v>189</v>
      </c>
      <c r="N3" s="3" t="s">
        <v>190</v>
      </c>
      <c r="O3" s="3" t="s">
        <v>200</v>
      </c>
      <c r="P3" s="3" t="s">
        <v>129</v>
      </c>
      <c r="Q3" s="3" t="s">
        <v>129</v>
      </c>
      <c r="R3" s="3" t="s">
        <v>129</v>
      </c>
      <c r="S3" s="3" t="s">
        <v>129</v>
      </c>
      <c r="T3" s="7">
        <f t="shared" si="0"/>
        <v>100</v>
      </c>
      <c r="U3" s="7">
        <f t="shared" si="1"/>
        <v>100</v>
      </c>
      <c r="V3" s="7">
        <f t="shared" si="2"/>
        <v>100</v>
      </c>
      <c r="W3" s="7">
        <f t="shared" si="3"/>
        <v>100</v>
      </c>
      <c r="X3" s="7">
        <f t="shared" si="4"/>
        <v>100</v>
      </c>
      <c r="Y3" s="3" t="s">
        <v>192</v>
      </c>
      <c r="Z3" s="3" t="s">
        <v>201</v>
      </c>
    </row>
    <row r="4" spans="1:26" ht="48" customHeight="1" x14ac:dyDescent="0.3">
      <c r="A4" s="2" t="s">
        <v>59</v>
      </c>
      <c r="B4" s="2" t="s">
        <v>202</v>
      </c>
      <c r="C4" s="4" t="s">
        <v>203</v>
      </c>
      <c r="D4" s="4" t="s">
        <v>203</v>
      </c>
      <c r="E4" s="2" t="s">
        <v>204</v>
      </c>
      <c r="F4" s="2" t="s">
        <v>205</v>
      </c>
      <c r="G4" s="2"/>
      <c r="H4" s="2" t="s">
        <v>184</v>
      </c>
      <c r="I4" s="2" t="s">
        <v>185</v>
      </c>
      <c r="J4" s="2" t="s">
        <v>186</v>
      </c>
      <c r="K4" s="2" t="s">
        <v>206</v>
      </c>
      <c r="L4" s="2" t="s">
        <v>207</v>
      </c>
      <c r="M4" s="2" t="s">
        <v>189</v>
      </c>
      <c r="N4" s="2" t="s">
        <v>190</v>
      </c>
      <c r="O4" s="2" t="s">
        <v>208</v>
      </c>
      <c r="P4" s="2" t="s">
        <v>129</v>
      </c>
      <c r="Q4" s="2" t="s">
        <v>129</v>
      </c>
      <c r="R4" s="2" t="s">
        <v>129</v>
      </c>
      <c r="S4" s="2" t="s">
        <v>129</v>
      </c>
      <c r="T4" s="5">
        <f t="shared" si="0"/>
        <v>100</v>
      </c>
      <c r="U4" s="5">
        <f t="shared" si="1"/>
        <v>100</v>
      </c>
      <c r="V4" s="5">
        <f t="shared" si="2"/>
        <v>100</v>
      </c>
      <c r="W4" s="5">
        <f t="shared" si="3"/>
        <v>100</v>
      </c>
      <c r="X4" s="5">
        <f t="shared" si="4"/>
        <v>100</v>
      </c>
      <c r="Y4" s="2" t="s">
        <v>192</v>
      </c>
      <c r="Z4" s="2" t="s">
        <v>209</v>
      </c>
    </row>
    <row r="5" spans="1:26" ht="48" customHeight="1" x14ac:dyDescent="0.3">
      <c r="A5" s="3" t="s">
        <v>59</v>
      </c>
      <c r="B5" s="3" t="s">
        <v>210</v>
      </c>
      <c r="C5" s="4" t="s">
        <v>211</v>
      </c>
      <c r="D5" s="4" t="s">
        <v>211</v>
      </c>
      <c r="E5" s="3" t="s">
        <v>212</v>
      </c>
      <c r="F5" s="3" t="s">
        <v>213</v>
      </c>
      <c r="G5" s="3"/>
      <c r="H5" s="3" t="s">
        <v>184</v>
      </c>
      <c r="I5" s="3" t="s">
        <v>185</v>
      </c>
      <c r="J5" s="3" t="s">
        <v>186</v>
      </c>
      <c r="K5" s="3" t="s">
        <v>214</v>
      </c>
      <c r="L5" s="3" t="s">
        <v>215</v>
      </c>
      <c r="M5" s="3" t="s">
        <v>189</v>
      </c>
      <c r="N5" s="3" t="s">
        <v>190</v>
      </c>
      <c r="O5" s="3" t="s">
        <v>216</v>
      </c>
      <c r="P5" s="3" t="s">
        <v>129</v>
      </c>
      <c r="Q5" s="3" t="s">
        <v>129</v>
      </c>
      <c r="R5" s="3" t="s">
        <v>129</v>
      </c>
      <c r="S5" s="3" t="s">
        <v>129</v>
      </c>
      <c r="T5" s="7">
        <f t="shared" si="0"/>
        <v>100</v>
      </c>
      <c r="U5" s="7">
        <f t="shared" si="1"/>
        <v>100</v>
      </c>
      <c r="V5" s="7">
        <f t="shared" si="2"/>
        <v>100</v>
      </c>
      <c r="W5" s="7">
        <f t="shared" si="3"/>
        <v>100</v>
      </c>
      <c r="X5" s="7">
        <f t="shared" si="4"/>
        <v>100</v>
      </c>
      <c r="Y5" s="3" t="s">
        <v>192</v>
      </c>
      <c r="Z5" s="3" t="s">
        <v>217</v>
      </c>
    </row>
    <row r="6" spans="1:26" ht="48" customHeight="1" x14ac:dyDescent="0.3">
      <c r="A6" s="2" t="s">
        <v>59</v>
      </c>
      <c r="B6" s="2" t="s">
        <v>218</v>
      </c>
      <c r="C6" s="4" t="s">
        <v>219</v>
      </c>
      <c r="D6" s="4" t="s">
        <v>219</v>
      </c>
      <c r="E6" s="2" t="s">
        <v>220</v>
      </c>
      <c r="F6" s="2" t="s">
        <v>221</v>
      </c>
      <c r="G6" s="2"/>
      <c r="H6" s="2" t="s">
        <v>184</v>
      </c>
      <c r="I6" s="2" t="s">
        <v>185</v>
      </c>
      <c r="J6" s="2" t="s">
        <v>186</v>
      </c>
      <c r="K6" s="2" t="s">
        <v>222</v>
      </c>
      <c r="L6" s="2" t="s">
        <v>223</v>
      </c>
      <c r="M6" s="2" t="s">
        <v>189</v>
      </c>
      <c r="N6" s="2" t="s">
        <v>190</v>
      </c>
      <c r="O6" s="2" t="s">
        <v>224</v>
      </c>
      <c r="P6" s="2" t="s">
        <v>129</v>
      </c>
      <c r="Q6" s="2" t="s">
        <v>132</v>
      </c>
      <c r="R6" s="2" t="s">
        <v>132</v>
      </c>
      <c r="S6" s="2" t="s">
        <v>129</v>
      </c>
      <c r="T6" s="5">
        <f t="shared" si="0"/>
        <v>75</v>
      </c>
      <c r="U6" s="5">
        <f t="shared" si="1"/>
        <v>100</v>
      </c>
      <c r="V6" s="5">
        <f t="shared" si="2"/>
        <v>75</v>
      </c>
      <c r="W6" s="5">
        <f t="shared" si="3"/>
        <v>75</v>
      </c>
      <c r="X6" s="5">
        <f t="shared" si="4"/>
        <v>75</v>
      </c>
      <c r="Y6" s="2" t="s">
        <v>225</v>
      </c>
      <c r="Z6" s="2" t="s">
        <v>226</v>
      </c>
    </row>
    <row r="7" spans="1:26" ht="48" customHeight="1" x14ac:dyDescent="0.3">
      <c r="A7" s="3" t="s">
        <v>67</v>
      </c>
      <c r="B7" s="3" t="s">
        <v>227</v>
      </c>
      <c r="C7" s="4" t="s">
        <v>228</v>
      </c>
      <c r="D7" s="4" t="s">
        <v>228</v>
      </c>
      <c r="E7" s="3" t="s">
        <v>229</v>
      </c>
      <c r="F7" s="3" t="s">
        <v>230</v>
      </c>
      <c r="G7" s="3"/>
      <c r="H7" s="3" t="s">
        <v>184</v>
      </c>
      <c r="I7" s="3" t="s">
        <v>185</v>
      </c>
      <c r="J7" s="3" t="s">
        <v>186</v>
      </c>
      <c r="K7" s="3" t="s">
        <v>231</v>
      </c>
      <c r="L7" s="3" t="s">
        <v>232</v>
      </c>
      <c r="M7" s="3" t="s">
        <v>233</v>
      </c>
      <c r="N7" s="3" t="s">
        <v>190</v>
      </c>
      <c r="O7" s="3" t="s">
        <v>234</v>
      </c>
      <c r="P7" s="3" t="s">
        <v>129</v>
      </c>
      <c r="Q7" s="3" t="s">
        <v>129</v>
      </c>
      <c r="R7" s="3" t="s">
        <v>129</v>
      </c>
      <c r="S7" s="3" t="s">
        <v>129</v>
      </c>
      <c r="T7" s="7">
        <f t="shared" si="0"/>
        <v>100</v>
      </c>
      <c r="U7" s="7">
        <f t="shared" si="1"/>
        <v>100</v>
      </c>
      <c r="V7" s="7">
        <f t="shared" si="2"/>
        <v>100</v>
      </c>
      <c r="W7" s="7">
        <f t="shared" si="3"/>
        <v>100</v>
      </c>
      <c r="X7" s="7">
        <f t="shared" si="4"/>
        <v>100</v>
      </c>
      <c r="Y7" s="3" t="s">
        <v>192</v>
      </c>
      <c r="Z7" s="3" t="s">
        <v>235</v>
      </c>
    </row>
    <row r="8" spans="1:26" ht="48" customHeight="1" x14ac:dyDescent="0.3">
      <c r="A8" s="2" t="s">
        <v>67</v>
      </c>
      <c r="B8" s="2" t="s">
        <v>236</v>
      </c>
      <c r="C8" s="4" t="s">
        <v>237</v>
      </c>
      <c r="D8" s="4" t="s">
        <v>237</v>
      </c>
      <c r="E8" s="2" t="s">
        <v>238</v>
      </c>
      <c r="F8" s="2" t="s">
        <v>239</v>
      </c>
      <c r="G8" s="2"/>
      <c r="H8" s="2" t="s">
        <v>184</v>
      </c>
      <c r="I8" s="2" t="s">
        <v>185</v>
      </c>
      <c r="J8" s="2" t="s">
        <v>186</v>
      </c>
      <c r="K8" s="2" t="s">
        <v>240</v>
      </c>
      <c r="L8" s="2" t="s">
        <v>241</v>
      </c>
      <c r="M8" s="2" t="s">
        <v>233</v>
      </c>
      <c r="N8" s="2" t="s">
        <v>190</v>
      </c>
      <c r="O8" s="2" t="s">
        <v>242</v>
      </c>
      <c r="P8" s="2" t="s">
        <v>129</v>
      </c>
      <c r="Q8" s="2" t="s">
        <v>132</v>
      </c>
      <c r="R8" s="2" t="s">
        <v>147</v>
      </c>
      <c r="S8" s="2" t="s">
        <v>129</v>
      </c>
      <c r="T8" s="5">
        <f t="shared" si="0"/>
        <v>65</v>
      </c>
      <c r="U8" s="5">
        <f t="shared" si="1"/>
        <v>100</v>
      </c>
      <c r="V8" s="5">
        <f t="shared" si="2"/>
        <v>65</v>
      </c>
      <c r="W8" s="5">
        <f t="shared" si="3"/>
        <v>65</v>
      </c>
      <c r="X8" s="5">
        <f t="shared" si="4"/>
        <v>65</v>
      </c>
      <c r="Y8" s="2" t="s">
        <v>243</v>
      </c>
      <c r="Z8" s="2" t="s">
        <v>244</v>
      </c>
    </row>
    <row r="9" spans="1:26" ht="48" customHeight="1" x14ac:dyDescent="0.3">
      <c r="A9" s="3" t="s">
        <v>67</v>
      </c>
      <c r="B9" s="3" t="s">
        <v>245</v>
      </c>
      <c r="C9" s="4" t="s">
        <v>246</v>
      </c>
      <c r="D9" s="4" t="s">
        <v>246</v>
      </c>
      <c r="E9" s="3" t="s">
        <v>247</v>
      </c>
      <c r="F9" s="3" t="s">
        <v>248</v>
      </c>
      <c r="G9" s="3"/>
      <c r="H9" s="3" t="s">
        <v>184</v>
      </c>
      <c r="I9" s="3" t="s">
        <v>185</v>
      </c>
      <c r="J9" s="3" t="s">
        <v>186</v>
      </c>
      <c r="K9" s="3" t="s">
        <v>249</v>
      </c>
      <c r="L9" s="3" t="s">
        <v>250</v>
      </c>
      <c r="M9" s="3" t="s">
        <v>233</v>
      </c>
      <c r="N9" s="3" t="s">
        <v>190</v>
      </c>
      <c r="O9" s="3" t="s">
        <v>251</v>
      </c>
      <c r="P9" s="3" t="s">
        <v>129</v>
      </c>
      <c r="Q9" s="3" t="s">
        <v>129</v>
      </c>
      <c r="R9" s="3" t="s">
        <v>129</v>
      </c>
      <c r="S9" s="3" t="s">
        <v>129</v>
      </c>
      <c r="T9" s="7">
        <f t="shared" si="0"/>
        <v>100</v>
      </c>
      <c r="U9" s="7">
        <f t="shared" si="1"/>
        <v>100</v>
      </c>
      <c r="V9" s="7">
        <f t="shared" si="2"/>
        <v>100</v>
      </c>
      <c r="W9" s="7">
        <f t="shared" si="3"/>
        <v>100</v>
      </c>
      <c r="X9" s="7">
        <f t="shared" si="4"/>
        <v>100</v>
      </c>
      <c r="Y9" s="3" t="s">
        <v>192</v>
      </c>
      <c r="Z9" s="3" t="s">
        <v>252</v>
      </c>
    </row>
    <row r="10" spans="1:26" ht="48" customHeight="1" x14ac:dyDescent="0.3">
      <c r="A10" s="2" t="s">
        <v>67</v>
      </c>
      <c r="B10" s="2" t="s">
        <v>253</v>
      </c>
      <c r="C10" s="4" t="s">
        <v>254</v>
      </c>
      <c r="D10" s="4" t="s">
        <v>254</v>
      </c>
      <c r="E10" s="2" t="s">
        <v>255</v>
      </c>
      <c r="F10" s="2" t="s">
        <v>256</v>
      </c>
      <c r="G10" s="2"/>
      <c r="H10" s="2" t="s">
        <v>184</v>
      </c>
      <c r="I10" s="2" t="s">
        <v>185</v>
      </c>
      <c r="J10" s="2" t="s">
        <v>186</v>
      </c>
      <c r="K10" s="2" t="s">
        <v>257</v>
      </c>
      <c r="L10" s="2" t="s">
        <v>258</v>
      </c>
      <c r="M10" s="2" t="s">
        <v>233</v>
      </c>
      <c r="N10" s="2" t="s">
        <v>190</v>
      </c>
      <c r="O10" s="2" t="s">
        <v>259</v>
      </c>
      <c r="P10" s="2" t="s">
        <v>129</v>
      </c>
      <c r="Q10" s="2" t="s">
        <v>132</v>
      </c>
      <c r="R10" s="2" t="s">
        <v>147</v>
      </c>
      <c r="S10" s="2" t="s">
        <v>129</v>
      </c>
      <c r="T10" s="5">
        <f t="shared" si="0"/>
        <v>65</v>
      </c>
      <c r="U10" s="5">
        <f t="shared" si="1"/>
        <v>100</v>
      </c>
      <c r="V10" s="5">
        <f t="shared" si="2"/>
        <v>65</v>
      </c>
      <c r="W10" s="5">
        <f t="shared" si="3"/>
        <v>65</v>
      </c>
      <c r="X10" s="5">
        <f t="shared" si="4"/>
        <v>65</v>
      </c>
      <c r="Y10" s="2" t="s">
        <v>260</v>
      </c>
      <c r="Z10" s="2" t="s">
        <v>261</v>
      </c>
    </row>
    <row r="11" spans="1:26" ht="48" customHeight="1" x14ac:dyDescent="0.3">
      <c r="A11" s="3" t="s">
        <v>67</v>
      </c>
      <c r="B11" s="3" t="s">
        <v>262</v>
      </c>
      <c r="C11" s="4" t="s">
        <v>263</v>
      </c>
      <c r="D11" s="4" t="s">
        <v>263</v>
      </c>
      <c r="E11" s="3" t="s">
        <v>264</v>
      </c>
      <c r="F11" s="3" t="s">
        <v>265</v>
      </c>
      <c r="G11" s="3"/>
      <c r="H11" s="3" t="s">
        <v>184</v>
      </c>
      <c r="I11" s="3" t="s">
        <v>185</v>
      </c>
      <c r="J11" s="3" t="s">
        <v>186</v>
      </c>
      <c r="K11" s="3" t="s">
        <v>266</v>
      </c>
      <c r="L11" s="3" t="s">
        <v>223</v>
      </c>
      <c r="M11" s="3" t="s">
        <v>233</v>
      </c>
      <c r="N11" s="3" t="s">
        <v>190</v>
      </c>
      <c r="O11" s="3" t="s">
        <v>267</v>
      </c>
      <c r="P11" s="3" t="s">
        <v>129</v>
      </c>
      <c r="Q11" s="3" t="s">
        <v>147</v>
      </c>
      <c r="R11" s="3" t="s">
        <v>147</v>
      </c>
      <c r="S11" s="3" t="s">
        <v>129</v>
      </c>
      <c r="T11" s="7">
        <f t="shared" si="0"/>
        <v>50</v>
      </c>
      <c r="U11" s="7">
        <f t="shared" si="1"/>
        <v>100</v>
      </c>
      <c r="V11" s="7">
        <f t="shared" si="2"/>
        <v>50</v>
      </c>
      <c r="W11" s="7">
        <f t="shared" si="3"/>
        <v>50</v>
      </c>
      <c r="X11" s="7">
        <f t="shared" si="4"/>
        <v>50</v>
      </c>
      <c r="Y11" s="3" t="s">
        <v>268</v>
      </c>
      <c r="Z11" s="3" t="s">
        <v>269</v>
      </c>
    </row>
    <row r="12" spans="1:26" ht="48" customHeight="1" x14ac:dyDescent="0.3">
      <c r="A12" s="2" t="s">
        <v>67</v>
      </c>
      <c r="B12" s="2" t="s">
        <v>270</v>
      </c>
      <c r="C12" s="4" t="s">
        <v>271</v>
      </c>
      <c r="D12" s="4" t="s">
        <v>271</v>
      </c>
      <c r="E12" s="2" t="s">
        <v>272</v>
      </c>
      <c r="F12" s="2" t="s">
        <v>273</v>
      </c>
      <c r="G12" s="2"/>
      <c r="H12" s="2" t="s">
        <v>184</v>
      </c>
      <c r="I12" s="2" t="s">
        <v>185</v>
      </c>
      <c r="J12" s="2" t="s">
        <v>186</v>
      </c>
      <c r="K12" s="2" t="s">
        <v>274</v>
      </c>
      <c r="L12" s="2" t="s">
        <v>275</v>
      </c>
      <c r="M12" s="2" t="s">
        <v>233</v>
      </c>
      <c r="N12" s="2" t="s">
        <v>190</v>
      </c>
      <c r="O12" s="2" t="s">
        <v>276</v>
      </c>
      <c r="P12" s="2" t="s">
        <v>129</v>
      </c>
      <c r="Q12" s="2" t="s">
        <v>129</v>
      </c>
      <c r="R12" s="2" t="s">
        <v>129</v>
      </c>
      <c r="S12" s="2" t="s">
        <v>129</v>
      </c>
      <c r="T12" s="5">
        <f t="shared" si="0"/>
        <v>100</v>
      </c>
      <c r="U12" s="5">
        <f t="shared" si="1"/>
        <v>100</v>
      </c>
      <c r="V12" s="5">
        <f t="shared" si="2"/>
        <v>100</v>
      </c>
      <c r="W12" s="5">
        <f t="shared" si="3"/>
        <v>100</v>
      </c>
      <c r="X12" s="5">
        <f t="shared" si="4"/>
        <v>100</v>
      </c>
      <c r="Y12" s="2" t="s">
        <v>192</v>
      </c>
      <c r="Z12" s="2" t="s">
        <v>277</v>
      </c>
    </row>
    <row r="13" spans="1:26" ht="48" customHeight="1" x14ac:dyDescent="0.3">
      <c r="A13" s="3" t="s">
        <v>67</v>
      </c>
      <c r="B13" s="3" t="s">
        <v>278</v>
      </c>
      <c r="C13" s="4" t="s">
        <v>279</v>
      </c>
      <c r="D13" s="4" t="s">
        <v>279</v>
      </c>
      <c r="E13" s="3" t="s">
        <v>280</v>
      </c>
      <c r="F13" s="3" t="s">
        <v>281</v>
      </c>
      <c r="G13" s="3"/>
      <c r="H13" s="3" t="s">
        <v>184</v>
      </c>
      <c r="I13" s="3" t="s">
        <v>185</v>
      </c>
      <c r="J13" s="3" t="s">
        <v>186</v>
      </c>
      <c r="K13" s="3" t="s">
        <v>282</v>
      </c>
      <c r="L13" s="3" t="s">
        <v>283</v>
      </c>
      <c r="M13" s="3" t="s">
        <v>233</v>
      </c>
      <c r="N13" s="3" t="s">
        <v>190</v>
      </c>
      <c r="O13" s="3" t="s">
        <v>284</v>
      </c>
      <c r="P13" s="3" t="s">
        <v>129</v>
      </c>
      <c r="Q13" s="3" t="s">
        <v>147</v>
      </c>
      <c r="R13" s="3" t="s">
        <v>147</v>
      </c>
      <c r="S13" s="3" t="s">
        <v>129</v>
      </c>
      <c r="T13" s="7">
        <f t="shared" si="0"/>
        <v>50</v>
      </c>
      <c r="U13" s="7">
        <f t="shared" si="1"/>
        <v>100</v>
      </c>
      <c r="V13" s="7">
        <f t="shared" si="2"/>
        <v>50</v>
      </c>
      <c r="W13" s="7">
        <f t="shared" si="3"/>
        <v>50</v>
      </c>
      <c r="X13" s="7">
        <f t="shared" si="4"/>
        <v>50</v>
      </c>
      <c r="Y13" s="3" t="s">
        <v>285</v>
      </c>
      <c r="Z13" s="3" t="s">
        <v>286</v>
      </c>
    </row>
    <row r="14" spans="1:26" ht="48" customHeight="1" x14ac:dyDescent="0.3">
      <c r="A14" s="2" t="s">
        <v>74</v>
      </c>
      <c r="B14" s="2" t="s">
        <v>287</v>
      </c>
      <c r="C14" s="4" t="s">
        <v>288</v>
      </c>
      <c r="D14" s="4" t="s">
        <v>288</v>
      </c>
      <c r="E14" s="2" t="s">
        <v>289</v>
      </c>
      <c r="F14" s="2" t="s">
        <v>290</v>
      </c>
      <c r="G14" s="2"/>
      <c r="H14" s="2" t="s">
        <v>184</v>
      </c>
      <c r="I14" s="2" t="s">
        <v>185</v>
      </c>
      <c r="J14" s="2" t="s">
        <v>186</v>
      </c>
      <c r="K14" s="2" t="s">
        <v>291</v>
      </c>
      <c r="L14" s="2" t="s">
        <v>292</v>
      </c>
      <c r="M14" s="2" t="s">
        <v>293</v>
      </c>
      <c r="N14" s="2" t="s">
        <v>190</v>
      </c>
      <c r="O14" s="2" t="s">
        <v>294</v>
      </c>
      <c r="P14" s="2" t="s">
        <v>129</v>
      </c>
      <c r="Q14" s="2" t="s">
        <v>129</v>
      </c>
      <c r="R14" s="2" t="s">
        <v>129</v>
      </c>
      <c r="S14" s="2" t="s">
        <v>129</v>
      </c>
      <c r="T14" s="5">
        <f t="shared" si="0"/>
        <v>100</v>
      </c>
      <c r="U14" s="5">
        <f t="shared" si="1"/>
        <v>100</v>
      </c>
      <c r="V14" s="5">
        <f t="shared" si="2"/>
        <v>100</v>
      </c>
      <c r="W14" s="5">
        <f t="shared" si="3"/>
        <v>100</v>
      </c>
      <c r="X14" s="5">
        <f t="shared" si="4"/>
        <v>100</v>
      </c>
      <c r="Y14" s="2" t="s">
        <v>192</v>
      </c>
      <c r="Z14" s="2" t="s">
        <v>295</v>
      </c>
    </row>
    <row r="15" spans="1:26" ht="48" customHeight="1" x14ac:dyDescent="0.3">
      <c r="A15" s="3" t="s">
        <v>74</v>
      </c>
      <c r="B15" s="3" t="s">
        <v>296</v>
      </c>
      <c r="C15" s="4" t="s">
        <v>297</v>
      </c>
      <c r="D15" s="4" t="s">
        <v>297</v>
      </c>
      <c r="E15" s="3" t="s">
        <v>298</v>
      </c>
      <c r="F15" s="3" t="s">
        <v>299</v>
      </c>
      <c r="G15" s="3"/>
      <c r="H15" s="3" t="s">
        <v>184</v>
      </c>
      <c r="I15" s="3" t="s">
        <v>185</v>
      </c>
      <c r="J15" s="3" t="s">
        <v>186</v>
      </c>
      <c r="K15" s="3" t="s">
        <v>300</v>
      </c>
      <c r="L15" s="3" t="s">
        <v>301</v>
      </c>
      <c r="M15" s="3" t="s">
        <v>293</v>
      </c>
      <c r="N15" s="3" t="s">
        <v>190</v>
      </c>
      <c r="O15" s="3" t="s">
        <v>302</v>
      </c>
      <c r="P15" s="3" t="s">
        <v>129</v>
      </c>
      <c r="Q15" s="3" t="s">
        <v>129</v>
      </c>
      <c r="R15" s="3" t="s">
        <v>129</v>
      </c>
      <c r="S15" s="3" t="s">
        <v>129</v>
      </c>
      <c r="T15" s="7">
        <f t="shared" si="0"/>
        <v>100</v>
      </c>
      <c r="U15" s="7">
        <f t="shared" si="1"/>
        <v>100</v>
      </c>
      <c r="V15" s="7">
        <f t="shared" si="2"/>
        <v>100</v>
      </c>
      <c r="W15" s="7">
        <f t="shared" si="3"/>
        <v>100</v>
      </c>
      <c r="X15" s="7">
        <f t="shared" si="4"/>
        <v>100</v>
      </c>
      <c r="Y15" s="3" t="s">
        <v>192</v>
      </c>
      <c r="Z15" s="3" t="s">
        <v>303</v>
      </c>
    </row>
    <row r="16" spans="1:26" ht="48" customHeight="1" x14ac:dyDescent="0.3">
      <c r="A16" s="2" t="s">
        <v>74</v>
      </c>
      <c r="B16" s="2" t="s">
        <v>304</v>
      </c>
      <c r="C16" s="4" t="s">
        <v>305</v>
      </c>
      <c r="D16" s="4" t="s">
        <v>305</v>
      </c>
      <c r="E16" s="2" t="s">
        <v>306</v>
      </c>
      <c r="F16" s="2" t="s">
        <v>307</v>
      </c>
      <c r="G16" s="2"/>
      <c r="H16" s="2" t="s">
        <v>184</v>
      </c>
      <c r="I16" s="2" t="s">
        <v>185</v>
      </c>
      <c r="J16" s="2" t="s">
        <v>186</v>
      </c>
      <c r="K16" s="2" t="s">
        <v>308</v>
      </c>
      <c r="L16" s="2" t="s">
        <v>309</v>
      </c>
      <c r="M16" s="2" t="s">
        <v>293</v>
      </c>
      <c r="N16" s="2" t="s">
        <v>190</v>
      </c>
      <c r="O16" s="2" t="s">
        <v>310</v>
      </c>
      <c r="P16" s="2" t="s">
        <v>129</v>
      </c>
      <c r="Q16" s="2" t="s">
        <v>129</v>
      </c>
      <c r="R16" s="2" t="s">
        <v>129</v>
      </c>
      <c r="S16" s="2" t="s">
        <v>129</v>
      </c>
      <c r="T16" s="5">
        <f t="shared" si="0"/>
        <v>100</v>
      </c>
      <c r="U16" s="5">
        <f t="shared" si="1"/>
        <v>100</v>
      </c>
      <c r="V16" s="5">
        <f t="shared" si="2"/>
        <v>100</v>
      </c>
      <c r="W16" s="5">
        <f t="shared" si="3"/>
        <v>100</v>
      </c>
      <c r="X16" s="5">
        <f t="shared" si="4"/>
        <v>100</v>
      </c>
      <c r="Y16" s="2" t="s">
        <v>192</v>
      </c>
      <c r="Z16" s="2" t="s">
        <v>311</v>
      </c>
    </row>
    <row r="17" spans="1:26" ht="48" customHeight="1" x14ac:dyDescent="0.3">
      <c r="A17" s="3" t="s">
        <v>74</v>
      </c>
      <c r="B17" s="3" t="s">
        <v>312</v>
      </c>
      <c r="C17" s="4" t="s">
        <v>313</v>
      </c>
      <c r="D17" s="4" t="s">
        <v>313</v>
      </c>
      <c r="E17" s="3" t="s">
        <v>314</v>
      </c>
      <c r="F17" s="3" t="s">
        <v>315</v>
      </c>
      <c r="G17" s="3"/>
      <c r="H17" s="3" t="s">
        <v>184</v>
      </c>
      <c r="I17" s="3" t="s">
        <v>185</v>
      </c>
      <c r="J17" s="3" t="s">
        <v>186</v>
      </c>
      <c r="K17" s="3" t="s">
        <v>316</v>
      </c>
      <c r="L17" s="3" t="s">
        <v>317</v>
      </c>
      <c r="M17" s="3" t="s">
        <v>293</v>
      </c>
      <c r="N17" s="3" t="s">
        <v>190</v>
      </c>
      <c r="O17" s="3" t="s">
        <v>318</v>
      </c>
      <c r="P17" s="3" t="s">
        <v>129</v>
      </c>
      <c r="Q17" s="3" t="s">
        <v>129</v>
      </c>
      <c r="R17" s="3" t="s">
        <v>129</v>
      </c>
      <c r="S17" s="3" t="s">
        <v>129</v>
      </c>
      <c r="T17" s="7">
        <f t="shared" si="0"/>
        <v>100</v>
      </c>
      <c r="U17" s="7">
        <f t="shared" si="1"/>
        <v>100</v>
      </c>
      <c r="V17" s="7">
        <f t="shared" si="2"/>
        <v>100</v>
      </c>
      <c r="W17" s="7">
        <f t="shared" si="3"/>
        <v>100</v>
      </c>
      <c r="X17" s="7">
        <f t="shared" si="4"/>
        <v>100</v>
      </c>
      <c r="Y17" s="3" t="s">
        <v>192</v>
      </c>
      <c r="Z17" s="3" t="s">
        <v>319</v>
      </c>
    </row>
    <row r="18" spans="1:26" ht="48" customHeight="1" x14ac:dyDescent="0.3">
      <c r="A18" s="2" t="s">
        <v>74</v>
      </c>
      <c r="B18" s="2" t="s">
        <v>320</v>
      </c>
      <c r="C18" s="4" t="s">
        <v>321</v>
      </c>
      <c r="D18" s="4" t="s">
        <v>321</v>
      </c>
      <c r="E18" s="2" t="s">
        <v>322</v>
      </c>
      <c r="F18" s="2" t="s">
        <v>323</v>
      </c>
      <c r="G18" s="2"/>
      <c r="H18" s="2" t="s">
        <v>184</v>
      </c>
      <c r="I18" s="2" t="s">
        <v>185</v>
      </c>
      <c r="J18" s="2" t="s">
        <v>186</v>
      </c>
      <c r="K18" s="2" t="s">
        <v>324</v>
      </c>
      <c r="L18" s="2" t="s">
        <v>223</v>
      </c>
      <c r="M18" s="2" t="s">
        <v>293</v>
      </c>
      <c r="N18" s="2" t="s">
        <v>190</v>
      </c>
      <c r="O18" s="2" t="s">
        <v>325</v>
      </c>
      <c r="P18" s="2" t="s">
        <v>129</v>
      </c>
      <c r="Q18" s="2" t="s">
        <v>132</v>
      </c>
      <c r="R18" s="2" t="s">
        <v>132</v>
      </c>
      <c r="S18" s="2" t="s">
        <v>129</v>
      </c>
      <c r="T18" s="5">
        <f t="shared" si="0"/>
        <v>75</v>
      </c>
      <c r="U18" s="5">
        <f t="shared" si="1"/>
        <v>100</v>
      </c>
      <c r="V18" s="5">
        <f t="shared" si="2"/>
        <v>75</v>
      </c>
      <c r="W18" s="5">
        <f t="shared" si="3"/>
        <v>75</v>
      </c>
      <c r="X18" s="5">
        <f t="shared" si="4"/>
        <v>75</v>
      </c>
      <c r="Y18" s="2" t="s">
        <v>326</v>
      </c>
      <c r="Z18" s="2" t="s">
        <v>327</v>
      </c>
    </row>
    <row r="19" spans="1:26" ht="48" customHeight="1" x14ac:dyDescent="0.3">
      <c r="A19" s="3" t="s">
        <v>80</v>
      </c>
      <c r="B19" s="3" t="s">
        <v>328</v>
      </c>
      <c r="C19" s="4" t="s">
        <v>329</v>
      </c>
      <c r="D19" s="4" t="s">
        <v>329</v>
      </c>
      <c r="E19" s="3" t="s">
        <v>330</v>
      </c>
      <c r="F19" s="3" t="s">
        <v>331</v>
      </c>
      <c r="G19" s="3"/>
      <c r="H19" s="3" t="s">
        <v>184</v>
      </c>
      <c r="I19" s="3" t="s">
        <v>185</v>
      </c>
      <c r="J19" s="3" t="s">
        <v>186</v>
      </c>
      <c r="K19" s="3" t="s">
        <v>332</v>
      </c>
      <c r="L19" s="3" t="s">
        <v>333</v>
      </c>
      <c r="M19" s="3" t="s">
        <v>334</v>
      </c>
      <c r="N19" s="3" t="s">
        <v>190</v>
      </c>
      <c r="O19" s="3" t="s">
        <v>335</v>
      </c>
      <c r="P19" s="3" t="s">
        <v>129</v>
      </c>
      <c r="Q19" s="3" t="s">
        <v>129</v>
      </c>
      <c r="R19" s="3" t="s">
        <v>129</v>
      </c>
      <c r="S19" s="3" t="s">
        <v>129</v>
      </c>
      <c r="T19" s="7">
        <f t="shared" si="0"/>
        <v>100</v>
      </c>
      <c r="U19" s="7">
        <f t="shared" si="1"/>
        <v>100</v>
      </c>
      <c r="V19" s="7">
        <f t="shared" si="2"/>
        <v>100</v>
      </c>
      <c r="W19" s="7">
        <f t="shared" si="3"/>
        <v>100</v>
      </c>
      <c r="X19" s="7">
        <f t="shared" si="4"/>
        <v>100</v>
      </c>
      <c r="Y19" s="3" t="s">
        <v>192</v>
      </c>
      <c r="Z19" s="3" t="s">
        <v>336</v>
      </c>
    </row>
    <row r="20" spans="1:26" ht="48" customHeight="1" x14ac:dyDescent="0.3">
      <c r="A20" s="2" t="s">
        <v>80</v>
      </c>
      <c r="B20" s="2" t="s">
        <v>337</v>
      </c>
      <c r="C20" s="4" t="s">
        <v>338</v>
      </c>
      <c r="D20" s="4" t="s">
        <v>338</v>
      </c>
      <c r="E20" s="2" t="s">
        <v>339</v>
      </c>
      <c r="F20" s="2" t="s">
        <v>340</v>
      </c>
      <c r="G20" s="2"/>
      <c r="H20" s="2" t="s">
        <v>184</v>
      </c>
      <c r="I20" s="2" t="s">
        <v>185</v>
      </c>
      <c r="J20" s="2" t="s">
        <v>186</v>
      </c>
      <c r="K20" s="2" t="s">
        <v>341</v>
      </c>
      <c r="L20" s="2" t="s">
        <v>342</v>
      </c>
      <c r="M20" s="2" t="s">
        <v>334</v>
      </c>
      <c r="N20" s="2" t="s">
        <v>190</v>
      </c>
      <c r="O20" s="2" t="s">
        <v>343</v>
      </c>
      <c r="P20" s="2" t="s">
        <v>129</v>
      </c>
      <c r="Q20" s="2" t="s">
        <v>129</v>
      </c>
      <c r="R20" s="2" t="s">
        <v>129</v>
      </c>
      <c r="S20" s="2" t="s">
        <v>129</v>
      </c>
      <c r="T20" s="5">
        <f t="shared" si="0"/>
        <v>100</v>
      </c>
      <c r="U20" s="5">
        <f t="shared" si="1"/>
        <v>100</v>
      </c>
      <c r="V20" s="5">
        <f t="shared" si="2"/>
        <v>100</v>
      </c>
      <c r="W20" s="5">
        <f t="shared" si="3"/>
        <v>100</v>
      </c>
      <c r="X20" s="5">
        <f t="shared" si="4"/>
        <v>100</v>
      </c>
      <c r="Y20" s="2" t="s">
        <v>192</v>
      </c>
      <c r="Z20" s="2" t="s">
        <v>344</v>
      </c>
    </row>
    <row r="21" spans="1:26" ht="48" customHeight="1" x14ac:dyDescent="0.3">
      <c r="A21" s="3" t="s">
        <v>80</v>
      </c>
      <c r="B21" s="3" t="s">
        <v>345</v>
      </c>
      <c r="C21" s="4" t="s">
        <v>346</v>
      </c>
      <c r="D21" s="4" t="s">
        <v>346</v>
      </c>
      <c r="E21" s="3" t="s">
        <v>347</v>
      </c>
      <c r="F21" s="3" t="s">
        <v>348</v>
      </c>
      <c r="G21" s="3"/>
      <c r="H21" s="3" t="s">
        <v>184</v>
      </c>
      <c r="I21" s="3" t="s">
        <v>185</v>
      </c>
      <c r="J21" s="3" t="s">
        <v>186</v>
      </c>
      <c r="K21" s="3" t="s">
        <v>349</v>
      </c>
      <c r="L21" s="3" t="s">
        <v>350</v>
      </c>
      <c r="M21" s="3" t="s">
        <v>334</v>
      </c>
      <c r="N21" s="3" t="s">
        <v>190</v>
      </c>
      <c r="O21" s="3" t="s">
        <v>351</v>
      </c>
      <c r="P21" s="3" t="s">
        <v>129</v>
      </c>
      <c r="Q21" s="3" t="s">
        <v>129</v>
      </c>
      <c r="R21" s="3" t="s">
        <v>129</v>
      </c>
      <c r="S21" s="3" t="s">
        <v>129</v>
      </c>
      <c r="T21" s="7">
        <f t="shared" si="0"/>
        <v>100</v>
      </c>
      <c r="U21" s="7">
        <f t="shared" si="1"/>
        <v>100</v>
      </c>
      <c r="V21" s="7">
        <f t="shared" si="2"/>
        <v>100</v>
      </c>
      <c r="W21" s="7">
        <f t="shared" si="3"/>
        <v>100</v>
      </c>
      <c r="X21" s="7">
        <f t="shared" si="4"/>
        <v>100</v>
      </c>
      <c r="Y21" s="3" t="s">
        <v>192</v>
      </c>
      <c r="Z21" s="3" t="s">
        <v>352</v>
      </c>
    </row>
    <row r="22" spans="1:26" ht="48" customHeight="1" x14ac:dyDescent="0.3">
      <c r="A22" s="2" t="s">
        <v>80</v>
      </c>
      <c r="B22" s="2" t="s">
        <v>353</v>
      </c>
      <c r="C22" s="4" t="s">
        <v>354</v>
      </c>
      <c r="D22" s="4" t="s">
        <v>354</v>
      </c>
      <c r="E22" s="2" t="s">
        <v>355</v>
      </c>
      <c r="F22" s="2" t="s">
        <v>356</v>
      </c>
      <c r="G22" s="2"/>
      <c r="H22" s="2" t="s">
        <v>184</v>
      </c>
      <c r="I22" s="2" t="s">
        <v>185</v>
      </c>
      <c r="J22" s="2" t="s">
        <v>186</v>
      </c>
      <c r="K22" s="2" t="s">
        <v>357</v>
      </c>
      <c r="L22" s="2" t="s">
        <v>358</v>
      </c>
      <c r="M22" s="2" t="s">
        <v>334</v>
      </c>
      <c r="N22" s="2" t="s">
        <v>190</v>
      </c>
      <c r="O22" s="2" t="s">
        <v>359</v>
      </c>
      <c r="P22" s="2" t="s">
        <v>129</v>
      </c>
      <c r="Q22" s="2" t="s">
        <v>129</v>
      </c>
      <c r="R22" s="2" t="s">
        <v>129</v>
      </c>
      <c r="S22" s="2" t="s">
        <v>129</v>
      </c>
      <c r="T22" s="5">
        <f t="shared" si="0"/>
        <v>100</v>
      </c>
      <c r="U22" s="5">
        <f t="shared" si="1"/>
        <v>100</v>
      </c>
      <c r="V22" s="5">
        <f t="shared" si="2"/>
        <v>100</v>
      </c>
      <c r="W22" s="5">
        <f t="shared" si="3"/>
        <v>100</v>
      </c>
      <c r="X22" s="5">
        <f t="shared" si="4"/>
        <v>100</v>
      </c>
      <c r="Y22" s="2" t="s">
        <v>192</v>
      </c>
      <c r="Z22" s="2" t="s">
        <v>360</v>
      </c>
    </row>
    <row r="23" spans="1:26" ht="48" customHeight="1" x14ac:dyDescent="0.3">
      <c r="A23" s="3" t="s">
        <v>80</v>
      </c>
      <c r="B23" s="3" t="s">
        <v>361</v>
      </c>
      <c r="C23" s="4" t="s">
        <v>362</v>
      </c>
      <c r="D23" s="4" t="s">
        <v>362</v>
      </c>
      <c r="E23" s="3" t="s">
        <v>363</v>
      </c>
      <c r="F23" s="3" t="s">
        <v>364</v>
      </c>
      <c r="G23" s="3"/>
      <c r="H23" s="3" t="s">
        <v>184</v>
      </c>
      <c r="I23" s="3" t="s">
        <v>185</v>
      </c>
      <c r="J23" s="3" t="s">
        <v>186</v>
      </c>
      <c r="K23" s="3" t="s">
        <v>324</v>
      </c>
      <c r="L23" s="3" t="s">
        <v>223</v>
      </c>
      <c r="M23" s="3" t="s">
        <v>334</v>
      </c>
      <c r="N23" s="3" t="s">
        <v>190</v>
      </c>
      <c r="O23" s="3" t="s">
        <v>365</v>
      </c>
      <c r="P23" s="3" t="s">
        <v>129</v>
      </c>
      <c r="Q23" s="3" t="s">
        <v>132</v>
      </c>
      <c r="R23" s="3" t="s">
        <v>132</v>
      </c>
      <c r="S23" s="3" t="s">
        <v>129</v>
      </c>
      <c r="T23" s="7">
        <f t="shared" si="0"/>
        <v>75</v>
      </c>
      <c r="U23" s="7">
        <f t="shared" si="1"/>
        <v>100</v>
      </c>
      <c r="V23" s="7">
        <f t="shared" si="2"/>
        <v>75</v>
      </c>
      <c r="W23" s="7">
        <f t="shared" si="3"/>
        <v>75</v>
      </c>
      <c r="X23" s="7">
        <f t="shared" si="4"/>
        <v>75</v>
      </c>
      <c r="Y23" s="3" t="s">
        <v>366</v>
      </c>
      <c r="Z23" s="3" t="s">
        <v>367</v>
      </c>
    </row>
    <row r="24" spans="1:26" ht="48" customHeight="1" x14ac:dyDescent="0.3">
      <c r="A24" s="2" t="s">
        <v>86</v>
      </c>
      <c r="B24" s="2" t="s">
        <v>368</v>
      </c>
      <c r="C24" s="4" t="s">
        <v>369</v>
      </c>
      <c r="D24" s="4" t="s">
        <v>369</v>
      </c>
      <c r="E24" s="2" t="s">
        <v>370</v>
      </c>
      <c r="F24" s="2" t="s">
        <v>371</v>
      </c>
      <c r="G24" s="2"/>
      <c r="H24" s="2" t="s">
        <v>184</v>
      </c>
      <c r="I24" s="2" t="s">
        <v>185</v>
      </c>
      <c r="J24" s="2" t="s">
        <v>186</v>
      </c>
      <c r="K24" s="2" t="s">
        <v>372</v>
      </c>
      <c r="L24" s="2" t="s">
        <v>373</v>
      </c>
      <c r="M24" s="2" t="s">
        <v>374</v>
      </c>
      <c r="N24" s="2" t="s">
        <v>190</v>
      </c>
      <c r="O24" s="2" t="s">
        <v>375</v>
      </c>
      <c r="P24" s="2" t="s">
        <v>129</v>
      </c>
      <c r="Q24" s="2" t="s">
        <v>129</v>
      </c>
      <c r="R24" s="2" t="s">
        <v>129</v>
      </c>
      <c r="S24" s="2" t="s">
        <v>129</v>
      </c>
      <c r="T24" s="5">
        <f t="shared" si="0"/>
        <v>100</v>
      </c>
      <c r="U24" s="5">
        <f t="shared" si="1"/>
        <v>100</v>
      </c>
      <c r="V24" s="5">
        <f t="shared" si="2"/>
        <v>100</v>
      </c>
      <c r="W24" s="5">
        <f t="shared" si="3"/>
        <v>100</v>
      </c>
      <c r="X24" s="5">
        <f t="shared" si="4"/>
        <v>100</v>
      </c>
      <c r="Y24" s="2" t="s">
        <v>192</v>
      </c>
      <c r="Z24" s="2" t="s">
        <v>376</v>
      </c>
    </row>
    <row r="25" spans="1:26" ht="48" customHeight="1" x14ac:dyDescent="0.3">
      <c r="A25" s="3" t="s">
        <v>86</v>
      </c>
      <c r="B25" s="3" t="s">
        <v>377</v>
      </c>
      <c r="C25" s="4" t="s">
        <v>378</v>
      </c>
      <c r="D25" s="4" t="s">
        <v>378</v>
      </c>
      <c r="E25" s="3" t="s">
        <v>379</v>
      </c>
      <c r="F25" s="3" t="s">
        <v>380</v>
      </c>
      <c r="G25" s="3"/>
      <c r="H25" s="3" t="s">
        <v>184</v>
      </c>
      <c r="I25" s="3" t="s">
        <v>185</v>
      </c>
      <c r="J25" s="3" t="s">
        <v>186</v>
      </c>
      <c r="K25" s="3" t="s">
        <v>381</v>
      </c>
      <c r="L25" s="3" t="s">
        <v>382</v>
      </c>
      <c r="M25" s="3" t="s">
        <v>374</v>
      </c>
      <c r="N25" s="3" t="s">
        <v>190</v>
      </c>
      <c r="O25" s="3" t="s">
        <v>383</v>
      </c>
      <c r="P25" s="3" t="s">
        <v>129</v>
      </c>
      <c r="Q25" s="3" t="s">
        <v>132</v>
      </c>
      <c r="R25" s="3" t="s">
        <v>147</v>
      </c>
      <c r="S25" s="3" t="s">
        <v>129</v>
      </c>
      <c r="T25" s="7">
        <f t="shared" si="0"/>
        <v>65</v>
      </c>
      <c r="U25" s="7">
        <f t="shared" si="1"/>
        <v>100</v>
      </c>
      <c r="V25" s="7">
        <f t="shared" si="2"/>
        <v>65</v>
      </c>
      <c r="W25" s="7">
        <f t="shared" si="3"/>
        <v>65</v>
      </c>
      <c r="X25" s="7">
        <f t="shared" si="4"/>
        <v>65</v>
      </c>
      <c r="Y25" s="3" t="s">
        <v>384</v>
      </c>
      <c r="Z25" s="3" t="s">
        <v>385</v>
      </c>
    </row>
    <row r="26" spans="1:26" ht="48" customHeight="1" x14ac:dyDescent="0.3">
      <c r="A26" s="2" t="s">
        <v>86</v>
      </c>
      <c r="B26" s="2" t="s">
        <v>386</v>
      </c>
      <c r="C26" s="4" t="s">
        <v>387</v>
      </c>
      <c r="D26" s="4" t="s">
        <v>387</v>
      </c>
      <c r="E26" s="2" t="s">
        <v>388</v>
      </c>
      <c r="F26" s="2" t="s">
        <v>389</v>
      </c>
      <c r="G26" s="2"/>
      <c r="H26" s="2" t="s">
        <v>184</v>
      </c>
      <c r="I26" s="2" t="s">
        <v>185</v>
      </c>
      <c r="J26" s="2" t="s">
        <v>186</v>
      </c>
      <c r="K26" s="2" t="s">
        <v>390</v>
      </c>
      <c r="L26" s="2" t="s">
        <v>391</v>
      </c>
      <c r="M26" s="2" t="s">
        <v>374</v>
      </c>
      <c r="N26" s="2" t="s">
        <v>190</v>
      </c>
      <c r="O26" s="2" t="s">
        <v>392</v>
      </c>
      <c r="P26" s="2" t="s">
        <v>129</v>
      </c>
      <c r="Q26" s="2" t="s">
        <v>132</v>
      </c>
      <c r="R26" s="2" t="s">
        <v>132</v>
      </c>
      <c r="S26" s="2" t="s">
        <v>129</v>
      </c>
      <c r="T26" s="5">
        <f t="shared" si="0"/>
        <v>75</v>
      </c>
      <c r="U26" s="5">
        <f t="shared" si="1"/>
        <v>100</v>
      </c>
      <c r="V26" s="5">
        <f t="shared" si="2"/>
        <v>75</v>
      </c>
      <c r="W26" s="5">
        <f t="shared" si="3"/>
        <v>75</v>
      </c>
      <c r="X26" s="5">
        <f t="shared" si="4"/>
        <v>75</v>
      </c>
      <c r="Y26" s="2" t="s">
        <v>393</v>
      </c>
      <c r="Z26" s="2" t="s">
        <v>394</v>
      </c>
    </row>
    <row r="27" spans="1:26" ht="48" customHeight="1" x14ac:dyDescent="0.3">
      <c r="A27" s="3" t="s">
        <v>86</v>
      </c>
      <c r="B27" s="3" t="s">
        <v>395</v>
      </c>
      <c r="C27" s="4" t="s">
        <v>396</v>
      </c>
      <c r="D27" s="4" t="s">
        <v>396</v>
      </c>
      <c r="E27" s="3" t="s">
        <v>397</v>
      </c>
      <c r="F27" s="3" t="s">
        <v>398</v>
      </c>
      <c r="G27" s="3"/>
      <c r="H27" s="3" t="s">
        <v>184</v>
      </c>
      <c r="I27" s="3" t="s">
        <v>185</v>
      </c>
      <c r="J27" s="3" t="s">
        <v>186</v>
      </c>
      <c r="K27" s="3" t="s">
        <v>399</v>
      </c>
      <c r="L27" s="3" t="s">
        <v>400</v>
      </c>
      <c r="M27" s="3" t="s">
        <v>374</v>
      </c>
      <c r="N27" s="3" t="s">
        <v>190</v>
      </c>
      <c r="O27" s="3" t="s">
        <v>401</v>
      </c>
      <c r="P27" s="3" t="s">
        <v>129</v>
      </c>
      <c r="Q27" s="3" t="s">
        <v>132</v>
      </c>
      <c r="R27" s="3" t="s">
        <v>132</v>
      </c>
      <c r="S27" s="3" t="s">
        <v>129</v>
      </c>
      <c r="T27" s="7">
        <f t="shared" si="0"/>
        <v>75</v>
      </c>
      <c r="U27" s="7">
        <f t="shared" si="1"/>
        <v>100</v>
      </c>
      <c r="V27" s="7">
        <f t="shared" si="2"/>
        <v>75</v>
      </c>
      <c r="W27" s="7">
        <f t="shared" si="3"/>
        <v>75</v>
      </c>
      <c r="X27" s="7">
        <f t="shared" si="4"/>
        <v>75</v>
      </c>
      <c r="Y27" s="3" t="s">
        <v>402</v>
      </c>
      <c r="Z27" s="3" t="s">
        <v>403</v>
      </c>
    </row>
    <row r="28" spans="1:26" ht="48" customHeight="1" x14ac:dyDescent="0.3">
      <c r="A28" s="2" t="s">
        <v>86</v>
      </c>
      <c r="B28" s="2" t="s">
        <v>404</v>
      </c>
      <c r="C28" s="4" t="s">
        <v>405</v>
      </c>
      <c r="D28" s="4" t="s">
        <v>405</v>
      </c>
      <c r="E28" s="2" t="s">
        <v>406</v>
      </c>
      <c r="F28" s="2" t="s">
        <v>407</v>
      </c>
      <c r="G28" s="2"/>
      <c r="H28" s="2" t="s">
        <v>184</v>
      </c>
      <c r="I28" s="2" t="s">
        <v>185</v>
      </c>
      <c r="J28" s="2" t="s">
        <v>186</v>
      </c>
      <c r="K28" s="2" t="s">
        <v>408</v>
      </c>
      <c r="L28" s="2" t="s">
        <v>223</v>
      </c>
      <c r="M28" s="2" t="s">
        <v>374</v>
      </c>
      <c r="N28" s="2" t="s">
        <v>190</v>
      </c>
      <c r="O28" s="2" t="s">
        <v>409</v>
      </c>
      <c r="P28" s="2" t="s">
        <v>129</v>
      </c>
      <c r="Q28" s="2" t="s">
        <v>129</v>
      </c>
      <c r="R28" s="2" t="s">
        <v>129</v>
      </c>
      <c r="S28" s="2" t="s">
        <v>129</v>
      </c>
      <c r="T28" s="5">
        <f t="shared" si="0"/>
        <v>100</v>
      </c>
      <c r="U28" s="5">
        <f t="shared" si="1"/>
        <v>100</v>
      </c>
      <c r="V28" s="5">
        <f t="shared" si="2"/>
        <v>100</v>
      </c>
      <c r="W28" s="5">
        <f t="shared" si="3"/>
        <v>100</v>
      </c>
      <c r="X28" s="5">
        <f t="shared" si="4"/>
        <v>100</v>
      </c>
      <c r="Y28" s="2" t="s">
        <v>192</v>
      </c>
      <c r="Z28" s="2" t="s">
        <v>410</v>
      </c>
    </row>
    <row r="29" spans="1:26" ht="48" customHeight="1" x14ac:dyDescent="0.3">
      <c r="A29" s="3" t="s">
        <v>86</v>
      </c>
      <c r="B29" s="3" t="s">
        <v>411</v>
      </c>
      <c r="C29" s="4" t="s">
        <v>412</v>
      </c>
      <c r="D29" s="4" t="s">
        <v>412</v>
      </c>
      <c r="E29" s="3" t="s">
        <v>413</v>
      </c>
      <c r="F29" s="3" t="s">
        <v>414</v>
      </c>
      <c r="G29" s="3"/>
      <c r="H29" s="3" t="s">
        <v>184</v>
      </c>
      <c r="I29" s="3" t="s">
        <v>185</v>
      </c>
      <c r="J29" s="3" t="s">
        <v>186</v>
      </c>
      <c r="K29" s="3" t="s">
        <v>415</v>
      </c>
      <c r="L29" s="3" t="s">
        <v>275</v>
      </c>
      <c r="M29" s="3" t="s">
        <v>374</v>
      </c>
      <c r="N29" s="3" t="s">
        <v>190</v>
      </c>
      <c r="O29" s="3" t="s">
        <v>416</v>
      </c>
      <c r="P29" s="3" t="s">
        <v>129</v>
      </c>
      <c r="Q29" s="3" t="s">
        <v>129</v>
      </c>
      <c r="R29" s="3" t="s">
        <v>129</v>
      </c>
      <c r="S29" s="3" t="s">
        <v>129</v>
      </c>
      <c r="T29" s="7">
        <f t="shared" si="0"/>
        <v>100</v>
      </c>
      <c r="U29" s="7">
        <f t="shared" si="1"/>
        <v>100</v>
      </c>
      <c r="V29" s="7">
        <f t="shared" si="2"/>
        <v>100</v>
      </c>
      <c r="W29" s="7">
        <f t="shared" si="3"/>
        <v>100</v>
      </c>
      <c r="X29" s="7">
        <f t="shared" si="4"/>
        <v>100</v>
      </c>
      <c r="Y29" s="3" t="s">
        <v>192</v>
      </c>
      <c r="Z29" s="3" t="s">
        <v>417</v>
      </c>
    </row>
    <row r="30" spans="1:26" ht="48" customHeight="1" x14ac:dyDescent="0.3">
      <c r="A30" s="2" t="s">
        <v>86</v>
      </c>
      <c r="B30" s="2" t="s">
        <v>418</v>
      </c>
      <c r="C30" s="4" t="s">
        <v>419</v>
      </c>
      <c r="D30" s="4" t="s">
        <v>419</v>
      </c>
      <c r="E30" s="2" t="s">
        <v>420</v>
      </c>
      <c r="F30" s="2" t="s">
        <v>421</v>
      </c>
      <c r="G30" s="2"/>
      <c r="H30" s="2" t="s">
        <v>184</v>
      </c>
      <c r="I30" s="2" t="s">
        <v>185</v>
      </c>
      <c r="J30" s="2" t="s">
        <v>186</v>
      </c>
      <c r="K30" s="2" t="s">
        <v>422</v>
      </c>
      <c r="L30" s="2" t="s">
        <v>423</v>
      </c>
      <c r="M30" s="2" t="s">
        <v>374</v>
      </c>
      <c r="N30" s="2" t="s">
        <v>190</v>
      </c>
      <c r="O30" s="2" t="s">
        <v>424</v>
      </c>
      <c r="P30" s="2" t="s">
        <v>129</v>
      </c>
      <c r="Q30" s="2" t="s">
        <v>129</v>
      </c>
      <c r="R30" s="2" t="s">
        <v>129</v>
      </c>
      <c r="S30" s="2" t="s">
        <v>129</v>
      </c>
      <c r="T30" s="5">
        <f t="shared" si="0"/>
        <v>100</v>
      </c>
      <c r="U30" s="5">
        <f t="shared" si="1"/>
        <v>100</v>
      </c>
      <c r="V30" s="5">
        <f t="shared" si="2"/>
        <v>100</v>
      </c>
      <c r="W30" s="5">
        <f t="shared" si="3"/>
        <v>100</v>
      </c>
      <c r="X30" s="5">
        <f t="shared" si="4"/>
        <v>100</v>
      </c>
      <c r="Y30" s="2" t="s">
        <v>192</v>
      </c>
      <c r="Z30" s="2" t="s">
        <v>425</v>
      </c>
    </row>
    <row r="31" spans="1:26" ht="48" customHeight="1" x14ac:dyDescent="0.3">
      <c r="A31" s="3" t="s">
        <v>92</v>
      </c>
      <c r="B31" s="3" t="s">
        <v>426</v>
      </c>
      <c r="C31" s="4" t="s">
        <v>427</v>
      </c>
      <c r="D31" s="4" t="s">
        <v>427</v>
      </c>
      <c r="E31" s="3" t="s">
        <v>428</v>
      </c>
      <c r="F31" s="3" t="s">
        <v>429</v>
      </c>
      <c r="G31" s="3"/>
      <c r="H31" s="3" t="s">
        <v>184</v>
      </c>
      <c r="I31" s="3" t="s">
        <v>185</v>
      </c>
      <c r="J31" s="3" t="s">
        <v>186</v>
      </c>
      <c r="K31" s="3" t="s">
        <v>430</v>
      </c>
      <c r="L31" s="3" t="s">
        <v>431</v>
      </c>
      <c r="M31" s="3" t="s">
        <v>432</v>
      </c>
      <c r="N31" s="3" t="s">
        <v>190</v>
      </c>
      <c r="O31" s="3" t="s">
        <v>433</v>
      </c>
      <c r="P31" s="3" t="s">
        <v>129</v>
      </c>
      <c r="Q31" s="3" t="s">
        <v>129</v>
      </c>
      <c r="R31" s="3" t="s">
        <v>129</v>
      </c>
      <c r="S31" s="3" t="s">
        <v>129</v>
      </c>
      <c r="T31" s="7">
        <f t="shared" si="0"/>
        <v>100</v>
      </c>
      <c r="U31" s="7">
        <f t="shared" si="1"/>
        <v>100</v>
      </c>
      <c r="V31" s="7">
        <f t="shared" si="2"/>
        <v>100</v>
      </c>
      <c r="W31" s="7">
        <f t="shared" si="3"/>
        <v>100</v>
      </c>
      <c r="X31" s="7">
        <f t="shared" si="4"/>
        <v>100</v>
      </c>
      <c r="Y31" s="3" t="s">
        <v>192</v>
      </c>
      <c r="Z31" s="3" t="s">
        <v>434</v>
      </c>
    </row>
    <row r="32" spans="1:26" ht="48" customHeight="1" x14ac:dyDescent="0.3">
      <c r="A32" s="2" t="s">
        <v>92</v>
      </c>
      <c r="B32" s="2" t="s">
        <v>435</v>
      </c>
      <c r="C32" s="4" t="s">
        <v>436</v>
      </c>
      <c r="D32" s="4" t="s">
        <v>436</v>
      </c>
      <c r="E32" s="2" t="s">
        <v>437</v>
      </c>
      <c r="F32" s="2" t="s">
        <v>438</v>
      </c>
      <c r="G32" s="2"/>
      <c r="H32" s="2" t="s">
        <v>184</v>
      </c>
      <c r="I32" s="2" t="s">
        <v>185</v>
      </c>
      <c r="J32" s="2" t="s">
        <v>186</v>
      </c>
      <c r="K32" s="2" t="s">
        <v>381</v>
      </c>
      <c r="L32" s="2" t="s">
        <v>439</v>
      </c>
      <c r="M32" s="2" t="s">
        <v>432</v>
      </c>
      <c r="N32" s="2" t="s">
        <v>190</v>
      </c>
      <c r="O32" s="2" t="s">
        <v>440</v>
      </c>
      <c r="P32" s="2" t="s">
        <v>129</v>
      </c>
      <c r="Q32" s="2" t="s">
        <v>132</v>
      </c>
      <c r="R32" s="2" t="s">
        <v>147</v>
      </c>
      <c r="S32" s="2" t="s">
        <v>129</v>
      </c>
      <c r="T32" s="5">
        <f t="shared" si="0"/>
        <v>65</v>
      </c>
      <c r="U32" s="5">
        <f t="shared" si="1"/>
        <v>100</v>
      </c>
      <c r="V32" s="5">
        <f t="shared" si="2"/>
        <v>65</v>
      </c>
      <c r="W32" s="5">
        <f t="shared" si="3"/>
        <v>65</v>
      </c>
      <c r="X32" s="5">
        <f t="shared" si="4"/>
        <v>65</v>
      </c>
      <c r="Y32" s="2" t="s">
        <v>441</v>
      </c>
      <c r="Z32" s="2" t="s">
        <v>442</v>
      </c>
    </row>
    <row r="33" spans="1:26" ht="48" customHeight="1" x14ac:dyDescent="0.3">
      <c r="A33" s="3" t="s">
        <v>92</v>
      </c>
      <c r="B33" s="3" t="s">
        <v>443</v>
      </c>
      <c r="C33" s="4" t="s">
        <v>444</v>
      </c>
      <c r="D33" s="4" t="s">
        <v>444</v>
      </c>
      <c r="E33" s="3" t="s">
        <v>445</v>
      </c>
      <c r="F33" s="3" t="s">
        <v>446</v>
      </c>
      <c r="G33" s="3"/>
      <c r="H33" s="3" t="s">
        <v>184</v>
      </c>
      <c r="I33" s="3" t="s">
        <v>185</v>
      </c>
      <c r="J33" s="3" t="s">
        <v>186</v>
      </c>
      <c r="K33" s="3" t="s">
        <v>390</v>
      </c>
      <c r="L33" s="3" t="s">
        <v>447</v>
      </c>
      <c r="M33" s="3" t="s">
        <v>432</v>
      </c>
      <c r="N33" s="3" t="s">
        <v>190</v>
      </c>
      <c r="O33" s="3" t="s">
        <v>448</v>
      </c>
      <c r="P33" s="3" t="s">
        <v>129</v>
      </c>
      <c r="Q33" s="3" t="s">
        <v>132</v>
      </c>
      <c r="R33" s="3" t="s">
        <v>132</v>
      </c>
      <c r="S33" s="3" t="s">
        <v>129</v>
      </c>
      <c r="T33" s="7">
        <f t="shared" si="0"/>
        <v>75</v>
      </c>
      <c r="U33" s="7">
        <f t="shared" si="1"/>
        <v>100</v>
      </c>
      <c r="V33" s="7">
        <f t="shared" si="2"/>
        <v>75</v>
      </c>
      <c r="W33" s="7">
        <f t="shared" si="3"/>
        <v>75</v>
      </c>
      <c r="X33" s="7">
        <f t="shared" si="4"/>
        <v>75</v>
      </c>
      <c r="Y33" s="3" t="s">
        <v>449</v>
      </c>
      <c r="Z33" s="3" t="s">
        <v>450</v>
      </c>
    </row>
    <row r="34" spans="1:26" ht="48" customHeight="1" x14ac:dyDescent="0.3">
      <c r="A34" s="2" t="s">
        <v>92</v>
      </c>
      <c r="B34" s="2" t="s">
        <v>451</v>
      </c>
      <c r="C34" s="4" t="s">
        <v>452</v>
      </c>
      <c r="D34" s="4" t="s">
        <v>452</v>
      </c>
      <c r="E34" s="2" t="s">
        <v>453</v>
      </c>
      <c r="F34" s="2" t="s">
        <v>454</v>
      </c>
      <c r="G34" s="2"/>
      <c r="H34" s="2" t="s">
        <v>184</v>
      </c>
      <c r="I34" s="2" t="s">
        <v>185</v>
      </c>
      <c r="J34" s="2" t="s">
        <v>186</v>
      </c>
      <c r="K34" s="2" t="s">
        <v>399</v>
      </c>
      <c r="L34" s="2" t="s">
        <v>455</v>
      </c>
      <c r="M34" s="2" t="s">
        <v>432</v>
      </c>
      <c r="N34" s="2" t="s">
        <v>190</v>
      </c>
      <c r="O34" s="2" t="s">
        <v>456</v>
      </c>
      <c r="P34" s="2" t="s">
        <v>129</v>
      </c>
      <c r="Q34" s="2" t="s">
        <v>132</v>
      </c>
      <c r="R34" s="2" t="s">
        <v>132</v>
      </c>
      <c r="S34" s="2" t="s">
        <v>129</v>
      </c>
      <c r="T34" s="5">
        <f t="shared" ref="T34:T65" si="5">IF(P34="FULL",40,IF(P34="PARTIAL",40/2,0))+IF(Q34="FULL",30,IF(Q34="PARTIAL",30/2,0))+IF(R34="FULL",20,IF(R34="PARTIAL",20/2,0))+IF(S34="FULL",10,IF(S34="PARTIAL",10/2,0))</f>
        <v>75</v>
      </c>
      <c r="U34" s="5">
        <f t="shared" ref="U34:U66" si="6">IF(P34="NOT_CHECKED",0,40)+IF(Q34="NOT_CHECKED",0,30)+IF(R34="NOT_CHECKED",0,20)+IF(S34="NOT_CHECKED",0,10)</f>
        <v>100</v>
      </c>
      <c r="V34" s="5">
        <f t="shared" ref="V34:V65" si="7">IF(U34=100,T34,"")</f>
        <v>75</v>
      </c>
      <c r="W34" s="5">
        <f t="shared" ref="W34:W66" si="8">T34</f>
        <v>75</v>
      </c>
      <c r="X34" s="5">
        <f t="shared" ref="X34:X66" si="9">T34+(100-U34)</f>
        <v>75</v>
      </c>
      <c r="Y34" s="2" t="s">
        <v>457</v>
      </c>
      <c r="Z34" s="2" t="s">
        <v>458</v>
      </c>
    </row>
    <row r="35" spans="1:26" ht="48" customHeight="1" x14ac:dyDescent="0.3">
      <c r="A35" s="3" t="s">
        <v>92</v>
      </c>
      <c r="B35" s="3" t="s">
        <v>459</v>
      </c>
      <c r="C35" s="4" t="s">
        <v>460</v>
      </c>
      <c r="D35" s="4" t="s">
        <v>460</v>
      </c>
      <c r="E35" s="3" t="s">
        <v>461</v>
      </c>
      <c r="F35" s="3" t="s">
        <v>462</v>
      </c>
      <c r="G35" s="3"/>
      <c r="H35" s="3" t="s">
        <v>184</v>
      </c>
      <c r="I35" s="3" t="s">
        <v>185</v>
      </c>
      <c r="J35" s="3" t="s">
        <v>186</v>
      </c>
      <c r="K35" s="3" t="s">
        <v>408</v>
      </c>
      <c r="L35" s="3" t="s">
        <v>223</v>
      </c>
      <c r="M35" s="3" t="s">
        <v>432</v>
      </c>
      <c r="N35" s="3" t="s">
        <v>190</v>
      </c>
      <c r="O35" s="3" t="s">
        <v>463</v>
      </c>
      <c r="P35" s="3" t="s">
        <v>129</v>
      </c>
      <c r="Q35" s="3" t="s">
        <v>129</v>
      </c>
      <c r="R35" s="3" t="s">
        <v>129</v>
      </c>
      <c r="S35" s="3" t="s">
        <v>129</v>
      </c>
      <c r="T35" s="7">
        <f t="shared" si="5"/>
        <v>100</v>
      </c>
      <c r="U35" s="7">
        <f t="shared" si="6"/>
        <v>100</v>
      </c>
      <c r="V35" s="7">
        <f t="shared" si="7"/>
        <v>100</v>
      </c>
      <c r="W35" s="7">
        <f t="shared" si="8"/>
        <v>100</v>
      </c>
      <c r="X35" s="7">
        <f t="shared" si="9"/>
        <v>100</v>
      </c>
      <c r="Y35" s="3" t="s">
        <v>192</v>
      </c>
      <c r="Z35" s="3" t="s">
        <v>464</v>
      </c>
    </row>
    <row r="36" spans="1:26" ht="48" customHeight="1" x14ac:dyDescent="0.3">
      <c r="A36" s="2" t="s">
        <v>92</v>
      </c>
      <c r="B36" s="2" t="s">
        <v>465</v>
      </c>
      <c r="C36" s="4" t="s">
        <v>466</v>
      </c>
      <c r="D36" s="4" t="s">
        <v>466</v>
      </c>
      <c r="E36" s="2" t="s">
        <v>467</v>
      </c>
      <c r="F36" s="2" t="s">
        <v>468</v>
      </c>
      <c r="G36" s="2"/>
      <c r="H36" s="2" t="s">
        <v>184</v>
      </c>
      <c r="I36" s="2" t="s">
        <v>185</v>
      </c>
      <c r="J36" s="2" t="s">
        <v>186</v>
      </c>
      <c r="K36" s="2" t="s">
        <v>415</v>
      </c>
      <c r="L36" s="2" t="s">
        <v>275</v>
      </c>
      <c r="M36" s="2" t="s">
        <v>432</v>
      </c>
      <c r="N36" s="2" t="s">
        <v>190</v>
      </c>
      <c r="O36" s="2" t="s">
        <v>469</v>
      </c>
      <c r="P36" s="2" t="s">
        <v>129</v>
      </c>
      <c r="Q36" s="2" t="s">
        <v>129</v>
      </c>
      <c r="R36" s="2" t="s">
        <v>129</v>
      </c>
      <c r="S36" s="2" t="s">
        <v>129</v>
      </c>
      <c r="T36" s="5">
        <f t="shared" si="5"/>
        <v>100</v>
      </c>
      <c r="U36" s="5">
        <f t="shared" si="6"/>
        <v>100</v>
      </c>
      <c r="V36" s="5">
        <f t="shared" si="7"/>
        <v>100</v>
      </c>
      <c r="W36" s="5">
        <f t="shared" si="8"/>
        <v>100</v>
      </c>
      <c r="X36" s="5">
        <f t="shared" si="9"/>
        <v>100</v>
      </c>
      <c r="Y36" s="2" t="s">
        <v>192</v>
      </c>
      <c r="Z36" s="2" t="s">
        <v>470</v>
      </c>
    </row>
    <row r="37" spans="1:26" ht="48" customHeight="1" x14ac:dyDescent="0.3">
      <c r="A37" s="3" t="s">
        <v>92</v>
      </c>
      <c r="B37" s="3" t="s">
        <v>471</v>
      </c>
      <c r="C37" s="4" t="s">
        <v>472</v>
      </c>
      <c r="D37" s="4" t="s">
        <v>472</v>
      </c>
      <c r="E37" s="3" t="s">
        <v>473</v>
      </c>
      <c r="F37" s="3" t="s">
        <v>474</v>
      </c>
      <c r="G37" s="3"/>
      <c r="H37" s="3" t="s">
        <v>184</v>
      </c>
      <c r="I37" s="3" t="s">
        <v>185</v>
      </c>
      <c r="J37" s="3" t="s">
        <v>186</v>
      </c>
      <c r="K37" s="3" t="s">
        <v>475</v>
      </c>
      <c r="L37" s="3" t="s">
        <v>476</v>
      </c>
      <c r="M37" s="3" t="s">
        <v>432</v>
      </c>
      <c r="N37" s="3" t="s">
        <v>190</v>
      </c>
      <c r="O37" s="3" t="s">
        <v>477</v>
      </c>
      <c r="P37" s="3" t="s">
        <v>129</v>
      </c>
      <c r="Q37" s="3" t="s">
        <v>129</v>
      </c>
      <c r="R37" s="3" t="s">
        <v>129</v>
      </c>
      <c r="S37" s="3" t="s">
        <v>129</v>
      </c>
      <c r="T37" s="7">
        <f t="shared" si="5"/>
        <v>100</v>
      </c>
      <c r="U37" s="7">
        <f t="shared" si="6"/>
        <v>100</v>
      </c>
      <c r="V37" s="7">
        <f t="shared" si="7"/>
        <v>100</v>
      </c>
      <c r="W37" s="7">
        <f t="shared" si="8"/>
        <v>100</v>
      </c>
      <c r="X37" s="7">
        <f t="shared" si="9"/>
        <v>100</v>
      </c>
      <c r="Y37" s="3" t="s">
        <v>192</v>
      </c>
      <c r="Z37" s="3" t="s">
        <v>478</v>
      </c>
    </row>
    <row r="38" spans="1:26" ht="48" customHeight="1" x14ac:dyDescent="0.3">
      <c r="A38" s="2" t="s">
        <v>98</v>
      </c>
      <c r="B38" s="2" t="s">
        <v>479</v>
      </c>
      <c r="C38" s="4" t="s">
        <v>480</v>
      </c>
      <c r="D38" s="4" t="s">
        <v>480</v>
      </c>
      <c r="E38" s="2" t="s">
        <v>481</v>
      </c>
      <c r="F38" s="2" t="s">
        <v>482</v>
      </c>
      <c r="G38" s="2"/>
      <c r="H38" s="2" t="s">
        <v>184</v>
      </c>
      <c r="I38" s="2" t="s">
        <v>185</v>
      </c>
      <c r="J38" s="2" t="s">
        <v>186</v>
      </c>
      <c r="K38" s="2" t="s">
        <v>483</v>
      </c>
      <c r="L38" s="2" t="s">
        <v>484</v>
      </c>
      <c r="M38" s="2" t="s">
        <v>485</v>
      </c>
      <c r="N38" s="2" t="s">
        <v>190</v>
      </c>
      <c r="O38" s="2" t="s">
        <v>486</v>
      </c>
      <c r="P38" s="2" t="s">
        <v>129</v>
      </c>
      <c r="Q38" s="2" t="s">
        <v>129</v>
      </c>
      <c r="R38" s="2" t="s">
        <v>129</v>
      </c>
      <c r="S38" s="2" t="s">
        <v>129</v>
      </c>
      <c r="T38" s="5">
        <f t="shared" si="5"/>
        <v>100</v>
      </c>
      <c r="U38" s="5">
        <f t="shared" si="6"/>
        <v>100</v>
      </c>
      <c r="V38" s="5">
        <f t="shared" si="7"/>
        <v>100</v>
      </c>
      <c r="W38" s="5">
        <f t="shared" si="8"/>
        <v>100</v>
      </c>
      <c r="X38" s="5">
        <f t="shared" si="9"/>
        <v>100</v>
      </c>
      <c r="Y38" s="2" t="s">
        <v>192</v>
      </c>
      <c r="Z38" s="2" t="s">
        <v>487</v>
      </c>
    </row>
    <row r="39" spans="1:26" ht="48" customHeight="1" x14ac:dyDescent="0.3">
      <c r="A39" s="3" t="s">
        <v>98</v>
      </c>
      <c r="B39" s="3" t="s">
        <v>488</v>
      </c>
      <c r="C39" s="4" t="s">
        <v>489</v>
      </c>
      <c r="D39" s="4" t="s">
        <v>489</v>
      </c>
      <c r="E39" s="3" t="s">
        <v>490</v>
      </c>
      <c r="F39" s="3" t="s">
        <v>491</v>
      </c>
      <c r="G39" s="3"/>
      <c r="H39" s="3" t="s">
        <v>184</v>
      </c>
      <c r="I39" s="3" t="s">
        <v>185</v>
      </c>
      <c r="J39" s="3" t="s">
        <v>186</v>
      </c>
      <c r="K39" s="3" t="s">
        <v>381</v>
      </c>
      <c r="L39" s="3" t="s">
        <v>492</v>
      </c>
      <c r="M39" s="3" t="s">
        <v>485</v>
      </c>
      <c r="N39" s="3" t="s">
        <v>190</v>
      </c>
      <c r="O39" s="3" t="s">
        <v>493</v>
      </c>
      <c r="P39" s="3" t="s">
        <v>129</v>
      </c>
      <c r="Q39" s="3" t="s">
        <v>132</v>
      </c>
      <c r="R39" s="3" t="s">
        <v>147</v>
      </c>
      <c r="S39" s="3" t="s">
        <v>129</v>
      </c>
      <c r="T39" s="7">
        <f t="shared" si="5"/>
        <v>65</v>
      </c>
      <c r="U39" s="7">
        <f t="shared" si="6"/>
        <v>100</v>
      </c>
      <c r="V39" s="7">
        <f t="shared" si="7"/>
        <v>65</v>
      </c>
      <c r="W39" s="7">
        <f t="shared" si="8"/>
        <v>65</v>
      </c>
      <c r="X39" s="7">
        <f t="shared" si="9"/>
        <v>65</v>
      </c>
      <c r="Y39" s="3" t="s">
        <v>494</v>
      </c>
      <c r="Z39" s="3" t="s">
        <v>495</v>
      </c>
    </row>
    <row r="40" spans="1:26" ht="48" customHeight="1" x14ac:dyDescent="0.3">
      <c r="A40" s="2" t="s">
        <v>98</v>
      </c>
      <c r="B40" s="2" t="s">
        <v>496</v>
      </c>
      <c r="C40" s="4" t="s">
        <v>497</v>
      </c>
      <c r="D40" s="4" t="s">
        <v>497</v>
      </c>
      <c r="E40" s="2" t="s">
        <v>498</v>
      </c>
      <c r="F40" s="2" t="s">
        <v>499</v>
      </c>
      <c r="G40" s="2"/>
      <c r="H40" s="2" t="s">
        <v>184</v>
      </c>
      <c r="I40" s="2" t="s">
        <v>185</v>
      </c>
      <c r="J40" s="2" t="s">
        <v>186</v>
      </c>
      <c r="K40" s="2" t="s">
        <v>390</v>
      </c>
      <c r="L40" s="2" t="s">
        <v>500</v>
      </c>
      <c r="M40" s="2" t="s">
        <v>485</v>
      </c>
      <c r="N40" s="2" t="s">
        <v>190</v>
      </c>
      <c r="O40" s="2" t="s">
        <v>501</v>
      </c>
      <c r="P40" s="2" t="s">
        <v>129</v>
      </c>
      <c r="Q40" s="2" t="s">
        <v>132</v>
      </c>
      <c r="R40" s="2" t="s">
        <v>132</v>
      </c>
      <c r="S40" s="2" t="s">
        <v>129</v>
      </c>
      <c r="T40" s="5">
        <f t="shared" si="5"/>
        <v>75</v>
      </c>
      <c r="U40" s="5">
        <f t="shared" si="6"/>
        <v>100</v>
      </c>
      <c r="V40" s="5">
        <f t="shared" si="7"/>
        <v>75</v>
      </c>
      <c r="W40" s="5">
        <f t="shared" si="8"/>
        <v>75</v>
      </c>
      <c r="X40" s="5">
        <f t="shared" si="9"/>
        <v>75</v>
      </c>
      <c r="Y40" s="2" t="s">
        <v>502</v>
      </c>
      <c r="Z40" s="2" t="s">
        <v>503</v>
      </c>
    </row>
    <row r="41" spans="1:26" ht="48" customHeight="1" x14ac:dyDescent="0.3">
      <c r="A41" s="3" t="s">
        <v>98</v>
      </c>
      <c r="B41" s="3" t="s">
        <v>504</v>
      </c>
      <c r="C41" s="4" t="s">
        <v>505</v>
      </c>
      <c r="D41" s="4" t="s">
        <v>505</v>
      </c>
      <c r="E41" s="3" t="s">
        <v>506</v>
      </c>
      <c r="F41" s="3" t="s">
        <v>507</v>
      </c>
      <c r="G41" s="3"/>
      <c r="H41" s="3" t="s">
        <v>184</v>
      </c>
      <c r="I41" s="3" t="s">
        <v>185</v>
      </c>
      <c r="J41" s="3" t="s">
        <v>186</v>
      </c>
      <c r="K41" s="3" t="s">
        <v>399</v>
      </c>
      <c r="L41" s="3" t="s">
        <v>508</v>
      </c>
      <c r="M41" s="3" t="s">
        <v>485</v>
      </c>
      <c r="N41" s="3" t="s">
        <v>190</v>
      </c>
      <c r="O41" s="3" t="s">
        <v>509</v>
      </c>
      <c r="P41" s="3" t="s">
        <v>129</v>
      </c>
      <c r="Q41" s="3" t="s">
        <v>132</v>
      </c>
      <c r="R41" s="3" t="s">
        <v>132</v>
      </c>
      <c r="S41" s="3" t="s">
        <v>129</v>
      </c>
      <c r="T41" s="7">
        <f t="shared" si="5"/>
        <v>75</v>
      </c>
      <c r="U41" s="7">
        <f t="shared" si="6"/>
        <v>100</v>
      </c>
      <c r="V41" s="7">
        <f t="shared" si="7"/>
        <v>75</v>
      </c>
      <c r="W41" s="7">
        <f t="shared" si="8"/>
        <v>75</v>
      </c>
      <c r="X41" s="7">
        <f t="shared" si="9"/>
        <v>75</v>
      </c>
      <c r="Y41" s="3" t="s">
        <v>510</v>
      </c>
      <c r="Z41" s="3" t="s">
        <v>511</v>
      </c>
    </row>
    <row r="42" spans="1:26" ht="48" customHeight="1" x14ac:dyDescent="0.3">
      <c r="A42" s="2" t="s">
        <v>98</v>
      </c>
      <c r="B42" s="2" t="s">
        <v>512</v>
      </c>
      <c r="C42" s="4" t="s">
        <v>513</v>
      </c>
      <c r="D42" s="4" t="s">
        <v>513</v>
      </c>
      <c r="E42" s="2" t="s">
        <v>514</v>
      </c>
      <c r="F42" s="2" t="s">
        <v>515</v>
      </c>
      <c r="G42" s="2"/>
      <c r="H42" s="2" t="s">
        <v>184</v>
      </c>
      <c r="I42" s="2" t="s">
        <v>185</v>
      </c>
      <c r="J42" s="2" t="s">
        <v>186</v>
      </c>
      <c r="K42" s="2" t="s">
        <v>408</v>
      </c>
      <c r="L42" s="2" t="s">
        <v>223</v>
      </c>
      <c r="M42" s="2" t="s">
        <v>485</v>
      </c>
      <c r="N42" s="2" t="s">
        <v>190</v>
      </c>
      <c r="O42" s="2" t="s">
        <v>516</v>
      </c>
      <c r="P42" s="2" t="s">
        <v>129</v>
      </c>
      <c r="Q42" s="2" t="s">
        <v>129</v>
      </c>
      <c r="R42" s="2" t="s">
        <v>129</v>
      </c>
      <c r="S42" s="2" t="s">
        <v>129</v>
      </c>
      <c r="T42" s="5">
        <f t="shared" si="5"/>
        <v>100</v>
      </c>
      <c r="U42" s="5">
        <f t="shared" si="6"/>
        <v>100</v>
      </c>
      <c r="V42" s="5">
        <f t="shared" si="7"/>
        <v>100</v>
      </c>
      <c r="W42" s="5">
        <f t="shared" si="8"/>
        <v>100</v>
      </c>
      <c r="X42" s="5">
        <f t="shared" si="9"/>
        <v>100</v>
      </c>
      <c r="Y42" s="2" t="s">
        <v>192</v>
      </c>
      <c r="Z42" s="2" t="s">
        <v>517</v>
      </c>
    </row>
    <row r="43" spans="1:26" ht="48" customHeight="1" x14ac:dyDescent="0.3">
      <c r="A43" s="3" t="s">
        <v>98</v>
      </c>
      <c r="B43" s="3" t="s">
        <v>518</v>
      </c>
      <c r="C43" s="4" t="s">
        <v>519</v>
      </c>
      <c r="D43" s="4" t="s">
        <v>519</v>
      </c>
      <c r="E43" s="3" t="s">
        <v>520</v>
      </c>
      <c r="F43" s="3" t="s">
        <v>521</v>
      </c>
      <c r="G43" s="3"/>
      <c r="H43" s="3" t="s">
        <v>184</v>
      </c>
      <c r="I43" s="3" t="s">
        <v>185</v>
      </c>
      <c r="J43" s="3" t="s">
        <v>186</v>
      </c>
      <c r="K43" s="3" t="s">
        <v>415</v>
      </c>
      <c r="L43" s="3" t="s">
        <v>275</v>
      </c>
      <c r="M43" s="3" t="s">
        <v>485</v>
      </c>
      <c r="N43" s="3" t="s">
        <v>190</v>
      </c>
      <c r="O43" s="3" t="s">
        <v>522</v>
      </c>
      <c r="P43" s="3" t="s">
        <v>129</v>
      </c>
      <c r="Q43" s="3" t="s">
        <v>129</v>
      </c>
      <c r="R43" s="3" t="s">
        <v>129</v>
      </c>
      <c r="S43" s="3" t="s">
        <v>129</v>
      </c>
      <c r="T43" s="7">
        <f t="shared" si="5"/>
        <v>100</v>
      </c>
      <c r="U43" s="7">
        <f t="shared" si="6"/>
        <v>100</v>
      </c>
      <c r="V43" s="7">
        <f t="shared" si="7"/>
        <v>100</v>
      </c>
      <c r="W43" s="7">
        <f t="shared" si="8"/>
        <v>100</v>
      </c>
      <c r="X43" s="7">
        <f t="shared" si="9"/>
        <v>100</v>
      </c>
      <c r="Y43" s="3" t="s">
        <v>192</v>
      </c>
      <c r="Z43" s="3" t="s">
        <v>523</v>
      </c>
    </row>
    <row r="44" spans="1:26" ht="48" customHeight="1" x14ac:dyDescent="0.3">
      <c r="A44" s="2" t="s">
        <v>98</v>
      </c>
      <c r="B44" s="2" t="s">
        <v>524</v>
      </c>
      <c r="C44" s="4" t="s">
        <v>525</v>
      </c>
      <c r="D44" s="4" t="s">
        <v>525</v>
      </c>
      <c r="E44" s="2" t="s">
        <v>526</v>
      </c>
      <c r="F44" s="2" t="s">
        <v>527</v>
      </c>
      <c r="G44" s="2"/>
      <c r="H44" s="2" t="s">
        <v>184</v>
      </c>
      <c r="I44" s="2" t="s">
        <v>185</v>
      </c>
      <c r="J44" s="2" t="s">
        <v>186</v>
      </c>
      <c r="K44" s="2" t="s">
        <v>528</v>
      </c>
      <c r="L44" s="2" t="s">
        <v>529</v>
      </c>
      <c r="M44" s="2" t="s">
        <v>485</v>
      </c>
      <c r="N44" s="2" t="s">
        <v>190</v>
      </c>
      <c r="O44" s="2" t="s">
        <v>530</v>
      </c>
      <c r="P44" s="2" t="s">
        <v>129</v>
      </c>
      <c r="Q44" s="2" t="s">
        <v>129</v>
      </c>
      <c r="R44" s="2" t="s">
        <v>129</v>
      </c>
      <c r="S44" s="2" t="s">
        <v>129</v>
      </c>
      <c r="T44" s="5">
        <f t="shared" si="5"/>
        <v>100</v>
      </c>
      <c r="U44" s="5">
        <f t="shared" si="6"/>
        <v>100</v>
      </c>
      <c r="V44" s="5">
        <f t="shared" si="7"/>
        <v>100</v>
      </c>
      <c r="W44" s="5">
        <f t="shared" si="8"/>
        <v>100</v>
      </c>
      <c r="X44" s="5">
        <f t="shared" si="9"/>
        <v>100</v>
      </c>
      <c r="Y44" s="2" t="s">
        <v>192</v>
      </c>
      <c r="Z44" s="2" t="s">
        <v>531</v>
      </c>
    </row>
    <row r="45" spans="1:26" ht="48" customHeight="1" x14ac:dyDescent="0.3">
      <c r="A45" s="3" t="s">
        <v>104</v>
      </c>
      <c r="B45" s="3" t="s">
        <v>532</v>
      </c>
      <c r="C45" s="4" t="s">
        <v>533</v>
      </c>
      <c r="D45" s="4" t="s">
        <v>533</v>
      </c>
      <c r="E45" s="3" t="s">
        <v>534</v>
      </c>
      <c r="F45" s="3" t="s">
        <v>535</v>
      </c>
      <c r="G45" s="3"/>
      <c r="H45" s="3" t="s">
        <v>184</v>
      </c>
      <c r="I45" s="3" t="s">
        <v>185</v>
      </c>
      <c r="J45" s="3" t="s">
        <v>186</v>
      </c>
      <c r="K45" s="3" t="s">
        <v>536</v>
      </c>
      <c r="L45" s="3" t="s">
        <v>537</v>
      </c>
      <c r="M45" s="3" t="s">
        <v>538</v>
      </c>
      <c r="N45" s="3" t="s">
        <v>190</v>
      </c>
      <c r="O45" s="3" t="s">
        <v>539</v>
      </c>
      <c r="P45" s="3" t="s">
        <v>129</v>
      </c>
      <c r="Q45" s="3" t="s">
        <v>129</v>
      </c>
      <c r="R45" s="3" t="s">
        <v>129</v>
      </c>
      <c r="S45" s="3" t="s">
        <v>129</v>
      </c>
      <c r="T45" s="7">
        <f t="shared" si="5"/>
        <v>100</v>
      </c>
      <c r="U45" s="7">
        <f t="shared" si="6"/>
        <v>100</v>
      </c>
      <c r="V45" s="7">
        <f t="shared" si="7"/>
        <v>100</v>
      </c>
      <c r="W45" s="7">
        <f t="shared" si="8"/>
        <v>100</v>
      </c>
      <c r="X45" s="7">
        <f t="shared" si="9"/>
        <v>100</v>
      </c>
      <c r="Y45" s="3" t="s">
        <v>192</v>
      </c>
      <c r="Z45" s="3" t="s">
        <v>540</v>
      </c>
    </row>
    <row r="46" spans="1:26" ht="48" customHeight="1" x14ac:dyDescent="0.3">
      <c r="A46" s="2" t="s">
        <v>104</v>
      </c>
      <c r="B46" s="2" t="s">
        <v>541</v>
      </c>
      <c r="C46" s="4" t="s">
        <v>542</v>
      </c>
      <c r="D46" s="4" t="s">
        <v>542</v>
      </c>
      <c r="E46" s="2" t="s">
        <v>543</v>
      </c>
      <c r="F46" s="2" t="s">
        <v>544</v>
      </c>
      <c r="G46" s="2"/>
      <c r="H46" s="2" t="s">
        <v>184</v>
      </c>
      <c r="I46" s="2" t="s">
        <v>185</v>
      </c>
      <c r="J46" s="2" t="s">
        <v>186</v>
      </c>
      <c r="K46" s="2" t="s">
        <v>381</v>
      </c>
      <c r="L46" s="2" t="s">
        <v>545</v>
      </c>
      <c r="M46" s="2" t="s">
        <v>538</v>
      </c>
      <c r="N46" s="2" t="s">
        <v>190</v>
      </c>
      <c r="O46" s="2" t="s">
        <v>546</v>
      </c>
      <c r="P46" s="2" t="s">
        <v>129</v>
      </c>
      <c r="Q46" s="2" t="s">
        <v>132</v>
      </c>
      <c r="R46" s="2" t="s">
        <v>147</v>
      </c>
      <c r="S46" s="2" t="s">
        <v>129</v>
      </c>
      <c r="T46" s="5">
        <f t="shared" si="5"/>
        <v>65</v>
      </c>
      <c r="U46" s="5">
        <f t="shared" si="6"/>
        <v>100</v>
      </c>
      <c r="V46" s="5">
        <f t="shared" si="7"/>
        <v>65</v>
      </c>
      <c r="W46" s="5">
        <f t="shared" si="8"/>
        <v>65</v>
      </c>
      <c r="X46" s="5">
        <f t="shared" si="9"/>
        <v>65</v>
      </c>
      <c r="Y46" s="2" t="s">
        <v>547</v>
      </c>
      <c r="Z46" s="2" t="s">
        <v>548</v>
      </c>
    </row>
    <row r="47" spans="1:26" ht="48" customHeight="1" x14ac:dyDescent="0.3">
      <c r="A47" s="3" t="s">
        <v>104</v>
      </c>
      <c r="B47" s="3" t="s">
        <v>549</v>
      </c>
      <c r="C47" s="4" t="s">
        <v>550</v>
      </c>
      <c r="D47" s="4" t="s">
        <v>550</v>
      </c>
      <c r="E47" s="3" t="s">
        <v>551</v>
      </c>
      <c r="F47" s="3" t="s">
        <v>552</v>
      </c>
      <c r="G47" s="3"/>
      <c r="H47" s="3" t="s">
        <v>184</v>
      </c>
      <c r="I47" s="3" t="s">
        <v>185</v>
      </c>
      <c r="J47" s="3" t="s">
        <v>186</v>
      </c>
      <c r="K47" s="3" t="s">
        <v>390</v>
      </c>
      <c r="L47" s="3" t="s">
        <v>553</v>
      </c>
      <c r="M47" s="3" t="s">
        <v>538</v>
      </c>
      <c r="N47" s="3" t="s">
        <v>190</v>
      </c>
      <c r="O47" s="3" t="s">
        <v>554</v>
      </c>
      <c r="P47" s="3" t="s">
        <v>129</v>
      </c>
      <c r="Q47" s="3" t="s">
        <v>132</v>
      </c>
      <c r="R47" s="3" t="s">
        <v>132</v>
      </c>
      <c r="S47" s="3" t="s">
        <v>129</v>
      </c>
      <c r="T47" s="7">
        <f t="shared" si="5"/>
        <v>75</v>
      </c>
      <c r="U47" s="7">
        <f t="shared" si="6"/>
        <v>100</v>
      </c>
      <c r="V47" s="7">
        <f t="shared" si="7"/>
        <v>75</v>
      </c>
      <c r="W47" s="7">
        <f t="shared" si="8"/>
        <v>75</v>
      </c>
      <c r="X47" s="7">
        <f t="shared" si="9"/>
        <v>75</v>
      </c>
      <c r="Y47" s="3" t="s">
        <v>555</v>
      </c>
      <c r="Z47" s="3" t="s">
        <v>556</v>
      </c>
    </row>
    <row r="48" spans="1:26" ht="48" customHeight="1" x14ac:dyDescent="0.3">
      <c r="A48" s="2" t="s">
        <v>104</v>
      </c>
      <c r="B48" s="2" t="s">
        <v>557</v>
      </c>
      <c r="C48" s="4" t="s">
        <v>558</v>
      </c>
      <c r="D48" s="4" t="s">
        <v>558</v>
      </c>
      <c r="E48" s="2" t="s">
        <v>559</v>
      </c>
      <c r="F48" s="2" t="s">
        <v>560</v>
      </c>
      <c r="G48" s="2"/>
      <c r="H48" s="2" t="s">
        <v>184</v>
      </c>
      <c r="I48" s="2" t="s">
        <v>185</v>
      </c>
      <c r="J48" s="2" t="s">
        <v>186</v>
      </c>
      <c r="K48" s="2" t="s">
        <v>399</v>
      </c>
      <c r="L48" s="2" t="s">
        <v>561</v>
      </c>
      <c r="M48" s="2" t="s">
        <v>538</v>
      </c>
      <c r="N48" s="2" t="s">
        <v>190</v>
      </c>
      <c r="O48" s="2" t="s">
        <v>562</v>
      </c>
      <c r="P48" s="2" t="s">
        <v>129</v>
      </c>
      <c r="Q48" s="2" t="s">
        <v>132</v>
      </c>
      <c r="R48" s="2" t="s">
        <v>132</v>
      </c>
      <c r="S48" s="2" t="s">
        <v>129</v>
      </c>
      <c r="T48" s="5">
        <f t="shared" si="5"/>
        <v>75</v>
      </c>
      <c r="U48" s="5">
        <f t="shared" si="6"/>
        <v>100</v>
      </c>
      <c r="V48" s="5">
        <f t="shared" si="7"/>
        <v>75</v>
      </c>
      <c r="W48" s="5">
        <f t="shared" si="8"/>
        <v>75</v>
      </c>
      <c r="X48" s="5">
        <f t="shared" si="9"/>
        <v>75</v>
      </c>
      <c r="Y48" s="2" t="s">
        <v>563</v>
      </c>
      <c r="Z48" s="2" t="s">
        <v>564</v>
      </c>
    </row>
    <row r="49" spans="1:26" ht="48" customHeight="1" x14ac:dyDescent="0.3">
      <c r="A49" s="3" t="s">
        <v>104</v>
      </c>
      <c r="B49" s="3" t="s">
        <v>565</v>
      </c>
      <c r="C49" s="4" t="s">
        <v>566</v>
      </c>
      <c r="D49" s="4" t="s">
        <v>566</v>
      </c>
      <c r="E49" s="3" t="s">
        <v>567</v>
      </c>
      <c r="F49" s="3" t="s">
        <v>568</v>
      </c>
      <c r="G49" s="3"/>
      <c r="H49" s="3" t="s">
        <v>184</v>
      </c>
      <c r="I49" s="3" t="s">
        <v>185</v>
      </c>
      <c r="J49" s="3" t="s">
        <v>186</v>
      </c>
      <c r="K49" s="3" t="s">
        <v>408</v>
      </c>
      <c r="L49" s="3" t="s">
        <v>223</v>
      </c>
      <c r="M49" s="3" t="s">
        <v>538</v>
      </c>
      <c r="N49" s="3" t="s">
        <v>190</v>
      </c>
      <c r="O49" s="3" t="s">
        <v>569</v>
      </c>
      <c r="P49" s="3" t="s">
        <v>129</v>
      </c>
      <c r="Q49" s="3" t="s">
        <v>129</v>
      </c>
      <c r="R49" s="3" t="s">
        <v>129</v>
      </c>
      <c r="S49" s="3" t="s">
        <v>129</v>
      </c>
      <c r="T49" s="7">
        <f t="shared" si="5"/>
        <v>100</v>
      </c>
      <c r="U49" s="7">
        <f t="shared" si="6"/>
        <v>100</v>
      </c>
      <c r="V49" s="7">
        <f t="shared" si="7"/>
        <v>100</v>
      </c>
      <c r="W49" s="7">
        <f t="shared" si="8"/>
        <v>100</v>
      </c>
      <c r="X49" s="7">
        <f t="shared" si="9"/>
        <v>100</v>
      </c>
      <c r="Y49" s="3" t="s">
        <v>192</v>
      </c>
      <c r="Z49" s="3" t="s">
        <v>570</v>
      </c>
    </row>
    <row r="50" spans="1:26" ht="48" customHeight="1" x14ac:dyDescent="0.3">
      <c r="A50" s="2" t="s">
        <v>104</v>
      </c>
      <c r="B50" s="2" t="s">
        <v>571</v>
      </c>
      <c r="C50" s="4" t="s">
        <v>572</v>
      </c>
      <c r="D50" s="4" t="s">
        <v>572</v>
      </c>
      <c r="E50" s="2" t="s">
        <v>573</v>
      </c>
      <c r="F50" s="2" t="s">
        <v>574</v>
      </c>
      <c r="G50" s="2"/>
      <c r="H50" s="2" t="s">
        <v>184</v>
      </c>
      <c r="I50" s="2" t="s">
        <v>185</v>
      </c>
      <c r="J50" s="2" t="s">
        <v>186</v>
      </c>
      <c r="K50" s="2" t="s">
        <v>415</v>
      </c>
      <c r="L50" s="2" t="s">
        <v>275</v>
      </c>
      <c r="M50" s="2" t="s">
        <v>538</v>
      </c>
      <c r="N50" s="2" t="s">
        <v>190</v>
      </c>
      <c r="O50" s="2" t="s">
        <v>575</v>
      </c>
      <c r="P50" s="2" t="s">
        <v>129</v>
      </c>
      <c r="Q50" s="2" t="s">
        <v>129</v>
      </c>
      <c r="R50" s="2" t="s">
        <v>129</v>
      </c>
      <c r="S50" s="2" t="s">
        <v>129</v>
      </c>
      <c r="T50" s="5">
        <f t="shared" si="5"/>
        <v>100</v>
      </c>
      <c r="U50" s="5">
        <f t="shared" si="6"/>
        <v>100</v>
      </c>
      <c r="V50" s="5">
        <f t="shared" si="7"/>
        <v>100</v>
      </c>
      <c r="W50" s="5">
        <f t="shared" si="8"/>
        <v>100</v>
      </c>
      <c r="X50" s="5">
        <f t="shared" si="9"/>
        <v>100</v>
      </c>
      <c r="Y50" s="2" t="s">
        <v>192</v>
      </c>
      <c r="Z50" s="2" t="s">
        <v>576</v>
      </c>
    </row>
    <row r="51" spans="1:26" ht="48" customHeight="1" x14ac:dyDescent="0.3">
      <c r="A51" s="3" t="s">
        <v>104</v>
      </c>
      <c r="B51" s="3" t="s">
        <v>577</v>
      </c>
      <c r="C51" s="4" t="s">
        <v>578</v>
      </c>
      <c r="D51" s="4" t="s">
        <v>578</v>
      </c>
      <c r="E51" s="3" t="s">
        <v>579</v>
      </c>
      <c r="F51" s="3" t="s">
        <v>580</v>
      </c>
      <c r="G51" s="3"/>
      <c r="H51" s="3" t="s">
        <v>184</v>
      </c>
      <c r="I51" s="3" t="s">
        <v>185</v>
      </c>
      <c r="J51" s="3" t="s">
        <v>186</v>
      </c>
      <c r="K51" s="3" t="s">
        <v>581</v>
      </c>
      <c r="L51" s="3" t="s">
        <v>582</v>
      </c>
      <c r="M51" s="3" t="s">
        <v>538</v>
      </c>
      <c r="N51" s="3" t="s">
        <v>190</v>
      </c>
      <c r="O51" s="3" t="s">
        <v>583</v>
      </c>
      <c r="P51" s="3" t="s">
        <v>129</v>
      </c>
      <c r="Q51" s="3" t="s">
        <v>129</v>
      </c>
      <c r="R51" s="3" t="s">
        <v>129</v>
      </c>
      <c r="S51" s="3" t="s">
        <v>129</v>
      </c>
      <c r="T51" s="7">
        <f t="shared" si="5"/>
        <v>100</v>
      </c>
      <c r="U51" s="7">
        <f t="shared" si="6"/>
        <v>100</v>
      </c>
      <c r="V51" s="7">
        <f t="shared" si="7"/>
        <v>100</v>
      </c>
      <c r="W51" s="7">
        <f t="shared" si="8"/>
        <v>100</v>
      </c>
      <c r="X51" s="7">
        <f t="shared" si="9"/>
        <v>100</v>
      </c>
      <c r="Y51" s="3" t="s">
        <v>192</v>
      </c>
      <c r="Z51" s="3" t="s">
        <v>584</v>
      </c>
    </row>
    <row r="52" spans="1:26" ht="48" customHeight="1" x14ac:dyDescent="0.3">
      <c r="A52" s="2" t="s">
        <v>110</v>
      </c>
      <c r="B52" s="2" t="s">
        <v>585</v>
      </c>
      <c r="C52" s="4" t="s">
        <v>586</v>
      </c>
      <c r="D52" s="4" t="s">
        <v>586</v>
      </c>
      <c r="E52" s="2" t="s">
        <v>587</v>
      </c>
      <c r="F52" s="2" t="s">
        <v>588</v>
      </c>
      <c r="G52" s="2"/>
      <c r="H52" s="2" t="s">
        <v>184</v>
      </c>
      <c r="I52" s="2" t="s">
        <v>185</v>
      </c>
      <c r="J52" s="2" t="s">
        <v>186</v>
      </c>
      <c r="K52" s="2" t="s">
        <v>589</v>
      </c>
      <c r="L52" s="2" t="s">
        <v>590</v>
      </c>
      <c r="M52" s="2" t="s">
        <v>591</v>
      </c>
      <c r="N52" s="2" t="s">
        <v>190</v>
      </c>
      <c r="O52" s="2" t="s">
        <v>592</v>
      </c>
      <c r="P52" s="2" t="s">
        <v>129</v>
      </c>
      <c r="Q52" s="2" t="s">
        <v>129</v>
      </c>
      <c r="R52" s="2" t="s">
        <v>129</v>
      </c>
      <c r="S52" s="2" t="s">
        <v>129</v>
      </c>
      <c r="T52" s="5">
        <f t="shared" si="5"/>
        <v>100</v>
      </c>
      <c r="U52" s="5">
        <f t="shared" si="6"/>
        <v>100</v>
      </c>
      <c r="V52" s="5">
        <f t="shared" si="7"/>
        <v>100</v>
      </c>
      <c r="W52" s="5">
        <f t="shared" si="8"/>
        <v>100</v>
      </c>
      <c r="X52" s="5">
        <f t="shared" si="9"/>
        <v>100</v>
      </c>
      <c r="Y52" s="2" t="s">
        <v>192</v>
      </c>
      <c r="Z52" s="2" t="s">
        <v>593</v>
      </c>
    </row>
    <row r="53" spans="1:26" ht="48" customHeight="1" x14ac:dyDescent="0.3">
      <c r="A53" s="3" t="s">
        <v>110</v>
      </c>
      <c r="B53" s="3" t="s">
        <v>594</v>
      </c>
      <c r="C53" s="4" t="s">
        <v>595</v>
      </c>
      <c r="D53" s="4" t="s">
        <v>595</v>
      </c>
      <c r="E53" s="3" t="s">
        <v>596</v>
      </c>
      <c r="F53" s="3" t="s">
        <v>597</v>
      </c>
      <c r="G53" s="3"/>
      <c r="H53" s="3" t="s">
        <v>184</v>
      </c>
      <c r="I53" s="3" t="s">
        <v>185</v>
      </c>
      <c r="J53" s="3" t="s">
        <v>186</v>
      </c>
      <c r="K53" s="3" t="s">
        <v>381</v>
      </c>
      <c r="L53" s="3" t="s">
        <v>598</v>
      </c>
      <c r="M53" s="3" t="s">
        <v>591</v>
      </c>
      <c r="N53" s="3" t="s">
        <v>190</v>
      </c>
      <c r="O53" s="3" t="s">
        <v>599</v>
      </c>
      <c r="P53" s="3" t="s">
        <v>129</v>
      </c>
      <c r="Q53" s="3" t="s">
        <v>132</v>
      </c>
      <c r="R53" s="3" t="s">
        <v>147</v>
      </c>
      <c r="S53" s="3" t="s">
        <v>129</v>
      </c>
      <c r="T53" s="7">
        <f t="shared" si="5"/>
        <v>65</v>
      </c>
      <c r="U53" s="7">
        <f t="shared" si="6"/>
        <v>100</v>
      </c>
      <c r="V53" s="7">
        <f t="shared" si="7"/>
        <v>65</v>
      </c>
      <c r="W53" s="7">
        <f t="shared" si="8"/>
        <v>65</v>
      </c>
      <c r="X53" s="7">
        <f t="shared" si="9"/>
        <v>65</v>
      </c>
      <c r="Y53" s="3" t="s">
        <v>600</v>
      </c>
      <c r="Z53" s="3" t="s">
        <v>601</v>
      </c>
    </row>
    <row r="54" spans="1:26" ht="48" customHeight="1" x14ac:dyDescent="0.3">
      <c r="A54" s="2" t="s">
        <v>110</v>
      </c>
      <c r="B54" s="2" t="s">
        <v>602</v>
      </c>
      <c r="C54" s="4" t="s">
        <v>603</v>
      </c>
      <c r="D54" s="4" t="s">
        <v>603</v>
      </c>
      <c r="E54" s="2" t="s">
        <v>604</v>
      </c>
      <c r="F54" s="2" t="s">
        <v>605</v>
      </c>
      <c r="G54" s="2"/>
      <c r="H54" s="2" t="s">
        <v>184</v>
      </c>
      <c r="I54" s="2" t="s">
        <v>185</v>
      </c>
      <c r="J54" s="2" t="s">
        <v>186</v>
      </c>
      <c r="K54" s="2" t="s">
        <v>390</v>
      </c>
      <c r="L54" s="2" t="s">
        <v>606</v>
      </c>
      <c r="M54" s="2" t="s">
        <v>591</v>
      </c>
      <c r="N54" s="2" t="s">
        <v>190</v>
      </c>
      <c r="O54" s="2" t="s">
        <v>607</v>
      </c>
      <c r="P54" s="2" t="s">
        <v>129</v>
      </c>
      <c r="Q54" s="2" t="s">
        <v>132</v>
      </c>
      <c r="R54" s="2" t="s">
        <v>132</v>
      </c>
      <c r="S54" s="2" t="s">
        <v>129</v>
      </c>
      <c r="T54" s="5">
        <f t="shared" si="5"/>
        <v>75</v>
      </c>
      <c r="U54" s="5">
        <f t="shared" si="6"/>
        <v>100</v>
      </c>
      <c r="V54" s="5">
        <f t="shared" si="7"/>
        <v>75</v>
      </c>
      <c r="W54" s="5">
        <f t="shared" si="8"/>
        <v>75</v>
      </c>
      <c r="X54" s="5">
        <f t="shared" si="9"/>
        <v>75</v>
      </c>
      <c r="Y54" s="2" t="s">
        <v>608</v>
      </c>
      <c r="Z54" s="2" t="s">
        <v>609</v>
      </c>
    </row>
    <row r="55" spans="1:26" ht="48" customHeight="1" x14ac:dyDescent="0.3">
      <c r="A55" s="3" t="s">
        <v>110</v>
      </c>
      <c r="B55" s="3" t="s">
        <v>610</v>
      </c>
      <c r="C55" s="4" t="s">
        <v>611</v>
      </c>
      <c r="D55" s="4" t="s">
        <v>611</v>
      </c>
      <c r="E55" s="3" t="s">
        <v>612</v>
      </c>
      <c r="F55" s="3" t="s">
        <v>613</v>
      </c>
      <c r="G55" s="3"/>
      <c r="H55" s="3" t="s">
        <v>184</v>
      </c>
      <c r="I55" s="3" t="s">
        <v>185</v>
      </c>
      <c r="J55" s="3" t="s">
        <v>186</v>
      </c>
      <c r="K55" s="3" t="s">
        <v>399</v>
      </c>
      <c r="L55" s="3" t="s">
        <v>614</v>
      </c>
      <c r="M55" s="3" t="s">
        <v>591</v>
      </c>
      <c r="N55" s="3" t="s">
        <v>190</v>
      </c>
      <c r="O55" s="3" t="s">
        <v>615</v>
      </c>
      <c r="P55" s="3" t="s">
        <v>129</v>
      </c>
      <c r="Q55" s="3" t="s">
        <v>132</v>
      </c>
      <c r="R55" s="3" t="s">
        <v>132</v>
      </c>
      <c r="S55" s="3" t="s">
        <v>129</v>
      </c>
      <c r="T55" s="7">
        <f t="shared" si="5"/>
        <v>75</v>
      </c>
      <c r="U55" s="7">
        <f t="shared" si="6"/>
        <v>100</v>
      </c>
      <c r="V55" s="7">
        <f t="shared" si="7"/>
        <v>75</v>
      </c>
      <c r="W55" s="7">
        <f t="shared" si="8"/>
        <v>75</v>
      </c>
      <c r="X55" s="7">
        <f t="shared" si="9"/>
        <v>75</v>
      </c>
      <c r="Y55" s="3" t="s">
        <v>616</v>
      </c>
      <c r="Z55" s="3" t="s">
        <v>617</v>
      </c>
    </row>
    <row r="56" spans="1:26" ht="48" customHeight="1" x14ac:dyDescent="0.3">
      <c r="A56" s="2" t="s">
        <v>110</v>
      </c>
      <c r="B56" s="2" t="s">
        <v>618</v>
      </c>
      <c r="C56" s="4" t="s">
        <v>619</v>
      </c>
      <c r="D56" s="4" t="s">
        <v>619</v>
      </c>
      <c r="E56" s="2" t="s">
        <v>620</v>
      </c>
      <c r="F56" s="2" t="s">
        <v>621</v>
      </c>
      <c r="G56" s="2"/>
      <c r="H56" s="2" t="s">
        <v>184</v>
      </c>
      <c r="I56" s="2" t="s">
        <v>185</v>
      </c>
      <c r="J56" s="2" t="s">
        <v>186</v>
      </c>
      <c r="K56" s="2" t="s">
        <v>408</v>
      </c>
      <c r="L56" s="2" t="s">
        <v>223</v>
      </c>
      <c r="M56" s="2" t="s">
        <v>591</v>
      </c>
      <c r="N56" s="2" t="s">
        <v>190</v>
      </c>
      <c r="O56" s="2" t="s">
        <v>622</v>
      </c>
      <c r="P56" s="2" t="s">
        <v>129</v>
      </c>
      <c r="Q56" s="2" t="s">
        <v>129</v>
      </c>
      <c r="R56" s="2" t="s">
        <v>129</v>
      </c>
      <c r="S56" s="2" t="s">
        <v>129</v>
      </c>
      <c r="T56" s="5">
        <f t="shared" si="5"/>
        <v>100</v>
      </c>
      <c r="U56" s="5">
        <f t="shared" si="6"/>
        <v>100</v>
      </c>
      <c r="V56" s="5">
        <f t="shared" si="7"/>
        <v>100</v>
      </c>
      <c r="W56" s="5">
        <f t="shared" si="8"/>
        <v>100</v>
      </c>
      <c r="X56" s="5">
        <f t="shared" si="9"/>
        <v>100</v>
      </c>
      <c r="Y56" s="2" t="s">
        <v>192</v>
      </c>
      <c r="Z56" s="2" t="s">
        <v>623</v>
      </c>
    </row>
    <row r="57" spans="1:26" ht="48" customHeight="1" x14ac:dyDescent="0.3">
      <c r="A57" s="3" t="s">
        <v>110</v>
      </c>
      <c r="B57" s="3" t="s">
        <v>624</v>
      </c>
      <c r="C57" s="4" t="s">
        <v>625</v>
      </c>
      <c r="D57" s="4" t="s">
        <v>625</v>
      </c>
      <c r="E57" s="3" t="s">
        <v>626</v>
      </c>
      <c r="F57" s="3" t="s">
        <v>627</v>
      </c>
      <c r="G57" s="3"/>
      <c r="H57" s="3" t="s">
        <v>184</v>
      </c>
      <c r="I57" s="3" t="s">
        <v>185</v>
      </c>
      <c r="J57" s="3" t="s">
        <v>186</v>
      </c>
      <c r="K57" s="3" t="s">
        <v>415</v>
      </c>
      <c r="L57" s="3" t="s">
        <v>275</v>
      </c>
      <c r="M57" s="3" t="s">
        <v>591</v>
      </c>
      <c r="N57" s="3" t="s">
        <v>190</v>
      </c>
      <c r="O57" s="3" t="s">
        <v>628</v>
      </c>
      <c r="P57" s="3" t="s">
        <v>129</v>
      </c>
      <c r="Q57" s="3" t="s">
        <v>129</v>
      </c>
      <c r="R57" s="3" t="s">
        <v>129</v>
      </c>
      <c r="S57" s="3" t="s">
        <v>129</v>
      </c>
      <c r="T57" s="7">
        <f t="shared" si="5"/>
        <v>100</v>
      </c>
      <c r="U57" s="7">
        <f t="shared" si="6"/>
        <v>100</v>
      </c>
      <c r="V57" s="7">
        <f t="shared" si="7"/>
        <v>100</v>
      </c>
      <c r="W57" s="7">
        <f t="shared" si="8"/>
        <v>100</v>
      </c>
      <c r="X57" s="7">
        <f t="shared" si="9"/>
        <v>100</v>
      </c>
      <c r="Y57" s="3" t="s">
        <v>192</v>
      </c>
      <c r="Z57" s="3" t="s">
        <v>629</v>
      </c>
    </row>
    <row r="58" spans="1:26" ht="48" customHeight="1" x14ac:dyDescent="0.3">
      <c r="A58" s="2" t="s">
        <v>110</v>
      </c>
      <c r="B58" s="2" t="s">
        <v>630</v>
      </c>
      <c r="C58" s="4" t="s">
        <v>631</v>
      </c>
      <c r="D58" s="4" t="s">
        <v>631</v>
      </c>
      <c r="E58" s="2" t="s">
        <v>632</v>
      </c>
      <c r="F58" s="2" t="s">
        <v>633</v>
      </c>
      <c r="G58" s="2"/>
      <c r="H58" s="2" t="s">
        <v>184</v>
      </c>
      <c r="I58" s="2" t="s">
        <v>185</v>
      </c>
      <c r="J58" s="2" t="s">
        <v>186</v>
      </c>
      <c r="K58" s="2" t="s">
        <v>634</v>
      </c>
      <c r="L58" s="2" t="s">
        <v>635</v>
      </c>
      <c r="M58" s="2" t="s">
        <v>591</v>
      </c>
      <c r="N58" s="2" t="s">
        <v>190</v>
      </c>
      <c r="O58" s="2" t="s">
        <v>636</v>
      </c>
      <c r="P58" s="2" t="s">
        <v>129</v>
      </c>
      <c r="Q58" s="2" t="s">
        <v>129</v>
      </c>
      <c r="R58" s="2" t="s">
        <v>129</v>
      </c>
      <c r="S58" s="2" t="s">
        <v>129</v>
      </c>
      <c r="T58" s="5">
        <f t="shared" si="5"/>
        <v>100</v>
      </c>
      <c r="U58" s="5">
        <f t="shared" si="6"/>
        <v>100</v>
      </c>
      <c r="V58" s="5">
        <f t="shared" si="7"/>
        <v>100</v>
      </c>
      <c r="W58" s="5">
        <f t="shared" si="8"/>
        <v>100</v>
      </c>
      <c r="X58" s="5">
        <f t="shared" si="9"/>
        <v>100</v>
      </c>
      <c r="Y58" s="2" t="s">
        <v>192</v>
      </c>
      <c r="Z58" s="2" t="s">
        <v>637</v>
      </c>
    </row>
    <row r="59" spans="1:26" ht="48" customHeight="1" x14ac:dyDescent="0.3">
      <c r="A59" s="3" t="s">
        <v>116</v>
      </c>
      <c r="B59" s="3" t="s">
        <v>638</v>
      </c>
      <c r="C59" s="4" t="s">
        <v>639</v>
      </c>
      <c r="D59" s="4" t="s">
        <v>639</v>
      </c>
      <c r="E59" s="3" t="s">
        <v>640</v>
      </c>
      <c r="F59" s="3" t="s">
        <v>641</v>
      </c>
      <c r="G59" s="3"/>
      <c r="H59" s="3" t="s">
        <v>184</v>
      </c>
      <c r="I59" s="3" t="s">
        <v>185</v>
      </c>
      <c r="J59" s="3" t="s">
        <v>186</v>
      </c>
      <c r="K59" s="3" t="s">
        <v>642</v>
      </c>
      <c r="L59" s="3" t="s">
        <v>643</v>
      </c>
      <c r="M59" s="3" t="s">
        <v>644</v>
      </c>
      <c r="N59" s="3" t="s">
        <v>190</v>
      </c>
      <c r="O59" s="3" t="s">
        <v>645</v>
      </c>
      <c r="P59" s="3" t="s">
        <v>129</v>
      </c>
      <c r="Q59" s="3" t="s">
        <v>129</v>
      </c>
      <c r="R59" s="3" t="s">
        <v>129</v>
      </c>
      <c r="S59" s="3" t="s">
        <v>129</v>
      </c>
      <c r="T59" s="7">
        <f t="shared" si="5"/>
        <v>100</v>
      </c>
      <c r="U59" s="7">
        <f t="shared" si="6"/>
        <v>100</v>
      </c>
      <c r="V59" s="7">
        <f t="shared" si="7"/>
        <v>100</v>
      </c>
      <c r="W59" s="7">
        <f t="shared" si="8"/>
        <v>100</v>
      </c>
      <c r="X59" s="7">
        <f t="shared" si="9"/>
        <v>100</v>
      </c>
      <c r="Y59" s="3" t="s">
        <v>192</v>
      </c>
      <c r="Z59" s="3" t="s">
        <v>646</v>
      </c>
    </row>
    <row r="60" spans="1:26" ht="48" customHeight="1" x14ac:dyDescent="0.3">
      <c r="A60" s="2" t="s">
        <v>116</v>
      </c>
      <c r="B60" s="2" t="s">
        <v>647</v>
      </c>
      <c r="C60" s="4" t="s">
        <v>648</v>
      </c>
      <c r="D60" s="4" t="s">
        <v>648</v>
      </c>
      <c r="E60" s="2" t="s">
        <v>649</v>
      </c>
      <c r="F60" s="2" t="s">
        <v>650</v>
      </c>
      <c r="G60" s="2"/>
      <c r="H60" s="2" t="s">
        <v>184</v>
      </c>
      <c r="I60" s="2" t="s">
        <v>185</v>
      </c>
      <c r="J60" s="2" t="s">
        <v>186</v>
      </c>
      <c r="K60" s="2" t="s">
        <v>651</v>
      </c>
      <c r="L60" s="2" t="s">
        <v>652</v>
      </c>
      <c r="M60" s="2" t="s">
        <v>644</v>
      </c>
      <c r="N60" s="2" t="s">
        <v>190</v>
      </c>
      <c r="O60" s="2" t="s">
        <v>653</v>
      </c>
      <c r="P60" s="2" t="s">
        <v>129</v>
      </c>
      <c r="Q60" s="2" t="s">
        <v>132</v>
      </c>
      <c r="R60" s="2" t="s">
        <v>147</v>
      </c>
      <c r="S60" s="2" t="s">
        <v>129</v>
      </c>
      <c r="T60" s="5">
        <f t="shared" si="5"/>
        <v>65</v>
      </c>
      <c r="U60" s="5">
        <f t="shared" si="6"/>
        <v>100</v>
      </c>
      <c r="V60" s="5">
        <f t="shared" si="7"/>
        <v>65</v>
      </c>
      <c r="W60" s="5">
        <f t="shared" si="8"/>
        <v>65</v>
      </c>
      <c r="X60" s="5">
        <f t="shared" si="9"/>
        <v>65</v>
      </c>
      <c r="Y60" s="2" t="s">
        <v>654</v>
      </c>
      <c r="Z60" s="2" t="s">
        <v>655</v>
      </c>
    </row>
    <row r="61" spans="1:26" ht="48" customHeight="1" x14ac:dyDescent="0.3">
      <c r="A61" s="3" t="s">
        <v>116</v>
      </c>
      <c r="B61" s="3" t="s">
        <v>656</v>
      </c>
      <c r="C61" s="4" t="s">
        <v>657</v>
      </c>
      <c r="D61" s="4" t="s">
        <v>657</v>
      </c>
      <c r="E61" s="3" t="s">
        <v>658</v>
      </c>
      <c r="F61" s="3" t="s">
        <v>659</v>
      </c>
      <c r="G61" s="3"/>
      <c r="H61" s="3" t="s">
        <v>184</v>
      </c>
      <c r="I61" s="3" t="s">
        <v>185</v>
      </c>
      <c r="J61" s="3" t="s">
        <v>186</v>
      </c>
      <c r="K61" s="3" t="s">
        <v>660</v>
      </c>
      <c r="L61" s="3" t="s">
        <v>661</v>
      </c>
      <c r="M61" s="3" t="s">
        <v>644</v>
      </c>
      <c r="N61" s="3" t="s">
        <v>190</v>
      </c>
      <c r="O61" s="3" t="s">
        <v>662</v>
      </c>
      <c r="P61" s="3" t="s">
        <v>129</v>
      </c>
      <c r="Q61" s="3" t="s">
        <v>147</v>
      </c>
      <c r="R61" s="3" t="s">
        <v>147</v>
      </c>
      <c r="S61" s="3" t="s">
        <v>129</v>
      </c>
      <c r="T61" s="7">
        <f t="shared" si="5"/>
        <v>50</v>
      </c>
      <c r="U61" s="7">
        <f t="shared" si="6"/>
        <v>100</v>
      </c>
      <c r="V61" s="7">
        <f t="shared" si="7"/>
        <v>50</v>
      </c>
      <c r="W61" s="7">
        <f t="shared" si="8"/>
        <v>50</v>
      </c>
      <c r="X61" s="7">
        <f t="shared" si="9"/>
        <v>50</v>
      </c>
      <c r="Y61" s="3" t="s">
        <v>663</v>
      </c>
      <c r="Z61" s="3" t="s">
        <v>664</v>
      </c>
    </row>
    <row r="62" spans="1:26" ht="48" customHeight="1" x14ac:dyDescent="0.3">
      <c r="A62" s="2" t="s">
        <v>116</v>
      </c>
      <c r="B62" s="2" t="s">
        <v>665</v>
      </c>
      <c r="C62" s="4" t="s">
        <v>666</v>
      </c>
      <c r="D62" s="4" t="s">
        <v>666</v>
      </c>
      <c r="E62" s="2" t="s">
        <v>667</v>
      </c>
      <c r="F62" s="2" t="s">
        <v>668</v>
      </c>
      <c r="G62" s="2"/>
      <c r="H62" s="2" t="s">
        <v>184</v>
      </c>
      <c r="I62" s="2" t="s">
        <v>185</v>
      </c>
      <c r="J62" s="2" t="s">
        <v>186</v>
      </c>
      <c r="K62" s="2" t="s">
        <v>669</v>
      </c>
      <c r="L62" s="2" t="s">
        <v>670</v>
      </c>
      <c r="M62" s="2" t="s">
        <v>644</v>
      </c>
      <c r="N62" s="2" t="s">
        <v>190</v>
      </c>
      <c r="O62" s="2" t="s">
        <v>671</v>
      </c>
      <c r="P62" s="2" t="s">
        <v>129</v>
      </c>
      <c r="Q62" s="2" t="s">
        <v>147</v>
      </c>
      <c r="R62" s="2" t="s">
        <v>147</v>
      </c>
      <c r="S62" s="2" t="s">
        <v>129</v>
      </c>
      <c r="T62" s="5">
        <f t="shared" si="5"/>
        <v>50</v>
      </c>
      <c r="U62" s="5">
        <f t="shared" si="6"/>
        <v>100</v>
      </c>
      <c r="V62" s="5">
        <f t="shared" si="7"/>
        <v>50</v>
      </c>
      <c r="W62" s="5">
        <f t="shared" si="8"/>
        <v>50</v>
      </c>
      <c r="X62" s="5">
        <f t="shared" si="9"/>
        <v>50</v>
      </c>
      <c r="Y62" s="2" t="s">
        <v>672</v>
      </c>
      <c r="Z62" s="2" t="s">
        <v>673</v>
      </c>
    </row>
    <row r="63" spans="1:26" ht="48" customHeight="1" x14ac:dyDescent="0.3">
      <c r="A63" s="3" t="s">
        <v>116</v>
      </c>
      <c r="B63" s="3" t="s">
        <v>674</v>
      </c>
      <c r="C63" s="4" t="s">
        <v>675</v>
      </c>
      <c r="D63" s="4" t="s">
        <v>675</v>
      </c>
      <c r="E63" s="3" t="s">
        <v>676</v>
      </c>
      <c r="F63" s="3" t="s">
        <v>677</v>
      </c>
      <c r="G63" s="3"/>
      <c r="H63" s="3" t="s">
        <v>184</v>
      </c>
      <c r="I63" s="3" t="s">
        <v>185</v>
      </c>
      <c r="J63" s="3" t="s">
        <v>186</v>
      </c>
      <c r="K63" s="3" t="s">
        <v>678</v>
      </c>
      <c r="L63" s="3" t="s">
        <v>223</v>
      </c>
      <c r="M63" s="3" t="s">
        <v>644</v>
      </c>
      <c r="N63" s="3" t="s">
        <v>190</v>
      </c>
      <c r="O63" s="3" t="s">
        <v>679</v>
      </c>
      <c r="P63" s="3" t="s">
        <v>129</v>
      </c>
      <c r="Q63" s="3" t="s">
        <v>147</v>
      </c>
      <c r="R63" s="3" t="s">
        <v>147</v>
      </c>
      <c r="S63" s="3" t="s">
        <v>129</v>
      </c>
      <c r="T63" s="7">
        <f t="shared" si="5"/>
        <v>50</v>
      </c>
      <c r="U63" s="7">
        <f t="shared" si="6"/>
        <v>100</v>
      </c>
      <c r="V63" s="7">
        <f t="shared" si="7"/>
        <v>50</v>
      </c>
      <c r="W63" s="7">
        <f t="shared" si="8"/>
        <v>50</v>
      </c>
      <c r="X63" s="7">
        <f t="shared" si="9"/>
        <v>50</v>
      </c>
      <c r="Y63" s="3" t="s">
        <v>680</v>
      </c>
      <c r="Z63" s="3" t="s">
        <v>681</v>
      </c>
    </row>
    <row r="64" spans="1:26" ht="48" customHeight="1" x14ac:dyDescent="0.3">
      <c r="A64" s="2" t="s">
        <v>116</v>
      </c>
      <c r="B64" s="2" t="s">
        <v>682</v>
      </c>
      <c r="C64" s="4" t="s">
        <v>683</v>
      </c>
      <c r="D64" s="4" t="s">
        <v>683</v>
      </c>
      <c r="E64" s="2" t="s">
        <v>684</v>
      </c>
      <c r="F64" s="2" t="s">
        <v>685</v>
      </c>
      <c r="G64" s="2"/>
      <c r="H64" s="2" t="s">
        <v>184</v>
      </c>
      <c r="I64" s="2" t="s">
        <v>185</v>
      </c>
      <c r="J64" s="2" t="s">
        <v>186</v>
      </c>
      <c r="K64" s="2" t="s">
        <v>686</v>
      </c>
      <c r="L64" s="2" t="s">
        <v>275</v>
      </c>
      <c r="M64" s="2" t="s">
        <v>644</v>
      </c>
      <c r="N64" s="2" t="s">
        <v>190</v>
      </c>
      <c r="O64" s="2" t="s">
        <v>687</v>
      </c>
      <c r="P64" s="2" t="s">
        <v>129</v>
      </c>
      <c r="Q64" s="2" t="s">
        <v>129</v>
      </c>
      <c r="R64" s="2" t="s">
        <v>132</v>
      </c>
      <c r="S64" s="2" t="s">
        <v>129</v>
      </c>
      <c r="T64" s="5">
        <f t="shared" si="5"/>
        <v>90</v>
      </c>
      <c r="U64" s="5">
        <f t="shared" si="6"/>
        <v>100</v>
      </c>
      <c r="V64" s="5">
        <f t="shared" si="7"/>
        <v>90</v>
      </c>
      <c r="W64" s="5">
        <f t="shared" si="8"/>
        <v>90</v>
      </c>
      <c r="X64" s="5">
        <f t="shared" si="9"/>
        <v>90</v>
      </c>
      <c r="Y64" s="2" t="s">
        <v>688</v>
      </c>
      <c r="Z64" s="2" t="s">
        <v>689</v>
      </c>
    </row>
    <row r="65" spans="1:26" ht="48" customHeight="1" x14ac:dyDescent="0.3">
      <c r="A65" s="3" t="s">
        <v>116</v>
      </c>
      <c r="B65" s="3" t="s">
        <v>690</v>
      </c>
      <c r="C65" s="4" t="s">
        <v>691</v>
      </c>
      <c r="D65" s="4" t="s">
        <v>691</v>
      </c>
      <c r="E65" s="3" t="s">
        <v>692</v>
      </c>
      <c r="F65" s="3" t="s">
        <v>693</v>
      </c>
      <c r="G65" s="3"/>
      <c r="H65" s="3" t="s">
        <v>184</v>
      </c>
      <c r="I65" s="3" t="s">
        <v>185</v>
      </c>
      <c r="J65" s="3" t="s">
        <v>186</v>
      </c>
      <c r="K65" s="3" t="s">
        <v>694</v>
      </c>
      <c r="L65" s="3" t="s">
        <v>695</v>
      </c>
      <c r="M65" s="3" t="s">
        <v>644</v>
      </c>
      <c r="N65" s="3" t="s">
        <v>190</v>
      </c>
      <c r="O65" s="3" t="s">
        <v>696</v>
      </c>
      <c r="P65" s="3" t="s">
        <v>129</v>
      </c>
      <c r="Q65" s="3" t="s">
        <v>147</v>
      </c>
      <c r="R65" s="3" t="s">
        <v>147</v>
      </c>
      <c r="S65" s="3" t="s">
        <v>129</v>
      </c>
      <c r="T65" s="7">
        <f t="shared" si="5"/>
        <v>50</v>
      </c>
      <c r="U65" s="7">
        <f t="shared" si="6"/>
        <v>100</v>
      </c>
      <c r="V65" s="7">
        <f t="shared" si="7"/>
        <v>50</v>
      </c>
      <c r="W65" s="7">
        <f t="shared" si="8"/>
        <v>50</v>
      </c>
      <c r="X65" s="7">
        <f t="shared" si="9"/>
        <v>50</v>
      </c>
      <c r="Y65" s="3" t="s">
        <v>697</v>
      </c>
      <c r="Z65" s="3" t="s">
        <v>698</v>
      </c>
    </row>
    <row r="66" spans="1:26" ht="48" customHeight="1" x14ac:dyDescent="0.3">
      <c r="A66" s="2" t="s">
        <v>116</v>
      </c>
      <c r="B66" s="2" t="s">
        <v>699</v>
      </c>
      <c r="C66" s="4" t="s">
        <v>700</v>
      </c>
      <c r="D66" s="4" t="s">
        <v>700</v>
      </c>
      <c r="E66" s="2" t="s">
        <v>701</v>
      </c>
      <c r="F66" s="2" t="s">
        <v>702</v>
      </c>
      <c r="G66" s="2"/>
      <c r="H66" s="2" t="s">
        <v>184</v>
      </c>
      <c r="I66" s="2" t="s">
        <v>185</v>
      </c>
      <c r="J66" s="2" t="s">
        <v>186</v>
      </c>
      <c r="K66" s="2" t="s">
        <v>703</v>
      </c>
      <c r="L66" s="2" t="s">
        <v>704</v>
      </c>
      <c r="M66" s="2" t="s">
        <v>644</v>
      </c>
      <c r="N66" s="2" t="s">
        <v>190</v>
      </c>
      <c r="O66" s="2" t="s">
        <v>705</v>
      </c>
      <c r="P66" s="2" t="s">
        <v>129</v>
      </c>
      <c r="Q66" s="2" t="s">
        <v>132</v>
      </c>
      <c r="R66" s="2" t="s">
        <v>132</v>
      </c>
      <c r="S66" s="2" t="s">
        <v>129</v>
      </c>
      <c r="T66" s="5">
        <f t="shared" ref="T66:T97" si="10">IF(P66="FULL",40,IF(P66="PARTIAL",40/2,0))+IF(Q66="FULL",30,IF(Q66="PARTIAL",30/2,0))+IF(R66="FULL",20,IF(R66="PARTIAL",20/2,0))+IF(S66="FULL",10,IF(S66="PARTIAL",10/2,0))</f>
        <v>75</v>
      </c>
      <c r="U66" s="5">
        <f t="shared" si="6"/>
        <v>100</v>
      </c>
      <c r="V66" s="5">
        <f t="shared" ref="V66:V97" si="11">IF(U66=100,T66,"")</f>
        <v>75</v>
      </c>
      <c r="W66" s="5">
        <f t="shared" si="8"/>
        <v>75</v>
      </c>
      <c r="X66" s="5">
        <f t="shared" si="9"/>
        <v>75</v>
      </c>
      <c r="Y66" s="2" t="s">
        <v>706</v>
      </c>
      <c r="Z66" s="2" t="s">
        <v>707</v>
      </c>
    </row>
  </sheetData>
  <autoFilter ref="A1:Z66" xr:uid="{00000000-0009-0000-0000-000003000000}"/>
  <hyperlinks>
    <hyperlink ref="C2" r:id="rId1" xr:uid="{00000000-0004-0000-0300-000000000000}"/>
    <hyperlink ref="D2" r:id="rId2" xr:uid="{00000000-0004-0000-0300-000001000000}"/>
    <hyperlink ref="C3" r:id="rId3" xr:uid="{00000000-0004-0000-0300-000002000000}"/>
    <hyperlink ref="D3" r:id="rId4" xr:uid="{00000000-0004-0000-0300-000003000000}"/>
    <hyperlink ref="C4" r:id="rId5" xr:uid="{00000000-0004-0000-0300-000004000000}"/>
    <hyperlink ref="D4" r:id="rId6" xr:uid="{00000000-0004-0000-0300-000005000000}"/>
    <hyperlink ref="C5" r:id="rId7" xr:uid="{00000000-0004-0000-0300-000006000000}"/>
    <hyperlink ref="D5" r:id="rId8" xr:uid="{00000000-0004-0000-0300-000007000000}"/>
    <hyperlink ref="C6" r:id="rId9" xr:uid="{00000000-0004-0000-0300-000008000000}"/>
    <hyperlink ref="D6" r:id="rId10" xr:uid="{00000000-0004-0000-0300-000009000000}"/>
    <hyperlink ref="C7" r:id="rId11" xr:uid="{00000000-0004-0000-0300-00000A000000}"/>
    <hyperlink ref="D7" r:id="rId12" xr:uid="{00000000-0004-0000-0300-00000B000000}"/>
    <hyperlink ref="C8" r:id="rId13" xr:uid="{00000000-0004-0000-0300-00000C000000}"/>
    <hyperlink ref="D8" r:id="rId14" xr:uid="{00000000-0004-0000-0300-00000D000000}"/>
    <hyperlink ref="C9" r:id="rId15" xr:uid="{00000000-0004-0000-0300-00000E000000}"/>
    <hyperlink ref="D9" r:id="rId16" xr:uid="{00000000-0004-0000-0300-00000F000000}"/>
    <hyperlink ref="C10" r:id="rId17" xr:uid="{00000000-0004-0000-0300-000010000000}"/>
    <hyperlink ref="D10" r:id="rId18" xr:uid="{00000000-0004-0000-0300-000011000000}"/>
    <hyperlink ref="C11" r:id="rId19" xr:uid="{00000000-0004-0000-0300-000012000000}"/>
    <hyperlink ref="D11" r:id="rId20" xr:uid="{00000000-0004-0000-0300-000013000000}"/>
    <hyperlink ref="C12" r:id="rId21" xr:uid="{00000000-0004-0000-0300-000014000000}"/>
    <hyperlink ref="D12" r:id="rId22" xr:uid="{00000000-0004-0000-0300-000015000000}"/>
    <hyperlink ref="C13" r:id="rId23" xr:uid="{00000000-0004-0000-0300-000016000000}"/>
    <hyperlink ref="D13" r:id="rId24" xr:uid="{00000000-0004-0000-0300-000017000000}"/>
    <hyperlink ref="C14" r:id="rId25" xr:uid="{00000000-0004-0000-0300-000018000000}"/>
    <hyperlink ref="D14" r:id="rId26" xr:uid="{00000000-0004-0000-0300-000019000000}"/>
    <hyperlink ref="C15" r:id="rId27" xr:uid="{00000000-0004-0000-0300-00001A000000}"/>
    <hyperlink ref="D15" r:id="rId28" xr:uid="{00000000-0004-0000-0300-00001B000000}"/>
    <hyperlink ref="C16" r:id="rId29" xr:uid="{00000000-0004-0000-0300-00001C000000}"/>
    <hyperlink ref="D16" r:id="rId30" xr:uid="{00000000-0004-0000-0300-00001D000000}"/>
    <hyperlink ref="C17" r:id="rId31" xr:uid="{00000000-0004-0000-0300-00001E000000}"/>
    <hyperlink ref="D17" r:id="rId32" xr:uid="{00000000-0004-0000-0300-00001F000000}"/>
    <hyperlink ref="C18" r:id="rId33" xr:uid="{00000000-0004-0000-0300-000020000000}"/>
    <hyperlink ref="D18" r:id="rId34" xr:uid="{00000000-0004-0000-0300-000021000000}"/>
    <hyperlink ref="C19" r:id="rId35" xr:uid="{00000000-0004-0000-0300-000022000000}"/>
    <hyperlink ref="D19" r:id="rId36" xr:uid="{00000000-0004-0000-0300-000023000000}"/>
    <hyperlink ref="C20" r:id="rId37" xr:uid="{00000000-0004-0000-0300-000024000000}"/>
    <hyperlink ref="D20" r:id="rId38" xr:uid="{00000000-0004-0000-0300-000025000000}"/>
    <hyperlink ref="C21" r:id="rId39" xr:uid="{00000000-0004-0000-0300-000026000000}"/>
    <hyperlink ref="D21" r:id="rId40" xr:uid="{00000000-0004-0000-0300-000027000000}"/>
    <hyperlink ref="C22" r:id="rId41" xr:uid="{00000000-0004-0000-0300-000028000000}"/>
    <hyperlink ref="D22" r:id="rId42" xr:uid="{00000000-0004-0000-0300-000029000000}"/>
    <hyperlink ref="C23" r:id="rId43" xr:uid="{00000000-0004-0000-0300-00002A000000}"/>
    <hyperlink ref="D23" r:id="rId44" xr:uid="{00000000-0004-0000-0300-00002B000000}"/>
    <hyperlink ref="C24" r:id="rId45" xr:uid="{00000000-0004-0000-0300-00002C000000}"/>
    <hyperlink ref="D24" r:id="rId46" xr:uid="{00000000-0004-0000-0300-00002D000000}"/>
    <hyperlink ref="C25" r:id="rId47" xr:uid="{00000000-0004-0000-0300-00002E000000}"/>
    <hyperlink ref="D25" r:id="rId48" xr:uid="{00000000-0004-0000-0300-00002F000000}"/>
    <hyperlink ref="C26" r:id="rId49" xr:uid="{00000000-0004-0000-0300-000030000000}"/>
    <hyperlink ref="D26" r:id="rId50" xr:uid="{00000000-0004-0000-0300-000031000000}"/>
    <hyperlink ref="C27" r:id="rId51" xr:uid="{00000000-0004-0000-0300-000032000000}"/>
    <hyperlink ref="D27" r:id="rId52" xr:uid="{00000000-0004-0000-0300-000033000000}"/>
    <hyperlink ref="C28" r:id="rId53" xr:uid="{00000000-0004-0000-0300-000034000000}"/>
    <hyperlink ref="D28" r:id="rId54" xr:uid="{00000000-0004-0000-0300-000035000000}"/>
    <hyperlink ref="C29" r:id="rId55" xr:uid="{00000000-0004-0000-0300-000036000000}"/>
    <hyperlink ref="D29" r:id="rId56" xr:uid="{00000000-0004-0000-0300-000037000000}"/>
    <hyperlink ref="C30" r:id="rId57" xr:uid="{00000000-0004-0000-0300-000038000000}"/>
    <hyperlink ref="D30" r:id="rId58" xr:uid="{00000000-0004-0000-0300-000039000000}"/>
    <hyperlink ref="C31" r:id="rId59" xr:uid="{00000000-0004-0000-0300-00003A000000}"/>
    <hyperlink ref="D31" r:id="rId60" xr:uid="{00000000-0004-0000-0300-00003B000000}"/>
    <hyperlink ref="C32" r:id="rId61" xr:uid="{00000000-0004-0000-0300-00003C000000}"/>
    <hyperlink ref="D32" r:id="rId62" xr:uid="{00000000-0004-0000-0300-00003D000000}"/>
    <hyperlink ref="C33" r:id="rId63" xr:uid="{00000000-0004-0000-0300-00003E000000}"/>
    <hyperlink ref="D33" r:id="rId64" xr:uid="{00000000-0004-0000-0300-00003F000000}"/>
    <hyperlink ref="C34" r:id="rId65" xr:uid="{00000000-0004-0000-0300-000040000000}"/>
    <hyperlink ref="D34" r:id="rId66" xr:uid="{00000000-0004-0000-0300-000041000000}"/>
    <hyperlink ref="C35" r:id="rId67" xr:uid="{00000000-0004-0000-0300-000042000000}"/>
    <hyperlink ref="D35" r:id="rId68" xr:uid="{00000000-0004-0000-0300-000043000000}"/>
    <hyperlink ref="C36" r:id="rId69" xr:uid="{00000000-0004-0000-0300-000044000000}"/>
    <hyperlink ref="D36" r:id="rId70" xr:uid="{00000000-0004-0000-0300-000045000000}"/>
    <hyperlink ref="C37" r:id="rId71" xr:uid="{00000000-0004-0000-0300-000046000000}"/>
    <hyperlink ref="D37" r:id="rId72" xr:uid="{00000000-0004-0000-0300-000047000000}"/>
    <hyperlink ref="C38" r:id="rId73" xr:uid="{00000000-0004-0000-0300-000048000000}"/>
    <hyperlink ref="D38" r:id="rId74" xr:uid="{00000000-0004-0000-0300-000049000000}"/>
    <hyperlink ref="C39" r:id="rId75" xr:uid="{00000000-0004-0000-0300-00004A000000}"/>
    <hyperlink ref="D39" r:id="rId76" xr:uid="{00000000-0004-0000-0300-00004B000000}"/>
    <hyperlink ref="C40" r:id="rId77" xr:uid="{00000000-0004-0000-0300-00004C000000}"/>
    <hyperlink ref="D40" r:id="rId78" xr:uid="{00000000-0004-0000-0300-00004D000000}"/>
    <hyperlink ref="C41" r:id="rId79" xr:uid="{00000000-0004-0000-0300-00004E000000}"/>
    <hyperlink ref="D41" r:id="rId80" xr:uid="{00000000-0004-0000-0300-00004F000000}"/>
    <hyperlink ref="C42" r:id="rId81" xr:uid="{00000000-0004-0000-0300-000050000000}"/>
    <hyperlink ref="D42" r:id="rId82" xr:uid="{00000000-0004-0000-0300-000051000000}"/>
    <hyperlink ref="C43" r:id="rId83" xr:uid="{00000000-0004-0000-0300-000052000000}"/>
    <hyperlink ref="D43" r:id="rId84" xr:uid="{00000000-0004-0000-0300-000053000000}"/>
    <hyperlink ref="C44" r:id="rId85" xr:uid="{00000000-0004-0000-0300-000054000000}"/>
    <hyperlink ref="D44" r:id="rId86" xr:uid="{00000000-0004-0000-0300-000055000000}"/>
    <hyperlink ref="C45" r:id="rId87" xr:uid="{00000000-0004-0000-0300-000056000000}"/>
    <hyperlink ref="D45" r:id="rId88" xr:uid="{00000000-0004-0000-0300-000057000000}"/>
    <hyperlink ref="C46" r:id="rId89" xr:uid="{00000000-0004-0000-0300-000058000000}"/>
    <hyperlink ref="D46" r:id="rId90" xr:uid="{00000000-0004-0000-0300-000059000000}"/>
    <hyperlink ref="C47" r:id="rId91" xr:uid="{00000000-0004-0000-0300-00005A000000}"/>
    <hyperlink ref="D47" r:id="rId92" xr:uid="{00000000-0004-0000-0300-00005B000000}"/>
    <hyperlink ref="C48" r:id="rId93" xr:uid="{00000000-0004-0000-0300-00005C000000}"/>
    <hyperlink ref="D48" r:id="rId94" xr:uid="{00000000-0004-0000-0300-00005D000000}"/>
    <hyperlink ref="C49" r:id="rId95" xr:uid="{00000000-0004-0000-0300-00005E000000}"/>
    <hyperlink ref="D49" r:id="rId96" xr:uid="{00000000-0004-0000-0300-00005F000000}"/>
    <hyperlink ref="C50" r:id="rId97" xr:uid="{00000000-0004-0000-0300-000060000000}"/>
    <hyperlink ref="D50" r:id="rId98" xr:uid="{00000000-0004-0000-0300-000061000000}"/>
    <hyperlink ref="C51" r:id="rId99" xr:uid="{00000000-0004-0000-0300-000062000000}"/>
    <hyperlink ref="D51" r:id="rId100" xr:uid="{00000000-0004-0000-0300-000063000000}"/>
    <hyperlink ref="C52" r:id="rId101" xr:uid="{00000000-0004-0000-0300-000064000000}"/>
    <hyperlink ref="D52" r:id="rId102" xr:uid="{00000000-0004-0000-0300-000065000000}"/>
    <hyperlink ref="C53" r:id="rId103" xr:uid="{00000000-0004-0000-0300-000066000000}"/>
    <hyperlink ref="D53" r:id="rId104" xr:uid="{00000000-0004-0000-0300-000067000000}"/>
    <hyperlink ref="C54" r:id="rId105" xr:uid="{00000000-0004-0000-0300-000068000000}"/>
    <hyperlink ref="D54" r:id="rId106" xr:uid="{00000000-0004-0000-0300-000069000000}"/>
    <hyperlink ref="C55" r:id="rId107" xr:uid="{00000000-0004-0000-0300-00006A000000}"/>
    <hyperlink ref="D55" r:id="rId108" xr:uid="{00000000-0004-0000-0300-00006B000000}"/>
    <hyperlink ref="C56" r:id="rId109" xr:uid="{00000000-0004-0000-0300-00006C000000}"/>
    <hyperlink ref="D56" r:id="rId110" xr:uid="{00000000-0004-0000-0300-00006D000000}"/>
    <hyperlink ref="C57" r:id="rId111" xr:uid="{00000000-0004-0000-0300-00006E000000}"/>
    <hyperlink ref="D57" r:id="rId112" xr:uid="{00000000-0004-0000-0300-00006F000000}"/>
    <hyperlink ref="C58" r:id="rId113" xr:uid="{00000000-0004-0000-0300-000070000000}"/>
    <hyperlink ref="D58" r:id="rId114" xr:uid="{00000000-0004-0000-0300-000071000000}"/>
    <hyperlink ref="C59" r:id="rId115" xr:uid="{00000000-0004-0000-0300-000072000000}"/>
    <hyperlink ref="D59" r:id="rId116" xr:uid="{00000000-0004-0000-0300-000073000000}"/>
    <hyperlink ref="C60" r:id="rId117" xr:uid="{00000000-0004-0000-0300-000074000000}"/>
    <hyperlink ref="D60" r:id="rId118" xr:uid="{00000000-0004-0000-0300-000075000000}"/>
    <hyperlink ref="C61" r:id="rId119" xr:uid="{00000000-0004-0000-0300-000076000000}"/>
    <hyperlink ref="D61" r:id="rId120" xr:uid="{00000000-0004-0000-0300-000077000000}"/>
    <hyperlink ref="C62" r:id="rId121" xr:uid="{00000000-0004-0000-0300-000078000000}"/>
    <hyperlink ref="D62" r:id="rId122" xr:uid="{00000000-0004-0000-0300-000079000000}"/>
    <hyperlink ref="C63" r:id="rId123" xr:uid="{00000000-0004-0000-0300-00007A000000}"/>
    <hyperlink ref="D63" r:id="rId124" xr:uid="{00000000-0004-0000-0300-00007B000000}"/>
    <hyperlink ref="C64" r:id="rId125" xr:uid="{00000000-0004-0000-0300-00007C000000}"/>
    <hyperlink ref="D64" r:id="rId126" xr:uid="{00000000-0004-0000-0300-00007D000000}"/>
    <hyperlink ref="C65" r:id="rId127" xr:uid="{00000000-0004-0000-0300-00007E000000}"/>
    <hyperlink ref="D65" r:id="rId128" xr:uid="{00000000-0004-0000-0300-00007F000000}"/>
    <hyperlink ref="C66" r:id="rId129" xr:uid="{00000000-0004-0000-0300-000080000000}"/>
    <hyperlink ref="D66" r:id="rId130" xr:uid="{00000000-0004-0000-0300-000081000000}"/>
  </hyperlinks>
  <pageMargins left="0.25" right="0.25" top="0.5" bottom="0.5" header="0.5" footer="0.5"/>
  <pageSetup fitToWidth="3"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52"/>
  <sheetViews>
    <sheetView showGridLines="0" workbookViewId="0">
      <pane ySplit="1" topLeftCell="A2" activePane="bottomLeft" state="frozen"/>
      <selection pane="bottomLeft"/>
    </sheetView>
  </sheetViews>
  <sheetFormatPr defaultRowHeight="14.4" x14ac:dyDescent="0.3"/>
  <cols>
    <col min="1" max="1" width="18" customWidth="1"/>
    <col min="2" max="2" width="42" customWidth="1"/>
    <col min="3" max="4" width="20" customWidth="1"/>
    <col min="5" max="5" width="24" customWidth="1"/>
    <col min="6" max="11" width="42" customWidth="1"/>
  </cols>
  <sheetData>
    <row r="1" spans="1:11" ht="31.95" customHeight="1" x14ac:dyDescent="0.3">
      <c r="A1" s="1" t="s">
        <v>708</v>
      </c>
      <c r="B1" s="1" t="s">
        <v>38</v>
      </c>
      <c r="C1" s="1" t="s">
        <v>157</v>
      </c>
      <c r="D1" s="1" t="s">
        <v>709</v>
      </c>
      <c r="E1" s="1" t="s">
        <v>710</v>
      </c>
      <c r="F1" s="1" t="s">
        <v>711</v>
      </c>
      <c r="G1" s="1" t="s">
        <v>712</v>
      </c>
      <c r="H1" s="1" t="s">
        <v>127</v>
      </c>
      <c r="I1" s="1" t="s">
        <v>713</v>
      </c>
      <c r="J1" s="1" t="s">
        <v>714</v>
      </c>
      <c r="K1" s="1" t="s">
        <v>715</v>
      </c>
    </row>
    <row r="2" spans="1:11" ht="48" customHeight="1" x14ac:dyDescent="0.3">
      <c r="A2" s="2" t="s">
        <v>716</v>
      </c>
      <c r="B2" s="2" t="s">
        <v>59</v>
      </c>
      <c r="C2" s="2" t="s">
        <v>218</v>
      </c>
      <c r="D2" s="2" t="s">
        <v>717</v>
      </c>
      <c r="E2" s="2" t="s">
        <v>718</v>
      </c>
      <c r="F2" s="2" t="s">
        <v>719</v>
      </c>
      <c r="G2" s="2" t="s">
        <v>222</v>
      </c>
      <c r="H2" s="2" t="s">
        <v>720</v>
      </c>
      <c r="I2" s="2" t="s">
        <v>721</v>
      </c>
      <c r="J2" s="2" t="s">
        <v>722</v>
      </c>
      <c r="K2" s="2" t="s">
        <v>723</v>
      </c>
    </row>
    <row r="3" spans="1:11" ht="48" customHeight="1" x14ac:dyDescent="0.3">
      <c r="A3" s="3" t="s">
        <v>724</v>
      </c>
      <c r="B3" s="3" t="s">
        <v>67</v>
      </c>
      <c r="C3" s="3" t="s">
        <v>236</v>
      </c>
      <c r="D3" s="3" t="s">
        <v>725</v>
      </c>
      <c r="E3" s="3" t="s">
        <v>718</v>
      </c>
      <c r="F3" s="3" t="s">
        <v>726</v>
      </c>
      <c r="G3" s="3" t="s">
        <v>240</v>
      </c>
      <c r="H3" s="3" t="s">
        <v>720</v>
      </c>
      <c r="I3" s="3" t="s">
        <v>727</v>
      </c>
      <c r="J3" s="3" t="s">
        <v>728</v>
      </c>
      <c r="K3" s="3" t="s">
        <v>723</v>
      </c>
    </row>
    <row r="4" spans="1:11" ht="48" customHeight="1" x14ac:dyDescent="0.3">
      <c r="A4" s="2" t="s">
        <v>729</v>
      </c>
      <c r="B4" s="2" t="s">
        <v>67</v>
      </c>
      <c r="C4" s="2" t="s">
        <v>253</v>
      </c>
      <c r="D4" s="2" t="s">
        <v>725</v>
      </c>
      <c r="E4" s="2" t="s">
        <v>718</v>
      </c>
      <c r="F4" s="2" t="s">
        <v>730</v>
      </c>
      <c r="G4" s="2" t="s">
        <v>257</v>
      </c>
      <c r="H4" s="2" t="s">
        <v>720</v>
      </c>
      <c r="I4" s="2" t="s">
        <v>731</v>
      </c>
      <c r="J4" s="2" t="s">
        <v>732</v>
      </c>
      <c r="K4" s="2" t="s">
        <v>723</v>
      </c>
    </row>
    <row r="5" spans="1:11" ht="48" customHeight="1" x14ac:dyDescent="0.3">
      <c r="A5" s="3" t="s">
        <v>733</v>
      </c>
      <c r="B5" s="3" t="s">
        <v>67</v>
      </c>
      <c r="C5" s="3" t="s">
        <v>262</v>
      </c>
      <c r="D5" s="3" t="s">
        <v>725</v>
      </c>
      <c r="E5" s="3" t="s">
        <v>718</v>
      </c>
      <c r="F5" s="3" t="s">
        <v>734</v>
      </c>
      <c r="G5" s="3" t="s">
        <v>266</v>
      </c>
      <c r="H5" s="3" t="s">
        <v>720</v>
      </c>
      <c r="I5" s="3" t="s">
        <v>735</v>
      </c>
      <c r="J5" s="3" t="s">
        <v>736</v>
      </c>
      <c r="K5" s="3" t="s">
        <v>723</v>
      </c>
    </row>
    <row r="6" spans="1:11" ht="48" customHeight="1" x14ac:dyDescent="0.3">
      <c r="A6" s="2" t="s">
        <v>737</v>
      </c>
      <c r="B6" s="2" t="s">
        <v>67</v>
      </c>
      <c r="C6" s="2" t="s">
        <v>278</v>
      </c>
      <c r="D6" s="2" t="s">
        <v>725</v>
      </c>
      <c r="E6" s="2" t="s">
        <v>718</v>
      </c>
      <c r="F6" s="2" t="s">
        <v>738</v>
      </c>
      <c r="G6" s="2" t="s">
        <v>282</v>
      </c>
      <c r="H6" s="2" t="s">
        <v>720</v>
      </c>
      <c r="I6" s="2" t="s">
        <v>739</v>
      </c>
      <c r="J6" s="2" t="s">
        <v>740</v>
      </c>
      <c r="K6" s="2" t="s">
        <v>723</v>
      </c>
    </row>
    <row r="7" spans="1:11" ht="48" customHeight="1" x14ac:dyDescent="0.3">
      <c r="A7" s="3" t="s">
        <v>741</v>
      </c>
      <c r="B7" s="3" t="s">
        <v>74</v>
      </c>
      <c r="C7" s="3" t="s">
        <v>320</v>
      </c>
      <c r="D7" s="3" t="s">
        <v>717</v>
      </c>
      <c r="E7" s="3" t="s">
        <v>718</v>
      </c>
      <c r="F7" s="3" t="s">
        <v>742</v>
      </c>
      <c r="G7" s="3" t="s">
        <v>324</v>
      </c>
      <c r="H7" s="3" t="s">
        <v>720</v>
      </c>
      <c r="I7" s="3" t="s">
        <v>743</v>
      </c>
      <c r="J7" s="3" t="s">
        <v>744</v>
      </c>
      <c r="K7" s="3" t="s">
        <v>723</v>
      </c>
    </row>
    <row r="8" spans="1:11" ht="48" customHeight="1" x14ac:dyDescent="0.3">
      <c r="A8" s="2" t="s">
        <v>745</v>
      </c>
      <c r="B8" s="2" t="s">
        <v>80</v>
      </c>
      <c r="C8" s="2" t="s">
        <v>361</v>
      </c>
      <c r="D8" s="2" t="s">
        <v>717</v>
      </c>
      <c r="E8" s="2" t="s">
        <v>718</v>
      </c>
      <c r="F8" s="2" t="s">
        <v>746</v>
      </c>
      <c r="G8" s="2" t="s">
        <v>324</v>
      </c>
      <c r="H8" s="2" t="s">
        <v>720</v>
      </c>
      <c r="I8" s="2" t="s">
        <v>747</v>
      </c>
      <c r="J8" s="2" t="s">
        <v>748</v>
      </c>
      <c r="K8" s="2" t="s">
        <v>723</v>
      </c>
    </row>
    <row r="9" spans="1:11" ht="48" customHeight="1" x14ac:dyDescent="0.3">
      <c r="A9" s="3" t="s">
        <v>749</v>
      </c>
      <c r="B9" s="3" t="s">
        <v>86</v>
      </c>
      <c r="C9" s="3" t="s">
        <v>377</v>
      </c>
      <c r="D9" s="3" t="s">
        <v>725</v>
      </c>
      <c r="E9" s="3" t="s">
        <v>718</v>
      </c>
      <c r="F9" s="3" t="s">
        <v>750</v>
      </c>
      <c r="G9" s="3" t="s">
        <v>381</v>
      </c>
      <c r="H9" s="3" t="s">
        <v>720</v>
      </c>
      <c r="I9" s="3" t="s">
        <v>751</v>
      </c>
      <c r="J9" s="3" t="s">
        <v>752</v>
      </c>
      <c r="K9" s="3" t="s">
        <v>723</v>
      </c>
    </row>
    <row r="10" spans="1:11" ht="48" customHeight="1" x14ac:dyDescent="0.3">
      <c r="A10" s="2" t="s">
        <v>753</v>
      </c>
      <c r="B10" s="2" t="s">
        <v>86</v>
      </c>
      <c r="C10" s="2" t="s">
        <v>386</v>
      </c>
      <c r="D10" s="2" t="s">
        <v>717</v>
      </c>
      <c r="E10" s="2" t="s">
        <v>718</v>
      </c>
      <c r="F10" s="2" t="s">
        <v>754</v>
      </c>
      <c r="G10" s="2" t="s">
        <v>390</v>
      </c>
      <c r="H10" s="2" t="s">
        <v>720</v>
      </c>
      <c r="I10" s="2" t="s">
        <v>755</v>
      </c>
      <c r="J10" s="2" t="s">
        <v>756</v>
      </c>
      <c r="K10" s="2" t="s">
        <v>723</v>
      </c>
    </row>
    <row r="11" spans="1:11" ht="48" customHeight="1" x14ac:dyDescent="0.3">
      <c r="A11" s="3" t="s">
        <v>757</v>
      </c>
      <c r="B11" s="3" t="s">
        <v>86</v>
      </c>
      <c r="C11" s="3" t="s">
        <v>395</v>
      </c>
      <c r="D11" s="3" t="s">
        <v>717</v>
      </c>
      <c r="E11" s="3" t="s">
        <v>718</v>
      </c>
      <c r="F11" s="3" t="s">
        <v>758</v>
      </c>
      <c r="G11" s="3" t="s">
        <v>399</v>
      </c>
      <c r="H11" s="3" t="s">
        <v>720</v>
      </c>
      <c r="I11" s="3" t="s">
        <v>759</v>
      </c>
      <c r="J11" s="3" t="s">
        <v>760</v>
      </c>
      <c r="K11" s="3" t="s">
        <v>723</v>
      </c>
    </row>
    <row r="12" spans="1:11" ht="48" customHeight="1" x14ac:dyDescent="0.3">
      <c r="A12" s="2" t="s">
        <v>761</v>
      </c>
      <c r="B12" s="2" t="s">
        <v>92</v>
      </c>
      <c r="C12" s="2" t="s">
        <v>435</v>
      </c>
      <c r="D12" s="2" t="s">
        <v>725</v>
      </c>
      <c r="E12" s="2" t="s">
        <v>718</v>
      </c>
      <c r="F12" s="2" t="s">
        <v>762</v>
      </c>
      <c r="G12" s="2" t="s">
        <v>381</v>
      </c>
      <c r="H12" s="2" t="s">
        <v>720</v>
      </c>
      <c r="I12" s="2" t="s">
        <v>763</v>
      </c>
      <c r="J12" s="2" t="s">
        <v>764</v>
      </c>
      <c r="K12" s="2" t="s">
        <v>723</v>
      </c>
    </row>
    <row r="13" spans="1:11" ht="48" customHeight="1" x14ac:dyDescent="0.3">
      <c r="A13" s="3" t="s">
        <v>765</v>
      </c>
      <c r="B13" s="3" t="s">
        <v>92</v>
      </c>
      <c r="C13" s="3" t="s">
        <v>443</v>
      </c>
      <c r="D13" s="3" t="s">
        <v>717</v>
      </c>
      <c r="E13" s="3" t="s">
        <v>718</v>
      </c>
      <c r="F13" s="3" t="s">
        <v>766</v>
      </c>
      <c r="G13" s="3" t="s">
        <v>390</v>
      </c>
      <c r="H13" s="3" t="s">
        <v>720</v>
      </c>
      <c r="I13" s="3" t="s">
        <v>767</v>
      </c>
      <c r="J13" s="3" t="s">
        <v>768</v>
      </c>
      <c r="K13" s="3" t="s">
        <v>723</v>
      </c>
    </row>
    <row r="14" spans="1:11" ht="48" customHeight="1" x14ac:dyDescent="0.3">
      <c r="A14" s="2" t="s">
        <v>769</v>
      </c>
      <c r="B14" s="2" t="s">
        <v>92</v>
      </c>
      <c r="C14" s="2" t="s">
        <v>451</v>
      </c>
      <c r="D14" s="2" t="s">
        <v>717</v>
      </c>
      <c r="E14" s="2" t="s">
        <v>718</v>
      </c>
      <c r="F14" s="2" t="s">
        <v>770</v>
      </c>
      <c r="G14" s="2" t="s">
        <v>399</v>
      </c>
      <c r="H14" s="2" t="s">
        <v>720</v>
      </c>
      <c r="I14" s="2" t="s">
        <v>771</v>
      </c>
      <c r="J14" s="2" t="s">
        <v>772</v>
      </c>
      <c r="K14" s="2" t="s">
        <v>723</v>
      </c>
    </row>
    <row r="15" spans="1:11" ht="48" customHeight="1" x14ac:dyDescent="0.3">
      <c r="A15" s="3" t="s">
        <v>773</v>
      </c>
      <c r="B15" s="3" t="s">
        <v>98</v>
      </c>
      <c r="C15" s="3" t="s">
        <v>488</v>
      </c>
      <c r="D15" s="3" t="s">
        <v>725</v>
      </c>
      <c r="E15" s="3" t="s">
        <v>718</v>
      </c>
      <c r="F15" s="3" t="s">
        <v>774</v>
      </c>
      <c r="G15" s="3" t="s">
        <v>381</v>
      </c>
      <c r="H15" s="3" t="s">
        <v>720</v>
      </c>
      <c r="I15" s="3" t="s">
        <v>775</v>
      </c>
      <c r="J15" s="3" t="s">
        <v>776</v>
      </c>
      <c r="K15" s="3" t="s">
        <v>723</v>
      </c>
    </row>
    <row r="16" spans="1:11" ht="48" customHeight="1" x14ac:dyDescent="0.3">
      <c r="A16" s="2" t="s">
        <v>777</v>
      </c>
      <c r="B16" s="2" t="s">
        <v>98</v>
      </c>
      <c r="C16" s="2" t="s">
        <v>496</v>
      </c>
      <c r="D16" s="2" t="s">
        <v>717</v>
      </c>
      <c r="E16" s="2" t="s">
        <v>718</v>
      </c>
      <c r="F16" s="2" t="s">
        <v>778</v>
      </c>
      <c r="G16" s="2" t="s">
        <v>390</v>
      </c>
      <c r="H16" s="2" t="s">
        <v>720</v>
      </c>
      <c r="I16" s="2" t="s">
        <v>779</v>
      </c>
      <c r="J16" s="2" t="s">
        <v>780</v>
      </c>
      <c r="K16" s="2" t="s">
        <v>723</v>
      </c>
    </row>
    <row r="17" spans="1:11" ht="48" customHeight="1" x14ac:dyDescent="0.3">
      <c r="A17" s="3" t="s">
        <v>781</v>
      </c>
      <c r="B17" s="3" t="s">
        <v>98</v>
      </c>
      <c r="C17" s="3" t="s">
        <v>504</v>
      </c>
      <c r="D17" s="3" t="s">
        <v>717</v>
      </c>
      <c r="E17" s="3" t="s">
        <v>718</v>
      </c>
      <c r="F17" s="3" t="s">
        <v>782</v>
      </c>
      <c r="G17" s="3" t="s">
        <v>399</v>
      </c>
      <c r="H17" s="3" t="s">
        <v>720</v>
      </c>
      <c r="I17" s="3" t="s">
        <v>783</v>
      </c>
      <c r="J17" s="3" t="s">
        <v>784</v>
      </c>
      <c r="K17" s="3" t="s">
        <v>723</v>
      </c>
    </row>
    <row r="18" spans="1:11" ht="48" customHeight="1" x14ac:dyDescent="0.3">
      <c r="A18" s="2" t="s">
        <v>785</v>
      </c>
      <c r="B18" s="2" t="s">
        <v>104</v>
      </c>
      <c r="C18" s="2" t="s">
        <v>541</v>
      </c>
      <c r="D18" s="2" t="s">
        <v>725</v>
      </c>
      <c r="E18" s="2" t="s">
        <v>718</v>
      </c>
      <c r="F18" s="2" t="s">
        <v>786</v>
      </c>
      <c r="G18" s="2" t="s">
        <v>381</v>
      </c>
      <c r="H18" s="2" t="s">
        <v>720</v>
      </c>
      <c r="I18" s="2" t="s">
        <v>787</v>
      </c>
      <c r="J18" s="2" t="s">
        <v>788</v>
      </c>
      <c r="K18" s="2" t="s">
        <v>723</v>
      </c>
    </row>
    <row r="19" spans="1:11" ht="48" customHeight="1" x14ac:dyDescent="0.3">
      <c r="A19" s="3" t="s">
        <v>789</v>
      </c>
      <c r="B19" s="3" t="s">
        <v>104</v>
      </c>
      <c r="C19" s="3" t="s">
        <v>549</v>
      </c>
      <c r="D19" s="3" t="s">
        <v>717</v>
      </c>
      <c r="E19" s="3" t="s">
        <v>718</v>
      </c>
      <c r="F19" s="3" t="s">
        <v>790</v>
      </c>
      <c r="G19" s="3" t="s">
        <v>390</v>
      </c>
      <c r="H19" s="3" t="s">
        <v>720</v>
      </c>
      <c r="I19" s="3" t="s">
        <v>791</v>
      </c>
      <c r="J19" s="3" t="s">
        <v>792</v>
      </c>
      <c r="K19" s="3" t="s">
        <v>723</v>
      </c>
    </row>
    <row r="20" spans="1:11" ht="48" customHeight="1" x14ac:dyDescent="0.3">
      <c r="A20" s="2" t="s">
        <v>793</v>
      </c>
      <c r="B20" s="2" t="s">
        <v>104</v>
      </c>
      <c r="C20" s="2" t="s">
        <v>557</v>
      </c>
      <c r="D20" s="2" t="s">
        <v>717</v>
      </c>
      <c r="E20" s="2" t="s">
        <v>718</v>
      </c>
      <c r="F20" s="2" t="s">
        <v>794</v>
      </c>
      <c r="G20" s="2" t="s">
        <v>399</v>
      </c>
      <c r="H20" s="2" t="s">
        <v>720</v>
      </c>
      <c r="I20" s="2" t="s">
        <v>795</v>
      </c>
      <c r="J20" s="2" t="s">
        <v>796</v>
      </c>
      <c r="K20" s="2" t="s">
        <v>723</v>
      </c>
    </row>
    <row r="21" spans="1:11" ht="48" customHeight="1" x14ac:dyDescent="0.3">
      <c r="A21" s="3" t="s">
        <v>797</v>
      </c>
      <c r="B21" s="3" t="s">
        <v>110</v>
      </c>
      <c r="C21" s="3" t="s">
        <v>594</v>
      </c>
      <c r="D21" s="3" t="s">
        <v>725</v>
      </c>
      <c r="E21" s="3" t="s">
        <v>718</v>
      </c>
      <c r="F21" s="3" t="s">
        <v>798</v>
      </c>
      <c r="G21" s="3" t="s">
        <v>381</v>
      </c>
      <c r="H21" s="3" t="s">
        <v>720</v>
      </c>
      <c r="I21" s="3" t="s">
        <v>799</v>
      </c>
      <c r="J21" s="3" t="s">
        <v>800</v>
      </c>
      <c r="K21" s="3" t="s">
        <v>723</v>
      </c>
    </row>
    <row r="22" spans="1:11" ht="48" customHeight="1" x14ac:dyDescent="0.3">
      <c r="A22" s="2" t="s">
        <v>801</v>
      </c>
      <c r="B22" s="2" t="s">
        <v>110</v>
      </c>
      <c r="C22" s="2" t="s">
        <v>602</v>
      </c>
      <c r="D22" s="2" t="s">
        <v>717</v>
      </c>
      <c r="E22" s="2" t="s">
        <v>718</v>
      </c>
      <c r="F22" s="2" t="s">
        <v>802</v>
      </c>
      <c r="G22" s="2" t="s">
        <v>390</v>
      </c>
      <c r="H22" s="2" t="s">
        <v>720</v>
      </c>
      <c r="I22" s="2" t="s">
        <v>803</v>
      </c>
      <c r="J22" s="2" t="s">
        <v>804</v>
      </c>
      <c r="K22" s="2" t="s">
        <v>723</v>
      </c>
    </row>
    <row r="23" spans="1:11" ht="48" customHeight="1" x14ac:dyDescent="0.3">
      <c r="A23" s="3" t="s">
        <v>805</v>
      </c>
      <c r="B23" s="3" t="s">
        <v>110</v>
      </c>
      <c r="C23" s="3" t="s">
        <v>610</v>
      </c>
      <c r="D23" s="3" t="s">
        <v>717</v>
      </c>
      <c r="E23" s="3" t="s">
        <v>718</v>
      </c>
      <c r="F23" s="3" t="s">
        <v>806</v>
      </c>
      <c r="G23" s="3" t="s">
        <v>399</v>
      </c>
      <c r="H23" s="3" t="s">
        <v>720</v>
      </c>
      <c r="I23" s="3" t="s">
        <v>807</v>
      </c>
      <c r="J23" s="3" t="s">
        <v>808</v>
      </c>
      <c r="K23" s="3" t="s">
        <v>723</v>
      </c>
    </row>
    <row r="24" spans="1:11" ht="48" customHeight="1" x14ac:dyDescent="0.3">
      <c r="A24" s="2" t="s">
        <v>809</v>
      </c>
      <c r="B24" s="2" t="s">
        <v>116</v>
      </c>
      <c r="C24" s="2" t="s">
        <v>647</v>
      </c>
      <c r="D24" s="2" t="s">
        <v>725</v>
      </c>
      <c r="E24" s="2" t="s">
        <v>718</v>
      </c>
      <c r="F24" s="2" t="s">
        <v>810</v>
      </c>
      <c r="G24" s="2" t="s">
        <v>651</v>
      </c>
      <c r="H24" s="2" t="s">
        <v>720</v>
      </c>
      <c r="I24" s="2" t="s">
        <v>811</v>
      </c>
      <c r="J24" s="2" t="s">
        <v>812</v>
      </c>
      <c r="K24" s="2" t="s">
        <v>723</v>
      </c>
    </row>
    <row r="25" spans="1:11" ht="48" customHeight="1" x14ac:dyDescent="0.3">
      <c r="A25" s="3" t="s">
        <v>813</v>
      </c>
      <c r="B25" s="3" t="s">
        <v>116</v>
      </c>
      <c r="C25" s="3" t="s">
        <v>656</v>
      </c>
      <c r="D25" s="3" t="s">
        <v>725</v>
      </c>
      <c r="E25" s="3" t="s">
        <v>718</v>
      </c>
      <c r="F25" s="3" t="s">
        <v>814</v>
      </c>
      <c r="G25" s="3" t="s">
        <v>660</v>
      </c>
      <c r="H25" s="3" t="s">
        <v>720</v>
      </c>
      <c r="I25" s="3" t="s">
        <v>815</v>
      </c>
      <c r="J25" s="3" t="s">
        <v>816</v>
      </c>
      <c r="K25" s="3" t="s">
        <v>723</v>
      </c>
    </row>
    <row r="26" spans="1:11" ht="48" customHeight="1" x14ac:dyDescent="0.3">
      <c r="A26" s="2" t="s">
        <v>817</v>
      </c>
      <c r="B26" s="2" t="s">
        <v>116</v>
      </c>
      <c r="C26" s="2" t="s">
        <v>665</v>
      </c>
      <c r="D26" s="2" t="s">
        <v>725</v>
      </c>
      <c r="E26" s="2" t="s">
        <v>718</v>
      </c>
      <c r="F26" s="2" t="s">
        <v>818</v>
      </c>
      <c r="G26" s="2" t="s">
        <v>669</v>
      </c>
      <c r="H26" s="2" t="s">
        <v>720</v>
      </c>
      <c r="I26" s="2" t="s">
        <v>819</v>
      </c>
      <c r="J26" s="2" t="s">
        <v>820</v>
      </c>
      <c r="K26" s="2" t="s">
        <v>723</v>
      </c>
    </row>
    <row r="27" spans="1:11" ht="48" customHeight="1" x14ac:dyDescent="0.3">
      <c r="A27" s="3" t="s">
        <v>821</v>
      </c>
      <c r="B27" s="3" t="s">
        <v>116</v>
      </c>
      <c r="C27" s="3" t="s">
        <v>674</v>
      </c>
      <c r="D27" s="3" t="s">
        <v>725</v>
      </c>
      <c r="E27" s="3" t="s">
        <v>718</v>
      </c>
      <c r="F27" s="3" t="s">
        <v>822</v>
      </c>
      <c r="G27" s="3" t="s">
        <v>678</v>
      </c>
      <c r="H27" s="3" t="s">
        <v>720</v>
      </c>
      <c r="I27" s="3" t="s">
        <v>823</v>
      </c>
      <c r="J27" s="3" t="s">
        <v>824</v>
      </c>
      <c r="K27" s="3" t="s">
        <v>723</v>
      </c>
    </row>
    <row r="28" spans="1:11" ht="48" customHeight="1" x14ac:dyDescent="0.3">
      <c r="A28" s="2" t="s">
        <v>825</v>
      </c>
      <c r="B28" s="2" t="s">
        <v>116</v>
      </c>
      <c r="C28" s="2" t="s">
        <v>682</v>
      </c>
      <c r="D28" s="2" t="s">
        <v>717</v>
      </c>
      <c r="E28" s="2" t="s">
        <v>718</v>
      </c>
      <c r="F28" s="2" t="s">
        <v>826</v>
      </c>
      <c r="G28" s="2" t="s">
        <v>686</v>
      </c>
      <c r="H28" s="2" t="s">
        <v>720</v>
      </c>
      <c r="I28" s="2" t="s">
        <v>827</v>
      </c>
      <c r="J28" s="2" t="s">
        <v>828</v>
      </c>
      <c r="K28" s="2" t="s">
        <v>723</v>
      </c>
    </row>
    <row r="29" spans="1:11" ht="48" customHeight="1" x14ac:dyDescent="0.3">
      <c r="A29" s="3" t="s">
        <v>829</v>
      </c>
      <c r="B29" s="3" t="s">
        <v>116</v>
      </c>
      <c r="C29" s="3" t="s">
        <v>690</v>
      </c>
      <c r="D29" s="3" t="s">
        <v>725</v>
      </c>
      <c r="E29" s="3" t="s">
        <v>718</v>
      </c>
      <c r="F29" s="3" t="s">
        <v>830</v>
      </c>
      <c r="G29" s="3" t="s">
        <v>694</v>
      </c>
      <c r="H29" s="3" t="s">
        <v>720</v>
      </c>
      <c r="I29" s="3" t="s">
        <v>831</v>
      </c>
      <c r="J29" s="3" t="s">
        <v>832</v>
      </c>
      <c r="K29" s="3" t="s">
        <v>723</v>
      </c>
    </row>
    <row r="30" spans="1:11" ht="48" customHeight="1" x14ac:dyDescent="0.3">
      <c r="A30" s="2" t="s">
        <v>833</v>
      </c>
      <c r="B30" s="2" t="s">
        <v>116</v>
      </c>
      <c r="C30" s="2" t="s">
        <v>699</v>
      </c>
      <c r="D30" s="2" t="s">
        <v>717</v>
      </c>
      <c r="E30" s="2" t="s">
        <v>718</v>
      </c>
      <c r="F30" s="2" t="s">
        <v>834</v>
      </c>
      <c r="G30" s="2" t="s">
        <v>703</v>
      </c>
      <c r="H30" s="2" t="s">
        <v>720</v>
      </c>
      <c r="I30" s="2" t="s">
        <v>835</v>
      </c>
      <c r="J30" s="2" t="s">
        <v>836</v>
      </c>
      <c r="K30" s="2" t="s">
        <v>723</v>
      </c>
    </row>
    <row r="31" spans="1:11" ht="48" customHeight="1" x14ac:dyDescent="0.3">
      <c r="A31" s="3" t="s">
        <v>837</v>
      </c>
      <c r="B31" s="3" t="s">
        <v>59</v>
      </c>
      <c r="C31" s="3"/>
      <c r="D31" s="3" t="s">
        <v>725</v>
      </c>
      <c r="E31" s="3" t="s">
        <v>838</v>
      </c>
      <c r="F31" s="3" t="s">
        <v>839</v>
      </c>
      <c r="G31" s="3" t="s">
        <v>840</v>
      </c>
      <c r="H31" s="3" t="s">
        <v>841</v>
      </c>
      <c r="I31" s="3" t="s">
        <v>842</v>
      </c>
      <c r="J31" s="3" t="s">
        <v>843</v>
      </c>
      <c r="K31" s="3" t="s">
        <v>844</v>
      </c>
    </row>
    <row r="32" spans="1:11" ht="48" customHeight="1" x14ac:dyDescent="0.3">
      <c r="A32" s="2" t="s">
        <v>845</v>
      </c>
      <c r="B32" s="2" t="s">
        <v>67</v>
      </c>
      <c r="C32" s="2"/>
      <c r="D32" s="2" t="s">
        <v>725</v>
      </c>
      <c r="E32" s="2" t="s">
        <v>838</v>
      </c>
      <c r="F32" s="2" t="s">
        <v>846</v>
      </c>
      <c r="G32" s="2" t="s">
        <v>840</v>
      </c>
      <c r="H32" s="2" t="s">
        <v>841</v>
      </c>
      <c r="I32" s="2" t="s">
        <v>842</v>
      </c>
      <c r="J32" s="2" t="s">
        <v>847</v>
      </c>
      <c r="K32" s="2" t="s">
        <v>844</v>
      </c>
    </row>
    <row r="33" spans="1:11" ht="48" customHeight="1" x14ac:dyDescent="0.3">
      <c r="A33" s="3" t="s">
        <v>848</v>
      </c>
      <c r="B33" s="3" t="s">
        <v>74</v>
      </c>
      <c r="C33" s="3"/>
      <c r="D33" s="3" t="s">
        <v>725</v>
      </c>
      <c r="E33" s="3" t="s">
        <v>838</v>
      </c>
      <c r="F33" s="3" t="s">
        <v>849</v>
      </c>
      <c r="G33" s="3" t="s">
        <v>840</v>
      </c>
      <c r="H33" s="3" t="s">
        <v>841</v>
      </c>
      <c r="I33" s="3" t="s">
        <v>842</v>
      </c>
      <c r="J33" s="3" t="s">
        <v>850</v>
      </c>
      <c r="K33" s="3" t="s">
        <v>844</v>
      </c>
    </row>
    <row r="34" spans="1:11" ht="48" customHeight="1" x14ac:dyDescent="0.3">
      <c r="A34" s="2" t="s">
        <v>851</v>
      </c>
      <c r="B34" s="2" t="s">
        <v>80</v>
      </c>
      <c r="C34" s="2"/>
      <c r="D34" s="2" t="s">
        <v>725</v>
      </c>
      <c r="E34" s="2" t="s">
        <v>838</v>
      </c>
      <c r="F34" s="2" t="s">
        <v>852</v>
      </c>
      <c r="G34" s="2" t="s">
        <v>840</v>
      </c>
      <c r="H34" s="2" t="s">
        <v>841</v>
      </c>
      <c r="I34" s="2" t="s">
        <v>842</v>
      </c>
      <c r="J34" s="2" t="s">
        <v>853</v>
      </c>
      <c r="K34" s="2" t="s">
        <v>844</v>
      </c>
    </row>
    <row r="35" spans="1:11" ht="48" customHeight="1" x14ac:dyDescent="0.3">
      <c r="A35" s="3" t="s">
        <v>854</v>
      </c>
      <c r="B35" s="3" t="s">
        <v>86</v>
      </c>
      <c r="C35" s="3"/>
      <c r="D35" s="3" t="s">
        <v>725</v>
      </c>
      <c r="E35" s="3" t="s">
        <v>838</v>
      </c>
      <c r="F35" s="3" t="s">
        <v>855</v>
      </c>
      <c r="G35" s="3" t="s">
        <v>840</v>
      </c>
      <c r="H35" s="3" t="s">
        <v>841</v>
      </c>
      <c r="I35" s="3" t="s">
        <v>842</v>
      </c>
      <c r="J35" s="3" t="s">
        <v>856</v>
      </c>
      <c r="K35" s="3" t="s">
        <v>844</v>
      </c>
    </row>
    <row r="36" spans="1:11" ht="48" customHeight="1" x14ac:dyDescent="0.3">
      <c r="A36" s="2" t="s">
        <v>857</v>
      </c>
      <c r="B36" s="2" t="s">
        <v>92</v>
      </c>
      <c r="C36" s="2"/>
      <c r="D36" s="2" t="s">
        <v>725</v>
      </c>
      <c r="E36" s="2" t="s">
        <v>838</v>
      </c>
      <c r="F36" s="2" t="s">
        <v>858</v>
      </c>
      <c r="G36" s="2" t="s">
        <v>840</v>
      </c>
      <c r="H36" s="2" t="s">
        <v>841</v>
      </c>
      <c r="I36" s="2" t="s">
        <v>842</v>
      </c>
      <c r="J36" s="2" t="s">
        <v>859</v>
      </c>
      <c r="K36" s="2" t="s">
        <v>844</v>
      </c>
    </row>
    <row r="37" spans="1:11" ht="48" customHeight="1" x14ac:dyDescent="0.3">
      <c r="A37" s="3" t="s">
        <v>860</v>
      </c>
      <c r="B37" s="3" t="s">
        <v>98</v>
      </c>
      <c r="C37" s="3"/>
      <c r="D37" s="3" t="s">
        <v>725</v>
      </c>
      <c r="E37" s="3" t="s">
        <v>838</v>
      </c>
      <c r="F37" s="3" t="s">
        <v>861</v>
      </c>
      <c r="G37" s="3" t="s">
        <v>840</v>
      </c>
      <c r="H37" s="3" t="s">
        <v>841</v>
      </c>
      <c r="I37" s="3" t="s">
        <v>842</v>
      </c>
      <c r="J37" s="3" t="s">
        <v>862</v>
      </c>
      <c r="K37" s="3" t="s">
        <v>844</v>
      </c>
    </row>
    <row r="38" spans="1:11" ht="48" customHeight="1" x14ac:dyDescent="0.3">
      <c r="A38" s="2" t="s">
        <v>863</v>
      </c>
      <c r="B38" s="2" t="s">
        <v>104</v>
      </c>
      <c r="C38" s="2"/>
      <c r="D38" s="2" t="s">
        <v>725</v>
      </c>
      <c r="E38" s="2" t="s">
        <v>838</v>
      </c>
      <c r="F38" s="2" t="s">
        <v>864</v>
      </c>
      <c r="G38" s="2" t="s">
        <v>840</v>
      </c>
      <c r="H38" s="2" t="s">
        <v>841</v>
      </c>
      <c r="I38" s="2" t="s">
        <v>842</v>
      </c>
      <c r="J38" s="2" t="s">
        <v>865</v>
      </c>
      <c r="K38" s="2" t="s">
        <v>844</v>
      </c>
    </row>
    <row r="39" spans="1:11" ht="48" customHeight="1" x14ac:dyDescent="0.3">
      <c r="A39" s="3" t="s">
        <v>866</v>
      </c>
      <c r="B39" s="3" t="s">
        <v>110</v>
      </c>
      <c r="C39" s="3"/>
      <c r="D39" s="3" t="s">
        <v>725</v>
      </c>
      <c r="E39" s="3" t="s">
        <v>838</v>
      </c>
      <c r="F39" s="3" t="s">
        <v>867</v>
      </c>
      <c r="G39" s="3" t="s">
        <v>840</v>
      </c>
      <c r="H39" s="3" t="s">
        <v>841</v>
      </c>
      <c r="I39" s="3" t="s">
        <v>842</v>
      </c>
      <c r="J39" s="3" t="s">
        <v>868</v>
      </c>
      <c r="K39" s="3" t="s">
        <v>844</v>
      </c>
    </row>
    <row r="40" spans="1:11" ht="48" customHeight="1" x14ac:dyDescent="0.3">
      <c r="A40" s="2" t="s">
        <v>869</v>
      </c>
      <c r="B40" s="2" t="s">
        <v>116</v>
      </c>
      <c r="C40" s="2"/>
      <c r="D40" s="2" t="s">
        <v>725</v>
      </c>
      <c r="E40" s="2" t="s">
        <v>838</v>
      </c>
      <c r="F40" s="2" t="s">
        <v>870</v>
      </c>
      <c r="G40" s="2" t="s">
        <v>840</v>
      </c>
      <c r="H40" s="2" t="s">
        <v>841</v>
      </c>
      <c r="I40" s="2" t="s">
        <v>842</v>
      </c>
      <c r="J40" s="2" t="s">
        <v>871</v>
      </c>
      <c r="K40" s="2" t="s">
        <v>844</v>
      </c>
    </row>
    <row r="41" spans="1:11" ht="48" customHeight="1" x14ac:dyDescent="0.3">
      <c r="A41" s="3" t="s">
        <v>872</v>
      </c>
      <c r="B41" s="3" t="s">
        <v>59</v>
      </c>
      <c r="C41" s="3"/>
      <c r="D41" s="3" t="s">
        <v>873</v>
      </c>
      <c r="E41" s="3" t="s">
        <v>874</v>
      </c>
      <c r="F41" s="3" t="s">
        <v>875</v>
      </c>
      <c r="G41" s="3" t="s">
        <v>876</v>
      </c>
      <c r="H41" s="3" t="s">
        <v>877</v>
      </c>
      <c r="I41" s="3" t="s">
        <v>878</v>
      </c>
      <c r="J41" s="3" t="s">
        <v>879</v>
      </c>
      <c r="K41" s="3" t="s">
        <v>880</v>
      </c>
    </row>
    <row r="42" spans="1:11" ht="48" customHeight="1" x14ac:dyDescent="0.3">
      <c r="A42" s="2" t="s">
        <v>881</v>
      </c>
      <c r="B42" s="2" t="s">
        <v>92</v>
      </c>
      <c r="C42" s="2"/>
      <c r="D42" s="2" t="s">
        <v>873</v>
      </c>
      <c r="E42" s="2" t="s">
        <v>874</v>
      </c>
      <c r="F42" s="2" t="s">
        <v>882</v>
      </c>
      <c r="G42" s="2" t="s">
        <v>876</v>
      </c>
      <c r="H42" s="2" t="s">
        <v>877</v>
      </c>
      <c r="I42" s="2" t="s">
        <v>878</v>
      </c>
      <c r="J42" s="2" t="s">
        <v>883</v>
      </c>
      <c r="K42" s="2" t="s">
        <v>880</v>
      </c>
    </row>
    <row r="43" spans="1:11" ht="48" customHeight="1" x14ac:dyDescent="0.3">
      <c r="A43" s="3" t="s">
        <v>884</v>
      </c>
      <c r="B43" s="3" t="s">
        <v>86</v>
      </c>
      <c r="C43" s="3"/>
      <c r="D43" s="3" t="s">
        <v>725</v>
      </c>
      <c r="E43" s="3" t="s">
        <v>885</v>
      </c>
      <c r="F43" s="3" t="s">
        <v>886</v>
      </c>
      <c r="G43" s="3" t="s">
        <v>372</v>
      </c>
      <c r="H43" s="3" t="s">
        <v>887</v>
      </c>
      <c r="I43" s="3" t="s">
        <v>888</v>
      </c>
      <c r="J43" s="3" t="s">
        <v>889</v>
      </c>
      <c r="K43" s="3" t="s">
        <v>890</v>
      </c>
    </row>
    <row r="44" spans="1:11" ht="48" customHeight="1" x14ac:dyDescent="0.3">
      <c r="A44" s="2" t="s">
        <v>891</v>
      </c>
      <c r="B44" s="2" t="s">
        <v>92</v>
      </c>
      <c r="C44" s="2"/>
      <c r="D44" s="2" t="s">
        <v>725</v>
      </c>
      <c r="E44" s="2" t="s">
        <v>885</v>
      </c>
      <c r="F44" s="2" t="s">
        <v>886</v>
      </c>
      <c r="G44" s="2" t="s">
        <v>430</v>
      </c>
      <c r="H44" s="2" t="s">
        <v>887</v>
      </c>
      <c r="I44" s="2" t="s">
        <v>888</v>
      </c>
      <c r="J44" s="2" t="s">
        <v>892</v>
      </c>
      <c r="K44" s="2" t="s">
        <v>890</v>
      </c>
    </row>
    <row r="45" spans="1:11" ht="48" customHeight="1" x14ac:dyDescent="0.3">
      <c r="A45" s="3" t="s">
        <v>893</v>
      </c>
      <c r="B45" s="3" t="s">
        <v>110</v>
      </c>
      <c r="C45" s="3"/>
      <c r="D45" s="3" t="s">
        <v>725</v>
      </c>
      <c r="E45" s="3" t="s">
        <v>885</v>
      </c>
      <c r="F45" s="3" t="s">
        <v>886</v>
      </c>
      <c r="G45" s="3" t="s">
        <v>589</v>
      </c>
      <c r="H45" s="3" t="s">
        <v>887</v>
      </c>
      <c r="I45" s="3" t="s">
        <v>888</v>
      </c>
      <c r="J45" s="3" t="s">
        <v>894</v>
      </c>
      <c r="K45" s="3" t="s">
        <v>890</v>
      </c>
    </row>
    <row r="46" spans="1:11" ht="48" customHeight="1" x14ac:dyDescent="0.3">
      <c r="A46" s="2" t="s">
        <v>895</v>
      </c>
      <c r="B46" s="2" t="s">
        <v>86</v>
      </c>
      <c r="C46" s="2"/>
      <c r="D46" s="2" t="s">
        <v>896</v>
      </c>
      <c r="E46" s="2" t="s">
        <v>897</v>
      </c>
      <c r="F46" s="2" t="s">
        <v>898</v>
      </c>
      <c r="G46" s="2" t="s">
        <v>899</v>
      </c>
      <c r="H46" s="2" t="s">
        <v>900</v>
      </c>
      <c r="I46" s="2" t="s">
        <v>901</v>
      </c>
      <c r="J46" s="2" t="s">
        <v>902</v>
      </c>
      <c r="K46" s="2" t="s">
        <v>903</v>
      </c>
    </row>
    <row r="47" spans="1:11" ht="48" customHeight="1" x14ac:dyDescent="0.3">
      <c r="A47" s="3" t="s">
        <v>904</v>
      </c>
      <c r="B47" s="3" t="s">
        <v>74</v>
      </c>
      <c r="C47" s="3"/>
      <c r="D47" s="3" t="s">
        <v>725</v>
      </c>
      <c r="E47" s="3" t="s">
        <v>897</v>
      </c>
      <c r="F47" s="3" t="s">
        <v>905</v>
      </c>
      <c r="G47" s="3" t="s">
        <v>906</v>
      </c>
      <c r="H47" s="3" t="s">
        <v>907</v>
      </c>
      <c r="I47" s="3" t="s">
        <v>908</v>
      </c>
      <c r="J47" s="3" t="s">
        <v>909</v>
      </c>
      <c r="K47" s="3" t="s">
        <v>910</v>
      </c>
    </row>
    <row r="48" spans="1:11" ht="48" customHeight="1" x14ac:dyDescent="0.3">
      <c r="A48" s="2" t="s">
        <v>911</v>
      </c>
      <c r="B48" s="2" t="s">
        <v>80</v>
      </c>
      <c r="C48" s="2"/>
      <c r="D48" s="2" t="s">
        <v>725</v>
      </c>
      <c r="E48" s="2" t="s">
        <v>897</v>
      </c>
      <c r="F48" s="2" t="s">
        <v>905</v>
      </c>
      <c r="G48" s="2" t="s">
        <v>906</v>
      </c>
      <c r="H48" s="2" t="s">
        <v>907</v>
      </c>
      <c r="I48" s="2" t="s">
        <v>908</v>
      </c>
      <c r="J48" s="2" t="s">
        <v>912</v>
      </c>
      <c r="K48" s="2" t="s">
        <v>910</v>
      </c>
    </row>
    <row r="49" spans="1:11" ht="48" customHeight="1" x14ac:dyDescent="0.3">
      <c r="A49" s="3" t="s">
        <v>913</v>
      </c>
      <c r="B49" s="3" t="s">
        <v>67</v>
      </c>
      <c r="C49" s="3"/>
      <c r="D49" s="3" t="s">
        <v>717</v>
      </c>
      <c r="E49" s="3" t="s">
        <v>914</v>
      </c>
      <c r="F49" s="3" t="s">
        <v>915</v>
      </c>
      <c r="G49" s="3" t="s">
        <v>915</v>
      </c>
      <c r="H49" s="3" t="s">
        <v>916</v>
      </c>
      <c r="I49" s="3" t="s">
        <v>917</v>
      </c>
      <c r="J49" s="3" t="s">
        <v>68</v>
      </c>
      <c r="K49" s="3" t="s">
        <v>918</v>
      </c>
    </row>
    <row r="50" spans="1:11" ht="48" customHeight="1" x14ac:dyDescent="0.3">
      <c r="A50" s="2" t="s">
        <v>919</v>
      </c>
      <c r="B50" s="2" t="s">
        <v>116</v>
      </c>
      <c r="C50" s="2"/>
      <c r="D50" s="2" t="s">
        <v>717</v>
      </c>
      <c r="E50" s="2" t="s">
        <v>914</v>
      </c>
      <c r="F50" s="2" t="s">
        <v>920</v>
      </c>
      <c r="G50" s="2" t="s">
        <v>920</v>
      </c>
      <c r="H50" s="2" t="s">
        <v>916</v>
      </c>
      <c r="I50" s="2" t="s">
        <v>921</v>
      </c>
      <c r="J50" s="2" t="s">
        <v>117</v>
      </c>
      <c r="K50" s="2" t="s">
        <v>918</v>
      </c>
    </row>
    <row r="51" spans="1:11" ht="48" customHeight="1" x14ac:dyDescent="0.3">
      <c r="A51" s="3" t="s">
        <v>922</v>
      </c>
      <c r="B51" s="3" t="s">
        <v>116</v>
      </c>
      <c r="C51" s="3"/>
      <c r="D51" s="3" t="s">
        <v>896</v>
      </c>
      <c r="E51" s="3" t="s">
        <v>923</v>
      </c>
      <c r="F51" s="3" t="s">
        <v>924</v>
      </c>
      <c r="G51" s="3" t="s">
        <v>925</v>
      </c>
      <c r="H51" s="3" t="s">
        <v>926</v>
      </c>
      <c r="I51" s="3" t="s">
        <v>927</v>
      </c>
      <c r="J51" s="3" t="s">
        <v>928</v>
      </c>
      <c r="K51" s="3" t="s">
        <v>929</v>
      </c>
    </row>
    <row r="52" spans="1:11" ht="48" customHeight="1" x14ac:dyDescent="0.3">
      <c r="A52" s="2" t="s">
        <v>930</v>
      </c>
      <c r="B52" s="2"/>
      <c r="C52" s="2"/>
      <c r="D52" s="2" t="s">
        <v>873</v>
      </c>
      <c r="E52" s="2" t="s">
        <v>931</v>
      </c>
      <c r="F52" s="2" t="s">
        <v>932</v>
      </c>
      <c r="G52" s="2" t="s">
        <v>933</v>
      </c>
      <c r="H52" s="2" t="s">
        <v>934</v>
      </c>
      <c r="I52" s="2" t="s">
        <v>935</v>
      </c>
      <c r="J52" s="2" t="s">
        <v>7</v>
      </c>
      <c r="K52" s="2" t="s">
        <v>936</v>
      </c>
    </row>
  </sheetData>
  <autoFilter ref="A1:K52" xr:uid="{00000000-0009-0000-0000-000004000000}"/>
  <conditionalFormatting sqref="D2:D52">
    <cfRule type="expression" dxfId="3" priority="1">
      <formula>D2="CRITICAL"</formula>
    </cfRule>
    <cfRule type="expression" dxfId="2" priority="2">
      <formula>D2="MAJOR"</formula>
    </cfRule>
    <cfRule type="expression" dxfId="1" priority="3">
      <formula>D2="MINOR"</formula>
    </cfRule>
    <cfRule type="expression" dxfId="0" priority="4">
      <formula>D2="LIMITATION"</formula>
    </cfRule>
  </conditionalFormatting>
  <pageMargins left="0.25" right="0.25" top="0.5" bottom="0.5" header="0.5" footer="0.5"/>
  <pageSetup fitToWidth="2"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QA_Summary</vt:lpstr>
      <vt:lpstr>QA_Products</vt:lpstr>
      <vt:lpstr>QA_Criteria</vt:lpstr>
      <vt:lpstr>QA_Images</vt:lpstr>
      <vt:lpstr>QA_Issues</vt:lpstr>
      <vt:lpstr>QA_Criteria!Print_Titles</vt:lpstr>
      <vt:lpstr>QA_Images!Print_Titles</vt:lpstr>
      <vt:lpstr>QA_Issues!Print_Titles</vt:lpstr>
      <vt:lpstr>QA_Products!Print_Titles</vt:lpstr>
      <vt:lpstr>QA_Summary!Print_Titles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Bá Sang CUA</cp:lastModifiedBy>
  <dcterms:created xsi:type="dcterms:W3CDTF">2026-09-07T02:05:41Z</dcterms:created>
  <dcterms:modified xsi:type="dcterms:W3CDTF">2026-09-07T02:05:43Z</dcterms:modified>
</cp:coreProperties>
</file>