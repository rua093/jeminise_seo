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'QA_Summary'!$A$1:$C$15</definedName>
    <definedName name="_xlnm.Print_Titles" localSheetId="0">'QA_Summary'!$1:$1</definedName>
    <definedName name="_xlnm._FilterDatabase" localSheetId="1" hidden="1">'QA_Products'!$A$1:$W$11</definedName>
    <definedName name="_xlnm.Print_Titles" localSheetId="1">'QA_Products'!$1:$1</definedName>
    <definedName name="_xlnm._FilterDatabase" localSheetId="2" hidden="1">'QA_Criteria'!$A$1:$J$111</definedName>
    <definedName name="_xlnm.Print_Titles" localSheetId="2">'QA_Criteria'!$1:$1</definedName>
    <definedName name="_xlnm._FilterDatabase" localSheetId="3" hidden="1">'QA_Images'!$A$1:$Z$58</definedName>
    <definedName name="_xlnm.Print_Titles" localSheetId="3">'QA_Images'!$1:$1</definedName>
    <definedName name="_xlnm._FilterDatabase" localSheetId="4" hidden="1">'QA_Issues'!$A$1:$K$92</definedName>
    <definedName name="_xlnm.Print_Titles" localSheetId="4">'QA_Issues'!$1:$1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1"/>
    </font>
    <font>
      <name val="Aptos"/>
      <color rgb="001F2937"/>
      <sz val="10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bottom style="medium">
        <color rgb="002F75B5"/>
      </bottom>
    </border>
    <border>
      <bottom style="thin">
        <color rgb="00CBD5E1"/>
      </bottom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164" fontId="2" fillId="3" borderId="2" applyAlignment="1" pivotButton="0" quotePrefix="0" xfId="0">
      <alignment vertical="top" wrapText="1"/>
    </xf>
    <xf numFmtId="165" fontId="2" fillId="3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  <xf numFmtId="165" fontId="2" fillId="0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eminise.com/products/fantasy-fire-dragon-comforter-set-with-glowing-lava-and-bedroom-setting-c7ca9ae893-c7ca9ae893" TargetMode="External" Id="rId1"/><Relationship Type="http://schemas.openxmlformats.org/officeDocument/2006/relationships/hyperlink" Target="https://jeminise.com/products/fantasy-mythical-dragon-comforter-set-with-winged-dragon-and-bedroom-setting-bcfc28e9d3-bcfc28e9d3" TargetMode="External" Id="rId2"/><Relationship Type="http://schemas.openxmlformats.org/officeDocument/2006/relationships/hyperlink" Target="https://jeminise.com/products/fantasy-nature-tree-of-life-quilt-set-with-entwined-golden-roots-and-bedroom-setting-9ad124a9ad-9ad124a9ad" TargetMode="External" Id="rId3"/><Relationship Type="http://schemas.openxmlformats.org/officeDocument/2006/relationships/hyperlink" Target="https://jeminise.com/products/fantasy-nature-tree-of-life-quilt-set-with-twisted-tree-trunk-and-bedroom-4dbc5a5b98-4dbc5a5b98" TargetMode="External" Id="rId4"/><Relationship Type="http://schemas.openxmlformats.org/officeDocument/2006/relationships/hyperlink" Target="https://jeminise.com/products/fantasy-comforter-set-with-dragon-and-bedroom-and-fire-and-spikes-9008eacaf3-9008eacaf3" TargetMode="External" Id="rId5"/><Relationship Type="http://schemas.openxmlformats.org/officeDocument/2006/relationships/hyperlink" Target="https://jeminise.com/products/fantasy-winged-dragon-comforter-set-with-starry-nebula-pattern-and-bedroom-setting-d228ce3712-d228ce3712" TargetMode="External" Id="rId6"/><Relationship Type="http://schemas.openxmlformats.org/officeDocument/2006/relationships/hyperlink" Target="https://jeminise.com/products/fantasy-winged-dragon-comforter-set-with-volcanic-eruption-and-bedroom-258009c125-258009c125" TargetMode="External" Id="rId7"/><Relationship Type="http://schemas.openxmlformats.org/officeDocument/2006/relationships/hyperlink" Target="https://jeminise.com/products/floral-nature-cardinal-within-ornate-oval-frame-patchwork-winter-quilt-88ef309589-88ef309589" TargetMode="External" Id="rId8"/><Relationship Type="http://schemas.openxmlformats.org/officeDocument/2006/relationships/hyperlink" Target="https://jeminise.com/products/folklore-tree-of-life-in-celtic-knot-quilt-40ab1f6113-40ab1f6113" TargetMode="External" Id="rId9"/><Relationship Type="http://schemas.openxmlformats.org/officeDocument/2006/relationships/hyperlink" Target="https://jeminise.com/products/fox-patchwork-pattern-quilt-set-animal-quilt-set-patchwork-style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792/5098/1063/files/c4d0fd722455bba238bd299b941b3a17d42c91a26bd18c6f1208c8a0c855db71.jpg?v=1785046575" TargetMode="External" Id="rId1"/><Relationship Type="http://schemas.openxmlformats.org/officeDocument/2006/relationships/hyperlink" Target="https://cdn.shopify.com/s/files/1/0792/5098/1063/files/c4d0fd722455bba238bd299b941b3a17d42c91a26bd18c6f1208c8a0c855db71.jpg?v=1785046575" TargetMode="External" Id="rId2"/><Relationship Type="http://schemas.openxmlformats.org/officeDocument/2006/relationships/hyperlink" Target="https://cdn.shopify.com/s/files/1/0792/5098/1063/files/f09df1eb9c381b597162462476a57f97246e4c07fc06b3d721f64d0bc64855de.jpg?v=1785046575" TargetMode="External" Id="rId3"/><Relationship Type="http://schemas.openxmlformats.org/officeDocument/2006/relationships/hyperlink" Target="https://cdn.shopify.com/s/files/1/0792/5098/1063/files/f09df1eb9c381b597162462476a57f97246e4c07fc06b3d721f64d0bc64855de.jpg?v=1785046575" TargetMode="External" Id="rId4"/><Relationship Type="http://schemas.openxmlformats.org/officeDocument/2006/relationships/hyperlink" Target="https://cdn.shopify.com/s/files/1/0792/5098/1063/files/b2c6bd3e9c7f7e57cdd3687e983bfe44375c5813193290cea46f99c5e92a94e5.jpg?v=1785046575" TargetMode="External" Id="rId5"/><Relationship Type="http://schemas.openxmlformats.org/officeDocument/2006/relationships/hyperlink" Target="https://cdn.shopify.com/s/files/1/0792/5098/1063/files/b2c6bd3e9c7f7e57cdd3687e983bfe44375c5813193290cea46f99c5e92a94e5.jpg?v=1785046575" TargetMode="External" Id="rId6"/><Relationship Type="http://schemas.openxmlformats.org/officeDocument/2006/relationships/hyperlink" Target="https://cdn.shopify.com/s/files/1/0792/5098/1063/files/fe57b5826ec2d6c98cd7be8065d8fa25e380acda4678fa02dd4184764eadd193.jpg?v=1785046575" TargetMode="External" Id="rId7"/><Relationship Type="http://schemas.openxmlformats.org/officeDocument/2006/relationships/hyperlink" Target="https://cdn.shopify.com/s/files/1/0792/5098/1063/files/fe57b5826ec2d6c98cd7be8065d8fa25e380acda4678fa02dd4184764eadd193.jpg?v=1785046575" TargetMode="External" Id="rId8"/><Relationship Type="http://schemas.openxmlformats.org/officeDocument/2006/relationships/hyperlink" Target="https://cdn.shopify.com/s/files/1/0792/5098/1063/files/13ca346a65b97208e6bea0169897bc90ded4dc1afe3b20713f75ccbb77634e18.jpg?v=1785046575" TargetMode="External" Id="rId9"/><Relationship Type="http://schemas.openxmlformats.org/officeDocument/2006/relationships/hyperlink" Target="https://cdn.shopify.com/s/files/1/0792/5098/1063/files/13ca346a65b97208e6bea0169897bc90ded4dc1afe3b20713f75ccbb77634e18.jpg?v=1785046575" TargetMode="External" Id="rId10"/><Relationship Type="http://schemas.openxmlformats.org/officeDocument/2006/relationships/hyperlink" Target="https://cdn.shopify.com/s/files/1/0792/5098/1063/files/eae477fdaa97e3fdca2ab3391d0017b16b984464bea16f0ed965f5f3ba5c7467.jpg?v=1785046274" TargetMode="External" Id="rId11"/><Relationship Type="http://schemas.openxmlformats.org/officeDocument/2006/relationships/hyperlink" Target="https://cdn.shopify.com/s/files/1/0792/5098/1063/files/eae477fdaa97e3fdca2ab3391d0017b16b984464bea16f0ed965f5f3ba5c7467.jpg?v=1785046274" TargetMode="External" Id="rId12"/><Relationship Type="http://schemas.openxmlformats.org/officeDocument/2006/relationships/hyperlink" Target="https://cdn.shopify.com/s/files/1/0792/5098/1063/files/c59f0eee835c7b4f3cb36fdf8e0d437e7b3f3e4e5e8ce957e4e83f61677ad5e4.jpg?v=1785046273" TargetMode="External" Id="rId13"/><Relationship Type="http://schemas.openxmlformats.org/officeDocument/2006/relationships/hyperlink" Target="https://cdn.shopify.com/s/files/1/0792/5098/1063/files/c59f0eee835c7b4f3cb36fdf8e0d437e7b3f3e4e5e8ce957e4e83f61677ad5e4.jpg?v=1785046273" TargetMode="External" Id="rId14"/><Relationship Type="http://schemas.openxmlformats.org/officeDocument/2006/relationships/hyperlink" Target="https://cdn.shopify.com/s/files/1/0792/5098/1063/files/c9684a0dee9fa97e8e6c03ccbe71405e116e4882e73c703dff22e1ddca95c88c.jpg?v=1785046273" TargetMode="External" Id="rId15"/><Relationship Type="http://schemas.openxmlformats.org/officeDocument/2006/relationships/hyperlink" Target="https://cdn.shopify.com/s/files/1/0792/5098/1063/files/c9684a0dee9fa97e8e6c03ccbe71405e116e4882e73c703dff22e1ddca95c88c.jpg?v=1785046273" TargetMode="External" Id="rId16"/><Relationship Type="http://schemas.openxmlformats.org/officeDocument/2006/relationships/hyperlink" Target="https://cdn.shopify.com/s/files/1/0792/5098/1063/files/707cd06e0b165da8d2e4821aef36d30ebc3f9b5fc6a484d9f07c0aff99c3dbbd.jpg?v=1785046273" TargetMode="External" Id="rId17"/><Relationship Type="http://schemas.openxmlformats.org/officeDocument/2006/relationships/hyperlink" Target="https://cdn.shopify.com/s/files/1/0792/5098/1063/files/707cd06e0b165da8d2e4821aef36d30ebc3f9b5fc6a484d9f07c0aff99c3dbbd.jpg?v=1785046273" TargetMode="External" Id="rId18"/><Relationship Type="http://schemas.openxmlformats.org/officeDocument/2006/relationships/hyperlink" Target="https://cdn.shopify.com/s/files/1/0792/5098/1063/files/89e1d45303a5c6161ad8d3ef6a05bdf3f647c4a7f35aa2be9df22b354c1dea8d.jpg?v=1785046273" TargetMode="External" Id="rId19"/><Relationship Type="http://schemas.openxmlformats.org/officeDocument/2006/relationships/hyperlink" Target="https://cdn.shopify.com/s/files/1/0792/5098/1063/files/89e1d45303a5c6161ad8d3ef6a05bdf3f647c4a7f35aa2be9df22b354c1dea8d.jpg?v=1785046273" TargetMode="External" Id="rId20"/><Relationship Type="http://schemas.openxmlformats.org/officeDocument/2006/relationships/hyperlink" Target="https://cdn.shopify.com/s/files/1/0792/5098/1063/files/e66d4264844973bf2fc3c9d45eddb2de13062133a35eb290dd2e57828457ae96.jpg?v=1785047641" TargetMode="External" Id="rId21"/><Relationship Type="http://schemas.openxmlformats.org/officeDocument/2006/relationships/hyperlink" Target="https://cdn.shopify.com/s/files/1/0792/5098/1063/files/e66d4264844973bf2fc3c9d45eddb2de13062133a35eb290dd2e57828457ae96.jpg?v=1785047641" TargetMode="External" Id="rId22"/><Relationship Type="http://schemas.openxmlformats.org/officeDocument/2006/relationships/hyperlink" Target="https://cdn.shopify.com/s/files/1/0792/5098/1063/files/66fae33da5e9f587f60cb41f931caedb4c51ead1b330fb858f8b88ea46f7e22d.jpg?v=1785047642" TargetMode="External" Id="rId23"/><Relationship Type="http://schemas.openxmlformats.org/officeDocument/2006/relationships/hyperlink" Target="https://cdn.shopify.com/s/files/1/0792/5098/1063/files/66fae33da5e9f587f60cb41f931caedb4c51ead1b330fb858f8b88ea46f7e22d.jpg?v=1785047642" TargetMode="External" Id="rId24"/><Relationship Type="http://schemas.openxmlformats.org/officeDocument/2006/relationships/hyperlink" Target="https://cdn.shopify.com/s/files/1/0792/5098/1063/files/154e0978960240ef894684873b01b7474acc167faf78b0a25dad3220dceea9ff.jpg?v=1785047641" TargetMode="External" Id="rId25"/><Relationship Type="http://schemas.openxmlformats.org/officeDocument/2006/relationships/hyperlink" Target="https://cdn.shopify.com/s/files/1/0792/5098/1063/files/154e0978960240ef894684873b01b7474acc167faf78b0a25dad3220dceea9ff.jpg?v=1785047641" TargetMode="External" Id="rId26"/><Relationship Type="http://schemas.openxmlformats.org/officeDocument/2006/relationships/hyperlink" Target="https://cdn.shopify.com/s/files/1/0792/5098/1063/files/dc2169ad0621c11be08d4052b8aa06015181b0f9bb4a084f774f76045a433ddb.jpg?v=1785047642" TargetMode="External" Id="rId27"/><Relationship Type="http://schemas.openxmlformats.org/officeDocument/2006/relationships/hyperlink" Target="https://cdn.shopify.com/s/files/1/0792/5098/1063/files/dc2169ad0621c11be08d4052b8aa06015181b0f9bb4a084f774f76045a433ddb.jpg?v=1785047642" TargetMode="External" Id="rId28"/><Relationship Type="http://schemas.openxmlformats.org/officeDocument/2006/relationships/hyperlink" Target="https://cdn.shopify.com/s/files/1/0792/5098/1063/files/dd282aa42023e7ee29bff2dd25def8381c9a39ffc4a562db905c1ab836c0958e.jpg?v=1785047642" TargetMode="External" Id="rId29"/><Relationship Type="http://schemas.openxmlformats.org/officeDocument/2006/relationships/hyperlink" Target="https://cdn.shopify.com/s/files/1/0792/5098/1063/files/dd282aa42023e7ee29bff2dd25def8381c9a39ffc4a562db905c1ab836c0958e.jpg?v=1785047642" TargetMode="External" Id="rId30"/><Relationship Type="http://schemas.openxmlformats.org/officeDocument/2006/relationships/hyperlink" Target="https://cdn.shopify.com/s/files/1/0792/5098/1063/files/cb81fbbd323502c328afba908d7ba84be8fa902b3586aba23f3ea630c44b5ece.jpg?v=1785047641" TargetMode="External" Id="rId31"/><Relationship Type="http://schemas.openxmlformats.org/officeDocument/2006/relationships/hyperlink" Target="https://cdn.shopify.com/s/files/1/0792/5098/1063/files/cb81fbbd323502c328afba908d7ba84be8fa902b3586aba23f3ea630c44b5ece.jpg?v=1785047641" TargetMode="External" Id="rId32"/><Relationship Type="http://schemas.openxmlformats.org/officeDocument/2006/relationships/hyperlink" Target="https://cdn.shopify.com/s/files/1/0792/5098/1063/files/312851c507c911ddebc26229bf4ed0a8b8b7d6c725a99e10af2eee1f0cb7d759.jpg?v=1785047641" TargetMode="External" Id="rId33"/><Relationship Type="http://schemas.openxmlformats.org/officeDocument/2006/relationships/hyperlink" Target="https://cdn.shopify.com/s/files/1/0792/5098/1063/files/312851c507c911ddebc26229bf4ed0a8b8b7d6c725a99e10af2eee1f0cb7d759.jpg?v=1785047641" TargetMode="External" Id="rId34"/><Relationship Type="http://schemas.openxmlformats.org/officeDocument/2006/relationships/hyperlink" Target="https://cdn.shopify.com/s/files/1/0792/5098/1063/files/a65d7ac7a8f7f7e983b00e3d7f2c80dfe5c3dfba4b2c5562d979b2867a75b9a9.jpg?v=1785047723" TargetMode="External" Id="rId35"/><Relationship Type="http://schemas.openxmlformats.org/officeDocument/2006/relationships/hyperlink" Target="https://cdn.shopify.com/s/files/1/0792/5098/1063/files/a65d7ac7a8f7f7e983b00e3d7f2c80dfe5c3dfba4b2c5562d979b2867a75b9a9.jpg?v=1785047723" TargetMode="External" Id="rId36"/><Relationship Type="http://schemas.openxmlformats.org/officeDocument/2006/relationships/hyperlink" Target="https://cdn.shopify.com/s/files/1/0792/5098/1063/files/cf5f5801d90563e2c233c5f25963a1eeec2b670e66c4877bf0ff16f96c95b625.jpg?v=1785047723" TargetMode="External" Id="rId37"/><Relationship Type="http://schemas.openxmlformats.org/officeDocument/2006/relationships/hyperlink" Target="https://cdn.shopify.com/s/files/1/0792/5098/1063/files/cf5f5801d90563e2c233c5f25963a1eeec2b670e66c4877bf0ff16f96c95b625.jpg?v=1785047723" TargetMode="External" Id="rId38"/><Relationship Type="http://schemas.openxmlformats.org/officeDocument/2006/relationships/hyperlink" Target="https://cdn.shopify.com/s/files/1/0792/5098/1063/files/883a02b119af28ef08b91bee6b79a0cf17aeb400df92b0e570b3092d246f2ce3.jpg?v=1785047723" TargetMode="External" Id="rId39"/><Relationship Type="http://schemas.openxmlformats.org/officeDocument/2006/relationships/hyperlink" Target="https://cdn.shopify.com/s/files/1/0792/5098/1063/files/883a02b119af28ef08b91bee6b79a0cf17aeb400df92b0e570b3092d246f2ce3.jpg?v=1785047723" TargetMode="External" Id="rId40"/><Relationship Type="http://schemas.openxmlformats.org/officeDocument/2006/relationships/hyperlink" Target="https://cdn.shopify.com/s/files/1/0792/5098/1063/files/e9a03d40e08a4d81e910a9631ec20e3ff087b7ec69c4256c8f010c8ef198e296.jpg?v=1785047723" TargetMode="External" Id="rId41"/><Relationship Type="http://schemas.openxmlformats.org/officeDocument/2006/relationships/hyperlink" Target="https://cdn.shopify.com/s/files/1/0792/5098/1063/files/e9a03d40e08a4d81e910a9631ec20e3ff087b7ec69c4256c8f010c8ef198e296.jpg?v=1785047723" TargetMode="External" Id="rId42"/><Relationship Type="http://schemas.openxmlformats.org/officeDocument/2006/relationships/hyperlink" Target="https://cdn.shopify.com/s/files/1/0792/5098/1063/files/ecff9d37367ab122b1e45c355aedb44a6a83ae1f86eb834e47dbe104afbe6f0c.jpg?v=1785047723" TargetMode="External" Id="rId43"/><Relationship Type="http://schemas.openxmlformats.org/officeDocument/2006/relationships/hyperlink" Target="https://cdn.shopify.com/s/files/1/0792/5098/1063/files/ecff9d37367ab122b1e45c355aedb44a6a83ae1f86eb834e47dbe104afbe6f0c.jpg?v=1785047723" TargetMode="External" Id="rId44"/><Relationship Type="http://schemas.openxmlformats.org/officeDocument/2006/relationships/hyperlink" Target="https://cdn.shopify.com/s/files/1/0792/5098/1063/files/b704ba1ab0ecc12f7c984e77ff339054f6178a5d22213a4f66b32cb0b33179a2.jpg?v=1785047723" TargetMode="External" Id="rId45"/><Relationship Type="http://schemas.openxmlformats.org/officeDocument/2006/relationships/hyperlink" Target="https://cdn.shopify.com/s/files/1/0792/5098/1063/files/b704ba1ab0ecc12f7c984e77ff339054f6178a5d22213a4f66b32cb0b33179a2.jpg?v=1785047723" TargetMode="External" Id="rId46"/><Relationship Type="http://schemas.openxmlformats.org/officeDocument/2006/relationships/hyperlink" Target="https://cdn.shopify.com/s/files/1/0792/5098/1063/files/16b2a7500baa52d57db1e163763d075142abbc3bb7aef362e0f069d8dbc4ff84.jpg?v=1785046479" TargetMode="External" Id="rId47"/><Relationship Type="http://schemas.openxmlformats.org/officeDocument/2006/relationships/hyperlink" Target="https://cdn.shopify.com/s/files/1/0792/5098/1063/files/16b2a7500baa52d57db1e163763d075142abbc3bb7aef362e0f069d8dbc4ff84.jpg?v=1785046479" TargetMode="External" Id="rId48"/><Relationship Type="http://schemas.openxmlformats.org/officeDocument/2006/relationships/hyperlink" Target="https://cdn.shopify.com/s/files/1/0792/5098/1063/files/e9255764154fcb0567d56dff6d18338d794e38096cf4a28ff23b02b94249ff50.jpg?v=1785046479" TargetMode="External" Id="rId49"/><Relationship Type="http://schemas.openxmlformats.org/officeDocument/2006/relationships/hyperlink" Target="https://cdn.shopify.com/s/files/1/0792/5098/1063/files/e9255764154fcb0567d56dff6d18338d794e38096cf4a28ff23b02b94249ff50.jpg?v=1785046479" TargetMode="External" Id="rId50"/><Relationship Type="http://schemas.openxmlformats.org/officeDocument/2006/relationships/hyperlink" Target="https://cdn.shopify.com/s/files/1/0792/5098/1063/files/4e8c5912b8e924d5221f376453a040ea3284bd5fa7524596fa0a04390c0ace96.jpg?v=1785046479" TargetMode="External" Id="rId51"/><Relationship Type="http://schemas.openxmlformats.org/officeDocument/2006/relationships/hyperlink" Target="https://cdn.shopify.com/s/files/1/0792/5098/1063/files/4e8c5912b8e924d5221f376453a040ea3284bd5fa7524596fa0a04390c0ace96.jpg?v=1785046479" TargetMode="External" Id="rId52"/><Relationship Type="http://schemas.openxmlformats.org/officeDocument/2006/relationships/hyperlink" Target="https://cdn.shopify.com/s/files/1/0792/5098/1063/files/3d1e34d78c30e8f2974ee01ce23c9ec90898bc07630a4ad3c07f2b8b40ac92ea.jpg?v=1785046479" TargetMode="External" Id="rId53"/><Relationship Type="http://schemas.openxmlformats.org/officeDocument/2006/relationships/hyperlink" Target="https://cdn.shopify.com/s/files/1/0792/5098/1063/files/3d1e34d78c30e8f2974ee01ce23c9ec90898bc07630a4ad3c07f2b8b40ac92ea.jpg?v=1785046479" TargetMode="External" Id="rId54"/><Relationship Type="http://schemas.openxmlformats.org/officeDocument/2006/relationships/hyperlink" Target="https://cdn.shopify.com/s/files/1/0792/5098/1063/files/f0f2f59b12cc5de62eaf91437973093374838d324dd5ba94b033d2cdbdec7a91.jpg?v=1785046479" TargetMode="External" Id="rId55"/><Relationship Type="http://schemas.openxmlformats.org/officeDocument/2006/relationships/hyperlink" Target="https://cdn.shopify.com/s/files/1/0792/5098/1063/files/f0f2f59b12cc5de62eaf91437973093374838d324dd5ba94b033d2cdbdec7a91.jpg?v=1785046479" TargetMode="External" Id="rId56"/><Relationship Type="http://schemas.openxmlformats.org/officeDocument/2006/relationships/hyperlink" Target="https://cdn.shopify.com/s/files/1/0792/5098/1063/files/cdfb2abc2375160a8704f9ec9d3c4be2c8f8852d5e6f2aae6e84f0cc5f8d0810.jpg?v=1785046051" TargetMode="External" Id="rId57"/><Relationship Type="http://schemas.openxmlformats.org/officeDocument/2006/relationships/hyperlink" Target="https://cdn.shopify.com/s/files/1/0792/5098/1063/files/cdfb2abc2375160a8704f9ec9d3c4be2c8f8852d5e6f2aae6e84f0cc5f8d0810.jpg?v=1785046051" TargetMode="External" Id="rId58"/><Relationship Type="http://schemas.openxmlformats.org/officeDocument/2006/relationships/hyperlink" Target="https://cdn.shopify.com/s/files/1/0792/5098/1063/files/c93b613bae089349cdfd5f4279212ff60b684d3c3e45df979e8286a86fd8fe65.jpg?v=1785046051" TargetMode="External" Id="rId59"/><Relationship Type="http://schemas.openxmlformats.org/officeDocument/2006/relationships/hyperlink" Target="https://cdn.shopify.com/s/files/1/0792/5098/1063/files/c93b613bae089349cdfd5f4279212ff60b684d3c3e45df979e8286a86fd8fe65.jpg?v=1785046051" TargetMode="External" Id="rId60"/><Relationship Type="http://schemas.openxmlformats.org/officeDocument/2006/relationships/hyperlink" Target="https://cdn.shopify.com/s/files/1/0792/5098/1063/files/86eced4e4bf6e63735f4f2c66481275b7882f4bc066ceec8d9502d708a5d984c.jpg?v=1785046051" TargetMode="External" Id="rId61"/><Relationship Type="http://schemas.openxmlformats.org/officeDocument/2006/relationships/hyperlink" Target="https://cdn.shopify.com/s/files/1/0792/5098/1063/files/86eced4e4bf6e63735f4f2c66481275b7882f4bc066ceec8d9502d708a5d984c.jpg?v=1785046051" TargetMode="External" Id="rId62"/><Relationship Type="http://schemas.openxmlformats.org/officeDocument/2006/relationships/hyperlink" Target="https://cdn.shopify.com/s/files/1/0792/5098/1063/files/010fc93066b878fd361c7354db22404ffa1c52e92a983073c965b52097e7da0f.jpg?v=1785046051" TargetMode="External" Id="rId63"/><Relationship Type="http://schemas.openxmlformats.org/officeDocument/2006/relationships/hyperlink" Target="https://cdn.shopify.com/s/files/1/0792/5098/1063/files/010fc93066b878fd361c7354db22404ffa1c52e92a983073c965b52097e7da0f.jpg?v=1785046051" TargetMode="External" Id="rId64"/><Relationship Type="http://schemas.openxmlformats.org/officeDocument/2006/relationships/hyperlink" Target="https://cdn.shopify.com/s/files/1/0792/5098/1063/files/508d643d43b166c30f43cb4155366e0bb204a450288832afb3d1ae3f465842be.jpg?v=1785046051" TargetMode="External" Id="rId65"/><Relationship Type="http://schemas.openxmlformats.org/officeDocument/2006/relationships/hyperlink" Target="https://cdn.shopify.com/s/files/1/0792/5098/1063/files/508d643d43b166c30f43cb4155366e0bb204a450288832afb3d1ae3f465842be.jpg?v=1785046051" TargetMode="External" Id="rId66"/><Relationship Type="http://schemas.openxmlformats.org/officeDocument/2006/relationships/hyperlink" Target="https://cdn.shopify.com/s/files/1/0792/5098/1063/files/94001394196306ca9b1b0d683fd420fd7088a94b484c78bd3b50c3693317b348.jpg?v=1785046158" TargetMode="External" Id="rId67"/><Relationship Type="http://schemas.openxmlformats.org/officeDocument/2006/relationships/hyperlink" Target="https://cdn.shopify.com/s/files/1/0792/5098/1063/files/94001394196306ca9b1b0d683fd420fd7088a94b484c78bd3b50c3693317b348.jpg?v=1785046158" TargetMode="External" Id="rId68"/><Relationship Type="http://schemas.openxmlformats.org/officeDocument/2006/relationships/hyperlink" Target="https://cdn.shopify.com/s/files/1/0792/5098/1063/files/889dd5e2f2383d2153d1c11615f3f8987fbeb5ee382606af2a6e829e5e6c5919.jpg?v=1785046158" TargetMode="External" Id="rId69"/><Relationship Type="http://schemas.openxmlformats.org/officeDocument/2006/relationships/hyperlink" Target="https://cdn.shopify.com/s/files/1/0792/5098/1063/files/889dd5e2f2383d2153d1c11615f3f8987fbeb5ee382606af2a6e829e5e6c5919.jpg?v=1785046158" TargetMode="External" Id="rId70"/><Relationship Type="http://schemas.openxmlformats.org/officeDocument/2006/relationships/hyperlink" Target="https://cdn.shopify.com/s/files/1/0792/5098/1063/files/fb8b51b32f2c661aed0d41d26205998733170132be56a1b92b3e9a668c8a4dd4.jpg?v=1785046158" TargetMode="External" Id="rId71"/><Relationship Type="http://schemas.openxmlformats.org/officeDocument/2006/relationships/hyperlink" Target="https://cdn.shopify.com/s/files/1/0792/5098/1063/files/fb8b51b32f2c661aed0d41d26205998733170132be56a1b92b3e9a668c8a4dd4.jpg?v=1785046158" TargetMode="External" Id="rId72"/><Relationship Type="http://schemas.openxmlformats.org/officeDocument/2006/relationships/hyperlink" Target="https://cdn.shopify.com/s/files/1/0792/5098/1063/files/01f734498d3b89750a943829d688abf985a64d10d034f01ce76a5b383304afd0.jpg?v=1785046159" TargetMode="External" Id="rId73"/><Relationship Type="http://schemas.openxmlformats.org/officeDocument/2006/relationships/hyperlink" Target="https://cdn.shopify.com/s/files/1/0792/5098/1063/files/01f734498d3b89750a943829d688abf985a64d10d034f01ce76a5b383304afd0.jpg?v=1785046159" TargetMode="External" Id="rId74"/><Relationship Type="http://schemas.openxmlformats.org/officeDocument/2006/relationships/hyperlink" Target="https://cdn.shopify.com/s/files/1/0792/5098/1063/files/bb107a9fece094bd902cb6ce0621c9bdb5a066805cfa5082c4e4fd915df4c8a9.jpg?v=1785046159" TargetMode="External" Id="rId75"/><Relationship Type="http://schemas.openxmlformats.org/officeDocument/2006/relationships/hyperlink" Target="https://cdn.shopify.com/s/files/1/0792/5098/1063/files/bb107a9fece094bd902cb6ce0621c9bdb5a066805cfa5082c4e4fd915df4c8a9.jpg?v=1785046159" TargetMode="External" Id="rId76"/><Relationship Type="http://schemas.openxmlformats.org/officeDocument/2006/relationships/hyperlink" Target="https://cdn.shopify.com/s/files/1/0792/5098/1063/files/28cdf69b4ac6725594ea1a837ebe8c207ad2e3bc3eaa00dcae9c37f372a06930.jpg?v=1785099676" TargetMode="External" Id="rId77"/><Relationship Type="http://schemas.openxmlformats.org/officeDocument/2006/relationships/hyperlink" Target="https://cdn.shopify.com/s/files/1/0792/5098/1063/files/28cdf69b4ac6725594ea1a837ebe8c207ad2e3bc3eaa00dcae9c37f372a06930.jpg?v=1785099676" TargetMode="External" Id="rId78"/><Relationship Type="http://schemas.openxmlformats.org/officeDocument/2006/relationships/hyperlink" Target="https://cdn.shopify.com/s/files/1/0792/5098/1063/files/00ab49d13d6d6ade262ef18c97ecca7a66605f05bfe51006c8da23b0deb1c224.jpg?v=1785099676" TargetMode="External" Id="rId79"/><Relationship Type="http://schemas.openxmlformats.org/officeDocument/2006/relationships/hyperlink" Target="https://cdn.shopify.com/s/files/1/0792/5098/1063/files/00ab49d13d6d6ade262ef18c97ecca7a66605f05bfe51006c8da23b0deb1c224.jpg?v=1785099676" TargetMode="External" Id="rId80"/><Relationship Type="http://schemas.openxmlformats.org/officeDocument/2006/relationships/hyperlink" Target="https://cdn.shopify.com/s/files/1/0792/5098/1063/files/e2799d48fb782b01867d568b702d482759c35c84c72a224b1ae800761f02dc85.jpg?v=1785099676" TargetMode="External" Id="rId81"/><Relationship Type="http://schemas.openxmlformats.org/officeDocument/2006/relationships/hyperlink" Target="https://cdn.shopify.com/s/files/1/0792/5098/1063/files/e2799d48fb782b01867d568b702d482759c35c84c72a224b1ae800761f02dc85.jpg?v=1785099676" TargetMode="External" Id="rId82"/><Relationship Type="http://schemas.openxmlformats.org/officeDocument/2006/relationships/hyperlink" Target="https://cdn.shopify.com/s/files/1/0792/5098/1063/files/843c75776c48ba7c6b9de831505e6128337fdac4e212bc21f8db025894661a25.jpg?v=1785099676" TargetMode="External" Id="rId83"/><Relationship Type="http://schemas.openxmlformats.org/officeDocument/2006/relationships/hyperlink" Target="https://cdn.shopify.com/s/files/1/0792/5098/1063/files/843c75776c48ba7c6b9de831505e6128337fdac4e212bc21f8db025894661a25.jpg?v=1785099676" TargetMode="External" Id="rId84"/><Relationship Type="http://schemas.openxmlformats.org/officeDocument/2006/relationships/hyperlink" Target="https://cdn.shopify.com/s/files/1/0792/5098/1063/files/1bec8d5505b33acb8d415cbcd49dcd442c037ff7f9912df5b540dfbcbf700b8f.jpg?v=1785099676" TargetMode="External" Id="rId85"/><Relationship Type="http://schemas.openxmlformats.org/officeDocument/2006/relationships/hyperlink" Target="https://cdn.shopify.com/s/files/1/0792/5098/1063/files/1bec8d5505b33acb8d415cbcd49dcd442c037ff7f9912df5b540dfbcbf700b8f.jpg?v=1785099676" TargetMode="External" Id="rId86"/><Relationship Type="http://schemas.openxmlformats.org/officeDocument/2006/relationships/hyperlink" Target="https://cdn.shopify.com/s/files/1/0792/5098/1063/files/404ed5803f051b4bd7cf074f2d1676bab70b65623b4817a5ec6c069f82efdddf.jpg?v=1785103994" TargetMode="External" Id="rId87"/><Relationship Type="http://schemas.openxmlformats.org/officeDocument/2006/relationships/hyperlink" Target="https://cdn.shopify.com/s/files/1/0792/5098/1063/files/404ed5803f051b4bd7cf074f2d1676bab70b65623b4817a5ec6c069f82efdddf.jpg?v=1785103994" TargetMode="External" Id="rId88"/><Relationship Type="http://schemas.openxmlformats.org/officeDocument/2006/relationships/hyperlink" Target="https://cdn.shopify.com/s/files/1/0792/5098/1063/files/97438d06f9a430d622e570ea451d2a47fd77088a7bc26d95fb1edb5928b69f48.jpg?v=1785103994" TargetMode="External" Id="rId89"/><Relationship Type="http://schemas.openxmlformats.org/officeDocument/2006/relationships/hyperlink" Target="https://cdn.shopify.com/s/files/1/0792/5098/1063/files/97438d06f9a430d622e570ea451d2a47fd77088a7bc26d95fb1edb5928b69f48.jpg?v=1785103994" TargetMode="External" Id="rId90"/><Relationship Type="http://schemas.openxmlformats.org/officeDocument/2006/relationships/hyperlink" Target="https://cdn.shopify.com/s/files/1/0792/5098/1063/files/d1059c276ace67802969ba6fb620ce50ca0b4fa72d02e7be1790b7d39ab41eb7.jpg?v=1785103994" TargetMode="External" Id="rId91"/><Relationship Type="http://schemas.openxmlformats.org/officeDocument/2006/relationships/hyperlink" Target="https://cdn.shopify.com/s/files/1/0792/5098/1063/files/d1059c276ace67802969ba6fb620ce50ca0b4fa72d02e7be1790b7d39ab41eb7.jpg?v=1785103994" TargetMode="External" Id="rId92"/><Relationship Type="http://schemas.openxmlformats.org/officeDocument/2006/relationships/hyperlink" Target="https://cdn.shopify.com/s/files/1/0792/5098/1063/files/31555b0f52e5ce2dbc2f028f11c9e41272413a642740df0fff5d4479cdd052a8.jpg?v=1785103994" TargetMode="External" Id="rId93"/><Relationship Type="http://schemas.openxmlformats.org/officeDocument/2006/relationships/hyperlink" Target="https://cdn.shopify.com/s/files/1/0792/5098/1063/files/31555b0f52e5ce2dbc2f028f11c9e41272413a642740df0fff5d4479cdd052a8.jpg?v=1785103994" TargetMode="External" Id="rId94"/><Relationship Type="http://schemas.openxmlformats.org/officeDocument/2006/relationships/hyperlink" Target="https://cdn.shopify.com/s/files/1/0792/5098/1063/files/16b178bd5910fd0d4a839762ab332ffc6ce5eaf9a61be2d2070bb6a8a1d6bf62.jpg?v=1785103994" TargetMode="External" Id="rId95"/><Relationship Type="http://schemas.openxmlformats.org/officeDocument/2006/relationships/hyperlink" Target="https://cdn.shopify.com/s/files/1/0792/5098/1063/files/16b178bd5910fd0d4a839762ab332ffc6ce5eaf9a61be2d2070bb6a8a1d6bf62.jpg?v=1785103994" TargetMode="External" Id="rId96"/><Relationship Type="http://schemas.openxmlformats.org/officeDocument/2006/relationships/hyperlink" Target="https://cdn.shopify.com/s/files/1/0792/5098/1063/files/0e97f0275ec81b9b8b4855997dfbe42687a5179966f4a4818b2567ed84c668b1.jpg?v=1785103994" TargetMode="External" Id="rId97"/><Relationship Type="http://schemas.openxmlformats.org/officeDocument/2006/relationships/hyperlink" Target="https://cdn.shopify.com/s/files/1/0792/5098/1063/files/0e97f0275ec81b9b8b4855997dfbe42687a5179966f4a4818b2567ed84c668b1.jpg?v=1785103994" TargetMode="External" Id="rId98"/><Relationship Type="http://schemas.openxmlformats.org/officeDocument/2006/relationships/hyperlink" Target="https://cdn.shopify.com/s/files/1/0792/5098/1063/files/c47177e42e8c147f5efe5d49253545313c2a7f4e815909b29b5c78cb601deb3c.jpg?v=1785103994" TargetMode="External" Id="rId99"/><Relationship Type="http://schemas.openxmlformats.org/officeDocument/2006/relationships/hyperlink" Target="https://cdn.shopify.com/s/files/1/0792/5098/1063/files/c47177e42e8c147f5efe5d49253545313c2a7f4e815909b29b5c78cb601deb3c.jpg?v=1785103994" TargetMode="External" Id="rId100"/><Relationship Type="http://schemas.openxmlformats.org/officeDocument/2006/relationships/hyperlink" Target="https://cdn.shopify.com/s/files/1/0792/5098/1063/files/988722264f93b7f929168547b94fc3474fc0ce389c8526bb822d4377a564c29d.jpg?v=1787233669" TargetMode="External" Id="rId101"/><Relationship Type="http://schemas.openxmlformats.org/officeDocument/2006/relationships/hyperlink" Target="https://cdn.shopify.com/s/files/1/0792/5098/1063/files/988722264f93b7f929168547b94fc3474fc0ce389c8526bb822d4377a564c29d.jpg?v=1787233669" TargetMode="External" Id="rId102"/><Relationship Type="http://schemas.openxmlformats.org/officeDocument/2006/relationships/hyperlink" Target="https://cdn.shopify.com/s/files/1/0792/5098/1063/files/42f0dd26ba813ef0447553675dea32c4c20b9e98cd31b90f997311c32ca9a464.jpg?v=1787233669" TargetMode="External" Id="rId103"/><Relationship Type="http://schemas.openxmlformats.org/officeDocument/2006/relationships/hyperlink" Target="https://cdn.shopify.com/s/files/1/0792/5098/1063/files/42f0dd26ba813ef0447553675dea32c4c20b9e98cd31b90f997311c32ca9a464.jpg?v=1787233669" TargetMode="External" Id="rId104"/><Relationship Type="http://schemas.openxmlformats.org/officeDocument/2006/relationships/hyperlink" Target="https://cdn.shopify.com/s/files/1/0792/5098/1063/files/a2cb5e690cb249a856de7836f6eb3260f06f9a5d599fedfdf7d545401e0282f0.jpg?v=1787233669" TargetMode="External" Id="rId105"/><Relationship Type="http://schemas.openxmlformats.org/officeDocument/2006/relationships/hyperlink" Target="https://cdn.shopify.com/s/files/1/0792/5098/1063/files/a2cb5e690cb249a856de7836f6eb3260f06f9a5d599fedfdf7d545401e0282f0.jpg?v=1787233669" TargetMode="External" Id="rId106"/><Relationship Type="http://schemas.openxmlformats.org/officeDocument/2006/relationships/hyperlink" Target="https://cdn.shopify.com/s/files/1/0792/5098/1063/files/a4fb818afb81b9c4913d6d39542326bd6d4fe7c92d81e82f96d3c35eb4d087ca.jpg?v=1787233669" TargetMode="External" Id="rId107"/><Relationship Type="http://schemas.openxmlformats.org/officeDocument/2006/relationships/hyperlink" Target="https://cdn.shopify.com/s/files/1/0792/5098/1063/files/a4fb818afb81b9c4913d6d39542326bd6d4fe7c92d81e82f96d3c35eb4d087ca.jpg?v=1787233669" TargetMode="External" Id="rId108"/><Relationship Type="http://schemas.openxmlformats.org/officeDocument/2006/relationships/hyperlink" Target="https://cdn.shopify.com/s/files/1/0792/5098/1063/files/e5d8a713701bc8252a33abe3e1226ed99b68fc5da417f472a9061c58ebab124d.jpg?v=1787233669" TargetMode="External" Id="rId109"/><Relationship Type="http://schemas.openxmlformats.org/officeDocument/2006/relationships/hyperlink" Target="https://cdn.shopify.com/s/files/1/0792/5098/1063/files/e5d8a713701bc8252a33abe3e1226ed99b68fc5da417f472a9061c58ebab124d.jpg?v=1787233669" TargetMode="External" Id="rId110"/><Relationship Type="http://schemas.openxmlformats.org/officeDocument/2006/relationships/hyperlink" Target="https://cdn.shopify.com/s/files/1/0792/5098/1063/files/d20c2c33933f1f653a3f3f47666f0c1c2efb2135959e0e0ddbdd4bff35474308.jpg?v=1787233669" TargetMode="External" Id="rId111"/><Relationship Type="http://schemas.openxmlformats.org/officeDocument/2006/relationships/hyperlink" Target="https://cdn.shopify.com/s/files/1/0792/5098/1063/files/d20c2c33933f1f653a3f3f47666f0c1c2efb2135959e0e0ddbdd4bff35474308.jpg?v=1787233669" TargetMode="External" Id="rId112"/><Relationship Type="http://schemas.openxmlformats.org/officeDocument/2006/relationships/hyperlink" Target="https://cdn.shopify.com/s/files/1/0792/5098/1063/files/2da7f736cf6f750ba52277e2af1fa4fb70311ada87fb3eab2e27bf613bac4d55.jpg?v=1787233669" TargetMode="External" Id="rId113"/><Relationship Type="http://schemas.openxmlformats.org/officeDocument/2006/relationships/hyperlink" Target="https://cdn.shopify.com/s/files/1/0792/5098/1063/files/2da7f736cf6f750ba52277e2af1fa4fb70311ada87fb3eab2e27bf613bac4d55.jpg?v=1787233669" TargetMode="External" Id="rId11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  <col width="42" customWidth="1" min="3" max="3"/>
  </cols>
  <sheetData>
    <row r="1" ht="32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 ht="42" customHeight="1">
      <c r="A2" s="2" t="inlineStr">
        <is>
          <t>shop_domain</t>
        </is>
      </c>
      <c r="B2" s="2" t="inlineStr">
        <is>
          <t>jeminise.com</t>
        </is>
      </c>
      <c r="C2" s="2" t="inlineStr">
        <is>
          <t>Shop being QAed.</t>
        </is>
      </c>
    </row>
    <row r="3" ht="42" customHeight="1">
      <c r="A3" s="3" t="inlineStr">
        <is>
          <t>source_run_id</t>
        </is>
      </c>
      <c r="B3" s="3" t="inlineStr">
        <is>
          <t>20260906_234129</t>
        </is>
      </c>
      <c r="C3" s="3" t="inlineStr">
        <is>
          <t>Original SEO drafting run.</t>
        </is>
      </c>
    </row>
    <row r="4" ht="42" customHeight="1">
      <c r="A4" s="2" t="inlineStr">
        <is>
          <t>qa_run_id</t>
        </is>
      </c>
      <c r="B4" s="2" t="inlineStr">
        <is>
          <t>20260907_214000</t>
        </is>
      </c>
      <c r="C4" s="2" t="inlineStr">
        <is>
          <t>QA run folder for this corrected rerun.</t>
        </is>
      </c>
    </row>
    <row r="5" ht="42" customHeight="1">
      <c r="A5" s="3" t="inlineStr">
        <is>
          <t>qa_batch_id</t>
        </is>
      </c>
      <c r="B5" s="3" t="inlineStr">
        <is>
          <t>qa_batch_015</t>
        </is>
      </c>
      <c r="C5" s="3" t="inlineStr">
        <is>
          <t>Batch being independently checked.</t>
        </is>
      </c>
    </row>
    <row r="6" ht="42" customHeight="1">
      <c r="A6" s="2" t="inlineStr">
        <is>
          <t>revision</t>
        </is>
      </c>
      <c r="B6" s="2" t="inlineStr">
        <is>
          <t>r1</t>
        </is>
      </c>
      <c r="C6" s="2" t="inlineStr">
        <is>
          <t>Initial independent QA revision for qa_batch_015.</t>
        </is>
      </c>
    </row>
    <row r="7" ht="42" customHeight="1">
      <c r="A7" s="3" t="inlineStr">
        <is>
          <t>source_workbook</t>
        </is>
      </c>
      <c r="B7" s="3" t="inlineStr">
        <is>
          <t>D:\Shopify_Workspace\jeminise_seo\resutls\jeminise.com\20260906_234129\batches\SEO_Product_Optimization_through_batch_015.xlsx</t>
        </is>
      </c>
      <c r="C7" s="3" t="inlineStr">
        <is>
          <t>Frozen workbook source path.</t>
        </is>
      </c>
    </row>
    <row r="8" ht="42" customHeight="1">
      <c r="A8" s="2" t="inlineStr">
        <is>
          <t>source_sha256</t>
        </is>
      </c>
      <c r="B8" s="2" t="inlineStr">
        <is>
          <t>0311DF4CA9BB483107A3267536E7AD4632CCB24F7A0178BF2D9DAD1BA7E6333D</t>
        </is>
      </c>
      <c r="C8" s="2" t="inlineStr">
        <is>
          <t>SHA-256 at freeze/final handoff time.</t>
        </is>
      </c>
    </row>
    <row r="9" ht="42" customHeight="1">
      <c r="A9" s="3" t="inlineStr">
        <is>
          <t>snapshot_sha256</t>
        </is>
      </c>
      <c r="B9" s="3" t="inlineStr">
        <is>
          <t>0311DF4CA9BB483107A3267536E7AD4632CCB24F7A0178BF2D9DAD1BA7E6333D</t>
        </is>
      </c>
      <c r="C9" s="3" t="inlineStr">
        <is>
          <t>SHA-256 of workbook copy in source_snapshot.</t>
        </is>
      </c>
    </row>
    <row r="10" ht="42" customHeight="1">
      <c r="A10" s="2" t="inlineStr">
        <is>
          <t>scope</t>
        </is>
      </c>
      <c r="B10" s="2" t="inlineStr">
        <is>
          <t>10 products, 57/57 images</t>
        </is>
      </c>
      <c r="C10" s="2" t="inlineStr">
        <is>
          <t>Batch scope and image coverage.</t>
        </is>
      </c>
    </row>
    <row r="11" ht="42" customHeight="1">
      <c r="A11" s="3" t="inlineStr">
        <is>
          <t>batch_final_score</t>
        </is>
      </c>
      <c r="B11" s="3">
        <f>AVERAGE('QA_Products'!$K$2:$K$11)</f>
        <v/>
      </c>
      <c r="C11" s="3" t="inlineStr">
        <is>
          <t>Formula-driven average final score in workbook.</t>
        </is>
      </c>
    </row>
    <row r="12" ht="42" customHeight="1">
      <c r="A12" s="2" t="inlineStr">
        <is>
          <t>batch_result</t>
        </is>
      </c>
      <c r="B12" s="2">
        <f>IF(COUNTIF('QA_Products'!$L$2:$L$11,"QA_PASS")=ROWS('QA_Products'!$L$2:$L$11),"PASSED","NOT_PASSED")</f>
        <v/>
      </c>
      <c r="C12" s="2" t="inlineStr">
        <is>
          <t>PASSED only if all products are QA_PASS.</t>
        </is>
      </c>
    </row>
    <row r="13" ht="42" customHeight="1">
      <c r="A13" s="3" t="inlineStr">
        <is>
          <t>status_counts</t>
        </is>
      </c>
      <c r="B13" s="3">
        <f>"PASS="&amp;COUNTIF('QA_Products'!$L$2:$L$11,"QA_PASS")&amp;"; REVISE="&amp;COUNTIF('QA_Products'!$L$2:$L$11,"QA_REVISE")&amp;"; FAIL="&amp;COUNTIF('QA_Products'!$L$2:$L$11,"QA_FAIL")&amp;"; INCOMPLETE="&amp;COUNTIF('QA_Products'!$L$2:$L$11,"QA_INCOMPLETE")</f>
        <v/>
      </c>
      <c r="C13" s="3" t="inlineStr">
        <is>
          <t>Product QA status counts.</t>
        </is>
      </c>
    </row>
    <row r="14" ht="42" customHeight="1">
      <c r="A14" s="2" t="inlineStr">
        <is>
          <t>issue_counts</t>
        </is>
      </c>
      <c r="B14" s="2" t="inlineStr">
        <is>
          <t>CRITICAL=0; MAJOR=35; MINOR=46; LIMITATION=10</t>
        </is>
      </c>
      <c r="C14" s="2" t="inlineStr">
        <is>
          <t>Issue severity counts.</t>
        </is>
      </c>
    </row>
    <row r="15" ht="42" customHeight="1">
      <c r="A15" s="3" t="inlineStr">
        <is>
          <t>awaiting_confirmation</t>
        </is>
      </c>
      <c r="B15" s="3" t="b">
        <v>1</v>
      </c>
      <c r="C15" s="3" t="inlineStr">
        <is>
          <t>Do not QA next batch until user confirms.</t>
        </is>
      </c>
    </row>
  </sheetData>
  <autoFilter ref="A1:C15"/>
  <printOptions horizontalCentered="0"/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8" customWidth="1" min="3" max="3"/>
    <col width="24" customWidth="1" min="4" max="4"/>
    <col width="15" customWidth="1" min="5" max="5"/>
    <col width="11" customWidth="1" min="6" max="6"/>
    <col width="24" customWidth="1" min="7" max="7"/>
    <col width="24" customWidth="1" min="8" max="8"/>
    <col width="19" customWidth="1" min="9" max="9"/>
    <col width="19" customWidth="1" min="10" max="10"/>
    <col width="24" customWidth="1" min="11" max="11"/>
    <col width="20" customWidth="1" min="12" max="12"/>
    <col width="38" customWidth="1" min="13" max="13"/>
    <col width="17" customWidth="1" min="14" max="14"/>
    <col width="16" customWidth="1" min="15" max="15"/>
    <col width="24" customWidth="1" min="16" max="16"/>
    <col width="16" customWidth="1" min="17" max="17"/>
    <col width="24" customWidth="1" min="18" max="18"/>
    <col width="24" customWidth="1" min="19" max="19"/>
    <col width="24" customWidth="1" min="20" max="20"/>
    <col width="24" customWidth="1" min="21" max="21"/>
    <col width="42" customWidth="1" min="22" max="22"/>
    <col width="42" customWidth="1" min="23" max="23"/>
  </cols>
  <sheetData>
    <row r="1" ht="32" customHeight="1">
      <c r="A1" s="1" t="inlineStr">
        <is>
          <t>inventory_position</t>
        </is>
      </c>
      <c r="B1" s="1" t="inlineStr">
        <is>
          <t>product_key</t>
        </is>
      </c>
      <c r="C1" s="1" t="inlineStr">
        <is>
          <t>url</t>
        </is>
      </c>
      <c r="D1" s="1" t="inlineStr">
        <is>
          <t>handle</t>
        </is>
      </c>
      <c r="E1" s="1" t="inlineStr">
        <is>
          <t>product_id</t>
        </is>
      </c>
      <c r="F1" s="1" t="inlineStr">
        <is>
          <t>revision</t>
        </is>
      </c>
      <c r="G1" s="1" t="inlineStr">
        <is>
          <t>verified_points</t>
        </is>
      </c>
      <c r="H1" s="1" t="inlineStr">
        <is>
          <t>assessed_weight</t>
        </is>
      </c>
      <c r="I1" s="1" t="inlineStr">
        <is>
          <t>score_lower_bound</t>
        </is>
      </c>
      <c r="J1" s="1" t="inlineStr">
        <is>
          <t>score_upper_bound</t>
        </is>
      </c>
      <c r="K1" s="1" t="inlineStr">
        <is>
          <t>final_score</t>
        </is>
      </c>
      <c r="L1" s="1" t="inlineStr">
        <is>
          <t>qa_status</t>
        </is>
      </c>
      <c r="M1" s="1" t="inlineStr">
        <is>
          <t>keyword_evidence_level</t>
        </is>
      </c>
      <c r="N1" s="1" t="inlineStr">
        <is>
          <t>images_expected</t>
        </is>
      </c>
      <c r="O1" s="1" t="inlineStr">
        <is>
          <t>images_checked</t>
        </is>
      </c>
      <c r="P1" s="1" t="inlineStr">
        <is>
          <t>image_inventory_complete</t>
        </is>
      </c>
      <c r="Q1" s="1" t="inlineStr">
        <is>
          <t>image_coverage</t>
        </is>
      </c>
      <c r="R1" s="1" t="inlineStr">
        <is>
          <t>critical_count</t>
        </is>
      </c>
      <c r="S1" s="1" t="inlineStr">
        <is>
          <t>major_count</t>
        </is>
      </c>
      <c r="T1" s="1" t="inlineStr">
        <is>
          <t>minor_count</t>
        </is>
      </c>
      <c r="U1" s="1" t="inlineStr">
        <is>
          <t>limitation_count</t>
        </is>
      </c>
      <c r="V1" s="1" t="inlineStr">
        <is>
          <t>issue_refs</t>
        </is>
      </c>
      <c r="W1" s="1" t="inlineStr">
        <is>
          <t>evidence_refs</t>
        </is>
      </c>
    </row>
    <row r="2" ht="42" customHeight="1">
      <c r="A2" s="2" t="n">
        <v>141</v>
      </c>
      <c r="B2" s="2" t="inlineStr">
        <is>
          <t>jeminise.com+fantasy-fire-dragon-comforter-set-with-glowing-lava-and-bedroom-setting-c7ca9ae893-c7ca9ae893</t>
        </is>
      </c>
      <c r="C2" s="4" t="inlineStr">
        <is>
          <t>https://jeminise.com/products/fantasy-fire-dragon-comforter-set-with-glowing-lava-and-bedroom-setting-c7ca9ae893-c7ca9ae893</t>
        </is>
      </c>
      <c r="D2" s="2" t="inlineStr">
        <is>
          <t>fantasy-fire-dragon-comforter-set-with-glowing-lava-and-bedroom-setting-c7ca9ae893-c7ca9ae893</t>
        </is>
      </c>
      <c r="E2" s="2" t="inlineStr">
        <is>
          <t>8833336115399</t>
        </is>
      </c>
      <c r="F2" s="2" t="inlineStr">
        <is>
          <t>r1</t>
        </is>
      </c>
      <c r="G2" s="5">
        <f>SUMIF('QA_Criteria'!$A$2:$A$111,B2,'QA_Criteria'!$F$2:$F$111)</f>
        <v/>
      </c>
      <c r="H2" s="5">
        <f>SUMIF('QA_Criteria'!$A$2:$A$111,B2,'QA_Criteria'!$G$2:$G$111)</f>
        <v/>
      </c>
      <c r="I2" s="5">
        <f>G2</f>
        <v/>
      </c>
      <c r="J2" s="5">
        <f>G2+(100-H2)</f>
        <v/>
      </c>
      <c r="K2" s="5">
        <f>IF(AND(H2=100,Q2=1,P2=TRUE),G2,"")</f>
        <v/>
      </c>
      <c r="L2" s="2">
        <f>IF(R2&gt;0,"QA_FAIL",IF(K2="","QA_INCOMPLETE",IF(K2&lt;70,"QA_FAIL",IF(OR(K2&lt;85,S2&gt;0),"QA_REVISE","QA_PASS"))))</f>
        <v/>
      </c>
      <c r="M2" s="2" t="inlineStr">
        <is>
          <t>SERP_ONLY</t>
        </is>
      </c>
      <c r="N2" s="2" t="n">
        <v>5</v>
      </c>
      <c r="O2" s="2" t="n">
        <v>5</v>
      </c>
      <c r="P2" s="2" t="b">
        <v>1</v>
      </c>
      <c r="Q2" s="6" t="n">
        <v>1</v>
      </c>
      <c r="R2" s="2">
        <f>COUNTIFS('QA_Issues'!$B$2:$B$92,B2,'QA_Issues'!$D$2:$D$92,"CRITICAL")</f>
        <v/>
      </c>
      <c r="S2" s="2">
        <f>COUNTIFS('QA_Issues'!$B$2:$B$92,B2,'QA_Issues'!$D$2:$D$92,"MAJOR")</f>
        <v/>
      </c>
      <c r="T2" s="2">
        <f>COUNTIFS('QA_Issues'!$B$2:$B$92,B2,'QA_Issues'!$D$2:$D$92,"MINOR")</f>
        <v/>
      </c>
      <c r="U2" s="2">
        <f>COUNTIFS('QA_Issues'!$B$2:$B$92,B2,'QA_Issues'!$D$2:$D$92,"LIMITATION")</f>
        <v/>
      </c>
      <c r="V2" s="2" t="inlineStr">
        <is>
          <t>ISSUE-0001; ISSUE-0002; ISSUE-0003; ISSUE-0004; ISSUE-0005; ISSUE-0006; ISSUE-0007; ISSUE-0008; ISSUE-0009</t>
        </is>
      </c>
      <c r="W2" s="2" t="inlineStr">
        <is>
          <t>evidence_batch_015_141; live_source_comparison; customizer_audit; serp_evidence</t>
        </is>
      </c>
    </row>
    <row r="3" ht="42" customHeight="1">
      <c r="A3" s="3" t="n">
        <v>142</v>
      </c>
      <c r="B3" s="3" t="inlineStr">
        <is>
          <t>jeminise.com+fantasy-mythical-dragon-comforter-set-with-winged-dragon-and-bedroom-setting-bcfc28e9d3-bcfc28e9d3</t>
        </is>
      </c>
      <c r="C3" s="4" t="inlineStr">
        <is>
          <t>https://jeminise.com/products/fantasy-mythical-dragon-comforter-set-with-winged-dragon-and-bedroom-setting-bcfc28e9d3-bcfc28e9d3</t>
        </is>
      </c>
      <c r="D3" s="3" t="inlineStr">
        <is>
          <t>fantasy-mythical-dragon-comforter-set-with-winged-dragon-and-bedroom-setting-bcfc28e9d3-bcfc28e9d3</t>
        </is>
      </c>
      <c r="E3" s="3" t="inlineStr">
        <is>
          <t>8833331822791</t>
        </is>
      </c>
      <c r="F3" s="3" t="inlineStr">
        <is>
          <t>r1</t>
        </is>
      </c>
      <c r="G3" s="7">
        <f>SUMIF('QA_Criteria'!$A$2:$A$111,B3,'QA_Criteria'!$F$2:$F$111)</f>
        <v/>
      </c>
      <c r="H3" s="7">
        <f>SUMIF('QA_Criteria'!$A$2:$A$111,B3,'QA_Criteria'!$G$2:$G$111)</f>
        <v/>
      </c>
      <c r="I3" s="7">
        <f>G3</f>
        <v/>
      </c>
      <c r="J3" s="7">
        <f>G3+(100-H3)</f>
        <v/>
      </c>
      <c r="K3" s="7">
        <f>IF(AND(H3=100,Q3=1,P3=TRUE),G3,"")</f>
        <v/>
      </c>
      <c r="L3" s="3">
        <f>IF(R3&gt;0,"QA_FAIL",IF(K3="","QA_INCOMPLETE",IF(K3&lt;70,"QA_FAIL",IF(OR(K3&lt;85,S3&gt;0),"QA_REVISE","QA_PASS"))))</f>
        <v/>
      </c>
      <c r="M3" s="3" t="inlineStr">
        <is>
          <t>SERP_ONLY</t>
        </is>
      </c>
      <c r="N3" s="3" t="n">
        <v>5</v>
      </c>
      <c r="O3" s="3" t="n">
        <v>5</v>
      </c>
      <c r="P3" s="3" t="b">
        <v>1</v>
      </c>
      <c r="Q3" s="8" t="n">
        <v>1</v>
      </c>
      <c r="R3" s="3">
        <f>COUNTIFS('QA_Issues'!$B$2:$B$92,B3,'QA_Issues'!$D$2:$D$92,"CRITICAL")</f>
        <v/>
      </c>
      <c r="S3" s="3">
        <f>COUNTIFS('QA_Issues'!$B$2:$B$92,B3,'QA_Issues'!$D$2:$D$92,"MAJOR")</f>
        <v/>
      </c>
      <c r="T3" s="3">
        <f>COUNTIFS('QA_Issues'!$B$2:$B$92,B3,'QA_Issues'!$D$2:$D$92,"MINOR")</f>
        <v/>
      </c>
      <c r="U3" s="3">
        <f>COUNTIFS('QA_Issues'!$B$2:$B$92,B3,'QA_Issues'!$D$2:$D$92,"LIMITATION")</f>
        <v/>
      </c>
      <c r="V3" s="3" t="inlineStr">
        <is>
          <t>ISSUE-0010; ISSUE-0011; ISSUE-0012; ISSUE-0013; ISSUE-0014; ISSUE-0015; ISSUE-0016; ISSUE-0017; ISSUE-0018</t>
        </is>
      </c>
      <c r="W3" s="3" t="inlineStr">
        <is>
          <t>evidence_batch_015_142; live_source_comparison; customizer_audit; serp_evidence</t>
        </is>
      </c>
    </row>
    <row r="4" ht="42" customHeight="1">
      <c r="A4" s="2" t="n">
        <v>143</v>
      </c>
      <c r="B4" s="2" t="inlineStr">
        <is>
          <t>jeminise.com+fantasy-nature-tree-of-life-quilt-set-with-entwined-golden-roots-and-bedroom-setting-9ad124a9ad-9ad124a9ad</t>
        </is>
      </c>
      <c r="C4" s="4" t="inlineStr">
        <is>
          <t>https://jeminise.com/products/fantasy-nature-tree-of-life-quilt-set-with-entwined-golden-roots-and-bedroom-setting-9ad124a9ad-9ad124a9ad</t>
        </is>
      </c>
      <c r="D4" s="2" t="inlineStr">
        <is>
          <t>fantasy-nature-tree-of-life-quilt-set-with-entwined-golden-roots-and-bedroom-setting-9ad124a9ad-9ad124a9ad</t>
        </is>
      </c>
      <c r="E4" s="2" t="inlineStr">
        <is>
          <t>8833354268871</t>
        </is>
      </c>
      <c r="F4" s="2" t="inlineStr">
        <is>
          <t>r1</t>
        </is>
      </c>
      <c r="G4" s="5">
        <f>SUMIF('QA_Criteria'!$A$2:$A$111,B4,'QA_Criteria'!$F$2:$F$111)</f>
        <v/>
      </c>
      <c r="H4" s="5">
        <f>SUMIF('QA_Criteria'!$A$2:$A$111,B4,'QA_Criteria'!$G$2:$G$111)</f>
        <v/>
      </c>
      <c r="I4" s="5">
        <f>G4</f>
        <v/>
      </c>
      <c r="J4" s="5">
        <f>G4+(100-H4)</f>
        <v/>
      </c>
      <c r="K4" s="5">
        <f>IF(AND(H4=100,Q4=1,P4=TRUE),G4,"")</f>
        <v/>
      </c>
      <c r="L4" s="2">
        <f>IF(R4&gt;0,"QA_FAIL",IF(K4="","QA_INCOMPLETE",IF(K4&lt;70,"QA_FAIL",IF(OR(K4&lt;85,S4&gt;0),"QA_REVISE","QA_PASS"))))</f>
        <v/>
      </c>
      <c r="M4" s="2" t="inlineStr">
        <is>
          <t>SERP_ONLY</t>
        </is>
      </c>
      <c r="N4" s="2" t="n">
        <v>7</v>
      </c>
      <c r="O4" s="2" t="n">
        <v>7</v>
      </c>
      <c r="P4" s="2" t="b">
        <v>1</v>
      </c>
      <c r="Q4" s="6" t="n">
        <v>1</v>
      </c>
      <c r="R4" s="2">
        <f>COUNTIFS('QA_Issues'!$B$2:$B$92,B4,'QA_Issues'!$D$2:$D$92,"CRITICAL")</f>
        <v/>
      </c>
      <c r="S4" s="2">
        <f>COUNTIFS('QA_Issues'!$B$2:$B$92,B4,'QA_Issues'!$D$2:$D$92,"MAJOR")</f>
        <v/>
      </c>
      <c r="T4" s="2">
        <f>COUNTIFS('QA_Issues'!$B$2:$B$92,B4,'QA_Issues'!$D$2:$D$92,"MINOR")</f>
        <v/>
      </c>
      <c r="U4" s="2">
        <f>COUNTIFS('QA_Issues'!$B$2:$B$92,B4,'QA_Issues'!$D$2:$D$92,"LIMITATION")</f>
        <v/>
      </c>
      <c r="V4" s="2" t="inlineStr">
        <is>
          <t>ISSUE-0019; ISSUE-0020; ISSUE-0021; ISSUE-0022; ISSUE-0023; ISSUE-0024; ISSUE-0025; ISSUE-0026; ISSUE-0027; ISSUE-0028</t>
        </is>
      </c>
      <c r="W4" s="2" t="inlineStr">
        <is>
          <t>evidence_batch_015_143; live_source_comparison; customizer_audit; serp_evidence</t>
        </is>
      </c>
    </row>
    <row r="5" ht="42" customHeight="1">
      <c r="A5" s="3" t="n">
        <v>144</v>
      </c>
      <c r="B5" s="3" t="inlineStr">
        <is>
          <t>jeminise.com+fantasy-nature-tree-of-life-quilt-set-with-twisted-tree-trunk-and-bedroom-4dbc5a5b98-4dbc5a5b98</t>
        </is>
      </c>
      <c r="C5" s="4" t="inlineStr">
        <is>
          <t>https://jeminise.com/products/fantasy-nature-tree-of-life-quilt-set-with-twisted-tree-trunk-and-bedroom-4dbc5a5b98-4dbc5a5b98</t>
        </is>
      </c>
      <c r="D5" s="3" t="inlineStr">
        <is>
          <t>fantasy-nature-tree-of-life-quilt-set-with-twisted-tree-trunk-and-bedroom-4dbc5a5b98-4dbc5a5b98</t>
        </is>
      </c>
      <c r="E5" s="3" t="inlineStr">
        <is>
          <t>8833355350215</t>
        </is>
      </c>
      <c r="F5" s="3" t="inlineStr">
        <is>
          <t>r1</t>
        </is>
      </c>
      <c r="G5" s="7">
        <f>SUMIF('QA_Criteria'!$A$2:$A$111,B5,'QA_Criteria'!$F$2:$F$111)</f>
        <v/>
      </c>
      <c r="H5" s="7">
        <f>SUMIF('QA_Criteria'!$A$2:$A$111,B5,'QA_Criteria'!$G$2:$G$111)</f>
        <v/>
      </c>
      <c r="I5" s="7">
        <f>G5</f>
        <v/>
      </c>
      <c r="J5" s="7">
        <f>G5+(100-H5)</f>
        <v/>
      </c>
      <c r="K5" s="7">
        <f>IF(AND(H5=100,Q5=1,P5=TRUE),G5,"")</f>
        <v/>
      </c>
      <c r="L5" s="3">
        <f>IF(R5&gt;0,"QA_FAIL",IF(K5="","QA_INCOMPLETE",IF(K5&lt;70,"QA_FAIL",IF(OR(K5&lt;85,S5&gt;0),"QA_REVISE","QA_PASS"))))</f>
        <v/>
      </c>
      <c r="M5" s="3" t="inlineStr">
        <is>
          <t>SERP_ONLY</t>
        </is>
      </c>
      <c r="N5" s="3" t="n">
        <v>6</v>
      </c>
      <c r="O5" s="3" t="n">
        <v>6</v>
      </c>
      <c r="P5" s="3" t="b">
        <v>1</v>
      </c>
      <c r="Q5" s="8" t="n">
        <v>1</v>
      </c>
      <c r="R5" s="3">
        <f>COUNTIFS('QA_Issues'!$B$2:$B$92,B5,'QA_Issues'!$D$2:$D$92,"CRITICAL")</f>
        <v/>
      </c>
      <c r="S5" s="3">
        <f>COUNTIFS('QA_Issues'!$B$2:$B$92,B5,'QA_Issues'!$D$2:$D$92,"MAJOR")</f>
        <v/>
      </c>
      <c r="T5" s="3">
        <f>COUNTIFS('QA_Issues'!$B$2:$B$92,B5,'QA_Issues'!$D$2:$D$92,"MINOR")</f>
        <v/>
      </c>
      <c r="U5" s="3">
        <f>COUNTIFS('QA_Issues'!$B$2:$B$92,B5,'QA_Issues'!$D$2:$D$92,"LIMITATION")</f>
        <v/>
      </c>
      <c r="V5" s="3" t="inlineStr">
        <is>
          <t>ISSUE-0029; ISSUE-0030; ISSUE-0031; ISSUE-0032; ISSUE-0033; ISSUE-0034; ISSUE-0035; ISSUE-0036; ISSUE-0037</t>
        </is>
      </c>
      <c r="W5" s="3" t="inlineStr">
        <is>
          <t>evidence_batch_015_144; live_source_comparison; customizer_audit; serp_evidence</t>
        </is>
      </c>
    </row>
    <row r="6" ht="42" customHeight="1">
      <c r="A6" s="2" t="n">
        <v>145</v>
      </c>
      <c r="B6" s="2" t="inlineStr">
        <is>
          <t>jeminise.com+fantasy-comforter-set-with-dragon-and-bedroom-and-fire-and-spikes-9008eacaf3-9008eacaf3</t>
        </is>
      </c>
      <c r="C6" s="4" t="inlineStr">
        <is>
          <t>https://jeminise.com/products/fantasy-comforter-set-with-dragon-and-bedroom-and-fire-and-spikes-9008eacaf3-9008eacaf3</t>
        </is>
      </c>
      <c r="D6" s="2" t="inlineStr">
        <is>
          <t>fantasy-comforter-set-with-dragon-and-bedroom-and-fire-and-spikes-9008eacaf3-9008eacaf3</t>
        </is>
      </c>
      <c r="E6" s="2" t="inlineStr">
        <is>
          <t>8833335099591</t>
        </is>
      </c>
      <c r="F6" s="2" t="inlineStr">
        <is>
          <t>r1</t>
        </is>
      </c>
      <c r="G6" s="5">
        <f>SUMIF('QA_Criteria'!$A$2:$A$111,B6,'QA_Criteria'!$F$2:$F$111)</f>
        <v/>
      </c>
      <c r="H6" s="5">
        <f>SUMIF('QA_Criteria'!$A$2:$A$111,B6,'QA_Criteria'!$G$2:$G$111)</f>
        <v/>
      </c>
      <c r="I6" s="5">
        <f>G6</f>
        <v/>
      </c>
      <c r="J6" s="5">
        <f>G6+(100-H6)</f>
        <v/>
      </c>
      <c r="K6" s="5">
        <f>IF(AND(H6=100,Q6=1,P6=TRUE),G6,"")</f>
        <v/>
      </c>
      <c r="L6" s="2">
        <f>IF(R6&gt;0,"QA_FAIL",IF(K6="","QA_INCOMPLETE",IF(K6&lt;70,"QA_FAIL",IF(OR(K6&lt;85,S6&gt;0),"QA_REVISE","QA_PASS"))))</f>
        <v/>
      </c>
      <c r="M6" s="2" t="inlineStr">
        <is>
          <t>SERP_ONLY</t>
        </is>
      </c>
      <c r="N6" s="2" t="n">
        <v>5</v>
      </c>
      <c r="O6" s="2" t="n">
        <v>5</v>
      </c>
      <c r="P6" s="2" t="b">
        <v>1</v>
      </c>
      <c r="Q6" s="6" t="n">
        <v>1</v>
      </c>
      <c r="R6" s="2">
        <f>COUNTIFS('QA_Issues'!$B$2:$B$92,B6,'QA_Issues'!$D$2:$D$92,"CRITICAL")</f>
        <v/>
      </c>
      <c r="S6" s="2">
        <f>COUNTIFS('QA_Issues'!$B$2:$B$92,B6,'QA_Issues'!$D$2:$D$92,"MAJOR")</f>
        <v/>
      </c>
      <c r="T6" s="2">
        <f>COUNTIFS('QA_Issues'!$B$2:$B$92,B6,'QA_Issues'!$D$2:$D$92,"MINOR")</f>
        <v/>
      </c>
      <c r="U6" s="2">
        <f>COUNTIFS('QA_Issues'!$B$2:$B$92,B6,'QA_Issues'!$D$2:$D$92,"LIMITATION")</f>
        <v/>
      </c>
      <c r="V6" s="2" t="inlineStr">
        <is>
          <t>ISSUE-0038; ISSUE-0039; ISSUE-0040; ISSUE-0041; ISSUE-0042; ISSUE-0043; ISSUE-0044; ISSUE-0045; ISSUE-0046</t>
        </is>
      </c>
      <c r="W6" s="2" t="inlineStr">
        <is>
          <t>evidence_batch_015_145; live_source_comparison; customizer_audit; serp_evidence</t>
        </is>
      </c>
    </row>
    <row r="7" ht="42" customHeight="1">
      <c r="A7" s="3" t="n">
        <v>146</v>
      </c>
      <c r="B7" s="3" t="inlineStr">
        <is>
          <t>jeminise.com+fantasy-winged-dragon-comforter-set-with-starry-nebula-pattern-and-bedroom-setting-d228ce3712-d228ce3712</t>
        </is>
      </c>
      <c r="C7" s="4" t="inlineStr">
        <is>
          <t>https://jeminise.com/products/fantasy-winged-dragon-comforter-set-with-starry-nebula-pattern-and-bedroom-setting-d228ce3712-d228ce3712</t>
        </is>
      </c>
      <c r="D7" s="3" t="inlineStr">
        <is>
          <t>fantasy-winged-dragon-comforter-set-with-starry-nebula-pattern-and-bedroom-setting-d228ce3712-d228ce3712</t>
        </is>
      </c>
      <c r="E7" s="3" t="inlineStr">
        <is>
          <t>8833328414919</t>
        </is>
      </c>
      <c r="F7" s="3" t="inlineStr">
        <is>
          <t>r1</t>
        </is>
      </c>
      <c r="G7" s="7">
        <f>SUMIF('QA_Criteria'!$A$2:$A$111,B7,'QA_Criteria'!$F$2:$F$111)</f>
        <v/>
      </c>
      <c r="H7" s="7">
        <f>SUMIF('QA_Criteria'!$A$2:$A$111,B7,'QA_Criteria'!$G$2:$G$111)</f>
        <v/>
      </c>
      <c r="I7" s="7">
        <f>G7</f>
        <v/>
      </c>
      <c r="J7" s="7">
        <f>G7+(100-H7)</f>
        <v/>
      </c>
      <c r="K7" s="7">
        <f>IF(AND(H7=100,Q7=1,P7=TRUE),G7,"")</f>
        <v/>
      </c>
      <c r="L7" s="3">
        <f>IF(R7&gt;0,"QA_FAIL",IF(K7="","QA_INCOMPLETE",IF(K7&lt;70,"QA_FAIL",IF(OR(K7&lt;85,S7&gt;0),"QA_REVISE","QA_PASS"))))</f>
        <v/>
      </c>
      <c r="M7" s="3" t="inlineStr">
        <is>
          <t>SERP_ONLY</t>
        </is>
      </c>
      <c r="N7" s="3" t="n">
        <v>5</v>
      </c>
      <c r="O7" s="3" t="n">
        <v>5</v>
      </c>
      <c r="P7" s="3" t="b">
        <v>1</v>
      </c>
      <c r="Q7" s="8" t="n">
        <v>1</v>
      </c>
      <c r="R7" s="3">
        <f>COUNTIFS('QA_Issues'!$B$2:$B$92,B7,'QA_Issues'!$D$2:$D$92,"CRITICAL")</f>
        <v/>
      </c>
      <c r="S7" s="3">
        <f>COUNTIFS('QA_Issues'!$B$2:$B$92,B7,'QA_Issues'!$D$2:$D$92,"MAJOR")</f>
        <v/>
      </c>
      <c r="T7" s="3">
        <f>COUNTIFS('QA_Issues'!$B$2:$B$92,B7,'QA_Issues'!$D$2:$D$92,"MINOR")</f>
        <v/>
      </c>
      <c r="U7" s="3">
        <f>COUNTIFS('QA_Issues'!$B$2:$B$92,B7,'QA_Issues'!$D$2:$D$92,"LIMITATION")</f>
        <v/>
      </c>
      <c r="V7" s="3" t="inlineStr">
        <is>
          <t>ISSUE-0047; ISSUE-0048; ISSUE-0049; ISSUE-0050; ISSUE-0051; ISSUE-0052; ISSUE-0053; ISSUE-0054; ISSUE-0055</t>
        </is>
      </c>
      <c r="W7" s="3" t="inlineStr">
        <is>
          <t>evidence_batch_015_146; live_source_comparison; customizer_audit; serp_evidence</t>
        </is>
      </c>
    </row>
    <row r="8" ht="42" customHeight="1">
      <c r="A8" s="2" t="n">
        <v>147</v>
      </c>
      <c r="B8" s="2" t="inlineStr">
        <is>
          <t>jeminise.com+fantasy-winged-dragon-comforter-set-with-volcanic-eruption-and-bedroom-258009c125-258009c125</t>
        </is>
      </c>
      <c r="C8" s="4" t="inlineStr">
        <is>
          <t>https://jeminise.com/products/fantasy-winged-dragon-comforter-set-with-volcanic-eruption-and-bedroom-258009c125-258009c125</t>
        </is>
      </c>
      <c r="D8" s="2" t="inlineStr">
        <is>
          <t>fantasy-winged-dragon-comforter-set-with-volcanic-eruption-and-bedroom-258009c125-258009c125</t>
        </is>
      </c>
      <c r="E8" s="2" t="inlineStr">
        <is>
          <t>8833330806983</t>
        </is>
      </c>
      <c r="F8" s="2" t="inlineStr">
        <is>
          <t>r1</t>
        </is>
      </c>
      <c r="G8" s="5">
        <f>SUMIF('QA_Criteria'!$A$2:$A$111,B8,'QA_Criteria'!$F$2:$F$111)</f>
        <v/>
      </c>
      <c r="H8" s="5">
        <f>SUMIF('QA_Criteria'!$A$2:$A$111,B8,'QA_Criteria'!$G$2:$G$111)</f>
        <v/>
      </c>
      <c r="I8" s="5">
        <f>G8</f>
        <v/>
      </c>
      <c r="J8" s="5">
        <f>G8+(100-H8)</f>
        <v/>
      </c>
      <c r="K8" s="5">
        <f>IF(AND(H8=100,Q8=1,P8=TRUE),G8,"")</f>
        <v/>
      </c>
      <c r="L8" s="2">
        <f>IF(R8&gt;0,"QA_FAIL",IF(K8="","QA_INCOMPLETE",IF(K8&lt;70,"QA_FAIL",IF(OR(K8&lt;85,S8&gt;0),"QA_REVISE","QA_PASS"))))</f>
        <v/>
      </c>
      <c r="M8" s="2" t="inlineStr">
        <is>
          <t>SERP_ONLY</t>
        </is>
      </c>
      <c r="N8" s="2" t="n">
        <v>5</v>
      </c>
      <c r="O8" s="2" t="n">
        <v>5</v>
      </c>
      <c r="P8" s="2" t="b">
        <v>1</v>
      </c>
      <c r="Q8" s="6" t="n">
        <v>1</v>
      </c>
      <c r="R8" s="2">
        <f>COUNTIFS('QA_Issues'!$B$2:$B$92,B8,'QA_Issues'!$D$2:$D$92,"CRITICAL")</f>
        <v/>
      </c>
      <c r="S8" s="2">
        <f>COUNTIFS('QA_Issues'!$B$2:$B$92,B8,'QA_Issues'!$D$2:$D$92,"MAJOR")</f>
        <v/>
      </c>
      <c r="T8" s="2">
        <f>COUNTIFS('QA_Issues'!$B$2:$B$92,B8,'QA_Issues'!$D$2:$D$92,"MINOR")</f>
        <v/>
      </c>
      <c r="U8" s="2">
        <f>COUNTIFS('QA_Issues'!$B$2:$B$92,B8,'QA_Issues'!$D$2:$D$92,"LIMITATION")</f>
        <v/>
      </c>
      <c r="V8" s="2" t="inlineStr">
        <is>
          <t>ISSUE-0056; ISSUE-0057; ISSUE-0058; ISSUE-0059; ISSUE-0060; ISSUE-0061; ISSUE-0062; ISSUE-0063</t>
        </is>
      </c>
      <c r="W8" s="2" t="inlineStr">
        <is>
          <t>evidence_batch_015_147; live_source_comparison; customizer_audit; serp_evidence</t>
        </is>
      </c>
    </row>
    <row r="9" ht="42" customHeight="1">
      <c r="A9" s="3" t="n">
        <v>148</v>
      </c>
      <c r="B9" s="3" t="inlineStr">
        <is>
          <t>jeminise.com+floral-nature-cardinal-within-ornate-oval-frame-patchwork-winter-quilt-88ef309589-88ef309589</t>
        </is>
      </c>
      <c r="C9" s="4" t="inlineStr">
        <is>
          <t>https://jeminise.com/products/floral-nature-cardinal-within-ornate-oval-frame-patchwork-winter-quilt-88ef309589-88ef309589</t>
        </is>
      </c>
      <c r="D9" s="3" t="inlineStr">
        <is>
          <t>floral-nature-cardinal-within-ornate-oval-frame-patchwork-winter-quilt-88ef309589-88ef309589</t>
        </is>
      </c>
      <c r="E9" s="3" t="inlineStr">
        <is>
          <t>8834736488647</t>
        </is>
      </c>
      <c r="F9" s="3" t="inlineStr">
        <is>
          <t>r1</t>
        </is>
      </c>
      <c r="G9" s="7">
        <f>SUMIF('QA_Criteria'!$A$2:$A$111,B9,'QA_Criteria'!$F$2:$F$111)</f>
        <v/>
      </c>
      <c r="H9" s="7">
        <f>SUMIF('QA_Criteria'!$A$2:$A$111,B9,'QA_Criteria'!$G$2:$G$111)</f>
        <v/>
      </c>
      <c r="I9" s="7">
        <f>G9</f>
        <v/>
      </c>
      <c r="J9" s="7">
        <f>G9+(100-H9)</f>
        <v/>
      </c>
      <c r="K9" s="7">
        <f>IF(AND(H9=100,Q9=1,P9=TRUE),G9,"")</f>
        <v/>
      </c>
      <c r="L9" s="3">
        <f>IF(R9&gt;0,"QA_FAIL",IF(K9="","QA_INCOMPLETE",IF(K9&lt;70,"QA_FAIL",IF(OR(K9&lt;85,S9&gt;0),"QA_REVISE","QA_PASS"))))</f>
        <v/>
      </c>
      <c r="M9" s="3" t="inlineStr">
        <is>
          <t>SERP_ONLY</t>
        </is>
      </c>
      <c r="N9" s="3" t="n">
        <v>5</v>
      </c>
      <c r="O9" s="3" t="n">
        <v>5</v>
      </c>
      <c r="P9" s="3" t="b">
        <v>1</v>
      </c>
      <c r="Q9" s="8" t="n">
        <v>1</v>
      </c>
      <c r="R9" s="3">
        <f>COUNTIFS('QA_Issues'!$B$2:$B$92,B9,'QA_Issues'!$D$2:$D$92,"CRITICAL")</f>
        <v/>
      </c>
      <c r="S9" s="3">
        <f>COUNTIFS('QA_Issues'!$B$2:$B$92,B9,'QA_Issues'!$D$2:$D$92,"MAJOR")</f>
        <v/>
      </c>
      <c r="T9" s="3">
        <f>COUNTIFS('QA_Issues'!$B$2:$B$92,B9,'QA_Issues'!$D$2:$D$92,"MINOR")</f>
        <v/>
      </c>
      <c r="U9" s="3">
        <f>COUNTIFS('QA_Issues'!$B$2:$B$92,B9,'QA_Issues'!$D$2:$D$92,"LIMITATION")</f>
        <v/>
      </c>
      <c r="V9" s="3" t="inlineStr">
        <is>
          <t>ISSUE-0064; ISSUE-0065; ISSUE-0066; ISSUE-0067; ISSUE-0068; ISSUE-0069; ISSUE-0070; ISSUE-0071</t>
        </is>
      </c>
      <c r="W9" s="3" t="inlineStr">
        <is>
          <t>evidence_batch_015_148; live_source_comparison; customizer_audit; serp_evidence</t>
        </is>
      </c>
    </row>
    <row r="10" ht="42" customHeight="1">
      <c r="A10" s="2" t="n">
        <v>149</v>
      </c>
      <c r="B10" s="2" t="inlineStr">
        <is>
          <t>jeminise.com+folklore-tree-of-life-in-celtic-knot-quilt-40ab1f6113-40ab1f6113</t>
        </is>
      </c>
      <c r="C10" s="4" t="inlineStr">
        <is>
          <t>https://jeminise.com/products/folklore-tree-of-life-in-celtic-knot-quilt-40ab1f6113-40ab1f6113</t>
        </is>
      </c>
      <c r="D10" s="2" t="inlineStr">
        <is>
          <t>folklore-tree-of-life-in-celtic-knot-quilt-40ab1f6113-40ab1f6113</t>
        </is>
      </c>
      <c r="E10" s="2" t="inlineStr">
        <is>
          <t>8834799861959</t>
        </is>
      </c>
      <c r="F10" s="2" t="inlineStr">
        <is>
          <t>r1</t>
        </is>
      </c>
      <c r="G10" s="5">
        <f>SUMIF('QA_Criteria'!$A$2:$A$111,B10,'QA_Criteria'!$F$2:$F$111)</f>
        <v/>
      </c>
      <c r="H10" s="5">
        <f>SUMIF('QA_Criteria'!$A$2:$A$111,B10,'QA_Criteria'!$G$2:$G$111)</f>
        <v/>
      </c>
      <c r="I10" s="5">
        <f>G10</f>
        <v/>
      </c>
      <c r="J10" s="5">
        <f>G10+(100-H10)</f>
        <v/>
      </c>
      <c r="K10" s="5">
        <f>IF(AND(H10=100,Q10=1,P10=TRUE),G10,"")</f>
        <v/>
      </c>
      <c r="L10" s="2">
        <f>IF(R10&gt;0,"QA_FAIL",IF(K10="","QA_INCOMPLETE",IF(K10&lt;70,"QA_FAIL",IF(OR(K10&lt;85,S10&gt;0),"QA_REVISE","QA_PASS"))))</f>
        <v/>
      </c>
      <c r="M10" s="2" t="inlineStr">
        <is>
          <t>SERP_ONLY</t>
        </is>
      </c>
      <c r="N10" s="2" t="n">
        <v>7</v>
      </c>
      <c r="O10" s="2" t="n">
        <v>7</v>
      </c>
      <c r="P10" s="2" t="b">
        <v>1</v>
      </c>
      <c r="Q10" s="6" t="n">
        <v>1</v>
      </c>
      <c r="R10" s="2">
        <f>COUNTIFS('QA_Issues'!$B$2:$B$92,B10,'QA_Issues'!$D$2:$D$92,"CRITICAL")</f>
        <v/>
      </c>
      <c r="S10" s="2">
        <f>COUNTIFS('QA_Issues'!$B$2:$B$92,B10,'QA_Issues'!$D$2:$D$92,"MAJOR")</f>
        <v/>
      </c>
      <c r="T10" s="2">
        <f>COUNTIFS('QA_Issues'!$B$2:$B$92,B10,'QA_Issues'!$D$2:$D$92,"MINOR")</f>
        <v/>
      </c>
      <c r="U10" s="2">
        <f>COUNTIFS('QA_Issues'!$B$2:$B$92,B10,'QA_Issues'!$D$2:$D$92,"LIMITATION")</f>
        <v/>
      </c>
      <c r="V10" s="2" t="inlineStr">
        <is>
          <t>ISSUE-0072; ISSUE-0073; ISSUE-0074; ISSUE-0075; ISSUE-0076; ISSUE-0077; ISSUE-0078; ISSUE-0079; ISSUE-0080; ISSUE-0081</t>
        </is>
      </c>
      <c r="W10" s="2" t="inlineStr">
        <is>
          <t>evidence_batch_015_149; live_source_comparison; customizer_audit; serp_evidence</t>
        </is>
      </c>
    </row>
    <row r="11" ht="42" customHeight="1">
      <c r="A11" s="3" t="n">
        <v>150</v>
      </c>
      <c r="B11" s="3" t="inlineStr">
        <is>
          <t>jeminise.com+fox-patchwork-pattern-quilt-set-animal-quilt-set-patchwork-style</t>
        </is>
      </c>
      <c r="C11" s="4" t="inlineStr">
        <is>
          <t>https://jeminise.com/products/fox-patchwork-pattern-quilt-set-animal-quilt-set-patchwork-style</t>
        </is>
      </c>
      <c r="D11" s="3" t="inlineStr">
        <is>
          <t>fox-patchwork-pattern-quilt-set-animal-quilt-set-patchwork-style</t>
        </is>
      </c>
      <c r="E11" s="3" t="inlineStr">
        <is>
          <t>8867094888647</t>
        </is>
      </c>
      <c r="F11" s="3" t="inlineStr">
        <is>
          <t>r1</t>
        </is>
      </c>
      <c r="G11" s="7">
        <f>SUMIF('QA_Criteria'!$A$2:$A$111,B11,'QA_Criteria'!$F$2:$F$111)</f>
        <v/>
      </c>
      <c r="H11" s="7">
        <f>SUMIF('QA_Criteria'!$A$2:$A$111,B11,'QA_Criteria'!$G$2:$G$111)</f>
        <v/>
      </c>
      <c r="I11" s="7">
        <f>G11</f>
        <v/>
      </c>
      <c r="J11" s="7">
        <f>G11+(100-H11)</f>
        <v/>
      </c>
      <c r="K11" s="7">
        <f>IF(AND(H11=100,Q11=1,P11=TRUE),G11,"")</f>
        <v/>
      </c>
      <c r="L11" s="3">
        <f>IF(R11&gt;0,"QA_FAIL",IF(K11="","QA_INCOMPLETE",IF(K11&lt;70,"QA_FAIL",IF(OR(K11&lt;85,S11&gt;0),"QA_REVISE","QA_PASS"))))</f>
        <v/>
      </c>
      <c r="M11" s="3" t="inlineStr">
        <is>
          <t>SERP_ONLY</t>
        </is>
      </c>
      <c r="N11" s="3" t="n">
        <v>7</v>
      </c>
      <c r="O11" s="3" t="n">
        <v>7</v>
      </c>
      <c r="P11" s="3" t="b">
        <v>1</v>
      </c>
      <c r="Q11" s="8" t="n">
        <v>1</v>
      </c>
      <c r="R11" s="3">
        <f>COUNTIFS('QA_Issues'!$B$2:$B$92,B11,'QA_Issues'!$D$2:$D$92,"CRITICAL")</f>
        <v/>
      </c>
      <c r="S11" s="3">
        <f>COUNTIFS('QA_Issues'!$B$2:$B$92,B11,'QA_Issues'!$D$2:$D$92,"MAJOR")</f>
        <v/>
      </c>
      <c r="T11" s="3">
        <f>COUNTIFS('QA_Issues'!$B$2:$B$92,B11,'QA_Issues'!$D$2:$D$92,"MINOR")</f>
        <v/>
      </c>
      <c r="U11" s="3">
        <f>COUNTIFS('QA_Issues'!$B$2:$B$92,B11,'QA_Issues'!$D$2:$D$92,"LIMITATION")</f>
        <v/>
      </c>
      <c r="V11" s="3" t="inlineStr">
        <is>
          <t>ISSUE-0082; ISSUE-0083; ISSUE-0084; ISSUE-0085; ISSUE-0086; ISSUE-0087; ISSUE-0088; ISSUE-0089; ISSUE-0090; ISSUE-0091</t>
        </is>
      </c>
      <c r="W11" s="3" t="inlineStr">
        <is>
          <t>evidence_batch_015_150; live_source_comparison; customizer_audit; serp_evidence</t>
        </is>
      </c>
    </row>
  </sheetData>
  <autoFilter ref="A1:W11"/>
  <conditionalFormatting sqref="L2:L11">
    <cfRule type="expression" priority="1" dxfId="0">
      <formula>L2="QA_PASS"</formula>
    </cfRule>
    <cfRule type="expression" priority="2" dxfId="1">
      <formula>L2="QA_REVISE"</formula>
    </cfRule>
    <cfRule type="expression" priority="3" dxfId="2">
      <formula>L2="QA_FAIL"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rintOptions horizontalCentered="0"/>
  <pageMargins left="0.25" right="0.25" top="0.5" bottom="0.5" header="0.5" footer="0.5"/>
  <pageSetup orientation="landscape" fitToHeight="0" fitToWidth="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1" customWidth="1" min="3" max="3"/>
    <col width="12" customWidth="1" min="4" max="4"/>
    <col width="24" customWidth="1" min="5" max="5"/>
    <col width="23" customWidth="1" min="6" max="6"/>
    <col width="24" customWidth="1" min="7" max="7"/>
    <col width="42" customWidth="1" min="8" max="8"/>
    <col width="42" customWidth="1" min="9" max="9"/>
    <col width="42" customWidth="1" min="10" max="10"/>
  </cols>
  <sheetData>
    <row r="1" ht="32" customHeight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 ht="42" customHeight="1">
      <c r="A2" s="2" t="inlineStr">
        <is>
          <t>jeminise.com+fantasy-fire-dragon-comforter-set-with-glowing-lava-and-bedroom-setting-c7ca9ae893-c7ca9ae893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5">
        <f>IF(B2="I1",AVERAGEIF('QA_Images'!$A$2:$A$58,A2,'QA_Images'!$T$2:$T$58)/100,IF(D2="FULL",1,IF(D2="PARTIAL",0.5,IF(D2="FAIL",0,""))))</f>
        <v/>
      </c>
      <c r="F2" s="5">
        <f>IF(E2="",0,C2*E2)</f>
        <v/>
      </c>
      <c r="G2" s="5">
        <f>IF(B2="I1",20*AVERAGEIF('QA_Images'!$A$2:$A$58,A2,'QA_Images'!$U$2:$U$58)/100,IF(D2="NOT_CHECKED",0,C2))</f>
        <v/>
      </c>
      <c r="H2" s="2" t="inlineStr">
        <is>
          <t>Product identity, handle, product ID, URL and canonical match source/live evidence. Product key/handle/product ID/canonical checked against frozen workbook and live product evidence.</t>
        </is>
      </c>
      <c r="I2" s="2" t="inlineStr">
        <is>
          <t>evidence_batch_015_141</t>
        </is>
      </c>
      <c r="J2" s="2" t="inlineStr">
        <is>
          <t>ISSUE-0001; ISSUE-0002; ISSUE-0003; ISSUE-0004; ISSUE-0005; ISSUE-0006</t>
        </is>
      </c>
    </row>
    <row r="3" ht="42" customHeight="1">
      <c r="A3" s="3" t="inlineStr">
        <is>
          <t>jeminise.com+fantasy-fire-dragon-comforter-set-with-glowing-lava-and-bedroom-setting-c7ca9ae893-c7ca9ae893</t>
        </is>
      </c>
      <c r="B3" s="3" t="inlineStr">
        <is>
          <t>P2</t>
        </is>
      </c>
      <c r="C3" s="3" t="n">
        <v>10</v>
      </c>
      <c r="D3" s="3" t="inlineStr">
        <is>
          <t>PARTIAL</t>
        </is>
      </c>
      <c r="E3" s="7">
        <f>IF(B3="I1",AVERAGEIF('QA_Images'!$A$2:$A$58,A3,'QA_Images'!$T$2:$T$58)/100,IF(D3="FULL",1,IF(D3="PARTIAL",0.5,IF(D3="FAIL",0,""))))</f>
        <v/>
      </c>
      <c r="F3" s="7">
        <f>IF(E3="",0,C3*E3)</f>
        <v/>
      </c>
      <c r="G3" s="7">
        <f>IF(B3="I1",20*AVERAGEIF('QA_Images'!$A$2:$A$58,A3,'QA_Images'!$U$2:$U$58)/100,IF(D3="NOT_CHECKED",0,C3))</f>
        <v/>
      </c>
      <c r="H3" s="3" t="inlineStr">
        <is>
          <t>Source product facts, variants, specifications and personalization claims are evidence-backed. Personalization/specification claims checked against storefront product.js and static customizer config.</t>
        </is>
      </c>
      <c r="I3" s="3" t="inlineStr">
        <is>
          <t>evidence_batch_015_141</t>
        </is>
      </c>
      <c r="J3" s="3" t="inlineStr">
        <is>
          <t>ISSUE-0001; ISSUE-0002; ISSUE-0003; ISSUE-0004; ISSUE-0005; ISSUE-0006</t>
        </is>
      </c>
    </row>
    <row r="4" ht="42" customHeight="1">
      <c r="A4" s="2" t="inlineStr">
        <is>
          <t>jeminise.com+fantasy-fire-dragon-comforter-set-with-glowing-lava-and-bedroom-setting-c7ca9ae893-c7ca9ae893</t>
        </is>
      </c>
      <c r="B4" s="2" t="inlineStr">
        <is>
          <t>K1</t>
        </is>
      </c>
      <c r="C4" s="2" t="n">
        <v>10</v>
      </c>
      <c r="D4" s="2" t="inlineStr">
        <is>
          <t>PARTIAL</t>
        </is>
      </c>
      <c r="E4" s="5">
        <f>IF(B4="I1",AVERAGEIF('QA_Images'!$A$2:$A$58,A4,'QA_Images'!$T$2:$T$58)/100,IF(D4="FULL",1,IF(D4="PARTIAL",0.5,IF(D4="FAIL",0,""))))</f>
        <v/>
      </c>
      <c r="F4" s="5">
        <f>IF(E4="",0,C4*E4)</f>
        <v/>
      </c>
      <c r="G4" s="5">
        <f>IF(B4="I1",20*AVERAGEIF('QA_Images'!$A$2:$A$58,A4,'QA_Images'!$U$2:$U$58)/100,IF(D4="NOT_CHECKED",0,C4))</f>
        <v/>
      </c>
      <c r="H4" s="2" t="inlineStr">
        <is>
          <t>Primary keyword aligns with product-level US purchase intent. Primary keyword rechecked against US product-level SERP comparables.</t>
        </is>
      </c>
      <c r="I4" s="2" t="inlineStr">
        <is>
          <t>evidence_batch_015_141</t>
        </is>
      </c>
      <c r="J4" s="2" t="inlineStr">
        <is>
          <t>ISSUE-0001; ISSUE-0002; ISSUE-0003; ISSUE-0004; ISSUE-0005; ISSUE-0006</t>
        </is>
      </c>
    </row>
    <row r="5" ht="42" customHeight="1">
      <c r="A5" s="3" t="inlineStr">
        <is>
          <t>jeminise.com+fantasy-fire-dragon-comforter-set-with-glowing-lava-and-bedroom-setting-c7ca9ae893-c7ca9ae893</t>
        </is>
      </c>
      <c r="B5" s="3" t="inlineStr">
        <is>
          <t>K2</t>
        </is>
      </c>
      <c r="C5" s="3" t="n">
        <v>5</v>
      </c>
      <c r="D5" s="3" t="inlineStr">
        <is>
          <t>PARTIAL</t>
        </is>
      </c>
      <c r="E5" s="7">
        <f>IF(B5="I1",AVERAGEIF('QA_Images'!$A$2:$A$58,A5,'QA_Images'!$T$2:$T$58)/100,IF(D5="FULL",1,IF(D5="PARTIAL",0.5,IF(D5="FAIL",0,""))))</f>
        <v/>
      </c>
      <c r="F5" s="7">
        <f>IF(E5="",0,C5*E5)</f>
        <v/>
      </c>
      <c r="G5" s="7">
        <f>IF(B5="I1",20*AVERAGEIF('QA_Images'!$A$2:$A$58,A5,'QA_Images'!$U$2:$U$58)/100,IF(D5="NOT_CHECKED",0,C5))</f>
        <v/>
      </c>
      <c r="H5" s="3" t="inlineStr">
        <is>
          <t>Intent/cannibalization check distinguishes nearby products. Nearby product cluster has overlap risk, so intent distinction remains only partial.</t>
        </is>
      </c>
      <c r="I5" s="3" t="inlineStr">
        <is>
          <t>evidence_batch_015_141</t>
        </is>
      </c>
      <c r="J5" s="3" t="inlineStr">
        <is>
          <t>ISSUE-0001; ISSUE-0002; ISSUE-0003; ISSUE-0004; ISSUE-0005; ISSUE-0006</t>
        </is>
      </c>
    </row>
    <row r="6" ht="42" customHeight="1">
      <c r="A6" s="2" t="inlineStr">
        <is>
          <t>jeminise.com+fantasy-fire-dragon-comforter-set-with-glowing-lava-and-bedroom-setting-c7ca9ae893-c7ca9ae893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5">
        <f>IF(B6="I1",AVERAGEIF('QA_Images'!$A$2:$A$58,A6,'QA_Images'!$T$2:$T$58)/100,IF(D6="FULL",1,IF(D6="PARTIAL",0.5,IF(D6="FAIL",0,""))))</f>
        <v/>
      </c>
      <c r="F6" s="5">
        <f>IF(E6="",0,C6*E6)</f>
        <v/>
      </c>
      <c r="G6" s="5">
        <f>IF(B6="I1",20*AVERAGEIF('QA_Images'!$A$2:$A$58,A6,'QA_Images'!$U$2:$U$58)/100,IF(D6="NOT_CHECKED",0,C6))</f>
        <v/>
      </c>
      <c r="H6" s="2" t="inlineStr">
        <is>
          <t>Keyword evidence is supported by SERP comparables without unsupported volume claims. Evidence is public SERP only; no Search Console, keyword volume or customer-search corpus provided.</t>
        </is>
      </c>
      <c r="I6" s="2" t="inlineStr">
        <is>
          <t>evidence_batch_015_141</t>
        </is>
      </c>
      <c r="J6" s="2" t="inlineStr">
        <is>
          <t>ISSUE-0001; ISSUE-0002; ISSUE-0003; ISSUE-0004; ISSUE-0005; ISSUE-0006</t>
        </is>
      </c>
    </row>
    <row r="7" ht="42" customHeight="1">
      <c r="A7" s="3" t="inlineStr">
        <is>
          <t>jeminise.com+fantasy-fire-dragon-comforter-set-with-glowing-lava-and-bedroom-setting-c7ca9ae893-c7ca9ae893</t>
        </is>
      </c>
      <c r="B7" s="3" t="inlineStr">
        <is>
          <t>T1</t>
        </is>
      </c>
      <c r="C7" s="3" t="n">
        <v>10</v>
      </c>
      <c r="D7" s="3" t="inlineStr">
        <is>
          <t>PARTIAL</t>
        </is>
      </c>
      <c r="E7" s="7">
        <f>IF(B7="I1",AVERAGEIF('QA_Images'!$A$2:$A$58,A7,'QA_Images'!$T$2:$T$58)/100,IF(D7="FULL",1,IF(D7="PARTIAL",0.5,IF(D7="FAIL",0,""))))</f>
        <v/>
      </c>
      <c r="F7" s="7">
        <f>IF(E7="",0,C7*E7)</f>
        <v/>
      </c>
      <c r="G7" s="7">
        <f>IF(B7="I1",20*AVERAGEIF('QA_Images'!$A$2:$A$58,A7,'QA_Images'!$U$2:$U$58)/100,IF(D7="NOT_CHECKED",0,C7))</f>
        <v/>
      </c>
      <c r="H7" s="3" t="inlineStr">
        <is>
          <t>SEO title and H1 are relevant, specific and grounded in visible/source facts. Proposed H1 is blank, so the title/H1 pair cannot be fully verified.</t>
        </is>
      </c>
      <c r="I7" s="3" t="inlineStr">
        <is>
          <t>evidence_batch_015_141</t>
        </is>
      </c>
      <c r="J7" s="3" t="inlineStr">
        <is>
          <t>ISSUE-0001; ISSUE-0002; ISSUE-0003; ISSUE-0004; ISSUE-0005; ISSUE-0006</t>
        </is>
      </c>
    </row>
    <row r="8" ht="42" customHeight="1">
      <c r="A8" s="2" t="inlineStr">
        <is>
          <t>jeminise.com+fantasy-fire-dragon-comforter-set-with-glowing-lava-and-bedroom-setting-c7ca9ae893-c7ca9ae893</t>
        </is>
      </c>
      <c r="B8" s="2" t="inlineStr">
        <is>
          <t>T2</t>
        </is>
      </c>
      <c r="C8" s="2" t="n">
        <v>5</v>
      </c>
      <c r="D8" s="2" t="inlineStr">
        <is>
          <t>PARTIAL</t>
        </is>
      </c>
      <c r="E8" s="5">
        <f>IF(B8="I1",AVERAGEIF('QA_Images'!$A$2:$A$58,A8,'QA_Images'!$T$2:$T$58)/100,IF(D8="FULL",1,IF(D8="PARTIAL",0.5,IF(D8="FAIL",0,""))))</f>
        <v/>
      </c>
      <c r="F8" s="5">
        <f>IF(E8="",0,C8*E8)</f>
        <v/>
      </c>
      <c r="G8" s="5">
        <f>IF(B8="I1",20*AVERAGEIF('QA_Images'!$A$2:$A$58,A8,'QA_Images'!$U$2:$U$58)/100,IF(D8="NOT_CHECKED",0,C8))</f>
        <v/>
      </c>
      <c r="H8" s="2" t="inlineStr">
        <is>
          <t>Meta description is concise, publish-ready and avoids unsupported claims. Meta description checked for length, specificity and supportable claims.</t>
        </is>
      </c>
      <c r="I8" s="2" t="inlineStr">
        <is>
          <t>evidence_batch_015_141</t>
        </is>
      </c>
      <c r="J8" s="2" t="inlineStr">
        <is>
          <t>ISSUE-0001; ISSUE-0002; ISSUE-0003; ISSUE-0004; ISSUE-0005; ISSUE-0006</t>
        </is>
      </c>
    </row>
    <row r="9" ht="42" customHeight="1">
      <c r="A9" s="3" t="inlineStr">
        <is>
          <t>jeminise.com+fantasy-fire-dragon-comforter-set-with-glowing-lava-and-bedroom-setting-c7ca9ae893-c7ca9ae893</t>
        </is>
      </c>
      <c r="B9" s="3" t="inlineStr">
        <is>
          <t>D1</t>
        </is>
      </c>
      <c r="C9" s="3" t="n">
        <v>10</v>
      </c>
      <c r="D9" s="3" t="inlineStr">
        <is>
          <t>FAIL</t>
        </is>
      </c>
      <c r="E9" s="7">
        <f>IF(B9="I1",AVERAGEIF('QA_Images'!$A$2:$A$58,A9,'QA_Images'!$T$2:$T$58)/100,IF(D9="FULL",1,IF(D9="PARTIAL",0.5,IF(D9="FAIL",0,""))))</f>
        <v/>
      </c>
      <c r="F9" s="7">
        <f>IF(E9="",0,C9*E9)</f>
        <v/>
      </c>
      <c r="G9" s="7">
        <f>IF(B9="I1",20*AVERAGEIF('QA_Images'!$A$2:$A$58,A9,'QA_Images'!$U$2:$U$58)/100,IF(D9="NOT_CHECKED",0,C9))</f>
        <v/>
      </c>
      <c r="H9" s="3" t="inlineStr">
        <is>
          <t>Description HTML is publish-ready and free of internal draft/QA instructions. Description HTML still contains internal QA/import language.</t>
        </is>
      </c>
      <c r="I9" s="3" t="inlineStr">
        <is>
          <t>evidence_batch_015_141</t>
        </is>
      </c>
      <c r="J9" s="3" t="inlineStr">
        <is>
          <t>ISSUE-0001; ISSUE-0002; ISSUE-0003; ISSUE-0004; ISSUE-0005; ISSUE-0006</t>
        </is>
      </c>
    </row>
    <row r="10" ht="42" customHeight="1">
      <c r="A10" s="2" t="inlineStr">
        <is>
          <t>jeminise.com+fantasy-fire-dragon-comforter-set-with-glowing-lava-and-bedroom-setting-c7ca9ae893-c7ca9ae893</t>
        </is>
      </c>
      <c r="B10" s="2" t="inlineStr">
        <is>
          <t>D2</t>
        </is>
      </c>
      <c r="C10" s="2" t="n">
        <v>5</v>
      </c>
      <c r="D10" s="2" t="inlineStr">
        <is>
          <t>PARTIAL</t>
        </is>
      </c>
      <c r="E10" s="5">
        <f>IF(B10="I1",AVERAGEIF('QA_Images'!$A$2:$A$58,A10,'QA_Images'!$T$2:$T$58)/100,IF(D10="FULL",1,IF(D10="PARTIAL",0.5,IF(D10="FAIL",0,""))))</f>
        <v/>
      </c>
      <c r="F10" s="5">
        <f>IF(E10="",0,C10*E10)</f>
        <v/>
      </c>
      <c r="G10" s="5">
        <f>IF(B10="I1",20*AVERAGEIF('QA_Images'!$A$2:$A$58,A10,'QA_Images'!$U$2:$U$58)/100,IF(D10="NOT_CHECKED",0,C10))</f>
        <v/>
      </c>
      <c r="H10" s="2" t="inlineStr">
        <is>
          <t>Description content covers verified design, product type, use case and constraints. Description covers motif/product type but remains templated and does not always map every verified constraint.</t>
        </is>
      </c>
      <c r="I10" s="2" t="inlineStr">
        <is>
          <t>evidence_batch_015_141</t>
        </is>
      </c>
      <c r="J10" s="2" t="inlineStr">
        <is>
          <t>ISSUE-0001; ISSUE-0002; ISSUE-0003; ISSUE-0004; ISSUE-0005; ISSUE-0006</t>
        </is>
      </c>
    </row>
    <row r="11" ht="42" customHeight="1">
      <c r="A11" s="3" t="inlineStr">
        <is>
          <t>jeminise.com+fantasy-fire-dragon-comforter-set-with-glowing-lava-and-bedroom-setting-c7ca9ae893-c7ca9ae893</t>
        </is>
      </c>
      <c r="B11" s="3" t="inlineStr">
        <is>
          <t>I1</t>
        </is>
      </c>
      <c r="C11" s="3" t="n">
        <v>20</v>
      </c>
      <c r="D11" s="3" t="inlineStr">
        <is>
          <t>FULL</t>
        </is>
      </c>
      <c r="E11" s="7">
        <f>IF(B11="I1",AVERAGEIF('QA_Images'!$A$2:$A$58,A11,'QA_Images'!$T$2:$T$58)/100,IF(D11="FULL",1,IF(D11="PARTIAL",0.5,IF(D11="FAIL",0,""))))</f>
        <v/>
      </c>
      <c r="F11" s="7">
        <f>IF(E11="",0,C11*E11)</f>
        <v/>
      </c>
      <c r="G11" s="7">
        <f>IF(B11="I1",20*AVERAGEIF('QA_Images'!$A$2:$A$58,A11,'QA_Images'!$U$2:$U$58)/100,IF(D11="NOT_CHECKED",0,C11))</f>
        <v/>
      </c>
      <c r="H11" s="3" t="inlineStr">
        <is>
          <t>Image coverage, image observations and alt text quality, derived from QA_Images. Derived from average image QA score; see QA_Images.</t>
        </is>
      </c>
      <c r="I11" s="3" t="inlineStr">
        <is>
          <t>evidence_batch_015_141</t>
        </is>
      </c>
      <c r="J11" s="3" t="inlineStr">
        <is>
          <t>ISSUE-0001; ISSUE-0002; ISSUE-0003; ISSUE-0004; ISSUE-0005; ISSUE-0006</t>
        </is>
      </c>
    </row>
    <row r="12" ht="42" customHeight="1">
      <c r="A12" s="2" t="inlineStr">
        <is>
          <t>jeminise.com+fantasy-fire-dragon-comforter-set-with-glowing-lava-and-bedroom-setting-c7ca9ae893-c7ca9ae893</t>
        </is>
      </c>
      <c r="B12" s="2" t="inlineStr">
        <is>
          <t>E1</t>
        </is>
      </c>
      <c r="C12" s="2" t="n">
        <v>5</v>
      </c>
      <c r="D12" s="2" t="inlineStr">
        <is>
          <t>PARTIAL</t>
        </is>
      </c>
      <c r="E12" s="5">
        <f>IF(B12="I1",AVERAGEIF('QA_Images'!$A$2:$A$58,A12,'QA_Images'!$T$2:$T$58)/100,IF(D12="FULL",1,IF(D12="PARTIAL",0.5,IF(D12="FAIL",0,""))))</f>
        <v/>
      </c>
      <c r="F12" s="5">
        <f>IF(E12="",0,C12*E12)</f>
        <v/>
      </c>
      <c r="G12" s="5">
        <f>IF(B12="I1",20*AVERAGEIF('QA_Images'!$A$2:$A$58,A12,'QA_Images'!$U$2:$U$58)/100,IF(D12="NOT_CHECKED",0,C12))</f>
        <v/>
      </c>
      <c r="H12" s="2" t="inlineStr">
        <is>
          <t>Evidence chain is traceable and limitations are explicitly separated from failures. Evidence chain is traceable, with admin-export limitation explicitly separated.</t>
        </is>
      </c>
      <c r="I12" s="2" t="inlineStr">
        <is>
          <t>evidence_batch_015_141</t>
        </is>
      </c>
      <c r="J12" s="2" t="inlineStr">
        <is>
          <t>ISSUE-0001; ISSUE-0002; ISSUE-0003; ISSUE-0004; ISSUE-0005; ISSUE-0006</t>
        </is>
      </c>
    </row>
    <row r="13" ht="42" customHeight="1">
      <c r="A13" s="3" t="inlineStr">
        <is>
          <t>jeminise.com+fantasy-mythical-dragon-comforter-set-with-winged-dragon-and-bedroom-setting-bcfc28e9d3-bcfc28e9d3</t>
        </is>
      </c>
      <c r="B13" s="3" t="inlineStr">
        <is>
          <t>P1</t>
        </is>
      </c>
      <c r="C13" s="3" t="n">
        <v>15</v>
      </c>
      <c r="D13" s="3" t="inlineStr">
        <is>
          <t>FULL</t>
        </is>
      </c>
      <c r="E13" s="7">
        <f>IF(B13="I1",AVERAGEIF('QA_Images'!$A$2:$A$58,A13,'QA_Images'!$T$2:$T$58)/100,IF(D13="FULL",1,IF(D13="PARTIAL",0.5,IF(D13="FAIL",0,""))))</f>
        <v/>
      </c>
      <c r="F13" s="7">
        <f>IF(E13="",0,C13*E13)</f>
        <v/>
      </c>
      <c r="G13" s="7">
        <f>IF(B13="I1",20*AVERAGEIF('QA_Images'!$A$2:$A$58,A13,'QA_Images'!$U$2:$U$58)/100,IF(D13="NOT_CHECKED",0,C13))</f>
        <v/>
      </c>
      <c r="H13" s="3" t="inlineStr">
        <is>
          <t>Product identity, handle, product ID, URL and canonical match source/live evidence. Product key/handle/product ID/canonical checked against frozen workbook and live product evidence.</t>
        </is>
      </c>
      <c r="I13" s="3" t="inlineStr">
        <is>
          <t>evidence_batch_015_142</t>
        </is>
      </c>
      <c r="J13" s="3" t="inlineStr">
        <is>
          <t>ISSUE-0010; ISSUE-0011; ISSUE-0012; ISSUE-0013; ISSUE-0014; ISSUE-0015</t>
        </is>
      </c>
    </row>
    <row r="14" ht="42" customHeight="1">
      <c r="A14" s="2" t="inlineStr">
        <is>
          <t>jeminise.com+fantasy-mythical-dragon-comforter-set-with-winged-dragon-and-bedroom-setting-bcfc28e9d3-bcfc28e9d3</t>
        </is>
      </c>
      <c r="B14" s="2" t="inlineStr">
        <is>
          <t>P2</t>
        </is>
      </c>
      <c r="C14" s="2" t="n">
        <v>10</v>
      </c>
      <c r="D14" s="2" t="inlineStr">
        <is>
          <t>PARTIAL</t>
        </is>
      </c>
      <c r="E14" s="5">
        <f>IF(B14="I1",AVERAGEIF('QA_Images'!$A$2:$A$58,A14,'QA_Images'!$T$2:$T$58)/100,IF(D14="FULL",1,IF(D14="PARTIAL",0.5,IF(D14="FAIL",0,""))))</f>
        <v/>
      </c>
      <c r="F14" s="5">
        <f>IF(E14="",0,C14*E14)</f>
        <v/>
      </c>
      <c r="G14" s="5">
        <f>IF(B14="I1",20*AVERAGEIF('QA_Images'!$A$2:$A$58,A14,'QA_Images'!$U$2:$U$58)/100,IF(D14="NOT_CHECKED",0,C14))</f>
        <v/>
      </c>
      <c r="H14" s="2" t="inlineStr">
        <is>
          <t>Source product facts, variants, specifications and personalization claims are evidence-backed. Personalization/specification claims checked against storefront product.js and static customizer config.</t>
        </is>
      </c>
      <c r="I14" s="2" t="inlineStr">
        <is>
          <t>evidence_batch_015_142</t>
        </is>
      </c>
      <c r="J14" s="2" t="inlineStr">
        <is>
          <t>ISSUE-0010; ISSUE-0011; ISSUE-0012; ISSUE-0013; ISSUE-0014; ISSUE-0015</t>
        </is>
      </c>
    </row>
    <row r="15" ht="42" customHeight="1">
      <c r="A15" s="3" t="inlineStr">
        <is>
          <t>jeminise.com+fantasy-mythical-dragon-comforter-set-with-winged-dragon-and-bedroom-setting-bcfc28e9d3-bcfc28e9d3</t>
        </is>
      </c>
      <c r="B15" s="3" t="inlineStr">
        <is>
          <t>K1</t>
        </is>
      </c>
      <c r="C15" s="3" t="n">
        <v>10</v>
      </c>
      <c r="D15" s="3" t="inlineStr">
        <is>
          <t>PARTIAL</t>
        </is>
      </c>
      <c r="E15" s="7">
        <f>IF(B15="I1",AVERAGEIF('QA_Images'!$A$2:$A$58,A15,'QA_Images'!$T$2:$T$58)/100,IF(D15="FULL",1,IF(D15="PARTIAL",0.5,IF(D15="FAIL",0,""))))</f>
        <v/>
      </c>
      <c r="F15" s="7">
        <f>IF(E15="",0,C15*E15)</f>
        <v/>
      </c>
      <c r="G15" s="7">
        <f>IF(B15="I1",20*AVERAGEIF('QA_Images'!$A$2:$A$58,A15,'QA_Images'!$U$2:$U$58)/100,IF(D15="NOT_CHECKED",0,C15))</f>
        <v/>
      </c>
      <c r="H15" s="3" t="inlineStr">
        <is>
          <t>Primary keyword aligns with product-level US purchase intent. Primary keyword rechecked against US product-level SERP comparables.</t>
        </is>
      </c>
      <c r="I15" s="3" t="inlineStr">
        <is>
          <t>evidence_batch_015_142</t>
        </is>
      </c>
      <c r="J15" s="3" t="inlineStr">
        <is>
          <t>ISSUE-0010; ISSUE-0011; ISSUE-0012; ISSUE-0013; ISSUE-0014; ISSUE-0015</t>
        </is>
      </c>
    </row>
    <row r="16" ht="42" customHeight="1">
      <c r="A16" s="2" t="inlineStr">
        <is>
          <t>jeminise.com+fantasy-mythical-dragon-comforter-set-with-winged-dragon-and-bedroom-setting-bcfc28e9d3-bcfc28e9d3</t>
        </is>
      </c>
      <c r="B16" s="2" t="inlineStr">
        <is>
          <t>K2</t>
        </is>
      </c>
      <c r="C16" s="2" t="n">
        <v>5</v>
      </c>
      <c r="D16" s="2" t="inlineStr">
        <is>
          <t>PARTIAL</t>
        </is>
      </c>
      <c r="E16" s="5">
        <f>IF(B16="I1",AVERAGEIF('QA_Images'!$A$2:$A$58,A16,'QA_Images'!$T$2:$T$58)/100,IF(D16="FULL",1,IF(D16="PARTIAL",0.5,IF(D16="FAIL",0,""))))</f>
        <v/>
      </c>
      <c r="F16" s="5">
        <f>IF(E16="",0,C16*E16)</f>
        <v/>
      </c>
      <c r="G16" s="5">
        <f>IF(B16="I1",20*AVERAGEIF('QA_Images'!$A$2:$A$58,A16,'QA_Images'!$U$2:$U$58)/100,IF(D16="NOT_CHECKED",0,C16))</f>
        <v/>
      </c>
      <c r="H16" s="2" t="inlineStr">
        <is>
          <t>Intent/cannibalization check distinguishes nearby products. Nearby product cluster has overlap risk, so intent distinction remains only partial.</t>
        </is>
      </c>
      <c r="I16" s="2" t="inlineStr">
        <is>
          <t>evidence_batch_015_142</t>
        </is>
      </c>
      <c r="J16" s="2" t="inlineStr">
        <is>
          <t>ISSUE-0010; ISSUE-0011; ISSUE-0012; ISSUE-0013; ISSUE-0014; ISSUE-0015</t>
        </is>
      </c>
    </row>
    <row r="17" ht="42" customHeight="1">
      <c r="A17" s="3" t="inlineStr">
        <is>
          <t>jeminise.com+fantasy-mythical-dragon-comforter-set-with-winged-dragon-and-bedroom-setting-bcfc28e9d3-bcfc28e9d3</t>
        </is>
      </c>
      <c r="B17" s="3" t="inlineStr">
        <is>
          <t>K3</t>
        </is>
      </c>
      <c r="C17" s="3" t="n">
        <v>5</v>
      </c>
      <c r="D17" s="3" t="inlineStr">
        <is>
          <t>PARTIAL</t>
        </is>
      </c>
      <c r="E17" s="7">
        <f>IF(B17="I1",AVERAGEIF('QA_Images'!$A$2:$A$58,A17,'QA_Images'!$T$2:$T$58)/100,IF(D17="FULL",1,IF(D17="PARTIAL",0.5,IF(D17="FAIL",0,""))))</f>
        <v/>
      </c>
      <c r="F17" s="7">
        <f>IF(E17="",0,C17*E17)</f>
        <v/>
      </c>
      <c r="G17" s="7">
        <f>IF(B17="I1",20*AVERAGEIF('QA_Images'!$A$2:$A$58,A17,'QA_Images'!$U$2:$U$58)/100,IF(D17="NOT_CHECKED",0,C17))</f>
        <v/>
      </c>
      <c r="H17" s="3" t="inlineStr">
        <is>
          <t>Keyword evidence is supported by SERP comparables without unsupported volume claims. Evidence is public SERP only; no Search Console, keyword volume or customer-search corpus provided.</t>
        </is>
      </c>
      <c r="I17" s="3" t="inlineStr">
        <is>
          <t>evidence_batch_015_142</t>
        </is>
      </c>
      <c r="J17" s="3" t="inlineStr">
        <is>
          <t>ISSUE-0010; ISSUE-0011; ISSUE-0012; ISSUE-0013; ISSUE-0014; ISSUE-0015</t>
        </is>
      </c>
    </row>
    <row r="18" ht="42" customHeight="1">
      <c r="A18" s="2" t="inlineStr">
        <is>
          <t>jeminise.com+fantasy-mythical-dragon-comforter-set-with-winged-dragon-and-bedroom-setting-bcfc28e9d3-bcfc28e9d3</t>
        </is>
      </c>
      <c r="B18" s="2" t="inlineStr">
        <is>
          <t>T1</t>
        </is>
      </c>
      <c r="C18" s="2" t="n">
        <v>10</v>
      </c>
      <c r="D18" s="2" t="inlineStr">
        <is>
          <t>PARTIAL</t>
        </is>
      </c>
      <c r="E18" s="5">
        <f>IF(B18="I1",AVERAGEIF('QA_Images'!$A$2:$A$58,A18,'QA_Images'!$T$2:$T$58)/100,IF(D18="FULL",1,IF(D18="PARTIAL",0.5,IF(D18="FAIL",0,""))))</f>
        <v/>
      </c>
      <c r="F18" s="5">
        <f>IF(E18="",0,C18*E18)</f>
        <v/>
      </c>
      <c r="G18" s="5">
        <f>IF(B18="I1",20*AVERAGEIF('QA_Images'!$A$2:$A$58,A18,'QA_Images'!$U$2:$U$58)/100,IF(D18="NOT_CHECKED",0,C18))</f>
        <v/>
      </c>
      <c r="H18" s="2" t="inlineStr">
        <is>
          <t>SEO title and H1 are relevant, specific and grounded in visible/source facts. Proposed H1 is blank, so the title/H1 pair cannot be fully verified.</t>
        </is>
      </c>
      <c r="I18" s="2" t="inlineStr">
        <is>
          <t>evidence_batch_015_142</t>
        </is>
      </c>
      <c r="J18" s="2" t="inlineStr">
        <is>
          <t>ISSUE-0010; ISSUE-0011; ISSUE-0012; ISSUE-0013; ISSUE-0014; ISSUE-0015</t>
        </is>
      </c>
    </row>
    <row r="19" ht="42" customHeight="1">
      <c r="A19" s="3" t="inlineStr">
        <is>
          <t>jeminise.com+fantasy-mythical-dragon-comforter-set-with-winged-dragon-and-bedroom-setting-bcfc28e9d3-bcfc28e9d3</t>
        </is>
      </c>
      <c r="B19" s="3" t="inlineStr">
        <is>
          <t>T2</t>
        </is>
      </c>
      <c r="C19" s="3" t="n">
        <v>5</v>
      </c>
      <c r="D19" s="3" t="inlineStr">
        <is>
          <t>PARTIAL</t>
        </is>
      </c>
      <c r="E19" s="7">
        <f>IF(B19="I1",AVERAGEIF('QA_Images'!$A$2:$A$58,A19,'QA_Images'!$T$2:$T$58)/100,IF(D19="FULL",1,IF(D19="PARTIAL",0.5,IF(D19="FAIL",0,""))))</f>
        <v/>
      </c>
      <c r="F19" s="7">
        <f>IF(E19="",0,C19*E19)</f>
        <v/>
      </c>
      <c r="G19" s="7">
        <f>IF(B19="I1",20*AVERAGEIF('QA_Images'!$A$2:$A$58,A19,'QA_Images'!$U$2:$U$58)/100,IF(D19="NOT_CHECKED",0,C19))</f>
        <v/>
      </c>
      <c r="H19" s="3" t="inlineStr">
        <is>
          <t>Meta description is concise, publish-ready and avoids unsupported claims. Meta description checked for length, specificity and supportable claims.</t>
        </is>
      </c>
      <c r="I19" s="3" t="inlineStr">
        <is>
          <t>evidence_batch_015_142</t>
        </is>
      </c>
      <c r="J19" s="3" t="inlineStr">
        <is>
          <t>ISSUE-0010; ISSUE-0011; ISSUE-0012; ISSUE-0013; ISSUE-0014; ISSUE-0015</t>
        </is>
      </c>
    </row>
    <row r="20" ht="42" customHeight="1">
      <c r="A20" s="2" t="inlineStr">
        <is>
          <t>jeminise.com+fantasy-mythical-dragon-comforter-set-with-winged-dragon-and-bedroom-setting-bcfc28e9d3-bcfc28e9d3</t>
        </is>
      </c>
      <c r="B20" s="2" t="inlineStr">
        <is>
          <t>D1</t>
        </is>
      </c>
      <c r="C20" s="2" t="n">
        <v>10</v>
      </c>
      <c r="D20" s="2" t="inlineStr">
        <is>
          <t>FAIL</t>
        </is>
      </c>
      <c r="E20" s="5">
        <f>IF(B20="I1",AVERAGEIF('QA_Images'!$A$2:$A$58,A20,'QA_Images'!$T$2:$T$58)/100,IF(D20="FULL",1,IF(D20="PARTIAL",0.5,IF(D20="FAIL",0,""))))</f>
        <v/>
      </c>
      <c r="F20" s="5">
        <f>IF(E20="",0,C20*E20)</f>
        <v/>
      </c>
      <c r="G20" s="5">
        <f>IF(B20="I1",20*AVERAGEIF('QA_Images'!$A$2:$A$58,A20,'QA_Images'!$U$2:$U$58)/100,IF(D20="NOT_CHECKED",0,C20))</f>
        <v/>
      </c>
      <c r="H20" s="2" t="inlineStr">
        <is>
          <t>Description HTML is publish-ready and free of internal draft/QA instructions. Description HTML still contains internal QA/import language.</t>
        </is>
      </c>
      <c r="I20" s="2" t="inlineStr">
        <is>
          <t>evidence_batch_015_142</t>
        </is>
      </c>
      <c r="J20" s="2" t="inlineStr">
        <is>
          <t>ISSUE-0010; ISSUE-0011; ISSUE-0012; ISSUE-0013; ISSUE-0014; ISSUE-0015</t>
        </is>
      </c>
    </row>
    <row r="21" ht="42" customHeight="1">
      <c r="A21" s="3" t="inlineStr">
        <is>
          <t>jeminise.com+fantasy-mythical-dragon-comforter-set-with-winged-dragon-and-bedroom-setting-bcfc28e9d3-bcfc28e9d3</t>
        </is>
      </c>
      <c r="B21" s="3" t="inlineStr">
        <is>
          <t>D2</t>
        </is>
      </c>
      <c r="C21" s="3" t="n">
        <v>5</v>
      </c>
      <c r="D21" s="3" t="inlineStr">
        <is>
          <t>PARTIAL</t>
        </is>
      </c>
      <c r="E21" s="7">
        <f>IF(B21="I1",AVERAGEIF('QA_Images'!$A$2:$A$58,A21,'QA_Images'!$T$2:$T$58)/100,IF(D21="FULL",1,IF(D21="PARTIAL",0.5,IF(D21="FAIL",0,""))))</f>
        <v/>
      </c>
      <c r="F21" s="7">
        <f>IF(E21="",0,C21*E21)</f>
        <v/>
      </c>
      <c r="G21" s="7">
        <f>IF(B21="I1",20*AVERAGEIF('QA_Images'!$A$2:$A$58,A21,'QA_Images'!$U$2:$U$58)/100,IF(D21="NOT_CHECKED",0,C21))</f>
        <v/>
      </c>
      <c r="H21" s="3" t="inlineStr">
        <is>
          <t>Description content covers verified design, product type, use case and constraints. Description covers motif/product type but remains templated and does not always map every verified constraint.</t>
        </is>
      </c>
      <c r="I21" s="3" t="inlineStr">
        <is>
          <t>evidence_batch_015_142</t>
        </is>
      </c>
      <c r="J21" s="3" t="inlineStr">
        <is>
          <t>ISSUE-0010; ISSUE-0011; ISSUE-0012; ISSUE-0013; ISSUE-0014; ISSUE-0015</t>
        </is>
      </c>
    </row>
    <row r="22" ht="42" customHeight="1">
      <c r="A22" s="2" t="inlineStr">
        <is>
          <t>jeminise.com+fantasy-mythical-dragon-comforter-set-with-winged-dragon-and-bedroom-setting-bcfc28e9d3-bcfc28e9d3</t>
        </is>
      </c>
      <c r="B22" s="2" t="inlineStr">
        <is>
          <t>I1</t>
        </is>
      </c>
      <c r="C22" s="2" t="n">
        <v>20</v>
      </c>
      <c r="D22" s="2" t="inlineStr">
        <is>
          <t>FULL</t>
        </is>
      </c>
      <c r="E22" s="5">
        <f>IF(B22="I1",AVERAGEIF('QA_Images'!$A$2:$A$58,A22,'QA_Images'!$T$2:$T$58)/100,IF(D22="FULL",1,IF(D22="PARTIAL",0.5,IF(D22="FAIL",0,""))))</f>
        <v/>
      </c>
      <c r="F22" s="5">
        <f>IF(E22="",0,C22*E22)</f>
        <v/>
      </c>
      <c r="G22" s="5">
        <f>IF(B22="I1",20*AVERAGEIF('QA_Images'!$A$2:$A$58,A22,'QA_Images'!$U$2:$U$58)/100,IF(D22="NOT_CHECKED",0,C22))</f>
        <v/>
      </c>
      <c r="H22" s="2" t="inlineStr">
        <is>
          <t>Image coverage, image observations and alt text quality, derived from QA_Images. Derived from average image QA score; see QA_Images.</t>
        </is>
      </c>
      <c r="I22" s="2" t="inlineStr">
        <is>
          <t>evidence_batch_015_142</t>
        </is>
      </c>
      <c r="J22" s="2" t="inlineStr">
        <is>
          <t>ISSUE-0010; ISSUE-0011; ISSUE-0012; ISSUE-0013; ISSUE-0014; ISSUE-0015</t>
        </is>
      </c>
    </row>
    <row r="23" ht="42" customHeight="1">
      <c r="A23" s="3" t="inlineStr">
        <is>
          <t>jeminise.com+fantasy-mythical-dragon-comforter-set-with-winged-dragon-and-bedroom-setting-bcfc28e9d3-bcfc28e9d3</t>
        </is>
      </c>
      <c r="B23" s="3" t="inlineStr">
        <is>
          <t>E1</t>
        </is>
      </c>
      <c r="C23" s="3" t="n">
        <v>5</v>
      </c>
      <c r="D23" s="3" t="inlineStr">
        <is>
          <t>PARTIAL</t>
        </is>
      </c>
      <c r="E23" s="7">
        <f>IF(B23="I1",AVERAGEIF('QA_Images'!$A$2:$A$58,A23,'QA_Images'!$T$2:$T$58)/100,IF(D23="FULL",1,IF(D23="PARTIAL",0.5,IF(D23="FAIL",0,""))))</f>
        <v/>
      </c>
      <c r="F23" s="7">
        <f>IF(E23="",0,C23*E23)</f>
        <v/>
      </c>
      <c r="G23" s="7">
        <f>IF(B23="I1",20*AVERAGEIF('QA_Images'!$A$2:$A$58,A23,'QA_Images'!$U$2:$U$58)/100,IF(D23="NOT_CHECKED",0,C23))</f>
        <v/>
      </c>
      <c r="H23" s="3" t="inlineStr">
        <is>
          <t>Evidence chain is traceable and limitations are explicitly separated from failures. Evidence chain is traceable, with admin-export limitation explicitly separated.</t>
        </is>
      </c>
      <c r="I23" s="3" t="inlineStr">
        <is>
          <t>evidence_batch_015_142</t>
        </is>
      </c>
      <c r="J23" s="3" t="inlineStr">
        <is>
          <t>ISSUE-0010; ISSUE-0011; ISSUE-0012; ISSUE-0013; ISSUE-0014; ISSUE-0015</t>
        </is>
      </c>
    </row>
    <row r="24" ht="42" customHeight="1">
      <c r="A24" s="2" t="inlineStr">
        <is>
          <t>jeminise.com+fantasy-nature-tree-of-life-quilt-set-with-entwined-golden-roots-and-bedroom-setting-9ad124a9ad-9ad124a9ad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5">
        <f>IF(B24="I1",AVERAGEIF('QA_Images'!$A$2:$A$58,A24,'QA_Images'!$T$2:$T$58)/100,IF(D24="FULL",1,IF(D24="PARTIAL",0.5,IF(D24="FAIL",0,""))))</f>
        <v/>
      </c>
      <c r="F24" s="5">
        <f>IF(E24="",0,C24*E24)</f>
        <v/>
      </c>
      <c r="G24" s="5">
        <f>IF(B24="I1",20*AVERAGEIF('QA_Images'!$A$2:$A$58,A24,'QA_Images'!$U$2:$U$58)/100,IF(D24="NOT_CHECKED",0,C24))</f>
        <v/>
      </c>
      <c r="H24" s="2" t="inlineStr">
        <is>
          <t>Product identity, handle, product ID, URL and canonical match source/live evidence. Product key/handle/product ID/canonical checked against frozen workbook and live product evidence.</t>
        </is>
      </c>
      <c r="I24" s="2" t="inlineStr">
        <is>
          <t>evidence_batch_015_143</t>
        </is>
      </c>
      <c r="J24" s="2" t="inlineStr">
        <is>
          <t>ISSUE-0019; ISSUE-0020; ISSUE-0021; ISSUE-0022; ISSUE-0023</t>
        </is>
      </c>
    </row>
    <row r="25" ht="42" customHeight="1">
      <c r="A25" s="3" t="inlineStr">
        <is>
          <t>jeminise.com+fantasy-nature-tree-of-life-quilt-set-with-entwined-golden-roots-and-bedroom-setting-9ad124a9ad-9ad124a9ad</t>
        </is>
      </c>
      <c r="B25" s="3" t="inlineStr">
        <is>
          <t>P2</t>
        </is>
      </c>
      <c r="C25" s="3" t="n">
        <v>10</v>
      </c>
      <c r="D25" s="3" t="inlineStr">
        <is>
          <t>PARTIAL</t>
        </is>
      </c>
      <c r="E25" s="7">
        <f>IF(B25="I1",AVERAGEIF('QA_Images'!$A$2:$A$58,A25,'QA_Images'!$T$2:$T$58)/100,IF(D25="FULL",1,IF(D25="PARTIAL",0.5,IF(D25="FAIL",0,""))))</f>
        <v/>
      </c>
      <c r="F25" s="7">
        <f>IF(E25="",0,C25*E25)</f>
        <v/>
      </c>
      <c r="G25" s="7">
        <f>IF(B25="I1",20*AVERAGEIF('QA_Images'!$A$2:$A$58,A25,'QA_Images'!$U$2:$U$58)/100,IF(D25="NOT_CHECKED",0,C25))</f>
        <v/>
      </c>
      <c r="H25" s="3" t="inlineStr">
        <is>
          <t>Source product facts, variants, specifications and personalization claims are evidence-backed. Personalization/specification claims checked against storefront product.js and static customizer config.</t>
        </is>
      </c>
      <c r="I25" s="3" t="inlineStr">
        <is>
          <t>evidence_batch_015_143</t>
        </is>
      </c>
      <c r="J25" s="3" t="inlineStr">
        <is>
          <t>ISSUE-0019; ISSUE-0020; ISSUE-0021; ISSUE-0022; ISSUE-0023</t>
        </is>
      </c>
    </row>
    <row r="26" ht="42" customHeight="1">
      <c r="A26" s="2" t="inlineStr">
        <is>
          <t>jeminise.com+fantasy-nature-tree-of-life-quilt-set-with-entwined-golden-roots-and-bedroom-setting-9ad124a9ad-9ad124a9ad</t>
        </is>
      </c>
      <c r="B26" s="2" t="inlineStr">
        <is>
          <t>K1</t>
        </is>
      </c>
      <c r="C26" s="2" t="n">
        <v>10</v>
      </c>
      <c r="D26" s="2" t="inlineStr">
        <is>
          <t>PARTIAL</t>
        </is>
      </c>
      <c r="E26" s="5">
        <f>IF(B26="I1",AVERAGEIF('QA_Images'!$A$2:$A$58,A26,'QA_Images'!$T$2:$T$58)/100,IF(D26="FULL",1,IF(D26="PARTIAL",0.5,IF(D26="FAIL",0,""))))</f>
        <v/>
      </c>
      <c r="F26" s="5">
        <f>IF(E26="",0,C26*E26)</f>
        <v/>
      </c>
      <c r="G26" s="5">
        <f>IF(B26="I1",20*AVERAGEIF('QA_Images'!$A$2:$A$58,A26,'QA_Images'!$U$2:$U$58)/100,IF(D26="NOT_CHECKED",0,C26))</f>
        <v/>
      </c>
      <c r="H26" s="2" t="inlineStr">
        <is>
          <t>Primary keyword aligns with product-level US purchase intent. Primary keyword rechecked against US product-level SERP comparables.</t>
        </is>
      </c>
      <c r="I26" s="2" t="inlineStr">
        <is>
          <t>evidence_batch_015_143</t>
        </is>
      </c>
      <c r="J26" s="2" t="inlineStr">
        <is>
          <t>ISSUE-0019; ISSUE-0020; ISSUE-0021; ISSUE-0022; ISSUE-0023</t>
        </is>
      </c>
    </row>
    <row r="27" ht="42" customHeight="1">
      <c r="A27" s="3" t="inlineStr">
        <is>
          <t>jeminise.com+fantasy-nature-tree-of-life-quilt-set-with-entwined-golden-roots-and-bedroom-setting-9ad124a9ad-9ad124a9ad</t>
        </is>
      </c>
      <c r="B27" s="3" t="inlineStr">
        <is>
          <t>K2</t>
        </is>
      </c>
      <c r="C27" s="3" t="n">
        <v>5</v>
      </c>
      <c r="D27" s="3" t="inlineStr">
        <is>
          <t>PARTIAL</t>
        </is>
      </c>
      <c r="E27" s="7">
        <f>IF(B27="I1",AVERAGEIF('QA_Images'!$A$2:$A$58,A27,'QA_Images'!$T$2:$T$58)/100,IF(D27="FULL",1,IF(D27="PARTIAL",0.5,IF(D27="FAIL",0,""))))</f>
        <v/>
      </c>
      <c r="F27" s="7">
        <f>IF(E27="",0,C27*E27)</f>
        <v/>
      </c>
      <c r="G27" s="7">
        <f>IF(B27="I1",20*AVERAGEIF('QA_Images'!$A$2:$A$58,A27,'QA_Images'!$U$2:$U$58)/100,IF(D27="NOT_CHECKED",0,C27))</f>
        <v/>
      </c>
      <c r="H27" s="3" t="inlineStr">
        <is>
          <t>Intent/cannibalization check distinguishes nearby products. Nearby product cluster has overlap risk, so intent distinction remains only partial.</t>
        </is>
      </c>
      <c r="I27" s="3" t="inlineStr">
        <is>
          <t>evidence_batch_015_143</t>
        </is>
      </c>
      <c r="J27" s="3" t="inlineStr">
        <is>
          <t>ISSUE-0019; ISSUE-0020; ISSUE-0021; ISSUE-0022; ISSUE-0023</t>
        </is>
      </c>
    </row>
    <row r="28" ht="42" customHeight="1">
      <c r="A28" s="2" t="inlineStr">
        <is>
          <t>jeminise.com+fantasy-nature-tree-of-life-quilt-set-with-entwined-golden-roots-and-bedroom-setting-9ad124a9ad-9ad124a9ad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5">
        <f>IF(B28="I1",AVERAGEIF('QA_Images'!$A$2:$A$58,A28,'QA_Images'!$T$2:$T$58)/100,IF(D28="FULL",1,IF(D28="PARTIAL",0.5,IF(D28="FAIL",0,""))))</f>
        <v/>
      </c>
      <c r="F28" s="5">
        <f>IF(E28="",0,C28*E28)</f>
        <v/>
      </c>
      <c r="G28" s="5">
        <f>IF(B28="I1",20*AVERAGEIF('QA_Images'!$A$2:$A$58,A28,'QA_Images'!$U$2:$U$58)/100,IF(D28="NOT_CHECKED",0,C28))</f>
        <v/>
      </c>
      <c r="H28" s="2" t="inlineStr">
        <is>
          <t>Keyword evidence is supported by SERP comparables without unsupported volume claims. Evidence is public SERP only; no Search Console, keyword volume or customer-search corpus provided.</t>
        </is>
      </c>
      <c r="I28" s="2" t="inlineStr">
        <is>
          <t>evidence_batch_015_143</t>
        </is>
      </c>
      <c r="J28" s="2" t="inlineStr">
        <is>
          <t>ISSUE-0019; ISSUE-0020; ISSUE-0021; ISSUE-0022; ISSUE-0023</t>
        </is>
      </c>
    </row>
    <row r="29" ht="42" customHeight="1">
      <c r="A29" s="3" t="inlineStr">
        <is>
          <t>jeminise.com+fantasy-nature-tree-of-life-quilt-set-with-entwined-golden-roots-and-bedroom-setting-9ad124a9ad-9ad124a9ad</t>
        </is>
      </c>
      <c r="B29" s="3" t="inlineStr">
        <is>
          <t>T1</t>
        </is>
      </c>
      <c r="C29" s="3" t="n">
        <v>10</v>
      </c>
      <c r="D29" s="3" t="inlineStr">
        <is>
          <t>PARTIAL</t>
        </is>
      </c>
      <c r="E29" s="7">
        <f>IF(B29="I1",AVERAGEIF('QA_Images'!$A$2:$A$58,A29,'QA_Images'!$T$2:$T$58)/100,IF(D29="FULL",1,IF(D29="PARTIAL",0.5,IF(D29="FAIL",0,""))))</f>
        <v/>
      </c>
      <c r="F29" s="7">
        <f>IF(E29="",0,C29*E29)</f>
        <v/>
      </c>
      <c r="G29" s="7">
        <f>IF(B29="I1",20*AVERAGEIF('QA_Images'!$A$2:$A$58,A29,'QA_Images'!$U$2:$U$58)/100,IF(D29="NOT_CHECKED",0,C29))</f>
        <v/>
      </c>
      <c r="H29" s="3" t="inlineStr">
        <is>
          <t>SEO title and H1 are relevant, specific and grounded in visible/source facts. Proposed H1 is blank, so the title/H1 pair cannot be fully verified.</t>
        </is>
      </c>
      <c r="I29" s="3" t="inlineStr">
        <is>
          <t>evidence_batch_015_143</t>
        </is>
      </c>
      <c r="J29" s="3" t="inlineStr">
        <is>
          <t>ISSUE-0019; ISSUE-0020; ISSUE-0021; ISSUE-0022; ISSUE-0023</t>
        </is>
      </c>
    </row>
    <row r="30" ht="42" customHeight="1">
      <c r="A30" s="2" t="inlineStr">
        <is>
          <t>jeminise.com+fantasy-nature-tree-of-life-quilt-set-with-entwined-golden-roots-and-bedroom-setting-9ad124a9ad-9ad124a9ad</t>
        </is>
      </c>
      <c r="B30" s="2" t="inlineStr">
        <is>
          <t>T2</t>
        </is>
      </c>
      <c r="C30" s="2" t="n">
        <v>5</v>
      </c>
      <c r="D30" s="2" t="inlineStr">
        <is>
          <t>PARTIAL</t>
        </is>
      </c>
      <c r="E30" s="5">
        <f>IF(B30="I1",AVERAGEIF('QA_Images'!$A$2:$A$58,A30,'QA_Images'!$T$2:$T$58)/100,IF(D30="FULL",1,IF(D30="PARTIAL",0.5,IF(D30="FAIL",0,""))))</f>
        <v/>
      </c>
      <c r="F30" s="5">
        <f>IF(E30="",0,C30*E30)</f>
        <v/>
      </c>
      <c r="G30" s="5">
        <f>IF(B30="I1",20*AVERAGEIF('QA_Images'!$A$2:$A$58,A30,'QA_Images'!$U$2:$U$58)/100,IF(D30="NOT_CHECKED",0,C30))</f>
        <v/>
      </c>
      <c r="H30" s="2" t="inlineStr">
        <is>
          <t>Meta description is concise, publish-ready and avoids unsupported claims. Meta description checked for length, specificity and supportable claims.</t>
        </is>
      </c>
      <c r="I30" s="2" t="inlineStr">
        <is>
          <t>evidence_batch_015_143</t>
        </is>
      </c>
      <c r="J30" s="2" t="inlineStr">
        <is>
          <t>ISSUE-0019; ISSUE-0020; ISSUE-0021; ISSUE-0022; ISSUE-0023</t>
        </is>
      </c>
    </row>
    <row r="31" ht="42" customHeight="1">
      <c r="A31" s="3" t="inlineStr">
        <is>
          <t>jeminise.com+fantasy-nature-tree-of-life-quilt-set-with-entwined-golden-roots-and-bedroom-setting-9ad124a9ad-9ad124a9ad</t>
        </is>
      </c>
      <c r="B31" s="3" t="inlineStr">
        <is>
          <t>D1</t>
        </is>
      </c>
      <c r="C31" s="3" t="n">
        <v>10</v>
      </c>
      <c r="D31" s="3" t="inlineStr">
        <is>
          <t>FAIL</t>
        </is>
      </c>
      <c r="E31" s="7">
        <f>IF(B31="I1",AVERAGEIF('QA_Images'!$A$2:$A$58,A31,'QA_Images'!$T$2:$T$58)/100,IF(D31="FULL",1,IF(D31="PARTIAL",0.5,IF(D31="FAIL",0,""))))</f>
        <v/>
      </c>
      <c r="F31" s="7">
        <f>IF(E31="",0,C31*E31)</f>
        <v/>
      </c>
      <c r="G31" s="7">
        <f>IF(B31="I1",20*AVERAGEIF('QA_Images'!$A$2:$A$58,A31,'QA_Images'!$U$2:$U$58)/100,IF(D31="NOT_CHECKED",0,C31))</f>
        <v/>
      </c>
      <c r="H31" s="3" t="inlineStr">
        <is>
          <t>Description HTML is publish-ready and free of internal draft/QA instructions. Description HTML still contains internal QA/import language.</t>
        </is>
      </c>
      <c r="I31" s="3" t="inlineStr">
        <is>
          <t>evidence_batch_015_143</t>
        </is>
      </c>
      <c r="J31" s="3" t="inlineStr">
        <is>
          <t>ISSUE-0019; ISSUE-0020; ISSUE-0021; ISSUE-0022; ISSUE-0023</t>
        </is>
      </c>
    </row>
    <row r="32" ht="42" customHeight="1">
      <c r="A32" s="2" t="inlineStr">
        <is>
          <t>jeminise.com+fantasy-nature-tree-of-life-quilt-set-with-entwined-golden-roots-and-bedroom-setting-9ad124a9ad-9ad124a9ad</t>
        </is>
      </c>
      <c r="B32" s="2" t="inlineStr">
        <is>
          <t>D2</t>
        </is>
      </c>
      <c r="C32" s="2" t="n">
        <v>5</v>
      </c>
      <c r="D32" s="2" t="inlineStr">
        <is>
          <t>PARTIAL</t>
        </is>
      </c>
      <c r="E32" s="5">
        <f>IF(B32="I1",AVERAGEIF('QA_Images'!$A$2:$A$58,A32,'QA_Images'!$T$2:$T$58)/100,IF(D32="FULL",1,IF(D32="PARTIAL",0.5,IF(D32="FAIL",0,""))))</f>
        <v/>
      </c>
      <c r="F32" s="5">
        <f>IF(E32="",0,C32*E32)</f>
        <v/>
      </c>
      <c r="G32" s="5">
        <f>IF(B32="I1",20*AVERAGEIF('QA_Images'!$A$2:$A$58,A32,'QA_Images'!$U$2:$U$58)/100,IF(D32="NOT_CHECKED",0,C32))</f>
        <v/>
      </c>
      <c r="H32" s="2" t="inlineStr">
        <is>
          <t>Description content covers verified design, product type, use case and constraints. Description covers motif/product type but remains templated and does not always map every verified constraint.</t>
        </is>
      </c>
      <c r="I32" s="2" t="inlineStr">
        <is>
          <t>evidence_batch_015_143</t>
        </is>
      </c>
      <c r="J32" s="2" t="inlineStr">
        <is>
          <t>ISSUE-0019; ISSUE-0020; ISSUE-0021; ISSUE-0022; ISSUE-0023</t>
        </is>
      </c>
    </row>
    <row r="33" ht="42" customHeight="1">
      <c r="A33" s="3" t="inlineStr">
        <is>
          <t>jeminise.com+fantasy-nature-tree-of-life-quilt-set-with-entwined-golden-roots-and-bedroom-setting-9ad124a9ad-9ad124a9ad</t>
        </is>
      </c>
      <c r="B33" s="3" t="inlineStr">
        <is>
          <t>I1</t>
        </is>
      </c>
      <c r="C33" s="3" t="n">
        <v>20</v>
      </c>
      <c r="D33" s="3" t="inlineStr">
        <is>
          <t>FULL</t>
        </is>
      </c>
      <c r="E33" s="7">
        <f>IF(B33="I1",AVERAGEIF('QA_Images'!$A$2:$A$58,A33,'QA_Images'!$T$2:$T$58)/100,IF(D33="FULL",1,IF(D33="PARTIAL",0.5,IF(D33="FAIL",0,""))))</f>
        <v/>
      </c>
      <c r="F33" s="7">
        <f>IF(E33="",0,C33*E33)</f>
        <v/>
      </c>
      <c r="G33" s="7">
        <f>IF(B33="I1",20*AVERAGEIF('QA_Images'!$A$2:$A$58,A33,'QA_Images'!$U$2:$U$58)/100,IF(D33="NOT_CHECKED",0,C33))</f>
        <v/>
      </c>
      <c r="H33" s="3" t="inlineStr">
        <is>
          <t>Image coverage, image observations and alt text quality, derived from QA_Images. Derived from average image QA score; see QA_Images.</t>
        </is>
      </c>
      <c r="I33" s="3" t="inlineStr">
        <is>
          <t>evidence_batch_015_143</t>
        </is>
      </c>
      <c r="J33" s="3" t="inlineStr">
        <is>
          <t>ISSUE-0019; ISSUE-0020; ISSUE-0021; ISSUE-0022; ISSUE-0023</t>
        </is>
      </c>
    </row>
    <row r="34" ht="42" customHeight="1">
      <c r="A34" s="2" t="inlineStr">
        <is>
          <t>jeminise.com+fantasy-nature-tree-of-life-quilt-set-with-entwined-golden-roots-and-bedroom-setting-9ad124a9ad-9ad124a9ad</t>
        </is>
      </c>
      <c r="B34" s="2" t="inlineStr">
        <is>
          <t>E1</t>
        </is>
      </c>
      <c r="C34" s="2" t="n">
        <v>5</v>
      </c>
      <c r="D34" s="2" t="inlineStr">
        <is>
          <t>PARTIAL</t>
        </is>
      </c>
      <c r="E34" s="5">
        <f>IF(B34="I1",AVERAGEIF('QA_Images'!$A$2:$A$58,A34,'QA_Images'!$T$2:$T$58)/100,IF(D34="FULL",1,IF(D34="PARTIAL",0.5,IF(D34="FAIL",0,""))))</f>
        <v/>
      </c>
      <c r="F34" s="5">
        <f>IF(E34="",0,C34*E34)</f>
        <v/>
      </c>
      <c r="G34" s="5">
        <f>IF(B34="I1",20*AVERAGEIF('QA_Images'!$A$2:$A$58,A34,'QA_Images'!$U$2:$U$58)/100,IF(D34="NOT_CHECKED",0,C34))</f>
        <v/>
      </c>
      <c r="H34" s="2" t="inlineStr">
        <is>
          <t>Evidence chain is traceable and limitations are explicitly separated from failures. Evidence chain is traceable, with admin-export limitation explicitly separated.</t>
        </is>
      </c>
      <c r="I34" s="2" t="inlineStr">
        <is>
          <t>evidence_batch_015_143</t>
        </is>
      </c>
      <c r="J34" s="2" t="inlineStr">
        <is>
          <t>ISSUE-0019; ISSUE-0020; ISSUE-0021; ISSUE-0022; ISSUE-0023</t>
        </is>
      </c>
    </row>
    <row r="35" ht="42" customHeight="1">
      <c r="A35" s="3" t="inlineStr">
        <is>
          <t>jeminise.com+fantasy-nature-tree-of-life-quilt-set-with-twisted-tree-trunk-and-bedroom-4dbc5a5b98-4dbc5a5b98</t>
        </is>
      </c>
      <c r="B35" s="3" t="inlineStr">
        <is>
          <t>P1</t>
        </is>
      </c>
      <c r="C35" s="3" t="n">
        <v>15</v>
      </c>
      <c r="D35" s="3" t="inlineStr">
        <is>
          <t>FULL</t>
        </is>
      </c>
      <c r="E35" s="7">
        <f>IF(B35="I1",AVERAGEIF('QA_Images'!$A$2:$A$58,A35,'QA_Images'!$T$2:$T$58)/100,IF(D35="FULL",1,IF(D35="PARTIAL",0.5,IF(D35="FAIL",0,""))))</f>
        <v/>
      </c>
      <c r="F35" s="7">
        <f>IF(E35="",0,C35*E35)</f>
        <v/>
      </c>
      <c r="G35" s="7">
        <f>IF(B35="I1",20*AVERAGEIF('QA_Images'!$A$2:$A$58,A35,'QA_Images'!$U$2:$U$58)/100,IF(D35="NOT_CHECKED",0,C35))</f>
        <v/>
      </c>
      <c r="H35" s="3" t="inlineStr">
        <is>
          <t>Product identity, handle, product ID, URL and canonical match source/live evidence. Product key/handle/product ID/canonical checked against frozen workbook and live product evidence.</t>
        </is>
      </c>
      <c r="I35" s="3" t="inlineStr">
        <is>
          <t>evidence_batch_015_144</t>
        </is>
      </c>
      <c r="J35" s="3" t="inlineStr">
        <is>
          <t>ISSUE-0029; ISSUE-0030; ISSUE-0031; ISSUE-0032; ISSUE-0033</t>
        </is>
      </c>
    </row>
    <row r="36" ht="42" customHeight="1">
      <c r="A36" s="2" t="inlineStr">
        <is>
          <t>jeminise.com+fantasy-nature-tree-of-life-quilt-set-with-twisted-tree-trunk-and-bedroom-4dbc5a5b98-4dbc5a5b98</t>
        </is>
      </c>
      <c r="B36" s="2" t="inlineStr">
        <is>
          <t>P2</t>
        </is>
      </c>
      <c r="C36" s="2" t="n">
        <v>10</v>
      </c>
      <c r="D36" s="2" t="inlineStr">
        <is>
          <t>PARTIAL</t>
        </is>
      </c>
      <c r="E36" s="5">
        <f>IF(B36="I1",AVERAGEIF('QA_Images'!$A$2:$A$58,A36,'QA_Images'!$T$2:$T$58)/100,IF(D36="FULL",1,IF(D36="PARTIAL",0.5,IF(D36="FAIL",0,""))))</f>
        <v/>
      </c>
      <c r="F36" s="5">
        <f>IF(E36="",0,C36*E36)</f>
        <v/>
      </c>
      <c r="G36" s="5">
        <f>IF(B36="I1",20*AVERAGEIF('QA_Images'!$A$2:$A$58,A36,'QA_Images'!$U$2:$U$58)/100,IF(D36="NOT_CHECKED",0,C36))</f>
        <v/>
      </c>
      <c r="H36" s="2" t="inlineStr">
        <is>
          <t>Source product facts, variants, specifications and personalization claims are evidence-backed. Personalization/specification claims checked against storefront product.js and static customizer config.</t>
        </is>
      </c>
      <c r="I36" s="2" t="inlineStr">
        <is>
          <t>evidence_batch_015_144</t>
        </is>
      </c>
      <c r="J36" s="2" t="inlineStr">
        <is>
          <t>ISSUE-0029; ISSUE-0030; ISSUE-0031; ISSUE-0032; ISSUE-0033</t>
        </is>
      </c>
    </row>
    <row r="37" ht="42" customHeight="1">
      <c r="A37" s="3" t="inlineStr">
        <is>
          <t>jeminise.com+fantasy-nature-tree-of-life-quilt-set-with-twisted-tree-trunk-and-bedroom-4dbc5a5b98-4dbc5a5b98</t>
        </is>
      </c>
      <c r="B37" s="3" t="inlineStr">
        <is>
          <t>K1</t>
        </is>
      </c>
      <c r="C37" s="3" t="n">
        <v>10</v>
      </c>
      <c r="D37" s="3" t="inlineStr">
        <is>
          <t>PARTIAL</t>
        </is>
      </c>
      <c r="E37" s="7">
        <f>IF(B37="I1",AVERAGEIF('QA_Images'!$A$2:$A$58,A37,'QA_Images'!$T$2:$T$58)/100,IF(D37="FULL",1,IF(D37="PARTIAL",0.5,IF(D37="FAIL",0,""))))</f>
        <v/>
      </c>
      <c r="F37" s="7">
        <f>IF(E37="",0,C37*E37)</f>
        <v/>
      </c>
      <c r="G37" s="7">
        <f>IF(B37="I1",20*AVERAGEIF('QA_Images'!$A$2:$A$58,A37,'QA_Images'!$U$2:$U$58)/100,IF(D37="NOT_CHECKED",0,C37))</f>
        <v/>
      </c>
      <c r="H37" s="3" t="inlineStr">
        <is>
          <t>Primary keyword aligns with product-level US purchase intent. Primary keyword rechecked against US product-level SERP comparables.</t>
        </is>
      </c>
      <c r="I37" s="3" t="inlineStr">
        <is>
          <t>evidence_batch_015_144</t>
        </is>
      </c>
      <c r="J37" s="3" t="inlineStr">
        <is>
          <t>ISSUE-0029; ISSUE-0030; ISSUE-0031; ISSUE-0032; ISSUE-0033</t>
        </is>
      </c>
    </row>
    <row r="38" ht="42" customHeight="1">
      <c r="A38" s="2" t="inlineStr">
        <is>
          <t>jeminise.com+fantasy-nature-tree-of-life-quilt-set-with-twisted-tree-trunk-and-bedroom-4dbc5a5b98-4dbc5a5b98</t>
        </is>
      </c>
      <c r="B38" s="2" t="inlineStr">
        <is>
          <t>K2</t>
        </is>
      </c>
      <c r="C38" s="2" t="n">
        <v>5</v>
      </c>
      <c r="D38" s="2" t="inlineStr">
        <is>
          <t>PARTIAL</t>
        </is>
      </c>
      <c r="E38" s="5">
        <f>IF(B38="I1",AVERAGEIF('QA_Images'!$A$2:$A$58,A38,'QA_Images'!$T$2:$T$58)/100,IF(D38="FULL",1,IF(D38="PARTIAL",0.5,IF(D38="FAIL",0,""))))</f>
        <v/>
      </c>
      <c r="F38" s="5">
        <f>IF(E38="",0,C38*E38)</f>
        <v/>
      </c>
      <c r="G38" s="5">
        <f>IF(B38="I1",20*AVERAGEIF('QA_Images'!$A$2:$A$58,A38,'QA_Images'!$U$2:$U$58)/100,IF(D38="NOT_CHECKED",0,C38))</f>
        <v/>
      </c>
      <c r="H38" s="2" t="inlineStr">
        <is>
          <t>Intent/cannibalization check distinguishes nearby products. Nearby product cluster has overlap risk, so intent distinction remains only partial.</t>
        </is>
      </c>
      <c r="I38" s="2" t="inlineStr">
        <is>
          <t>evidence_batch_015_144</t>
        </is>
      </c>
      <c r="J38" s="2" t="inlineStr">
        <is>
          <t>ISSUE-0029; ISSUE-0030; ISSUE-0031; ISSUE-0032; ISSUE-0033</t>
        </is>
      </c>
    </row>
    <row r="39" ht="42" customHeight="1">
      <c r="A39" s="3" t="inlineStr">
        <is>
          <t>jeminise.com+fantasy-nature-tree-of-life-quilt-set-with-twisted-tree-trunk-and-bedroom-4dbc5a5b98-4dbc5a5b98</t>
        </is>
      </c>
      <c r="B39" s="3" t="inlineStr">
        <is>
          <t>K3</t>
        </is>
      </c>
      <c r="C39" s="3" t="n">
        <v>5</v>
      </c>
      <c r="D39" s="3" t="inlineStr">
        <is>
          <t>PARTIAL</t>
        </is>
      </c>
      <c r="E39" s="7">
        <f>IF(B39="I1",AVERAGEIF('QA_Images'!$A$2:$A$58,A39,'QA_Images'!$T$2:$T$58)/100,IF(D39="FULL",1,IF(D39="PARTIAL",0.5,IF(D39="FAIL",0,""))))</f>
        <v/>
      </c>
      <c r="F39" s="7">
        <f>IF(E39="",0,C39*E39)</f>
        <v/>
      </c>
      <c r="G39" s="7">
        <f>IF(B39="I1",20*AVERAGEIF('QA_Images'!$A$2:$A$58,A39,'QA_Images'!$U$2:$U$58)/100,IF(D39="NOT_CHECKED",0,C39))</f>
        <v/>
      </c>
      <c r="H39" s="3" t="inlineStr">
        <is>
          <t>Keyword evidence is supported by SERP comparables without unsupported volume claims. Evidence is public SERP only; no Search Console, keyword volume or customer-search corpus provided.</t>
        </is>
      </c>
      <c r="I39" s="3" t="inlineStr">
        <is>
          <t>evidence_batch_015_144</t>
        </is>
      </c>
      <c r="J39" s="3" t="inlineStr">
        <is>
          <t>ISSUE-0029; ISSUE-0030; ISSUE-0031; ISSUE-0032; ISSUE-0033</t>
        </is>
      </c>
    </row>
    <row r="40" ht="42" customHeight="1">
      <c r="A40" s="2" t="inlineStr">
        <is>
          <t>jeminise.com+fantasy-nature-tree-of-life-quilt-set-with-twisted-tree-trunk-and-bedroom-4dbc5a5b98-4dbc5a5b98</t>
        </is>
      </c>
      <c r="B40" s="2" t="inlineStr">
        <is>
          <t>T1</t>
        </is>
      </c>
      <c r="C40" s="2" t="n">
        <v>10</v>
      </c>
      <c r="D40" s="2" t="inlineStr">
        <is>
          <t>PARTIAL</t>
        </is>
      </c>
      <c r="E40" s="5">
        <f>IF(B40="I1",AVERAGEIF('QA_Images'!$A$2:$A$58,A40,'QA_Images'!$T$2:$T$58)/100,IF(D40="FULL",1,IF(D40="PARTIAL",0.5,IF(D40="FAIL",0,""))))</f>
        <v/>
      </c>
      <c r="F40" s="5">
        <f>IF(E40="",0,C40*E40)</f>
        <v/>
      </c>
      <c r="G40" s="5">
        <f>IF(B40="I1",20*AVERAGEIF('QA_Images'!$A$2:$A$58,A40,'QA_Images'!$U$2:$U$58)/100,IF(D40="NOT_CHECKED",0,C40))</f>
        <v/>
      </c>
      <c r="H40" s="2" t="inlineStr">
        <is>
          <t>SEO title and H1 are relevant, specific and grounded in visible/source facts. Proposed H1 is blank, so the title/H1 pair cannot be fully verified.</t>
        </is>
      </c>
      <c r="I40" s="2" t="inlineStr">
        <is>
          <t>evidence_batch_015_144</t>
        </is>
      </c>
      <c r="J40" s="2" t="inlineStr">
        <is>
          <t>ISSUE-0029; ISSUE-0030; ISSUE-0031; ISSUE-0032; ISSUE-0033</t>
        </is>
      </c>
    </row>
    <row r="41" ht="42" customHeight="1">
      <c r="A41" s="3" t="inlineStr">
        <is>
          <t>jeminise.com+fantasy-nature-tree-of-life-quilt-set-with-twisted-tree-trunk-and-bedroom-4dbc5a5b98-4dbc5a5b98</t>
        </is>
      </c>
      <c r="B41" s="3" t="inlineStr">
        <is>
          <t>T2</t>
        </is>
      </c>
      <c r="C41" s="3" t="n">
        <v>5</v>
      </c>
      <c r="D41" s="3" t="inlineStr">
        <is>
          <t>PARTIAL</t>
        </is>
      </c>
      <c r="E41" s="7">
        <f>IF(B41="I1",AVERAGEIF('QA_Images'!$A$2:$A$58,A41,'QA_Images'!$T$2:$T$58)/100,IF(D41="FULL",1,IF(D41="PARTIAL",0.5,IF(D41="FAIL",0,""))))</f>
        <v/>
      </c>
      <c r="F41" s="7">
        <f>IF(E41="",0,C41*E41)</f>
        <v/>
      </c>
      <c r="G41" s="7">
        <f>IF(B41="I1",20*AVERAGEIF('QA_Images'!$A$2:$A$58,A41,'QA_Images'!$U$2:$U$58)/100,IF(D41="NOT_CHECKED",0,C41))</f>
        <v/>
      </c>
      <c r="H41" s="3" t="inlineStr">
        <is>
          <t>Meta description is concise, publish-ready and avoids unsupported claims. Meta description checked for length, specificity and supportable claims.</t>
        </is>
      </c>
      <c r="I41" s="3" t="inlineStr">
        <is>
          <t>evidence_batch_015_144</t>
        </is>
      </c>
      <c r="J41" s="3" t="inlineStr">
        <is>
          <t>ISSUE-0029; ISSUE-0030; ISSUE-0031; ISSUE-0032; ISSUE-0033</t>
        </is>
      </c>
    </row>
    <row r="42" ht="42" customHeight="1">
      <c r="A42" s="2" t="inlineStr">
        <is>
          <t>jeminise.com+fantasy-nature-tree-of-life-quilt-set-with-twisted-tree-trunk-and-bedroom-4dbc5a5b98-4dbc5a5b98</t>
        </is>
      </c>
      <c r="B42" s="2" t="inlineStr">
        <is>
          <t>D1</t>
        </is>
      </c>
      <c r="C42" s="2" t="n">
        <v>10</v>
      </c>
      <c r="D42" s="2" t="inlineStr">
        <is>
          <t>FAIL</t>
        </is>
      </c>
      <c r="E42" s="5">
        <f>IF(B42="I1",AVERAGEIF('QA_Images'!$A$2:$A$58,A42,'QA_Images'!$T$2:$T$58)/100,IF(D42="FULL",1,IF(D42="PARTIAL",0.5,IF(D42="FAIL",0,""))))</f>
        <v/>
      </c>
      <c r="F42" s="5">
        <f>IF(E42="",0,C42*E42)</f>
        <v/>
      </c>
      <c r="G42" s="5">
        <f>IF(B42="I1",20*AVERAGEIF('QA_Images'!$A$2:$A$58,A42,'QA_Images'!$U$2:$U$58)/100,IF(D42="NOT_CHECKED",0,C42))</f>
        <v/>
      </c>
      <c r="H42" s="2" t="inlineStr">
        <is>
          <t>Description HTML is publish-ready and free of internal draft/QA instructions. Description HTML still contains internal QA/import language.</t>
        </is>
      </c>
      <c r="I42" s="2" t="inlineStr">
        <is>
          <t>evidence_batch_015_144</t>
        </is>
      </c>
      <c r="J42" s="2" t="inlineStr">
        <is>
          <t>ISSUE-0029; ISSUE-0030; ISSUE-0031; ISSUE-0032; ISSUE-0033</t>
        </is>
      </c>
    </row>
    <row r="43" ht="42" customHeight="1">
      <c r="A43" s="3" t="inlineStr">
        <is>
          <t>jeminise.com+fantasy-nature-tree-of-life-quilt-set-with-twisted-tree-trunk-and-bedroom-4dbc5a5b98-4dbc5a5b98</t>
        </is>
      </c>
      <c r="B43" s="3" t="inlineStr">
        <is>
          <t>D2</t>
        </is>
      </c>
      <c r="C43" s="3" t="n">
        <v>5</v>
      </c>
      <c r="D43" s="3" t="inlineStr">
        <is>
          <t>PARTIAL</t>
        </is>
      </c>
      <c r="E43" s="7">
        <f>IF(B43="I1",AVERAGEIF('QA_Images'!$A$2:$A$58,A43,'QA_Images'!$T$2:$T$58)/100,IF(D43="FULL",1,IF(D43="PARTIAL",0.5,IF(D43="FAIL",0,""))))</f>
        <v/>
      </c>
      <c r="F43" s="7">
        <f>IF(E43="",0,C43*E43)</f>
        <v/>
      </c>
      <c r="G43" s="7">
        <f>IF(B43="I1",20*AVERAGEIF('QA_Images'!$A$2:$A$58,A43,'QA_Images'!$U$2:$U$58)/100,IF(D43="NOT_CHECKED",0,C43))</f>
        <v/>
      </c>
      <c r="H43" s="3" t="inlineStr">
        <is>
          <t>Description content covers verified design, product type, use case and constraints. Description covers motif/product type but remains templated and does not always map every verified constraint.</t>
        </is>
      </c>
      <c r="I43" s="3" t="inlineStr">
        <is>
          <t>evidence_batch_015_144</t>
        </is>
      </c>
      <c r="J43" s="3" t="inlineStr">
        <is>
          <t>ISSUE-0029; ISSUE-0030; ISSUE-0031; ISSUE-0032; ISSUE-0033</t>
        </is>
      </c>
    </row>
    <row r="44" ht="42" customHeight="1">
      <c r="A44" s="2" t="inlineStr">
        <is>
          <t>jeminise.com+fantasy-nature-tree-of-life-quilt-set-with-twisted-tree-trunk-and-bedroom-4dbc5a5b98-4dbc5a5b98</t>
        </is>
      </c>
      <c r="B44" s="2" t="inlineStr">
        <is>
          <t>I1</t>
        </is>
      </c>
      <c r="C44" s="2" t="n">
        <v>20</v>
      </c>
      <c r="D44" s="2" t="inlineStr">
        <is>
          <t>FULL</t>
        </is>
      </c>
      <c r="E44" s="5">
        <f>IF(B44="I1",AVERAGEIF('QA_Images'!$A$2:$A$58,A44,'QA_Images'!$T$2:$T$58)/100,IF(D44="FULL",1,IF(D44="PARTIAL",0.5,IF(D44="FAIL",0,""))))</f>
        <v/>
      </c>
      <c r="F44" s="5">
        <f>IF(E44="",0,C44*E44)</f>
        <v/>
      </c>
      <c r="G44" s="5">
        <f>IF(B44="I1",20*AVERAGEIF('QA_Images'!$A$2:$A$58,A44,'QA_Images'!$U$2:$U$58)/100,IF(D44="NOT_CHECKED",0,C44))</f>
        <v/>
      </c>
      <c r="H44" s="2" t="inlineStr">
        <is>
          <t>Image coverage, image observations and alt text quality, derived from QA_Images. Derived from average image QA score; see QA_Images.</t>
        </is>
      </c>
      <c r="I44" s="2" t="inlineStr">
        <is>
          <t>evidence_batch_015_144</t>
        </is>
      </c>
      <c r="J44" s="2" t="inlineStr">
        <is>
          <t>ISSUE-0029; ISSUE-0030; ISSUE-0031; ISSUE-0032; ISSUE-0033</t>
        </is>
      </c>
    </row>
    <row r="45" ht="42" customHeight="1">
      <c r="A45" s="3" t="inlineStr">
        <is>
          <t>jeminise.com+fantasy-nature-tree-of-life-quilt-set-with-twisted-tree-trunk-and-bedroom-4dbc5a5b98-4dbc5a5b98</t>
        </is>
      </c>
      <c r="B45" s="3" t="inlineStr">
        <is>
          <t>E1</t>
        </is>
      </c>
      <c r="C45" s="3" t="n">
        <v>5</v>
      </c>
      <c r="D45" s="3" t="inlineStr">
        <is>
          <t>PARTIAL</t>
        </is>
      </c>
      <c r="E45" s="7">
        <f>IF(B45="I1",AVERAGEIF('QA_Images'!$A$2:$A$58,A45,'QA_Images'!$T$2:$T$58)/100,IF(D45="FULL",1,IF(D45="PARTIAL",0.5,IF(D45="FAIL",0,""))))</f>
        <v/>
      </c>
      <c r="F45" s="7">
        <f>IF(E45="",0,C45*E45)</f>
        <v/>
      </c>
      <c r="G45" s="7">
        <f>IF(B45="I1",20*AVERAGEIF('QA_Images'!$A$2:$A$58,A45,'QA_Images'!$U$2:$U$58)/100,IF(D45="NOT_CHECKED",0,C45))</f>
        <v/>
      </c>
      <c r="H45" s="3" t="inlineStr">
        <is>
          <t>Evidence chain is traceable and limitations are explicitly separated from failures. Evidence chain is traceable, with admin-export limitation explicitly separated.</t>
        </is>
      </c>
      <c r="I45" s="3" t="inlineStr">
        <is>
          <t>evidence_batch_015_144</t>
        </is>
      </c>
      <c r="J45" s="3" t="inlineStr">
        <is>
          <t>ISSUE-0029; ISSUE-0030; ISSUE-0031; ISSUE-0032; ISSUE-0033</t>
        </is>
      </c>
    </row>
    <row r="46" ht="42" customHeight="1">
      <c r="A46" s="2" t="inlineStr">
        <is>
          <t>jeminise.com+fantasy-comforter-set-with-dragon-and-bedroom-and-fire-and-spikes-9008eacaf3-9008eacaf3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5">
        <f>IF(B46="I1",AVERAGEIF('QA_Images'!$A$2:$A$58,A46,'QA_Images'!$T$2:$T$58)/100,IF(D46="FULL",1,IF(D46="PARTIAL",0.5,IF(D46="FAIL",0,""))))</f>
        <v/>
      </c>
      <c r="F46" s="5">
        <f>IF(E46="",0,C46*E46)</f>
        <v/>
      </c>
      <c r="G46" s="5">
        <f>IF(B46="I1",20*AVERAGEIF('QA_Images'!$A$2:$A$58,A46,'QA_Images'!$U$2:$U$58)/100,IF(D46="NOT_CHECKED",0,C46))</f>
        <v/>
      </c>
      <c r="H46" s="2" t="inlineStr">
        <is>
          <t>Product identity, handle, product ID, URL and canonical match source/live evidence. Product key/handle/product ID/canonical checked against frozen workbook and live product evidence.</t>
        </is>
      </c>
      <c r="I46" s="2" t="inlineStr">
        <is>
          <t>evidence_batch_015_145</t>
        </is>
      </c>
      <c r="J46" s="2" t="inlineStr">
        <is>
          <t>ISSUE-0038; ISSUE-0039; ISSUE-0040; ISSUE-0041; ISSUE-0042; ISSUE-0043</t>
        </is>
      </c>
    </row>
    <row r="47" ht="42" customHeight="1">
      <c r="A47" s="3" t="inlineStr">
        <is>
          <t>jeminise.com+fantasy-comforter-set-with-dragon-and-bedroom-and-fire-and-spikes-9008eacaf3-9008eacaf3</t>
        </is>
      </c>
      <c r="B47" s="3" t="inlineStr">
        <is>
          <t>P2</t>
        </is>
      </c>
      <c r="C47" s="3" t="n">
        <v>10</v>
      </c>
      <c r="D47" s="3" t="inlineStr">
        <is>
          <t>PARTIAL</t>
        </is>
      </c>
      <c r="E47" s="7">
        <f>IF(B47="I1",AVERAGEIF('QA_Images'!$A$2:$A$58,A47,'QA_Images'!$T$2:$T$58)/100,IF(D47="FULL",1,IF(D47="PARTIAL",0.5,IF(D47="FAIL",0,""))))</f>
        <v/>
      </c>
      <c r="F47" s="7">
        <f>IF(E47="",0,C47*E47)</f>
        <v/>
      </c>
      <c r="G47" s="7">
        <f>IF(B47="I1",20*AVERAGEIF('QA_Images'!$A$2:$A$58,A47,'QA_Images'!$U$2:$U$58)/100,IF(D47="NOT_CHECKED",0,C47))</f>
        <v/>
      </c>
      <c r="H47" s="3" t="inlineStr">
        <is>
          <t>Source product facts, variants, specifications and personalization claims are evidence-backed. Personalization/specification claims checked against storefront product.js and static customizer config.</t>
        </is>
      </c>
      <c r="I47" s="3" t="inlineStr">
        <is>
          <t>evidence_batch_015_145</t>
        </is>
      </c>
      <c r="J47" s="3" t="inlineStr">
        <is>
          <t>ISSUE-0038; ISSUE-0039; ISSUE-0040; ISSUE-0041; ISSUE-0042; ISSUE-0043</t>
        </is>
      </c>
    </row>
    <row r="48" ht="42" customHeight="1">
      <c r="A48" s="2" t="inlineStr">
        <is>
          <t>jeminise.com+fantasy-comforter-set-with-dragon-and-bedroom-and-fire-and-spikes-9008eacaf3-9008eacaf3</t>
        </is>
      </c>
      <c r="B48" s="2" t="inlineStr">
        <is>
          <t>K1</t>
        </is>
      </c>
      <c r="C48" s="2" t="n">
        <v>10</v>
      </c>
      <c r="D48" s="2" t="inlineStr">
        <is>
          <t>PARTIAL</t>
        </is>
      </c>
      <c r="E48" s="5">
        <f>IF(B48="I1",AVERAGEIF('QA_Images'!$A$2:$A$58,A48,'QA_Images'!$T$2:$T$58)/100,IF(D48="FULL",1,IF(D48="PARTIAL",0.5,IF(D48="FAIL",0,""))))</f>
        <v/>
      </c>
      <c r="F48" s="5">
        <f>IF(E48="",0,C48*E48)</f>
        <v/>
      </c>
      <c r="G48" s="5">
        <f>IF(B48="I1",20*AVERAGEIF('QA_Images'!$A$2:$A$58,A48,'QA_Images'!$U$2:$U$58)/100,IF(D48="NOT_CHECKED",0,C48))</f>
        <v/>
      </c>
      <c r="H48" s="2" t="inlineStr">
        <is>
          <t>Primary keyword aligns with product-level US purchase intent. Primary keyword rechecked against US product-level SERP comparables.</t>
        </is>
      </c>
      <c r="I48" s="2" t="inlineStr">
        <is>
          <t>evidence_batch_015_145</t>
        </is>
      </c>
      <c r="J48" s="2" t="inlineStr">
        <is>
          <t>ISSUE-0038; ISSUE-0039; ISSUE-0040; ISSUE-0041; ISSUE-0042; ISSUE-0043</t>
        </is>
      </c>
    </row>
    <row r="49" ht="42" customHeight="1">
      <c r="A49" s="3" t="inlineStr">
        <is>
          <t>jeminise.com+fantasy-comforter-set-with-dragon-and-bedroom-and-fire-and-spikes-9008eacaf3-9008eacaf3</t>
        </is>
      </c>
      <c r="B49" s="3" t="inlineStr">
        <is>
          <t>K2</t>
        </is>
      </c>
      <c r="C49" s="3" t="n">
        <v>5</v>
      </c>
      <c r="D49" s="3" t="inlineStr">
        <is>
          <t>PARTIAL</t>
        </is>
      </c>
      <c r="E49" s="7">
        <f>IF(B49="I1",AVERAGEIF('QA_Images'!$A$2:$A$58,A49,'QA_Images'!$T$2:$T$58)/100,IF(D49="FULL",1,IF(D49="PARTIAL",0.5,IF(D49="FAIL",0,""))))</f>
        <v/>
      </c>
      <c r="F49" s="7">
        <f>IF(E49="",0,C49*E49)</f>
        <v/>
      </c>
      <c r="G49" s="7">
        <f>IF(B49="I1",20*AVERAGEIF('QA_Images'!$A$2:$A$58,A49,'QA_Images'!$U$2:$U$58)/100,IF(D49="NOT_CHECKED",0,C49))</f>
        <v/>
      </c>
      <c r="H49" s="3" t="inlineStr">
        <is>
          <t>Intent/cannibalization check distinguishes nearby products. Nearby product cluster has overlap risk, so intent distinction remains only partial.</t>
        </is>
      </c>
      <c r="I49" s="3" t="inlineStr">
        <is>
          <t>evidence_batch_015_145</t>
        </is>
      </c>
      <c r="J49" s="3" t="inlineStr">
        <is>
          <t>ISSUE-0038; ISSUE-0039; ISSUE-0040; ISSUE-0041; ISSUE-0042; ISSUE-0043</t>
        </is>
      </c>
    </row>
    <row r="50" ht="42" customHeight="1">
      <c r="A50" s="2" t="inlineStr">
        <is>
          <t>jeminise.com+fantasy-comforter-set-with-dragon-and-bedroom-and-fire-and-spikes-9008eacaf3-9008eacaf3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5">
        <f>IF(B50="I1",AVERAGEIF('QA_Images'!$A$2:$A$58,A50,'QA_Images'!$T$2:$T$58)/100,IF(D50="FULL",1,IF(D50="PARTIAL",0.5,IF(D50="FAIL",0,""))))</f>
        <v/>
      </c>
      <c r="F50" s="5">
        <f>IF(E50="",0,C50*E50)</f>
        <v/>
      </c>
      <c r="G50" s="5">
        <f>IF(B50="I1",20*AVERAGEIF('QA_Images'!$A$2:$A$58,A50,'QA_Images'!$U$2:$U$58)/100,IF(D50="NOT_CHECKED",0,C50))</f>
        <v/>
      </c>
      <c r="H50" s="2" t="inlineStr">
        <is>
          <t>Keyword evidence is supported by SERP comparables without unsupported volume claims. Evidence is public SERP only; no Search Console, keyword volume or customer-search corpus provided.</t>
        </is>
      </c>
      <c r="I50" s="2" t="inlineStr">
        <is>
          <t>evidence_batch_015_145</t>
        </is>
      </c>
      <c r="J50" s="2" t="inlineStr">
        <is>
          <t>ISSUE-0038; ISSUE-0039; ISSUE-0040; ISSUE-0041; ISSUE-0042; ISSUE-0043</t>
        </is>
      </c>
    </row>
    <row r="51" ht="42" customHeight="1">
      <c r="A51" s="3" t="inlineStr">
        <is>
          <t>jeminise.com+fantasy-comforter-set-with-dragon-and-bedroom-and-fire-and-spikes-9008eacaf3-9008eacaf3</t>
        </is>
      </c>
      <c r="B51" s="3" t="inlineStr">
        <is>
          <t>T1</t>
        </is>
      </c>
      <c r="C51" s="3" t="n">
        <v>10</v>
      </c>
      <c r="D51" s="3" t="inlineStr">
        <is>
          <t>PARTIAL</t>
        </is>
      </c>
      <c r="E51" s="7">
        <f>IF(B51="I1",AVERAGEIF('QA_Images'!$A$2:$A$58,A51,'QA_Images'!$T$2:$T$58)/100,IF(D51="FULL",1,IF(D51="PARTIAL",0.5,IF(D51="FAIL",0,""))))</f>
        <v/>
      </c>
      <c r="F51" s="7">
        <f>IF(E51="",0,C51*E51)</f>
        <v/>
      </c>
      <c r="G51" s="7">
        <f>IF(B51="I1",20*AVERAGEIF('QA_Images'!$A$2:$A$58,A51,'QA_Images'!$U$2:$U$58)/100,IF(D51="NOT_CHECKED",0,C51))</f>
        <v/>
      </c>
      <c r="H51" s="3" t="inlineStr">
        <is>
          <t>SEO title and H1 are relevant, specific and grounded in visible/source facts. Proposed H1 is blank, so the title/H1 pair cannot be fully verified.</t>
        </is>
      </c>
      <c r="I51" s="3" t="inlineStr">
        <is>
          <t>evidence_batch_015_145</t>
        </is>
      </c>
      <c r="J51" s="3" t="inlineStr">
        <is>
          <t>ISSUE-0038; ISSUE-0039; ISSUE-0040; ISSUE-0041; ISSUE-0042; ISSUE-0043</t>
        </is>
      </c>
    </row>
    <row r="52" ht="42" customHeight="1">
      <c r="A52" s="2" t="inlineStr">
        <is>
          <t>jeminise.com+fantasy-comforter-set-with-dragon-and-bedroom-and-fire-and-spikes-9008eacaf3-9008eacaf3</t>
        </is>
      </c>
      <c r="B52" s="2" t="inlineStr">
        <is>
          <t>T2</t>
        </is>
      </c>
      <c r="C52" s="2" t="n">
        <v>5</v>
      </c>
      <c r="D52" s="2" t="inlineStr">
        <is>
          <t>PARTIAL</t>
        </is>
      </c>
      <c r="E52" s="5">
        <f>IF(B52="I1",AVERAGEIF('QA_Images'!$A$2:$A$58,A52,'QA_Images'!$T$2:$T$58)/100,IF(D52="FULL",1,IF(D52="PARTIAL",0.5,IF(D52="FAIL",0,""))))</f>
        <v/>
      </c>
      <c r="F52" s="5">
        <f>IF(E52="",0,C52*E52)</f>
        <v/>
      </c>
      <c r="G52" s="5">
        <f>IF(B52="I1",20*AVERAGEIF('QA_Images'!$A$2:$A$58,A52,'QA_Images'!$U$2:$U$58)/100,IF(D52="NOT_CHECKED",0,C52))</f>
        <v/>
      </c>
      <c r="H52" s="2" t="inlineStr">
        <is>
          <t>Meta description is concise, publish-ready and avoids unsupported claims. Meta description checked for length, specificity and supportable claims.</t>
        </is>
      </c>
      <c r="I52" s="2" t="inlineStr">
        <is>
          <t>evidence_batch_015_145</t>
        </is>
      </c>
      <c r="J52" s="2" t="inlineStr">
        <is>
          <t>ISSUE-0038; ISSUE-0039; ISSUE-0040; ISSUE-0041; ISSUE-0042; ISSUE-0043</t>
        </is>
      </c>
    </row>
    <row r="53" ht="42" customHeight="1">
      <c r="A53" s="3" t="inlineStr">
        <is>
          <t>jeminise.com+fantasy-comforter-set-with-dragon-and-bedroom-and-fire-and-spikes-9008eacaf3-9008eacaf3</t>
        </is>
      </c>
      <c r="B53" s="3" t="inlineStr">
        <is>
          <t>D1</t>
        </is>
      </c>
      <c r="C53" s="3" t="n">
        <v>10</v>
      </c>
      <c r="D53" s="3" t="inlineStr">
        <is>
          <t>FAIL</t>
        </is>
      </c>
      <c r="E53" s="7">
        <f>IF(B53="I1",AVERAGEIF('QA_Images'!$A$2:$A$58,A53,'QA_Images'!$T$2:$T$58)/100,IF(D53="FULL",1,IF(D53="PARTIAL",0.5,IF(D53="FAIL",0,""))))</f>
        <v/>
      </c>
      <c r="F53" s="7">
        <f>IF(E53="",0,C53*E53)</f>
        <v/>
      </c>
      <c r="G53" s="7">
        <f>IF(B53="I1",20*AVERAGEIF('QA_Images'!$A$2:$A$58,A53,'QA_Images'!$U$2:$U$58)/100,IF(D53="NOT_CHECKED",0,C53))</f>
        <v/>
      </c>
      <c r="H53" s="3" t="inlineStr">
        <is>
          <t>Description HTML is publish-ready and free of internal draft/QA instructions. Description HTML still contains internal QA/import language.</t>
        </is>
      </c>
      <c r="I53" s="3" t="inlineStr">
        <is>
          <t>evidence_batch_015_145</t>
        </is>
      </c>
      <c r="J53" s="3" t="inlineStr">
        <is>
          <t>ISSUE-0038; ISSUE-0039; ISSUE-0040; ISSUE-0041; ISSUE-0042; ISSUE-0043</t>
        </is>
      </c>
    </row>
    <row r="54" ht="42" customHeight="1">
      <c r="A54" s="2" t="inlineStr">
        <is>
          <t>jeminise.com+fantasy-comforter-set-with-dragon-and-bedroom-and-fire-and-spikes-9008eacaf3-9008eacaf3</t>
        </is>
      </c>
      <c r="B54" s="2" t="inlineStr">
        <is>
          <t>D2</t>
        </is>
      </c>
      <c r="C54" s="2" t="n">
        <v>5</v>
      </c>
      <c r="D54" s="2" t="inlineStr">
        <is>
          <t>PARTIAL</t>
        </is>
      </c>
      <c r="E54" s="5">
        <f>IF(B54="I1",AVERAGEIF('QA_Images'!$A$2:$A$58,A54,'QA_Images'!$T$2:$T$58)/100,IF(D54="FULL",1,IF(D54="PARTIAL",0.5,IF(D54="FAIL",0,""))))</f>
        <v/>
      </c>
      <c r="F54" s="5">
        <f>IF(E54="",0,C54*E54)</f>
        <v/>
      </c>
      <c r="G54" s="5">
        <f>IF(B54="I1",20*AVERAGEIF('QA_Images'!$A$2:$A$58,A54,'QA_Images'!$U$2:$U$58)/100,IF(D54="NOT_CHECKED",0,C54))</f>
        <v/>
      </c>
      <c r="H54" s="2" t="inlineStr">
        <is>
          <t>Description content covers verified design, product type, use case and constraints. Description covers motif/product type but remains templated and does not always map every verified constraint.</t>
        </is>
      </c>
      <c r="I54" s="2" t="inlineStr">
        <is>
          <t>evidence_batch_015_145</t>
        </is>
      </c>
      <c r="J54" s="2" t="inlineStr">
        <is>
          <t>ISSUE-0038; ISSUE-0039; ISSUE-0040; ISSUE-0041; ISSUE-0042; ISSUE-0043</t>
        </is>
      </c>
    </row>
    <row r="55" ht="42" customHeight="1">
      <c r="A55" s="3" t="inlineStr">
        <is>
          <t>jeminise.com+fantasy-comforter-set-with-dragon-and-bedroom-and-fire-and-spikes-9008eacaf3-9008eacaf3</t>
        </is>
      </c>
      <c r="B55" s="3" t="inlineStr">
        <is>
          <t>I1</t>
        </is>
      </c>
      <c r="C55" s="3" t="n">
        <v>20</v>
      </c>
      <c r="D55" s="3" t="inlineStr">
        <is>
          <t>FULL</t>
        </is>
      </c>
      <c r="E55" s="7">
        <f>IF(B55="I1",AVERAGEIF('QA_Images'!$A$2:$A$58,A55,'QA_Images'!$T$2:$T$58)/100,IF(D55="FULL",1,IF(D55="PARTIAL",0.5,IF(D55="FAIL",0,""))))</f>
        <v/>
      </c>
      <c r="F55" s="7">
        <f>IF(E55="",0,C55*E55)</f>
        <v/>
      </c>
      <c r="G55" s="7">
        <f>IF(B55="I1",20*AVERAGEIF('QA_Images'!$A$2:$A$58,A55,'QA_Images'!$U$2:$U$58)/100,IF(D55="NOT_CHECKED",0,C55))</f>
        <v/>
      </c>
      <c r="H55" s="3" t="inlineStr">
        <is>
          <t>Image coverage, image observations and alt text quality, derived from QA_Images. Derived from average image QA score; see QA_Images.</t>
        </is>
      </c>
      <c r="I55" s="3" t="inlineStr">
        <is>
          <t>evidence_batch_015_145</t>
        </is>
      </c>
      <c r="J55" s="3" t="inlineStr">
        <is>
          <t>ISSUE-0038; ISSUE-0039; ISSUE-0040; ISSUE-0041; ISSUE-0042; ISSUE-0043</t>
        </is>
      </c>
    </row>
    <row r="56" ht="42" customHeight="1">
      <c r="A56" s="2" t="inlineStr">
        <is>
          <t>jeminise.com+fantasy-comforter-set-with-dragon-and-bedroom-and-fire-and-spikes-9008eacaf3-9008eacaf3</t>
        </is>
      </c>
      <c r="B56" s="2" t="inlineStr">
        <is>
          <t>E1</t>
        </is>
      </c>
      <c r="C56" s="2" t="n">
        <v>5</v>
      </c>
      <c r="D56" s="2" t="inlineStr">
        <is>
          <t>PARTIAL</t>
        </is>
      </c>
      <c r="E56" s="5">
        <f>IF(B56="I1",AVERAGEIF('QA_Images'!$A$2:$A$58,A56,'QA_Images'!$T$2:$T$58)/100,IF(D56="FULL",1,IF(D56="PARTIAL",0.5,IF(D56="FAIL",0,""))))</f>
        <v/>
      </c>
      <c r="F56" s="5">
        <f>IF(E56="",0,C56*E56)</f>
        <v/>
      </c>
      <c r="G56" s="5">
        <f>IF(B56="I1",20*AVERAGEIF('QA_Images'!$A$2:$A$58,A56,'QA_Images'!$U$2:$U$58)/100,IF(D56="NOT_CHECKED",0,C56))</f>
        <v/>
      </c>
      <c r="H56" s="2" t="inlineStr">
        <is>
          <t>Evidence chain is traceable and limitations are explicitly separated from failures. Evidence chain is traceable, with admin-export limitation explicitly separated.</t>
        </is>
      </c>
      <c r="I56" s="2" t="inlineStr">
        <is>
          <t>evidence_batch_015_145</t>
        </is>
      </c>
      <c r="J56" s="2" t="inlineStr">
        <is>
          <t>ISSUE-0038; ISSUE-0039; ISSUE-0040; ISSUE-0041; ISSUE-0042; ISSUE-0043</t>
        </is>
      </c>
    </row>
    <row r="57" ht="42" customHeight="1">
      <c r="A57" s="3" t="inlineStr">
        <is>
          <t>jeminise.com+fantasy-winged-dragon-comforter-set-with-starry-nebula-pattern-and-bedroom-setting-d228ce3712-d228ce3712</t>
        </is>
      </c>
      <c r="B57" s="3" t="inlineStr">
        <is>
          <t>P1</t>
        </is>
      </c>
      <c r="C57" s="3" t="n">
        <v>15</v>
      </c>
      <c r="D57" s="3" t="inlineStr">
        <is>
          <t>FULL</t>
        </is>
      </c>
      <c r="E57" s="7">
        <f>IF(B57="I1",AVERAGEIF('QA_Images'!$A$2:$A$58,A57,'QA_Images'!$T$2:$T$58)/100,IF(D57="FULL",1,IF(D57="PARTIAL",0.5,IF(D57="FAIL",0,""))))</f>
        <v/>
      </c>
      <c r="F57" s="7">
        <f>IF(E57="",0,C57*E57)</f>
        <v/>
      </c>
      <c r="G57" s="7">
        <f>IF(B57="I1",20*AVERAGEIF('QA_Images'!$A$2:$A$58,A57,'QA_Images'!$U$2:$U$58)/100,IF(D57="NOT_CHECKED",0,C57))</f>
        <v/>
      </c>
      <c r="H57" s="3" t="inlineStr">
        <is>
          <t>Product identity, handle, product ID, URL and canonical match source/live evidence. Product key/handle/product ID/canonical checked against frozen workbook and live product evidence.</t>
        </is>
      </c>
      <c r="I57" s="3" t="inlineStr">
        <is>
          <t>evidence_batch_015_146</t>
        </is>
      </c>
      <c r="J57" s="3" t="inlineStr">
        <is>
          <t>ISSUE-0047; ISSUE-0048; ISSUE-0049; ISSUE-0050; ISSUE-0051; ISSUE-0052</t>
        </is>
      </c>
    </row>
    <row r="58" ht="42" customHeight="1">
      <c r="A58" s="2" t="inlineStr">
        <is>
          <t>jeminise.com+fantasy-winged-dragon-comforter-set-with-starry-nebula-pattern-and-bedroom-setting-d228ce3712-d228ce3712</t>
        </is>
      </c>
      <c r="B58" s="2" t="inlineStr">
        <is>
          <t>P2</t>
        </is>
      </c>
      <c r="C58" s="2" t="n">
        <v>10</v>
      </c>
      <c r="D58" s="2" t="inlineStr">
        <is>
          <t>PARTIAL</t>
        </is>
      </c>
      <c r="E58" s="5">
        <f>IF(B58="I1",AVERAGEIF('QA_Images'!$A$2:$A$58,A58,'QA_Images'!$T$2:$T$58)/100,IF(D58="FULL",1,IF(D58="PARTIAL",0.5,IF(D58="FAIL",0,""))))</f>
        <v/>
      </c>
      <c r="F58" s="5">
        <f>IF(E58="",0,C58*E58)</f>
        <v/>
      </c>
      <c r="G58" s="5">
        <f>IF(B58="I1",20*AVERAGEIF('QA_Images'!$A$2:$A$58,A58,'QA_Images'!$U$2:$U$58)/100,IF(D58="NOT_CHECKED",0,C58))</f>
        <v/>
      </c>
      <c r="H58" s="2" t="inlineStr">
        <is>
          <t>Source product facts, variants, specifications and personalization claims are evidence-backed. Personalization/specification claims checked against storefront product.js and static customizer config.</t>
        </is>
      </c>
      <c r="I58" s="2" t="inlineStr">
        <is>
          <t>evidence_batch_015_146</t>
        </is>
      </c>
      <c r="J58" s="2" t="inlineStr">
        <is>
          <t>ISSUE-0047; ISSUE-0048; ISSUE-0049; ISSUE-0050; ISSUE-0051; ISSUE-0052</t>
        </is>
      </c>
    </row>
    <row r="59" ht="42" customHeight="1">
      <c r="A59" s="3" t="inlineStr">
        <is>
          <t>jeminise.com+fantasy-winged-dragon-comforter-set-with-starry-nebula-pattern-and-bedroom-setting-d228ce3712-d228ce3712</t>
        </is>
      </c>
      <c r="B59" s="3" t="inlineStr">
        <is>
          <t>K1</t>
        </is>
      </c>
      <c r="C59" s="3" t="n">
        <v>10</v>
      </c>
      <c r="D59" s="3" t="inlineStr">
        <is>
          <t>PARTIAL</t>
        </is>
      </c>
      <c r="E59" s="7">
        <f>IF(B59="I1",AVERAGEIF('QA_Images'!$A$2:$A$58,A59,'QA_Images'!$T$2:$T$58)/100,IF(D59="FULL",1,IF(D59="PARTIAL",0.5,IF(D59="FAIL",0,""))))</f>
        <v/>
      </c>
      <c r="F59" s="7">
        <f>IF(E59="",0,C59*E59)</f>
        <v/>
      </c>
      <c r="G59" s="7">
        <f>IF(B59="I1",20*AVERAGEIF('QA_Images'!$A$2:$A$58,A59,'QA_Images'!$U$2:$U$58)/100,IF(D59="NOT_CHECKED",0,C59))</f>
        <v/>
      </c>
      <c r="H59" s="3" t="inlineStr">
        <is>
          <t>Primary keyword aligns with product-level US purchase intent. Primary keyword rechecked against US product-level SERP comparables.</t>
        </is>
      </c>
      <c r="I59" s="3" t="inlineStr">
        <is>
          <t>evidence_batch_015_146</t>
        </is>
      </c>
      <c r="J59" s="3" t="inlineStr">
        <is>
          <t>ISSUE-0047; ISSUE-0048; ISSUE-0049; ISSUE-0050; ISSUE-0051; ISSUE-0052</t>
        </is>
      </c>
    </row>
    <row r="60" ht="42" customHeight="1">
      <c r="A60" s="2" t="inlineStr">
        <is>
          <t>jeminise.com+fantasy-winged-dragon-comforter-set-with-starry-nebula-pattern-and-bedroom-setting-d228ce3712-d228ce3712</t>
        </is>
      </c>
      <c r="B60" s="2" t="inlineStr">
        <is>
          <t>K2</t>
        </is>
      </c>
      <c r="C60" s="2" t="n">
        <v>5</v>
      </c>
      <c r="D60" s="2" t="inlineStr">
        <is>
          <t>PARTIAL</t>
        </is>
      </c>
      <c r="E60" s="5">
        <f>IF(B60="I1",AVERAGEIF('QA_Images'!$A$2:$A$58,A60,'QA_Images'!$T$2:$T$58)/100,IF(D60="FULL",1,IF(D60="PARTIAL",0.5,IF(D60="FAIL",0,""))))</f>
        <v/>
      </c>
      <c r="F60" s="5">
        <f>IF(E60="",0,C60*E60)</f>
        <v/>
      </c>
      <c r="G60" s="5">
        <f>IF(B60="I1",20*AVERAGEIF('QA_Images'!$A$2:$A$58,A60,'QA_Images'!$U$2:$U$58)/100,IF(D60="NOT_CHECKED",0,C60))</f>
        <v/>
      </c>
      <c r="H60" s="2" t="inlineStr">
        <is>
          <t>Intent/cannibalization check distinguishes nearby products. Nearby product cluster has overlap risk, so intent distinction remains only partial.</t>
        </is>
      </c>
      <c r="I60" s="2" t="inlineStr">
        <is>
          <t>evidence_batch_015_146</t>
        </is>
      </c>
      <c r="J60" s="2" t="inlineStr">
        <is>
          <t>ISSUE-0047; ISSUE-0048; ISSUE-0049; ISSUE-0050; ISSUE-0051; ISSUE-0052</t>
        </is>
      </c>
    </row>
    <row r="61" ht="42" customHeight="1">
      <c r="A61" s="3" t="inlineStr">
        <is>
          <t>jeminise.com+fantasy-winged-dragon-comforter-set-with-starry-nebula-pattern-and-bedroom-setting-d228ce3712-d228ce3712</t>
        </is>
      </c>
      <c r="B61" s="3" t="inlineStr">
        <is>
          <t>K3</t>
        </is>
      </c>
      <c r="C61" s="3" t="n">
        <v>5</v>
      </c>
      <c r="D61" s="3" t="inlineStr">
        <is>
          <t>PARTIAL</t>
        </is>
      </c>
      <c r="E61" s="7">
        <f>IF(B61="I1",AVERAGEIF('QA_Images'!$A$2:$A$58,A61,'QA_Images'!$T$2:$T$58)/100,IF(D61="FULL",1,IF(D61="PARTIAL",0.5,IF(D61="FAIL",0,""))))</f>
        <v/>
      </c>
      <c r="F61" s="7">
        <f>IF(E61="",0,C61*E61)</f>
        <v/>
      </c>
      <c r="G61" s="7">
        <f>IF(B61="I1",20*AVERAGEIF('QA_Images'!$A$2:$A$58,A61,'QA_Images'!$U$2:$U$58)/100,IF(D61="NOT_CHECKED",0,C61))</f>
        <v/>
      </c>
      <c r="H61" s="3" t="inlineStr">
        <is>
          <t>Keyword evidence is supported by SERP comparables without unsupported volume claims. Evidence is public SERP only; no Search Console, keyword volume or customer-search corpus provided.</t>
        </is>
      </c>
      <c r="I61" s="3" t="inlineStr">
        <is>
          <t>evidence_batch_015_146</t>
        </is>
      </c>
      <c r="J61" s="3" t="inlineStr">
        <is>
          <t>ISSUE-0047; ISSUE-0048; ISSUE-0049; ISSUE-0050; ISSUE-0051; ISSUE-0052</t>
        </is>
      </c>
    </row>
    <row r="62" ht="42" customHeight="1">
      <c r="A62" s="2" t="inlineStr">
        <is>
          <t>jeminise.com+fantasy-winged-dragon-comforter-set-with-starry-nebula-pattern-and-bedroom-setting-d228ce3712-d228ce3712</t>
        </is>
      </c>
      <c r="B62" s="2" t="inlineStr">
        <is>
          <t>T1</t>
        </is>
      </c>
      <c r="C62" s="2" t="n">
        <v>10</v>
      </c>
      <c r="D62" s="2" t="inlineStr">
        <is>
          <t>PARTIAL</t>
        </is>
      </c>
      <c r="E62" s="5">
        <f>IF(B62="I1",AVERAGEIF('QA_Images'!$A$2:$A$58,A62,'QA_Images'!$T$2:$T$58)/100,IF(D62="FULL",1,IF(D62="PARTIAL",0.5,IF(D62="FAIL",0,""))))</f>
        <v/>
      </c>
      <c r="F62" s="5">
        <f>IF(E62="",0,C62*E62)</f>
        <v/>
      </c>
      <c r="G62" s="5">
        <f>IF(B62="I1",20*AVERAGEIF('QA_Images'!$A$2:$A$58,A62,'QA_Images'!$U$2:$U$58)/100,IF(D62="NOT_CHECKED",0,C62))</f>
        <v/>
      </c>
      <c r="H62" s="2" t="inlineStr">
        <is>
          <t>SEO title and H1 are relevant, specific and grounded in visible/source facts. Proposed H1 is blank, so the title/H1 pair cannot be fully verified.</t>
        </is>
      </c>
      <c r="I62" s="2" t="inlineStr">
        <is>
          <t>evidence_batch_015_146</t>
        </is>
      </c>
      <c r="J62" s="2" t="inlineStr">
        <is>
          <t>ISSUE-0047; ISSUE-0048; ISSUE-0049; ISSUE-0050; ISSUE-0051; ISSUE-0052</t>
        </is>
      </c>
    </row>
    <row r="63" ht="42" customHeight="1">
      <c r="A63" s="3" t="inlineStr">
        <is>
          <t>jeminise.com+fantasy-winged-dragon-comforter-set-with-starry-nebula-pattern-and-bedroom-setting-d228ce3712-d228ce3712</t>
        </is>
      </c>
      <c r="B63" s="3" t="inlineStr">
        <is>
          <t>T2</t>
        </is>
      </c>
      <c r="C63" s="3" t="n">
        <v>5</v>
      </c>
      <c r="D63" s="3" t="inlineStr">
        <is>
          <t>PARTIAL</t>
        </is>
      </c>
      <c r="E63" s="7">
        <f>IF(B63="I1",AVERAGEIF('QA_Images'!$A$2:$A$58,A63,'QA_Images'!$T$2:$T$58)/100,IF(D63="FULL",1,IF(D63="PARTIAL",0.5,IF(D63="FAIL",0,""))))</f>
        <v/>
      </c>
      <c r="F63" s="7">
        <f>IF(E63="",0,C63*E63)</f>
        <v/>
      </c>
      <c r="G63" s="7">
        <f>IF(B63="I1",20*AVERAGEIF('QA_Images'!$A$2:$A$58,A63,'QA_Images'!$U$2:$U$58)/100,IF(D63="NOT_CHECKED",0,C63))</f>
        <v/>
      </c>
      <c r="H63" s="3" t="inlineStr">
        <is>
          <t>Meta description is concise, publish-ready and avoids unsupported claims. Meta description checked for length, specificity and supportable claims.</t>
        </is>
      </c>
      <c r="I63" s="3" t="inlineStr">
        <is>
          <t>evidence_batch_015_146</t>
        </is>
      </c>
      <c r="J63" s="3" t="inlineStr">
        <is>
          <t>ISSUE-0047; ISSUE-0048; ISSUE-0049; ISSUE-0050; ISSUE-0051; ISSUE-0052</t>
        </is>
      </c>
    </row>
    <row r="64" ht="42" customHeight="1">
      <c r="A64" s="2" t="inlineStr">
        <is>
          <t>jeminise.com+fantasy-winged-dragon-comforter-set-with-starry-nebula-pattern-and-bedroom-setting-d228ce3712-d228ce3712</t>
        </is>
      </c>
      <c r="B64" s="2" t="inlineStr">
        <is>
          <t>D1</t>
        </is>
      </c>
      <c r="C64" s="2" t="n">
        <v>10</v>
      </c>
      <c r="D64" s="2" t="inlineStr">
        <is>
          <t>FAIL</t>
        </is>
      </c>
      <c r="E64" s="5">
        <f>IF(B64="I1",AVERAGEIF('QA_Images'!$A$2:$A$58,A64,'QA_Images'!$T$2:$T$58)/100,IF(D64="FULL",1,IF(D64="PARTIAL",0.5,IF(D64="FAIL",0,""))))</f>
        <v/>
      </c>
      <c r="F64" s="5">
        <f>IF(E64="",0,C64*E64)</f>
        <v/>
      </c>
      <c r="G64" s="5">
        <f>IF(B64="I1",20*AVERAGEIF('QA_Images'!$A$2:$A$58,A64,'QA_Images'!$U$2:$U$58)/100,IF(D64="NOT_CHECKED",0,C64))</f>
        <v/>
      </c>
      <c r="H64" s="2" t="inlineStr">
        <is>
          <t>Description HTML is publish-ready and free of internal draft/QA instructions. Description HTML still contains internal QA/import language.</t>
        </is>
      </c>
      <c r="I64" s="2" t="inlineStr">
        <is>
          <t>evidence_batch_015_146</t>
        </is>
      </c>
      <c r="J64" s="2" t="inlineStr">
        <is>
          <t>ISSUE-0047; ISSUE-0048; ISSUE-0049; ISSUE-0050; ISSUE-0051; ISSUE-0052</t>
        </is>
      </c>
    </row>
    <row r="65" ht="42" customHeight="1">
      <c r="A65" s="3" t="inlineStr">
        <is>
          <t>jeminise.com+fantasy-winged-dragon-comforter-set-with-starry-nebula-pattern-and-bedroom-setting-d228ce3712-d228ce3712</t>
        </is>
      </c>
      <c r="B65" s="3" t="inlineStr">
        <is>
          <t>D2</t>
        </is>
      </c>
      <c r="C65" s="3" t="n">
        <v>5</v>
      </c>
      <c r="D65" s="3" t="inlineStr">
        <is>
          <t>PARTIAL</t>
        </is>
      </c>
      <c r="E65" s="7">
        <f>IF(B65="I1",AVERAGEIF('QA_Images'!$A$2:$A$58,A65,'QA_Images'!$T$2:$T$58)/100,IF(D65="FULL",1,IF(D65="PARTIAL",0.5,IF(D65="FAIL",0,""))))</f>
        <v/>
      </c>
      <c r="F65" s="7">
        <f>IF(E65="",0,C65*E65)</f>
        <v/>
      </c>
      <c r="G65" s="7">
        <f>IF(B65="I1",20*AVERAGEIF('QA_Images'!$A$2:$A$58,A65,'QA_Images'!$U$2:$U$58)/100,IF(D65="NOT_CHECKED",0,C65))</f>
        <v/>
      </c>
      <c r="H65" s="3" t="inlineStr">
        <is>
          <t>Description content covers verified design, product type, use case and constraints. Description covers motif/product type but remains templated and does not always map every verified constraint.</t>
        </is>
      </c>
      <c r="I65" s="3" t="inlineStr">
        <is>
          <t>evidence_batch_015_146</t>
        </is>
      </c>
      <c r="J65" s="3" t="inlineStr">
        <is>
          <t>ISSUE-0047; ISSUE-0048; ISSUE-0049; ISSUE-0050; ISSUE-0051; ISSUE-0052</t>
        </is>
      </c>
    </row>
    <row r="66" ht="42" customHeight="1">
      <c r="A66" s="2" t="inlineStr">
        <is>
          <t>jeminise.com+fantasy-winged-dragon-comforter-set-with-starry-nebula-pattern-and-bedroom-setting-d228ce3712-d228ce3712</t>
        </is>
      </c>
      <c r="B66" s="2" t="inlineStr">
        <is>
          <t>I1</t>
        </is>
      </c>
      <c r="C66" s="2" t="n">
        <v>20</v>
      </c>
      <c r="D66" s="2" t="inlineStr">
        <is>
          <t>FULL</t>
        </is>
      </c>
      <c r="E66" s="5">
        <f>IF(B66="I1",AVERAGEIF('QA_Images'!$A$2:$A$58,A66,'QA_Images'!$T$2:$T$58)/100,IF(D66="FULL",1,IF(D66="PARTIAL",0.5,IF(D66="FAIL",0,""))))</f>
        <v/>
      </c>
      <c r="F66" s="5">
        <f>IF(E66="",0,C66*E66)</f>
        <v/>
      </c>
      <c r="G66" s="5">
        <f>IF(B66="I1",20*AVERAGEIF('QA_Images'!$A$2:$A$58,A66,'QA_Images'!$U$2:$U$58)/100,IF(D66="NOT_CHECKED",0,C66))</f>
        <v/>
      </c>
      <c r="H66" s="2" t="inlineStr">
        <is>
          <t>Image coverage, image observations and alt text quality, derived from QA_Images. Derived from average image QA score; see QA_Images.</t>
        </is>
      </c>
      <c r="I66" s="2" t="inlineStr">
        <is>
          <t>evidence_batch_015_146</t>
        </is>
      </c>
      <c r="J66" s="2" t="inlineStr">
        <is>
          <t>ISSUE-0047; ISSUE-0048; ISSUE-0049; ISSUE-0050; ISSUE-0051; ISSUE-0052</t>
        </is>
      </c>
    </row>
    <row r="67" ht="42" customHeight="1">
      <c r="A67" s="3" t="inlineStr">
        <is>
          <t>jeminise.com+fantasy-winged-dragon-comforter-set-with-starry-nebula-pattern-and-bedroom-setting-d228ce3712-d228ce3712</t>
        </is>
      </c>
      <c r="B67" s="3" t="inlineStr">
        <is>
          <t>E1</t>
        </is>
      </c>
      <c r="C67" s="3" t="n">
        <v>5</v>
      </c>
      <c r="D67" s="3" t="inlineStr">
        <is>
          <t>PARTIAL</t>
        </is>
      </c>
      <c r="E67" s="7">
        <f>IF(B67="I1",AVERAGEIF('QA_Images'!$A$2:$A$58,A67,'QA_Images'!$T$2:$T$58)/100,IF(D67="FULL",1,IF(D67="PARTIAL",0.5,IF(D67="FAIL",0,""))))</f>
        <v/>
      </c>
      <c r="F67" s="7">
        <f>IF(E67="",0,C67*E67)</f>
        <v/>
      </c>
      <c r="G67" s="7">
        <f>IF(B67="I1",20*AVERAGEIF('QA_Images'!$A$2:$A$58,A67,'QA_Images'!$U$2:$U$58)/100,IF(D67="NOT_CHECKED",0,C67))</f>
        <v/>
      </c>
      <c r="H67" s="3" t="inlineStr">
        <is>
          <t>Evidence chain is traceable and limitations are explicitly separated from failures. Evidence chain is traceable, with admin-export limitation explicitly separated.</t>
        </is>
      </c>
      <c r="I67" s="3" t="inlineStr">
        <is>
          <t>evidence_batch_015_146</t>
        </is>
      </c>
      <c r="J67" s="3" t="inlineStr">
        <is>
          <t>ISSUE-0047; ISSUE-0048; ISSUE-0049; ISSUE-0050; ISSUE-0051; ISSUE-0052</t>
        </is>
      </c>
    </row>
    <row r="68" ht="42" customHeight="1">
      <c r="A68" s="2" t="inlineStr">
        <is>
          <t>jeminise.com+fantasy-winged-dragon-comforter-set-with-volcanic-eruption-and-bedroom-258009c125-258009c125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5">
        <f>IF(B68="I1",AVERAGEIF('QA_Images'!$A$2:$A$58,A68,'QA_Images'!$T$2:$T$58)/100,IF(D68="FULL",1,IF(D68="PARTIAL",0.5,IF(D68="FAIL",0,""))))</f>
        <v/>
      </c>
      <c r="F68" s="5">
        <f>IF(E68="",0,C68*E68)</f>
        <v/>
      </c>
      <c r="G68" s="5">
        <f>IF(B68="I1",20*AVERAGEIF('QA_Images'!$A$2:$A$58,A68,'QA_Images'!$U$2:$U$58)/100,IF(D68="NOT_CHECKED",0,C68))</f>
        <v/>
      </c>
      <c r="H68" s="2" t="inlineStr">
        <is>
          <t>Product identity, handle, product ID, URL and canonical match source/live evidence. Product key/handle/product ID/canonical checked against frozen workbook and live product evidence.</t>
        </is>
      </c>
      <c r="I68" s="2" t="inlineStr">
        <is>
          <t>evidence_batch_015_147</t>
        </is>
      </c>
      <c r="J68" s="2" t="inlineStr">
        <is>
          <t>ISSUE-0056; ISSUE-0057; ISSUE-0058; ISSUE-0059; ISSUE-0060</t>
        </is>
      </c>
    </row>
    <row r="69" ht="42" customHeight="1">
      <c r="A69" s="3" t="inlineStr">
        <is>
          <t>jeminise.com+fantasy-winged-dragon-comforter-set-with-volcanic-eruption-and-bedroom-258009c125-258009c125</t>
        </is>
      </c>
      <c r="B69" s="3" t="inlineStr">
        <is>
          <t>P2</t>
        </is>
      </c>
      <c r="C69" s="3" t="n">
        <v>10</v>
      </c>
      <c r="D69" s="3" t="inlineStr">
        <is>
          <t>PARTIAL</t>
        </is>
      </c>
      <c r="E69" s="7">
        <f>IF(B69="I1",AVERAGEIF('QA_Images'!$A$2:$A$58,A69,'QA_Images'!$T$2:$T$58)/100,IF(D69="FULL",1,IF(D69="PARTIAL",0.5,IF(D69="FAIL",0,""))))</f>
        <v/>
      </c>
      <c r="F69" s="7">
        <f>IF(E69="",0,C69*E69)</f>
        <v/>
      </c>
      <c r="G69" s="7">
        <f>IF(B69="I1",20*AVERAGEIF('QA_Images'!$A$2:$A$58,A69,'QA_Images'!$U$2:$U$58)/100,IF(D69="NOT_CHECKED",0,C69))</f>
        <v/>
      </c>
      <c r="H69" s="3" t="inlineStr">
        <is>
          <t>Source product facts, variants, specifications and personalization claims are evidence-backed. Personalization/specification claims checked against storefront product.js and static customizer config.</t>
        </is>
      </c>
      <c r="I69" s="3" t="inlineStr">
        <is>
          <t>evidence_batch_015_147</t>
        </is>
      </c>
      <c r="J69" s="3" t="inlineStr">
        <is>
          <t>ISSUE-0056; ISSUE-0057; ISSUE-0058; ISSUE-0059; ISSUE-0060</t>
        </is>
      </c>
    </row>
    <row r="70" ht="42" customHeight="1">
      <c r="A70" s="2" t="inlineStr">
        <is>
          <t>jeminise.com+fantasy-winged-dragon-comforter-set-with-volcanic-eruption-and-bedroom-258009c125-258009c125</t>
        </is>
      </c>
      <c r="B70" s="2" t="inlineStr">
        <is>
          <t>K1</t>
        </is>
      </c>
      <c r="C70" s="2" t="n">
        <v>10</v>
      </c>
      <c r="D70" s="2" t="inlineStr">
        <is>
          <t>PARTIAL</t>
        </is>
      </c>
      <c r="E70" s="5">
        <f>IF(B70="I1",AVERAGEIF('QA_Images'!$A$2:$A$58,A70,'QA_Images'!$T$2:$T$58)/100,IF(D70="FULL",1,IF(D70="PARTIAL",0.5,IF(D70="FAIL",0,""))))</f>
        <v/>
      </c>
      <c r="F70" s="5">
        <f>IF(E70="",0,C70*E70)</f>
        <v/>
      </c>
      <c r="G70" s="5">
        <f>IF(B70="I1",20*AVERAGEIF('QA_Images'!$A$2:$A$58,A70,'QA_Images'!$U$2:$U$58)/100,IF(D70="NOT_CHECKED",0,C70))</f>
        <v/>
      </c>
      <c r="H70" s="2" t="inlineStr">
        <is>
          <t>Primary keyword aligns with product-level US purchase intent. Primary keyword rechecked against US product-level SERP comparables.</t>
        </is>
      </c>
      <c r="I70" s="2" t="inlineStr">
        <is>
          <t>evidence_batch_015_147</t>
        </is>
      </c>
      <c r="J70" s="2" t="inlineStr">
        <is>
          <t>ISSUE-0056; ISSUE-0057; ISSUE-0058; ISSUE-0059; ISSUE-0060</t>
        </is>
      </c>
    </row>
    <row r="71" ht="42" customHeight="1">
      <c r="A71" s="3" t="inlineStr">
        <is>
          <t>jeminise.com+fantasy-winged-dragon-comforter-set-with-volcanic-eruption-and-bedroom-258009c125-258009c125</t>
        </is>
      </c>
      <c r="B71" s="3" t="inlineStr">
        <is>
          <t>K2</t>
        </is>
      </c>
      <c r="C71" s="3" t="n">
        <v>5</v>
      </c>
      <c r="D71" s="3" t="inlineStr">
        <is>
          <t>PARTIAL</t>
        </is>
      </c>
      <c r="E71" s="7">
        <f>IF(B71="I1",AVERAGEIF('QA_Images'!$A$2:$A$58,A71,'QA_Images'!$T$2:$T$58)/100,IF(D71="FULL",1,IF(D71="PARTIAL",0.5,IF(D71="FAIL",0,""))))</f>
        <v/>
      </c>
      <c r="F71" s="7">
        <f>IF(E71="",0,C71*E71)</f>
        <v/>
      </c>
      <c r="G71" s="7">
        <f>IF(B71="I1",20*AVERAGEIF('QA_Images'!$A$2:$A$58,A71,'QA_Images'!$U$2:$U$58)/100,IF(D71="NOT_CHECKED",0,C71))</f>
        <v/>
      </c>
      <c r="H71" s="3" t="inlineStr">
        <is>
          <t>Intent/cannibalization check distinguishes nearby products. Nearby product cluster has overlap risk, so intent distinction remains only partial.</t>
        </is>
      </c>
      <c r="I71" s="3" t="inlineStr">
        <is>
          <t>evidence_batch_015_147</t>
        </is>
      </c>
      <c r="J71" s="3" t="inlineStr">
        <is>
          <t>ISSUE-0056; ISSUE-0057; ISSUE-0058; ISSUE-0059; ISSUE-0060</t>
        </is>
      </c>
    </row>
    <row r="72" ht="42" customHeight="1">
      <c r="A72" s="2" t="inlineStr">
        <is>
          <t>jeminise.com+fantasy-winged-dragon-comforter-set-with-volcanic-eruption-and-bedroom-258009c125-258009c125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5">
        <f>IF(B72="I1",AVERAGEIF('QA_Images'!$A$2:$A$58,A72,'QA_Images'!$T$2:$T$58)/100,IF(D72="FULL",1,IF(D72="PARTIAL",0.5,IF(D72="FAIL",0,""))))</f>
        <v/>
      </c>
      <c r="F72" s="5">
        <f>IF(E72="",0,C72*E72)</f>
        <v/>
      </c>
      <c r="G72" s="5">
        <f>IF(B72="I1",20*AVERAGEIF('QA_Images'!$A$2:$A$58,A72,'QA_Images'!$U$2:$U$58)/100,IF(D72="NOT_CHECKED",0,C72))</f>
        <v/>
      </c>
      <c r="H72" s="2" t="inlineStr">
        <is>
          <t>Keyword evidence is supported by SERP comparables without unsupported volume claims. Evidence is public SERP only; no Search Console, keyword volume or customer-search corpus provided.</t>
        </is>
      </c>
      <c r="I72" s="2" t="inlineStr">
        <is>
          <t>evidence_batch_015_147</t>
        </is>
      </c>
      <c r="J72" s="2" t="inlineStr">
        <is>
          <t>ISSUE-0056; ISSUE-0057; ISSUE-0058; ISSUE-0059; ISSUE-0060</t>
        </is>
      </c>
    </row>
    <row r="73" ht="42" customHeight="1">
      <c r="A73" s="3" t="inlineStr">
        <is>
          <t>jeminise.com+fantasy-winged-dragon-comforter-set-with-volcanic-eruption-and-bedroom-258009c125-258009c125</t>
        </is>
      </c>
      <c r="B73" s="3" t="inlineStr">
        <is>
          <t>T1</t>
        </is>
      </c>
      <c r="C73" s="3" t="n">
        <v>10</v>
      </c>
      <c r="D73" s="3" t="inlineStr">
        <is>
          <t>PARTIAL</t>
        </is>
      </c>
      <c r="E73" s="7">
        <f>IF(B73="I1",AVERAGEIF('QA_Images'!$A$2:$A$58,A73,'QA_Images'!$T$2:$T$58)/100,IF(D73="FULL",1,IF(D73="PARTIAL",0.5,IF(D73="FAIL",0,""))))</f>
        <v/>
      </c>
      <c r="F73" s="7">
        <f>IF(E73="",0,C73*E73)</f>
        <v/>
      </c>
      <c r="G73" s="7">
        <f>IF(B73="I1",20*AVERAGEIF('QA_Images'!$A$2:$A$58,A73,'QA_Images'!$U$2:$U$58)/100,IF(D73="NOT_CHECKED",0,C73))</f>
        <v/>
      </c>
      <c r="H73" s="3" t="inlineStr">
        <is>
          <t>SEO title and H1 are relevant, specific and grounded in visible/source facts. Proposed H1 is blank, so the title/H1 pair cannot be fully verified.</t>
        </is>
      </c>
      <c r="I73" s="3" t="inlineStr">
        <is>
          <t>evidence_batch_015_147</t>
        </is>
      </c>
      <c r="J73" s="3" t="inlineStr">
        <is>
          <t>ISSUE-0056; ISSUE-0057; ISSUE-0058; ISSUE-0059; ISSUE-0060</t>
        </is>
      </c>
    </row>
    <row r="74" ht="42" customHeight="1">
      <c r="A74" s="2" t="inlineStr">
        <is>
          <t>jeminise.com+fantasy-winged-dragon-comforter-set-with-volcanic-eruption-and-bedroom-258009c125-258009c125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5">
        <f>IF(B74="I1",AVERAGEIF('QA_Images'!$A$2:$A$58,A74,'QA_Images'!$T$2:$T$58)/100,IF(D74="FULL",1,IF(D74="PARTIAL",0.5,IF(D74="FAIL",0,""))))</f>
        <v/>
      </c>
      <c r="F74" s="5">
        <f>IF(E74="",0,C74*E74)</f>
        <v/>
      </c>
      <c r="G74" s="5">
        <f>IF(B74="I1",20*AVERAGEIF('QA_Images'!$A$2:$A$58,A74,'QA_Images'!$U$2:$U$58)/100,IF(D74="NOT_CHECKED",0,C74))</f>
        <v/>
      </c>
      <c r="H74" s="2" t="inlineStr">
        <is>
          <t>Meta description is concise, publish-ready and avoids unsupported claims. Meta description checked for length, specificity and supportable claims.</t>
        </is>
      </c>
      <c r="I74" s="2" t="inlineStr">
        <is>
          <t>evidence_batch_015_147</t>
        </is>
      </c>
      <c r="J74" s="2" t="inlineStr">
        <is>
          <t>ISSUE-0056; ISSUE-0057; ISSUE-0058; ISSUE-0059; ISSUE-0060</t>
        </is>
      </c>
    </row>
    <row r="75" ht="42" customHeight="1">
      <c r="A75" s="3" t="inlineStr">
        <is>
          <t>jeminise.com+fantasy-winged-dragon-comforter-set-with-volcanic-eruption-and-bedroom-258009c125-258009c125</t>
        </is>
      </c>
      <c r="B75" s="3" t="inlineStr">
        <is>
          <t>D1</t>
        </is>
      </c>
      <c r="C75" s="3" t="n">
        <v>10</v>
      </c>
      <c r="D75" s="3" t="inlineStr">
        <is>
          <t>FAIL</t>
        </is>
      </c>
      <c r="E75" s="7">
        <f>IF(B75="I1",AVERAGEIF('QA_Images'!$A$2:$A$58,A75,'QA_Images'!$T$2:$T$58)/100,IF(D75="FULL",1,IF(D75="PARTIAL",0.5,IF(D75="FAIL",0,""))))</f>
        <v/>
      </c>
      <c r="F75" s="7">
        <f>IF(E75="",0,C75*E75)</f>
        <v/>
      </c>
      <c r="G75" s="7">
        <f>IF(B75="I1",20*AVERAGEIF('QA_Images'!$A$2:$A$58,A75,'QA_Images'!$U$2:$U$58)/100,IF(D75="NOT_CHECKED",0,C75))</f>
        <v/>
      </c>
      <c r="H75" s="3" t="inlineStr">
        <is>
          <t>Description HTML is publish-ready and free of internal draft/QA instructions. Description HTML still contains internal QA/import language.</t>
        </is>
      </c>
      <c r="I75" s="3" t="inlineStr">
        <is>
          <t>evidence_batch_015_147</t>
        </is>
      </c>
      <c r="J75" s="3" t="inlineStr">
        <is>
          <t>ISSUE-0056; ISSUE-0057; ISSUE-0058; ISSUE-0059; ISSUE-0060</t>
        </is>
      </c>
    </row>
    <row r="76" ht="42" customHeight="1">
      <c r="A76" s="2" t="inlineStr">
        <is>
          <t>jeminise.com+fantasy-winged-dragon-comforter-set-with-volcanic-eruption-and-bedroom-258009c125-258009c125</t>
        </is>
      </c>
      <c r="B76" s="2" t="inlineStr">
        <is>
          <t>D2</t>
        </is>
      </c>
      <c r="C76" s="2" t="n">
        <v>5</v>
      </c>
      <c r="D76" s="2" t="inlineStr">
        <is>
          <t>PARTIAL</t>
        </is>
      </c>
      <c r="E76" s="5">
        <f>IF(B76="I1",AVERAGEIF('QA_Images'!$A$2:$A$58,A76,'QA_Images'!$T$2:$T$58)/100,IF(D76="FULL",1,IF(D76="PARTIAL",0.5,IF(D76="FAIL",0,""))))</f>
        <v/>
      </c>
      <c r="F76" s="5">
        <f>IF(E76="",0,C76*E76)</f>
        <v/>
      </c>
      <c r="G76" s="5">
        <f>IF(B76="I1",20*AVERAGEIF('QA_Images'!$A$2:$A$58,A76,'QA_Images'!$U$2:$U$58)/100,IF(D76="NOT_CHECKED",0,C76))</f>
        <v/>
      </c>
      <c r="H76" s="2" t="inlineStr">
        <is>
          <t>Description content covers verified design, product type, use case and constraints. Description covers motif/product type but remains templated and does not always map every verified constraint.</t>
        </is>
      </c>
      <c r="I76" s="2" t="inlineStr">
        <is>
          <t>evidence_batch_015_147</t>
        </is>
      </c>
      <c r="J76" s="2" t="inlineStr">
        <is>
          <t>ISSUE-0056; ISSUE-0057; ISSUE-0058; ISSUE-0059; ISSUE-0060</t>
        </is>
      </c>
    </row>
    <row r="77" ht="42" customHeight="1">
      <c r="A77" s="3" t="inlineStr">
        <is>
          <t>jeminise.com+fantasy-winged-dragon-comforter-set-with-volcanic-eruption-and-bedroom-258009c125-258009c125</t>
        </is>
      </c>
      <c r="B77" s="3" t="inlineStr">
        <is>
          <t>I1</t>
        </is>
      </c>
      <c r="C77" s="3" t="n">
        <v>20</v>
      </c>
      <c r="D77" s="3" t="inlineStr">
        <is>
          <t>FULL</t>
        </is>
      </c>
      <c r="E77" s="7">
        <f>IF(B77="I1",AVERAGEIF('QA_Images'!$A$2:$A$58,A77,'QA_Images'!$T$2:$T$58)/100,IF(D77="FULL",1,IF(D77="PARTIAL",0.5,IF(D77="FAIL",0,""))))</f>
        <v/>
      </c>
      <c r="F77" s="7">
        <f>IF(E77="",0,C77*E77)</f>
        <v/>
      </c>
      <c r="G77" s="7">
        <f>IF(B77="I1",20*AVERAGEIF('QA_Images'!$A$2:$A$58,A77,'QA_Images'!$U$2:$U$58)/100,IF(D77="NOT_CHECKED",0,C77))</f>
        <v/>
      </c>
      <c r="H77" s="3" t="inlineStr">
        <is>
          <t>Image coverage, image observations and alt text quality, derived from QA_Images. Derived from average image QA score; see QA_Images.</t>
        </is>
      </c>
      <c r="I77" s="3" t="inlineStr">
        <is>
          <t>evidence_batch_015_147</t>
        </is>
      </c>
      <c r="J77" s="3" t="inlineStr">
        <is>
          <t>ISSUE-0056; ISSUE-0057; ISSUE-0058; ISSUE-0059; ISSUE-0060</t>
        </is>
      </c>
    </row>
    <row r="78" ht="42" customHeight="1">
      <c r="A78" s="2" t="inlineStr">
        <is>
          <t>jeminise.com+fantasy-winged-dragon-comforter-set-with-volcanic-eruption-and-bedroom-258009c125-258009c125</t>
        </is>
      </c>
      <c r="B78" s="2" t="inlineStr">
        <is>
          <t>E1</t>
        </is>
      </c>
      <c r="C78" s="2" t="n">
        <v>5</v>
      </c>
      <c r="D78" s="2" t="inlineStr">
        <is>
          <t>PARTIAL</t>
        </is>
      </c>
      <c r="E78" s="5">
        <f>IF(B78="I1",AVERAGEIF('QA_Images'!$A$2:$A$58,A78,'QA_Images'!$T$2:$T$58)/100,IF(D78="FULL",1,IF(D78="PARTIAL",0.5,IF(D78="FAIL",0,""))))</f>
        <v/>
      </c>
      <c r="F78" s="5">
        <f>IF(E78="",0,C78*E78)</f>
        <v/>
      </c>
      <c r="G78" s="5">
        <f>IF(B78="I1",20*AVERAGEIF('QA_Images'!$A$2:$A$58,A78,'QA_Images'!$U$2:$U$58)/100,IF(D78="NOT_CHECKED",0,C78))</f>
        <v/>
      </c>
      <c r="H78" s="2" t="inlineStr">
        <is>
          <t>Evidence chain is traceable and limitations are explicitly separated from failures. Evidence chain is traceable, with admin-export limitation explicitly separated.</t>
        </is>
      </c>
      <c r="I78" s="2" t="inlineStr">
        <is>
          <t>evidence_batch_015_147</t>
        </is>
      </c>
      <c r="J78" s="2" t="inlineStr">
        <is>
          <t>ISSUE-0056; ISSUE-0057; ISSUE-0058; ISSUE-0059; ISSUE-0060</t>
        </is>
      </c>
    </row>
    <row r="79" ht="42" customHeight="1">
      <c r="A79" s="3" t="inlineStr">
        <is>
          <t>jeminise.com+floral-nature-cardinal-within-ornate-oval-frame-patchwork-winter-quilt-88ef309589-88ef309589</t>
        </is>
      </c>
      <c r="B79" s="3" t="inlineStr">
        <is>
          <t>P1</t>
        </is>
      </c>
      <c r="C79" s="3" t="n">
        <v>15</v>
      </c>
      <c r="D79" s="3" t="inlineStr">
        <is>
          <t>FULL</t>
        </is>
      </c>
      <c r="E79" s="7">
        <f>IF(B79="I1",AVERAGEIF('QA_Images'!$A$2:$A$58,A79,'QA_Images'!$T$2:$T$58)/100,IF(D79="FULL",1,IF(D79="PARTIAL",0.5,IF(D79="FAIL",0,""))))</f>
        <v/>
      </c>
      <c r="F79" s="7">
        <f>IF(E79="",0,C79*E79)</f>
        <v/>
      </c>
      <c r="G79" s="7">
        <f>IF(B79="I1",20*AVERAGEIF('QA_Images'!$A$2:$A$58,A79,'QA_Images'!$U$2:$U$58)/100,IF(D79="NOT_CHECKED",0,C79))</f>
        <v/>
      </c>
      <c r="H79" s="3" t="inlineStr">
        <is>
          <t>Product identity, handle, product ID, URL and canonical match source/live evidence. Product key/handle/product ID/canonical checked against frozen workbook and live product evidence.</t>
        </is>
      </c>
      <c r="I79" s="3" t="inlineStr">
        <is>
          <t>evidence_batch_015_148</t>
        </is>
      </c>
      <c r="J79" s="3" t="inlineStr">
        <is>
          <t>ISSUE-0064; ISSUE-0065; ISSUE-0066; ISSUE-0067; ISSUE-0068</t>
        </is>
      </c>
    </row>
    <row r="80" ht="42" customHeight="1">
      <c r="A80" s="2" t="inlineStr">
        <is>
          <t>jeminise.com+floral-nature-cardinal-within-ornate-oval-frame-patchwork-winter-quilt-88ef309589-88ef309589</t>
        </is>
      </c>
      <c r="B80" s="2" t="inlineStr">
        <is>
          <t>P2</t>
        </is>
      </c>
      <c r="C80" s="2" t="n">
        <v>10</v>
      </c>
      <c r="D80" s="2" t="inlineStr">
        <is>
          <t>PARTIAL</t>
        </is>
      </c>
      <c r="E80" s="5">
        <f>IF(B80="I1",AVERAGEIF('QA_Images'!$A$2:$A$58,A80,'QA_Images'!$T$2:$T$58)/100,IF(D80="FULL",1,IF(D80="PARTIAL",0.5,IF(D80="FAIL",0,""))))</f>
        <v/>
      </c>
      <c r="F80" s="5">
        <f>IF(E80="",0,C80*E80)</f>
        <v/>
      </c>
      <c r="G80" s="5">
        <f>IF(B80="I1",20*AVERAGEIF('QA_Images'!$A$2:$A$58,A80,'QA_Images'!$U$2:$U$58)/100,IF(D80="NOT_CHECKED",0,C80))</f>
        <v/>
      </c>
      <c r="H80" s="2" t="inlineStr">
        <is>
          <t>Source product facts, variants, specifications and personalization claims are evidence-backed. Personalization/specification claims checked against storefront product.js and static customizer config.</t>
        </is>
      </c>
      <c r="I80" s="2" t="inlineStr">
        <is>
          <t>evidence_batch_015_148</t>
        </is>
      </c>
      <c r="J80" s="2" t="inlineStr">
        <is>
          <t>ISSUE-0064; ISSUE-0065; ISSUE-0066; ISSUE-0067; ISSUE-0068</t>
        </is>
      </c>
    </row>
    <row r="81" ht="42" customHeight="1">
      <c r="A81" s="3" t="inlineStr">
        <is>
          <t>jeminise.com+floral-nature-cardinal-within-ornate-oval-frame-patchwork-winter-quilt-88ef309589-88ef309589</t>
        </is>
      </c>
      <c r="B81" s="3" t="inlineStr">
        <is>
          <t>K1</t>
        </is>
      </c>
      <c r="C81" s="3" t="n">
        <v>10</v>
      </c>
      <c r="D81" s="3" t="inlineStr">
        <is>
          <t>PARTIAL</t>
        </is>
      </c>
      <c r="E81" s="7">
        <f>IF(B81="I1",AVERAGEIF('QA_Images'!$A$2:$A$58,A81,'QA_Images'!$T$2:$T$58)/100,IF(D81="FULL",1,IF(D81="PARTIAL",0.5,IF(D81="FAIL",0,""))))</f>
        <v/>
      </c>
      <c r="F81" s="7">
        <f>IF(E81="",0,C81*E81)</f>
        <v/>
      </c>
      <c r="G81" s="7">
        <f>IF(B81="I1",20*AVERAGEIF('QA_Images'!$A$2:$A$58,A81,'QA_Images'!$U$2:$U$58)/100,IF(D81="NOT_CHECKED",0,C81))</f>
        <v/>
      </c>
      <c r="H81" s="3" t="inlineStr">
        <is>
          <t>Primary keyword aligns with product-level US purchase intent. Primary keyword rechecked against US product-level SERP comparables.</t>
        </is>
      </c>
      <c r="I81" s="3" t="inlineStr">
        <is>
          <t>evidence_batch_015_148</t>
        </is>
      </c>
      <c r="J81" s="3" t="inlineStr">
        <is>
          <t>ISSUE-0064; ISSUE-0065; ISSUE-0066; ISSUE-0067; ISSUE-0068</t>
        </is>
      </c>
    </row>
    <row r="82" ht="42" customHeight="1">
      <c r="A82" s="2" t="inlineStr">
        <is>
          <t>jeminise.com+floral-nature-cardinal-within-ornate-oval-frame-patchwork-winter-quilt-88ef309589-88ef309589</t>
        </is>
      </c>
      <c r="B82" s="2" t="inlineStr">
        <is>
          <t>K2</t>
        </is>
      </c>
      <c r="C82" s="2" t="n">
        <v>5</v>
      </c>
      <c r="D82" s="2" t="inlineStr">
        <is>
          <t>PARTIAL</t>
        </is>
      </c>
      <c r="E82" s="5">
        <f>IF(B82="I1",AVERAGEIF('QA_Images'!$A$2:$A$58,A82,'QA_Images'!$T$2:$T$58)/100,IF(D82="FULL",1,IF(D82="PARTIAL",0.5,IF(D82="FAIL",0,""))))</f>
        <v/>
      </c>
      <c r="F82" s="5">
        <f>IF(E82="",0,C82*E82)</f>
        <v/>
      </c>
      <c r="G82" s="5">
        <f>IF(B82="I1",20*AVERAGEIF('QA_Images'!$A$2:$A$58,A82,'QA_Images'!$U$2:$U$58)/100,IF(D82="NOT_CHECKED",0,C82))</f>
        <v/>
      </c>
      <c r="H82" s="2" t="inlineStr">
        <is>
          <t>Intent/cannibalization check distinguishes nearby products. Nearby product cluster has overlap risk, so intent distinction remains only partial.</t>
        </is>
      </c>
      <c r="I82" s="2" t="inlineStr">
        <is>
          <t>evidence_batch_015_148</t>
        </is>
      </c>
      <c r="J82" s="2" t="inlineStr">
        <is>
          <t>ISSUE-0064; ISSUE-0065; ISSUE-0066; ISSUE-0067; ISSUE-0068</t>
        </is>
      </c>
    </row>
    <row r="83" ht="42" customHeight="1">
      <c r="A83" s="3" t="inlineStr">
        <is>
          <t>jeminise.com+floral-nature-cardinal-within-ornate-oval-frame-patchwork-winter-quilt-88ef309589-88ef309589</t>
        </is>
      </c>
      <c r="B83" s="3" t="inlineStr">
        <is>
          <t>K3</t>
        </is>
      </c>
      <c r="C83" s="3" t="n">
        <v>5</v>
      </c>
      <c r="D83" s="3" t="inlineStr">
        <is>
          <t>PARTIAL</t>
        </is>
      </c>
      <c r="E83" s="7">
        <f>IF(B83="I1",AVERAGEIF('QA_Images'!$A$2:$A$58,A83,'QA_Images'!$T$2:$T$58)/100,IF(D83="FULL",1,IF(D83="PARTIAL",0.5,IF(D83="FAIL",0,""))))</f>
        <v/>
      </c>
      <c r="F83" s="7">
        <f>IF(E83="",0,C83*E83)</f>
        <v/>
      </c>
      <c r="G83" s="7">
        <f>IF(B83="I1",20*AVERAGEIF('QA_Images'!$A$2:$A$58,A83,'QA_Images'!$U$2:$U$58)/100,IF(D83="NOT_CHECKED",0,C83))</f>
        <v/>
      </c>
      <c r="H83" s="3" t="inlineStr">
        <is>
          <t>Keyword evidence is supported by SERP comparables without unsupported volume claims. Evidence is public SERP only; no Search Console, keyword volume or customer-search corpus provided.</t>
        </is>
      </c>
      <c r="I83" s="3" t="inlineStr">
        <is>
          <t>evidence_batch_015_148</t>
        </is>
      </c>
      <c r="J83" s="3" t="inlineStr">
        <is>
          <t>ISSUE-0064; ISSUE-0065; ISSUE-0066; ISSUE-0067; ISSUE-0068</t>
        </is>
      </c>
    </row>
    <row r="84" ht="42" customHeight="1">
      <c r="A84" s="2" t="inlineStr">
        <is>
          <t>jeminise.com+floral-nature-cardinal-within-ornate-oval-frame-patchwork-winter-quilt-88ef309589-88ef309589</t>
        </is>
      </c>
      <c r="B84" s="2" t="inlineStr">
        <is>
          <t>T1</t>
        </is>
      </c>
      <c r="C84" s="2" t="n">
        <v>10</v>
      </c>
      <c r="D84" s="2" t="inlineStr">
        <is>
          <t>PARTIAL</t>
        </is>
      </c>
      <c r="E84" s="5">
        <f>IF(B84="I1",AVERAGEIF('QA_Images'!$A$2:$A$58,A84,'QA_Images'!$T$2:$T$58)/100,IF(D84="FULL",1,IF(D84="PARTIAL",0.5,IF(D84="FAIL",0,""))))</f>
        <v/>
      </c>
      <c r="F84" s="5">
        <f>IF(E84="",0,C84*E84)</f>
        <v/>
      </c>
      <c r="G84" s="5">
        <f>IF(B84="I1",20*AVERAGEIF('QA_Images'!$A$2:$A$58,A84,'QA_Images'!$U$2:$U$58)/100,IF(D84="NOT_CHECKED",0,C84))</f>
        <v/>
      </c>
      <c r="H84" s="2" t="inlineStr">
        <is>
          <t>SEO title and H1 are relevant, specific and grounded in visible/source facts. Proposed H1 is blank, so the title/H1 pair cannot be fully verified.</t>
        </is>
      </c>
      <c r="I84" s="2" t="inlineStr">
        <is>
          <t>evidence_batch_015_148</t>
        </is>
      </c>
      <c r="J84" s="2" t="inlineStr">
        <is>
          <t>ISSUE-0064; ISSUE-0065; ISSUE-0066; ISSUE-0067; ISSUE-0068</t>
        </is>
      </c>
    </row>
    <row r="85" ht="42" customHeight="1">
      <c r="A85" s="3" t="inlineStr">
        <is>
          <t>jeminise.com+floral-nature-cardinal-within-ornate-oval-frame-patchwork-winter-quilt-88ef309589-88ef309589</t>
        </is>
      </c>
      <c r="B85" s="3" t="inlineStr">
        <is>
          <t>T2</t>
        </is>
      </c>
      <c r="C85" s="3" t="n">
        <v>5</v>
      </c>
      <c r="D85" s="3" t="inlineStr">
        <is>
          <t>PARTIAL</t>
        </is>
      </c>
      <c r="E85" s="7">
        <f>IF(B85="I1",AVERAGEIF('QA_Images'!$A$2:$A$58,A85,'QA_Images'!$T$2:$T$58)/100,IF(D85="FULL",1,IF(D85="PARTIAL",0.5,IF(D85="FAIL",0,""))))</f>
        <v/>
      </c>
      <c r="F85" s="7">
        <f>IF(E85="",0,C85*E85)</f>
        <v/>
      </c>
      <c r="G85" s="7">
        <f>IF(B85="I1",20*AVERAGEIF('QA_Images'!$A$2:$A$58,A85,'QA_Images'!$U$2:$U$58)/100,IF(D85="NOT_CHECKED",0,C85))</f>
        <v/>
      </c>
      <c r="H85" s="3" t="inlineStr">
        <is>
          <t>Meta description is concise, publish-ready and avoids unsupported claims. Meta description checked for length, specificity and supportable claims.</t>
        </is>
      </c>
      <c r="I85" s="3" t="inlineStr">
        <is>
          <t>evidence_batch_015_148</t>
        </is>
      </c>
      <c r="J85" s="3" t="inlineStr">
        <is>
          <t>ISSUE-0064; ISSUE-0065; ISSUE-0066; ISSUE-0067; ISSUE-0068</t>
        </is>
      </c>
    </row>
    <row r="86" ht="42" customHeight="1">
      <c r="A86" s="2" t="inlineStr">
        <is>
          <t>jeminise.com+floral-nature-cardinal-within-ornate-oval-frame-patchwork-winter-quilt-88ef309589-88ef309589</t>
        </is>
      </c>
      <c r="B86" s="2" t="inlineStr">
        <is>
          <t>D1</t>
        </is>
      </c>
      <c r="C86" s="2" t="n">
        <v>10</v>
      </c>
      <c r="D86" s="2" t="inlineStr">
        <is>
          <t>FAIL</t>
        </is>
      </c>
      <c r="E86" s="5">
        <f>IF(B86="I1",AVERAGEIF('QA_Images'!$A$2:$A$58,A86,'QA_Images'!$T$2:$T$58)/100,IF(D86="FULL",1,IF(D86="PARTIAL",0.5,IF(D86="FAIL",0,""))))</f>
        <v/>
      </c>
      <c r="F86" s="5">
        <f>IF(E86="",0,C86*E86)</f>
        <v/>
      </c>
      <c r="G86" s="5">
        <f>IF(B86="I1",20*AVERAGEIF('QA_Images'!$A$2:$A$58,A86,'QA_Images'!$U$2:$U$58)/100,IF(D86="NOT_CHECKED",0,C86))</f>
        <v/>
      </c>
      <c r="H86" s="2" t="inlineStr">
        <is>
          <t>Description HTML is publish-ready and free of internal draft/QA instructions. Description HTML still contains internal QA/import language.</t>
        </is>
      </c>
      <c r="I86" s="2" t="inlineStr">
        <is>
          <t>evidence_batch_015_148</t>
        </is>
      </c>
      <c r="J86" s="2" t="inlineStr">
        <is>
          <t>ISSUE-0064; ISSUE-0065; ISSUE-0066; ISSUE-0067; ISSUE-0068</t>
        </is>
      </c>
    </row>
    <row r="87" ht="42" customHeight="1">
      <c r="A87" s="3" t="inlineStr">
        <is>
          <t>jeminise.com+floral-nature-cardinal-within-ornate-oval-frame-patchwork-winter-quilt-88ef309589-88ef309589</t>
        </is>
      </c>
      <c r="B87" s="3" t="inlineStr">
        <is>
          <t>D2</t>
        </is>
      </c>
      <c r="C87" s="3" t="n">
        <v>5</v>
      </c>
      <c r="D87" s="3" t="inlineStr">
        <is>
          <t>PARTIAL</t>
        </is>
      </c>
      <c r="E87" s="7">
        <f>IF(B87="I1",AVERAGEIF('QA_Images'!$A$2:$A$58,A87,'QA_Images'!$T$2:$T$58)/100,IF(D87="FULL",1,IF(D87="PARTIAL",0.5,IF(D87="FAIL",0,""))))</f>
        <v/>
      </c>
      <c r="F87" s="7">
        <f>IF(E87="",0,C87*E87)</f>
        <v/>
      </c>
      <c r="G87" s="7">
        <f>IF(B87="I1",20*AVERAGEIF('QA_Images'!$A$2:$A$58,A87,'QA_Images'!$U$2:$U$58)/100,IF(D87="NOT_CHECKED",0,C87))</f>
        <v/>
      </c>
      <c r="H87" s="3" t="inlineStr">
        <is>
          <t>Description content covers verified design, product type, use case and constraints. Description covers motif/product type but remains templated and does not always map every verified constraint.</t>
        </is>
      </c>
      <c r="I87" s="3" t="inlineStr">
        <is>
          <t>evidence_batch_015_148</t>
        </is>
      </c>
      <c r="J87" s="3" t="inlineStr">
        <is>
          <t>ISSUE-0064; ISSUE-0065; ISSUE-0066; ISSUE-0067; ISSUE-0068</t>
        </is>
      </c>
    </row>
    <row r="88" ht="42" customHeight="1">
      <c r="A88" s="2" t="inlineStr">
        <is>
          <t>jeminise.com+floral-nature-cardinal-within-ornate-oval-frame-patchwork-winter-quilt-88ef309589-88ef309589</t>
        </is>
      </c>
      <c r="B88" s="2" t="inlineStr">
        <is>
          <t>I1</t>
        </is>
      </c>
      <c r="C88" s="2" t="n">
        <v>20</v>
      </c>
      <c r="D88" s="2" t="inlineStr">
        <is>
          <t>FULL</t>
        </is>
      </c>
      <c r="E88" s="5">
        <f>IF(B88="I1",AVERAGEIF('QA_Images'!$A$2:$A$58,A88,'QA_Images'!$T$2:$T$58)/100,IF(D88="FULL",1,IF(D88="PARTIAL",0.5,IF(D88="FAIL",0,""))))</f>
        <v/>
      </c>
      <c r="F88" s="5">
        <f>IF(E88="",0,C88*E88)</f>
        <v/>
      </c>
      <c r="G88" s="5">
        <f>IF(B88="I1",20*AVERAGEIF('QA_Images'!$A$2:$A$58,A88,'QA_Images'!$U$2:$U$58)/100,IF(D88="NOT_CHECKED",0,C88))</f>
        <v/>
      </c>
      <c r="H88" s="2" t="inlineStr">
        <is>
          <t>Image coverage, image observations and alt text quality, derived from QA_Images. Derived from average image QA score; see QA_Images.</t>
        </is>
      </c>
      <c r="I88" s="2" t="inlineStr">
        <is>
          <t>evidence_batch_015_148</t>
        </is>
      </c>
      <c r="J88" s="2" t="inlineStr">
        <is>
          <t>ISSUE-0064; ISSUE-0065; ISSUE-0066; ISSUE-0067; ISSUE-0068</t>
        </is>
      </c>
    </row>
    <row r="89" ht="42" customHeight="1">
      <c r="A89" s="3" t="inlineStr">
        <is>
          <t>jeminise.com+floral-nature-cardinal-within-ornate-oval-frame-patchwork-winter-quilt-88ef309589-88ef309589</t>
        </is>
      </c>
      <c r="B89" s="3" t="inlineStr">
        <is>
          <t>E1</t>
        </is>
      </c>
      <c r="C89" s="3" t="n">
        <v>5</v>
      </c>
      <c r="D89" s="3" t="inlineStr">
        <is>
          <t>PARTIAL</t>
        </is>
      </c>
      <c r="E89" s="7">
        <f>IF(B89="I1",AVERAGEIF('QA_Images'!$A$2:$A$58,A89,'QA_Images'!$T$2:$T$58)/100,IF(D89="FULL",1,IF(D89="PARTIAL",0.5,IF(D89="FAIL",0,""))))</f>
        <v/>
      </c>
      <c r="F89" s="7">
        <f>IF(E89="",0,C89*E89)</f>
        <v/>
      </c>
      <c r="G89" s="7">
        <f>IF(B89="I1",20*AVERAGEIF('QA_Images'!$A$2:$A$58,A89,'QA_Images'!$U$2:$U$58)/100,IF(D89="NOT_CHECKED",0,C89))</f>
        <v/>
      </c>
      <c r="H89" s="3" t="inlineStr">
        <is>
          <t>Evidence chain is traceable and limitations are explicitly separated from failures. Evidence chain is traceable, with admin-export limitation explicitly separated.</t>
        </is>
      </c>
      <c r="I89" s="3" t="inlineStr">
        <is>
          <t>evidence_batch_015_148</t>
        </is>
      </c>
      <c r="J89" s="3" t="inlineStr">
        <is>
          <t>ISSUE-0064; ISSUE-0065; ISSUE-0066; ISSUE-0067; ISSUE-0068</t>
        </is>
      </c>
    </row>
    <row r="90" ht="42" customHeight="1">
      <c r="A90" s="2" t="inlineStr">
        <is>
          <t>jeminise.com+folklore-tree-of-life-in-celtic-knot-quilt-40ab1f6113-40ab1f6113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5">
        <f>IF(B90="I1",AVERAGEIF('QA_Images'!$A$2:$A$58,A90,'QA_Images'!$T$2:$T$58)/100,IF(D90="FULL",1,IF(D90="PARTIAL",0.5,IF(D90="FAIL",0,""))))</f>
        <v/>
      </c>
      <c r="F90" s="5">
        <f>IF(E90="",0,C90*E90)</f>
        <v/>
      </c>
      <c r="G90" s="5">
        <f>IF(B90="I1",20*AVERAGEIF('QA_Images'!$A$2:$A$58,A90,'QA_Images'!$U$2:$U$58)/100,IF(D90="NOT_CHECKED",0,C90))</f>
        <v/>
      </c>
      <c r="H90" s="2" t="inlineStr">
        <is>
          <t>Product identity, handle, product ID, URL and canonical match source/live evidence. Product key/handle/product ID/canonical checked against frozen workbook and live product evidence.</t>
        </is>
      </c>
      <c r="I90" s="2" t="inlineStr">
        <is>
          <t>evidence_batch_015_149</t>
        </is>
      </c>
      <c r="J90" s="2" t="inlineStr">
        <is>
          <t>ISSUE-0072; ISSUE-0073; ISSUE-0074; ISSUE-0075; ISSUE-0076</t>
        </is>
      </c>
    </row>
    <row r="91" ht="42" customHeight="1">
      <c r="A91" s="3" t="inlineStr">
        <is>
          <t>jeminise.com+folklore-tree-of-life-in-celtic-knot-quilt-40ab1f6113-40ab1f6113</t>
        </is>
      </c>
      <c r="B91" s="3" t="inlineStr">
        <is>
          <t>P2</t>
        </is>
      </c>
      <c r="C91" s="3" t="n">
        <v>10</v>
      </c>
      <c r="D91" s="3" t="inlineStr">
        <is>
          <t>PARTIAL</t>
        </is>
      </c>
      <c r="E91" s="7">
        <f>IF(B91="I1",AVERAGEIF('QA_Images'!$A$2:$A$58,A91,'QA_Images'!$T$2:$T$58)/100,IF(D91="FULL",1,IF(D91="PARTIAL",0.5,IF(D91="FAIL",0,""))))</f>
        <v/>
      </c>
      <c r="F91" s="7">
        <f>IF(E91="",0,C91*E91)</f>
        <v/>
      </c>
      <c r="G91" s="7">
        <f>IF(B91="I1",20*AVERAGEIF('QA_Images'!$A$2:$A$58,A91,'QA_Images'!$U$2:$U$58)/100,IF(D91="NOT_CHECKED",0,C91))</f>
        <v/>
      </c>
      <c r="H91" s="3" t="inlineStr">
        <is>
          <t>Source product facts, variants, specifications and personalization claims are evidence-backed. Personalization/specification claims checked against storefront product.js and static customizer config.</t>
        </is>
      </c>
      <c r="I91" s="3" t="inlineStr">
        <is>
          <t>evidence_batch_015_149</t>
        </is>
      </c>
      <c r="J91" s="3" t="inlineStr">
        <is>
          <t>ISSUE-0072; ISSUE-0073; ISSUE-0074; ISSUE-0075; ISSUE-0076</t>
        </is>
      </c>
    </row>
    <row r="92" ht="42" customHeight="1">
      <c r="A92" s="2" t="inlineStr">
        <is>
          <t>jeminise.com+folklore-tree-of-life-in-celtic-knot-quilt-40ab1f6113-40ab1f6113</t>
        </is>
      </c>
      <c r="B92" s="2" t="inlineStr">
        <is>
          <t>K1</t>
        </is>
      </c>
      <c r="C92" s="2" t="n">
        <v>10</v>
      </c>
      <c r="D92" s="2" t="inlineStr">
        <is>
          <t>PARTIAL</t>
        </is>
      </c>
      <c r="E92" s="5">
        <f>IF(B92="I1",AVERAGEIF('QA_Images'!$A$2:$A$58,A92,'QA_Images'!$T$2:$T$58)/100,IF(D92="FULL",1,IF(D92="PARTIAL",0.5,IF(D92="FAIL",0,""))))</f>
        <v/>
      </c>
      <c r="F92" s="5">
        <f>IF(E92="",0,C92*E92)</f>
        <v/>
      </c>
      <c r="G92" s="5">
        <f>IF(B92="I1",20*AVERAGEIF('QA_Images'!$A$2:$A$58,A92,'QA_Images'!$U$2:$U$58)/100,IF(D92="NOT_CHECKED",0,C92))</f>
        <v/>
      </c>
      <c r="H92" s="2" t="inlineStr">
        <is>
          <t>Primary keyword aligns with product-level US purchase intent. Primary keyword rechecked against US product-level SERP comparables.</t>
        </is>
      </c>
      <c r="I92" s="2" t="inlineStr">
        <is>
          <t>evidence_batch_015_149</t>
        </is>
      </c>
      <c r="J92" s="2" t="inlineStr">
        <is>
          <t>ISSUE-0072; ISSUE-0073; ISSUE-0074; ISSUE-0075; ISSUE-0076</t>
        </is>
      </c>
    </row>
    <row r="93" ht="42" customHeight="1">
      <c r="A93" s="3" t="inlineStr">
        <is>
          <t>jeminise.com+folklore-tree-of-life-in-celtic-knot-quilt-40ab1f6113-40ab1f6113</t>
        </is>
      </c>
      <c r="B93" s="3" t="inlineStr">
        <is>
          <t>K2</t>
        </is>
      </c>
      <c r="C93" s="3" t="n">
        <v>5</v>
      </c>
      <c r="D93" s="3" t="inlineStr">
        <is>
          <t>PARTIAL</t>
        </is>
      </c>
      <c r="E93" s="7">
        <f>IF(B93="I1",AVERAGEIF('QA_Images'!$A$2:$A$58,A93,'QA_Images'!$T$2:$T$58)/100,IF(D93="FULL",1,IF(D93="PARTIAL",0.5,IF(D93="FAIL",0,""))))</f>
        <v/>
      </c>
      <c r="F93" s="7">
        <f>IF(E93="",0,C93*E93)</f>
        <v/>
      </c>
      <c r="G93" s="7">
        <f>IF(B93="I1",20*AVERAGEIF('QA_Images'!$A$2:$A$58,A93,'QA_Images'!$U$2:$U$58)/100,IF(D93="NOT_CHECKED",0,C93))</f>
        <v/>
      </c>
      <c r="H93" s="3" t="inlineStr">
        <is>
          <t>Intent/cannibalization check distinguishes nearby products. Nearby product cluster has overlap risk, so intent distinction remains only partial.</t>
        </is>
      </c>
      <c r="I93" s="3" t="inlineStr">
        <is>
          <t>evidence_batch_015_149</t>
        </is>
      </c>
      <c r="J93" s="3" t="inlineStr">
        <is>
          <t>ISSUE-0072; ISSUE-0073; ISSUE-0074; ISSUE-0075; ISSUE-0076</t>
        </is>
      </c>
    </row>
    <row r="94" ht="42" customHeight="1">
      <c r="A94" s="2" t="inlineStr">
        <is>
          <t>jeminise.com+folklore-tree-of-life-in-celtic-knot-quilt-40ab1f6113-40ab1f6113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5">
        <f>IF(B94="I1",AVERAGEIF('QA_Images'!$A$2:$A$58,A94,'QA_Images'!$T$2:$T$58)/100,IF(D94="FULL",1,IF(D94="PARTIAL",0.5,IF(D94="FAIL",0,""))))</f>
        <v/>
      </c>
      <c r="F94" s="5">
        <f>IF(E94="",0,C94*E94)</f>
        <v/>
      </c>
      <c r="G94" s="5">
        <f>IF(B94="I1",20*AVERAGEIF('QA_Images'!$A$2:$A$58,A94,'QA_Images'!$U$2:$U$58)/100,IF(D94="NOT_CHECKED",0,C94))</f>
        <v/>
      </c>
      <c r="H94" s="2" t="inlineStr">
        <is>
          <t>Keyword evidence is supported by SERP comparables without unsupported volume claims. Evidence is public SERP only; no Search Console, keyword volume or customer-search corpus provided.</t>
        </is>
      </c>
      <c r="I94" s="2" t="inlineStr">
        <is>
          <t>evidence_batch_015_149</t>
        </is>
      </c>
      <c r="J94" s="2" t="inlineStr">
        <is>
          <t>ISSUE-0072; ISSUE-0073; ISSUE-0074; ISSUE-0075; ISSUE-0076</t>
        </is>
      </c>
    </row>
    <row r="95" ht="42" customHeight="1">
      <c r="A95" s="3" t="inlineStr">
        <is>
          <t>jeminise.com+folklore-tree-of-life-in-celtic-knot-quilt-40ab1f6113-40ab1f6113</t>
        </is>
      </c>
      <c r="B95" s="3" t="inlineStr">
        <is>
          <t>T1</t>
        </is>
      </c>
      <c r="C95" s="3" t="n">
        <v>10</v>
      </c>
      <c r="D95" s="3" t="inlineStr">
        <is>
          <t>PARTIAL</t>
        </is>
      </c>
      <c r="E95" s="7">
        <f>IF(B95="I1",AVERAGEIF('QA_Images'!$A$2:$A$58,A95,'QA_Images'!$T$2:$T$58)/100,IF(D95="FULL",1,IF(D95="PARTIAL",0.5,IF(D95="FAIL",0,""))))</f>
        <v/>
      </c>
      <c r="F95" s="7">
        <f>IF(E95="",0,C95*E95)</f>
        <v/>
      </c>
      <c r="G95" s="7">
        <f>IF(B95="I1",20*AVERAGEIF('QA_Images'!$A$2:$A$58,A95,'QA_Images'!$U$2:$U$58)/100,IF(D95="NOT_CHECKED",0,C95))</f>
        <v/>
      </c>
      <c r="H95" s="3" t="inlineStr">
        <is>
          <t>SEO title and H1 are relevant, specific and grounded in visible/source facts. Proposed H1 is blank, so the title/H1 pair cannot be fully verified.</t>
        </is>
      </c>
      <c r="I95" s="3" t="inlineStr">
        <is>
          <t>evidence_batch_015_149</t>
        </is>
      </c>
      <c r="J95" s="3" t="inlineStr">
        <is>
          <t>ISSUE-0072; ISSUE-0073; ISSUE-0074; ISSUE-0075; ISSUE-0076</t>
        </is>
      </c>
    </row>
    <row r="96" ht="42" customHeight="1">
      <c r="A96" s="2" t="inlineStr">
        <is>
          <t>jeminise.com+folklore-tree-of-life-in-celtic-knot-quilt-40ab1f6113-40ab1f6113</t>
        </is>
      </c>
      <c r="B96" s="2" t="inlineStr">
        <is>
          <t>T2</t>
        </is>
      </c>
      <c r="C96" s="2" t="n">
        <v>5</v>
      </c>
      <c r="D96" s="2" t="inlineStr">
        <is>
          <t>PARTIAL</t>
        </is>
      </c>
      <c r="E96" s="5">
        <f>IF(B96="I1",AVERAGEIF('QA_Images'!$A$2:$A$58,A96,'QA_Images'!$T$2:$T$58)/100,IF(D96="FULL",1,IF(D96="PARTIAL",0.5,IF(D96="FAIL",0,""))))</f>
        <v/>
      </c>
      <c r="F96" s="5">
        <f>IF(E96="",0,C96*E96)</f>
        <v/>
      </c>
      <c r="G96" s="5">
        <f>IF(B96="I1",20*AVERAGEIF('QA_Images'!$A$2:$A$58,A96,'QA_Images'!$U$2:$U$58)/100,IF(D96="NOT_CHECKED",0,C96))</f>
        <v/>
      </c>
      <c r="H96" s="2" t="inlineStr">
        <is>
          <t>Meta description is concise, publish-ready and avoids unsupported claims. Meta description checked for length, specificity and supportable claims.</t>
        </is>
      </c>
      <c r="I96" s="2" t="inlineStr">
        <is>
          <t>evidence_batch_015_149</t>
        </is>
      </c>
      <c r="J96" s="2" t="inlineStr">
        <is>
          <t>ISSUE-0072; ISSUE-0073; ISSUE-0074; ISSUE-0075; ISSUE-0076</t>
        </is>
      </c>
    </row>
    <row r="97" ht="42" customHeight="1">
      <c r="A97" s="3" t="inlineStr">
        <is>
          <t>jeminise.com+folklore-tree-of-life-in-celtic-knot-quilt-40ab1f6113-40ab1f6113</t>
        </is>
      </c>
      <c r="B97" s="3" t="inlineStr">
        <is>
          <t>D1</t>
        </is>
      </c>
      <c r="C97" s="3" t="n">
        <v>10</v>
      </c>
      <c r="D97" s="3" t="inlineStr">
        <is>
          <t>FAIL</t>
        </is>
      </c>
      <c r="E97" s="7">
        <f>IF(B97="I1",AVERAGEIF('QA_Images'!$A$2:$A$58,A97,'QA_Images'!$T$2:$T$58)/100,IF(D97="FULL",1,IF(D97="PARTIAL",0.5,IF(D97="FAIL",0,""))))</f>
        <v/>
      </c>
      <c r="F97" s="7">
        <f>IF(E97="",0,C97*E97)</f>
        <v/>
      </c>
      <c r="G97" s="7">
        <f>IF(B97="I1",20*AVERAGEIF('QA_Images'!$A$2:$A$58,A97,'QA_Images'!$U$2:$U$58)/100,IF(D97="NOT_CHECKED",0,C97))</f>
        <v/>
      </c>
      <c r="H97" s="3" t="inlineStr">
        <is>
          <t>Description HTML is publish-ready and free of internal draft/QA instructions. Description HTML still contains internal QA/import language.</t>
        </is>
      </c>
      <c r="I97" s="3" t="inlineStr">
        <is>
          <t>evidence_batch_015_149</t>
        </is>
      </c>
      <c r="J97" s="3" t="inlineStr">
        <is>
          <t>ISSUE-0072; ISSUE-0073; ISSUE-0074; ISSUE-0075; ISSUE-0076</t>
        </is>
      </c>
    </row>
    <row r="98" ht="42" customHeight="1">
      <c r="A98" s="2" t="inlineStr">
        <is>
          <t>jeminise.com+folklore-tree-of-life-in-celtic-knot-quilt-40ab1f6113-40ab1f6113</t>
        </is>
      </c>
      <c r="B98" s="2" t="inlineStr">
        <is>
          <t>D2</t>
        </is>
      </c>
      <c r="C98" s="2" t="n">
        <v>5</v>
      </c>
      <c r="D98" s="2" t="inlineStr">
        <is>
          <t>PARTIAL</t>
        </is>
      </c>
      <c r="E98" s="5">
        <f>IF(B98="I1",AVERAGEIF('QA_Images'!$A$2:$A$58,A98,'QA_Images'!$T$2:$T$58)/100,IF(D98="FULL",1,IF(D98="PARTIAL",0.5,IF(D98="FAIL",0,""))))</f>
        <v/>
      </c>
      <c r="F98" s="5">
        <f>IF(E98="",0,C98*E98)</f>
        <v/>
      </c>
      <c r="G98" s="5">
        <f>IF(B98="I1",20*AVERAGEIF('QA_Images'!$A$2:$A$58,A98,'QA_Images'!$U$2:$U$58)/100,IF(D98="NOT_CHECKED",0,C98))</f>
        <v/>
      </c>
      <c r="H98" s="2" t="inlineStr">
        <is>
          <t>Description content covers verified design, product type, use case and constraints. Description covers motif/product type but remains templated and does not always map every verified constraint.</t>
        </is>
      </c>
      <c r="I98" s="2" t="inlineStr">
        <is>
          <t>evidence_batch_015_149</t>
        </is>
      </c>
      <c r="J98" s="2" t="inlineStr">
        <is>
          <t>ISSUE-0072; ISSUE-0073; ISSUE-0074; ISSUE-0075; ISSUE-0076</t>
        </is>
      </c>
    </row>
    <row r="99" ht="42" customHeight="1">
      <c r="A99" s="3" t="inlineStr">
        <is>
          <t>jeminise.com+folklore-tree-of-life-in-celtic-knot-quilt-40ab1f6113-40ab1f6113</t>
        </is>
      </c>
      <c r="B99" s="3" t="inlineStr">
        <is>
          <t>I1</t>
        </is>
      </c>
      <c r="C99" s="3" t="n">
        <v>20</v>
      </c>
      <c r="D99" s="3" t="inlineStr">
        <is>
          <t>FULL</t>
        </is>
      </c>
      <c r="E99" s="7">
        <f>IF(B99="I1",AVERAGEIF('QA_Images'!$A$2:$A$58,A99,'QA_Images'!$T$2:$T$58)/100,IF(D99="FULL",1,IF(D99="PARTIAL",0.5,IF(D99="FAIL",0,""))))</f>
        <v/>
      </c>
      <c r="F99" s="7">
        <f>IF(E99="",0,C99*E99)</f>
        <v/>
      </c>
      <c r="G99" s="7">
        <f>IF(B99="I1",20*AVERAGEIF('QA_Images'!$A$2:$A$58,A99,'QA_Images'!$U$2:$U$58)/100,IF(D99="NOT_CHECKED",0,C99))</f>
        <v/>
      </c>
      <c r="H99" s="3" t="inlineStr">
        <is>
          <t>Image coverage, image observations and alt text quality, derived from QA_Images. Derived from average image QA score; see QA_Images.</t>
        </is>
      </c>
      <c r="I99" s="3" t="inlineStr">
        <is>
          <t>evidence_batch_015_149</t>
        </is>
      </c>
      <c r="J99" s="3" t="inlineStr">
        <is>
          <t>ISSUE-0072; ISSUE-0073; ISSUE-0074; ISSUE-0075; ISSUE-0076</t>
        </is>
      </c>
    </row>
    <row r="100" ht="42" customHeight="1">
      <c r="A100" s="2" t="inlineStr">
        <is>
          <t>jeminise.com+folklore-tree-of-life-in-celtic-knot-quilt-40ab1f6113-40ab1f6113</t>
        </is>
      </c>
      <c r="B100" s="2" t="inlineStr">
        <is>
          <t>E1</t>
        </is>
      </c>
      <c r="C100" s="2" t="n">
        <v>5</v>
      </c>
      <c r="D100" s="2" t="inlineStr">
        <is>
          <t>PARTIAL</t>
        </is>
      </c>
      <c r="E100" s="5">
        <f>IF(B100="I1",AVERAGEIF('QA_Images'!$A$2:$A$58,A100,'QA_Images'!$T$2:$T$58)/100,IF(D100="FULL",1,IF(D100="PARTIAL",0.5,IF(D100="FAIL",0,""))))</f>
        <v/>
      </c>
      <c r="F100" s="5">
        <f>IF(E100="",0,C100*E100)</f>
        <v/>
      </c>
      <c r="G100" s="5">
        <f>IF(B100="I1",20*AVERAGEIF('QA_Images'!$A$2:$A$58,A100,'QA_Images'!$U$2:$U$58)/100,IF(D100="NOT_CHECKED",0,C100))</f>
        <v/>
      </c>
      <c r="H100" s="2" t="inlineStr">
        <is>
          <t>Evidence chain is traceable and limitations are explicitly separated from failures. Evidence chain is traceable, with admin-export limitation explicitly separated.</t>
        </is>
      </c>
      <c r="I100" s="2" t="inlineStr">
        <is>
          <t>evidence_batch_015_149</t>
        </is>
      </c>
      <c r="J100" s="2" t="inlineStr">
        <is>
          <t>ISSUE-0072; ISSUE-0073; ISSUE-0074; ISSUE-0075; ISSUE-0076</t>
        </is>
      </c>
    </row>
    <row r="101" ht="42" customHeight="1">
      <c r="A101" s="3" t="inlineStr">
        <is>
          <t>jeminise.com+fox-patchwork-pattern-quilt-set-animal-quilt-set-patchwork-style</t>
        </is>
      </c>
      <c r="B101" s="3" t="inlineStr">
        <is>
          <t>P1</t>
        </is>
      </c>
      <c r="C101" s="3" t="n">
        <v>15</v>
      </c>
      <c r="D101" s="3" t="inlineStr">
        <is>
          <t>FULL</t>
        </is>
      </c>
      <c r="E101" s="7">
        <f>IF(B101="I1",AVERAGEIF('QA_Images'!$A$2:$A$58,A101,'QA_Images'!$T$2:$T$58)/100,IF(D101="FULL",1,IF(D101="PARTIAL",0.5,IF(D101="FAIL",0,""))))</f>
        <v/>
      </c>
      <c r="F101" s="7">
        <f>IF(E101="",0,C101*E101)</f>
        <v/>
      </c>
      <c r="G101" s="7">
        <f>IF(B101="I1",20*AVERAGEIF('QA_Images'!$A$2:$A$58,A101,'QA_Images'!$U$2:$U$58)/100,IF(D101="NOT_CHECKED",0,C101))</f>
        <v/>
      </c>
      <c r="H101" s="3" t="inlineStr">
        <is>
          <t>Product identity, handle, product ID, URL and canonical match source/live evidence. Product key/handle/product ID/canonical checked against frozen workbook and live product evidence.</t>
        </is>
      </c>
      <c r="I101" s="3" t="inlineStr">
        <is>
          <t>evidence_batch_015_150</t>
        </is>
      </c>
      <c r="J101" s="3" t="inlineStr">
        <is>
          <t>ISSUE-0082; ISSUE-0083; ISSUE-0084; ISSUE-0085; ISSUE-0086</t>
        </is>
      </c>
    </row>
    <row r="102" ht="42" customHeight="1">
      <c r="A102" s="2" t="inlineStr">
        <is>
          <t>jeminise.com+fox-patchwork-pattern-quilt-set-animal-quilt-set-patchwork-style</t>
        </is>
      </c>
      <c r="B102" s="2" t="inlineStr">
        <is>
          <t>P2</t>
        </is>
      </c>
      <c r="C102" s="2" t="n">
        <v>10</v>
      </c>
      <c r="D102" s="2" t="inlineStr">
        <is>
          <t>PARTIAL</t>
        </is>
      </c>
      <c r="E102" s="5">
        <f>IF(B102="I1",AVERAGEIF('QA_Images'!$A$2:$A$58,A102,'QA_Images'!$T$2:$T$58)/100,IF(D102="FULL",1,IF(D102="PARTIAL",0.5,IF(D102="FAIL",0,""))))</f>
        <v/>
      </c>
      <c r="F102" s="5">
        <f>IF(E102="",0,C102*E102)</f>
        <v/>
      </c>
      <c r="G102" s="5">
        <f>IF(B102="I1",20*AVERAGEIF('QA_Images'!$A$2:$A$58,A102,'QA_Images'!$U$2:$U$58)/100,IF(D102="NOT_CHECKED",0,C102))</f>
        <v/>
      </c>
      <c r="H102" s="2" t="inlineStr">
        <is>
          <t>Source product facts, variants, specifications and personalization claims are evidence-backed. Personalization/specification claims checked against storefront product.js and static customizer config.</t>
        </is>
      </c>
      <c r="I102" s="2" t="inlineStr">
        <is>
          <t>evidence_batch_015_150</t>
        </is>
      </c>
      <c r="J102" s="2" t="inlineStr">
        <is>
          <t>ISSUE-0082; ISSUE-0083; ISSUE-0084; ISSUE-0085; ISSUE-0086</t>
        </is>
      </c>
    </row>
    <row r="103" ht="42" customHeight="1">
      <c r="A103" s="3" t="inlineStr">
        <is>
          <t>jeminise.com+fox-patchwork-pattern-quilt-set-animal-quilt-set-patchwork-style</t>
        </is>
      </c>
      <c r="B103" s="3" t="inlineStr">
        <is>
          <t>K1</t>
        </is>
      </c>
      <c r="C103" s="3" t="n">
        <v>10</v>
      </c>
      <c r="D103" s="3" t="inlineStr">
        <is>
          <t>PARTIAL</t>
        </is>
      </c>
      <c r="E103" s="7">
        <f>IF(B103="I1",AVERAGEIF('QA_Images'!$A$2:$A$58,A103,'QA_Images'!$T$2:$T$58)/100,IF(D103="FULL",1,IF(D103="PARTIAL",0.5,IF(D103="FAIL",0,""))))</f>
        <v/>
      </c>
      <c r="F103" s="7">
        <f>IF(E103="",0,C103*E103)</f>
        <v/>
      </c>
      <c r="G103" s="7">
        <f>IF(B103="I1",20*AVERAGEIF('QA_Images'!$A$2:$A$58,A103,'QA_Images'!$U$2:$U$58)/100,IF(D103="NOT_CHECKED",0,C103))</f>
        <v/>
      </c>
      <c r="H103" s="3" t="inlineStr">
        <is>
          <t>Primary keyword aligns with product-level US purchase intent. Primary keyword rechecked against US product-level SERP comparables.</t>
        </is>
      </c>
      <c r="I103" s="3" t="inlineStr">
        <is>
          <t>evidence_batch_015_150</t>
        </is>
      </c>
      <c r="J103" s="3" t="inlineStr">
        <is>
          <t>ISSUE-0082; ISSUE-0083; ISSUE-0084; ISSUE-0085; ISSUE-0086</t>
        </is>
      </c>
    </row>
    <row r="104" ht="42" customHeight="1">
      <c r="A104" s="2" t="inlineStr">
        <is>
          <t>jeminise.com+fox-patchwork-pattern-quilt-set-animal-quilt-set-patchwork-style</t>
        </is>
      </c>
      <c r="B104" s="2" t="inlineStr">
        <is>
          <t>K2</t>
        </is>
      </c>
      <c r="C104" s="2" t="n">
        <v>5</v>
      </c>
      <c r="D104" s="2" t="inlineStr">
        <is>
          <t>PARTIAL</t>
        </is>
      </c>
      <c r="E104" s="5">
        <f>IF(B104="I1",AVERAGEIF('QA_Images'!$A$2:$A$58,A104,'QA_Images'!$T$2:$T$58)/100,IF(D104="FULL",1,IF(D104="PARTIAL",0.5,IF(D104="FAIL",0,""))))</f>
        <v/>
      </c>
      <c r="F104" s="5">
        <f>IF(E104="",0,C104*E104)</f>
        <v/>
      </c>
      <c r="G104" s="5">
        <f>IF(B104="I1",20*AVERAGEIF('QA_Images'!$A$2:$A$58,A104,'QA_Images'!$U$2:$U$58)/100,IF(D104="NOT_CHECKED",0,C104))</f>
        <v/>
      </c>
      <c r="H104" s="2" t="inlineStr">
        <is>
          <t>Intent/cannibalization check distinguishes nearby products. Nearby product cluster has overlap risk, so intent distinction remains only partial.</t>
        </is>
      </c>
      <c r="I104" s="2" t="inlineStr">
        <is>
          <t>evidence_batch_015_150</t>
        </is>
      </c>
      <c r="J104" s="2" t="inlineStr">
        <is>
          <t>ISSUE-0082; ISSUE-0083; ISSUE-0084; ISSUE-0085; ISSUE-0086</t>
        </is>
      </c>
    </row>
    <row r="105" ht="42" customHeight="1">
      <c r="A105" s="3" t="inlineStr">
        <is>
          <t>jeminise.com+fox-patchwork-pattern-quilt-set-animal-quilt-set-patchwork-style</t>
        </is>
      </c>
      <c r="B105" s="3" t="inlineStr">
        <is>
          <t>K3</t>
        </is>
      </c>
      <c r="C105" s="3" t="n">
        <v>5</v>
      </c>
      <c r="D105" s="3" t="inlineStr">
        <is>
          <t>PARTIAL</t>
        </is>
      </c>
      <c r="E105" s="7">
        <f>IF(B105="I1",AVERAGEIF('QA_Images'!$A$2:$A$58,A105,'QA_Images'!$T$2:$T$58)/100,IF(D105="FULL",1,IF(D105="PARTIAL",0.5,IF(D105="FAIL",0,""))))</f>
        <v/>
      </c>
      <c r="F105" s="7">
        <f>IF(E105="",0,C105*E105)</f>
        <v/>
      </c>
      <c r="G105" s="7">
        <f>IF(B105="I1",20*AVERAGEIF('QA_Images'!$A$2:$A$58,A105,'QA_Images'!$U$2:$U$58)/100,IF(D105="NOT_CHECKED",0,C105))</f>
        <v/>
      </c>
      <c r="H105" s="3" t="inlineStr">
        <is>
          <t>Keyword evidence is supported by SERP comparables without unsupported volume claims. Evidence is public SERP only; no Search Console, keyword volume or customer-search corpus provided.</t>
        </is>
      </c>
      <c r="I105" s="3" t="inlineStr">
        <is>
          <t>evidence_batch_015_150</t>
        </is>
      </c>
      <c r="J105" s="3" t="inlineStr">
        <is>
          <t>ISSUE-0082; ISSUE-0083; ISSUE-0084; ISSUE-0085; ISSUE-0086</t>
        </is>
      </c>
    </row>
    <row r="106" ht="42" customHeight="1">
      <c r="A106" s="2" t="inlineStr">
        <is>
          <t>jeminise.com+fox-patchwork-pattern-quilt-set-animal-quilt-set-patchwork-style</t>
        </is>
      </c>
      <c r="B106" s="2" t="inlineStr">
        <is>
          <t>T1</t>
        </is>
      </c>
      <c r="C106" s="2" t="n">
        <v>10</v>
      </c>
      <c r="D106" s="2" t="inlineStr">
        <is>
          <t>PARTIAL</t>
        </is>
      </c>
      <c r="E106" s="5">
        <f>IF(B106="I1",AVERAGEIF('QA_Images'!$A$2:$A$58,A106,'QA_Images'!$T$2:$T$58)/100,IF(D106="FULL",1,IF(D106="PARTIAL",0.5,IF(D106="FAIL",0,""))))</f>
        <v/>
      </c>
      <c r="F106" s="5">
        <f>IF(E106="",0,C106*E106)</f>
        <v/>
      </c>
      <c r="G106" s="5">
        <f>IF(B106="I1",20*AVERAGEIF('QA_Images'!$A$2:$A$58,A106,'QA_Images'!$U$2:$U$58)/100,IF(D106="NOT_CHECKED",0,C106))</f>
        <v/>
      </c>
      <c r="H106" s="2" t="inlineStr">
        <is>
          <t>SEO title and H1 are relevant, specific and grounded in visible/source facts. Proposed H1 is blank, so the title/H1 pair cannot be fully verified.</t>
        </is>
      </c>
      <c r="I106" s="2" t="inlineStr">
        <is>
          <t>evidence_batch_015_150</t>
        </is>
      </c>
      <c r="J106" s="2" t="inlineStr">
        <is>
          <t>ISSUE-0082; ISSUE-0083; ISSUE-0084; ISSUE-0085; ISSUE-0086</t>
        </is>
      </c>
    </row>
    <row r="107" ht="42" customHeight="1">
      <c r="A107" s="3" t="inlineStr">
        <is>
          <t>jeminise.com+fox-patchwork-pattern-quilt-set-animal-quilt-set-patchwork-style</t>
        </is>
      </c>
      <c r="B107" s="3" t="inlineStr">
        <is>
          <t>T2</t>
        </is>
      </c>
      <c r="C107" s="3" t="n">
        <v>5</v>
      </c>
      <c r="D107" s="3" t="inlineStr">
        <is>
          <t>PARTIAL</t>
        </is>
      </c>
      <c r="E107" s="7">
        <f>IF(B107="I1",AVERAGEIF('QA_Images'!$A$2:$A$58,A107,'QA_Images'!$T$2:$T$58)/100,IF(D107="FULL",1,IF(D107="PARTIAL",0.5,IF(D107="FAIL",0,""))))</f>
        <v/>
      </c>
      <c r="F107" s="7">
        <f>IF(E107="",0,C107*E107)</f>
        <v/>
      </c>
      <c r="G107" s="7">
        <f>IF(B107="I1",20*AVERAGEIF('QA_Images'!$A$2:$A$58,A107,'QA_Images'!$U$2:$U$58)/100,IF(D107="NOT_CHECKED",0,C107))</f>
        <v/>
      </c>
      <c r="H107" s="3" t="inlineStr">
        <is>
          <t>Meta description is concise, publish-ready and avoids unsupported claims. Meta description checked for length, specificity and supportable claims.</t>
        </is>
      </c>
      <c r="I107" s="3" t="inlineStr">
        <is>
          <t>evidence_batch_015_150</t>
        </is>
      </c>
      <c r="J107" s="3" t="inlineStr">
        <is>
          <t>ISSUE-0082; ISSUE-0083; ISSUE-0084; ISSUE-0085; ISSUE-0086</t>
        </is>
      </c>
    </row>
    <row r="108" ht="42" customHeight="1">
      <c r="A108" s="2" t="inlineStr">
        <is>
          <t>jeminise.com+fox-patchwork-pattern-quilt-set-animal-quilt-set-patchwork-style</t>
        </is>
      </c>
      <c r="B108" s="2" t="inlineStr">
        <is>
          <t>D1</t>
        </is>
      </c>
      <c r="C108" s="2" t="n">
        <v>10</v>
      </c>
      <c r="D108" s="2" t="inlineStr">
        <is>
          <t>FAIL</t>
        </is>
      </c>
      <c r="E108" s="5">
        <f>IF(B108="I1",AVERAGEIF('QA_Images'!$A$2:$A$58,A108,'QA_Images'!$T$2:$T$58)/100,IF(D108="FULL",1,IF(D108="PARTIAL",0.5,IF(D108="FAIL",0,""))))</f>
        <v/>
      </c>
      <c r="F108" s="5">
        <f>IF(E108="",0,C108*E108)</f>
        <v/>
      </c>
      <c r="G108" s="5">
        <f>IF(B108="I1",20*AVERAGEIF('QA_Images'!$A$2:$A$58,A108,'QA_Images'!$U$2:$U$58)/100,IF(D108="NOT_CHECKED",0,C108))</f>
        <v/>
      </c>
      <c r="H108" s="2" t="inlineStr">
        <is>
          <t>Description HTML is publish-ready and free of internal draft/QA instructions. Description HTML still contains internal QA/import language.</t>
        </is>
      </c>
      <c r="I108" s="2" t="inlineStr">
        <is>
          <t>evidence_batch_015_150</t>
        </is>
      </c>
      <c r="J108" s="2" t="inlineStr">
        <is>
          <t>ISSUE-0082; ISSUE-0083; ISSUE-0084; ISSUE-0085; ISSUE-0086</t>
        </is>
      </c>
    </row>
    <row r="109" ht="42" customHeight="1">
      <c r="A109" s="3" t="inlineStr">
        <is>
          <t>jeminise.com+fox-patchwork-pattern-quilt-set-animal-quilt-set-patchwork-style</t>
        </is>
      </c>
      <c r="B109" s="3" t="inlineStr">
        <is>
          <t>D2</t>
        </is>
      </c>
      <c r="C109" s="3" t="n">
        <v>5</v>
      </c>
      <c r="D109" s="3" t="inlineStr">
        <is>
          <t>PARTIAL</t>
        </is>
      </c>
      <c r="E109" s="7">
        <f>IF(B109="I1",AVERAGEIF('QA_Images'!$A$2:$A$58,A109,'QA_Images'!$T$2:$T$58)/100,IF(D109="FULL",1,IF(D109="PARTIAL",0.5,IF(D109="FAIL",0,""))))</f>
        <v/>
      </c>
      <c r="F109" s="7">
        <f>IF(E109="",0,C109*E109)</f>
        <v/>
      </c>
      <c r="G109" s="7">
        <f>IF(B109="I1",20*AVERAGEIF('QA_Images'!$A$2:$A$58,A109,'QA_Images'!$U$2:$U$58)/100,IF(D109="NOT_CHECKED",0,C109))</f>
        <v/>
      </c>
      <c r="H109" s="3" t="inlineStr">
        <is>
          <t>Description content covers verified design, product type, use case and constraints. Description covers motif/product type but remains templated and does not always map every verified constraint.</t>
        </is>
      </c>
      <c r="I109" s="3" t="inlineStr">
        <is>
          <t>evidence_batch_015_150</t>
        </is>
      </c>
      <c r="J109" s="3" t="inlineStr">
        <is>
          <t>ISSUE-0082; ISSUE-0083; ISSUE-0084; ISSUE-0085; ISSUE-0086</t>
        </is>
      </c>
    </row>
    <row r="110" ht="42" customHeight="1">
      <c r="A110" s="2" t="inlineStr">
        <is>
          <t>jeminise.com+fox-patchwork-pattern-quilt-set-animal-quilt-set-patchwork-style</t>
        </is>
      </c>
      <c r="B110" s="2" t="inlineStr">
        <is>
          <t>I1</t>
        </is>
      </c>
      <c r="C110" s="2" t="n">
        <v>20</v>
      </c>
      <c r="D110" s="2" t="inlineStr">
        <is>
          <t>FULL</t>
        </is>
      </c>
      <c r="E110" s="5">
        <f>IF(B110="I1",AVERAGEIF('QA_Images'!$A$2:$A$58,A110,'QA_Images'!$T$2:$T$58)/100,IF(D110="FULL",1,IF(D110="PARTIAL",0.5,IF(D110="FAIL",0,""))))</f>
        <v/>
      </c>
      <c r="F110" s="5">
        <f>IF(E110="",0,C110*E110)</f>
        <v/>
      </c>
      <c r="G110" s="5">
        <f>IF(B110="I1",20*AVERAGEIF('QA_Images'!$A$2:$A$58,A110,'QA_Images'!$U$2:$U$58)/100,IF(D110="NOT_CHECKED",0,C110))</f>
        <v/>
      </c>
      <c r="H110" s="2" t="inlineStr">
        <is>
          <t>Image coverage, image observations and alt text quality, derived from QA_Images. Derived from average image QA score; see QA_Images.</t>
        </is>
      </c>
      <c r="I110" s="2" t="inlineStr">
        <is>
          <t>evidence_batch_015_150</t>
        </is>
      </c>
      <c r="J110" s="2" t="inlineStr">
        <is>
          <t>ISSUE-0082; ISSUE-0083; ISSUE-0084; ISSUE-0085; ISSUE-0086</t>
        </is>
      </c>
    </row>
    <row r="111" ht="42" customHeight="1">
      <c r="A111" s="3" t="inlineStr">
        <is>
          <t>jeminise.com+fox-patchwork-pattern-quilt-set-animal-quilt-set-patchwork-style</t>
        </is>
      </c>
      <c r="B111" s="3" t="inlineStr">
        <is>
          <t>E1</t>
        </is>
      </c>
      <c r="C111" s="3" t="n">
        <v>5</v>
      </c>
      <c r="D111" s="3" t="inlineStr">
        <is>
          <t>PARTIAL</t>
        </is>
      </c>
      <c r="E111" s="7">
        <f>IF(B111="I1",AVERAGEIF('QA_Images'!$A$2:$A$58,A111,'QA_Images'!$T$2:$T$58)/100,IF(D111="FULL",1,IF(D111="PARTIAL",0.5,IF(D111="FAIL",0,""))))</f>
        <v/>
      </c>
      <c r="F111" s="7">
        <f>IF(E111="",0,C111*E111)</f>
        <v/>
      </c>
      <c r="G111" s="7">
        <f>IF(B111="I1",20*AVERAGEIF('QA_Images'!$A$2:$A$58,A111,'QA_Images'!$U$2:$U$58)/100,IF(D111="NOT_CHECKED",0,C111))</f>
        <v/>
      </c>
      <c r="H111" s="3" t="inlineStr">
        <is>
          <t>Evidence chain is traceable and limitations are explicitly separated from failures. Evidence chain is traceable, with admin-export limitation explicitly separated.</t>
        </is>
      </c>
      <c r="I111" s="3" t="inlineStr">
        <is>
          <t>evidence_batch_015_150</t>
        </is>
      </c>
      <c r="J111" s="3" t="inlineStr">
        <is>
          <t>ISSUE-0082; ISSUE-0083; ISSUE-0084; ISSUE-0085; ISSUE-0086</t>
        </is>
      </c>
    </row>
  </sheetData>
  <autoFilter ref="A1:J111"/>
  <printOptions horizontalCentered="0"/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38" customWidth="1" min="3" max="3"/>
    <col width="38" customWidth="1" min="4" max="4"/>
    <col width="20" customWidth="1" min="5" max="5"/>
    <col width="38" customWidth="1" min="6" max="6"/>
    <col width="11" customWidth="1" min="7" max="7"/>
    <col width="16" customWidth="1" min="8" max="8"/>
    <col width="24" customWidth="1" min="9" max="9"/>
    <col width="24" customWidth="1" min="10" max="10"/>
    <col width="42" customWidth="1" min="11" max="11"/>
    <col width="42" customWidth="1" min="12" max="12"/>
    <col width="24" customWidth="1" min="13" max="13"/>
    <col width="12" customWidth="1" min="14" max="14"/>
    <col width="42" customWidth="1" min="15" max="15"/>
    <col width="11" customWidth="1" min="16" max="16"/>
    <col width="11" customWidth="1" min="17" max="17"/>
    <col width="11" customWidth="1" min="18" max="18"/>
    <col width="11" customWidth="1" min="19" max="19"/>
    <col width="24" customWidth="1" min="20" max="20"/>
    <col width="24" customWidth="1" min="21" max="21"/>
    <col width="21" customWidth="1" min="22" max="22"/>
    <col width="24" customWidth="1" min="23" max="23"/>
    <col width="24" customWidth="1" min="24" max="24"/>
    <col width="42" customWidth="1" min="25" max="25"/>
    <col width="42" customWidth="1" min="26" max="26"/>
  </cols>
  <sheetData>
    <row r="1" ht="32" customHeight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workbook_image_id</t>
        </is>
      </c>
      <c r="G1" s="1" t="inlineStr">
        <is>
          <t>variant</t>
        </is>
      </c>
      <c r="H1" s="1" t="inlineStr">
        <is>
          <t>image_location</t>
        </is>
      </c>
      <c r="I1" s="1" t="inlineStr">
        <is>
          <t>check_method</t>
        </is>
      </c>
      <c r="J1" s="1" t="inlineStr">
        <is>
          <t>checked_at</t>
        </is>
      </c>
      <c r="K1" s="1" t="inlineStr">
        <is>
          <t>qa_observation</t>
        </is>
      </c>
      <c r="L1" s="1" t="inlineStr">
        <is>
          <t>submitted_observation</t>
        </is>
      </c>
      <c r="M1" s="1" t="inlineStr">
        <is>
          <t>storefront_alt_observed</t>
        </is>
      </c>
      <c r="N1" s="1" t="inlineStr">
        <is>
          <t>alt_action</t>
        </is>
      </c>
      <c r="O1" s="1" t="inlineStr">
        <is>
          <t>alt_effective</t>
        </is>
      </c>
      <c r="P1" s="1" t="inlineStr">
        <is>
          <t>IM1</t>
        </is>
      </c>
      <c r="Q1" s="1" t="inlineStr">
        <is>
          <t>IM2</t>
        </is>
      </c>
      <c r="R1" s="1" t="inlineStr">
        <is>
          <t>IM3</t>
        </is>
      </c>
      <c r="S1" s="1" t="inlineStr">
        <is>
          <t>IM4</t>
        </is>
      </c>
      <c r="T1" s="1" t="inlineStr">
        <is>
          <t>image_verified_points</t>
        </is>
      </c>
      <c r="U1" s="1" t="inlineStr">
        <is>
          <t>image_assessed_weight</t>
        </is>
      </c>
      <c r="V1" s="1" t="inlineStr">
        <is>
          <t>image_final_score</t>
        </is>
      </c>
      <c r="W1" s="1" t="inlineStr">
        <is>
          <t>image_score_lower_bound</t>
        </is>
      </c>
      <c r="X1" s="1" t="inlineStr">
        <is>
          <t>image_score_upper_bound</t>
        </is>
      </c>
      <c r="Y1" s="1" t="inlineStr">
        <is>
          <t>issue_refs</t>
        </is>
      </c>
      <c r="Z1" s="1" t="inlineStr">
        <is>
          <t>evidence_refs</t>
        </is>
      </c>
    </row>
    <row r="2" ht="66" customHeight="1">
      <c r="A2" s="2" t="inlineStr">
        <is>
          <t>jeminise.com+fantasy-fire-dragon-comforter-set-with-glowing-lava-and-bedroom-setting-c7ca9ae893-c7ca9ae893</t>
        </is>
      </c>
      <c r="B2" s="2" t="inlineStr">
        <is>
          <t>img_3c71e664fc779390</t>
        </is>
      </c>
      <c r="C2" s="4" t="inlineStr">
        <is>
          <t>https://cdn.shopify.com/s/files/1/0792/5098/1063/files/c4d0fd722455bba238bd299b941b3a17d42c91a26bd18c6f1208c8a0c855db71.jpg?v=1785046575</t>
        </is>
      </c>
      <c r="D2" s="4" t="inlineStr">
        <is>
          <t>https://cdn.shopify.com/s/files/1/0792/5098/1063/files/c4d0fd722455bba238bd299b941b3a17d42c91a26bd18c6f1208c8a0c855db71.jpg?v=1785046575</t>
        </is>
      </c>
      <c r="E2" s="2" t="inlineStr">
        <is>
          <t>47531805311175</t>
        </is>
      </c>
      <c r="F2" s="2" t="inlineStr">
        <is>
          <t>47531805311175</t>
        </is>
      </c>
      <c r="G2" s="2" t="inlineStr"/>
      <c r="H2" s="2" t="inlineStr">
        <is>
          <t>GALLERY</t>
        </is>
      </c>
      <c r="I2" s="2" t="inlineStr">
        <is>
          <t>DIRECT_IMAGE_DOWNLOAD_AND_SOURCE_ROW_REVIEW</t>
        </is>
      </c>
      <c r="J2" s="2" t="inlineStr">
        <is>
          <t>2026-09-07T21:54:16+07:00</t>
        </is>
      </c>
      <c r="K2" s="2" t="inlineStr">
        <is>
          <t>Direct QA opened downloaded image 141_01; source SHA A209B236688BB77A4321CC666EDE4A68E64FF7405D2507ADBA8B9904DC8663CA. Submitted observation reviewed against gallery position.</t>
        </is>
      </c>
      <c r="L2" s="2" t="inlineStr">
        <is>
          <t>Main product mockup showing red fire dragon lava quilt set.</t>
        </is>
      </c>
      <c r="M2" s="2" t="inlineStr">
        <is>
          <t>UNKNOWN</t>
        </is>
      </c>
      <c r="N2" s="2" t="inlineStr">
        <is>
          <t>SET</t>
        </is>
      </c>
      <c r="O2" s="2" t="inlineStr">
        <is>
          <t>Red Fire Dragon Lava Quilt Set displayed in a main product mockup</t>
        </is>
      </c>
      <c r="P2" s="2" t="inlineStr">
        <is>
          <t>FULL</t>
        </is>
      </c>
      <c r="Q2" s="2" t="inlineStr">
        <is>
          <t>FULL</t>
        </is>
      </c>
      <c r="R2" s="2" t="inlineStr">
        <is>
          <t>PARTIAL</t>
        </is>
      </c>
      <c r="S2" s="2" t="inlineStr">
        <is>
          <t>FULL</t>
        </is>
      </c>
      <c r="T2" s="5">
        <f>IF(P2="FULL",40,IF(P2="PARTIAL",40/2,0))+IF(Q2="FULL",30,IF(Q2="PARTIAL",30/2,0))+IF(R2="FULL",20,IF(R2="PARTIAL",20/2,0))+IF(S2="FULL",10,IF(S2="PARTIAL",10/2,0))</f>
        <v/>
      </c>
      <c r="U2" s="5">
        <f>IF(P2="NOT_CHECKED",0,40)+IF(Q2="NOT_CHECKED",0,30)+IF(R2="NOT_CHECKED",0,20)+IF(S2="NOT_CHECKED",0,10)</f>
        <v/>
      </c>
      <c r="V2" s="5">
        <f>IF(U2=100,T2,"")</f>
        <v/>
      </c>
      <c r="W2" s="5">
        <f>T2</f>
        <v/>
      </c>
      <c r="X2" s="5">
        <f>T2+(100-U2)</f>
        <v/>
      </c>
      <c r="Y2" s="2" t="inlineStr">
        <is>
          <t>ISSUE-0007</t>
        </is>
      </c>
      <c r="Z2" s="2" t="inlineStr">
        <is>
          <t>D:\Shopify_Workspace\jeminise_seo\seo_runs\jeminise.com\20260906_234129\qa\20260907_214000\images\141_01.jpg; seo_runs\jeminise.com\20260906_234129\evidence\images\141_fantasy-fire-dragon-comforter-set-with-glowing-lava-and-bedroom-setting-c7ca9ae893-c7ca9ae893\image_01_47531805311175.jpg; seo_runs\jeminise.com\20260906_234129\evidence\contact_sheets\141_fantasy-fire-dragon-comforter-set-with-glowing-lava-and-bedroom-setting-c7ca9ae893-c7ca9ae893.jpg</t>
        </is>
      </c>
    </row>
    <row r="3" ht="66" customHeight="1">
      <c r="A3" s="3" t="inlineStr">
        <is>
          <t>jeminise.com+fantasy-fire-dragon-comforter-set-with-glowing-lava-and-bedroom-setting-c7ca9ae893-c7ca9ae893</t>
        </is>
      </c>
      <c r="B3" s="3" t="inlineStr">
        <is>
          <t>img_0337629a8b442546</t>
        </is>
      </c>
      <c r="C3" s="4" t="inlineStr">
        <is>
          <t>https://cdn.shopify.com/s/files/1/0792/5098/1063/files/f09df1eb9c381b597162462476a57f97246e4c07fc06b3d721f64d0bc64855de.jpg?v=1785046575</t>
        </is>
      </c>
      <c r="D3" s="4" t="inlineStr">
        <is>
          <t>https://cdn.shopify.com/s/files/1/0792/5098/1063/files/f09df1eb9c381b597162462476a57f97246e4c07fc06b3d721f64d0bc64855de.jpg?v=1785046575</t>
        </is>
      </c>
      <c r="E3" s="3" t="inlineStr">
        <is>
          <t>47531805343943</t>
        </is>
      </c>
      <c r="F3" s="3" t="inlineStr">
        <is>
          <t>47531805343943</t>
        </is>
      </c>
      <c r="G3" s="3" t="inlineStr"/>
      <c r="H3" s="3" t="inlineStr">
        <is>
          <t>GALLERY</t>
        </is>
      </c>
      <c r="I3" s="3" t="inlineStr">
        <is>
          <t>DIRECT_IMAGE_DOWNLOAD_AND_SOURCE_ROW_REVIEW</t>
        </is>
      </c>
      <c r="J3" s="3" t="inlineStr">
        <is>
          <t>2026-09-07T21:54:16+07:00</t>
        </is>
      </c>
      <c r="K3" s="3" t="inlineStr">
        <is>
          <t>Direct QA opened downloaded image 141_02; source SHA 7AA361EE209DC3483467CBBFB34AFBCFD25B80CC73262B9C74EE3D10147C87C2. Submitted observation reviewed against gallery position.</t>
        </is>
      </c>
      <c r="L3" s="3" t="inlineStr">
        <is>
          <t>Secondary flat, close-up or bedroom mockup showing red fire dragon lava quilt set.</t>
        </is>
      </c>
      <c r="M3" s="3" t="inlineStr">
        <is>
          <t>UNKNOWN</t>
        </is>
      </c>
      <c r="N3" s="3" t="inlineStr">
        <is>
          <t>SET</t>
        </is>
      </c>
      <c r="O3" s="3" t="inlineStr">
        <is>
          <t>Secondary mockup or close-up of Red Fire Dragon Lava Quilt Set</t>
        </is>
      </c>
      <c r="P3" s="3" t="inlineStr">
        <is>
          <t>FULL</t>
        </is>
      </c>
      <c r="Q3" s="3" t="inlineStr">
        <is>
          <t>FULL</t>
        </is>
      </c>
      <c r="R3" s="3" t="inlineStr">
        <is>
          <t>FULL</t>
        </is>
      </c>
      <c r="S3" s="3" t="inlineStr">
        <is>
          <t>FULL</t>
        </is>
      </c>
      <c r="T3" s="7">
        <f>IF(P3="FULL",40,IF(P3="PARTIAL",40/2,0))+IF(Q3="FULL",30,IF(Q3="PARTIAL",30/2,0))+IF(R3="FULL",20,IF(R3="PARTIAL",20/2,0))+IF(S3="FULL",10,IF(S3="PARTIAL",10/2,0))</f>
        <v/>
      </c>
      <c r="U3" s="7">
        <f>IF(P3="NOT_CHECKED",0,40)+IF(Q3="NOT_CHECKED",0,30)+IF(R3="NOT_CHECKED",0,20)+IF(S3="NOT_CHECKED",0,10)</f>
        <v/>
      </c>
      <c r="V3" s="7">
        <f>IF(U3=100,T3,"")</f>
        <v/>
      </c>
      <c r="W3" s="7">
        <f>T3</f>
        <v/>
      </c>
      <c r="X3" s="7">
        <f>T3+(100-U3)</f>
        <v/>
      </c>
      <c r="Y3" s="3" t="inlineStr"/>
      <c r="Z3" s="3" t="inlineStr">
        <is>
          <t>D:\Shopify_Workspace\jeminise_seo\seo_runs\jeminise.com\20260906_234129\qa\20260907_214000\images\141_02.jpg; seo_runs\jeminise.com\20260906_234129\evidence\images\141_fantasy-fire-dragon-comforter-set-with-glowing-lava-and-bedroom-setting-c7ca9ae893-c7ca9ae893\image_02_47531805343943.jpg; seo_runs\jeminise.com\20260906_234129\evidence\contact_sheets\141_fantasy-fire-dragon-comforter-set-with-glowing-lava-and-bedroom-setting-c7ca9ae893-c7ca9ae893.jpg</t>
        </is>
      </c>
    </row>
    <row r="4" ht="66" customHeight="1">
      <c r="A4" s="2" t="inlineStr">
        <is>
          <t>jeminise.com+fantasy-fire-dragon-comforter-set-with-glowing-lava-and-bedroom-setting-c7ca9ae893-c7ca9ae893</t>
        </is>
      </c>
      <c r="B4" s="2" t="inlineStr">
        <is>
          <t>img_4c97f2585d7a9c38</t>
        </is>
      </c>
      <c r="C4" s="4" t="inlineStr">
        <is>
          <t>https://cdn.shopify.com/s/files/1/0792/5098/1063/files/b2c6bd3e9c7f7e57cdd3687e983bfe44375c5813193290cea46f99c5e92a94e5.jpg?v=1785046575</t>
        </is>
      </c>
      <c r="D4" s="4" t="inlineStr">
        <is>
          <t>https://cdn.shopify.com/s/files/1/0792/5098/1063/files/b2c6bd3e9c7f7e57cdd3687e983bfe44375c5813193290cea46f99c5e92a94e5.jpg?v=1785046575</t>
        </is>
      </c>
      <c r="E4" s="2" t="inlineStr">
        <is>
          <t>47531805376711</t>
        </is>
      </c>
      <c r="F4" s="2" t="inlineStr">
        <is>
          <t>47531805376711</t>
        </is>
      </c>
      <c r="G4" s="2" t="inlineStr"/>
      <c r="H4" s="2" t="inlineStr">
        <is>
          <t>GALLERY</t>
        </is>
      </c>
      <c r="I4" s="2" t="inlineStr">
        <is>
          <t>DIRECT_IMAGE_DOWNLOAD_AND_SOURCE_ROW_REVIEW</t>
        </is>
      </c>
      <c r="J4" s="2" t="inlineStr">
        <is>
          <t>2026-09-07T21:54:16+07:00</t>
        </is>
      </c>
      <c r="K4" s="2" t="inlineStr">
        <is>
          <t>Direct QA opened downloaded image 141_03; source SHA 21B92BD9A202E1C8C8EF1B6030C6B0BB5F82D63980CABB1DAB0E4EC47FA4BEF0. Submitted observation reviewed against gallery position.</t>
        </is>
      </c>
      <c r="L4" s="2" t="inlineStr">
        <is>
          <t>Bedding type, feature, lifestyle or material image for red fire dragon lava quilt set.</t>
        </is>
      </c>
      <c r="M4" s="2" t="inlineStr">
        <is>
          <t>UNKNOWN</t>
        </is>
      </c>
      <c r="N4" s="2" t="inlineStr">
        <is>
          <t>SET</t>
        </is>
      </c>
      <c r="O4" s="2" t="inlineStr">
        <is>
          <t>Product pillow or lifestyle image for Red Fire Dragon Lava Quilt Set</t>
        </is>
      </c>
      <c r="P4" s="2" t="inlineStr">
        <is>
          <t>FULL</t>
        </is>
      </c>
      <c r="Q4" s="2" t="inlineStr">
        <is>
          <t>PARTIAL</t>
        </is>
      </c>
      <c r="R4" s="2" t="inlineStr">
        <is>
          <t>FULL</t>
        </is>
      </c>
      <c r="S4" s="2" t="inlineStr">
        <is>
          <t>FULL</t>
        </is>
      </c>
      <c r="T4" s="5">
        <f>IF(P4="FULL",40,IF(P4="PARTIAL",40/2,0))+IF(Q4="FULL",30,IF(Q4="PARTIAL",30/2,0))+IF(R4="FULL",20,IF(R4="PARTIAL",20/2,0))+IF(S4="FULL",10,IF(S4="PARTIAL",10/2,0))</f>
        <v/>
      </c>
      <c r="U4" s="5">
        <f>IF(P4="NOT_CHECKED",0,40)+IF(Q4="NOT_CHECKED",0,30)+IF(R4="NOT_CHECKED",0,20)+IF(S4="NOT_CHECKED",0,10)</f>
        <v/>
      </c>
      <c r="V4" s="5">
        <f>IF(U4=100,T4,"")</f>
        <v/>
      </c>
      <c r="W4" s="5">
        <f>T4</f>
        <v/>
      </c>
      <c r="X4" s="5">
        <f>T4+(100-U4)</f>
        <v/>
      </c>
      <c r="Y4" s="2" t="inlineStr">
        <is>
          <t>ISSUE-0008</t>
        </is>
      </c>
      <c r="Z4" s="2" t="inlineStr">
        <is>
          <t>D:\Shopify_Workspace\jeminise_seo\seo_runs\jeminise.com\20260906_234129\qa\20260907_214000\images\141_03.jpg; seo_runs\jeminise.com\20260906_234129\evidence\images\141_fantasy-fire-dragon-comforter-set-with-glowing-lava-and-bedroom-setting-c7ca9ae893-c7ca9ae893\image_03_47531805376711.jpg; seo_runs\jeminise.com\20260906_234129\evidence\contact_sheets\141_fantasy-fire-dragon-comforter-set-with-glowing-lava-and-bedroom-setting-c7ca9ae893-c7ca9ae893.jpg</t>
        </is>
      </c>
    </row>
    <row r="5" ht="66" customHeight="1">
      <c r="A5" s="3" t="inlineStr">
        <is>
          <t>jeminise.com+fantasy-fire-dragon-comforter-set-with-glowing-lava-and-bedroom-setting-c7ca9ae893-c7ca9ae893</t>
        </is>
      </c>
      <c r="B5" s="3" t="inlineStr">
        <is>
          <t>img_0a197b4a8d2c0d31</t>
        </is>
      </c>
      <c r="C5" s="4" t="inlineStr">
        <is>
          <t>https://cdn.shopify.com/s/files/1/0792/5098/1063/files/fe57b5826ec2d6c98cd7be8065d8fa25e380acda4678fa02dd4184764eadd193.jpg?v=1785046575</t>
        </is>
      </c>
      <c r="D5" s="4" t="inlineStr">
        <is>
          <t>https://cdn.shopify.com/s/files/1/0792/5098/1063/files/fe57b5826ec2d6c98cd7be8065d8fa25e380acda4678fa02dd4184764eadd193.jpg?v=1785046575</t>
        </is>
      </c>
      <c r="E5" s="3" t="inlineStr">
        <is>
          <t>47531805409479</t>
        </is>
      </c>
      <c r="F5" s="3" t="inlineStr">
        <is>
          <t>47531805409479</t>
        </is>
      </c>
      <c r="G5" s="3" t="inlineStr"/>
      <c r="H5" s="3" t="inlineStr">
        <is>
          <t>GALLERY</t>
        </is>
      </c>
      <c r="I5" s="3" t="inlineStr">
        <is>
          <t>DIRECT_IMAGE_DOWNLOAD_AND_SOURCE_ROW_REVIEW</t>
        </is>
      </c>
      <c r="J5" s="3" t="inlineStr">
        <is>
          <t>2026-09-07T21:54:16+07:00</t>
        </is>
      </c>
      <c r="K5" s="3" t="inlineStr">
        <is>
          <t>Direct QA opened downloaded image 141_04; source SHA 59178576238758D49812C9D7C91A0B95D4F37788B3BB8CBD136B503812D52C91. Submitted observation reviewed against gallery position.</t>
        </is>
      </c>
      <c r="L5" s="3" t="inlineStr">
        <is>
          <t>Detail, feature panel or lifestyle image connected to red fire dragon lava quilt set.</t>
        </is>
      </c>
      <c r="M5" s="3" t="inlineStr">
        <is>
          <t>UNKNOWN</t>
        </is>
      </c>
      <c r="N5" s="3" t="inlineStr">
        <is>
          <t>SET</t>
        </is>
      </c>
      <c r="O5" s="3" t="inlineStr">
        <is>
          <t>Lifestyle room mockup for Red Fire Dragon Lava Quilt Set</t>
        </is>
      </c>
      <c r="P5" s="3" t="inlineStr">
        <is>
          <t>FULL</t>
        </is>
      </c>
      <c r="Q5" s="3" t="inlineStr">
        <is>
          <t>PARTIAL</t>
        </is>
      </c>
      <c r="R5" s="3" t="inlineStr">
        <is>
          <t>FULL</t>
        </is>
      </c>
      <c r="S5" s="3" t="inlineStr">
        <is>
          <t>FULL</t>
        </is>
      </c>
      <c r="T5" s="7">
        <f>IF(P5="FULL",40,IF(P5="PARTIAL",40/2,0))+IF(Q5="FULL",30,IF(Q5="PARTIAL",30/2,0))+IF(R5="FULL",20,IF(R5="PARTIAL",20/2,0))+IF(S5="FULL",10,IF(S5="PARTIAL",10/2,0))</f>
        <v/>
      </c>
      <c r="U5" s="7">
        <f>IF(P5="NOT_CHECKED",0,40)+IF(Q5="NOT_CHECKED",0,30)+IF(R5="NOT_CHECKED",0,20)+IF(S5="NOT_CHECKED",0,10)</f>
        <v/>
      </c>
      <c r="V5" s="7">
        <f>IF(U5=100,T5,"")</f>
        <v/>
      </c>
      <c r="W5" s="7">
        <f>T5</f>
        <v/>
      </c>
      <c r="X5" s="7">
        <f>T5+(100-U5)</f>
        <v/>
      </c>
      <c r="Y5" s="3" t="inlineStr">
        <is>
          <t>ISSUE-0009</t>
        </is>
      </c>
      <c r="Z5" s="3" t="inlineStr">
        <is>
          <t>D:\Shopify_Workspace\jeminise_seo\seo_runs\jeminise.com\20260906_234129\qa\20260907_214000\images\141_04.jpg; seo_runs\jeminise.com\20260906_234129\evidence\images\141_fantasy-fire-dragon-comforter-set-with-glowing-lava-and-bedroom-setting-c7ca9ae893-c7ca9ae893\image_04_47531805409479.jpg; seo_runs\jeminise.com\20260906_234129\evidence\contact_sheets\141_fantasy-fire-dragon-comforter-set-with-glowing-lava-and-bedroom-setting-c7ca9ae893-c7ca9ae893.jpg</t>
        </is>
      </c>
    </row>
    <row r="6" ht="66" customHeight="1">
      <c r="A6" s="2" t="inlineStr">
        <is>
          <t>jeminise.com+fantasy-fire-dragon-comforter-set-with-glowing-lava-and-bedroom-setting-c7ca9ae893-c7ca9ae893</t>
        </is>
      </c>
      <c r="B6" s="2" t="inlineStr">
        <is>
          <t>img_99aded8c7b5259cd</t>
        </is>
      </c>
      <c r="C6" s="4" t="inlineStr">
        <is>
          <t>https://cdn.shopify.com/s/files/1/0792/5098/1063/files/13ca346a65b97208e6bea0169897bc90ded4dc1afe3b20713f75ccbb77634e18.jpg?v=1785046575</t>
        </is>
      </c>
      <c r="D6" s="4" t="inlineStr">
        <is>
          <t>https://cdn.shopify.com/s/files/1/0792/5098/1063/files/13ca346a65b97208e6bea0169897bc90ded4dc1afe3b20713f75ccbb77634e18.jpg?v=1785046575</t>
        </is>
      </c>
      <c r="E6" s="2" t="inlineStr">
        <is>
          <t>47531805442247</t>
        </is>
      </c>
      <c r="F6" s="2" t="inlineStr">
        <is>
          <t>47531805442247</t>
        </is>
      </c>
      <c r="G6" s="2" t="inlineStr"/>
      <c r="H6" s="2" t="inlineStr">
        <is>
          <t>GALLERY</t>
        </is>
      </c>
      <c r="I6" s="2" t="inlineStr">
        <is>
          <t>DIRECT_IMAGE_DOWNLOAD_AND_SOURCE_ROW_REVIEW</t>
        </is>
      </c>
      <c r="J6" s="2" t="inlineStr">
        <is>
          <t>2026-09-07T21:54:16+07:00</t>
        </is>
      </c>
      <c r="K6" s="2" t="inlineStr">
        <is>
          <t>Direct QA opened downloaded image 141_05; source SHA BC9DECB013FDF35BBB917045F4AB0505D71CC49E533EDD8CA6D59C20A91A313D. Submitted observation reviewed against gallery position.</t>
        </is>
      </c>
      <c r="L6" s="2" t="inlineStr">
        <is>
          <t>Additional mockup, care or size information for red fire dragon lava quilt set.</t>
        </is>
      </c>
      <c r="M6" s="2" t="inlineStr">
        <is>
          <t>UNKNOWN</t>
        </is>
      </c>
      <c r="N6" s="2" t="inlineStr">
        <is>
          <t>SET</t>
        </is>
      </c>
      <c r="O6" s="2" t="inlineStr">
        <is>
          <t>Size, set contents or product feature image for Red Fire Dragon Lava Quilt Set</t>
        </is>
      </c>
      <c r="P6" s="2" t="inlineStr">
        <is>
          <t>FULL</t>
        </is>
      </c>
      <c r="Q6" s="2" t="inlineStr">
        <is>
          <t>FULL</t>
        </is>
      </c>
      <c r="R6" s="2" t="inlineStr">
        <is>
          <t>FULL</t>
        </is>
      </c>
      <c r="S6" s="2" t="inlineStr">
        <is>
          <t>FULL</t>
        </is>
      </c>
      <c r="T6" s="5">
        <f>IF(P6="FULL",40,IF(P6="PARTIAL",40/2,0))+IF(Q6="FULL",30,IF(Q6="PARTIAL",30/2,0))+IF(R6="FULL",20,IF(R6="PARTIAL",20/2,0))+IF(S6="FULL",10,IF(S6="PARTIAL",10/2,0))</f>
        <v/>
      </c>
      <c r="U6" s="5">
        <f>IF(P6="NOT_CHECKED",0,40)+IF(Q6="NOT_CHECKED",0,30)+IF(R6="NOT_CHECKED",0,20)+IF(S6="NOT_CHECKED",0,10)</f>
        <v/>
      </c>
      <c r="V6" s="5">
        <f>IF(U6=100,T6,"")</f>
        <v/>
      </c>
      <c r="W6" s="5">
        <f>T6</f>
        <v/>
      </c>
      <c r="X6" s="5">
        <f>T6+(100-U6)</f>
        <v/>
      </c>
      <c r="Y6" s="2" t="inlineStr"/>
      <c r="Z6" s="2" t="inlineStr">
        <is>
          <t>D:\Shopify_Workspace\jeminise_seo\seo_runs\jeminise.com\20260906_234129\qa\20260907_214000\images\141_05.jpg; seo_runs\jeminise.com\20260906_234129\evidence\images\141_fantasy-fire-dragon-comforter-set-with-glowing-lava-and-bedroom-setting-c7ca9ae893-c7ca9ae893\image_05_47531805442247.jpg; seo_runs\jeminise.com\20260906_234129\evidence\contact_sheets\141_fantasy-fire-dragon-comforter-set-with-glowing-lava-and-bedroom-setting-c7ca9ae893-c7ca9ae893.jpg</t>
        </is>
      </c>
    </row>
    <row r="7" ht="66" customHeight="1">
      <c r="A7" s="3" t="inlineStr">
        <is>
          <t>jeminise.com+fantasy-mythical-dragon-comforter-set-with-winged-dragon-and-bedroom-setting-bcfc28e9d3-bcfc28e9d3</t>
        </is>
      </c>
      <c r="B7" s="3" t="inlineStr">
        <is>
          <t>img_e415dacec766e31e</t>
        </is>
      </c>
      <c r="C7" s="4" t="inlineStr">
        <is>
          <t>https://cdn.shopify.com/s/files/1/0792/5098/1063/files/eae477fdaa97e3fdca2ab3391d0017b16b984464bea16f0ed965f5f3ba5c7467.jpg?v=1785046274</t>
        </is>
      </c>
      <c r="D7" s="4" t="inlineStr">
        <is>
          <t>https://cdn.shopify.com/s/files/1/0792/5098/1063/files/eae477fdaa97e3fdca2ab3391d0017b16b984464bea16f0ed965f5f3ba5c7467.jpg?v=1785046274</t>
        </is>
      </c>
      <c r="E7" s="3" t="inlineStr">
        <is>
          <t>47531748327623</t>
        </is>
      </c>
      <c r="F7" s="3" t="inlineStr">
        <is>
          <t>47531748327623</t>
        </is>
      </c>
      <c r="G7" s="3" t="inlineStr"/>
      <c r="H7" s="3" t="inlineStr">
        <is>
          <t>GALLERY</t>
        </is>
      </c>
      <c r="I7" s="3" t="inlineStr">
        <is>
          <t>DIRECT_IMAGE_DOWNLOAD_AND_SOURCE_ROW_REVIEW</t>
        </is>
      </c>
      <c r="J7" s="3" t="inlineStr">
        <is>
          <t>2026-09-07T21:54:16+07:00</t>
        </is>
      </c>
      <c r="K7" s="3" t="inlineStr">
        <is>
          <t>Direct QA opened downloaded image 142_01; source SHA BF64EF4A12370DB6CC93C52A8CBB82B5057E60F121081E41037D29A1A7622CD3. Submitted observation reviewed against gallery position.</t>
        </is>
      </c>
      <c r="L7" s="3" t="inlineStr">
        <is>
          <t>Main product mockup showing teal winged mythical dragon quilt set.</t>
        </is>
      </c>
      <c r="M7" s="3" t="inlineStr">
        <is>
          <t>UNKNOWN</t>
        </is>
      </c>
      <c r="N7" s="3" t="inlineStr">
        <is>
          <t>SET</t>
        </is>
      </c>
      <c r="O7" s="3" t="inlineStr">
        <is>
          <t>Teal Winged Mythical Dragon Quilt displayed in a main product mockup</t>
        </is>
      </c>
      <c r="P7" s="3" t="inlineStr">
        <is>
          <t>FULL</t>
        </is>
      </c>
      <c r="Q7" s="3" t="inlineStr">
        <is>
          <t>FULL</t>
        </is>
      </c>
      <c r="R7" s="3" t="inlineStr">
        <is>
          <t>PARTIAL</t>
        </is>
      </c>
      <c r="S7" s="3" t="inlineStr">
        <is>
          <t>FULL</t>
        </is>
      </c>
      <c r="T7" s="7">
        <f>IF(P7="FULL",40,IF(P7="PARTIAL",40/2,0))+IF(Q7="FULL",30,IF(Q7="PARTIAL",30/2,0))+IF(R7="FULL",20,IF(R7="PARTIAL",20/2,0))+IF(S7="FULL",10,IF(S7="PARTIAL",10/2,0))</f>
        <v/>
      </c>
      <c r="U7" s="7">
        <f>IF(P7="NOT_CHECKED",0,40)+IF(Q7="NOT_CHECKED",0,30)+IF(R7="NOT_CHECKED",0,20)+IF(S7="NOT_CHECKED",0,10)</f>
        <v/>
      </c>
      <c r="V7" s="7">
        <f>IF(U7=100,T7,"")</f>
        <v/>
      </c>
      <c r="W7" s="7">
        <f>T7</f>
        <v/>
      </c>
      <c r="X7" s="7">
        <f>T7+(100-U7)</f>
        <v/>
      </c>
      <c r="Y7" s="3" t="inlineStr">
        <is>
          <t>ISSUE-0016</t>
        </is>
      </c>
      <c r="Z7" s="3" t="inlineStr">
        <is>
          <t>D:\Shopify_Workspace\jeminise_seo\seo_runs\jeminise.com\20260906_234129\qa\20260907_214000\images\142_01.jpg; seo_runs\jeminise.com\20260906_234129\evidence\images\142_fantasy-mythical-dragon-comforter-set-with-winged-dragon-and-bedroom-setting-bcfc28e9d3-bcfc28e9d3\image_01_47531748327623.jpg; seo_runs\jeminise.com\20260906_234129\evidence\contact_sheets\142_fantasy-mythical-dragon-comforter-set-with-winged-dragon-and-bedroom-setting-bcfc28e9d3-bcfc28e9d3.jpg</t>
        </is>
      </c>
    </row>
    <row r="8" ht="66" customHeight="1">
      <c r="A8" s="2" t="inlineStr">
        <is>
          <t>jeminise.com+fantasy-mythical-dragon-comforter-set-with-winged-dragon-and-bedroom-setting-bcfc28e9d3-bcfc28e9d3</t>
        </is>
      </c>
      <c r="B8" s="2" t="inlineStr">
        <is>
          <t>img_8c4737dab28da613</t>
        </is>
      </c>
      <c r="C8" s="4" t="inlineStr">
        <is>
          <t>https://cdn.shopify.com/s/files/1/0792/5098/1063/files/c59f0eee835c7b4f3cb36fdf8e0d437e7b3f3e4e5e8ce957e4e83f61677ad5e4.jpg?v=1785046273</t>
        </is>
      </c>
      <c r="D8" s="4" t="inlineStr">
        <is>
          <t>https://cdn.shopify.com/s/files/1/0792/5098/1063/files/c59f0eee835c7b4f3cb36fdf8e0d437e7b3f3e4e5e8ce957e4e83f61677ad5e4.jpg?v=1785046273</t>
        </is>
      </c>
      <c r="E8" s="2" t="inlineStr">
        <is>
          <t>47531748360391</t>
        </is>
      </c>
      <c r="F8" s="2" t="inlineStr">
        <is>
          <t>47531748360391</t>
        </is>
      </c>
      <c r="G8" s="2" t="inlineStr"/>
      <c r="H8" s="2" t="inlineStr">
        <is>
          <t>GALLERY</t>
        </is>
      </c>
      <c r="I8" s="2" t="inlineStr">
        <is>
          <t>DIRECT_IMAGE_DOWNLOAD_AND_SOURCE_ROW_REVIEW</t>
        </is>
      </c>
      <c r="J8" s="2" t="inlineStr">
        <is>
          <t>2026-09-07T21:54:16+07:00</t>
        </is>
      </c>
      <c r="K8" s="2" t="inlineStr">
        <is>
          <t>Direct QA opened downloaded image 142_02; source SHA EF6D9108F1403BE74DD3913133FF11BDB52E3FE85789AFCF342B9CD3EFE6BD74. Submitted observation reviewed against gallery position.</t>
        </is>
      </c>
      <c r="L8" s="2" t="inlineStr">
        <is>
          <t>Secondary flat, close-up or bedroom mockup showing teal winged mythical dragon quilt set.</t>
        </is>
      </c>
      <c r="M8" s="2" t="inlineStr">
        <is>
          <t>UNKNOWN</t>
        </is>
      </c>
      <c r="N8" s="2" t="inlineStr">
        <is>
          <t>SET</t>
        </is>
      </c>
      <c r="O8" s="2" t="inlineStr">
        <is>
          <t>Secondary mockup or close-up of Teal Winged Mythical Dragon Quilt</t>
        </is>
      </c>
      <c r="P8" s="2" t="inlineStr">
        <is>
          <t>FULL</t>
        </is>
      </c>
      <c r="Q8" s="2" t="inlineStr">
        <is>
          <t>FULL</t>
        </is>
      </c>
      <c r="R8" s="2" t="inlineStr">
        <is>
          <t>FULL</t>
        </is>
      </c>
      <c r="S8" s="2" t="inlineStr">
        <is>
          <t>FULL</t>
        </is>
      </c>
      <c r="T8" s="5">
        <f>IF(P8="FULL",40,IF(P8="PARTIAL",40/2,0))+IF(Q8="FULL",30,IF(Q8="PARTIAL",30/2,0))+IF(R8="FULL",20,IF(R8="PARTIAL",20/2,0))+IF(S8="FULL",10,IF(S8="PARTIAL",10/2,0))</f>
        <v/>
      </c>
      <c r="U8" s="5">
        <f>IF(P8="NOT_CHECKED",0,40)+IF(Q8="NOT_CHECKED",0,30)+IF(R8="NOT_CHECKED",0,20)+IF(S8="NOT_CHECKED",0,10)</f>
        <v/>
      </c>
      <c r="V8" s="5">
        <f>IF(U8=100,T8,"")</f>
        <v/>
      </c>
      <c r="W8" s="5">
        <f>T8</f>
        <v/>
      </c>
      <c r="X8" s="5">
        <f>T8+(100-U8)</f>
        <v/>
      </c>
      <c r="Y8" s="2" t="inlineStr"/>
      <c r="Z8" s="2" t="inlineStr">
        <is>
          <t>D:\Shopify_Workspace\jeminise_seo\seo_runs\jeminise.com\20260906_234129\qa\20260907_214000\images\142_02.jpg; seo_runs\jeminise.com\20260906_234129\evidence\images\142_fantasy-mythical-dragon-comforter-set-with-winged-dragon-and-bedroom-setting-bcfc28e9d3-bcfc28e9d3\image_02_47531748360391.jpg; seo_runs\jeminise.com\20260906_234129\evidence\contact_sheets\142_fantasy-mythical-dragon-comforter-set-with-winged-dragon-and-bedroom-setting-bcfc28e9d3-bcfc28e9d3.jpg</t>
        </is>
      </c>
    </row>
    <row r="9" ht="66" customHeight="1">
      <c r="A9" s="3" t="inlineStr">
        <is>
          <t>jeminise.com+fantasy-mythical-dragon-comforter-set-with-winged-dragon-and-bedroom-setting-bcfc28e9d3-bcfc28e9d3</t>
        </is>
      </c>
      <c r="B9" s="3" t="inlineStr">
        <is>
          <t>img_5c00d5d726f2c9e2</t>
        </is>
      </c>
      <c r="C9" s="4" t="inlineStr">
        <is>
          <t>https://cdn.shopify.com/s/files/1/0792/5098/1063/files/c9684a0dee9fa97e8e6c03ccbe71405e116e4882e73c703dff22e1ddca95c88c.jpg?v=1785046273</t>
        </is>
      </c>
      <c r="D9" s="4" t="inlineStr">
        <is>
          <t>https://cdn.shopify.com/s/files/1/0792/5098/1063/files/c9684a0dee9fa97e8e6c03ccbe71405e116e4882e73c703dff22e1ddca95c88c.jpg?v=1785046273</t>
        </is>
      </c>
      <c r="E9" s="3" t="inlineStr">
        <is>
          <t>47531748393159</t>
        </is>
      </c>
      <c r="F9" s="3" t="inlineStr">
        <is>
          <t>47531748393159</t>
        </is>
      </c>
      <c r="G9" s="3" t="inlineStr"/>
      <c r="H9" s="3" t="inlineStr">
        <is>
          <t>GALLERY</t>
        </is>
      </c>
      <c r="I9" s="3" t="inlineStr">
        <is>
          <t>DIRECT_IMAGE_DOWNLOAD_AND_SOURCE_ROW_REVIEW</t>
        </is>
      </c>
      <c r="J9" s="3" t="inlineStr">
        <is>
          <t>2026-09-07T21:54:16+07:00</t>
        </is>
      </c>
      <c r="K9" s="3" t="inlineStr">
        <is>
          <t>Direct QA opened downloaded image 142_03; source SHA 54013BEE8A162DC8D771B08CFDECF3C9843DFEF80F9C9777A16A9EB8F31456FD. Submitted observation reviewed against gallery position.</t>
        </is>
      </c>
      <c r="L9" s="3" t="inlineStr">
        <is>
          <t>Bedding type, feature, lifestyle or material image for teal winged mythical dragon quilt set.</t>
        </is>
      </c>
      <c r="M9" s="3" t="inlineStr">
        <is>
          <t>UNKNOWN</t>
        </is>
      </c>
      <c r="N9" s="3" t="inlineStr">
        <is>
          <t>SET</t>
        </is>
      </c>
      <c r="O9" s="3" t="inlineStr">
        <is>
          <t>Product pillow or lifestyle image for Teal Winged Mythical Dragon Quilt</t>
        </is>
      </c>
      <c r="P9" s="3" t="inlineStr">
        <is>
          <t>FULL</t>
        </is>
      </c>
      <c r="Q9" s="3" t="inlineStr">
        <is>
          <t>PARTIAL</t>
        </is>
      </c>
      <c r="R9" s="3" t="inlineStr">
        <is>
          <t>FULL</t>
        </is>
      </c>
      <c r="S9" s="3" t="inlineStr">
        <is>
          <t>FULL</t>
        </is>
      </c>
      <c r="T9" s="7">
        <f>IF(P9="FULL",40,IF(P9="PARTIAL",40/2,0))+IF(Q9="FULL",30,IF(Q9="PARTIAL",30/2,0))+IF(R9="FULL",20,IF(R9="PARTIAL",20/2,0))+IF(S9="FULL",10,IF(S9="PARTIAL",10/2,0))</f>
        <v/>
      </c>
      <c r="U9" s="7">
        <f>IF(P9="NOT_CHECKED",0,40)+IF(Q9="NOT_CHECKED",0,30)+IF(R9="NOT_CHECKED",0,20)+IF(S9="NOT_CHECKED",0,10)</f>
        <v/>
      </c>
      <c r="V9" s="7">
        <f>IF(U9=100,T9,"")</f>
        <v/>
      </c>
      <c r="W9" s="7">
        <f>T9</f>
        <v/>
      </c>
      <c r="X9" s="7">
        <f>T9+(100-U9)</f>
        <v/>
      </c>
      <c r="Y9" s="3" t="inlineStr">
        <is>
          <t>ISSUE-0017</t>
        </is>
      </c>
      <c r="Z9" s="3" t="inlineStr">
        <is>
          <t>D:\Shopify_Workspace\jeminise_seo\seo_runs\jeminise.com\20260906_234129\qa\20260907_214000\images\142_03.jpg; seo_runs\jeminise.com\20260906_234129\evidence\images\142_fantasy-mythical-dragon-comforter-set-with-winged-dragon-and-bedroom-setting-bcfc28e9d3-bcfc28e9d3\image_03_47531748393159.jpg; seo_runs\jeminise.com\20260906_234129\evidence\contact_sheets\142_fantasy-mythical-dragon-comforter-set-with-winged-dragon-and-bedroom-setting-bcfc28e9d3-bcfc28e9d3.jpg</t>
        </is>
      </c>
    </row>
    <row r="10" ht="66" customHeight="1">
      <c r="A10" s="2" t="inlineStr">
        <is>
          <t>jeminise.com+fantasy-mythical-dragon-comforter-set-with-winged-dragon-and-bedroom-setting-bcfc28e9d3-bcfc28e9d3</t>
        </is>
      </c>
      <c r="B10" s="2" t="inlineStr">
        <is>
          <t>img_002a9c7fb5e385af</t>
        </is>
      </c>
      <c r="C10" s="4" t="inlineStr">
        <is>
          <t>https://cdn.shopify.com/s/files/1/0792/5098/1063/files/707cd06e0b165da8d2e4821aef36d30ebc3f9b5fc6a484d9f07c0aff99c3dbbd.jpg?v=1785046273</t>
        </is>
      </c>
      <c r="D10" s="4" t="inlineStr">
        <is>
          <t>https://cdn.shopify.com/s/files/1/0792/5098/1063/files/707cd06e0b165da8d2e4821aef36d30ebc3f9b5fc6a484d9f07c0aff99c3dbbd.jpg?v=1785046273</t>
        </is>
      </c>
      <c r="E10" s="2" t="inlineStr">
        <is>
          <t>47531748425927</t>
        </is>
      </c>
      <c r="F10" s="2" t="inlineStr">
        <is>
          <t>47531748425927</t>
        </is>
      </c>
      <c r="G10" s="2" t="inlineStr"/>
      <c r="H10" s="2" t="inlineStr">
        <is>
          <t>GALLERY</t>
        </is>
      </c>
      <c r="I10" s="2" t="inlineStr">
        <is>
          <t>DIRECT_IMAGE_DOWNLOAD_AND_SOURCE_ROW_REVIEW</t>
        </is>
      </c>
      <c r="J10" s="2" t="inlineStr">
        <is>
          <t>2026-09-07T21:54:16+07:00</t>
        </is>
      </c>
      <c r="K10" s="2" t="inlineStr">
        <is>
          <t>Direct QA opened downloaded image 142_04; source SHA A9D74B95A966232D9CFFA3C9EA2F1901A22E1432EA6A09DE8C016BA9F6C5000A. Submitted observation reviewed against gallery position.</t>
        </is>
      </c>
      <c r="L10" s="2" t="inlineStr">
        <is>
          <t>Detail, feature panel or lifestyle image connected to teal winged mythical dragon quilt set.</t>
        </is>
      </c>
      <c r="M10" s="2" t="inlineStr">
        <is>
          <t>UNKNOWN</t>
        </is>
      </c>
      <c r="N10" s="2" t="inlineStr">
        <is>
          <t>SET</t>
        </is>
      </c>
      <c r="O10" s="2" t="inlineStr">
        <is>
          <t>Lifestyle room mockup for Teal Winged Mythical Dragon Quilt</t>
        </is>
      </c>
      <c r="P10" s="2" t="inlineStr">
        <is>
          <t>FULL</t>
        </is>
      </c>
      <c r="Q10" s="2" t="inlineStr">
        <is>
          <t>PARTIAL</t>
        </is>
      </c>
      <c r="R10" s="2" t="inlineStr">
        <is>
          <t>FULL</t>
        </is>
      </c>
      <c r="S10" s="2" t="inlineStr">
        <is>
          <t>FULL</t>
        </is>
      </c>
      <c r="T10" s="5">
        <f>IF(P10="FULL",40,IF(P10="PARTIAL",40/2,0))+IF(Q10="FULL",30,IF(Q10="PARTIAL",30/2,0))+IF(R10="FULL",20,IF(R10="PARTIAL",20/2,0))+IF(S10="FULL",10,IF(S10="PARTIAL",10/2,0))</f>
        <v/>
      </c>
      <c r="U10" s="5">
        <f>IF(P10="NOT_CHECKED",0,40)+IF(Q10="NOT_CHECKED",0,30)+IF(R10="NOT_CHECKED",0,20)+IF(S10="NOT_CHECKED",0,10)</f>
        <v/>
      </c>
      <c r="V10" s="5">
        <f>IF(U10=100,T10,"")</f>
        <v/>
      </c>
      <c r="W10" s="5">
        <f>T10</f>
        <v/>
      </c>
      <c r="X10" s="5">
        <f>T10+(100-U10)</f>
        <v/>
      </c>
      <c r="Y10" s="2" t="inlineStr">
        <is>
          <t>ISSUE-0018</t>
        </is>
      </c>
      <c r="Z10" s="2" t="inlineStr">
        <is>
          <t>D:\Shopify_Workspace\jeminise_seo\seo_runs\jeminise.com\20260906_234129\qa\20260907_214000\images\142_04.jpg; seo_runs\jeminise.com\20260906_234129\evidence\images\142_fantasy-mythical-dragon-comforter-set-with-winged-dragon-and-bedroom-setting-bcfc28e9d3-bcfc28e9d3\image_04_47531748425927.jpg; seo_runs\jeminise.com\20260906_234129\evidence\contact_sheets\142_fantasy-mythical-dragon-comforter-set-with-winged-dragon-and-bedroom-setting-bcfc28e9d3-bcfc28e9d3.jpg</t>
        </is>
      </c>
    </row>
    <row r="11" ht="66" customHeight="1">
      <c r="A11" s="3" t="inlineStr">
        <is>
          <t>jeminise.com+fantasy-mythical-dragon-comforter-set-with-winged-dragon-and-bedroom-setting-bcfc28e9d3-bcfc28e9d3</t>
        </is>
      </c>
      <c r="B11" s="3" t="inlineStr">
        <is>
          <t>img_02b1338a6b7cf869</t>
        </is>
      </c>
      <c r="C11" s="4" t="inlineStr">
        <is>
          <t>https://cdn.shopify.com/s/files/1/0792/5098/1063/files/89e1d45303a5c6161ad8d3ef6a05bdf3f647c4a7f35aa2be9df22b354c1dea8d.jpg?v=1785046273</t>
        </is>
      </c>
      <c r="D11" s="4" t="inlineStr">
        <is>
          <t>https://cdn.shopify.com/s/files/1/0792/5098/1063/files/89e1d45303a5c6161ad8d3ef6a05bdf3f647c4a7f35aa2be9df22b354c1dea8d.jpg?v=1785046273</t>
        </is>
      </c>
      <c r="E11" s="3" t="inlineStr">
        <is>
          <t>47531748458695</t>
        </is>
      </c>
      <c r="F11" s="3" t="inlineStr">
        <is>
          <t>47531748458695</t>
        </is>
      </c>
      <c r="G11" s="3" t="inlineStr"/>
      <c r="H11" s="3" t="inlineStr">
        <is>
          <t>GALLERY</t>
        </is>
      </c>
      <c r="I11" s="3" t="inlineStr">
        <is>
          <t>DIRECT_IMAGE_DOWNLOAD_AND_SOURCE_ROW_REVIEW</t>
        </is>
      </c>
      <c r="J11" s="3" t="inlineStr">
        <is>
          <t>2026-09-07T21:54:16+07:00</t>
        </is>
      </c>
      <c r="K11" s="3" t="inlineStr">
        <is>
          <t>Direct QA opened downloaded image 142_05; source SHA 918ECE52E53D9261BCA4811F38C87D374DBA94C73AC601CE347BE11C380240F3. Submitted observation reviewed against gallery position.</t>
        </is>
      </c>
      <c r="L11" s="3" t="inlineStr">
        <is>
          <t>Additional mockup, care or size information for teal winged mythical dragon quilt set.</t>
        </is>
      </c>
      <c r="M11" s="3" t="inlineStr">
        <is>
          <t>UNKNOWN</t>
        </is>
      </c>
      <c r="N11" s="3" t="inlineStr">
        <is>
          <t>SET</t>
        </is>
      </c>
      <c r="O11" s="3" t="inlineStr">
        <is>
          <t>Size, set contents or product feature image for Teal Winged Mythical Dragon Quilt</t>
        </is>
      </c>
      <c r="P11" s="3" t="inlineStr">
        <is>
          <t>FULL</t>
        </is>
      </c>
      <c r="Q11" s="3" t="inlineStr">
        <is>
          <t>FULL</t>
        </is>
      </c>
      <c r="R11" s="3" t="inlineStr">
        <is>
          <t>FULL</t>
        </is>
      </c>
      <c r="S11" s="3" t="inlineStr">
        <is>
          <t>FULL</t>
        </is>
      </c>
      <c r="T11" s="7">
        <f>IF(P11="FULL",40,IF(P11="PARTIAL",40/2,0))+IF(Q11="FULL",30,IF(Q11="PARTIAL",30/2,0))+IF(R11="FULL",20,IF(R11="PARTIAL",20/2,0))+IF(S11="FULL",10,IF(S11="PARTIAL",10/2,0))</f>
        <v/>
      </c>
      <c r="U11" s="7">
        <f>IF(P11="NOT_CHECKED",0,40)+IF(Q11="NOT_CHECKED",0,30)+IF(R11="NOT_CHECKED",0,20)+IF(S11="NOT_CHECKED",0,10)</f>
        <v/>
      </c>
      <c r="V11" s="7">
        <f>IF(U11=100,T11,"")</f>
        <v/>
      </c>
      <c r="W11" s="7">
        <f>T11</f>
        <v/>
      </c>
      <c r="X11" s="7">
        <f>T11+(100-U11)</f>
        <v/>
      </c>
      <c r="Y11" s="3" t="inlineStr"/>
      <c r="Z11" s="3" t="inlineStr">
        <is>
          <t>D:\Shopify_Workspace\jeminise_seo\seo_runs\jeminise.com\20260906_234129\qa\20260907_214000\images\142_05.jpg; seo_runs\jeminise.com\20260906_234129\evidence\images\142_fantasy-mythical-dragon-comforter-set-with-winged-dragon-and-bedroom-setting-bcfc28e9d3-bcfc28e9d3\image_05_47531748458695.jpg; seo_runs\jeminise.com\20260906_234129\evidence\contact_sheets\142_fantasy-mythical-dragon-comforter-set-with-winged-dragon-and-bedroom-setting-bcfc28e9d3-bcfc28e9d3.jpg</t>
        </is>
      </c>
    </row>
    <row r="12" ht="66" customHeight="1">
      <c r="A12" s="2" t="inlineStr">
        <is>
          <t>jeminise.com+fantasy-nature-tree-of-life-quilt-set-with-entwined-golden-roots-and-bedroom-setting-9ad124a9ad-9ad124a9ad</t>
        </is>
      </c>
      <c r="B12" s="2" t="inlineStr">
        <is>
          <t>img_6a56518ea830deae</t>
        </is>
      </c>
      <c r="C12" s="4" t="inlineStr">
        <is>
          <t>https://cdn.shopify.com/s/files/1/0792/5098/1063/files/e66d4264844973bf2fc3c9d45eddb2de13062133a35eb290dd2e57828457ae96.jpg?v=1785047641</t>
        </is>
      </c>
      <c r="D12" s="4" t="inlineStr">
        <is>
          <t>https://cdn.shopify.com/s/files/1/0792/5098/1063/files/e66d4264844973bf2fc3c9d45eddb2de13062133a35eb290dd2e57828457ae96.jpg?v=1785047641</t>
        </is>
      </c>
      <c r="E12" s="2" t="inlineStr">
        <is>
          <t>47532036194503</t>
        </is>
      </c>
      <c r="F12" s="2" t="inlineStr">
        <is>
          <t>47532036194503</t>
        </is>
      </c>
      <c r="G12" s="2" t="inlineStr"/>
      <c r="H12" s="2" t="inlineStr">
        <is>
          <t>GALLERY</t>
        </is>
      </c>
      <c r="I12" s="2" t="inlineStr">
        <is>
          <t>DIRECT_IMAGE_DOWNLOAD_AND_SOURCE_ROW_REVIEW</t>
        </is>
      </c>
      <c r="J12" s="2" t="inlineStr">
        <is>
          <t>2026-09-07T21:54:16+07:00</t>
        </is>
      </c>
      <c r="K12" s="2" t="inlineStr">
        <is>
          <t>Direct QA opened downloaded image 143_01; source SHA 91615167B0F0D0087C5B3E79B2EF7A482F68A3E96F4D8DD8A67C572CCAA52E6F. Submitted observation reviewed against gallery position.</t>
        </is>
      </c>
      <c r="L12" s="2" t="inlineStr">
        <is>
          <t>Main product mockup showing golden roots Tree of Life quilt set.</t>
        </is>
      </c>
      <c r="M12" s="2" t="inlineStr">
        <is>
          <t>UNKNOWN</t>
        </is>
      </c>
      <c r="N12" s="2" t="inlineStr">
        <is>
          <t>SET</t>
        </is>
      </c>
      <c r="O12" s="2" t="inlineStr">
        <is>
          <t>Golden Roots Tree of Life Quilt Set displayed in a main product mockup</t>
        </is>
      </c>
      <c r="P12" s="2" t="inlineStr">
        <is>
          <t>FULL</t>
        </is>
      </c>
      <c r="Q12" s="2" t="inlineStr">
        <is>
          <t>FULL</t>
        </is>
      </c>
      <c r="R12" s="2" t="inlineStr">
        <is>
          <t>PARTIAL</t>
        </is>
      </c>
      <c r="S12" s="2" t="inlineStr">
        <is>
          <t>FULL</t>
        </is>
      </c>
      <c r="T12" s="5">
        <f>IF(P12="FULL",40,IF(P12="PARTIAL",40/2,0))+IF(Q12="FULL",30,IF(Q12="PARTIAL",30/2,0))+IF(R12="FULL",20,IF(R12="PARTIAL",20/2,0))+IF(S12="FULL",10,IF(S12="PARTIAL",10/2,0))</f>
        <v/>
      </c>
      <c r="U12" s="5">
        <f>IF(P12="NOT_CHECKED",0,40)+IF(Q12="NOT_CHECKED",0,30)+IF(R12="NOT_CHECKED",0,20)+IF(S12="NOT_CHECKED",0,10)</f>
        <v/>
      </c>
      <c r="V12" s="5">
        <f>IF(U12=100,T12,"")</f>
        <v/>
      </c>
      <c r="W12" s="5">
        <f>T12</f>
        <v/>
      </c>
      <c r="X12" s="5">
        <f>T12+(100-U12)</f>
        <v/>
      </c>
      <c r="Y12" s="2" t="inlineStr">
        <is>
          <t>ISSUE-0024</t>
        </is>
      </c>
      <c r="Z12" s="2" t="inlineStr">
        <is>
          <t>D:\Shopify_Workspace\jeminise_seo\seo_runs\jeminise.com\20260906_234129\qa\20260907_214000\images\143_01.jpg; seo_runs\jeminise.com\20260906_234129\evidence\images\143_fantasy-nature-tree-of-life-quilt-set-with-entwined-golden-roots-and-bedroom-setting-9ad124a9ad-9ad124a9ad\image_01_47532036194503.jpg; seo_runs\jeminise.com\20260906_234129\evidence\contact_sheets\143_fantasy-nature-tree-of-life-quilt-set-with-entwined-golden-roots-and-bedroom-setting-9ad124a9ad-9ad124a9ad.jpg</t>
        </is>
      </c>
    </row>
    <row r="13" ht="66" customHeight="1">
      <c r="A13" s="3" t="inlineStr">
        <is>
          <t>jeminise.com+fantasy-nature-tree-of-life-quilt-set-with-entwined-golden-roots-and-bedroom-setting-9ad124a9ad-9ad124a9ad</t>
        </is>
      </c>
      <c r="B13" s="3" t="inlineStr">
        <is>
          <t>img_31237a1b5de7b00c</t>
        </is>
      </c>
      <c r="C13" s="4" t="inlineStr">
        <is>
          <t>https://cdn.shopify.com/s/files/1/0792/5098/1063/files/66fae33da5e9f587f60cb41f931caedb4c51ead1b330fb858f8b88ea46f7e22d.jpg?v=1785047642</t>
        </is>
      </c>
      <c r="D13" s="4" t="inlineStr">
        <is>
          <t>https://cdn.shopify.com/s/files/1/0792/5098/1063/files/66fae33da5e9f587f60cb41f931caedb4c51ead1b330fb858f8b88ea46f7e22d.jpg?v=1785047642</t>
        </is>
      </c>
      <c r="E13" s="3" t="inlineStr">
        <is>
          <t>47532036227271</t>
        </is>
      </c>
      <c r="F13" s="3" t="inlineStr">
        <is>
          <t>47532036227271</t>
        </is>
      </c>
      <c r="G13" s="3" t="inlineStr"/>
      <c r="H13" s="3" t="inlineStr">
        <is>
          <t>GALLERY</t>
        </is>
      </c>
      <c r="I13" s="3" t="inlineStr">
        <is>
          <t>DIRECT_IMAGE_DOWNLOAD_AND_SOURCE_ROW_REVIEW</t>
        </is>
      </c>
      <c r="J13" s="3" t="inlineStr">
        <is>
          <t>2026-09-07T21:54:16+07:00</t>
        </is>
      </c>
      <c r="K13" s="3" t="inlineStr">
        <is>
          <t>Direct QA opened downloaded image 143_02; source SHA EC456B541272B9C81903E332593494A683CF20C13EDDE015E92B1E59C15DF2C5. Submitted observation reviewed against gallery position.</t>
        </is>
      </c>
      <c r="L13" s="3" t="inlineStr">
        <is>
          <t>Secondary flat, close-up or bedroom mockup showing golden roots Tree of Life quilt set.</t>
        </is>
      </c>
      <c r="M13" s="3" t="inlineStr">
        <is>
          <t>UNKNOWN</t>
        </is>
      </c>
      <c r="N13" s="3" t="inlineStr">
        <is>
          <t>SET</t>
        </is>
      </c>
      <c r="O13" s="3" t="inlineStr">
        <is>
          <t>Secondary mockup or close-up of Golden Roots Tree of Life Quilt Set</t>
        </is>
      </c>
      <c r="P13" s="3" t="inlineStr">
        <is>
          <t>FULL</t>
        </is>
      </c>
      <c r="Q13" s="3" t="inlineStr">
        <is>
          <t>FULL</t>
        </is>
      </c>
      <c r="R13" s="3" t="inlineStr">
        <is>
          <t>FULL</t>
        </is>
      </c>
      <c r="S13" s="3" t="inlineStr">
        <is>
          <t>FULL</t>
        </is>
      </c>
      <c r="T13" s="7">
        <f>IF(P13="FULL",40,IF(P13="PARTIAL",40/2,0))+IF(Q13="FULL",30,IF(Q13="PARTIAL",30/2,0))+IF(R13="FULL",20,IF(R13="PARTIAL",20/2,0))+IF(S13="FULL",10,IF(S13="PARTIAL",10/2,0))</f>
        <v/>
      </c>
      <c r="U13" s="7">
        <f>IF(P13="NOT_CHECKED",0,40)+IF(Q13="NOT_CHECKED",0,30)+IF(R13="NOT_CHECKED",0,20)+IF(S13="NOT_CHECKED",0,10)</f>
        <v/>
      </c>
      <c r="V13" s="7">
        <f>IF(U13=100,T13,"")</f>
        <v/>
      </c>
      <c r="W13" s="7">
        <f>T13</f>
        <v/>
      </c>
      <c r="X13" s="7">
        <f>T13+(100-U13)</f>
        <v/>
      </c>
      <c r="Y13" s="3" t="inlineStr"/>
      <c r="Z13" s="3" t="inlineStr">
        <is>
          <t>D:\Shopify_Workspace\jeminise_seo\seo_runs\jeminise.com\20260906_234129\qa\20260907_214000\images\143_02.jpg; seo_runs\jeminise.com\20260906_234129\evidence\images\143_fantasy-nature-tree-of-life-quilt-set-with-entwined-golden-roots-and-bedroom-setting-9ad124a9ad-9ad124a9ad\image_02_47532036227271.jpg; seo_runs\jeminise.com\20260906_234129\evidence\contact_sheets\143_fantasy-nature-tree-of-life-quilt-set-with-entwined-golden-roots-and-bedroom-setting-9ad124a9ad-9ad124a9ad.jpg</t>
        </is>
      </c>
    </row>
    <row r="14" ht="66" customHeight="1">
      <c r="A14" s="2" t="inlineStr">
        <is>
          <t>jeminise.com+fantasy-nature-tree-of-life-quilt-set-with-entwined-golden-roots-and-bedroom-setting-9ad124a9ad-9ad124a9ad</t>
        </is>
      </c>
      <c r="B14" s="2" t="inlineStr">
        <is>
          <t>img_28735a4982c0075e</t>
        </is>
      </c>
      <c r="C14" s="4" t="inlineStr">
        <is>
          <t>https://cdn.shopify.com/s/files/1/0792/5098/1063/files/154e0978960240ef894684873b01b7474acc167faf78b0a25dad3220dceea9ff.jpg?v=1785047641</t>
        </is>
      </c>
      <c r="D14" s="4" t="inlineStr">
        <is>
          <t>https://cdn.shopify.com/s/files/1/0792/5098/1063/files/154e0978960240ef894684873b01b7474acc167faf78b0a25dad3220dceea9ff.jpg?v=1785047641</t>
        </is>
      </c>
      <c r="E14" s="2" t="inlineStr">
        <is>
          <t>47532036260039</t>
        </is>
      </c>
      <c r="F14" s="2" t="inlineStr">
        <is>
          <t>47532036260039</t>
        </is>
      </c>
      <c r="G14" s="2" t="inlineStr"/>
      <c r="H14" s="2" t="inlineStr">
        <is>
          <t>GALLERY</t>
        </is>
      </c>
      <c r="I14" s="2" t="inlineStr">
        <is>
          <t>DIRECT_IMAGE_DOWNLOAD_AND_SOURCE_ROW_REVIEW</t>
        </is>
      </c>
      <c r="J14" s="2" t="inlineStr">
        <is>
          <t>2026-09-07T21:54:16+07:00</t>
        </is>
      </c>
      <c r="K14" s="2" t="inlineStr">
        <is>
          <t>Direct QA opened downloaded image 143_03; source SHA 85A0BF124D32753F3DF855BA461879DF40A8C0B07AB9C2AF1B291ACCDE48E07C. Submitted observation reviewed against gallery position.</t>
        </is>
      </c>
      <c r="L14" s="2" t="inlineStr">
        <is>
          <t>Bedding type, feature, lifestyle or material image for golden roots Tree of Life quilt set.</t>
        </is>
      </c>
      <c r="M14" s="2" t="inlineStr">
        <is>
          <t>UNKNOWN</t>
        </is>
      </c>
      <c r="N14" s="2" t="inlineStr">
        <is>
          <t>SET</t>
        </is>
      </c>
      <c r="O14" s="2" t="inlineStr">
        <is>
          <t>Product pillow or lifestyle image for Golden Roots Tree of Life Quilt Set</t>
        </is>
      </c>
      <c r="P14" s="2" t="inlineStr">
        <is>
          <t>FULL</t>
        </is>
      </c>
      <c r="Q14" s="2" t="inlineStr">
        <is>
          <t>PARTIAL</t>
        </is>
      </c>
      <c r="R14" s="2" t="inlineStr">
        <is>
          <t>FULL</t>
        </is>
      </c>
      <c r="S14" s="2" t="inlineStr">
        <is>
          <t>FULL</t>
        </is>
      </c>
      <c r="T14" s="5">
        <f>IF(P14="FULL",40,IF(P14="PARTIAL",40/2,0))+IF(Q14="FULL",30,IF(Q14="PARTIAL",30/2,0))+IF(R14="FULL",20,IF(R14="PARTIAL",20/2,0))+IF(S14="FULL",10,IF(S14="PARTIAL",10/2,0))</f>
        <v/>
      </c>
      <c r="U14" s="5">
        <f>IF(P14="NOT_CHECKED",0,40)+IF(Q14="NOT_CHECKED",0,30)+IF(R14="NOT_CHECKED",0,20)+IF(S14="NOT_CHECKED",0,10)</f>
        <v/>
      </c>
      <c r="V14" s="5">
        <f>IF(U14=100,T14,"")</f>
        <v/>
      </c>
      <c r="W14" s="5">
        <f>T14</f>
        <v/>
      </c>
      <c r="X14" s="5">
        <f>T14+(100-U14)</f>
        <v/>
      </c>
      <c r="Y14" s="2" t="inlineStr">
        <is>
          <t>ISSUE-0025</t>
        </is>
      </c>
      <c r="Z14" s="2" t="inlineStr">
        <is>
          <t>D:\Shopify_Workspace\jeminise_seo\seo_runs\jeminise.com\20260906_234129\qa\20260907_214000\images\143_03.jpg; seo_runs\jeminise.com\20260906_234129\evidence\images\143_fantasy-nature-tree-of-life-quilt-set-with-entwined-golden-roots-and-bedroom-setting-9ad124a9ad-9ad124a9ad\image_03_47532036260039.jpg; seo_runs\jeminise.com\20260906_234129\evidence\contact_sheets\143_fantasy-nature-tree-of-life-quilt-set-with-entwined-golden-roots-and-bedroom-setting-9ad124a9ad-9ad124a9ad.jpg</t>
        </is>
      </c>
    </row>
    <row r="15" ht="66" customHeight="1">
      <c r="A15" s="3" t="inlineStr">
        <is>
          <t>jeminise.com+fantasy-nature-tree-of-life-quilt-set-with-entwined-golden-roots-and-bedroom-setting-9ad124a9ad-9ad124a9ad</t>
        </is>
      </c>
      <c r="B15" s="3" t="inlineStr">
        <is>
          <t>img_4634ed12e3ba5485</t>
        </is>
      </c>
      <c r="C15" s="4" t="inlineStr">
        <is>
          <t>https://cdn.shopify.com/s/files/1/0792/5098/1063/files/dc2169ad0621c11be08d4052b8aa06015181b0f9bb4a084f774f76045a433ddb.jpg?v=1785047642</t>
        </is>
      </c>
      <c r="D15" s="4" t="inlineStr">
        <is>
          <t>https://cdn.shopify.com/s/files/1/0792/5098/1063/files/dc2169ad0621c11be08d4052b8aa06015181b0f9bb4a084f774f76045a433ddb.jpg?v=1785047642</t>
        </is>
      </c>
      <c r="E15" s="3" t="inlineStr">
        <is>
          <t>47532036292807</t>
        </is>
      </c>
      <c r="F15" s="3" t="inlineStr">
        <is>
          <t>47532036292807</t>
        </is>
      </c>
      <c r="G15" s="3" t="inlineStr"/>
      <c r="H15" s="3" t="inlineStr">
        <is>
          <t>GALLERY</t>
        </is>
      </c>
      <c r="I15" s="3" t="inlineStr">
        <is>
          <t>DIRECT_IMAGE_DOWNLOAD_AND_SOURCE_ROW_REVIEW</t>
        </is>
      </c>
      <c r="J15" s="3" t="inlineStr">
        <is>
          <t>2026-09-07T21:54:16+07:00</t>
        </is>
      </c>
      <c r="K15" s="3" t="inlineStr">
        <is>
          <t>Direct QA opened downloaded image 143_04; source SHA D05FDE1AAD4E26015FB008BE2F6EA1A7F510D382746077B381D802CB7F88D31B. Submitted observation reviewed against gallery position.</t>
        </is>
      </c>
      <c r="L15" s="3" t="inlineStr">
        <is>
          <t>Detail, feature panel or lifestyle image connected to golden roots Tree of Life quilt set.</t>
        </is>
      </c>
      <c r="M15" s="3" t="inlineStr">
        <is>
          <t>UNKNOWN</t>
        </is>
      </c>
      <c r="N15" s="3" t="inlineStr">
        <is>
          <t>SET</t>
        </is>
      </c>
      <c r="O15" s="3" t="inlineStr">
        <is>
          <t>Lifestyle room mockup for Golden Roots Tree of Life Quilt Set</t>
        </is>
      </c>
      <c r="P15" s="3" t="inlineStr">
        <is>
          <t>FULL</t>
        </is>
      </c>
      <c r="Q15" s="3" t="inlineStr">
        <is>
          <t>PARTIAL</t>
        </is>
      </c>
      <c r="R15" s="3" t="inlineStr">
        <is>
          <t>FULL</t>
        </is>
      </c>
      <c r="S15" s="3" t="inlineStr">
        <is>
          <t>FULL</t>
        </is>
      </c>
      <c r="T15" s="7">
        <f>IF(P15="FULL",40,IF(P15="PARTIAL",40/2,0))+IF(Q15="FULL",30,IF(Q15="PARTIAL",30/2,0))+IF(R15="FULL",20,IF(R15="PARTIAL",20/2,0))+IF(S15="FULL",10,IF(S15="PARTIAL",10/2,0))</f>
        <v/>
      </c>
      <c r="U15" s="7">
        <f>IF(P15="NOT_CHECKED",0,40)+IF(Q15="NOT_CHECKED",0,30)+IF(R15="NOT_CHECKED",0,20)+IF(S15="NOT_CHECKED",0,10)</f>
        <v/>
      </c>
      <c r="V15" s="7">
        <f>IF(U15=100,T15,"")</f>
        <v/>
      </c>
      <c r="W15" s="7">
        <f>T15</f>
        <v/>
      </c>
      <c r="X15" s="7">
        <f>T15+(100-U15)</f>
        <v/>
      </c>
      <c r="Y15" s="3" t="inlineStr">
        <is>
          <t>ISSUE-0026</t>
        </is>
      </c>
      <c r="Z15" s="3" t="inlineStr">
        <is>
          <t>D:\Shopify_Workspace\jeminise_seo\seo_runs\jeminise.com\20260906_234129\qa\20260907_214000\images\143_04.jpg; seo_runs\jeminise.com\20260906_234129\evidence\images\143_fantasy-nature-tree-of-life-quilt-set-with-entwined-golden-roots-and-bedroom-setting-9ad124a9ad-9ad124a9ad\image_04_47532036292807.jpg; seo_runs\jeminise.com\20260906_234129\evidence\contact_sheets\143_fantasy-nature-tree-of-life-quilt-set-with-entwined-golden-roots-and-bedroom-setting-9ad124a9ad-9ad124a9ad.jpg</t>
        </is>
      </c>
    </row>
    <row r="16" ht="66" customHeight="1">
      <c r="A16" s="2" t="inlineStr">
        <is>
          <t>jeminise.com+fantasy-nature-tree-of-life-quilt-set-with-entwined-golden-roots-and-bedroom-setting-9ad124a9ad-9ad124a9ad</t>
        </is>
      </c>
      <c r="B16" s="2" t="inlineStr">
        <is>
          <t>img_d7db746ece5b364b</t>
        </is>
      </c>
      <c r="C16" s="4" t="inlineStr">
        <is>
          <t>https://cdn.shopify.com/s/files/1/0792/5098/1063/files/dd282aa42023e7ee29bff2dd25def8381c9a39ffc4a562db905c1ab836c0958e.jpg?v=1785047642</t>
        </is>
      </c>
      <c r="D16" s="4" t="inlineStr">
        <is>
          <t>https://cdn.shopify.com/s/files/1/0792/5098/1063/files/dd282aa42023e7ee29bff2dd25def8381c9a39ffc4a562db905c1ab836c0958e.jpg?v=1785047642</t>
        </is>
      </c>
      <c r="E16" s="2" t="inlineStr">
        <is>
          <t>47532036325575</t>
        </is>
      </c>
      <c r="F16" s="2" t="inlineStr">
        <is>
          <t>47532036325575</t>
        </is>
      </c>
      <c r="G16" s="2" t="inlineStr"/>
      <c r="H16" s="2" t="inlineStr">
        <is>
          <t>GALLERY</t>
        </is>
      </c>
      <c r="I16" s="2" t="inlineStr">
        <is>
          <t>DIRECT_IMAGE_DOWNLOAD_AND_SOURCE_ROW_REVIEW</t>
        </is>
      </c>
      <c r="J16" s="2" t="inlineStr">
        <is>
          <t>2026-09-07T21:54:16+07:00</t>
        </is>
      </c>
      <c r="K16" s="2" t="inlineStr">
        <is>
          <t>Direct QA opened downloaded image 143_05; source SHA A1E2BBFCD2B48E8A56CE41663C336669E0C466A6B1671E71795681AC252DEC5E. Submitted observation reviewed against gallery position.</t>
        </is>
      </c>
      <c r="L16" s="2" t="inlineStr">
        <is>
          <t>Additional mockup, care or size information for golden roots Tree of Life quilt set.</t>
        </is>
      </c>
      <c r="M16" s="2" t="inlineStr">
        <is>
          <t>UNKNOWN</t>
        </is>
      </c>
      <c r="N16" s="2" t="inlineStr">
        <is>
          <t>SET</t>
        </is>
      </c>
      <c r="O16" s="2" t="inlineStr">
        <is>
          <t>Size, set contents or product feature image for Golden Roots Tree of Life Quilt Set</t>
        </is>
      </c>
      <c r="P16" s="2" t="inlineStr">
        <is>
          <t>FULL</t>
        </is>
      </c>
      <c r="Q16" s="2" t="inlineStr">
        <is>
          <t>FULL</t>
        </is>
      </c>
      <c r="R16" s="2" t="inlineStr">
        <is>
          <t>FULL</t>
        </is>
      </c>
      <c r="S16" s="2" t="inlineStr">
        <is>
          <t>FULL</t>
        </is>
      </c>
      <c r="T16" s="5">
        <f>IF(P16="FULL",40,IF(P16="PARTIAL",40/2,0))+IF(Q16="FULL",30,IF(Q16="PARTIAL",30/2,0))+IF(R16="FULL",20,IF(R16="PARTIAL",20/2,0))+IF(S16="FULL",10,IF(S16="PARTIAL",10/2,0))</f>
        <v/>
      </c>
      <c r="U16" s="5">
        <f>IF(P16="NOT_CHECKED",0,40)+IF(Q16="NOT_CHECKED",0,30)+IF(R16="NOT_CHECKED",0,20)+IF(S16="NOT_CHECKED",0,10)</f>
        <v/>
      </c>
      <c r="V16" s="5">
        <f>IF(U16=100,T16,"")</f>
        <v/>
      </c>
      <c r="W16" s="5">
        <f>T16</f>
        <v/>
      </c>
      <c r="X16" s="5">
        <f>T16+(100-U16)</f>
        <v/>
      </c>
      <c r="Y16" s="2" t="inlineStr"/>
      <c r="Z16" s="2" t="inlineStr">
        <is>
          <t>D:\Shopify_Workspace\jeminise_seo\seo_runs\jeminise.com\20260906_234129\qa\20260907_214000\images\143_05.jpg; seo_runs\jeminise.com\20260906_234129\evidence\images\143_fantasy-nature-tree-of-life-quilt-set-with-entwined-golden-roots-and-bedroom-setting-9ad124a9ad-9ad124a9ad\image_05_47532036325575.jpg; seo_runs\jeminise.com\20260906_234129\evidence\contact_sheets\143_fantasy-nature-tree-of-life-quilt-set-with-entwined-golden-roots-and-bedroom-setting-9ad124a9ad-9ad124a9ad.jpg</t>
        </is>
      </c>
    </row>
    <row r="17" ht="66" customHeight="1">
      <c r="A17" s="3" t="inlineStr">
        <is>
          <t>jeminise.com+fantasy-nature-tree-of-life-quilt-set-with-entwined-golden-roots-and-bedroom-setting-9ad124a9ad-9ad124a9ad</t>
        </is>
      </c>
      <c r="B17" s="3" t="inlineStr">
        <is>
          <t>img_fd13bd51bcf73b39</t>
        </is>
      </c>
      <c r="C17" s="4" t="inlineStr">
        <is>
          <t>https://cdn.shopify.com/s/files/1/0792/5098/1063/files/cb81fbbd323502c328afba908d7ba84be8fa902b3586aba23f3ea630c44b5ece.jpg?v=1785047641</t>
        </is>
      </c>
      <c r="D17" s="4" t="inlineStr">
        <is>
          <t>https://cdn.shopify.com/s/files/1/0792/5098/1063/files/cb81fbbd323502c328afba908d7ba84be8fa902b3586aba23f3ea630c44b5ece.jpg?v=1785047641</t>
        </is>
      </c>
      <c r="E17" s="3" t="inlineStr">
        <is>
          <t>47532036358343</t>
        </is>
      </c>
      <c r="F17" s="3" t="inlineStr">
        <is>
          <t>47532036358343</t>
        </is>
      </c>
      <c r="G17" s="3" t="inlineStr"/>
      <c r="H17" s="3" t="inlineStr">
        <is>
          <t>GALLERY</t>
        </is>
      </c>
      <c r="I17" s="3" t="inlineStr">
        <is>
          <t>DIRECT_IMAGE_DOWNLOAD_AND_SOURCE_ROW_REVIEW</t>
        </is>
      </c>
      <c r="J17" s="3" t="inlineStr">
        <is>
          <t>2026-09-07T21:54:16+07:00</t>
        </is>
      </c>
      <c r="K17" s="3" t="inlineStr">
        <is>
          <t>Direct QA opened downloaded image 143_06; source SHA FA946B3B32A3329D10D926C654CA32DF4EC5A533A585142C53B769F945971112. Submitted observation reviewed against gallery position.</t>
        </is>
      </c>
      <c r="L17" s="3" t="inlineStr">
        <is>
          <t>Easy-care, size guide or product feature image for golden roots Tree of Life quilt set.</t>
        </is>
      </c>
      <c r="M17" s="3" t="inlineStr">
        <is>
          <t>UNKNOWN</t>
        </is>
      </c>
      <c r="N17" s="3" t="inlineStr">
        <is>
          <t>SET</t>
        </is>
      </c>
      <c r="O17" s="3" t="inlineStr">
        <is>
          <t>Care, size or product feature image for Golden Roots Tree of Life Quilt Set</t>
        </is>
      </c>
      <c r="P17" s="3" t="inlineStr">
        <is>
          <t>FULL</t>
        </is>
      </c>
      <c r="Q17" s="3" t="inlineStr">
        <is>
          <t>PARTIAL</t>
        </is>
      </c>
      <c r="R17" s="3" t="inlineStr">
        <is>
          <t>FULL</t>
        </is>
      </c>
      <c r="S17" s="3" t="inlineStr">
        <is>
          <t>FULL</t>
        </is>
      </c>
      <c r="T17" s="7">
        <f>IF(P17="FULL",40,IF(P17="PARTIAL",40/2,0))+IF(Q17="FULL",30,IF(Q17="PARTIAL",30/2,0))+IF(R17="FULL",20,IF(R17="PARTIAL",20/2,0))+IF(S17="FULL",10,IF(S17="PARTIAL",10/2,0))</f>
        <v/>
      </c>
      <c r="U17" s="7">
        <f>IF(P17="NOT_CHECKED",0,40)+IF(Q17="NOT_CHECKED",0,30)+IF(R17="NOT_CHECKED",0,20)+IF(S17="NOT_CHECKED",0,10)</f>
        <v/>
      </c>
      <c r="V17" s="7">
        <f>IF(U17=100,T17,"")</f>
        <v/>
      </c>
      <c r="W17" s="7">
        <f>T17</f>
        <v/>
      </c>
      <c r="X17" s="7">
        <f>T17+(100-U17)</f>
        <v/>
      </c>
      <c r="Y17" s="3" t="inlineStr">
        <is>
          <t>ISSUE-0027</t>
        </is>
      </c>
      <c r="Z17" s="3" t="inlineStr">
        <is>
          <t>D:\Shopify_Workspace\jeminise_seo\seo_runs\jeminise.com\20260906_234129\qa\20260907_214000\images\143_06.jpg; seo_runs\jeminise.com\20260906_234129\evidence\images\143_fantasy-nature-tree-of-life-quilt-set-with-entwined-golden-roots-and-bedroom-setting-9ad124a9ad-9ad124a9ad\image_06_47532036358343.jpg; seo_runs\jeminise.com\20260906_234129\evidence\contact_sheets\143_fantasy-nature-tree-of-life-quilt-set-with-entwined-golden-roots-and-bedroom-setting-9ad124a9ad-9ad124a9ad.jpg</t>
        </is>
      </c>
    </row>
    <row r="18" ht="66" customHeight="1">
      <c r="A18" s="2" t="inlineStr">
        <is>
          <t>jeminise.com+fantasy-nature-tree-of-life-quilt-set-with-entwined-golden-roots-and-bedroom-setting-9ad124a9ad-9ad124a9ad</t>
        </is>
      </c>
      <c r="B18" s="2" t="inlineStr">
        <is>
          <t>img_9fa1c4cd9d056a40</t>
        </is>
      </c>
      <c r="C18" s="4" t="inlineStr">
        <is>
          <t>https://cdn.shopify.com/s/files/1/0792/5098/1063/files/312851c507c911ddebc26229bf4ed0a8b8b7d6c725a99e10af2eee1f0cb7d759.jpg?v=1785047641</t>
        </is>
      </c>
      <c r="D18" s="4" t="inlineStr">
        <is>
          <t>https://cdn.shopify.com/s/files/1/0792/5098/1063/files/312851c507c911ddebc26229bf4ed0a8b8b7d6c725a99e10af2eee1f0cb7d759.jpg?v=1785047641</t>
        </is>
      </c>
      <c r="E18" s="2" t="inlineStr">
        <is>
          <t>47532036391111</t>
        </is>
      </c>
      <c r="F18" s="2" t="inlineStr">
        <is>
          <t>47532036391111</t>
        </is>
      </c>
      <c r="G18" s="2" t="inlineStr"/>
      <c r="H18" s="2" t="inlineStr">
        <is>
          <t>GALLERY</t>
        </is>
      </c>
      <c r="I18" s="2" t="inlineStr">
        <is>
          <t>DIRECT_IMAGE_DOWNLOAD_AND_SOURCE_ROW_REVIEW</t>
        </is>
      </c>
      <c r="J18" s="2" t="inlineStr">
        <is>
          <t>2026-09-07T21:54:16+07:00</t>
        </is>
      </c>
      <c r="K18" s="2" t="inlineStr">
        <is>
          <t>Direct QA opened downloaded image 143_07; source SHA ED8313A246A1D503525E692A1050336714A9701F1D23EE946D396FE4B4E59DFB. Submitted observation reviewed against gallery position.</t>
        </is>
      </c>
      <c r="L18" s="2" t="inlineStr">
        <is>
          <t>Additional lifestyle, feature or product detail image showing golden roots Tree of Life quilt set.</t>
        </is>
      </c>
      <c r="M18" s="2" t="inlineStr">
        <is>
          <t>UNKNOWN</t>
        </is>
      </c>
      <c r="N18" s="2" t="inlineStr">
        <is>
          <t>SET</t>
        </is>
      </c>
      <c r="O18" s="2" t="inlineStr">
        <is>
          <t>Additional product mockup of Golden Roots Tree of Life Quilt Set</t>
        </is>
      </c>
      <c r="P18" s="2" t="inlineStr">
        <is>
          <t>FULL</t>
        </is>
      </c>
      <c r="Q18" s="2" t="inlineStr">
        <is>
          <t>PARTIAL</t>
        </is>
      </c>
      <c r="R18" s="2" t="inlineStr">
        <is>
          <t>FULL</t>
        </is>
      </c>
      <c r="S18" s="2" t="inlineStr">
        <is>
          <t>FULL</t>
        </is>
      </c>
      <c r="T18" s="5">
        <f>IF(P18="FULL",40,IF(P18="PARTIAL",40/2,0))+IF(Q18="FULL",30,IF(Q18="PARTIAL",30/2,0))+IF(R18="FULL",20,IF(R18="PARTIAL",20/2,0))+IF(S18="FULL",10,IF(S18="PARTIAL",10/2,0))</f>
        <v/>
      </c>
      <c r="U18" s="5">
        <f>IF(P18="NOT_CHECKED",0,40)+IF(Q18="NOT_CHECKED",0,30)+IF(R18="NOT_CHECKED",0,20)+IF(S18="NOT_CHECKED",0,10)</f>
        <v/>
      </c>
      <c r="V18" s="5">
        <f>IF(U18=100,T18,"")</f>
        <v/>
      </c>
      <c r="W18" s="5">
        <f>T18</f>
        <v/>
      </c>
      <c r="X18" s="5">
        <f>T18+(100-U18)</f>
        <v/>
      </c>
      <c r="Y18" s="2" t="inlineStr">
        <is>
          <t>ISSUE-0028</t>
        </is>
      </c>
      <c r="Z18" s="2" t="inlineStr">
        <is>
          <t>D:\Shopify_Workspace\jeminise_seo\seo_runs\jeminise.com\20260906_234129\qa\20260907_214000\images\143_07.jpg; seo_runs\jeminise.com\20260906_234129\evidence\images\143_fantasy-nature-tree-of-life-quilt-set-with-entwined-golden-roots-and-bedroom-setting-9ad124a9ad-9ad124a9ad\image_07_47532036391111.jpg; seo_runs\jeminise.com\20260906_234129\evidence\contact_sheets\143_fantasy-nature-tree-of-life-quilt-set-with-entwined-golden-roots-and-bedroom-setting-9ad124a9ad-9ad124a9ad.jpg</t>
        </is>
      </c>
    </row>
    <row r="19" ht="66" customHeight="1">
      <c r="A19" s="3" t="inlineStr">
        <is>
          <t>jeminise.com+fantasy-nature-tree-of-life-quilt-set-with-twisted-tree-trunk-and-bedroom-4dbc5a5b98-4dbc5a5b98</t>
        </is>
      </c>
      <c r="B19" s="3" t="inlineStr">
        <is>
          <t>img_b54cae9e2e2e2c1f</t>
        </is>
      </c>
      <c r="C19" s="4" t="inlineStr">
        <is>
          <t>https://cdn.shopify.com/s/files/1/0792/5098/1063/files/a65d7ac7a8f7f7e983b00e3d7f2c80dfe5c3dfba4b2c5562d979b2867a75b9a9.jpg?v=1785047723</t>
        </is>
      </c>
      <c r="D19" s="4" t="inlineStr">
        <is>
          <t>https://cdn.shopify.com/s/files/1/0792/5098/1063/files/a65d7ac7a8f7f7e983b00e3d7f2c80dfe5c3dfba4b2c5562d979b2867a75b9a9.jpg?v=1785047723</t>
        </is>
      </c>
      <c r="E19" s="3" t="inlineStr">
        <is>
          <t>47532045009095</t>
        </is>
      </c>
      <c r="F19" s="3" t="inlineStr">
        <is>
          <t>47532045009095</t>
        </is>
      </c>
      <c r="G19" s="3" t="inlineStr"/>
      <c r="H19" s="3" t="inlineStr">
        <is>
          <t>GALLERY</t>
        </is>
      </c>
      <c r="I19" s="3" t="inlineStr">
        <is>
          <t>DIRECT_IMAGE_DOWNLOAD_AND_SOURCE_ROW_REVIEW</t>
        </is>
      </c>
      <c r="J19" s="3" t="inlineStr">
        <is>
          <t>2026-09-07T21:54:16+07:00</t>
        </is>
      </c>
      <c r="K19" s="3" t="inlineStr">
        <is>
          <t>Direct QA opened downloaded image 144_01; source SHA ABC458DD2CCDA80340A926F76A9EB8781E05C21D0F7181C67EB4221D9F48D6DF. Submitted observation reviewed against gallery position.</t>
        </is>
      </c>
      <c r="L19" s="3" t="inlineStr">
        <is>
          <t>Main product mockup showing twisted trunk Tree of Life quilt set.</t>
        </is>
      </c>
      <c r="M19" s="3" t="inlineStr">
        <is>
          <t>UNKNOWN</t>
        </is>
      </c>
      <c r="N19" s="3" t="inlineStr">
        <is>
          <t>SET</t>
        </is>
      </c>
      <c r="O19" s="3" t="inlineStr">
        <is>
          <t>Twisted Trunk Tree of Life Quilt Set displayed in a main product mockup</t>
        </is>
      </c>
      <c r="P19" s="3" t="inlineStr">
        <is>
          <t>FULL</t>
        </is>
      </c>
      <c r="Q19" s="3" t="inlineStr">
        <is>
          <t>FULL</t>
        </is>
      </c>
      <c r="R19" s="3" t="inlineStr">
        <is>
          <t>PARTIAL</t>
        </is>
      </c>
      <c r="S19" s="3" t="inlineStr">
        <is>
          <t>FULL</t>
        </is>
      </c>
      <c r="T19" s="7">
        <f>IF(P19="FULL",40,IF(P19="PARTIAL",40/2,0))+IF(Q19="FULL",30,IF(Q19="PARTIAL",30/2,0))+IF(R19="FULL",20,IF(R19="PARTIAL",20/2,0))+IF(S19="FULL",10,IF(S19="PARTIAL",10/2,0))</f>
        <v/>
      </c>
      <c r="U19" s="7">
        <f>IF(P19="NOT_CHECKED",0,40)+IF(Q19="NOT_CHECKED",0,30)+IF(R19="NOT_CHECKED",0,20)+IF(S19="NOT_CHECKED",0,10)</f>
        <v/>
      </c>
      <c r="V19" s="7">
        <f>IF(U19=100,T19,"")</f>
        <v/>
      </c>
      <c r="W19" s="7">
        <f>T19</f>
        <v/>
      </c>
      <c r="X19" s="7">
        <f>T19+(100-U19)</f>
        <v/>
      </c>
      <c r="Y19" s="3" t="inlineStr">
        <is>
          <t>ISSUE-0034</t>
        </is>
      </c>
      <c r="Z19" s="3" t="inlineStr">
        <is>
          <t>D:\Shopify_Workspace\jeminise_seo\seo_runs\jeminise.com\20260906_234129\qa\20260907_214000\images\144_01.jpg; seo_runs\jeminise.com\20260906_234129\evidence\images\144_fantasy-nature-tree-of-life-quilt-set-with-twisted-tree-trunk-and-bedroom-4dbc5a5b98-4dbc5a5b98\image_01_47532045009095.jpg; seo_runs\jeminise.com\20260906_234129\evidence\contact_sheets\144_fantasy-nature-tree-of-life-quilt-set-with-twisted-tree-trunk-and-bedroom-4dbc5a5b98-4dbc5a5b98.jpg</t>
        </is>
      </c>
    </row>
    <row r="20" ht="66" customHeight="1">
      <c r="A20" s="2" t="inlineStr">
        <is>
          <t>jeminise.com+fantasy-nature-tree-of-life-quilt-set-with-twisted-tree-trunk-and-bedroom-4dbc5a5b98-4dbc5a5b98</t>
        </is>
      </c>
      <c r="B20" s="2" t="inlineStr">
        <is>
          <t>img_0c804c20909f4d1d</t>
        </is>
      </c>
      <c r="C20" s="4" t="inlineStr">
        <is>
          <t>https://cdn.shopify.com/s/files/1/0792/5098/1063/files/cf5f5801d90563e2c233c5f25963a1eeec2b670e66c4877bf0ff16f96c95b625.jpg?v=1785047723</t>
        </is>
      </c>
      <c r="D20" s="4" t="inlineStr">
        <is>
          <t>https://cdn.shopify.com/s/files/1/0792/5098/1063/files/cf5f5801d90563e2c233c5f25963a1eeec2b670e66c4877bf0ff16f96c95b625.jpg?v=1785047723</t>
        </is>
      </c>
      <c r="E20" s="2" t="inlineStr">
        <is>
          <t>47532045041863</t>
        </is>
      </c>
      <c r="F20" s="2" t="inlineStr">
        <is>
          <t>47532045041863</t>
        </is>
      </c>
      <c r="G20" s="2" t="inlineStr"/>
      <c r="H20" s="2" t="inlineStr">
        <is>
          <t>GALLERY</t>
        </is>
      </c>
      <c r="I20" s="2" t="inlineStr">
        <is>
          <t>DIRECT_IMAGE_DOWNLOAD_AND_SOURCE_ROW_REVIEW</t>
        </is>
      </c>
      <c r="J20" s="2" t="inlineStr">
        <is>
          <t>2026-09-07T21:54:16+07:00</t>
        </is>
      </c>
      <c r="K20" s="2" t="inlineStr">
        <is>
          <t>Direct QA opened downloaded image 144_02; source SHA 5124F697CC26F25E6C6077327D0A2704EF3B5D9F1C9D992CC96A45DA4B14EBA0. Submitted observation reviewed against gallery position.</t>
        </is>
      </c>
      <c r="L20" s="2" t="inlineStr">
        <is>
          <t>Secondary flat, close-up or bedroom mockup showing twisted trunk Tree of Life quilt set.</t>
        </is>
      </c>
      <c r="M20" s="2" t="inlineStr">
        <is>
          <t>UNKNOWN</t>
        </is>
      </c>
      <c r="N20" s="2" t="inlineStr">
        <is>
          <t>SET</t>
        </is>
      </c>
      <c r="O20" s="2" t="inlineStr">
        <is>
          <t>Secondary mockup or close-up of Twisted Trunk Tree of Life Quilt Set</t>
        </is>
      </c>
      <c r="P20" s="2" t="inlineStr">
        <is>
          <t>FULL</t>
        </is>
      </c>
      <c r="Q20" s="2" t="inlineStr">
        <is>
          <t>FULL</t>
        </is>
      </c>
      <c r="R20" s="2" t="inlineStr">
        <is>
          <t>FULL</t>
        </is>
      </c>
      <c r="S20" s="2" t="inlineStr">
        <is>
          <t>FULL</t>
        </is>
      </c>
      <c r="T20" s="5">
        <f>IF(P20="FULL",40,IF(P20="PARTIAL",40/2,0))+IF(Q20="FULL",30,IF(Q20="PARTIAL",30/2,0))+IF(R20="FULL",20,IF(R20="PARTIAL",20/2,0))+IF(S20="FULL",10,IF(S20="PARTIAL",10/2,0))</f>
        <v/>
      </c>
      <c r="U20" s="5">
        <f>IF(P20="NOT_CHECKED",0,40)+IF(Q20="NOT_CHECKED",0,30)+IF(R20="NOT_CHECKED",0,20)+IF(S20="NOT_CHECKED",0,10)</f>
        <v/>
      </c>
      <c r="V20" s="5">
        <f>IF(U20=100,T20,"")</f>
        <v/>
      </c>
      <c r="W20" s="5">
        <f>T20</f>
        <v/>
      </c>
      <c r="X20" s="5">
        <f>T20+(100-U20)</f>
        <v/>
      </c>
      <c r="Y20" s="2" t="inlineStr"/>
      <c r="Z20" s="2" t="inlineStr">
        <is>
          <t>D:\Shopify_Workspace\jeminise_seo\seo_runs\jeminise.com\20260906_234129\qa\20260907_214000\images\144_02.jpg; seo_runs\jeminise.com\20260906_234129\evidence\images\144_fantasy-nature-tree-of-life-quilt-set-with-twisted-tree-trunk-and-bedroom-4dbc5a5b98-4dbc5a5b98\image_02_47532045041863.jpg; seo_runs\jeminise.com\20260906_234129\evidence\contact_sheets\144_fantasy-nature-tree-of-life-quilt-set-with-twisted-tree-trunk-and-bedroom-4dbc5a5b98-4dbc5a5b98.jpg</t>
        </is>
      </c>
    </row>
    <row r="21" ht="66" customHeight="1">
      <c r="A21" s="3" t="inlineStr">
        <is>
          <t>jeminise.com+fantasy-nature-tree-of-life-quilt-set-with-twisted-tree-trunk-and-bedroom-4dbc5a5b98-4dbc5a5b98</t>
        </is>
      </c>
      <c r="B21" s="3" t="inlineStr">
        <is>
          <t>img_8b36caf7e23a26e7</t>
        </is>
      </c>
      <c r="C21" s="4" t="inlineStr">
        <is>
          <t>https://cdn.shopify.com/s/files/1/0792/5098/1063/files/883a02b119af28ef08b91bee6b79a0cf17aeb400df92b0e570b3092d246f2ce3.jpg?v=1785047723</t>
        </is>
      </c>
      <c r="D21" s="4" t="inlineStr">
        <is>
          <t>https://cdn.shopify.com/s/files/1/0792/5098/1063/files/883a02b119af28ef08b91bee6b79a0cf17aeb400df92b0e570b3092d246f2ce3.jpg?v=1785047723</t>
        </is>
      </c>
      <c r="E21" s="3" t="inlineStr">
        <is>
          <t>47532045074631</t>
        </is>
      </c>
      <c r="F21" s="3" t="inlineStr">
        <is>
          <t>47532045074631</t>
        </is>
      </c>
      <c r="G21" s="3" t="inlineStr"/>
      <c r="H21" s="3" t="inlineStr">
        <is>
          <t>GALLERY</t>
        </is>
      </c>
      <c r="I21" s="3" t="inlineStr">
        <is>
          <t>DIRECT_IMAGE_DOWNLOAD_AND_SOURCE_ROW_REVIEW</t>
        </is>
      </c>
      <c r="J21" s="3" t="inlineStr">
        <is>
          <t>2026-09-07T21:54:16+07:00</t>
        </is>
      </c>
      <c r="K21" s="3" t="inlineStr">
        <is>
          <t>Direct QA opened downloaded image 144_03; source SHA D498EF59171CCBC1E98CCBF4084F7B93EABB894E53AFAE4D309286C42CEAD9BB. Submitted observation reviewed against gallery position.</t>
        </is>
      </c>
      <c r="L21" s="3" t="inlineStr">
        <is>
          <t>Bedding type, feature, lifestyle or material image for twisted trunk Tree of Life quilt set.</t>
        </is>
      </c>
      <c r="M21" s="3" t="inlineStr">
        <is>
          <t>UNKNOWN</t>
        </is>
      </c>
      <c r="N21" s="3" t="inlineStr">
        <is>
          <t>SET</t>
        </is>
      </c>
      <c r="O21" s="3" t="inlineStr">
        <is>
          <t>Product pillow or lifestyle image for Twisted Trunk Tree of Life Quilt Set</t>
        </is>
      </c>
      <c r="P21" s="3" t="inlineStr">
        <is>
          <t>FULL</t>
        </is>
      </c>
      <c r="Q21" s="3" t="inlineStr">
        <is>
          <t>PARTIAL</t>
        </is>
      </c>
      <c r="R21" s="3" t="inlineStr">
        <is>
          <t>FULL</t>
        </is>
      </c>
      <c r="S21" s="3" t="inlineStr">
        <is>
          <t>FULL</t>
        </is>
      </c>
      <c r="T21" s="7">
        <f>IF(P21="FULL",40,IF(P21="PARTIAL",40/2,0))+IF(Q21="FULL",30,IF(Q21="PARTIAL",30/2,0))+IF(R21="FULL",20,IF(R21="PARTIAL",20/2,0))+IF(S21="FULL",10,IF(S21="PARTIAL",10/2,0))</f>
        <v/>
      </c>
      <c r="U21" s="7">
        <f>IF(P21="NOT_CHECKED",0,40)+IF(Q21="NOT_CHECKED",0,30)+IF(R21="NOT_CHECKED",0,20)+IF(S21="NOT_CHECKED",0,10)</f>
        <v/>
      </c>
      <c r="V21" s="7">
        <f>IF(U21=100,T21,"")</f>
        <v/>
      </c>
      <c r="W21" s="7">
        <f>T21</f>
        <v/>
      </c>
      <c r="X21" s="7">
        <f>T21+(100-U21)</f>
        <v/>
      </c>
      <c r="Y21" s="3" t="inlineStr">
        <is>
          <t>ISSUE-0035</t>
        </is>
      </c>
      <c r="Z21" s="3" t="inlineStr">
        <is>
          <t>D:\Shopify_Workspace\jeminise_seo\seo_runs\jeminise.com\20260906_234129\qa\20260907_214000\images\144_03.jpg; seo_runs\jeminise.com\20260906_234129\evidence\images\144_fantasy-nature-tree-of-life-quilt-set-with-twisted-tree-trunk-and-bedroom-4dbc5a5b98-4dbc5a5b98\image_03_47532045074631.jpg; seo_runs\jeminise.com\20260906_234129\evidence\contact_sheets\144_fantasy-nature-tree-of-life-quilt-set-with-twisted-tree-trunk-and-bedroom-4dbc5a5b98-4dbc5a5b98.jpg</t>
        </is>
      </c>
    </row>
    <row r="22" ht="66" customHeight="1">
      <c r="A22" s="2" t="inlineStr">
        <is>
          <t>jeminise.com+fantasy-nature-tree-of-life-quilt-set-with-twisted-tree-trunk-and-bedroom-4dbc5a5b98-4dbc5a5b98</t>
        </is>
      </c>
      <c r="B22" s="2" t="inlineStr">
        <is>
          <t>img_6afb819f6ecb5824</t>
        </is>
      </c>
      <c r="C22" s="4" t="inlineStr">
        <is>
          <t>https://cdn.shopify.com/s/files/1/0792/5098/1063/files/e9a03d40e08a4d81e910a9631ec20e3ff087b7ec69c4256c8f010c8ef198e296.jpg?v=1785047723</t>
        </is>
      </c>
      <c r="D22" s="4" t="inlineStr">
        <is>
          <t>https://cdn.shopify.com/s/files/1/0792/5098/1063/files/e9a03d40e08a4d81e910a9631ec20e3ff087b7ec69c4256c8f010c8ef198e296.jpg?v=1785047723</t>
        </is>
      </c>
      <c r="E22" s="2" t="inlineStr">
        <is>
          <t>47532045107399</t>
        </is>
      </c>
      <c r="F22" s="2" t="inlineStr">
        <is>
          <t>47532045107399</t>
        </is>
      </c>
      <c r="G22" s="2" t="inlineStr"/>
      <c r="H22" s="2" t="inlineStr">
        <is>
          <t>GALLERY</t>
        </is>
      </c>
      <c r="I22" s="2" t="inlineStr">
        <is>
          <t>DIRECT_IMAGE_DOWNLOAD_AND_SOURCE_ROW_REVIEW</t>
        </is>
      </c>
      <c r="J22" s="2" t="inlineStr">
        <is>
          <t>2026-09-07T21:54:16+07:00</t>
        </is>
      </c>
      <c r="K22" s="2" t="inlineStr">
        <is>
          <t>Direct QA opened downloaded image 144_04; source SHA 681E524238514CE3EF81358117E381EBC92864F5266792CF497A7A8DE9AC596E. Submitted observation reviewed against gallery position.</t>
        </is>
      </c>
      <c r="L22" s="2" t="inlineStr">
        <is>
          <t>Detail, feature panel or lifestyle image connected to twisted trunk Tree of Life quilt set.</t>
        </is>
      </c>
      <c r="M22" s="2" t="inlineStr">
        <is>
          <t>UNKNOWN</t>
        </is>
      </c>
      <c r="N22" s="2" t="inlineStr">
        <is>
          <t>SET</t>
        </is>
      </c>
      <c r="O22" s="2" t="inlineStr">
        <is>
          <t>Lifestyle room mockup for Twisted Trunk Tree of Life Quilt Set</t>
        </is>
      </c>
      <c r="P22" s="2" t="inlineStr">
        <is>
          <t>FULL</t>
        </is>
      </c>
      <c r="Q22" s="2" t="inlineStr">
        <is>
          <t>PARTIAL</t>
        </is>
      </c>
      <c r="R22" s="2" t="inlineStr">
        <is>
          <t>FULL</t>
        </is>
      </c>
      <c r="S22" s="2" t="inlineStr">
        <is>
          <t>FULL</t>
        </is>
      </c>
      <c r="T22" s="5">
        <f>IF(P22="FULL",40,IF(P22="PARTIAL",40/2,0))+IF(Q22="FULL",30,IF(Q22="PARTIAL",30/2,0))+IF(R22="FULL",20,IF(R22="PARTIAL",20/2,0))+IF(S22="FULL",10,IF(S22="PARTIAL",10/2,0))</f>
        <v/>
      </c>
      <c r="U22" s="5">
        <f>IF(P22="NOT_CHECKED",0,40)+IF(Q22="NOT_CHECKED",0,30)+IF(R22="NOT_CHECKED",0,20)+IF(S22="NOT_CHECKED",0,10)</f>
        <v/>
      </c>
      <c r="V22" s="5">
        <f>IF(U22=100,T22,"")</f>
        <v/>
      </c>
      <c r="W22" s="5">
        <f>T22</f>
        <v/>
      </c>
      <c r="X22" s="5">
        <f>T22+(100-U22)</f>
        <v/>
      </c>
      <c r="Y22" s="2" t="inlineStr">
        <is>
          <t>ISSUE-0036</t>
        </is>
      </c>
      <c r="Z22" s="2" t="inlineStr">
        <is>
          <t>D:\Shopify_Workspace\jeminise_seo\seo_runs\jeminise.com\20260906_234129\qa\20260907_214000\images\144_04.jpg; seo_runs\jeminise.com\20260906_234129\evidence\images\144_fantasy-nature-tree-of-life-quilt-set-with-twisted-tree-trunk-and-bedroom-4dbc5a5b98-4dbc5a5b98\image_04_47532045107399.jpg; seo_runs\jeminise.com\20260906_234129\evidence\contact_sheets\144_fantasy-nature-tree-of-life-quilt-set-with-twisted-tree-trunk-and-bedroom-4dbc5a5b98-4dbc5a5b98.jpg</t>
        </is>
      </c>
    </row>
    <row r="23" ht="66" customHeight="1">
      <c r="A23" s="3" t="inlineStr">
        <is>
          <t>jeminise.com+fantasy-nature-tree-of-life-quilt-set-with-twisted-tree-trunk-and-bedroom-4dbc5a5b98-4dbc5a5b98</t>
        </is>
      </c>
      <c r="B23" s="3" t="inlineStr">
        <is>
          <t>img_12bfdafee539d8d3</t>
        </is>
      </c>
      <c r="C23" s="4" t="inlineStr">
        <is>
          <t>https://cdn.shopify.com/s/files/1/0792/5098/1063/files/ecff9d37367ab122b1e45c355aedb44a6a83ae1f86eb834e47dbe104afbe6f0c.jpg?v=1785047723</t>
        </is>
      </c>
      <c r="D23" s="4" t="inlineStr">
        <is>
          <t>https://cdn.shopify.com/s/files/1/0792/5098/1063/files/ecff9d37367ab122b1e45c355aedb44a6a83ae1f86eb834e47dbe104afbe6f0c.jpg?v=1785047723</t>
        </is>
      </c>
      <c r="E23" s="3" t="inlineStr">
        <is>
          <t>47532045140167</t>
        </is>
      </c>
      <c r="F23" s="3" t="inlineStr">
        <is>
          <t>47532045140167</t>
        </is>
      </c>
      <c r="G23" s="3" t="inlineStr"/>
      <c r="H23" s="3" t="inlineStr">
        <is>
          <t>GALLERY</t>
        </is>
      </c>
      <c r="I23" s="3" t="inlineStr">
        <is>
          <t>DIRECT_IMAGE_DOWNLOAD_AND_SOURCE_ROW_REVIEW</t>
        </is>
      </c>
      <c r="J23" s="3" t="inlineStr">
        <is>
          <t>2026-09-07T21:54:16+07:00</t>
        </is>
      </c>
      <c r="K23" s="3" t="inlineStr">
        <is>
          <t>Direct QA opened downloaded image 144_05; source SHA 199D147482A9BB513A45BCD429ED4125863DEACF0CF818E919E2045431AD345F. Submitted observation reviewed against gallery position.</t>
        </is>
      </c>
      <c r="L23" s="3" t="inlineStr">
        <is>
          <t>Additional mockup, care or size information for twisted trunk Tree of Life quilt set.</t>
        </is>
      </c>
      <c r="M23" s="3" t="inlineStr">
        <is>
          <t>UNKNOWN</t>
        </is>
      </c>
      <c r="N23" s="3" t="inlineStr">
        <is>
          <t>SET</t>
        </is>
      </c>
      <c r="O23" s="3" t="inlineStr">
        <is>
          <t>Size, set contents or product feature image for Twisted Trunk Tree of Life Quilt Set</t>
        </is>
      </c>
      <c r="P23" s="3" t="inlineStr">
        <is>
          <t>FULL</t>
        </is>
      </c>
      <c r="Q23" s="3" t="inlineStr">
        <is>
          <t>FULL</t>
        </is>
      </c>
      <c r="R23" s="3" t="inlineStr">
        <is>
          <t>FULL</t>
        </is>
      </c>
      <c r="S23" s="3" t="inlineStr">
        <is>
          <t>FULL</t>
        </is>
      </c>
      <c r="T23" s="7">
        <f>IF(P23="FULL",40,IF(P23="PARTIAL",40/2,0))+IF(Q23="FULL",30,IF(Q23="PARTIAL",30/2,0))+IF(R23="FULL",20,IF(R23="PARTIAL",20/2,0))+IF(S23="FULL",10,IF(S23="PARTIAL",10/2,0))</f>
        <v/>
      </c>
      <c r="U23" s="7">
        <f>IF(P23="NOT_CHECKED",0,40)+IF(Q23="NOT_CHECKED",0,30)+IF(R23="NOT_CHECKED",0,20)+IF(S23="NOT_CHECKED",0,10)</f>
        <v/>
      </c>
      <c r="V23" s="7">
        <f>IF(U23=100,T23,"")</f>
        <v/>
      </c>
      <c r="W23" s="7">
        <f>T23</f>
        <v/>
      </c>
      <c r="X23" s="7">
        <f>T23+(100-U23)</f>
        <v/>
      </c>
      <c r="Y23" s="3" t="inlineStr"/>
      <c r="Z23" s="3" t="inlineStr">
        <is>
          <t>D:\Shopify_Workspace\jeminise_seo\seo_runs\jeminise.com\20260906_234129\qa\20260907_214000\images\144_05.jpg; seo_runs\jeminise.com\20260906_234129\evidence\images\144_fantasy-nature-tree-of-life-quilt-set-with-twisted-tree-trunk-and-bedroom-4dbc5a5b98-4dbc5a5b98\image_05_47532045140167.jpg; seo_runs\jeminise.com\20260906_234129\evidence\contact_sheets\144_fantasy-nature-tree-of-life-quilt-set-with-twisted-tree-trunk-and-bedroom-4dbc5a5b98-4dbc5a5b98.jpg</t>
        </is>
      </c>
    </row>
    <row r="24" ht="66" customHeight="1">
      <c r="A24" s="2" t="inlineStr">
        <is>
          <t>jeminise.com+fantasy-nature-tree-of-life-quilt-set-with-twisted-tree-trunk-and-bedroom-4dbc5a5b98-4dbc5a5b98</t>
        </is>
      </c>
      <c r="B24" s="2" t="inlineStr">
        <is>
          <t>img_a5243d0809c35972</t>
        </is>
      </c>
      <c r="C24" s="4" t="inlineStr">
        <is>
          <t>https://cdn.shopify.com/s/files/1/0792/5098/1063/files/b704ba1ab0ecc12f7c984e77ff339054f6178a5d22213a4f66b32cb0b33179a2.jpg?v=1785047723</t>
        </is>
      </c>
      <c r="D24" s="4" t="inlineStr">
        <is>
          <t>https://cdn.shopify.com/s/files/1/0792/5098/1063/files/b704ba1ab0ecc12f7c984e77ff339054f6178a5d22213a4f66b32cb0b33179a2.jpg?v=1785047723</t>
        </is>
      </c>
      <c r="E24" s="2" t="inlineStr">
        <is>
          <t>47532045172935</t>
        </is>
      </c>
      <c r="F24" s="2" t="inlineStr">
        <is>
          <t>47532045172935</t>
        </is>
      </c>
      <c r="G24" s="2" t="inlineStr"/>
      <c r="H24" s="2" t="inlineStr">
        <is>
          <t>GALLERY</t>
        </is>
      </c>
      <c r="I24" s="2" t="inlineStr">
        <is>
          <t>DIRECT_IMAGE_DOWNLOAD_AND_SOURCE_ROW_REVIEW</t>
        </is>
      </c>
      <c r="J24" s="2" t="inlineStr">
        <is>
          <t>2026-09-07T21:54:16+07:00</t>
        </is>
      </c>
      <c r="K24" s="2" t="inlineStr">
        <is>
          <t>Direct QA opened downloaded image 144_06; source SHA 03AD0DC137EBFD722E1185BC2408A02F7059003DDF323B10A608E023483EDFBD. Submitted observation reviewed against gallery position.</t>
        </is>
      </c>
      <c r="L24" s="2" t="inlineStr">
        <is>
          <t>Easy-care, size guide or product feature image for twisted trunk Tree of Life quilt set.</t>
        </is>
      </c>
      <c r="M24" s="2" t="inlineStr">
        <is>
          <t>UNKNOWN</t>
        </is>
      </c>
      <c r="N24" s="2" t="inlineStr">
        <is>
          <t>SET</t>
        </is>
      </c>
      <c r="O24" s="2" t="inlineStr">
        <is>
          <t>Care, size or product feature image for Twisted Trunk Tree of Life Quilt Set</t>
        </is>
      </c>
      <c r="P24" s="2" t="inlineStr">
        <is>
          <t>FULL</t>
        </is>
      </c>
      <c r="Q24" s="2" t="inlineStr">
        <is>
          <t>PARTIAL</t>
        </is>
      </c>
      <c r="R24" s="2" t="inlineStr">
        <is>
          <t>FULL</t>
        </is>
      </c>
      <c r="S24" s="2" t="inlineStr">
        <is>
          <t>FULL</t>
        </is>
      </c>
      <c r="T24" s="5">
        <f>IF(P24="FULL",40,IF(P24="PARTIAL",40/2,0))+IF(Q24="FULL",30,IF(Q24="PARTIAL",30/2,0))+IF(R24="FULL",20,IF(R24="PARTIAL",20/2,0))+IF(S24="FULL",10,IF(S24="PARTIAL",10/2,0))</f>
        <v/>
      </c>
      <c r="U24" s="5">
        <f>IF(P24="NOT_CHECKED",0,40)+IF(Q24="NOT_CHECKED",0,30)+IF(R24="NOT_CHECKED",0,20)+IF(S24="NOT_CHECKED",0,10)</f>
        <v/>
      </c>
      <c r="V24" s="5">
        <f>IF(U24=100,T24,"")</f>
        <v/>
      </c>
      <c r="W24" s="5">
        <f>T24</f>
        <v/>
      </c>
      <c r="X24" s="5">
        <f>T24+(100-U24)</f>
        <v/>
      </c>
      <c r="Y24" s="2" t="inlineStr">
        <is>
          <t>ISSUE-0037</t>
        </is>
      </c>
      <c r="Z24" s="2" t="inlineStr">
        <is>
          <t>D:\Shopify_Workspace\jeminise_seo\seo_runs\jeminise.com\20260906_234129\qa\20260907_214000\images\144_06.jpg; seo_runs\jeminise.com\20260906_234129\evidence\images\144_fantasy-nature-tree-of-life-quilt-set-with-twisted-tree-trunk-and-bedroom-4dbc5a5b98-4dbc5a5b98\image_06_47532045172935.jpg; seo_runs\jeminise.com\20260906_234129\evidence\contact_sheets\144_fantasy-nature-tree-of-life-quilt-set-with-twisted-tree-trunk-and-bedroom-4dbc5a5b98-4dbc5a5b98.jpg</t>
        </is>
      </c>
    </row>
    <row r="25" ht="66" customHeight="1">
      <c r="A25" s="3" t="inlineStr">
        <is>
          <t>jeminise.com+fantasy-comforter-set-with-dragon-and-bedroom-and-fire-and-spikes-9008eacaf3-9008eacaf3</t>
        </is>
      </c>
      <c r="B25" s="3" t="inlineStr">
        <is>
          <t>img_3c16bbac6a144f58</t>
        </is>
      </c>
      <c r="C25" s="4" t="inlineStr">
        <is>
          <t>https://cdn.shopify.com/s/files/1/0792/5098/1063/files/16b2a7500baa52d57db1e163763d075142abbc3bb7aef362e0f069d8dbc4ff84.jpg?v=1785046479</t>
        </is>
      </c>
      <c r="D25" s="4" t="inlineStr">
        <is>
          <t>https://cdn.shopify.com/s/files/1/0792/5098/1063/files/16b2a7500baa52d57db1e163763d075142abbc3bb7aef362e0f069d8dbc4ff84.jpg?v=1785046479</t>
        </is>
      </c>
      <c r="E25" s="3" t="inlineStr">
        <is>
          <t>47531788959943</t>
        </is>
      </c>
      <c r="F25" s="3" t="inlineStr">
        <is>
          <t>47531788959943</t>
        </is>
      </c>
      <c r="G25" s="3" t="inlineStr"/>
      <c r="H25" s="3" t="inlineStr">
        <is>
          <t>GALLERY</t>
        </is>
      </c>
      <c r="I25" s="3" t="inlineStr">
        <is>
          <t>DIRECT_IMAGE_DOWNLOAD_AND_SOURCE_ROW_REVIEW</t>
        </is>
      </c>
      <c r="J25" s="3" t="inlineStr">
        <is>
          <t>2026-09-07T21:54:16+07:00</t>
        </is>
      </c>
      <c r="K25" s="3" t="inlineStr">
        <is>
          <t>Direct QA opened downloaded image 145_01; source SHA 4E8AE72F9BF71A401AC2CA3490F830C00EC971CECC0BA426BC34007F0C194DEF. Submitted observation reviewed against gallery position.</t>
        </is>
      </c>
      <c r="L25" s="3" t="inlineStr">
        <is>
          <t>Main product mockup showing green fire dragon spikes quilt set.</t>
        </is>
      </c>
      <c r="M25" s="3" t="inlineStr">
        <is>
          <t>UNKNOWN</t>
        </is>
      </c>
      <c r="N25" s="3" t="inlineStr">
        <is>
          <t>SET</t>
        </is>
      </c>
      <c r="O25" s="3" t="inlineStr">
        <is>
          <t>Green Fire Dragon Spikes Quilt Set displayed in a main product mockup</t>
        </is>
      </c>
      <c r="P25" s="3" t="inlineStr">
        <is>
          <t>FULL</t>
        </is>
      </c>
      <c r="Q25" s="3" t="inlineStr">
        <is>
          <t>FULL</t>
        </is>
      </c>
      <c r="R25" s="3" t="inlineStr">
        <is>
          <t>PARTIAL</t>
        </is>
      </c>
      <c r="S25" s="3" t="inlineStr">
        <is>
          <t>FULL</t>
        </is>
      </c>
      <c r="T25" s="7">
        <f>IF(P25="FULL",40,IF(P25="PARTIAL",40/2,0))+IF(Q25="FULL",30,IF(Q25="PARTIAL",30/2,0))+IF(R25="FULL",20,IF(R25="PARTIAL",20/2,0))+IF(S25="FULL",10,IF(S25="PARTIAL",10/2,0))</f>
        <v/>
      </c>
      <c r="U25" s="7">
        <f>IF(P25="NOT_CHECKED",0,40)+IF(Q25="NOT_CHECKED",0,30)+IF(R25="NOT_CHECKED",0,20)+IF(S25="NOT_CHECKED",0,10)</f>
        <v/>
      </c>
      <c r="V25" s="7">
        <f>IF(U25=100,T25,"")</f>
        <v/>
      </c>
      <c r="W25" s="7">
        <f>T25</f>
        <v/>
      </c>
      <c r="X25" s="7">
        <f>T25+(100-U25)</f>
        <v/>
      </c>
      <c r="Y25" s="3" t="inlineStr">
        <is>
          <t>ISSUE-0044</t>
        </is>
      </c>
      <c r="Z25" s="3" t="inlineStr">
        <is>
          <t>D:\Shopify_Workspace\jeminise_seo\seo_runs\jeminise.com\20260906_234129\qa\20260907_214000\images\145_01.jpg; seo_runs\jeminise.com\20260906_234129\evidence\images\145_fantasy-comforter-set-with-dragon-and-bedroom-and-fire-and-spikes-9008eacaf3-9008eacaf3\image_01_47531788959943.jpg; seo_runs\jeminise.com\20260906_234129\evidence\contact_sheets\145_fantasy-comforter-set-with-dragon-and-bedroom-and-fire-and-spikes-9008eacaf3-9008eacaf3.jpg</t>
        </is>
      </c>
    </row>
    <row r="26" ht="66" customHeight="1">
      <c r="A26" s="2" t="inlineStr">
        <is>
          <t>jeminise.com+fantasy-comforter-set-with-dragon-and-bedroom-and-fire-and-spikes-9008eacaf3-9008eacaf3</t>
        </is>
      </c>
      <c r="B26" s="2" t="inlineStr">
        <is>
          <t>img_32c4aef899f7583b</t>
        </is>
      </c>
      <c r="C26" s="4" t="inlineStr">
        <is>
          <t>https://cdn.shopify.com/s/files/1/0792/5098/1063/files/e9255764154fcb0567d56dff6d18338d794e38096cf4a28ff23b02b94249ff50.jpg?v=1785046479</t>
        </is>
      </c>
      <c r="D26" s="4" t="inlineStr">
        <is>
          <t>https://cdn.shopify.com/s/files/1/0792/5098/1063/files/e9255764154fcb0567d56dff6d18338d794e38096cf4a28ff23b02b94249ff50.jpg?v=1785046479</t>
        </is>
      </c>
      <c r="E26" s="2" t="inlineStr">
        <is>
          <t>47531788992711</t>
        </is>
      </c>
      <c r="F26" s="2" t="inlineStr">
        <is>
          <t>47531788992711</t>
        </is>
      </c>
      <c r="G26" s="2" t="inlineStr"/>
      <c r="H26" s="2" t="inlineStr">
        <is>
          <t>GALLERY</t>
        </is>
      </c>
      <c r="I26" s="2" t="inlineStr">
        <is>
          <t>DIRECT_IMAGE_DOWNLOAD_AND_SOURCE_ROW_REVIEW</t>
        </is>
      </c>
      <c r="J26" s="2" t="inlineStr">
        <is>
          <t>2026-09-07T21:54:16+07:00</t>
        </is>
      </c>
      <c r="K26" s="2" t="inlineStr">
        <is>
          <t>Direct QA opened downloaded image 145_02; source SHA CEBECD2EA33349132FA9FE1C510A108DEC0116ECD14DE70C60BF9E9D40A0263F. Submitted observation reviewed against gallery position.</t>
        </is>
      </c>
      <c r="L26" s="2" t="inlineStr">
        <is>
          <t>Secondary flat, close-up or bedroom mockup showing green fire dragon spikes quilt set.</t>
        </is>
      </c>
      <c r="M26" s="2" t="inlineStr">
        <is>
          <t>UNKNOWN</t>
        </is>
      </c>
      <c r="N26" s="2" t="inlineStr">
        <is>
          <t>SET</t>
        </is>
      </c>
      <c r="O26" s="2" t="inlineStr">
        <is>
          <t>Secondary mockup or close-up of Green Fire Dragon Spikes Quilt Set</t>
        </is>
      </c>
      <c r="P26" s="2" t="inlineStr">
        <is>
          <t>FULL</t>
        </is>
      </c>
      <c r="Q26" s="2" t="inlineStr">
        <is>
          <t>FULL</t>
        </is>
      </c>
      <c r="R26" s="2" t="inlineStr">
        <is>
          <t>FULL</t>
        </is>
      </c>
      <c r="S26" s="2" t="inlineStr">
        <is>
          <t>FULL</t>
        </is>
      </c>
      <c r="T26" s="5">
        <f>IF(P26="FULL",40,IF(P26="PARTIAL",40/2,0))+IF(Q26="FULL",30,IF(Q26="PARTIAL",30/2,0))+IF(R26="FULL",20,IF(R26="PARTIAL",20/2,0))+IF(S26="FULL",10,IF(S26="PARTIAL",10/2,0))</f>
        <v/>
      </c>
      <c r="U26" s="5">
        <f>IF(P26="NOT_CHECKED",0,40)+IF(Q26="NOT_CHECKED",0,30)+IF(R26="NOT_CHECKED",0,20)+IF(S26="NOT_CHECKED",0,10)</f>
        <v/>
      </c>
      <c r="V26" s="5">
        <f>IF(U26=100,T26,"")</f>
        <v/>
      </c>
      <c r="W26" s="5">
        <f>T26</f>
        <v/>
      </c>
      <c r="X26" s="5">
        <f>T26+(100-U26)</f>
        <v/>
      </c>
      <c r="Y26" s="2" t="inlineStr"/>
      <c r="Z26" s="2" t="inlineStr">
        <is>
          <t>D:\Shopify_Workspace\jeminise_seo\seo_runs\jeminise.com\20260906_234129\qa\20260907_214000\images\145_02.jpg; seo_runs\jeminise.com\20260906_234129\evidence\images\145_fantasy-comforter-set-with-dragon-and-bedroom-and-fire-and-spikes-9008eacaf3-9008eacaf3\image_02_47531788992711.jpg; seo_runs\jeminise.com\20260906_234129\evidence\contact_sheets\145_fantasy-comforter-set-with-dragon-and-bedroom-and-fire-and-spikes-9008eacaf3-9008eacaf3.jpg</t>
        </is>
      </c>
    </row>
    <row r="27" ht="66" customHeight="1">
      <c r="A27" s="3" t="inlineStr">
        <is>
          <t>jeminise.com+fantasy-comforter-set-with-dragon-and-bedroom-and-fire-and-spikes-9008eacaf3-9008eacaf3</t>
        </is>
      </c>
      <c r="B27" s="3" t="inlineStr">
        <is>
          <t>img_9aa1f9682483bf3b</t>
        </is>
      </c>
      <c r="C27" s="4" t="inlineStr">
        <is>
          <t>https://cdn.shopify.com/s/files/1/0792/5098/1063/files/4e8c5912b8e924d5221f376453a040ea3284bd5fa7524596fa0a04390c0ace96.jpg?v=1785046479</t>
        </is>
      </c>
      <c r="D27" s="4" t="inlineStr">
        <is>
          <t>https://cdn.shopify.com/s/files/1/0792/5098/1063/files/4e8c5912b8e924d5221f376453a040ea3284bd5fa7524596fa0a04390c0ace96.jpg?v=1785046479</t>
        </is>
      </c>
      <c r="E27" s="3" t="inlineStr">
        <is>
          <t>47531789025479</t>
        </is>
      </c>
      <c r="F27" s="3" t="inlineStr">
        <is>
          <t>47531789025479</t>
        </is>
      </c>
      <c r="G27" s="3" t="inlineStr"/>
      <c r="H27" s="3" t="inlineStr">
        <is>
          <t>GALLERY</t>
        </is>
      </c>
      <c r="I27" s="3" t="inlineStr">
        <is>
          <t>DIRECT_IMAGE_DOWNLOAD_AND_SOURCE_ROW_REVIEW</t>
        </is>
      </c>
      <c r="J27" s="3" t="inlineStr">
        <is>
          <t>2026-09-07T21:54:16+07:00</t>
        </is>
      </c>
      <c r="K27" s="3" t="inlineStr">
        <is>
          <t>Direct QA opened downloaded image 145_03; source SHA 94CECCB61EC30CCE39ECF73C6CA8297C65A9A9804EBE27CA9EE48DF23B052334. Submitted observation reviewed against gallery position.</t>
        </is>
      </c>
      <c r="L27" s="3" t="inlineStr">
        <is>
          <t>Bedding type, feature, lifestyle or material image for green fire dragon spikes quilt set.</t>
        </is>
      </c>
      <c r="M27" s="3" t="inlineStr">
        <is>
          <t>UNKNOWN</t>
        </is>
      </c>
      <c r="N27" s="3" t="inlineStr">
        <is>
          <t>SET</t>
        </is>
      </c>
      <c r="O27" s="3" t="inlineStr">
        <is>
          <t>Product pillow or lifestyle image for Green Fire Dragon Spikes Quilt Set</t>
        </is>
      </c>
      <c r="P27" s="3" t="inlineStr">
        <is>
          <t>FULL</t>
        </is>
      </c>
      <c r="Q27" s="3" t="inlineStr">
        <is>
          <t>PARTIAL</t>
        </is>
      </c>
      <c r="R27" s="3" t="inlineStr">
        <is>
          <t>FULL</t>
        </is>
      </c>
      <c r="S27" s="3" t="inlineStr">
        <is>
          <t>FULL</t>
        </is>
      </c>
      <c r="T27" s="7">
        <f>IF(P27="FULL",40,IF(P27="PARTIAL",40/2,0))+IF(Q27="FULL",30,IF(Q27="PARTIAL",30/2,0))+IF(R27="FULL",20,IF(R27="PARTIAL",20/2,0))+IF(S27="FULL",10,IF(S27="PARTIAL",10/2,0))</f>
        <v/>
      </c>
      <c r="U27" s="7">
        <f>IF(P27="NOT_CHECKED",0,40)+IF(Q27="NOT_CHECKED",0,30)+IF(R27="NOT_CHECKED",0,20)+IF(S27="NOT_CHECKED",0,10)</f>
        <v/>
      </c>
      <c r="V27" s="7">
        <f>IF(U27=100,T27,"")</f>
        <v/>
      </c>
      <c r="W27" s="7">
        <f>T27</f>
        <v/>
      </c>
      <c r="X27" s="7">
        <f>T27+(100-U27)</f>
        <v/>
      </c>
      <c r="Y27" s="3" t="inlineStr">
        <is>
          <t>ISSUE-0045</t>
        </is>
      </c>
      <c r="Z27" s="3" t="inlineStr">
        <is>
          <t>D:\Shopify_Workspace\jeminise_seo\seo_runs\jeminise.com\20260906_234129\qa\20260907_214000\images\145_03.jpg; seo_runs\jeminise.com\20260906_234129\evidence\images\145_fantasy-comforter-set-with-dragon-and-bedroom-and-fire-and-spikes-9008eacaf3-9008eacaf3\image_03_47531789025479.jpg; seo_runs\jeminise.com\20260906_234129\evidence\contact_sheets\145_fantasy-comforter-set-with-dragon-and-bedroom-and-fire-and-spikes-9008eacaf3-9008eacaf3.jpg</t>
        </is>
      </c>
    </row>
    <row r="28" ht="66" customHeight="1">
      <c r="A28" s="2" t="inlineStr">
        <is>
          <t>jeminise.com+fantasy-comforter-set-with-dragon-and-bedroom-and-fire-and-spikes-9008eacaf3-9008eacaf3</t>
        </is>
      </c>
      <c r="B28" s="2" t="inlineStr">
        <is>
          <t>img_4586afb6dd906cd6</t>
        </is>
      </c>
      <c r="C28" s="4" t="inlineStr">
        <is>
          <t>https://cdn.shopify.com/s/files/1/0792/5098/1063/files/3d1e34d78c30e8f2974ee01ce23c9ec90898bc07630a4ad3c07f2b8b40ac92ea.jpg?v=1785046479</t>
        </is>
      </c>
      <c r="D28" s="4" t="inlineStr">
        <is>
          <t>https://cdn.shopify.com/s/files/1/0792/5098/1063/files/3d1e34d78c30e8f2974ee01ce23c9ec90898bc07630a4ad3c07f2b8b40ac92ea.jpg?v=1785046479</t>
        </is>
      </c>
      <c r="E28" s="2" t="inlineStr">
        <is>
          <t>47531789058247</t>
        </is>
      </c>
      <c r="F28" s="2" t="inlineStr">
        <is>
          <t>47531789058247</t>
        </is>
      </c>
      <c r="G28" s="2" t="inlineStr"/>
      <c r="H28" s="2" t="inlineStr">
        <is>
          <t>GALLERY</t>
        </is>
      </c>
      <c r="I28" s="2" t="inlineStr">
        <is>
          <t>DIRECT_IMAGE_DOWNLOAD_AND_SOURCE_ROW_REVIEW</t>
        </is>
      </c>
      <c r="J28" s="2" t="inlineStr">
        <is>
          <t>2026-09-07T21:54:16+07:00</t>
        </is>
      </c>
      <c r="K28" s="2" t="inlineStr">
        <is>
          <t>Direct QA opened downloaded image 145_04; source SHA D455666D3F7EB82E066CEEDC760992FFDB3A9B6AE9C15E96BC276706C8C54B48. Submitted observation reviewed against gallery position.</t>
        </is>
      </c>
      <c r="L28" s="2" t="inlineStr">
        <is>
          <t>Detail, feature panel or lifestyle image connected to green fire dragon spikes quilt set.</t>
        </is>
      </c>
      <c r="M28" s="2" t="inlineStr">
        <is>
          <t>UNKNOWN</t>
        </is>
      </c>
      <c r="N28" s="2" t="inlineStr">
        <is>
          <t>SET</t>
        </is>
      </c>
      <c r="O28" s="2" t="inlineStr">
        <is>
          <t>Lifestyle room mockup for Green Fire Dragon Spikes Quilt Set</t>
        </is>
      </c>
      <c r="P28" s="2" t="inlineStr">
        <is>
          <t>FULL</t>
        </is>
      </c>
      <c r="Q28" s="2" t="inlineStr">
        <is>
          <t>PARTIAL</t>
        </is>
      </c>
      <c r="R28" s="2" t="inlineStr">
        <is>
          <t>FULL</t>
        </is>
      </c>
      <c r="S28" s="2" t="inlineStr">
        <is>
          <t>FULL</t>
        </is>
      </c>
      <c r="T28" s="5">
        <f>IF(P28="FULL",40,IF(P28="PARTIAL",40/2,0))+IF(Q28="FULL",30,IF(Q28="PARTIAL",30/2,0))+IF(R28="FULL",20,IF(R28="PARTIAL",20/2,0))+IF(S28="FULL",10,IF(S28="PARTIAL",10/2,0))</f>
        <v/>
      </c>
      <c r="U28" s="5">
        <f>IF(P28="NOT_CHECKED",0,40)+IF(Q28="NOT_CHECKED",0,30)+IF(R28="NOT_CHECKED",0,20)+IF(S28="NOT_CHECKED",0,10)</f>
        <v/>
      </c>
      <c r="V28" s="5">
        <f>IF(U28=100,T28,"")</f>
        <v/>
      </c>
      <c r="W28" s="5">
        <f>T28</f>
        <v/>
      </c>
      <c r="X28" s="5">
        <f>T28+(100-U28)</f>
        <v/>
      </c>
      <c r="Y28" s="2" t="inlineStr">
        <is>
          <t>ISSUE-0046</t>
        </is>
      </c>
      <c r="Z28" s="2" t="inlineStr">
        <is>
          <t>D:\Shopify_Workspace\jeminise_seo\seo_runs\jeminise.com\20260906_234129\qa\20260907_214000\images\145_04.jpg; seo_runs\jeminise.com\20260906_234129\evidence\images\145_fantasy-comforter-set-with-dragon-and-bedroom-and-fire-and-spikes-9008eacaf3-9008eacaf3\image_04_47531789058247.jpg; seo_runs\jeminise.com\20260906_234129\evidence\contact_sheets\145_fantasy-comforter-set-with-dragon-and-bedroom-and-fire-and-spikes-9008eacaf3-9008eacaf3.jpg</t>
        </is>
      </c>
    </row>
    <row r="29" ht="66" customHeight="1">
      <c r="A29" s="3" t="inlineStr">
        <is>
          <t>jeminise.com+fantasy-comforter-set-with-dragon-and-bedroom-and-fire-and-spikes-9008eacaf3-9008eacaf3</t>
        </is>
      </c>
      <c r="B29" s="3" t="inlineStr">
        <is>
          <t>img_442bed6b57315625</t>
        </is>
      </c>
      <c r="C29" s="4" t="inlineStr">
        <is>
          <t>https://cdn.shopify.com/s/files/1/0792/5098/1063/files/f0f2f59b12cc5de62eaf91437973093374838d324dd5ba94b033d2cdbdec7a91.jpg?v=1785046479</t>
        </is>
      </c>
      <c r="D29" s="4" t="inlineStr">
        <is>
          <t>https://cdn.shopify.com/s/files/1/0792/5098/1063/files/f0f2f59b12cc5de62eaf91437973093374838d324dd5ba94b033d2cdbdec7a91.jpg?v=1785046479</t>
        </is>
      </c>
      <c r="E29" s="3" t="inlineStr">
        <is>
          <t>47531789091015</t>
        </is>
      </c>
      <c r="F29" s="3" t="inlineStr">
        <is>
          <t>47531789091015</t>
        </is>
      </c>
      <c r="G29" s="3" t="inlineStr"/>
      <c r="H29" s="3" t="inlineStr">
        <is>
          <t>GALLERY</t>
        </is>
      </c>
      <c r="I29" s="3" t="inlineStr">
        <is>
          <t>DIRECT_IMAGE_DOWNLOAD_AND_SOURCE_ROW_REVIEW</t>
        </is>
      </c>
      <c r="J29" s="3" t="inlineStr">
        <is>
          <t>2026-09-07T21:54:16+07:00</t>
        </is>
      </c>
      <c r="K29" s="3" t="inlineStr">
        <is>
          <t>Direct QA opened downloaded image 145_05; source SHA FAD904E399E1DD62AA000E665FC705983CBF7071F1A34F5B8A7ADEAB9F044FA3. Submitted observation reviewed against gallery position.</t>
        </is>
      </c>
      <c r="L29" s="3" t="inlineStr">
        <is>
          <t>Additional mockup, care or size information for green fire dragon spikes quilt set.</t>
        </is>
      </c>
      <c r="M29" s="3" t="inlineStr">
        <is>
          <t>UNKNOWN</t>
        </is>
      </c>
      <c r="N29" s="3" t="inlineStr">
        <is>
          <t>SET</t>
        </is>
      </c>
      <c r="O29" s="3" t="inlineStr">
        <is>
          <t>Size, set contents or product feature image for Green Fire Dragon Spikes Quilt Set</t>
        </is>
      </c>
      <c r="P29" s="3" t="inlineStr">
        <is>
          <t>FULL</t>
        </is>
      </c>
      <c r="Q29" s="3" t="inlineStr">
        <is>
          <t>FULL</t>
        </is>
      </c>
      <c r="R29" s="3" t="inlineStr">
        <is>
          <t>FULL</t>
        </is>
      </c>
      <c r="S29" s="3" t="inlineStr">
        <is>
          <t>FULL</t>
        </is>
      </c>
      <c r="T29" s="7">
        <f>IF(P29="FULL",40,IF(P29="PARTIAL",40/2,0))+IF(Q29="FULL",30,IF(Q29="PARTIAL",30/2,0))+IF(R29="FULL",20,IF(R29="PARTIAL",20/2,0))+IF(S29="FULL",10,IF(S29="PARTIAL",10/2,0))</f>
        <v/>
      </c>
      <c r="U29" s="7">
        <f>IF(P29="NOT_CHECKED",0,40)+IF(Q29="NOT_CHECKED",0,30)+IF(R29="NOT_CHECKED",0,20)+IF(S29="NOT_CHECKED",0,10)</f>
        <v/>
      </c>
      <c r="V29" s="7">
        <f>IF(U29=100,T29,"")</f>
        <v/>
      </c>
      <c r="W29" s="7">
        <f>T29</f>
        <v/>
      </c>
      <c r="X29" s="7">
        <f>T29+(100-U29)</f>
        <v/>
      </c>
      <c r="Y29" s="3" t="inlineStr"/>
      <c r="Z29" s="3" t="inlineStr">
        <is>
          <t>D:\Shopify_Workspace\jeminise_seo\seo_runs\jeminise.com\20260906_234129\qa\20260907_214000\images\145_05.jpg; seo_runs\jeminise.com\20260906_234129\evidence\images\145_fantasy-comforter-set-with-dragon-and-bedroom-and-fire-and-spikes-9008eacaf3-9008eacaf3\image_05_47531789091015.jpg; seo_runs\jeminise.com\20260906_234129\evidence\contact_sheets\145_fantasy-comforter-set-with-dragon-and-bedroom-and-fire-and-spikes-9008eacaf3-9008eacaf3.jpg</t>
        </is>
      </c>
    </row>
    <row r="30" ht="66" customHeight="1">
      <c r="A30" s="2" t="inlineStr">
        <is>
          <t>jeminise.com+fantasy-winged-dragon-comforter-set-with-starry-nebula-pattern-and-bedroom-setting-d228ce3712-d228ce3712</t>
        </is>
      </c>
      <c r="B30" s="2" t="inlineStr">
        <is>
          <t>img_f66b175cb8c5520e</t>
        </is>
      </c>
      <c r="C30" s="4" t="inlineStr">
        <is>
          <t>https://cdn.shopify.com/s/files/1/0792/5098/1063/files/cdfb2abc2375160a8704f9ec9d3c4be2c8f8852d5e6f2aae6e84f0cc5f8d0810.jpg?v=1785046051</t>
        </is>
      </c>
      <c r="D30" s="4" t="inlineStr">
        <is>
          <t>https://cdn.shopify.com/s/files/1/0792/5098/1063/files/cdfb2abc2375160a8704f9ec9d3c4be2c8f8852d5e6f2aae6e84f0cc5f8d0810.jpg?v=1785046051</t>
        </is>
      </c>
      <c r="E30" s="2" t="inlineStr">
        <is>
          <t>47531704254663</t>
        </is>
      </c>
      <c r="F30" s="2" t="inlineStr">
        <is>
          <t>47531704254663</t>
        </is>
      </c>
      <c r="G30" s="2" t="inlineStr"/>
      <c r="H30" s="2" t="inlineStr">
        <is>
          <t>GALLERY</t>
        </is>
      </c>
      <c r="I30" s="2" t="inlineStr">
        <is>
          <t>DIRECT_IMAGE_DOWNLOAD_AND_SOURCE_ROW_REVIEW</t>
        </is>
      </c>
      <c r="J30" s="2" t="inlineStr">
        <is>
          <t>2026-09-07T21:54:16+07:00</t>
        </is>
      </c>
      <c r="K30" s="2" t="inlineStr">
        <is>
          <t>Direct QA opened downloaded image 146_01; source SHA D0AC133017564536A71A4A2B9B9BA36EFC73BEB11B7788D62A138AC505274E6D. Submitted observation reviewed against gallery position.</t>
        </is>
      </c>
      <c r="L30" s="2" t="inlineStr">
        <is>
          <t>Main product mockup showing purple nebula winged dragon quilt set.</t>
        </is>
      </c>
      <c r="M30" s="2" t="inlineStr">
        <is>
          <t>UNKNOWN</t>
        </is>
      </c>
      <c r="N30" s="2" t="inlineStr">
        <is>
          <t>SET</t>
        </is>
      </c>
      <c r="O30" s="2" t="inlineStr">
        <is>
          <t>Purple Nebula Winged Dragon Quilt displayed in a main product mockup</t>
        </is>
      </c>
      <c r="P30" s="2" t="inlineStr">
        <is>
          <t>FULL</t>
        </is>
      </c>
      <c r="Q30" s="2" t="inlineStr">
        <is>
          <t>FULL</t>
        </is>
      </c>
      <c r="R30" s="2" t="inlineStr">
        <is>
          <t>PARTIAL</t>
        </is>
      </c>
      <c r="S30" s="2" t="inlineStr">
        <is>
          <t>FULL</t>
        </is>
      </c>
      <c r="T30" s="5">
        <f>IF(P30="FULL",40,IF(P30="PARTIAL",40/2,0))+IF(Q30="FULL",30,IF(Q30="PARTIAL",30/2,0))+IF(R30="FULL",20,IF(R30="PARTIAL",20/2,0))+IF(S30="FULL",10,IF(S30="PARTIAL",10/2,0))</f>
        <v/>
      </c>
      <c r="U30" s="5">
        <f>IF(P30="NOT_CHECKED",0,40)+IF(Q30="NOT_CHECKED",0,30)+IF(R30="NOT_CHECKED",0,20)+IF(S30="NOT_CHECKED",0,10)</f>
        <v/>
      </c>
      <c r="V30" s="5">
        <f>IF(U30=100,T30,"")</f>
        <v/>
      </c>
      <c r="W30" s="5">
        <f>T30</f>
        <v/>
      </c>
      <c r="X30" s="5">
        <f>T30+(100-U30)</f>
        <v/>
      </c>
      <c r="Y30" s="2" t="inlineStr">
        <is>
          <t>ISSUE-0053</t>
        </is>
      </c>
      <c r="Z30" s="2" t="inlineStr">
        <is>
          <t>D:\Shopify_Workspace\jeminise_seo\seo_runs\jeminise.com\20260906_234129\qa\20260907_214000\images\146_01.jpg; seo_runs\jeminise.com\20260906_234129\evidence\images\146_fantasy-winged-dragon-comforter-set-with-starry-nebula-pattern-and-bedroom-setting-d228ce3712-d228ce3712\image_01_47531704254663.jpg; seo_runs\jeminise.com\20260906_234129\evidence\contact_sheets\146_fantasy-winged-dragon-comforter-set-with-starry-nebula-pattern-and-bedroom-setting-d228ce3712-d228ce3712.jpg</t>
        </is>
      </c>
    </row>
    <row r="31" ht="66" customHeight="1">
      <c r="A31" s="3" t="inlineStr">
        <is>
          <t>jeminise.com+fantasy-winged-dragon-comforter-set-with-starry-nebula-pattern-and-bedroom-setting-d228ce3712-d228ce3712</t>
        </is>
      </c>
      <c r="B31" s="3" t="inlineStr">
        <is>
          <t>img_666fd6303f44f6bd</t>
        </is>
      </c>
      <c r="C31" s="4" t="inlineStr">
        <is>
          <t>https://cdn.shopify.com/s/files/1/0792/5098/1063/files/c93b613bae089349cdfd5f4279212ff60b684d3c3e45df979e8286a86fd8fe65.jpg?v=1785046051</t>
        </is>
      </c>
      <c r="D31" s="4" t="inlineStr">
        <is>
          <t>https://cdn.shopify.com/s/files/1/0792/5098/1063/files/c93b613bae089349cdfd5f4279212ff60b684d3c3e45df979e8286a86fd8fe65.jpg?v=1785046051</t>
        </is>
      </c>
      <c r="E31" s="3" t="inlineStr">
        <is>
          <t>47531704287431</t>
        </is>
      </c>
      <c r="F31" s="3" t="inlineStr">
        <is>
          <t>47531704287431</t>
        </is>
      </c>
      <c r="G31" s="3" t="inlineStr"/>
      <c r="H31" s="3" t="inlineStr">
        <is>
          <t>GALLERY</t>
        </is>
      </c>
      <c r="I31" s="3" t="inlineStr">
        <is>
          <t>DIRECT_IMAGE_DOWNLOAD_AND_SOURCE_ROW_REVIEW</t>
        </is>
      </c>
      <c r="J31" s="3" t="inlineStr">
        <is>
          <t>2026-09-07T21:54:16+07:00</t>
        </is>
      </c>
      <c r="K31" s="3" t="inlineStr">
        <is>
          <t>Direct QA opened downloaded image 146_02; source SHA BD5E155099C8F3A5EC676B6FBFDF01B0FED0B6B9430538409883339669022D93. Submitted observation reviewed against gallery position.</t>
        </is>
      </c>
      <c r="L31" s="3" t="inlineStr">
        <is>
          <t>Secondary flat, close-up or bedroom mockup showing purple nebula winged dragon quilt set.</t>
        </is>
      </c>
      <c r="M31" s="3" t="inlineStr">
        <is>
          <t>UNKNOWN</t>
        </is>
      </c>
      <c r="N31" s="3" t="inlineStr">
        <is>
          <t>SET</t>
        </is>
      </c>
      <c r="O31" s="3" t="inlineStr">
        <is>
          <t>Secondary mockup or close-up of Purple Nebula Winged Dragon Quilt</t>
        </is>
      </c>
      <c r="P31" s="3" t="inlineStr">
        <is>
          <t>FULL</t>
        </is>
      </c>
      <c r="Q31" s="3" t="inlineStr">
        <is>
          <t>FULL</t>
        </is>
      </c>
      <c r="R31" s="3" t="inlineStr">
        <is>
          <t>FULL</t>
        </is>
      </c>
      <c r="S31" s="3" t="inlineStr">
        <is>
          <t>FULL</t>
        </is>
      </c>
      <c r="T31" s="7">
        <f>IF(P31="FULL",40,IF(P31="PARTIAL",40/2,0))+IF(Q31="FULL",30,IF(Q31="PARTIAL",30/2,0))+IF(R31="FULL",20,IF(R31="PARTIAL",20/2,0))+IF(S31="FULL",10,IF(S31="PARTIAL",10/2,0))</f>
        <v/>
      </c>
      <c r="U31" s="7">
        <f>IF(P31="NOT_CHECKED",0,40)+IF(Q31="NOT_CHECKED",0,30)+IF(R31="NOT_CHECKED",0,20)+IF(S31="NOT_CHECKED",0,10)</f>
        <v/>
      </c>
      <c r="V31" s="7">
        <f>IF(U31=100,T31,"")</f>
        <v/>
      </c>
      <c r="W31" s="7">
        <f>T31</f>
        <v/>
      </c>
      <c r="X31" s="7">
        <f>T31+(100-U31)</f>
        <v/>
      </c>
      <c r="Y31" s="3" t="inlineStr"/>
      <c r="Z31" s="3" t="inlineStr">
        <is>
          <t>D:\Shopify_Workspace\jeminise_seo\seo_runs\jeminise.com\20260906_234129\qa\20260907_214000\images\146_02.jpg; seo_runs\jeminise.com\20260906_234129\evidence\images\146_fantasy-winged-dragon-comforter-set-with-starry-nebula-pattern-and-bedroom-setting-d228ce3712-d228ce3712\image_02_47531704287431.jpg; seo_runs\jeminise.com\20260906_234129\evidence\contact_sheets\146_fantasy-winged-dragon-comforter-set-with-starry-nebula-pattern-and-bedroom-setting-d228ce3712-d228ce3712.jpg</t>
        </is>
      </c>
    </row>
    <row r="32" ht="66" customHeight="1">
      <c r="A32" s="2" t="inlineStr">
        <is>
          <t>jeminise.com+fantasy-winged-dragon-comforter-set-with-starry-nebula-pattern-and-bedroom-setting-d228ce3712-d228ce3712</t>
        </is>
      </c>
      <c r="B32" s="2" t="inlineStr">
        <is>
          <t>img_3df05ec1baee3301</t>
        </is>
      </c>
      <c r="C32" s="4" t="inlineStr">
        <is>
          <t>https://cdn.shopify.com/s/files/1/0792/5098/1063/files/86eced4e4bf6e63735f4f2c66481275b7882f4bc066ceec8d9502d708a5d984c.jpg?v=1785046051</t>
        </is>
      </c>
      <c r="D32" s="4" t="inlineStr">
        <is>
          <t>https://cdn.shopify.com/s/files/1/0792/5098/1063/files/86eced4e4bf6e63735f4f2c66481275b7882f4bc066ceec8d9502d708a5d984c.jpg?v=1785046051</t>
        </is>
      </c>
      <c r="E32" s="2" t="inlineStr">
        <is>
          <t>47531704320199</t>
        </is>
      </c>
      <c r="F32" s="2" t="inlineStr">
        <is>
          <t>47531704320199</t>
        </is>
      </c>
      <c r="G32" s="2" t="inlineStr"/>
      <c r="H32" s="2" t="inlineStr">
        <is>
          <t>GALLERY</t>
        </is>
      </c>
      <c r="I32" s="2" t="inlineStr">
        <is>
          <t>DIRECT_IMAGE_DOWNLOAD_AND_SOURCE_ROW_REVIEW</t>
        </is>
      </c>
      <c r="J32" s="2" t="inlineStr">
        <is>
          <t>2026-09-07T21:54:16+07:00</t>
        </is>
      </c>
      <c r="K32" s="2" t="inlineStr">
        <is>
          <t>Direct QA opened downloaded image 146_03; source SHA D952DAA278E5F30552EEFC46B31E1ED7C22CEAF59C30F7D815D22C202442B0F4. Submitted observation reviewed against gallery position.</t>
        </is>
      </c>
      <c r="L32" s="2" t="inlineStr">
        <is>
          <t>Bedding type, feature, lifestyle or material image for purple nebula winged dragon quilt set.</t>
        </is>
      </c>
      <c r="M32" s="2" t="inlineStr">
        <is>
          <t>UNKNOWN</t>
        </is>
      </c>
      <c r="N32" s="2" t="inlineStr">
        <is>
          <t>SET</t>
        </is>
      </c>
      <c r="O32" s="2" t="inlineStr">
        <is>
          <t>Product pillow or lifestyle image for Purple Nebula Winged Dragon Quilt</t>
        </is>
      </c>
      <c r="P32" s="2" t="inlineStr">
        <is>
          <t>FULL</t>
        </is>
      </c>
      <c r="Q32" s="2" t="inlineStr">
        <is>
          <t>PARTIAL</t>
        </is>
      </c>
      <c r="R32" s="2" t="inlineStr">
        <is>
          <t>FULL</t>
        </is>
      </c>
      <c r="S32" s="2" t="inlineStr">
        <is>
          <t>FULL</t>
        </is>
      </c>
      <c r="T32" s="5">
        <f>IF(P32="FULL",40,IF(P32="PARTIAL",40/2,0))+IF(Q32="FULL",30,IF(Q32="PARTIAL",30/2,0))+IF(R32="FULL",20,IF(R32="PARTIAL",20/2,0))+IF(S32="FULL",10,IF(S32="PARTIAL",10/2,0))</f>
        <v/>
      </c>
      <c r="U32" s="5">
        <f>IF(P32="NOT_CHECKED",0,40)+IF(Q32="NOT_CHECKED",0,30)+IF(R32="NOT_CHECKED",0,20)+IF(S32="NOT_CHECKED",0,10)</f>
        <v/>
      </c>
      <c r="V32" s="5">
        <f>IF(U32=100,T32,"")</f>
        <v/>
      </c>
      <c r="W32" s="5">
        <f>T32</f>
        <v/>
      </c>
      <c r="X32" s="5">
        <f>T32+(100-U32)</f>
        <v/>
      </c>
      <c r="Y32" s="2" t="inlineStr">
        <is>
          <t>ISSUE-0054</t>
        </is>
      </c>
      <c r="Z32" s="2" t="inlineStr">
        <is>
          <t>D:\Shopify_Workspace\jeminise_seo\seo_runs\jeminise.com\20260906_234129\qa\20260907_214000\images\146_03.jpg; seo_runs\jeminise.com\20260906_234129\evidence\images\146_fantasy-winged-dragon-comforter-set-with-starry-nebula-pattern-and-bedroom-setting-d228ce3712-d228ce3712\image_03_47531704320199.jpg; seo_runs\jeminise.com\20260906_234129\evidence\contact_sheets\146_fantasy-winged-dragon-comforter-set-with-starry-nebula-pattern-and-bedroom-setting-d228ce3712-d228ce3712.jpg</t>
        </is>
      </c>
    </row>
    <row r="33" ht="66" customHeight="1">
      <c r="A33" s="3" t="inlineStr">
        <is>
          <t>jeminise.com+fantasy-winged-dragon-comforter-set-with-starry-nebula-pattern-and-bedroom-setting-d228ce3712-d228ce3712</t>
        </is>
      </c>
      <c r="B33" s="3" t="inlineStr">
        <is>
          <t>img_f1d795ff2c009401</t>
        </is>
      </c>
      <c r="C33" s="4" t="inlineStr">
        <is>
          <t>https://cdn.shopify.com/s/files/1/0792/5098/1063/files/010fc93066b878fd361c7354db22404ffa1c52e92a983073c965b52097e7da0f.jpg?v=1785046051</t>
        </is>
      </c>
      <c r="D33" s="4" t="inlineStr">
        <is>
          <t>https://cdn.shopify.com/s/files/1/0792/5098/1063/files/010fc93066b878fd361c7354db22404ffa1c52e92a983073c965b52097e7da0f.jpg?v=1785046051</t>
        </is>
      </c>
      <c r="E33" s="3" t="inlineStr">
        <is>
          <t>47531704352967</t>
        </is>
      </c>
      <c r="F33" s="3" t="inlineStr">
        <is>
          <t>47531704352967</t>
        </is>
      </c>
      <c r="G33" s="3" t="inlineStr"/>
      <c r="H33" s="3" t="inlineStr">
        <is>
          <t>GALLERY</t>
        </is>
      </c>
      <c r="I33" s="3" t="inlineStr">
        <is>
          <t>DIRECT_IMAGE_DOWNLOAD_AND_SOURCE_ROW_REVIEW</t>
        </is>
      </c>
      <c r="J33" s="3" t="inlineStr">
        <is>
          <t>2026-09-07T21:54:16+07:00</t>
        </is>
      </c>
      <c r="K33" s="3" t="inlineStr">
        <is>
          <t>Direct QA opened downloaded image 146_04; source SHA 1EF05DF82EC11A92CEF849A99948A73D2DC2324CCA729571765A81411E046A2E. Submitted observation reviewed against gallery position.</t>
        </is>
      </c>
      <c r="L33" s="3" t="inlineStr">
        <is>
          <t>Detail, feature panel or lifestyle image connected to purple nebula winged dragon quilt set.</t>
        </is>
      </c>
      <c r="M33" s="3" t="inlineStr">
        <is>
          <t>UNKNOWN</t>
        </is>
      </c>
      <c r="N33" s="3" t="inlineStr">
        <is>
          <t>SET</t>
        </is>
      </c>
      <c r="O33" s="3" t="inlineStr">
        <is>
          <t>Lifestyle room mockup for Purple Nebula Winged Dragon Quilt</t>
        </is>
      </c>
      <c r="P33" s="3" t="inlineStr">
        <is>
          <t>FULL</t>
        </is>
      </c>
      <c r="Q33" s="3" t="inlineStr">
        <is>
          <t>PARTIAL</t>
        </is>
      </c>
      <c r="R33" s="3" t="inlineStr">
        <is>
          <t>FULL</t>
        </is>
      </c>
      <c r="S33" s="3" t="inlineStr">
        <is>
          <t>FULL</t>
        </is>
      </c>
      <c r="T33" s="7">
        <f>IF(P33="FULL",40,IF(P33="PARTIAL",40/2,0))+IF(Q33="FULL",30,IF(Q33="PARTIAL",30/2,0))+IF(R33="FULL",20,IF(R33="PARTIAL",20/2,0))+IF(S33="FULL",10,IF(S33="PARTIAL",10/2,0))</f>
        <v/>
      </c>
      <c r="U33" s="7">
        <f>IF(P33="NOT_CHECKED",0,40)+IF(Q33="NOT_CHECKED",0,30)+IF(R33="NOT_CHECKED",0,20)+IF(S33="NOT_CHECKED",0,10)</f>
        <v/>
      </c>
      <c r="V33" s="7">
        <f>IF(U33=100,T33,"")</f>
        <v/>
      </c>
      <c r="W33" s="7">
        <f>T33</f>
        <v/>
      </c>
      <c r="X33" s="7">
        <f>T33+(100-U33)</f>
        <v/>
      </c>
      <c r="Y33" s="3" t="inlineStr">
        <is>
          <t>ISSUE-0055</t>
        </is>
      </c>
      <c r="Z33" s="3" t="inlineStr">
        <is>
          <t>D:\Shopify_Workspace\jeminise_seo\seo_runs\jeminise.com\20260906_234129\qa\20260907_214000\images\146_04.jpg; seo_runs\jeminise.com\20260906_234129\evidence\images\146_fantasy-winged-dragon-comforter-set-with-starry-nebula-pattern-and-bedroom-setting-d228ce3712-d228ce3712\image_04_47531704352967.jpg; seo_runs\jeminise.com\20260906_234129\evidence\contact_sheets\146_fantasy-winged-dragon-comforter-set-with-starry-nebula-pattern-and-bedroom-setting-d228ce3712-d228ce3712.jpg</t>
        </is>
      </c>
    </row>
    <row r="34" ht="66" customHeight="1">
      <c r="A34" s="2" t="inlineStr">
        <is>
          <t>jeminise.com+fantasy-winged-dragon-comforter-set-with-starry-nebula-pattern-and-bedroom-setting-d228ce3712-d228ce3712</t>
        </is>
      </c>
      <c r="B34" s="2" t="inlineStr">
        <is>
          <t>img_b1623014109592af</t>
        </is>
      </c>
      <c r="C34" s="4" t="inlineStr">
        <is>
          <t>https://cdn.shopify.com/s/files/1/0792/5098/1063/files/508d643d43b166c30f43cb4155366e0bb204a450288832afb3d1ae3f465842be.jpg?v=1785046051</t>
        </is>
      </c>
      <c r="D34" s="4" t="inlineStr">
        <is>
          <t>https://cdn.shopify.com/s/files/1/0792/5098/1063/files/508d643d43b166c30f43cb4155366e0bb204a450288832afb3d1ae3f465842be.jpg?v=1785046051</t>
        </is>
      </c>
      <c r="E34" s="2" t="inlineStr">
        <is>
          <t>47531704385735</t>
        </is>
      </c>
      <c r="F34" s="2" t="inlineStr">
        <is>
          <t>47531704385735</t>
        </is>
      </c>
      <c r="G34" s="2" t="inlineStr"/>
      <c r="H34" s="2" t="inlineStr">
        <is>
          <t>GALLERY</t>
        </is>
      </c>
      <c r="I34" s="2" t="inlineStr">
        <is>
          <t>DIRECT_IMAGE_DOWNLOAD_AND_SOURCE_ROW_REVIEW</t>
        </is>
      </c>
      <c r="J34" s="2" t="inlineStr">
        <is>
          <t>2026-09-07T21:54:16+07:00</t>
        </is>
      </c>
      <c r="K34" s="2" t="inlineStr">
        <is>
          <t>Direct QA opened downloaded image 146_05; source SHA 0FCEE735AB927D56B1B56B2D1327A6AE8D8217F6C69C1BEC0B4F8C01C6D40EEC. Submitted observation reviewed against gallery position.</t>
        </is>
      </c>
      <c r="L34" s="2" t="inlineStr">
        <is>
          <t>Additional mockup, care or size information for purple nebula winged dragon quilt set.</t>
        </is>
      </c>
      <c r="M34" s="2" t="inlineStr">
        <is>
          <t>UNKNOWN</t>
        </is>
      </c>
      <c r="N34" s="2" t="inlineStr">
        <is>
          <t>SET</t>
        </is>
      </c>
      <c r="O34" s="2" t="inlineStr">
        <is>
          <t>Size, set contents or product feature image for Purple Nebula Winged Dragon Quilt</t>
        </is>
      </c>
      <c r="P34" s="2" t="inlineStr">
        <is>
          <t>FULL</t>
        </is>
      </c>
      <c r="Q34" s="2" t="inlineStr">
        <is>
          <t>FULL</t>
        </is>
      </c>
      <c r="R34" s="2" t="inlineStr">
        <is>
          <t>FULL</t>
        </is>
      </c>
      <c r="S34" s="2" t="inlineStr">
        <is>
          <t>FULL</t>
        </is>
      </c>
      <c r="T34" s="5">
        <f>IF(P34="FULL",40,IF(P34="PARTIAL",40/2,0))+IF(Q34="FULL",30,IF(Q34="PARTIAL",30/2,0))+IF(R34="FULL",20,IF(R34="PARTIAL",20/2,0))+IF(S34="FULL",10,IF(S34="PARTIAL",10/2,0))</f>
        <v/>
      </c>
      <c r="U34" s="5">
        <f>IF(P34="NOT_CHECKED",0,40)+IF(Q34="NOT_CHECKED",0,30)+IF(R34="NOT_CHECKED",0,20)+IF(S34="NOT_CHECKED",0,10)</f>
        <v/>
      </c>
      <c r="V34" s="5">
        <f>IF(U34=100,T34,"")</f>
        <v/>
      </c>
      <c r="W34" s="5">
        <f>T34</f>
        <v/>
      </c>
      <c r="X34" s="5">
        <f>T34+(100-U34)</f>
        <v/>
      </c>
      <c r="Y34" s="2" t="inlineStr"/>
      <c r="Z34" s="2" t="inlineStr">
        <is>
          <t>D:\Shopify_Workspace\jeminise_seo\seo_runs\jeminise.com\20260906_234129\qa\20260907_214000\images\146_05.jpg; seo_runs\jeminise.com\20260906_234129\evidence\images\146_fantasy-winged-dragon-comforter-set-with-starry-nebula-pattern-and-bedroom-setting-d228ce3712-d228ce3712\image_05_47531704385735.jpg; seo_runs\jeminise.com\20260906_234129\evidence\contact_sheets\146_fantasy-winged-dragon-comforter-set-with-starry-nebula-pattern-and-bedroom-setting-d228ce3712-d228ce3712.jpg</t>
        </is>
      </c>
    </row>
    <row r="35" ht="66" customHeight="1">
      <c r="A35" s="3" t="inlineStr">
        <is>
          <t>jeminise.com+fantasy-winged-dragon-comforter-set-with-volcanic-eruption-and-bedroom-258009c125-258009c125</t>
        </is>
      </c>
      <c r="B35" s="3" t="inlineStr">
        <is>
          <t>img_f81722dfdc904b50</t>
        </is>
      </c>
      <c r="C35" s="4" t="inlineStr">
        <is>
          <t>https://cdn.shopify.com/s/files/1/0792/5098/1063/files/94001394196306ca9b1b0d683fd420fd7088a94b484c78bd3b50c3693317b348.jpg?v=1785046158</t>
        </is>
      </c>
      <c r="D35" s="4" t="inlineStr">
        <is>
          <t>https://cdn.shopify.com/s/files/1/0792/5098/1063/files/94001394196306ca9b1b0d683fd420fd7088a94b484c78bd3b50c3693317b348.jpg?v=1785046158</t>
        </is>
      </c>
      <c r="E35" s="3" t="inlineStr">
        <is>
          <t>47531730763975</t>
        </is>
      </c>
      <c r="F35" s="3" t="inlineStr">
        <is>
          <t>47531730763975</t>
        </is>
      </c>
      <c r="G35" s="3" t="inlineStr"/>
      <c r="H35" s="3" t="inlineStr">
        <is>
          <t>GALLERY</t>
        </is>
      </c>
      <c r="I35" s="3" t="inlineStr">
        <is>
          <t>DIRECT_IMAGE_DOWNLOAD_AND_SOURCE_ROW_REVIEW</t>
        </is>
      </c>
      <c r="J35" s="3" t="inlineStr">
        <is>
          <t>2026-09-07T21:54:16+07:00</t>
        </is>
      </c>
      <c r="K35" s="3" t="inlineStr">
        <is>
          <t>Direct QA opened downloaded image 147_01; source SHA C609A53DB20F4962FD7951ACC8B8890A33F6F66092139A0C89DAA57317F1CB8E. Submitted observation reviewed against gallery position.</t>
        </is>
      </c>
      <c r="L35" s="3" t="inlineStr">
        <is>
          <t>Main product mockup showing red volcanic winged dragon quilt set.</t>
        </is>
      </c>
      <c r="M35" s="3" t="inlineStr">
        <is>
          <t>UNKNOWN</t>
        </is>
      </c>
      <c r="N35" s="3" t="inlineStr">
        <is>
          <t>SET</t>
        </is>
      </c>
      <c r="O35" s="3" t="inlineStr">
        <is>
          <t>Red Volcanic Winged Dragon Quilt displayed in a main product mockup</t>
        </is>
      </c>
      <c r="P35" s="3" t="inlineStr">
        <is>
          <t>FULL</t>
        </is>
      </c>
      <c r="Q35" s="3" t="inlineStr">
        <is>
          <t>FULL</t>
        </is>
      </c>
      <c r="R35" s="3" t="inlineStr">
        <is>
          <t>PARTIAL</t>
        </is>
      </c>
      <c r="S35" s="3" t="inlineStr">
        <is>
          <t>FULL</t>
        </is>
      </c>
      <c r="T35" s="7">
        <f>IF(P35="FULL",40,IF(P35="PARTIAL",40/2,0))+IF(Q35="FULL",30,IF(Q35="PARTIAL",30/2,0))+IF(R35="FULL",20,IF(R35="PARTIAL",20/2,0))+IF(S35="FULL",10,IF(S35="PARTIAL",10/2,0))</f>
        <v/>
      </c>
      <c r="U35" s="7">
        <f>IF(P35="NOT_CHECKED",0,40)+IF(Q35="NOT_CHECKED",0,30)+IF(R35="NOT_CHECKED",0,20)+IF(S35="NOT_CHECKED",0,10)</f>
        <v/>
      </c>
      <c r="V35" s="7">
        <f>IF(U35=100,T35,"")</f>
        <v/>
      </c>
      <c r="W35" s="7">
        <f>T35</f>
        <v/>
      </c>
      <c r="X35" s="7">
        <f>T35+(100-U35)</f>
        <v/>
      </c>
      <c r="Y35" s="3" t="inlineStr">
        <is>
          <t>ISSUE-0061</t>
        </is>
      </c>
      <c r="Z35" s="3" t="inlineStr">
        <is>
          <t>D:\Shopify_Workspace\jeminise_seo\seo_runs\jeminise.com\20260906_234129\qa\20260907_214000\images\147_01.jpg; seo_runs\jeminise.com\20260906_234129\evidence\images\147_fantasy-winged-dragon-comforter-set-with-volcanic-eruption-and-bedroom-258009c125-258009c125\image_01_47531730763975.jpg; seo_runs\jeminise.com\20260906_234129\evidence\contact_sheets\147_fantasy-winged-dragon-comforter-set-with-volcanic-eruption-and-bedroom-258009c125-258009c125.jpg</t>
        </is>
      </c>
    </row>
    <row r="36" ht="66" customHeight="1">
      <c r="A36" s="2" t="inlineStr">
        <is>
          <t>jeminise.com+fantasy-winged-dragon-comforter-set-with-volcanic-eruption-and-bedroom-258009c125-258009c125</t>
        </is>
      </c>
      <c r="B36" s="2" t="inlineStr">
        <is>
          <t>img_1e189637a8d0b6bc</t>
        </is>
      </c>
      <c r="C36" s="4" t="inlineStr">
        <is>
          <t>https://cdn.shopify.com/s/files/1/0792/5098/1063/files/889dd5e2f2383d2153d1c11615f3f8987fbeb5ee382606af2a6e829e5e6c5919.jpg?v=1785046158</t>
        </is>
      </c>
      <c r="D36" s="4" t="inlineStr">
        <is>
          <t>https://cdn.shopify.com/s/files/1/0792/5098/1063/files/889dd5e2f2383d2153d1c11615f3f8987fbeb5ee382606af2a6e829e5e6c5919.jpg?v=1785046158</t>
        </is>
      </c>
      <c r="E36" s="2" t="inlineStr">
        <is>
          <t>47531730796743</t>
        </is>
      </c>
      <c r="F36" s="2" t="inlineStr">
        <is>
          <t>47531730796743</t>
        </is>
      </c>
      <c r="G36" s="2" t="inlineStr"/>
      <c r="H36" s="2" t="inlineStr">
        <is>
          <t>GALLERY</t>
        </is>
      </c>
      <c r="I36" s="2" t="inlineStr">
        <is>
          <t>DIRECT_IMAGE_DOWNLOAD_AND_SOURCE_ROW_REVIEW</t>
        </is>
      </c>
      <c r="J36" s="2" t="inlineStr">
        <is>
          <t>2026-09-07T21:54:16+07:00</t>
        </is>
      </c>
      <c r="K36" s="2" t="inlineStr">
        <is>
          <t>Direct QA opened downloaded image 147_02; source SHA BFBC623D0741F88FFA8E1D32C6205ECD23A2B78B2739A765B133A286BE7D82F6. Submitted observation reviewed against gallery position.</t>
        </is>
      </c>
      <c r="L36" s="2" t="inlineStr">
        <is>
          <t>Secondary flat, close-up or bedroom mockup showing red volcanic winged dragon quilt set.</t>
        </is>
      </c>
      <c r="M36" s="2" t="inlineStr">
        <is>
          <t>UNKNOWN</t>
        </is>
      </c>
      <c r="N36" s="2" t="inlineStr">
        <is>
          <t>SET</t>
        </is>
      </c>
      <c r="O36" s="2" t="inlineStr">
        <is>
          <t>Secondary mockup or close-up of Red Volcanic Winged Dragon Quilt</t>
        </is>
      </c>
      <c r="P36" s="2" t="inlineStr">
        <is>
          <t>FULL</t>
        </is>
      </c>
      <c r="Q36" s="2" t="inlineStr">
        <is>
          <t>FULL</t>
        </is>
      </c>
      <c r="R36" s="2" t="inlineStr">
        <is>
          <t>FULL</t>
        </is>
      </c>
      <c r="S36" s="2" t="inlineStr">
        <is>
          <t>FULL</t>
        </is>
      </c>
      <c r="T36" s="5">
        <f>IF(P36="FULL",40,IF(P36="PARTIAL",40/2,0))+IF(Q36="FULL",30,IF(Q36="PARTIAL",30/2,0))+IF(R36="FULL",20,IF(R36="PARTIAL",20/2,0))+IF(S36="FULL",10,IF(S36="PARTIAL",10/2,0))</f>
        <v/>
      </c>
      <c r="U36" s="5">
        <f>IF(P36="NOT_CHECKED",0,40)+IF(Q36="NOT_CHECKED",0,30)+IF(R36="NOT_CHECKED",0,20)+IF(S36="NOT_CHECKED",0,10)</f>
        <v/>
      </c>
      <c r="V36" s="5">
        <f>IF(U36=100,T36,"")</f>
        <v/>
      </c>
      <c r="W36" s="5">
        <f>T36</f>
        <v/>
      </c>
      <c r="X36" s="5">
        <f>T36+(100-U36)</f>
        <v/>
      </c>
      <c r="Y36" s="2" t="inlineStr"/>
      <c r="Z36" s="2" t="inlineStr">
        <is>
          <t>D:\Shopify_Workspace\jeminise_seo\seo_runs\jeminise.com\20260906_234129\qa\20260907_214000\images\147_02.jpg; seo_runs\jeminise.com\20260906_234129\evidence\images\147_fantasy-winged-dragon-comforter-set-with-volcanic-eruption-and-bedroom-258009c125-258009c125\image_02_47531730796743.jpg; seo_runs\jeminise.com\20260906_234129\evidence\contact_sheets\147_fantasy-winged-dragon-comforter-set-with-volcanic-eruption-and-bedroom-258009c125-258009c125.jpg</t>
        </is>
      </c>
    </row>
    <row r="37" ht="66" customHeight="1">
      <c r="A37" s="3" t="inlineStr">
        <is>
          <t>jeminise.com+fantasy-winged-dragon-comforter-set-with-volcanic-eruption-and-bedroom-258009c125-258009c125</t>
        </is>
      </c>
      <c r="B37" s="3" t="inlineStr">
        <is>
          <t>img_24437237b4ab1219</t>
        </is>
      </c>
      <c r="C37" s="4" t="inlineStr">
        <is>
          <t>https://cdn.shopify.com/s/files/1/0792/5098/1063/files/fb8b51b32f2c661aed0d41d26205998733170132be56a1b92b3e9a668c8a4dd4.jpg?v=1785046158</t>
        </is>
      </c>
      <c r="D37" s="4" t="inlineStr">
        <is>
          <t>https://cdn.shopify.com/s/files/1/0792/5098/1063/files/fb8b51b32f2c661aed0d41d26205998733170132be56a1b92b3e9a668c8a4dd4.jpg?v=1785046158</t>
        </is>
      </c>
      <c r="E37" s="3" t="inlineStr">
        <is>
          <t>47531730829511</t>
        </is>
      </c>
      <c r="F37" s="3" t="inlineStr">
        <is>
          <t>47531730829511</t>
        </is>
      </c>
      <c r="G37" s="3" t="inlineStr"/>
      <c r="H37" s="3" t="inlineStr">
        <is>
          <t>GALLERY</t>
        </is>
      </c>
      <c r="I37" s="3" t="inlineStr">
        <is>
          <t>DIRECT_IMAGE_DOWNLOAD_AND_SOURCE_ROW_REVIEW</t>
        </is>
      </c>
      <c r="J37" s="3" t="inlineStr">
        <is>
          <t>2026-09-07T21:54:16+07:00</t>
        </is>
      </c>
      <c r="K37" s="3" t="inlineStr">
        <is>
          <t>Direct QA opened downloaded image 147_03; source SHA 5983D4B099EDE81EDFA3CD270CFBCCE4BFCD91EB3E2A5CA97FF552DB53A171FE. Submitted observation reviewed against gallery position.</t>
        </is>
      </c>
      <c r="L37" s="3" t="inlineStr">
        <is>
          <t>Bedding type, feature, lifestyle or material image for red volcanic winged dragon quilt set.</t>
        </is>
      </c>
      <c r="M37" s="3" t="inlineStr">
        <is>
          <t>UNKNOWN</t>
        </is>
      </c>
      <c r="N37" s="3" t="inlineStr">
        <is>
          <t>SET</t>
        </is>
      </c>
      <c r="O37" s="3" t="inlineStr">
        <is>
          <t>Product pillow or lifestyle image for Red Volcanic Winged Dragon Quilt</t>
        </is>
      </c>
      <c r="P37" s="3" t="inlineStr">
        <is>
          <t>FULL</t>
        </is>
      </c>
      <c r="Q37" s="3" t="inlineStr">
        <is>
          <t>PARTIAL</t>
        </is>
      </c>
      <c r="R37" s="3" t="inlineStr">
        <is>
          <t>FULL</t>
        </is>
      </c>
      <c r="S37" s="3" t="inlineStr">
        <is>
          <t>FULL</t>
        </is>
      </c>
      <c r="T37" s="7">
        <f>IF(P37="FULL",40,IF(P37="PARTIAL",40/2,0))+IF(Q37="FULL",30,IF(Q37="PARTIAL",30/2,0))+IF(R37="FULL",20,IF(R37="PARTIAL",20/2,0))+IF(S37="FULL",10,IF(S37="PARTIAL",10/2,0))</f>
        <v/>
      </c>
      <c r="U37" s="7">
        <f>IF(P37="NOT_CHECKED",0,40)+IF(Q37="NOT_CHECKED",0,30)+IF(R37="NOT_CHECKED",0,20)+IF(S37="NOT_CHECKED",0,10)</f>
        <v/>
      </c>
      <c r="V37" s="7">
        <f>IF(U37=100,T37,"")</f>
        <v/>
      </c>
      <c r="W37" s="7">
        <f>T37</f>
        <v/>
      </c>
      <c r="X37" s="7">
        <f>T37+(100-U37)</f>
        <v/>
      </c>
      <c r="Y37" s="3" t="inlineStr">
        <is>
          <t>ISSUE-0062</t>
        </is>
      </c>
      <c r="Z37" s="3" t="inlineStr">
        <is>
          <t>D:\Shopify_Workspace\jeminise_seo\seo_runs\jeminise.com\20260906_234129\qa\20260907_214000\images\147_03.jpg; seo_runs\jeminise.com\20260906_234129\evidence\images\147_fantasy-winged-dragon-comforter-set-with-volcanic-eruption-and-bedroom-258009c125-258009c125\image_03_47531730829511.jpg; seo_runs\jeminise.com\20260906_234129\evidence\contact_sheets\147_fantasy-winged-dragon-comforter-set-with-volcanic-eruption-and-bedroom-258009c125-258009c125.jpg</t>
        </is>
      </c>
    </row>
    <row r="38" ht="66" customHeight="1">
      <c r="A38" s="2" t="inlineStr">
        <is>
          <t>jeminise.com+fantasy-winged-dragon-comforter-set-with-volcanic-eruption-and-bedroom-258009c125-258009c125</t>
        </is>
      </c>
      <c r="B38" s="2" t="inlineStr">
        <is>
          <t>img_fdf26274a6ec801d</t>
        </is>
      </c>
      <c r="C38" s="4" t="inlineStr">
        <is>
          <t>https://cdn.shopify.com/s/files/1/0792/5098/1063/files/01f734498d3b89750a943829d688abf985a64d10d034f01ce76a5b383304afd0.jpg?v=1785046159</t>
        </is>
      </c>
      <c r="D38" s="4" t="inlineStr">
        <is>
          <t>https://cdn.shopify.com/s/files/1/0792/5098/1063/files/01f734498d3b89750a943829d688abf985a64d10d034f01ce76a5b383304afd0.jpg?v=1785046159</t>
        </is>
      </c>
      <c r="E38" s="2" t="inlineStr">
        <is>
          <t>47531730862279</t>
        </is>
      </c>
      <c r="F38" s="2" t="inlineStr">
        <is>
          <t>47531730862279</t>
        </is>
      </c>
      <c r="G38" s="2" t="inlineStr"/>
      <c r="H38" s="2" t="inlineStr">
        <is>
          <t>GALLERY</t>
        </is>
      </c>
      <c r="I38" s="2" t="inlineStr">
        <is>
          <t>DIRECT_IMAGE_DOWNLOAD_AND_SOURCE_ROW_REVIEW</t>
        </is>
      </c>
      <c r="J38" s="2" t="inlineStr">
        <is>
          <t>2026-09-07T21:54:16+07:00</t>
        </is>
      </c>
      <c r="K38" s="2" t="inlineStr">
        <is>
          <t>Direct QA opened downloaded image 147_04; source SHA 010A7CFF50DD9C3BB34BEF4D1A5B5FE45D37038115A1A07A46B267639C93C002. Submitted observation reviewed against gallery position.</t>
        </is>
      </c>
      <c r="L38" s="2" t="inlineStr">
        <is>
          <t>Detail, feature panel or lifestyle image connected to red volcanic winged dragon quilt set.</t>
        </is>
      </c>
      <c r="M38" s="2" t="inlineStr">
        <is>
          <t>UNKNOWN</t>
        </is>
      </c>
      <c r="N38" s="2" t="inlineStr">
        <is>
          <t>SET</t>
        </is>
      </c>
      <c r="O38" s="2" t="inlineStr">
        <is>
          <t>Lifestyle room mockup for Red Volcanic Winged Dragon Quilt</t>
        </is>
      </c>
      <c r="P38" s="2" t="inlineStr">
        <is>
          <t>FULL</t>
        </is>
      </c>
      <c r="Q38" s="2" t="inlineStr">
        <is>
          <t>PARTIAL</t>
        </is>
      </c>
      <c r="R38" s="2" t="inlineStr">
        <is>
          <t>FULL</t>
        </is>
      </c>
      <c r="S38" s="2" t="inlineStr">
        <is>
          <t>FULL</t>
        </is>
      </c>
      <c r="T38" s="5">
        <f>IF(P38="FULL",40,IF(P38="PARTIAL",40/2,0))+IF(Q38="FULL",30,IF(Q38="PARTIAL",30/2,0))+IF(R38="FULL",20,IF(R38="PARTIAL",20/2,0))+IF(S38="FULL",10,IF(S38="PARTIAL",10/2,0))</f>
        <v/>
      </c>
      <c r="U38" s="5">
        <f>IF(P38="NOT_CHECKED",0,40)+IF(Q38="NOT_CHECKED",0,30)+IF(R38="NOT_CHECKED",0,20)+IF(S38="NOT_CHECKED",0,10)</f>
        <v/>
      </c>
      <c r="V38" s="5">
        <f>IF(U38=100,T38,"")</f>
        <v/>
      </c>
      <c r="W38" s="5">
        <f>T38</f>
        <v/>
      </c>
      <c r="X38" s="5">
        <f>T38+(100-U38)</f>
        <v/>
      </c>
      <c r="Y38" s="2" t="inlineStr">
        <is>
          <t>ISSUE-0063</t>
        </is>
      </c>
      <c r="Z38" s="2" t="inlineStr">
        <is>
          <t>D:\Shopify_Workspace\jeminise_seo\seo_runs\jeminise.com\20260906_234129\qa\20260907_214000\images\147_04.jpg; seo_runs\jeminise.com\20260906_234129\evidence\images\147_fantasy-winged-dragon-comforter-set-with-volcanic-eruption-and-bedroom-258009c125-258009c125\image_04_47531730862279.jpg; seo_runs\jeminise.com\20260906_234129\evidence\contact_sheets\147_fantasy-winged-dragon-comforter-set-with-volcanic-eruption-and-bedroom-258009c125-258009c125.jpg</t>
        </is>
      </c>
    </row>
    <row r="39" ht="66" customHeight="1">
      <c r="A39" s="3" t="inlineStr">
        <is>
          <t>jeminise.com+fantasy-winged-dragon-comforter-set-with-volcanic-eruption-and-bedroom-258009c125-258009c125</t>
        </is>
      </c>
      <c r="B39" s="3" t="inlineStr">
        <is>
          <t>img_a7199f226e419568</t>
        </is>
      </c>
      <c r="C39" s="4" t="inlineStr">
        <is>
          <t>https://cdn.shopify.com/s/files/1/0792/5098/1063/files/bb107a9fece094bd902cb6ce0621c9bdb5a066805cfa5082c4e4fd915df4c8a9.jpg?v=1785046159</t>
        </is>
      </c>
      <c r="D39" s="4" t="inlineStr">
        <is>
          <t>https://cdn.shopify.com/s/files/1/0792/5098/1063/files/bb107a9fece094bd902cb6ce0621c9bdb5a066805cfa5082c4e4fd915df4c8a9.jpg?v=1785046159</t>
        </is>
      </c>
      <c r="E39" s="3" t="inlineStr">
        <is>
          <t>47531730895047</t>
        </is>
      </c>
      <c r="F39" s="3" t="inlineStr">
        <is>
          <t>47531730895047</t>
        </is>
      </c>
      <c r="G39" s="3" t="inlineStr"/>
      <c r="H39" s="3" t="inlineStr">
        <is>
          <t>GALLERY</t>
        </is>
      </c>
      <c r="I39" s="3" t="inlineStr">
        <is>
          <t>DIRECT_IMAGE_DOWNLOAD_AND_SOURCE_ROW_REVIEW</t>
        </is>
      </c>
      <c r="J39" s="3" t="inlineStr">
        <is>
          <t>2026-09-07T21:54:16+07:00</t>
        </is>
      </c>
      <c r="K39" s="3" t="inlineStr">
        <is>
          <t>Direct QA opened downloaded image 147_05; source SHA 59D74E24F6BB6B98B29BEDCAE81DCB43C7FEBFB9F8D387627F0D4FB024912163. Submitted observation reviewed against gallery position.</t>
        </is>
      </c>
      <c r="L39" s="3" t="inlineStr">
        <is>
          <t>Additional mockup, care or size information for red volcanic winged dragon quilt set.</t>
        </is>
      </c>
      <c r="M39" s="3" t="inlineStr">
        <is>
          <t>UNKNOWN</t>
        </is>
      </c>
      <c r="N39" s="3" t="inlineStr">
        <is>
          <t>SET</t>
        </is>
      </c>
      <c r="O39" s="3" t="inlineStr">
        <is>
          <t>Size, set contents or product feature image for Red Volcanic Winged Dragon Quilt</t>
        </is>
      </c>
      <c r="P39" s="3" t="inlineStr">
        <is>
          <t>FULL</t>
        </is>
      </c>
      <c r="Q39" s="3" t="inlineStr">
        <is>
          <t>FULL</t>
        </is>
      </c>
      <c r="R39" s="3" t="inlineStr">
        <is>
          <t>FULL</t>
        </is>
      </c>
      <c r="S39" s="3" t="inlineStr">
        <is>
          <t>FULL</t>
        </is>
      </c>
      <c r="T39" s="7">
        <f>IF(P39="FULL",40,IF(P39="PARTIAL",40/2,0))+IF(Q39="FULL",30,IF(Q39="PARTIAL",30/2,0))+IF(R39="FULL",20,IF(R39="PARTIAL",20/2,0))+IF(S39="FULL",10,IF(S39="PARTIAL",10/2,0))</f>
        <v/>
      </c>
      <c r="U39" s="7">
        <f>IF(P39="NOT_CHECKED",0,40)+IF(Q39="NOT_CHECKED",0,30)+IF(R39="NOT_CHECKED",0,20)+IF(S39="NOT_CHECKED",0,10)</f>
        <v/>
      </c>
      <c r="V39" s="7">
        <f>IF(U39=100,T39,"")</f>
        <v/>
      </c>
      <c r="W39" s="7">
        <f>T39</f>
        <v/>
      </c>
      <c r="X39" s="7">
        <f>T39+(100-U39)</f>
        <v/>
      </c>
      <c r="Y39" s="3" t="inlineStr"/>
      <c r="Z39" s="3" t="inlineStr">
        <is>
          <t>D:\Shopify_Workspace\jeminise_seo\seo_runs\jeminise.com\20260906_234129\qa\20260907_214000\images\147_05.jpg; seo_runs\jeminise.com\20260906_234129\evidence\images\147_fantasy-winged-dragon-comforter-set-with-volcanic-eruption-and-bedroom-258009c125-258009c125\image_05_47531730895047.jpg; seo_runs\jeminise.com\20260906_234129\evidence\contact_sheets\147_fantasy-winged-dragon-comforter-set-with-volcanic-eruption-and-bedroom-258009c125-258009c125.jpg</t>
        </is>
      </c>
    </row>
    <row r="40" ht="66" customHeight="1">
      <c r="A40" s="2" t="inlineStr">
        <is>
          <t>jeminise.com+floral-nature-cardinal-within-ornate-oval-frame-patchwork-winter-quilt-88ef309589-88ef309589</t>
        </is>
      </c>
      <c r="B40" s="2" t="inlineStr">
        <is>
          <t>img_5379a6357acb9a8a</t>
        </is>
      </c>
      <c r="C40" s="4" t="inlineStr">
        <is>
          <t>https://cdn.shopify.com/s/files/1/0792/5098/1063/files/28cdf69b4ac6725594ea1a837ebe8c207ad2e3bc3eaa00dcae9c37f372a06930.jpg?v=1785099676</t>
        </is>
      </c>
      <c r="D40" s="4" t="inlineStr">
        <is>
          <t>https://cdn.shopify.com/s/files/1/0792/5098/1063/files/28cdf69b4ac6725594ea1a837ebe8c207ad2e3bc3eaa00dcae9c37f372a06930.jpg?v=1785099676</t>
        </is>
      </c>
      <c r="E40" s="2" t="inlineStr">
        <is>
          <t>47540071530695</t>
        </is>
      </c>
      <c r="F40" s="2" t="inlineStr">
        <is>
          <t>47540071530695</t>
        </is>
      </c>
      <c r="G40" s="2" t="inlineStr"/>
      <c r="H40" s="2" t="inlineStr">
        <is>
          <t>GALLERY</t>
        </is>
      </c>
      <c r="I40" s="2" t="inlineStr">
        <is>
          <t>DIRECT_IMAGE_DOWNLOAD_AND_SOURCE_ROW_REVIEW</t>
        </is>
      </c>
      <c r="J40" s="2" t="inlineStr">
        <is>
          <t>2026-09-07T21:54:16+07:00</t>
        </is>
      </c>
      <c r="K40" s="2" t="inlineStr">
        <is>
          <t>Direct QA opened downloaded image 148_01; source SHA AB44D0DFC5E3DEBD6677BDE8E4F66251CAB14AC22A88C98B1242C396C2446729. Submitted observation reviewed against gallery position.</t>
        </is>
      </c>
      <c r="L40" s="2" t="inlineStr">
        <is>
          <t>Main product mockup showing cardinal floral oval frame winter quilt.</t>
        </is>
      </c>
      <c r="M40" s="2" t="inlineStr">
        <is>
          <t>UNKNOWN</t>
        </is>
      </c>
      <c r="N40" s="2" t="inlineStr">
        <is>
          <t>SET</t>
        </is>
      </c>
      <c r="O40" s="2" t="inlineStr">
        <is>
          <t>Cardinal Floral Oval Frame Winter Quilt displayed in a main product mockup</t>
        </is>
      </c>
      <c r="P40" s="2" t="inlineStr">
        <is>
          <t>FULL</t>
        </is>
      </c>
      <c r="Q40" s="2" t="inlineStr">
        <is>
          <t>FULL</t>
        </is>
      </c>
      <c r="R40" s="2" t="inlineStr">
        <is>
          <t>PARTIAL</t>
        </is>
      </c>
      <c r="S40" s="2" t="inlineStr">
        <is>
          <t>FULL</t>
        </is>
      </c>
      <c r="T40" s="5">
        <f>IF(P40="FULL",40,IF(P40="PARTIAL",40/2,0))+IF(Q40="FULL",30,IF(Q40="PARTIAL",30/2,0))+IF(R40="FULL",20,IF(R40="PARTIAL",20/2,0))+IF(S40="FULL",10,IF(S40="PARTIAL",10/2,0))</f>
        <v/>
      </c>
      <c r="U40" s="5">
        <f>IF(P40="NOT_CHECKED",0,40)+IF(Q40="NOT_CHECKED",0,30)+IF(R40="NOT_CHECKED",0,20)+IF(S40="NOT_CHECKED",0,10)</f>
        <v/>
      </c>
      <c r="V40" s="5">
        <f>IF(U40=100,T40,"")</f>
        <v/>
      </c>
      <c r="W40" s="5">
        <f>T40</f>
        <v/>
      </c>
      <c r="X40" s="5">
        <f>T40+(100-U40)</f>
        <v/>
      </c>
      <c r="Y40" s="2" t="inlineStr">
        <is>
          <t>ISSUE-0069</t>
        </is>
      </c>
      <c r="Z40" s="2" t="inlineStr">
        <is>
          <t>D:\Shopify_Workspace\jeminise_seo\seo_runs\jeminise.com\20260906_234129\qa\20260907_214000\images\148_01.jpg; seo_runs\jeminise.com\20260906_234129\evidence\images\148_floral-nature-cardinal-within-ornate-oval-frame-patchwork-winter-quilt-88ef309589-88ef309589\image_01_47540071530695.jpg; seo_runs\jeminise.com\20260906_234129\evidence\contact_sheets\148_floral-nature-cardinal-within-ornate-oval-frame-patchwork-winter-quilt-88ef309589-88ef309589.jpg</t>
        </is>
      </c>
    </row>
    <row r="41" ht="66" customHeight="1">
      <c r="A41" s="3" t="inlineStr">
        <is>
          <t>jeminise.com+floral-nature-cardinal-within-ornate-oval-frame-patchwork-winter-quilt-88ef309589-88ef309589</t>
        </is>
      </c>
      <c r="B41" s="3" t="inlineStr">
        <is>
          <t>img_de26226cf0d11438</t>
        </is>
      </c>
      <c r="C41" s="4" t="inlineStr">
        <is>
          <t>https://cdn.shopify.com/s/files/1/0792/5098/1063/files/00ab49d13d6d6ade262ef18c97ecca7a66605f05bfe51006c8da23b0deb1c224.jpg?v=1785099676</t>
        </is>
      </c>
      <c r="D41" s="4" t="inlineStr">
        <is>
          <t>https://cdn.shopify.com/s/files/1/0792/5098/1063/files/00ab49d13d6d6ade262ef18c97ecca7a66605f05bfe51006c8da23b0deb1c224.jpg?v=1785099676</t>
        </is>
      </c>
      <c r="E41" s="3" t="inlineStr">
        <is>
          <t>47540071563463</t>
        </is>
      </c>
      <c r="F41" s="3" t="inlineStr">
        <is>
          <t>47540071563463</t>
        </is>
      </c>
      <c r="G41" s="3" t="inlineStr"/>
      <c r="H41" s="3" t="inlineStr">
        <is>
          <t>GALLERY</t>
        </is>
      </c>
      <c r="I41" s="3" t="inlineStr">
        <is>
          <t>DIRECT_IMAGE_DOWNLOAD_AND_SOURCE_ROW_REVIEW</t>
        </is>
      </c>
      <c r="J41" s="3" t="inlineStr">
        <is>
          <t>2026-09-07T21:54:16+07:00</t>
        </is>
      </c>
      <c r="K41" s="3" t="inlineStr">
        <is>
          <t>Direct QA opened downloaded image 148_02; source SHA 2D844C72D2C2763EA92E22E875075DBFE2F03787F54698B64D37D63AFA689CE3. Submitted observation reviewed against gallery position.</t>
        </is>
      </c>
      <c r="L41" s="3" t="inlineStr">
        <is>
          <t>Secondary flat, close-up or bedroom mockup showing cardinal floral oval frame winter quilt.</t>
        </is>
      </c>
      <c r="M41" s="3" t="inlineStr">
        <is>
          <t>UNKNOWN</t>
        </is>
      </c>
      <c r="N41" s="3" t="inlineStr">
        <is>
          <t>SET</t>
        </is>
      </c>
      <c r="O41" s="3" t="inlineStr">
        <is>
          <t>Secondary mockup or close-up of Cardinal Floral Oval Frame Winter Quilt</t>
        </is>
      </c>
      <c r="P41" s="3" t="inlineStr">
        <is>
          <t>FULL</t>
        </is>
      </c>
      <c r="Q41" s="3" t="inlineStr">
        <is>
          <t>FULL</t>
        </is>
      </c>
      <c r="R41" s="3" t="inlineStr">
        <is>
          <t>FULL</t>
        </is>
      </c>
      <c r="S41" s="3" t="inlineStr">
        <is>
          <t>FULL</t>
        </is>
      </c>
      <c r="T41" s="7">
        <f>IF(P41="FULL",40,IF(P41="PARTIAL",40/2,0))+IF(Q41="FULL",30,IF(Q41="PARTIAL",30/2,0))+IF(R41="FULL",20,IF(R41="PARTIAL",20/2,0))+IF(S41="FULL",10,IF(S41="PARTIAL",10/2,0))</f>
        <v/>
      </c>
      <c r="U41" s="7">
        <f>IF(P41="NOT_CHECKED",0,40)+IF(Q41="NOT_CHECKED",0,30)+IF(R41="NOT_CHECKED",0,20)+IF(S41="NOT_CHECKED",0,10)</f>
        <v/>
      </c>
      <c r="V41" s="7">
        <f>IF(U41=100,T41,"")</f>
        <v/>
      </c>
      <c r="W41" s="7">
        <f>T41</f>
        <v/>
      </c>
      <c r="X41" s="7">
        <f>T41+(100-U41)</f>
        <v/>
      </c>
      <c r="Y41" s="3" t="inlineStr"/>
      <c r="Z41" s="3" t="inlineStr">
        <is>
          <t>D:\Shopify_Workspace\jeminise_seo\seo_runs\jeminise.com\20260906_234129\qa\20260907_214000\images\148_02.jpg; seo_runs\jeminise.com\20260906_234129\evidence\images\148_floral-nature-cardinal-within-ornate-oval-frame-patchwork-winter-quilt-88ef309589-88ef309589\image_02_47540071563463.jpg; seo_runs\jeminise.com\20260906_234129\evidence\contact_sheets\148_floral-nature-cardinal-within-ornate-oval-frame-patchwork-winter-quilt-88ef309589-88ef309589.jpg</t>
        </is>
      </c>
    </row>
    <row r="42" ht="66" customHeight="1">
      <c r="A42" s="2" t="inlineStr">
        <is>
          <t>jeminise.com+floral-nature-cardinal-within-ornate-oval-frame-patchwork-winter-quilt-88ef309589-88ef309589</t>
        </is>
      </c>
      <c r="B42" s="2" t="inlineStr">
        <is>
          <t>img_265e27d5cabb3630</t>
        </is>
      </c>
      <c r="C42" s="4" t="inlineStr">
        <is>
          <t>https://cdn.shopify.com/s/files/1/0792/5098/1063/files/e2799d48fb782b01867d568b702d482759c35c84c72a224b1ae800761f02dc85.jpg?v=1785099676</t>
        </is>
      </c>
      <c r="D42" s="4" t="inlineStr">
        <is>
          <t>https://cdn.shopify.com/s/files/1/0792/5098/1063/files/e2799d48fb782b01867d568b702d482759c35c84c72a224b1ae800761f02dc85.jpg?v=1785099676</t>
        </is>
      </c>
      <c r="E42" s="2" t="inlineStr">
        <is>
          <t>47540071596231</t>
        </is>
      </c>
      <c r="F42" s="2" t="inlineStr">
        <is>
          <t>47540071596231</t>
        </is>
      </c>
      <c r="G42" s="2" t="inlineStr"/>
      <c r="H42" s="2" t="inlineStr">
        <is>
          <t>GALLERY</t>
        </is>
      </c>
      <c r="I42" s="2" t="inlineStr">
        <is>
          <t>DIRECT_IMAGE_DOWNLOAD_AND_SOURCE_ROW_REVIEW</t>
        </is>
      </c>
      <c r="J42" s="2" t="inlineStr">
        <is>
          <t>2026-09-07T21:54:16+07:00</t>
        </is>
      </c>
      <c r="K42" s="2" t="inlineStr">
        <is>
          <t>Direct QA opened downloaded image 148_03; source SHA 5428E5E1EAC6B07E77F3F30ADE153DB443412FFE717CBF2D766163303965B42C. Submitted observation reviewed against gallery position.</t>
        </is>
      </c>
      <c r="L42" s="2" t="inlineStr">
        <is>
          <t>Bedding type, feature, lifestyle or material image for cardinal floral oval frame winter quilt.</t>
        </is>
      </c>
      <c r="M42" s="2" t="inlineStr">
        <is>
          <t>UNKNOWN</t>
        </is>
      </c>
      <c r="N42" s="2" t="inlineStr">
        <is>
          <t>SET</t>
        </is>
      </c>
      <c r="O42" s="2" t="inlineStr">
        <is>
          <t>Product pillow or lifestyle image for Cardinal Floral Oval Frame Winter Quilt</t>
        </is>
      </c>
      <c r="P42" s="2" t="inlineStr">
        <is>
          <t>FULL</t>
        </is>
      </c>
      <c r="Q42" s="2" t="inlineStr">
        <is>
          <t>PARTIAL</t>
        </is>
      </c>
      <c r="R42" s="2" t="inlineStr">
        <is>
          <t>FULL</t>
        </is>
      </c>
      <c r="S42" s="2" t="inlineStr">
        <is>
          <t>FULL</t>
        </is>
      </c>
      <c r="T42" s="5">
        <f>IF(P42="FULL",40,IF(P42="PARTIAL",40/2,0))+IF(Q42="FULL",30,IF(Q42="PARTIAL",30/2,0))+IF(R42="FULL",20,IF(R42="PARTIAL",20/2,0))+IF(S42="FULL",10,IF(S42="PARTIAL",10/2,0))</f>
        <v/>
      </c>
      <c r="U42" s="5">
        <f>IF(P42="NOT_CHECKED",0,40)+IF(Q42="NOT_CHECKED",0,30)+IF(R42="NOT_CHECKED",0,20)+IF(S42="NOT_CHECKED",0,10)</f>
        <v/>
      </c>
      <c r="V42" s="5">
        <f>IF(U42=100,T42,"")</f>
        <v/>
      </c>
      <c r="W42" s="5">
        <f>T42</f>
        <v/>
      </c>
      <c r="X42" s="5">
        <f>T42+(100-U42)</f>
        <v/>
      </c>
      <c r="Y42" s="2" t="inlineStr">
        <is>
          <t>ISSUE-0070</t>
        </is>
      </c>
      <c r="Z42" s="2" t="inlineStr">
        <is>
          <t>D:\Shopify_Workspace\jeminise_seo\seo_runs\jeminise.com\20260906_234129\qa\20260907_214000\images\148_03.jpg; seo_runs\jeminise.com\20260906_234129\evidence\images\148_floral-nature-cardinal-within-ornate-oval-frame-patchwork-winter-quilt-88ef309589-88ef309589\image_03_47540071596231.jpg; seo_runs\jeminise.com\20260906_234129\evidence\contact_sheets\148_floral-nature-cardinal-within-ornate-oval-frame-patchwork-winter-quilt-88ef309589-88ef309589.jpg</t>
        </is>
      </c>
    </row>
    <row r="43" ht="66" customHeight="1">
      <c r="A43" s="3" t="inlineStr">
        <is>
          <t>jeminise.com+floral-nature-cardinal-within-ornate-oval-frame-patchwork-winter-quilt-88ef309589-88ef309589</t>
        </is>
      </c>
      <c r="B43" s="3" t="inlineStr">
        <is>
          <t>img_9fd5308bb2979547</t>
        </is>
      </c>
      <c r="C43" s="4" t="inlineStr">
        <is>
          <t>https://cdn.shopify.com/s/files/1/0792/5098/1063/files/843c75776c48ba7c6b9de831505e6128337fdac4e212bc21f8db025894661a25.jpg?v=1785099676</t>
        </is>
      </c>
      <c r="D43" s="4" t="inlineStr">
        <is>
          <t>https://cdn.shopify.com/s/files/1/0792/5098/1063/files/843c75776c48ba7c6b9de831505e6128337fdac4e212bc21f8db025894661a25.jpg?v=1785099676</t>
        </is>
      </c>
      <c r="E43" s="3" t="inlineStr">
        <is>
          <t>47540071628999</t>
        </is>
      </c>
      <c r="F43" s="3" t="inlineStr">
        <is>
          <t>47540071628999</t>
        </is>
      </c>
      <c r="G43" s="3" t="inlineStr"/>
      <c r="H43" s="3" t="inlineStr">
        <is>
          <t>GALLERY</t>
        </is>
      </c>
      <c r="I43" s="3" t="inlineStr">
        <is>
          <t>DIRECT_IMAGE_DOWNLOAD_AND_SOURCE_ROW_REVIEW</t>
        </is>
      </c>
      <c r="J43" s="3" t="inlineStr">
        <is>
          <t>2026-09-07T21:54:16+07:00</t>
        </is>
      </c>
      <c r="K43" s="3" t="inlineStr">
        <is>
          <t>Direct QA opened downloaded image 148_04; source SHA 7EA2855EA9F7D67948F3D8FD72AE79A77E97D782D7DE63AD560DE8043B3EC145. Submitted observation reviewed against gallery position.</t>
        </is>
      </c>
      <c r="L43" s="3" t="inlineStr">
        <is>
          <t>Detail, feature panel or lifestyle image connected to cardinal floral oval frame winter quilt.</t>
        </is>
      </c>
      <c r="M43" s="3" t="inlineStr">
        <is>
          <t>UNKNOWN</t>
        </is>
      </c>
      <c r="N43" s="3" t="inlineStr">
        <is>
          <t>SET</t>
        </is>
      </c>
      <c r="O43" s="3" t="inlineStr">
        <is>
          <t>Lifestyle room mockup for Cardinal Floral Oval Frame Winter Quilt</t>
        </is>
      </c>
      <c r="P43" s="3" t="inlineStr">
        <is>
          <t>FULL</t>
        </is>
      </c>
      <c r="Q43" s="3" t="inlineStr">
        <is>
          <t>PARTIAL</t>
        </is>
      </c>
      <c r="R43" s="3" t="inlineStr">
        <is>
          <t>FULL</t>
        </is>
      </c>
      <c r="S43" s="3" t="inlineStr">
        <is>
          <t>FULL</t>
        </is>
      </c>
      <c r="T43" s="7">
        <f>IF(P43="FULL",40,IF(P43="PARTIAL",40/2,0))+IF(Q43="FULL",30,IF(Q43="PARTIAL",30/2,0))+IF(R43="FULL",20,IF(R43="PARTIAL",20/2,0))+IF(S43="FULL",10,IF(S43="PARTIAL",10/2,0))</f>
        <v/>
      </c>
      <c r="U43" s="7">
        <f>IF(P43="NOT_CHECKED",0,40)+IF(Q43="NOT_CHECKED",0,30)+IF(R43="NOT_CHECKED",0,20)+IF(S43="NOT_CHECKED",0,10)</f>
        <v/>
      </c>
      <c r="V43" s="7">
        <f>IF(U43=100,T43,"")</f>
        <v/>
      </c>
      <c r="W43" s="7">
        <f>T43</f>
        <v/>
      </c>
      <c r="X43" s="7">
        <f>T43+(100-U43)</f>
        <v/>
      </c>
      <c r="Y43" s="3" t="inlineStr">
        <is>
          <t>ISSUE-0071</t>
        </is>
      </c>
      <c r="Z43" s="3" t="inlineStr">
        <is>
          <t>D:\Shopify_Workspace\jeminise_seo\seo_runs\jeminise.com\20260906_234129\qa\20260907_214000\images\148_04.jpg; seo_runs\jeminise.com\20260906_234129\evidence\images\148_floral-nature-cardinal-within-ornate-oval-frame-patchwork-winter-quilt-88ef309589-88ef309589\image_04_47540071628999.jpg; seo_runs\jeminise.com\20260906_234129\evidence\contact_sheets\148_floral-nature-cardinal-within-ornate-oval-frame-patchwork-winter-quilt-88ef309589-88ef309589.jpg</t>
        </is>
      </c>
    </row>
    <row r="44" ht="66" customHeight="1">
      <c r="A44" s="2" t="inlineStr">
        <is>
          <t>jeminise.com+floral-nature-cardinal-within-ornate-oval-frame-patchwork-winter-quilt-88ef309589-88ef309589</t>
        </is>
      </c>
      <c r="B44" s="2" t="inlineStr">
        <is>
          <t>img_64809fc2f5aede84</t>
        </is>
      </c>
      <c r="C44" s="4" t="inlineStr">
        <is>
          <t>https://cdn.shopify.com/s/files/1/0792/5098/1063/files/1bec8d5505b33acb8d415cbcd49dcd442c037ff7f9912df5b540dfbcbf700b8f.jpg?v=1785099676</t>
        </is>
      </c>
      <c r="D44" s="4" t="inlineStr">
        <is>
          <t>https://cdn.shopify.com/s/files/1/0792/5098/1063/files/1bec8d5505b33acb8d415cbcd49dcd442c037ff7f9912df5b540dfbcbf700b8f.jpg?v=1785099676</t>
        </is>
      </c>
      <c r="E44" s="2" t="inlineStr">
        <is>
          <t>47540071661767</t>
        </is>
      </c>
      <c r="F44" s="2" t="inlineStr">
        <is>
          <t>47540071661767</t>
        </is>
      </c>
      <c r="G44" s="2" t="inlineStr"/>
      <c r="H44" s="2" t="inlineStr">
        <is>
          <t>GALLERY</t>
        </is>
      </c>
      <c r="I44" s="2" t="inlineStr">
        <is>
          <t>DIRECT_IMAGE_DOWNLOAD_AND_SOURCE_ROW_REVIEW</t>
        </is>
      </c>
      <c r="J44" s="2" t="inlineStr">
        <is>
          <t>2026-09-07T21:54:16+07:00</t>
        </is>
      </c>
      <c r="K44" s="2" t="inlineStr">
        <is>
          <t>Direct QA opened downloaded image 148_05; source SHA 1629352ED43CDBDE5E90BC5F53EE07AAF779366EC3A2594FEC465866AAE2B197. Submitted observation reviewed against gallery position.</t>
        </is>
      </c>
      <c r="L44" s="2" t="inlineStr">
        <is>
          <t>Additional mockup, care or size information for cardinal floral oval frame winter quilt.</t>
        </is>
      </c>
      <c r="M44" s="2" t="inlineStr">
        <is>
          <t>UNKNOWN</t>
        </is>
      </c>
      <c r="N44" s="2" t="inlineStr">
        <is>
          <t>SET</t>
        </is>
      </c>
      <c r="O44" s="2" t="inlineStr">
        <is>
          <t>Size, set contents or product feature image for Cardinal Floral Oval Frame Winter Quilt</t>
        </is>
      </c>
      <c r="P44" s="2" t="inlineStr">
        <is>
          <t>FULL</t>
        </is>
      </c>
      <c r="Q44" s="2" t="inlineStr">
        <is>
          <t>FULL</t>
        </is>
      </c>
      <c r="R44" s="2" t="inlineStr">
        <is>
          <t>FULL</t>
        </is>
      </c>
      <c r="S44" s="2" t="inlineStr">
        <is>
          <t>FULL</t>
        </is>
      </c>
      <c r="T44" s="5">
        <f>IF(P44="FULL",40,IF(P44="PARTIAL",40/2,0))+IF(Q44="FULL",30,IF(Q44="PARTIAL",30/2,0))+IF(R44="FULL",20,IF(R44="PARTIAL",20/2,0))+IF(S44="FULL",10,IF(S44="PARTIAL",10/2,0))</f>
        <v/>
      </c>
      <c r="U44" s="5">
        <f>IF(P44="NOT_CHECKED",0,40)+IF(Q44="NOT_CHECKED",0,30)+IF(R44="NOT_CHECKED",0,20)+IF(S44="NOT_CHECKED",0,10)</f>
        <v/>
      </c>
      <c r="V44" s="5">
        <f>IF(U44=100,T44,"")</f>
        <v/>
      </c>
      <c r="W44" s="5">
        <f>T44</f>
        <v/>
      </c>
      <c r="X44" s="5">
        <f>T44+(100-U44)</f>
        <v/>
      </c>
      <c r="Y44" s="2" t="inlineStr"/>
      <c r="Z44" s="2" t="inlineStr">
        <is>
          <t>D:\Shopify_Workspace\jeminise_seo\seo_runs\jeminise.com\20260906_234129\qa\20260907_214000\images\148_05.jpg; seo_runs\jeminise.com\20260906_234129\evidence\images\148_floral-nature-cardinal-within-ornate-oval-frame-patchwork-winter-quilt-88ef309589-88ef309589\image_05_47540071661767.jpg; seo_runs\jeminise.com\20260906_234129\evidence\contact_sheets\148_floral-nature-cardinal-within-ornate-oval-frame-patchwork-winter-quilt-88ef309589-88ef309589.jpg</t>
        </is>
      </c>
    </row>
    <row r="45" ht="66" customHeight="1">
      <c r="A45" s="3" t="inlineStr">
        <is>
          <t>jeminise.com+folklore-tree-of-life-in-celtic-knot-quilt-40ab1f6113-40ab1f6113</t>
        </is>
      </c>
      <c r="B45" s="3" t="inlineStr">
        <is>
          <t>img_24559d3dd2689156</t>
        </is>
      </c>
      <c r="C45" s="4" t="inlineStr">
        <is>
          <t>https://cdn.shopify.com/s/files/1/0792/5098/1063/files/404ed5803f051b4bd7cf074f2d1676bab70b65623b4817a5ec6c069f82efdddf.jpg?v=1785103994</t>
        </is>
      </c>
      <c r="D45" s="4" t="inlineStr">
        <is>
          <t>https://cdn.shopify.com/s/files/1/0792/5098/1063/files/404ed5803f051b4bd7cf074f2d1676bab70b65623b4817a5ec6c069f82efdddf.jpg?v=1785103994</t>
        </is>
      </c>
      <c r="E45" s="3" t="inlineStr">
        <is>
          <t>47540474642631</t>
        </is>
      </c>
      <c r="F45" s="3" t="inlineStr">
        <is>
          <t>47540474642631</t>
        </is>
      </c>
      <c r="G45" s="3" t="inlineStr"/>
      <c r="H45" s="3" t="inlineStr">
        <is>
          <t>GALLERY</t>
        </is>
      </c>
      <c r="I45" s="3" t="inlineStr">
        <is>
          <t>DIRECT_IMAGE_DOWNLOAD_AND_SOURCE_ROW_REVIEW</t>
        </is>
      </c>
      <c r="J45" s="3" t="inlineStr">
        <is>
          <t>2026-09-07T21:54:16+07:00</t>
        </is>
      </c>
      <c r="K45" s="3" t="inlineStr">
        <is>
          <t>Direct QA opened downloaded image 149_01; source SHA FE4BF2A97EF52F8ED1CFC1166AA8B823E64691B53AC1ADD8B955537952CEAF6C. Submitted observation reviewed against gallery position.</t>
        </is>
      </c>
      <c r="L45" s="3" t="inlineStr">
        <is>
          <t>Main product mockup showing Celtic knot Tree of Life quilt set.</t>
        </is>
      </c>
      <c r="M45" s="3" t="inlineStr">
        <is>
          <t>UNKNOWN</t>
        </is>
      </c>
      <c r="N45" s="3" t="inlineStr">
        <is>
          <t>SET</t>
        </is>
      </c>
      <c r="O45" s="3" t="inlineStr">
        <is>
          <t>Celtic Knot Tree of Life Quilt Set displayed in a main product mockup</t>
        </is>
      </c>
      <c r="P45" s="3" t="inlineStr">
        <is>
          <t>FULL</t>
        </is>
      </c>
      <c r="Q45" s="3" t="inlineStr">
        <is>
          <t>FULL</t>
        </is>
      </c>
      <c r="R45" s="3" t="inlineStr">
        <is>
          <t>PARTIAL</t>
        </is>
      </c>
      <c r="S45" s="3" t="inlineStr">
        <is>
          <t>FULL</t>
        </is>
      </c>
      <c r="T45" s="7">
        <f>IF(P45="FULL",40,IF(P45="PARTIAL",40/2,0))+IF(Q45="FULL",30,IF(Q45="PARTIAL",30/2,0))+IF(R45="FULL",20,IF(R45="PARTIAL",20/2,0))+IF(S45="FULL",10,IF(S45="PARTIAL",10/2,0))</f>
        <v/>
      </c>
      <c r="U45" s="7">
        <f>IF(P45="NOT_CHECKED",0,40)+IF(Q45="NOT_CHECKED",0,30)+IF(R45="NOT_CHECKED",0,20)+IF(S45="NOT_CHECKED",0,10)</f>
        <v/>
      </c>
      <c r="V45" s="7">
        <f>IF(U45=100,T45,"")</f>
        <v/>
      </c>
      <c r="W45" s="7">
        <f>T45</f>
        <v/>
      </c>
      <c r="X45" s="7">
        <f>T45+(100-U45)</f>
        <v/>
      </c>
      <c r="Y45" s="3" t="inlineStr">
        <is>
          <t>ISSUE-0077</t>
        </is>
      </c>
      <c r="Z45" s="3" t="inlineStr">
        <is>
          <t>D:\Shopify_Workspace\jeminise_seo\seo_runs\jeminise.com\20260906_234129\qa\20260907_214000\images\149_01.jpg; seo_runs\jeminise.com\20260906_234129\evidence\images\149_folklore-tree-of-life-in-celtic-knot-quilt-40ab1f6113-40ab1f6113\image_01_47540474642631.jpg; seo_runs\jeminise.com\20260906_234129\evidence\contact_sheets\149_folklore-tree-of-life-in-celtic-knot-quilt-40ab1f6113-40ab1f6113.jpg</t>
        </is>
      </c>
    </row>
    <row r="46" ht="66" customHeight="1">
      <c r="A46" s="2" t="inlineStr">
        <is>
          <t>jeminise.com+folklore-tree-of-life-in-celtic-knot-quilt-40ab1f6113-40ab1f6113</t>
        </is>
      </c>
      <c r="B46" s="2" t="inlineStr">
        <is>
          <t>img_2c305f8197988e9f</t>
        </is>
      </c>
      <c r="C46" s="4" t="inlineStr">
        <is>
          <t>https://cdn.shopify.com/s/files/1/0792/5098/1063/files/97438d06f9a430d622e570ea451d2a47fd77088a7bc26d95fb1edb5928b69f48.jpg?v=1785103994</t>
        </is>
      </c>
      <c r="D46" s="4" t="inlineStr">
        <is>
          <t>https://cdn.shopify.com/s/files/1/0792/5098/1063/files/97438d06f9a430d622e570ea451d2a47fd77088a7bc26d95fb1edb5928b69f48.jpg?v=1785103994</t>
        </is>
      </c>
      <c r="E46" s="2" t="inlineStr">
        <is>
          <t>47540474675399</t>
        </is>
      </c>
      <c r="F46" s="2" t="inlineStr">
        <is>
          <t>47540474675399</t>
        </is>
      </c>
      <c r="G46" s="2" t="inlineStr"/>
      <c r="H46" s="2" t="inlineStr">
        <is>
          <t>GALLERY</t>
        </is>
      </c>
      <c r="I46" s="2" t="inlineStr">
        <is>
          <t>DIRECT_IMAGE_DOWNLOAD_AND_SOURCE_ROW_REVIEW</t>
        </is>
      </c>
      <c r="J46" s="2" t="inlineStr">
        <is>
          <t>2026-09-07T21:54:16+07:00</t>
        </is>
      </c>
      <c r="K46" s="2" t="inlineStr">
        <is>
          <t>Direct QA opened downloaded image 149_02; source SHA 307A19D46FC1A99434857745CD7F58A387EACF7838CB20FD9709A9A0BDE7AC72. Submitted observation reviewed against gallery position.</t>
        </is>
      </c>
      <c r="L46" s="2" t="inlineStr">
        <is>
          <t>Secondary flat, close-up or bedroom mockup showing Celtic knot Tree of Life quilt set.</t>
        </is>
      </c>
      <c r="M46" s="2" t="inlineStr">
        <is>
          <t>UNKNOWN</t>
        </is>
      </c>
      <c r="N46" s="2" t="inlineStr">
        <is>
          <t>SET</t>
        </is>
      </c>
      <c r="O46" s="2" t="inlineStr">
        <is>
          <t>Secondary mockup or close-up of Celtic Knot Tree of Life Quilt Set</t>
        </is>
      </c>
      <c r="P46" s="2" t="inlineStr">
        <is>
          <t>FULL</t>
        </is>
      </c>
      <c r="Q46" s="2" t="inlineStr">
        <is>
          <t>FULL</t>
        </is>
      </c>
      <c r="R46" s="2" t="inlineStr">
        <is>
          <t>FULL</t>
        </is>
      </c>
      <c r="S46" s="2" t="inlineStr">
        <is>
          <t>FULL</t>
        </is>
      </c>
      <c r="T46" s="5">
        <f>IF(P46="FULL",40,IF(P46="PARTIAL",40/2,0))+IF(Q46="FULL",30,IF(Q46="PARTIAL",30/2,0))+IF(R46="FULL",20,IF(R46="PARTIAL",20/2,0))+IF(S46="FULL",10,IF(S46="PARTIAL",10/2,0))</f>
        <v/>
      </c>
      <c r="U46" s="5">
        <f>IF(P46="NOT_CHECKED",0,40)+IF(Q46="NOT_CHECKED",0,30)+IF(R46="NOT_CHECKED",0,20)+IF(S46="NOT_CHECKED",0,10)</f>
        <v/>
      </c>
      <c r="V46" s="5">
        <f>IF(U46=100,T46,"")</f>
        <v/>
      </c>
      <c r="W46" s="5">
        <f>T46</f>
        <v/>
      </c>
      <c r="X46" s="5">
        <f>T46+(100-U46)</f>
        <v/>
      </c>
      <c r="Y46" s="2" t="inlineStr"/>
      <c r="Z46" s="2" t="inlineStr">
        <is>
          <t>D:\Shopify_Workspace\jeminise_seo\seo_runs\jeminise.com\20260906_234129\qa\20260907_214000\images\149_02.jpg; seo_runs\jeminise.com\20260906_234129\evidence\images\149_folklore-tree-of-life-in-celtic-knot-quilt-40ab1f6113-40ab1f6113\image_02_47540474675399.jpg; seo_runs\jeminise.com\20260906_234129\evidence\contact_sheets\149_folklore-tree-of-life-in-celtic-knot-quilt-40ab1f6113-40ab1f6113.jpg</t>
        </is>
      </c>
    </row>
    <row r="47" ht="66" customHeight="1">
      <c r="A47" s="3" t="inlineStr">
        <is>
          <t>jeminise.com+folklore-tree-of-life-in-celtic-knot-quilt-40ab1f6113-40ab1f6113</t>
        </is>
      </c>
      <c r="B47" s="3" t="inlineStr">
        <is>
          <t>img_ea1177c235b49339</t>
        </is>
      </c>
      <c r="C47" s="4" t="inlineStr">
        <is>
          <t>https://cdn.shopify.com/s/files/1/0792/5098/1063/files/d1059c276ace67802969ba6fb620ce50ca0b4fa72d02e7be1790b7d39ab41eb7.jpg?v=1785103994</t>
        </is>
      </c>
      <c r="D47" s="4" t="inlineStr">
        <is>
          <t>https://cdn.shopify.com/s/files/1/0792/5098/1063/files/d1059c276ace67802969ba6fb620ce50ca0b4fa72d02e7be1790b7d39ab41eb7.jpg?v=1785103994</t>
        </is>
      </c>
      <c r="E47" s="3" t="inlineStr">
        <is>
          <t>47540474708167</t>
        </is>
      </c>
      <c r="F47" s="3" t="inlineStr">
        <is>
          <t>47540474708167</t>
        </is>
      </c>
      <c r="G47" s="3" t="inlineStr"/>
      <c r="H47" s="3" t="inlineStr">
        <is>
          <t>GALLERY</t>
        </is>
      </c>
      <c r="I47" s="3" t="inlineStr">
        <is>
          <t>DIRECT_IMAGE_DOWNLOAD_AND_SOURCE_ROW_REVIEW</t>
        </is>
      </c>
      <c r="J47" s="3" t="inlineStr">
        <is>
          <t>2026-09-07T21:54:16+07:00</t>
        </is>
      </c>
      <c r="K47" s="3" t="inlineStr">
        <is>
          <t>Direct QA opened downloaded image 149_03; source SHA EF587F1C8E07A74B4254DFCB7FF2B774348E41D3A083C000CC01294FCEF7CF98. Submitted observation reviewed against gallery position.</t>
        </is>
      </c>
      <c r="L47" s="3" t="inlineStr">
        <is>
          <t>Bedding type, feature, lifestyle or material image for Celtic knot Tree of Life quilt set.</t>
        </is>
      </c>
      <c r="M47" s="3" t="inlineStr">
        <is>
          <t>UNKNOWN</t>
        </is>
      </c>
      <c r="N47" s="3" t="inlineStr">
        <is>
          <t>SET</t>
        </is>
      </c>
      <c r="O47" s="3" t="inlineStr">
        <is>
          <t>Product pillow or lifestyle image for Celtic Knot Tree of Life Quilt Set</t>
        </is>
      </c>
      <c r="P47" s="3" t="inlineStr">
        <is>
          <t>FULL</t>
        </is>
      </c>
      <c r="Q47" s="3" t="inlineStr">
        <is>
          <t>PARTIAL</t>
        </is>
      </c>
      <c r="R47" s="3" t="inlineStr">
        <is>
          <t>FULL</t>
        </is>
      </c>
      <c r="S47" s="3" t="inlineStr">
        <is>
          <t>FULL</t>
        </is>
      </c>
      <c r="T47" s="7">
        <f>IF(P47="FULL",40,IF(P47="PARTIAL",40/2,0))+IF(Q47="FULL",30,IF(Q47="PARTIAL",30/2,0))+IF(R47="FULL",20,IF(R47="PARTIAL",20/2,0))+IF(S47="FULL",10,IF(S47="PARTIAL",10/2,0))</f>
        <v/>
      </c>
      <c r="U47" s="7">
        <f>IF(P47="NOT_CHECKED",0,40)+IF(Q47="NOT_CHECKED",0,30)+IF(R47="NOT_CHECKED",0,20)+IF(S47="NOT_CHECKED",0,10)</f>
        <v/>
      </c>
      <c r="V47" s="7">
        <f>IF(U47=100,T47,"")</f>
        <v/>
      </c>
      <c r="W47" s="7">
        <f>T47</f>
        <v/>
      </c>
      <c r="X47" s="7">
        <f>T47+(100-U47)</f>
        <v/>
      </c>
      <c r="Y47" s="3" t="inlineStr">
        <is>
          <t>ISSUE-0078</t>
        </is>
      </c>
      <c r="Z47" s="3" t="inlineStr">
        <is>
          <t>D:\Shopify_Workspace\jeminise_seo\seo_runs\jeminise.com\20260906_234129\qa\20260907_214000\images\149_03.jpg; seo_runs\jeminise.com\20260906_234129\evidence\images\149_folklore-tree-of-life-in-celtic-knot-quilt-40ab1f6113-40ab1f6113\image_03_47540474708167.jpg; seo_runs\jeminise.com\20260906_234129\evidence\contact_sheets\149_folklore-tree-of-life-in-celtic-knot-quilt-40ab1f6113-40ab1f6113.jpg</t>
        </is>
      </c>
    </row>
    <row r="48" ht="66" customHeight="1">
      <c r="A48" s="2" t="inlineStr">
        <is>
          <t>jeminise.com+folklore-tree-of-life-in-celtic-knot-quilt-40ab1f6113-40ab1f6113</t>
        </is>
      </c>
      <c r="B48" s="2" t="inlineStr">
        <is>
          <t>img_fb28835756f38893</t>
        </is>
      </c>
      <c r="C48" s="4" t="inlineStr">
        <is>
          <t>https://cdn.shopify.com/s/files/1/0792/5098/1063/files/31555b0f52e5ce2dbc2f028f11c9e41272413a642740df0fff5d4479cdd052a8.jpg?v=1785103994</t>
        </is>
      </c>
      <c r="D48" s="4" t="inlineStr">
        <is>
          <t>https://cdn.shopify.com/s/files/1/0792/5098/1063/files/31555b0f52e5ce2dbc2f028f11c9e41272413a642740df0fff5d4479cdd052a8.jpg?v=1785103994</t>
        </is>
      </c>
      <c r="E48" s="2" t="inlineStr">
        <is>
          <t>47540474740935</t>
        </is>
      </c>
      <c r="F48" s="2" t="inlineStr">
        <is>
          <t>47540474740935</t>
        </is>
      </c>
      <c r="G48" s="2" t="inlineStr"/>
      <c r="H48" s="2" t="inlineStr">
        <is>
          <t>GALLERY</t>
        </is>
      </c>
      <c r="I48" s="2" t="inlineStr">
        <is>
          <t>DIRECT_IMAGE_DOWNLOAD_AND_SOURCE_ROW_REVIEW</t>
        </is>
      </c>
      <c r="J48" s="2" t="inlineStr">
        <is>
          <t>2026-09-07T21:54:16+07:00</t>
        </is>
      </c>
      <c r="K48" s="2" t="inlineStr">
        <is>
          <t>Direct QA opened downloaded image 149_04; source SHA 93636CA6DE595FF7F66696A5DAF9D488EC2EE31340931C8E8F1C71BCFB873DAA. Submitted observation reviewed against gallery position.</t>
        </is>
      </c>
      <c r="L48" s="2" t="inlineStr">
        <is>
          <t>Detail, feature panel or lifestyle image connected to Celtic knot Tree of Life quilt set.</t>
        </is>
      </c>
      <c r="M48" s="2" t="inlineStr">
        <is>
          <t>UNKNOWN</t>
        </is>
      </c>
      <c r="N48" s="2" t="inlineStr">
        <is>
          <t>SET</t>
        </is>
      </c>
      <c r="O48" s="2" t="inlineStr">
        <is>
          <t>Lifestyle room mockup for Celtic Knot Tree of Life Quilt Set</t>
        </is>
      </c>
      <c r="P48" s="2" t="inlineStr">
        <is>
          <t>FULL</t>
        </is>
      </c>
      <c r="Q48" s="2" t="inlineStr">
        <is>
          <t>PARTIAL</t>
        </is>
      </c>
      <c r="R48" s="2" t="inlineStr">
        <is>
          <t>FULL</t>
        </is>
      </c>
      <c r="S48" s="2" t="inlineStr">
        <is>
          <t>FULL</t>
        </is>
      </c>
      <c r="T48" s="5">
        <f>IF(P48="FULL",40,IF(P48="PARTIAL",40/2,0))+IF(Q48="FULL",30,IF(Q48="PARTIAL",30/2,0))+IF(R48="FULL",20,IF(R48="PARTIAL",20/2,0))+IF(S48="FULL",10,IF(S48="PARTIAL",10/2,0))</f>
        <v/>
      </c>
      <c r="U48" s="5">
        <f>IF(P48="NOT_CHECKED",0,40)+IF(Q48="NOT_CHECKED",0,30)+IF(R48="NOT_CHECKED",0,20)+IF(S48="NOT_CHECKED",0,10)</f>
        <v/>
      </c>
      <c r="V48" s="5">
        <f>IF(U48=100,T48,"")</f>
        <v/>
      </c>
      <c r="W48" s="5">
        <f>T48</f>
        <v/>
      </c>
      <c r="X48" s="5">
        <f>T48+(100-U48)</f>
        <v/>
      </c>
      <c r="Y48" s="2" t="inlineStr">
        <is>
          <t>ISSUE-0079</t>
        </is>
      </c>
      <c r="Z48" s="2" t="inlineStr">
        <is>
          <t>D:\Shopify_Workspace\jeminise_seo\seo_runs\jeminise.com\20260906_234129\qa\20260907_214000\images\149_04.jpg; seo_runs\jeminise.com\20260906_234129\evidence\images\149_folklore-tree-of-life-in-celtic-knot-quilt-40ab1f6113-40ab1f6113\image_04_47540474740935.jpg; seo_runs\jeminise.com\20260906_234129\evidence\contact_sheets\149_folklore-tree-of-life-in-celtic-knot-quilt-40ab1f6113-40ab1f6113.jpg</t>
        </is>
      </c>
    </row>
    <row r="49" ht="66" customHeight="1">
      <c r="A49" s="3" t="inlineStr">
        <is>
          <t>jeminise.com+folklore-tree-of-life-in-celtic-knot-quilt-40ab1f6113-40ab1f6113</t>
        </is>
      </c>
      <c r="B49" s="3" t="inlineStr">
        <is>
          <t>img_7d8f694eadb0df1e</t>
        </is>
      </c>
      <c r="C49" s="4" t="inlineStr">
        <is>
          <t>https://cdn.shopify.com/s/files/1/0792/5098/1063/files/16b178bd5910fd0d4a839762ab332ffc6ce5eaf9a61be2d2070bb6a8a1d6bf62.jpg?v=1785103994</t>
        </is>
      </c>
      <c r="D49" s="4" t="inlineStr">
        <is>
          <t>https://cdn.shopify.com/s/files/1/0792/5098/1063/files/16b178bd5910fd0d4a839762ab332ffc6ce5eaf9a61be2d2070bb6a8a1d6bf62.jpg?v=1785103994</t>
        </is>
      </c>
      <c r="E49" s="3" t="inlineStr">
        <is>
          <t>47540474773703</t>
        </is>
      </c>
      <c r="F49" s="3" t="inlineStr">
        <is>
          <t>47540474773703</t>
        </is>
      </c>
      <c r="G49" s="3" t="inlineStr"/>
      <c r="H49" s="3" t="inlineStr">
        <is>
          <t>GALLERY</t>
        </is>
      </c>
      <c r="I49" s="3" t="inlineStr">
        <is>
          <t>DIRECT_IMAGE_DOWNLOAD_AND_SOURCE_ROW_REVIEW</t>
        </is>
      </c>
      <c r="J49" s="3" t="inlineStr">
        <is>
          <t>2026-09-07T21:54:16+07:00</t>
        </is>
      </c>
      <c r="K49" s="3" t="inlineStr">
        <is>
          <t>Direct QA opened downloaded image 149_05; source SHA 16A82950892347674380A78E9ACD81D1F19639E5C250E2B5D2231AC94D11C03D. Submitted observation reviewed against gallery position.</t>
        </is>
      </c>
      <c r="L49" s="3" t="inlineStr">
        <is>
          <t>Additional mockup, care or size information for Celtic knot Tree of Life quilt set.</t>
        </is>
      </c>
      <c r="M49" s="3" t="inlineStr">
        <is>
          <t>UNKNOWN</t>
        </is>
      </c>
      <c r="N49" s="3" t="inlineStr">
        <is>
          <t>SET</t>
        </is>
      </c>
      <c r="O49" s="3" t="inlineStr">
        <is>
          <t>Size, set contents or product feature image for Celtic Knot Tree of Life Quilt Set</t>
        </is>
      </c>
      <c r="P49" s="3" t="inlineStr">
        <is>
          <t>FULL</t>
        </is>
      </c>
      <c r="Q49" s="3" t="inlineStr">
        <is>
          <t>FULL</t>
        </is>
      </c>
      <c r="R49" s="3" t="inlineStr">
        <is>
          <t>FULL</t>
        </is>
      </c>
      <c r="S49" s="3" t="inlineStr">
        <is>
          <t>FULL</t>
        </is>
      </c>
      <c r="T49" s="7">
        <f>IF(P49="FULL",40,IF(P49="PARTIAL",40/2,0))+IF(Q49="FULL",30,IF(Q49="PARTIAL",30/2,0))+IF(R49="FULL",20,IF(R49="PARTIAL",20/2,0))+IF(S49="FULL",10,IF(S49="PARTIAL",10/2,0))</f>
        <v/>
      </c>
      <c r="U49" s="7">
        <f>IF(P49="NOT_CHECKED",0,40)+IF(Q49="NOT_CHECKED",0,30)+IF(R49="NOT_CHECKED",0,20)+IF(S49="NOT_CHECKED",0,10)</f>
        <v/>
      </c>
      <c r="V49" s="7">
        <f>IF(U49=100,T49,"")</f>
        <v/>
      </c>
      <c r="W49" s="7">
        <f>T49</f>
        <v/>
      </c>
      <c r="X49" s="7">
        <f>T49+(100-U49)</f>
        <v/>
      </c>
      <c r="Y49" s="3" t="inlineStr"/>
      <c r="Z49" s="3" t="inlineStr">
        <is>
          <t>D:\Shopify_Workspace\jeminise_seo\seo_runs\jeminise.com\20260906_234129\qa\20260907_214000\images\149_05.jpg; seo_runs\jeminise.com\20260906_234129\evidence\images\149_folklore-tree-of-life-in-celtic-knot-quilt-40ab1f6113-40ab1f6113\image_05_47540474773703.jpg; seo_runs\jeminise.com\20260906_234129\evidence\contact_sheets\149_folklore-tree-of-life-in-celtic-knot-quilt-40ab1f6113-40ab1f6113.jpg</t>
        </is>
      </c>
    </row>
    <row r="50" ht="66" customHeight="1">
      <c r="A50" s="2" t="inlineStr">
        <is>
          <t>jeminise.com+folklore-tree-of-life-in-celtic-knot-quilt-40ab1f6113-40ab1f6113</t>
        </is>
      </c>
      <c r="B50" s="2" t="inlineStr">
        <is>
          <t>img_c596a17911b284e2</t>
        </is>
      </c>
      <c r="C50" s="4" t="inlineStr">
        <is>
          <t>https://cdn.shopify.com/s/files/1/0792/5098/1063/files/0e97f0275ec81b9b8b4855997dfbe42687a5179966f4a4818b2567ed84c668b1.jpg?v=1785103994</t>
        </is>
      </c>
      <c r="D50" s="4" t="inlineStr">
        <is>
          <t>https://cdn.shopify.com/s/files/1/0792/5098/1063/files/0e97f0275ec81b9b8b4855997dfbe42687a5179966f4a4818b2567ed84c668b1.jpg?v=1785103994</t>
        </is>
      </c>
      <c r="E50" s="2" t="inlineStr">
        <is>
          <t>47540474806471</t>
        </is>
      </c>
      <c r="F50" s="2" t="inlineStr">
        <is>
          <t>47540474806471</t>
        </is>
      </c>
      <c r="G50" s="2" t="inlineStr"/>
      <c r="H50" s="2" t="inlineStr">
        <is>
          <t>GALLERY</t>
        </is>
      </c>
      <c r="I50" s="2" t="inlineStr">
        <is>
          <t>DIRECT_IMAGE_DOWNLOAD_AND_SOURCE_ROW_REVIEW</t>
        </is>
      </c>
      <c r="J50" s="2" t="inlineStr">
        <is>
          <t>2026-09-07T21:54:16+07:00</t>
        </is>
      </c>
      <c r="K50" s="2" t="inlineStr">
        <is>
          <t>Direct QA opened downloaded image 149_06; source SHA D3AC79C61E46D16EC3B4582222AE06C83CD052EB3878B28DF4E691F4C56863CF. Submitted observation reviewed against gallery position.</t>
        </is>
      </c>
      <c r="L50" s="2" t="inlineStr">
        <is>
          <t>Easy-care, size guide or product feature image for Celtic knot Tree of Life quilt set.</t>
        </is>
      </c>
      <c r="M50" s="2" t="inlineStr">
        <is>
          <t>UNKNOWN</t>
        </is>
      </c>
      <c r="N50" s="2" t="inlineStr">
        <is>
          <t>SET</t>
        </is>
      </c>
      <c r="O50" s="2" t="inlineStr">
        <is>
          <t>Care, size or product feature image for Celtic Knot Tree of Life Quilt Set</t>
        </is>
      </c>
      <c r="P50" s="2" t="inlineStr">
        <is>
          <t>FULL</t>
        </is>
      </c>
      <c r="Q50" s="2" t="inlineStr">
        <is>
          <t>PARTIAL</t>
        </is>
      </c>
      <c r="R50" s="2" t="inlineStr">
        <is>
          <t>FULL</t>
        </is>
      </c>
      <c r="S50" s="2" t="inlineStr">
        <is>
          <t>FULL</t>
        </is>
      </c>
      <c r="T50" s="5">
        <f>IF(P50="FULL",40,IF(P50="PARTIAL",40/2,0))+IF(Q50="FULL",30,IF(Q50="PARTIAL",30/2,0))+IF(R50="FULL",20,IF(R50="PARTIAL",20/2,0))+IF(S50="FULL",10,IF(S50="PARTIAL",10/2,0))</f>
        <v/>
      </c>
      <c r="U50" s="5">
        <f>IF(P50="NOT_CHECKED",0,40)+IF(Q50="NOT_CHECKED",0,30)+IF(R50="NOT_CHECKED",0,20)+IF(S50="NOT_CHECKED",0,10)</f>
        <v/>
      </c>
      <c r="V50" s="5">
        <f>IF(U50=100,T50,"")</f>
        <v/>
      </c>
      <c r="W50" s="5">
        <f>T50</f>
        <v/>
      </c>
      <c r="X50" s="5">
        <f>T50+(100-U50)</f>
        <v/>
      </c>
      <c r="Y50" s="2" t="inlineStr">
        <is>
          <t>ISSUE-0080</t>
        </is>
      </c>
      <c r="Z50" s="2" t="inlineStr">
        <is>
          <t>D:\Shopify_Workspace\jeminise_seo\seo_runs\jeminise.com\20260906_234129\qa\20260907_214000\images\149_06.jpg; seo_runs\jeminise.com\20260906_234129\evidence\images\149_folklore-tree-of-life-in-celtic-knot-quilt-40ab1f6113-40ab1f6113\image_06_47540474806471.jpg; seo_runs\jeminise.com\20260906_234129\evidence\contact_sheets\149_folklore-tree-of-life-in-celtic-knot-quilt-40ab1f6113-40ab1f6113.jpg</t>
        </is>
      </c>
    </row>
    <row r="51" ht="66" customHeight="1">
      <c r="A51" s="3" t="inlineStr">
        <is>
          <t>jeminise.com+folklore-tree-of-life-in-celtic-knot-quilt-40ab1f6113-40ab1f6113</t>
        </is>
      </c>
      <c r="B51" s="3" t="inlineStr">
        <is>
          <t>img_d083792a903bfc27</t>
        </is>
      </c>
      <c r="C51" s="4" t="inlineStr">
        <is>
          <t>https://cdn.shopify.com/s/files/1/0792/5098/1063/files/c47177e42e8c147f5efe5d49253545313c2a7f4e815909b29b5c78cb601deb3c.jpg?v=1785103994</t>
        </is>
      </c>
      <c r="D51" s="4" t="inlineStr">
        <is>
          <t>https://cdn.shopify.com/s/files/1/0792/5098/1063/files/c47177e42e8c147f5efe5d49253545313c2a7f4e815909b29b5c78cb601deb3c.jpg?v=1785103994</t>
        </is>
      </c>
      <c r="E51" s="3" t="inlineStr">
        <is>
          <t>47540474839239</t>
        </is>
      </c>
      <c r="F51" s="3" t="inlineStr">
        <is>
          <t>47540474839239</t>
        </is>
      </c>
      <c r="G51" s="3" t="inlineStr"/>
      <c r="H51" s="3" t="inlineStr">
        <is>
          <t>GALLERY</t>
        </is>
      </c>
      <c r="I51" s="3" t="inlineStr">
        <is>
          <t>DIRECT_IMAGE_DOWNLOAD_AND_SOURCE_ROW_REVIEW</t>
        </is>
      </c>
      <c r="J51" s="3" t="inlineStr">
        <is>
          <t>2026-09-07T21:54:16+07:00</t>
        </is>
      </c>
      <c r="K51" s="3" t="inlineStr">
        <is>
          <t>Direct QA opened downloaded image 149_07; source SHA 4674A82A59976725F9C86F73651428B46C9442E2F2EBE17FAC649F7F0494FF4C. Submitted observation reviewed against gallery position.</t>
        </is>
      </c>
      <c r="L51" s="3" t="inlineStr">
        <is>
          <t>Additional lifestyle, feature or product detail image showing Celtic knot Tree of Life quilt set.</t>
        </is>
      </c>
      <c r="M51" s="3" t="inlineStr">
        <is>
          <t>UNKNOWN</t>
        </is>
      </c>
      <c r="N51" s="3" t="inlineStr">
        <is>
          <t>SET</t>
        </is>
      </c>
      <c r="O51" s="3" t="inlineStr">
        <is>
          <t>Additional product mockup of Celtic Knot Tree of Life Quilt Set</t>
        </is>
      </c>
      <c r="P51" s="3" t="inlineStr">
        <is>
          <t>FULL</t>
        </is>
      </c>
      <c r="Q51" s="3" t="inlineStr">
        <is>
          <t>PARTIAL</t>
        </is>
      </c>
      <c r="R51" s="3" t="inlineStr">
        <is>
          <t>FULL</t>
        </is>
      </c>
      <c r="S51" s="3" t="inlineStr">
        <is>
          <t>FULL</t>
        </is>
      </c>
      <c r="T51" s="7">
        <f>IF(P51="FULL",40,IF(P51="PARTIAL",40/2,0))+IF(Q51="FULL",30,IF(Q51="PARTIAL",30/2,0))+IF(R51="FULL",20,IF(R51="PARTIAL",20/2,0))+IF(S51="FULL",10,IF(S51="PARTIAL",10/2,0))</f>
        <v/>
      </c>
      <c r="U51" s="7">
        <f>IF(P51="NOT_CHECKED",0,40)+IF(Q51="NOT_CHECKED",0,30)+IF(R51="NOT_CHECKED",0,20)+IF(S51="NOT_CHECKED",0,10)</f>
        <v/>
      </c>
      <c r="V51" s="7">
        <f>IF(U51=100,T51,"")</f>
        <v/>
      </c>
      <c r="W51" s="7">
        <f>T51</f>
        <v/>
      </c>
      <c r="X51" s="7">
        <f>T51+(100-U51)</f>
        <v/>
      </c>
      <c r="Y51" s="3" t="inlineStr">
        <is>
          <t>ISSUE-0081</t>
        </is>
      </c>
      <c r="Z51" s="3" t="inlineStr">
        <is>
          <t>D:\Shopify_Workspace\jeminise_seo\seo_runs\jeminise.com\20260906_234129\qa\20260907_214000\images\149_07.jpg; seo_runs\jeminise.com\20260906_234129\evidence\images\149_folklore-tree-of-life-in-celtic-knot-quilt-40ab1f6113-40ab1f6113\image_07_47540474839239.jpg; seo_runs\jeminise.com\20260906_234129\evidence\contact_sheets\149_folklore-tree-of-life-in-celtic-knot-quilt-40ab1f6113-40ab1f6113.jpg</t>
        </is>
      </c>
    </row>
    <row r="52" ht="66" customHeight="1">
      <c r="A52" s="2" t="inlineStr">
        <is>
          <t>jeminise.com+fox-patchwork-pattern-quilt-set-animal-quilt-set-patchwork-style</t>
        </is>
      </c>
      <c r="B52" s="2" t="inlineStr">
        <is>
          <t>img_a092cb9907ec9633</t>
        </is>
      </c>
      <c r="C52" s="4" t="inlineStr">
        <is>
          <t>https://cdn.shopify.com/s/files/1/0792/5098/1063/files/988722264f93b7f929168547b94fc3474fc0ce389c8526bb822d4377a564c29d.jpg?v=1787233669</t>
        </is>
      </c>
      <c r="D52" s="4" t="inlineStr">
        <is>
          <t>https://cdn.shopify.com/s/files/1/0792/5098/1063/files/988722264f93b7f929168547b94fc3474fc0ce389c8526bb822d4377a564c29d.jpg?v=1787233669</t>
        </is>
      </c>
      <c r="E52" s="2" t="inlineStr">
        <is>
          <t>47933460840647</t>
        </is>
      </c>
      <c r="F52" s="2" t="inlineStr">
        <is>
          <t>47933460840647</t>
        </is>
      </c>
      <c r="G52" s="2" t="inlineStr"/>
      <c r="H52" s="2" t="inlineStr">
        <is>
          <t>GALLERY</t>
        </is>
      </c>
      <c r="I52" s="2" t="inlineStr">
        <is>
          <t>DIRECT_IMAGE_DOWNLOAD_AND_SOURCE_ROW_REVIEW</t>
        </is>
      </c>
      <c r="J52" s="2" t="inlineStr">
        <is>
          <t>2026-09-07T21:54:16+07:00</t>
        </is>
      </c>
      <c r="K52" s="2" t="inlineStr">
        <is>
          <t>Direct QA opened downloaded image 150_01; source SHA 83DCEA8D411E23FECA8663F5EAEBDB3FE7BB815F3914535B48A7218AAA9BB629. Submitted observation reviewed against gallery position.</t>
        </is>
      </c>
      <c r="L52" s="2" t="inlineStr">
        <is>
          <t>Main product mockup showing fox patchwork animal quilt set.</t>
        </is>
      </c>
      <c r="M52" s="2" t="inlineStr">
        <is>
          <t>UNKNOWN</t>
        </is>
      </c>
      <c r="N52" s="2" t="inlineStr">
        <is>
          <t>SET</t>
        </is>
      </c>
      <c r="O52" s="2" t="inlineStr">
        <is>
          <t>Fox Patchwork Animal Quilt Set displayed in a main product mockup</t>
        </is>
      </c>
      <c r="P52" s="2" t="inlineStr">
        <is>
          <t>FULL</t>
        </is>
      </c>
      <c r="Q52" s="2" t="inlineStr">
        <is>
          <t>FULL</t>
        </is>
      </c>
      <c r="R52" s="2" t="inlineStr">
        <is>
          <t>PARTIAL</t>
        </is>
      </c>
      <c r="S52" s="2" t="inlineStr">
        <is>
          <t>FULL</t>
        </is>
      </c>
      <c r="T52" s="5">
        <f>IF(P52="FULL",40,IF(P52="PARTIAL",40/2,0))+IF(Q52="FULL",30,IF(Q52="PARTIAL",30/2,0))+IF(R52="FULL",20,IF(R52="PARTIAL",20/2,0))+IF(S52="FULL",10,IF(S52="PARTIAL",10/2,0))</f>
        <v/>
      </c>
      <c r="U52" s="5">
        <f>IF(P52="NOT_CHECKED",0,40)+IF(Q52="NOT_CHECKED",0,30)+IF(R52="NOT_CHECKED",0,20)+IF(S52="NOT_CHECKED",0,10)</f>
        <v/>
      </c>
      <c r="V52" s="5">
        <f>IF(U52=100,T52,"")</f>
        <v/>
      </c>
      <c r="W52" s="5">
        <f>T52</f>
        <v/>
      </c>
      <c r="X52" s="5">
        <f>T52+(100-U52)</f>
        <v/>
      </c>
      <c r="Y52" s="2" t="inlineStr">
        <is>
          <t>ISSUE-0087</t>
        </is>
      </c>
      <c r="Z52" s="2" t="inlineStr">
        <is>
          <t>D:\Shopify_Workspace\jeminise_seo\seo_runs\jeminise.com\20260906_234129\qa\20260907_214000\images\150_01.jpg; seo_runs\jeminise.com\20260906_234129\evidence\images\150_fox-patchwork-pattern-quilt-set-animal-quilt-set-patchwork-style\image_01_47933460840647.jpg; seo_runs\jeminise.com\20260906_234129\evidence\contact_sheets\150_fox-patchwork-pattern-quilt-set-animal-quilt-set-patchwork-style.jpg</t>
        </is>
      </c>
    </row>
    <row r="53" ht="66" customHeight="1">
      <c r="A53" s="3" t="inlineStr">
        <is>
          <t>jeminise.com+fox-patchwork-pattern-quilt-set-animal-quilt-set-patchwork-style</t>
        </is>
      </c>
      <c r="B53" s="3" t="inlineStr">
        <is>
          <t>img_d044cdef8828c40c</t>
        </is>
      </c>
      <c r="C53" s="4" t="inlineStr">
        <is>
          <t>https://cdn.shopify.com/s/files/1/0792/5098/1063/files/42f0dd26ba813ef0447553675dea32c4c20b9e98cd31b90f997311c32ca9a464.jpg?v=1787233669</t>
        </is>
      </c>
      <c r="D53" s="4" t="inlineStr">
        <is>
          <t>https://cdn.shopify.com/s/files/1/0792/5098/1063/files/42f0dd26ba813ef0447553675dea32c4c20b9e98cd31b90f997311c32ca9a464.jpg?v=1787233669</t>
        </is>
      </c>
      <c r="E53" s="3" t="inlineStr">
        <is>
          <t>47933460873415</t>
        </is>
      </c>
      <c r="F53" s="3" t="inlineStr">
        <is>
          <t>47933460873415</t>
        </is>
      </c>
      <c r="G53" s="3" t="inlineStr"/>
      <c r="H53" s="3" t="inlineStr">
        <is>
          <t>GALLERY</t>
        </is>
      </c>
      <c r="I53" s="3" t="inlineStr">
        <is>
          <t>DIRECT_IMAGE_DOWNLOAD_AND_SOURCE_ROW_REVIEW</t>
        </is>
      </c>
      <c r="J53" s="3" t="inlineStr">
        <is>
          <t>2026-09-07T21:54:16+07:00</t>
        </is>
      </c>
      <c r="K53" s="3" t="inlineStr">
        <is>
          <t>Direct QA opened downloaded image 150_02; source SHA 5490BE235D091AA3A96A27588C3F00BC86262021ABEBDE3C48B7018824F68BA5. Submitted observation reviewed against gallery position.</t>
        </is>
      </c>
      <c r="L53" s="3" t="inlineStr">
        <is>
          <t>Secondary flat, close-up or bedroom mockup showing fox patchwork animal quilt set.</t>
        </is>
      </c>
      <c r="M53" s="3" t="inlineStr">
        <is>
          <t>UNKNOWN</t>
        </is>
      </c>
      <c r="N53" s="3" t="inlineStr">
        <is>
          <t>SET</t>
        </is>
      </c>
      <c r="O53" s="3" t="inlineStr">
        <is>
          <t>Secondary mockup or close-up of Fox Patchwork Animal Quilt Set</t>
        </is>
      </c>
      <c r="P53" s="3" t="inlineStr">
        <is>
          <t>FULL</t>
        </is>
      </c>
      <c r="Q53" s="3" t="inlineStr">
        <is>
          <t>FULL</t>
        </is>
      </c>
      <c r="R53" s="3" t="inlineStr">
        <is>
          <t>FULL</t>
        </is>
      </c>
      <c r="S53" s="3" t="inlineStr">
        <is>
          <t>FULL</t>
        </is>
      </c>
      <c r="T53" s="7">
        <f>IF(P53="FULL",40,IF(P53="PARTIAL",40/2,0))+IF(Q53="FULL",30,IF(Q53="PARTIAL",30/2,0))+IF(R53="FULL",20,IF(R53="PARTIAL",20/2,0))+IF(S53="FULL",10,IF(S53="PARTIAL",10/2,0))</f>
        <v/>
      </c>
      <c r="U53" s="7">
        <f>IF(P53="NOT_CHECKED",0,40)+IF(Q53="NOT_CHECKED",0,30)+IF(R53="NOT_CHECKED",0,20)+IF(S53="NOT_CHECKED",0,10)</f>
        <v/>
      </c>
      <c r="V53" s="7">
        <f>IF(U53=100,T53,"")</f>
        <v/>
      </c>
      <c r="W53" s="7">
        <f>T53</f>
        <v/>
      </c>
      <c r="X53" s="7">
        <f>T53+(100-U53)</f>
        <v/>
      </c>
      <c r="Y53" s="3" t="inlineStr"/>
      <c r="Z53" s="3" t="inlineStr">
        <is>
          <t>D:\Shopify_Workspace\jeminise_seo\seo_runs\jeminise.com\20260906_234129\qa\20260907_214000\images\150_02.jpg; seo_runs\jeminise.com\20260906_234129\evidence\images\150_fox-patchwork-pattern-quilt-set-animal-quilt-set-patchwork-style\image_02_47933460873415.jpg; seo_runs\jeminise.com\20260906_234129\evidence\contact_sheets\150_fox-patchwork-pattern-quilt-set-animal-quilt-set-patchwork-style.jpg</t>
        </is>
      </c>
    </row>
    <row r="54" ht="66" customHeight="1">
      <c r="A54" s="2" t="inlineStr">
        <is>
          <t>jeminise.com+fox-patchwork-pattern-quilt-set-animal-quilt-set-patchwork-style</t>
        </is>
      </c>
      <c r="B54" s="2" t="inlineStr">
        <is>
          <t>img_62c8c1a0c2ce8611</t>
        </is>
      </c>
      <c r="C54" s="4" t="inlineStr">
        <is>
          <t>https://cdn.shopify.com/s/files/1/0792/5098/1063/files/a2cb5e690cb249a856de7836f6eb3260f06f9a5d599fedfdf7d545401e0282f0.jpg?v=1787233669</t>
        </is>
      </c>
      <c r="D54" s="4" t="inlineStr">
        <is>
          <t>https://cdn.shopify.com/s/files/1/0792/5098/1063/files/a2cb5e690cb249a856de7836f6eb3260f06f9a5d599fedfdf7d545401e0282f0.jpg?v=1787233669</t>
        </is>
      </c>
      <c r="E54" s="2" t="inlineStr">
        <is>
          <t>47933460906183</t>
        </is>
      </c>
      <c r="F54" s="2" t="inlineStr">
        <is>
          <t>47933460906183</t>
        </is>
      </c>
      <c r="G54" s="2" t="inlineStr"/>
      <c r="H54" s="2" t="inlineStr">
        <is>
          <t>GALLERY</t>
        </is>
      </c>
      <c r="I54" s="2" t="inlineStr">
        <is>
          <t>DIRECT_IMAGE_DOWNLOAD_AND_SOURCE_ROW_REVIEW</t>
        </is>
      </c>
      <c r="J54" s="2" t="inlineStr">
        <is>
          <t>2026-09-07T21:54:16+07:00</t>
        </is>
      </c>
      <c r="K54" s="2" t="inlineStr">
        <is>
          <t>Direct QA opened downloaded image 150_03; source SHA 606070EB8C57662A5ED98F5D565277A903F7D1037EEC36A8D5319610AF14627E. Submitted observation reviewed against gallery position.</t>
        </is>
      </c>
      <c r="L54" s="2" t="inlineStr">
        <is>
          <t>Bedding type, feature, lifestyle or material image for fox patchwork animal quilt set.</t>
        </is>
      </c>
      <c r="M54" s="2" t="inlineStr">
        <is>
          <t>UNKNOWN</t>
        </is>
      </c>
      <c r="N54" s="2" t="inlineStr">
        <is>
          <t>SET</t>
        </is>
      </c>
      <c r="O54" s="2" t="inlineStr">
        <is>
          <t>Product pillow or lifestyle image for Fox Patchwork Animal Quilt Set</t>
        </is>
      </c>
      <c r="P54" s="2" t="inlineStr">
        <is>
          <t>FULL</t>
        </is>
      </c>
      <c r="Q54" s="2" t="inlineStr">
        <is>
          <t>PARTIAL</t>
        </is>
      </c>
      <c r="R54" s="2" t="inlineStr">
        <is>
          <t>FULL</t>
        </is>
      </c>
      <c r="S54" s="2" t="inlineStr">
        <is>
          <t>FULL</t>
        </is>
      </c>
      <c r="T54" s="5">
        <f>IF(P54="FULL",40,IF(P54="PARTIAL",40/2,0))+IF(Q54="FULL",30,IF(Q54="PARTIAL",30/2,0))+IF(R54="FULL",20,IF(R54="PARTIAL",20/2,0))+IF(S54="FULL",10,IF(S54="PARTIAL",10/2,0))</f>
        <v/>
      </c>
      <c r="U54" s="5">
        <f>IF(P54="NOT_CHECKED",0,40)+IF(Q54="NOT_CHECKED",0,30)+IF(R54="NOT_CHECKED",0,20)+IF(S54="NOT_CHECKED",0,10)</f>
        <v/>
      </c>
      <c r="V54" s="5">
        <f>IF(U54=100,T54,"")</f>
        <v/>
      </c>
      <c r="W54" s="5">
        <f>T54</f>
        <v/>
      </c>
      <c r="X54" s="5">
        <f>T54+(100-U54)</f>
        <v/>
      </c>
      <c r="Y54" s="2" t="inlineStr">
        <is>
          <t>ISSUE-0088</t>
        </is>
      </c>
      <c r="Z54" s="2" t="inlineStr">
        <is>
          <t>D:\Shopify_Workspace\jeminise_seo\seo_runs\jeminise.com\20260906_234129\qa\20260907_214000\images\150_03.jpg; seo_runs\jeminise.com\20260906_234129\evidence\images\150_fox-patchwork-pattern-quilt-set-animal-quilt-set-patchwork-style\image_03_47933460906183.jpg; seo_runs\jeminise.com\20260906_234129\evidence\contact_sheets\150_fox-patchwork-pattern-quilt-set-animal-quilt-set-patchwork-style.jpg</t>
        </is>
      </c>
    </row>
    <row r="55" ht="66" customHeight="1">
      <c r="A55" s="3" t="inlineStr">
        <is>
          <t>jeminise.com+fox-patchwork-pattern-quilt-set-animal-quilt-set-patchwork-style</t>
        </is>
      </c>
      <c r="B55" s="3" t="inlineStr">
        <is>
          <t>img_09217e0231a070e8</t>
        </is>
      </c>
      <c r="C55" s="4" t="inlineStr">
        <is>
          <t>https://cdn.shopify.com/s/files/1/0792/5098/1063/files/a4fb818afb81b9c4913d6d39542326bd6d4fe7c92d81e82f96d3c35eb4d087ca.jpg?v=1787233669</t>
        </is>
      </c>
      <c r="D55" s="4" t="inlineStr">
        <is>
          <t>https://cdn.shopify.com/s/files/1/0792/5098/1063/files/a4fb818afb81b9c4913d6d39542326bd6d4fe7c92d81e82f96d3c35eb4d087ca.jpg?v=1787233669</t>
        </is>
      </c>
      <c r="E55" s="3" t="inlineStr">
        <is>
          <t>47933460938951</t>
        </is>
      </c>
      <c r="F55" s="3" t="inlineStr">
        <is>
          <t>47933460938951</t>
        </is>
      </c>
      <c r="G55" s="3" t="inlineStr"/>
      <c r="H55" s="3" t="inlineStr">
        <is>
          <t>GALLERY</t>
        </is>
      </c>
      <c r="I55" s="3" t="inlineStr">
        <is>
          <t>DIRECT_IMAGE_DOWNLOAD_AND_SOURCE_ROW_REVIEW</t>
        </is>
      </c>
      <c r="J55" s="3" t="inlineStr">
        <is>
          <t>2026-09-07T21:54:16+07:00</t>
        </is>
      </c>
      <c r="K55" s="3" t="inlineStr">
        <is>
          <t>Direct QA opened downloaded image 150_04; source SHA 7F657316481EA99DB7433ACD9CCF21B16780A1B8EA2B9BCE642075757FBA4B57. Submitted observation reviewed against gallery position.</t>
        </is>
      </c>
      <c r="L55" s="3" t="inlineStr">
        <is>
          <t>Detail, feature panel or lifestyle image connected to fox patchwork animal quilt set.</t>
        </is>
      </c>
      <c r="M55" s="3" t="inlineStr">
        <is>
          <t>UNKNOWN</t>
        </is>
      </c>
      <c r="N55" s="3" t="inlineStr">
        <is>
          <t>SET</t>
        </is>
      </c>
      <c r="O55" s="3" t="inlineStr">
        <is>
          <t>Lifestyle room mockup for Fox Patchwork Animal Quilt Set</t>
        </is>
      </c>
      <c r="P55" s="3" t="inlineStr">
        <is>
          <t>FULL</t>
        </is>
      </c>
      <c r="Q55" s="3" t="inlineStr">
        <is>
          <t>PARTIAL</t>
        </is>
      </c>
      <c r="R55" s="3" t="inlineStr">
        <is>
          <t>FULL</t>
        </is>
      </c>
      <c r="S55" s="3" t="inlineStr">
        <is>
          <t>FULL</t>
        </is>
      </c>
      <c r="T55" s="7">
        <f>IF(P55="FULL",40,IF(P55="PARTIAL",40/2,0))+IF(Q55="FULL",30,IF(Q55="PARTIAL",30/2,0))+IF(R55="FULL",20,IF(R55="PARTIAL",20/2,0))+IF(S55="FULL",10,IF(S55="PARTIAL",10/2,0))</f>
        <v/>
      </c>
      <c r="U55" s="7">
        <f>IF(P55="NOT_CHECKED",0,40)+IF(Q55="NOT_CHECKED",0,30)+IF(R55="NOT_CHECKED",0,20)+IF(S55="NOT_CHECKED",0,10)</f>
        <v/>
      </c>
      <c r="V55" s="7">
        <f>IF(U55=100,T55,"")</f>
        <v/>
      </c>
      <c r="W55" s="7">
        <f>T55</f>
        <v/>
      </c>
      <c r="X55" s="7">
        <f>T55+(100-U55)</f>
        <v/>
      </c>
      <c r="Y55" s="3" t="inlineStr">
        <is>
          <t>ISSUE-0089</t>
        </is>
      </c>
      <c r="Z55" s="3" t="inlineStr">
        <is>
          <t>D:\Shopify_Workspace\jeminise_seo\seo_runs\jeminise.com\20260906_234129\qa\20260907_214000\images\150_04.jpg; seo_runs\jeminise.com\20260906_234129\evidence\images\150_fox-patchwork-pattern-quilt-set-animal-quilt-set-patchwork-style\image_04_47933460938951.jpg; seo_runs\jeminise.com\20260906_234129\evidence\contact_sheets\150_fox-patchwork-pattern-quilt-set-animal-quilt-set-patchwork-style.jpg</t>
        </is>
      </c>
    </row>
    <row r="56" ht="66" customHeight="1">
      <c r="A56" s="2" t="inlineStr">
        <is>
          <t>jeminise.com+fox-patchwork-pattern-quilt-set-animal-quilt-set-patchwork-style</t>
        </is>
      </c>
      <c r="B56" s="2" t="inlineStr">
        <is>
          <t>img_c11fff41a568760c</t>
        </is>
      </c>
      <c r="C56" s="4" t="inlineStr">
        <is>
          <t>https://cdn.shopify.com/s/files/1/0792/5098/1063/files/e5d8a713701bc8252a33abe3e1226ed99b68fc5da417f472a9061c58ebab124d.jpg?v=1787233669</t>
        </is>
      </c>
      <c r="D56" s="4" t="inlineStr">
        <is>
          <t>https://cdn.shopify.com/s/files/1/0792/5098/1063/files/e5d8a713701bc8252a33abe3e1226ed99b68fc5da417f472a9061c58ebab124d.jpg?v=1787233669</t>
        </is>
      </c>
      <c r="E56" s="2" t="inlineStr">
        <is>
          <t>47933460971719</t>
        </is>
      </c>
      <c r="F56" s="2" t="inlineStr">
        <is>
          <t>47933460971719</t>
        </is>
      </c>
      <c r="G56" s="2" t="inlineStr"/>
      <c r="H56" s="2" t="inlineStr">
        <is>
          <t>GALLERY</t>
        </is>
      </c>
      <c r="I56" s="2" t="inlineStr">
        <is>
          <t>DIRECT_IMAGE_DOWNLOAD_AND_SOURCE_ROW_REVIEW</t>
        </is>
      </c>
      <c r="J56" s="2" t="inlineStr">
        <is>
          <t>2026-09-07T21:54:16+07:00</t>
        </is>
      </c>
      <c r="K56" s="2" t="inlineStr">
        <is>
          <t>Direct QA opened downloaded image 150_05; source SHA 67F4B290547E9B65C5406A47EFCF2781F8A399175AFE031E88510C6505BAD97D. Submitted observation reviewed against gallery position.</t>
        </is>
      </c>
      <c r="L56" s="2" t="inlineStr">
        <is>
          <t>Additional mockup, care or size information for fox patchwork animal quilt set.</t>
        </is>
      </c>
      <c r="M56" s="2" t="inlineStr">
        <is>
          <t>UNKNOWN</t>
        </is>
      </c>
      <c r="N56" s="2" t="inlineStr">
        <is>
          <t>SET</t>
        </is>
      </c>
      <c r="O56" s="2" t="inlineStr">
        <is>
          <t>Size, set contents or product feature image for Fox Patchwork Animal Quilt Set</t>
        </is>
      </c>
      <c r="P56" s="2" t="inlineStr">
        <is>
          <t>FULL</t>
        </is>
      </c>
      <c r="Q56" s="2" t="inlineStr">
        <is>
          <t>FULL</t>
        </is>
      </c>
      <c r="R56" s="2" t="inlineStr">
        <is>
          <t>FULL</t>
        </is>
      </c>
      <c r="S56" s="2" t="inlineStr">
        <is>
          <t>FULL</t>
        </is>
      </c>
      <c r="T56" s="5">
        <f>IF(P56="FULL",40,IF(P56="PARTIAL",40/2,0))+IF(Q56="FULL",30,IF(Q56="PARTIAL",30/2,0))+IF(R56="FULL",20,IF(R56="PARTIAL",20/2,0))+IF(S56="FULL",10,IF(S56="PARTIAL",10/2,0))</f>
        <v/>
      </c>
      <c r="U56" s="5">
        <f>IF(P56="NOT_CHECKED",0,40)+IF(Q56="NOT_CHECKED",0,30)+IF(R56="NOT_CHECKED",0,20)+IF(S56="NOT_CHECKED",0,10)</f>
        <v/>
      </c>
      <c r="V56" s="5">
        <f>IF(U56=100,T56,"")</f>
        <v/>
      </c>
      <c r="W56" s="5">
        <f>T56</f>
        <v/>
      </c>
      <c r="X56" s="5">
        <f>T56+(100-U56)</f>
        <v/>
      </c>
      <c r="Y56" s="2" t="inlineStr"/>
      <c r="Z56" s="2" t="inlineStr">
        <is>
          <t>D:\Shopify_Workspace\jeminise_seo\seo_runs\jeminise.com\20260906_234129\qa\20260907_214000\images\150_05.jpg; seo_runs\jeminise.com\20260906_234129\evidence\images\150_fox-patchwork-pattern-quilt-set-animal-quilt-set-patchwork-style\image_05_47933460971719.jpg; seo_runs\jeminise.com\20260906_234129\evidence\contact_sheets\150_fox-patchwork-pattern-quilt-set-animal-quilt-set-patchwork-style.jpg</t>
        </is>
      </c>
    </row>
    <row r="57" ht="66" customHeight="1">
      <c r="A57" s="3" t="inlineStr">
        <is>
          <t>jeminise.com+fox-patchwork-pattern-quilt-set-animal-quilt-set-patchwork-style</t>
        </is>
      </c>
      <c r="B57" s="3" t="inlineStr">
        <is>
          <t>img_cb83375f0fcf62ca</t>
        </is>
      </c>
      <c r="C57" s="4" t="inlineStr">
        <is>
          <t>https://cdn.shopify.com/s/files/1/0792/5098/1063/files/d20c2c33933f1f653a3f3f47666f0c1c2efb2135959e0e0ddbdd4bff35474308.jpg?v=1787233669</t>
        </is>
      </c>
      <c r="D57" s="4" t="inlineStr">
        <is>
          <t>https://cdn.shopify.com/s/files/1/0792/5098/1063/files/d20c2c33933f1f653a3f3f47666f0c1c2efb2135959e0e0ddbdd4bff35474308.jpg?v=1787233669</t>
        </is>
      </c>
      <c r="E57" s="3" t="inlineStr">
        <is>
          <t>47933461004487</t>
        </is>
      </c>
      <c r="F57" s="3" t="inlineStr">
        <is>
          <t>47933461004487</t>
        </is>
      </c>
      <c r="G57" s="3" t="inlineStr"/>
      <c r="H57" s="3" t="inlineStr">
        <is>
          <t>GALLERY</t>
        </is>
      </c>
      <c r="I57" s="3" t="inlineStr">
        <is>
          <t>DIRECT_IMAGE_DOWNLOAD_AND_SOURCE_ROW_REVIEW</t>
        </is>
      </c>
      <c r="J57" s="3" t="inlineStr">
        <is>
          <t>2026-09-07T21:54:16+07:00</t>
        </is>
      </c>
      <c r="K57" s="3" t="inlineStr">
        <is>
          <t>Direct QA opened downloaded image 150_06; source SHA 347B25442D2857576C60F50EEB070F1D77290BDA84552149DBF04DD3A6F8153C. Submitted observation reviewed against gallery position.</t>
        </is>
      </c>
      <c r="L57" s="3" t="inlineStr">
        <is>
          <t>Easy-care, size guide or product feature image for fox patchwork animal quilt set.</t>
        </is>
      </c>
      <c r="M57" s="3" t="inlineStr">
        <is>
          <t>UNKNOWN</t>
        </is>
      </c>
      <c r="N57" s="3" t="inlineStr">
        <is>
          <t>SET</t>
        </is>
      </c>
      <c r="O57" s="3" t="inlineStr">
        <is>
          <t>Care, size or product feature image for Fox Patchwork Animal Quilt Set</t>
        </is>
      </c>
      <c r="P57" s="3" t="inlineStr">
        <is>
          <t>FULL</t>
        </is>
      </c>
      <c r="Q57" s="3" t="inlineStr">
        <is>
          <t>PARTIAL</t>
        </is>
      </c>
      <c r="R57" s="3" t="inlineStr">
        <is>
          <t>FULL</t>
        </is>
      </c>
      <c r="S57" s="3" t="inlineStr">
        <is>
          <t>FULL</t>
        </is>
      </c>
      <c r="T57" s="7">
        <f>IF(P57="FULL",40,IF(P57="PARTIAL",40/2,0))+IF(Q57="FULL",30,IF(Q57="PARTIAL",30/2,0))+IF(R57="FULL",20,IF(R57="PARTIAL",20/2,0))+IF(S57="FULL",10,IF(S57="PARTIAL",10/2,0))</f>
        <v/>
      </c>
      <c r="U57" s="7">
        <f>IF(P57="NOT_CHECKED",0,40)+IF(Q57="NOT_CHECKED",0,30)+IF(R57="NOT_CHECKED",0,20)+IF(S57="NOT_CHECKED",0,10)</f>
        <v/>
      </c>
      <c r="V57" s="7">
        <f>IF(U57=100,T57,"")</f>
        <v/>
      </c>
      <c r="W57" s="7">
        <f>T57</f>
        <v/>
      </c>
      <c r="X57" s="7">
        <f>T57+(100-U57)</f>
        <v/>
      </c>
      <c r="Y57" s="3" t="inlineStr">
        <is>
          <t>ISSUE-0090</t>
        </is>
      </c>
      <c r="Z57" s="3" t="inlineStr">
        <is>
          <t>D:\Shopify_Workspace\jeminise_seo\seo_runs\jeminise.com\20260906_234129\qa\20260907_214000\images\150_06.jpg; seo_runs\jeminise.com\20260906_234129\evidence\images\150_fox-patchwork-pattern-quilt-set-animal-quilt-set-patchwork-style\image_06_47933461004487.jpg; seo_runs\jeminise.com\20260906_234129\evidence\contact_sheets\150_fox-patchwork-pattern-quilt-set-animal-quilt-set-patchwork-style.jpg</t>
        </is>
      </c>
    </row>
    <row r="58" ht="66" customHeight="1">
      <c r="A58" s="2" t="inlineStr">
        <is>
          <t>jeminise.com+fox-patchwork-pattern-quilt-set-animal-quilt-set-patchwork-style</t>
        </is>
      </c>
      <c r="B58" s="2" t="inlineStr">
        <is>
          <t>img_433594314a2b0e61</t>
        </is>
      </c>
      <c r="C58" s="4" t="inlineStr">
        <is>
          <t>https://cdn.shopify.com/s/files/1/0792/5098/1063/files/2da7f736cf6f750ba52277e2af1fa4fb70311ada87fb3eab2e27bf613bac4d55.jpg?v=1787233669</t>
        </is>
      </c>
      <c r="D58" s="4" t="inlineStr">
        <is>
          <t>https://cdn.shopify.com/s/files/1/0792/5098/1063/files/2da7f736cf6f750ba52277e2af1fa4fb70311ada87fb3eab2e27bf613bac4d55.jpg?v=1787233669</t>
        </is>
      </c>
      <c r="E58" s="2" t="inlineStr">
        <is>
          <t>47933461037255</t>
        </is>
      </c>
      <c r="F58" s="2" t="inlineStr">
        <is>
          <t>47933461037255</t>
        </is>
      </c>
      <c r="G58" s="2" t="inlineStr"/>
      <c r="H58" s="2" t="inlineStr">
        <is>
          <t>GALLERY</t>
        </is>
      </c>
      <c r="I58" s="2" t="inlineStr">
        <is>
          <t>DIRECT_IMAGE_DOWNLOAD_AND_SOURCE_ROW_REVIEW</t>
        </is>
      </c>
      <c r="J58" s="2" t="inlineStr">
        <is>
          <t>2026-09-07T21:54:16+07:00</t>
        </is>
      </c>
      <c r="K58" s="2" t="inlineStr">
        <is>
          <t>Direct QA opened downloaded image 150_07; source SHA 78ACCE6BC11EE092A8F7A5DA56D50C47F1D552A7093947FBF4B5823D0AED8EBD. Submitted observation reviewed against gallery position.</t>
        </is>
      </c>
      <c r="L58" s="2" t="inlineStr">
        <is>
          <t>Additional lifestyle, feature or product detail image showing fox patchwork animal quilt set.</t>
        </is>
      </c>
      <c r="M58" s="2" t="inlineStr">
        <is>
          <t>UNKNOWN</t>
        </is>
      </c>
      <c r="N58" s="2" t="inlineStr">
        <is>
          <t>SET</t>
        </is>
      </c>
      <c r="O58" s="2" t="inlineStr">
        <is>
          <t>Additional product mockup of Fox Patchwork Animal Quilt Set</t>
        </is>
      </c>
      <c r="P58" s="2" t="inlineStr">
        <is>
          <t>FULL</t>
        </is>
      </c>
      <c r="Q58" s="2" t="inlineStr">
        <is>
          <t>PARTIAL</t>
        </is>
      </c>
      <c r="R58" s="2" t="inlineStr">
        <is>
          <t>FULL</t>
        </is>
      </c>
      <c r="S58" s="2" t="inlineStr">
        <is>
          <t>FULL</t>
        </is>
      </c>
      <c r="T58" s="5">
        <f>IF(P58="FULL",40,IF(P58="PARTIAL",40/2,0))+IF(Q58="FULL",30,IF(Q58="PARTIAL",30/2,0))+IF(R58="FULL",20,IF(R58="PARTIAL",20/2,0))+IF(S58="FULL",10,IF(S58="PARTIAL",10/2,0))</f>
        <v/>
      </c>
      <c r="U58" s="5">
        <f>IF(P58="NOT_CHECKED",0,40)+IF(Q58="NOT_CHECKED",0,30)+IF(R58="NOT_CHECKED",0,20)+IF(S58="NOT_CHECKED",0,10)</f>
        <v/>
      </c>
      <c r="V58" s="5">
        <f>IF(U58=100,T58,"")</f>
        <v/>
      </c>
      <c r="W58" s="5">
        <f>T58</f>
        <v/>
      </c>
      <c r="X58" s="5">
        <f>T58+(100-U58)</f>
        <v/>
      </c>
      <c r="Y58" s="2" t="inlineStr">
        <is>
          <t>ISSUE-0091</t>
        </is>
      </c>
      <c r="Z58" s="2" t="inlineStr">
        <is>
          <t>D:\Shopify_Workspace\jeminise_seo\seo_runs\jeminise.com\20260906_234129\qa\20260907_214000\images\150_07.jpg; seo_runs\jeminise.com\20260906_234129\evidence\images\150_fox-patchwork-pattern-quilt-set-animal-quilt-set-patchwork-style\image_07_47933461037255.jpg; seo_runs\jeminise.com\20260906_234129\evidence\contact_sheets\150_fox-patchwork-pattern-quilt-set-animal-quilt-set-patchwork-style.jpg</t>
        </is>
      </c>
    </row>
  </sheetData>
  <autoFilter ref="A1:Z58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  <hyperlink xmlns:r="http://schemas.openxmlformats.org/officeDocument/2006/relationships" ref="C49" r:id="rId95"/>
    <hyperlink xmlns:r="http://schemas.openxmlformats.org/officeDocument/2006/relationships" ref="D49" r:id="rId96"/>
    <hyperlink xmlns:r="http://schemas.openxmlformats.org/officeDocument/2006/relationships" ref="C50" r:id="rId97"/>
    <hyperlink xmlns:r="http://schemas.openxmlformats.org/officeDocument/2006/relationships" ref="D50" r:id="rId98"/>
    <hyperlink xmlns:r="http://schemas.openxmlformats.org/officeDocument/2006/relationships" ref="C51" r:id="rId99"/>
    <hyperlink xmlns:r="http://schemas.openxmlformats.org/officeDocument/2006/relationships" ref="D51" r:id="rId100"/>
    <hyperlink xmlns:r="http://schemas.openxmlformats.org/officeDocument/2006/relationships" ref="C52" r:id="rId101"/>
    <hyperlink xmlns:r="http://schemas.openxmlformats.org/officeDocument/2006/relationships" ref="D52" r:id="rId102"/>
    <hyperlink xmlns:r="http://schemas.openxmlformats.org/officeDocument/2006/relationships" ref="C53" r:id="rId103"/>
    <hyperlink xmlns:r="http://schemas.openxmlformats.org/officeDocument/2006/relationships" ref="D53" r:id="rId104"/>
    <hyperlink xmlns:r="http://schemas.openxmlformats.org/officeDocument/2006/relationships" ref="C54" r:id="rId105"/>
    <hyperlink xmlns:r="http://schemas.openxmlformats.org/officeDocument/2006/relationships" ref="D54" r:id="rId106"/>
    <hyperlink xmlns:r="http://schemas.openxmlformats.org/officeDocument/2006/relationships" ref="C55" r:id="rId107"/>
    <hyperlink xmlns:r="http://schemas.openxmlformats.org/officeDocument/2006/relationships" ref="D55" r:id="rId108"/>
    <hyperlink xmlns:r="http://schemas.openxmlformats.org/officeDocument/2006/relationships" ref="C56" r:id="rId109"/>
    <hyperlink xmlns:r="http://schemas.openxmlformats.org/officeDocument/2006/relationships" ref="D56" r:id="rId110"/>
    <hyperlink xmlns:r="http://schemas.openxmlformats.org/officeDocument/2006/relationships" ref="C57" r:id="rId111"/>
    <hyperlink xmlns:r="http://schemas.openxmlformats.org/officeDocument/2006/relationships" ref="D57" r:id="rId112"/>
    <hyperlink xmlns:r="http://schemas.openxmlformats.org/officeDocument/2006/relationships" ref="C58" r:id="rId113"/>
    <hyperlink xmlns:r="http://schemas.openxmlformats.org/officeDocument/2006/relationships" ref="D58" r:id="rId114"/>
  </hyperlinks>
  <printOptions horizontalCentered="0"/>
  <pageMargins left="0.25" right="0.25" top="0.5" bottom="0.5" header="0.5" footer="0.5"/>
  <pageSetup orientation="landscape" fitToHeight="0" fitToWidth="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0" customWidth="1" min="3" max="3"/>
    <col width="20" customWidth="1" min="4" max="4"/>
    <col width="24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32" customHeight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 ht="84" customHeight="1">
      <c r="A2" s="2" t="inlineStr">
        <is>
          <t>ISSUE-0001</t>
        </is>
      </c>
      <c r="B2" s="2" t="inlineStr">
        <is>
          <t>jeminise.com+fantasy-fire-dragon-comforter-set-with-glowing-lava-and-bedroom-setting-c7ca9ae893-c7ca9ae893</t>
        </is>
      </c>
      <c r="C2" s="2" t="inlineStr"/>
      <c r="D2" s="2" t="inlineStr">
        <is>
          <t>MAJOR</t>
        </is>
      </c>
      <c r="E2" s="2" t="inlineStr">
        <is>
          <t>description_proposed_html</t>
        </is>
      </c>
      <c r="F2" s="2" t="inlineStr">
        <is>
          <t>&lt;p&gt;This Jeminise quilt set features red and black fantasy dragon with glowing lava, flames and dark volcanic shading, making it suited for fantasy rooms, nature-inspired decor, winter bedding or woodland themes.&lt;/p&gt;&lt;h3&gt;Design Details&lt;/h3&gt;&lt;ul&gt;&lt;li&gt;Visible artwork: red and black fantasy dragon with glowing lava, flames and dark volcanic shading.&lt;/li&gt;&lt;li&gt;Source product details include: Brand: Jeminise; Product Type: Quilt Set; Material: Microfiber,…</t>
        </is>
      </c>
      <c r="G2" s="2" t="inlineStr">
        <is>
          <t>Draft contains SEO Use / QA approval wording.</t>
        </is>
      </c>
      <c r="H2" s="2" t="inlineStr">
        <is>
          <t>Internal workflow language is not publish-ready storefront copy.</t>
        </is>
      </c>
      <c r="I2" s="2" t="inlineStr">
        <is>
          <t>Remove internal QA/import block and replace with customer-facing verified copy.</t>
        </is>
      </c>
      <c r="J2" s="2" t="inlineStr">
        <is>
          <t>Draft contains SEO Use / QA approval wording.</t>
        </is>
      </c>
      <c r="K2" s="2" t="inlineStr">
        <is>
          <t>Description HTML no longer contains SEO Use, QA, approval, import or draft language.</t>
        </is>
      </c>
    </row>
    <row r="3" ht="84" customHeight="1">
      <c r="A3" s="3" t="inlineStr">
        <is>
          <t>ISSUE-0002</t>
        </is>
      </c>
      <c r="B3" s="3" t="inlineStr">
        <is>
          <t>jeminise.com+fantasy-fire-dragon-comforter-set-with-glowing-lava-and-bedroom-setting-c7ca9ae893-c7ca9ae893</t>
        </is>
      </c>
      <c r="C3" s="3" t="inlineStr"/>
      <c r="D3" s="3" t="inlineStr">
        <is>
          <t>MAJOR</t>
        </is>
      </c>
      <c r="E3" s="3" t="inlineStr">
        <is>
          <t>h1_proposed</t>
        </is>
      </c>
      <c r="F3" s="3" t="inlineStr"/>
      <c r="G3" s="3" t="inlineStr">
        <is>
          <t>The submitted workbook row has no proposed H1.</t>
        </is>
      </c>
      <c r="H3" s="3" t="inlineStr">
        <is>
          <t>A publishable SEO title/H1 pair is incomplete when the H1 field is blank.</t>
        </is>
      </c>
      <c r="I3" s="3" t="inlineStr">
        <is>
          <t>Write one English H1 that matches the verified product type and visible design; do not copy unsupported claims.</t>
        </is>
      </c>
      <c r="J3" s="3" t="inlineStr">
        <is>
          <t>The submitted workbook row has no proposed H1.</t>
        </is>
      </c>
      <c r="K3" s="3" t="inlineStr">
        <is>
          <t>Workbook contains a non-empty H1 and it is consistent with title, primary keyword and live product evidence.</t>
        </is>
      </c>
    </row>
    <row r="4" ht="84" customHeight="1">
      <c r="A4" s="2" t="inlineStr">
        <is>
          <t>ISSUE-0003</t>
        </is>
      </c>
      <c r="B4" s="2" t="inlineStr">
        <is>
          <t>jeminise.com+fantasy-fire-dragon-comforter-set-with-glowing-lava-and-bedroom-setting-c7ca9ae893-c7ca9ae893</t>
        </is>
      </c>
      <c r="C4" s="2" t="inlineStr"/>
      <c r="D4" s="2" t="inlineStr">
        <is>
          <t>MAJOR</t>
        </is>
      </c>
      <c r="E4" s="2" t="inlineStr">
        <is>
          <t>description_proposed_html</t>
        </is>
      </c>
      <c r="F4" s="2" t="inlineStr">
        <is>
          <t>&lt;p&gt;This Jeminise quilt set features red and black fantasy dragon with glowing lava, flames and dark volcanic shading, making it suited for fantasy rooms, nature-inspired decor, winter bedding or woodland themes.&lt;/p&gt;&lt;h3&gt;Design Details&lt;/h3&gt;&lt;ul&gt;&lt;li&gt;Visible artwork: red and black fantasy dragon with glowing lava, flames and dark volcanic shading.&lt;/li&gt;&lt;li&gt;Source product details include: Brand: Jeminise; Product Type: Quilt Set; Material: Microfiber,…</t>
        </is>
      </c>
      <c r="G4" s="2" t="inlineStr">
        <is>
          <t>The proposed description uses a repeated audience list (for example, animal rooms/faith gifts/nature-inspired decor) that is not specific to this product.</t>
        </is>
      </c>
      <c r="H4" s="2" t="inlineStr">
        <is>
          <t>Generic audience wording can be irrelevant or contradictory to the visible motif and is not evidence-led storefront copy.</t>
        </is>
      </c>
      <c r="I4" s="2" t="inlineStr">
        <is>
          <t>Replace it with concise English customer-facing copy tied only to the verified motif, product type, size/pillowcase choices and supported customizer control.</t>
        </is>
      </c>
      <c r="J4" s="2" t="inlineStr">
        <is>
          <t>The proposed description uses a repeated audience list (for example, animal rooms/faith gifts/nature-inspired decor) that is not specific to this product.</t>
        </is>
      </c>
      <c r="K4" s="2" t="inlineStr">
        <is>
          <t>Description contains no irrelevant template audience list and every remaining claim is supported by live/snapshot evidence.</t>
        </is>
      </c>
    </row>
    <row r="5" ht="84" customHeight="1">
      <c r="A5" s="3" t="inlineStr">
        <is>
          <t>ISSUE-0004</t>
        </is>
      </c>
      <c r="B5" s="3" t="inlineStr">
        <is>
          <t>jeminise.com+fantasy-fire-dragon-comforter-set-with-glowing-lava-and-bedroom-setting-c7ca9ae893-c7ca9ae893</t>
        </is>
      </c>
      <c r="C5" s="3" t="inlineStr"/>
      <c r="D5" s="3" t="inlineStr">
        <is>
          <t>MINOR</t>
        </is>
      </c>
      <c r="E5" s="3" t="inlineStr">
        <is>
          <t>meta_description_seo</t>
        </is>
      </c>
      <c r="F5" s="3" t="inlineStr">
        <is>
          <t>Shop a quilt set featuring red and black fantasy dragon with glowing lava, flames and dark volcanic shading. Review size and personalization options before checkout.</t>
        </is>
      </c>
      <c r="G5" s="3" t="inlineStr">
        <is>
          <t>Meta description length is 165 characters.</t>
        </is>
      </c>
      <c r="H5" s="3" t="inlineStr">
        <is>
          <t>Likely to truncate in search results and repeats review/personality wording in several rows.</t>
        </is>
      </c>
      <c r="I5" s="3" t="inlineStr">
        <is>
          <t>Rewrite to roughly 145-155 characters while preserving verified design and product type.</t>
        </is>
      </c>
      <c r="J5" s="3" t="inlineStr">
        <is>
          <t>Meta description length is 165 characters.</t>
        </is>
      </c>
      <c r="K5" s="3" t="inlineStr">
        <is>
          <t>Length check &lt;=160 characters and no unsupported claim remains.</t>
        </is>
      </c>
    </row>
    <row r="6" ht="84" customHeight="1">
      <c r="A6" s="2" t="inlineStr">
        <is>
          <t>ISSUE-0005</t>
        </is>
      </c>
      <c r="B6" s="2" t="inlineStr">
        <is>
          <t>jeminise.com+fantasy-fire-dragon-comforter-set-with-glowing-lava-and-bedroom-setting-c7ca9ae893-c7ca9ae893</t>
        </is>
      </c>
      <c r="C6" s="2" t="inlineStr"/>
      <c r="D6" s="2" t="inlineStr">
        <is>
          <t>MAJOR</t>
        </is>
      </c>
      <c r="E6" s="2" t="inlineStr">
        <is>
          <t>keyword_map</t>
        </is>
      </c>
      <c r="F6" s="2" t="inlineStr">
        <is>
          <t>fire dragon quilt</t>
        </is>
      </c>
      <c r="G6" s="2" t="inlineStr">
        <is>
          <t>https://www.temu.com/dragon-bedding-set-5030175152007-s.html; https://www.pinterest.com/pin/800233427555270189/; https://www.etsy.com/market/fantasy_duvet; https://www.temu.com/dragon-bedding-set-5030175152007-s.html; https://www.pinterest.com/pin/800233427555270189/; https://www.etsy.com/market/fantasy_duvet</t>
        </is>
      </c>
      <c r="H6" s="2" t="inlineStr">
        <is>
          <t>Batch cluster contains several very similar products, so keyword/intent differentiation must be sharper.</t>
        </is>
      </c>
      <c r="I6" s="2" t="inlineStr">
        <is>
          <t>Add unique visible motif modifiers and avoid assigning the same generic product keyword to multiple URLs.</t>
        </is>
      </c>
      <c r="J6" s="2" t="inlineStr">
        <is>
          <t>https://www.temu.com/dragon-bedding-set-5030175152007-s.html; https://www.pinterest.com/pin/800233427555270189/; https://www.etsy.com/market/fantasy_duvet; https://www.temu.com/dragon-bedding-set-5030175152007-s.html; https://www.pinterest.com/pin/800233427555270189/; https://www.etsy.com/market/fantasy_duvet</t>
        </is>
      </c>
      <c r="K6" s="2" t="inlineStr">
        <is>
          <t>SERP notes and title/meta show a distinct product-level query for this exact design.</t>
        </is>
      </c>
    </row>
    <row r="7" ht="84" customHeight="1">
      <c r="A7" s="3" t="inlineStr">
        <is>
          <t>ISSUE-0006</t>
        </is>
      </c>
      <c r="B7" s="3" t="inlineStr">
        <is>
          <t>jeminise.com+fantasy-fire-dragon-comforter-set-with-glowing-lava-and-bedroom-setting-c7ca9ae893-c7ca9ae893</t>
        </is>
      </c>
      <c r="C7" s="3" t="inlineStr"/>
      <c r="D7" s="3" t="inlineStr">
        <is>
          <t>LIMITATION</t>
        </is>
      </c>
      <c r="E7" s="3" t="inlineStr">
        <is>
          <t>keyword_evidence_level</t>
        </is>
      </c>
      <c r="F7" s="3" t="inlineStr">
        <is>
          <t>SERP_ONLY</t>
        </is>
      </c>
      <c r="G7" s="3" t="inlineStr">
        <is>
          <t>Only public SERP comparables are available.</t>
        </is>
      </c>
      <c r="H7" s="3" t="inlineStr">
        <is>
          <t>No Search Console, paid keyword volume or internal site search export was supplied.</t>
        </is>
      </c>
      <c r="I7" s="3" t="inlineStr">
        <is>
          <t>Keep demand statements qualitative; do not claim volume or ranking potential.</t>
        </is>
      </c>
      <c r="J7" s="3" t="inlineStr">
        <is>
          <t>Only public SERP comparables are available.</t>
        </is>
      </c>
      <c r="K7" s="3" t="inlineStr">
        <is>
          <t>Additional first-party or paid keyword evidence is attached, or limitation remains documented.</t>
        </is>
      </c>
    </row>
    <row r="8" ht="84" customHeight="1">
      <c r="A8" s="2" t="inlineStr">
        <is>
          <t>ISSUE-0007</t>
        </is>
      </c>
      <c r="B8" s="2" t="inlineStr">
        <is>
          <t>jeminise.com+fantasy-fire-dragon-comforter-set-with-glowing-lava-and-bedroom-setting-c7ca9ae893-c7ca9ae893</t>
        </is>
      </c>
      <c r="C8" s="2" t="inlineStr">
        <is>
          <t>img_3c71e664fc779390</t>
        </is>
      </c>
      <c r="D8" s="2" t="inlineStr">
        <is>
          <t>MINOR</t>
        </is>
      </c>
      <c r="E8" s="2" t="inlineStr">
        <is>
          <t>alt text</t>
        </is>
      </c>
      <c r="F8" s="2" t="inlineStr">
        <is>
          <t>Red Fire Dragon Lava Quilt Set displayed in a main product mockup</t>
        </is>
      </c>
      <c r="G8" s="2" t="inlineStr">
        <is>
          <t>Fresh image file: D:\Shopify_Workspace\jeminise_seo\seo_runs\jeminise.com\20260906_234129\qa\20260907_214000\images\141_01.jpg; source URL: https://cdn.shopify.com/s/files/1/0792/5098/1063/files/c4d0fd722455bba238bd299b941b3a17d42c91a26bd18c6f1208c8a0c855db71.jpg?v=1785046575</t>
        </is>
      </c>
      <c r="H8" s="2" t="inlineStr">
        <is>
          <t>Alt text is too generic or describes placement more than visible content.</t>
        </is>
      </c>
      <c r="I8" s="2" t="inlineStr">
        <is>
          <t>Rewrite observation/alt from the directly opened image, naming the visible motif and use context.</t>
        </is>
      </c>
      <c r="J8" s="2" t="inlineStr">
        <is>
          <t>Fresh image file: D:\Shopify_Workspace\jeminise_seo\seo_runs\jeminise.com\20260906_234129\qa\20260907_214000\images\141_01.jpg; source URL: https://cdn.shopify.com/s/files/1/0792/5098/1063/files/c4d0fd722455bba238bd299b941b3a17d42c91a26bd18c6f1208c8a0c855db71.jpg?v=1785046575</t>
        </is>
      </c>
      <c r="K8" s="2" t="inlineStr">
        <is>
          <t>The image row accurately describes the actual media at this gallery position.</t>
        </is>
      </c>
    </row>
    <row r="9" ht="84" customHeight="1">
      <c r="A9" s="3" t="inlineStr">
        <is>
          <t>ISSUE-0008</t>
        </is>
      </c>
      <c r="B9" s="3" t="inlineStr">
        <is>
          <t>jeminise.com+fantasy-fire-dragon-comforter-set-with-glowing-lava-and-bedroom-setting-c7ca9ae893-c7ca9ae893</t>
        </is>
      </c>
      <c r="C9" s="3" t="inlineStr">
        <is>
          <t>img_4c97f2585d7a9c38</t>
        </is>
      </c>
      <c r="D9" s="3" t="inlineStr">
        <is>
          <t>MINOR</t>
        </is>
      </c>
      <c r="E9" s="3" t="inlineStr">
        <is>
          <t>image observation</t>
        </is>
      </c>
      <c r="F9" s="3" t="inlineStr">
        <is>
          <t>Bedding type, feature, lifestyle or material image for red fire dragon lava quilt set.</t>
        </is>
      </c>
      <c r="G9" s="3" t="inlineStr">
        <is>
          <t>Fresh image file: D:\Shopify_Workspace\jeminise_seo\seo_runs\jeminise.com\20260906_234129\qa\20260907_214000\images\141_03.jpg; source URL: https://cdn.shopify.com/s/files/1/0792/5098/1063/files/b2c6bd3e9c7f7e57cdd3687e983bfe44375c5813193290cea46f99c5e92a94e5.jpg?v=1785046575</t>
        </is>
      </c>
      <c r="H9" s="3" t="inlineStr">
        <is>
          <t>Observation is generic or position-based; rewrite from the actual image content.</t>
        </is>
      </c>
      <c r="I9" s="3" t="inlineStr">
        <is>
          <t>Rewrite observation/alt from the directly opened image, naming the visible motif and use context.</t>
        </is>
      </c>
      <c r="J9" s="3" t="inlineStr">
        <is>
          <t>Fresh image file: D:\Shopify_Workspace\jeminise_seo\seo_runs\jeminise.com\20260906_234129\qa\20260907_214000\images\141_03.jpg; source URL: https://cdn.shopify.com/s/files/1/0792/5098/1063/files/b2c6bd3e9c7f7e57cdd3687e983bfe44375c5813193290cea46f99c5e92a94e5.jpg?v=1785046575</t>
        </is>
      </c>
      <c r="K9" s="3" t="inlineStr">
        <is>
          <t>The image row accurately describes the actual media at this gallery position.</t>
        </is>
      </c>
    </row>
    <row r="10" ht="84" customHeight="1">
      <c r="A10" s="2" t="inlineStr">
        <is>
          <t>ISSUE-0009</t>
        </is>
      </c>
      <c r="B10" s="2" t="inlineStr">
        <is>
          <t>jeminise.com+fantasy-fire-dragon-comforter-set-with-glowing-lava-and-bedroom-setting-c7ca9ae893-c7ca9ae893</t>
        </is>
      </c>
      <c r="C10" s="2" t="inlineStr">
        <is>
          <t>img_0a197b4a8d2c0d31</t>
        </is>
      </c>
      <c r="D10" s="2" t="inlineStr">
        <is>
          <t>MINOR</t>
        </is>
      </c>
      <c r="E10" s="2" t="inlineStr">
        <is>
          <t>image observation</t>
        </is>
      </c>
      <c r="F10" s="2" t="inlineStr">
        <is>
          <t>Detail, feature panel or lifestyle image connected to red fire dragon lava quilt set.</t>
        </is>
      </c>
      <c r="G10" s="2" t="inlineStr">
        <is>
          <t>Fresh image file: D:\Shopify_Workspace\jeminise_seo\seo_runs\jeminise.com\20260906_234129\qa\20260907_214000\images\141_04.jpg; source URL: https://cdn.shopify.com/s/files/1/0792/5098/1063/files/fe57b5826ec2d6c98cd7be8065d8fa25e380acda4678fa02dd4184764eadd193.jpg?v=1785046575</t>
        </is>
      </c>
      <c r="H10" s="2" t="inlineStr">
        <is>
          <t>Observation is generic or position-based; rewrite from the actual image content.</t>
        </is>
      </c>
      <c r="I10" s="2" t="inlineStr">
        <is>
          <t>Rewrite observation/alt from the directly opened image, naming the visible motif and use context.</t>
        </is>
      </c>
      <c r="J10" s="2" t="inlineStr">
        <is>
          <t>Fresh image file: D:\Shopify_Workspace\jeminise_seo\seo_runs\jeminise.com\20260906_234129\qa\20260907_214000\images\141_04.jpg; source URL: https://cdn.shopify.com/s/files/1/0792/5098/1063/files/fe57b5826ec2d6c98cd7be8065d8fa25e380acda4678fa02dd4184764eadd193.jpg?v=1785046575</t>
        </is>
      </c>
      <c r="K10" s="2" t="inlineStr">
        <is>
          <t>The image row accurately describes the actual media at this gallery position.</t>
        </is>
      </c>
    </row>
    <row r="11" ht="84" customHeight="1">
      <c r="A11" s="3" t="inlineStr">
        <is>
          <t>ISSUE-0010</t>
        </is>
      </c>
      <c r="B11" s="3" t="inlineStr">
        <is>
          <t>jeminise.com+fantasy-mythical-dragon-comforter-set-with-winged-dragon-and-bedroom-setting-bcfc28e9d3-bcfc28e9d3</t>
        </is>
      </c>
      <c r="C11" s="3" t="inlineStr"/>
      <c r="D11" s="3" t="inlineStr">
        <is>
          <t>MAJOR</t>
        </is>
      </c>
      <c r="E11" s="3" t="inlineStr">
        <is>
          <t>description_proposed_html</t>
        </is>
      </c>
      <c r="F11" s="3" t="inlineStr">
        <is>
          <t>&lt;p&gt;This Jeminise quilt set features teal winged dragon on a dark fantasy background with glowing green light accents, making it suited for fantasy rooms, nature-inspired decor, winter bedding or woodland themes.&lt;/p&gt;&lt;h3&gt;Design Details&lt;/h3&gt;&lt;ul&gt;&lt;li&gt;Visible artwork: teal winged dragon on a dark fantasy background with glowing green light accents.&lt;/li&gt;&lt;li&gt;Source product details include: Brand: Jeminise; Product Type: Quilt Set; Material: Microfiber,…</t>
        </is>
      </c>
      <c r="G11" s="3" t="inlineStr">
        <is>
          <t>Draft contains SEO Use / QA approval wording.</t>
        </is>
      </c>
      <c r="H11" s="3" t="inlineStr">
        <is>
          <t>Internal workflow language is not publish-ready storefront copy.</t>
        </is>
      </c>
      <c r="I11" s="3" t="inlineStr">
        <is>
          <t>Remove internal QA/import block and replace with customer-facing verified copy.</t>
        </is>
      </c>
      <c r="J11" s="3" t="inlineStr">
        <is>
          <t>Draft contains SEO Use / QA approval wording.</t>
        </is>
      </c>
      <c r="K11" s="3" t="inlineStr">
        <is>
          <t>Description HTML no longer contains SEO Use, QA, approval, import or draft language.</t>
        </is>
      </c>
    </row>
    <row r="12" ht="84" customHeight="1">
      <c r="A12" s="2" t="inlineStr">
        <is>
          <t>ISSUE-0011</t>
        </is>
      </c>
      <c r="B12" s="2" t="inlineStr">
        <is>
          <t>jeminise.com+fantasy-mythical-dragon-comforter-set-with-winged-dragon-and-bedroom-setting-bcfc28e9d3-bcfc28e9d3</t>
        </is>
      </c>
      <c r="C12" s="2" t="inlineStr"/>
      <c r="D12" s="2" t="inlineStr">
        <is>
          <t>MAJOR</t>
        </is>
      </c>
      <c r="E12" s="2" t="inlineStr">
        <is>
          <t>h1_proposed</t>
        </is>
      </c>
      <c r="F12" s="2" t="inlineStr"/>
      <c r="G12" s="2" t="inlineStr">
        <is>
          <t>The submitted workbook row has no proposed H1.</t>
        </is>
      </c>
      <c r="H12" s="2" t="inlineStr">
        <is>
          <t>A publishable SEO title/H1 pair is incomplete when the H1 field is blank.</t>
        </is>
      </c>
      <c r="I12" s="2" t="inlineStr">
        <is>
          <t>Write one English H1 that matches the verified product type and visible design; do not copy unsupported claims.</t>
        </is>
      </c>
      <c r="J12" s="2" t="inlineStr">
        <is>
          <t>The submitted workbook row has no proposed H1.</t>
        </is>
      </c>
      <c r="K12" s="2" t="inlineStr">
        <is>
          <t>Workbook contains a non-empty H1 and it is consistent with title, primary keyword and live product evidence.</t>
        </is>
      </c>
    </row>
    <row r="13" ht="84" customHeight="1">
      <c r="A13" s="3" t="inlineStr">
        <is>
          <t>ISSUE-0012</t>
        </is>
      </c>
      <c r="B13" s="3" t="inlineStr">
        <is>
          <t>jeminise.com+fantasy-mythical-dragon-comforter-set-with-winged-dragon-and-bedroom-setting-bcfc28e9d3-bcfc28e9d3</t>
        </is>
      </c>
      <c r="C13" s="3" t="inlineStr"/>
      <c r="D13" s="3" t="inlineStr">
        <is>
          <t>MAJOR</t>
        </is>
      </c>
      <c r="E13" s="3" t="inlineStr">
        <is>
          <t>description_proposed_html</t>
        </is>
      </c>
      <c r="F13" s="3" t="inlineStr">
        <is>
          <t>&lt;p&gt;This Jeminise quilt set features teal winged dragon on a dark fantasy background with glowing green light accents, making it suited for fantasy rooms, nature-inspired decor, winter bedding or woodland themes.&lt;/p&gt;&lt;h3&gt;Design Details&lt;/h3&gt;&lt;ul&gt;&lt;li&gt;Visible artwork: teal winged dragon on a dark fantasy background with glowing green light accents.&lt;/li&gt;&lt;li&gt;Source product details include: Brand: Jeminise; Product Type: Quilt Set; Material: Microfiber,…</t>
        </is>
      </c>
      <c r="G13" s="3" t="inlineStr">
        <is>
          <t>The proposed description uses a repeated audience list (for example, animal rooms/faith gifts/nature-inspired decor) that is not specific to this product.</t>
        </is>
      </c>
      <c r="H13" s="3" t="inlineStr">
        <is>
          <t>Generic audience wording can be irrelevant or contradictory to the visible motif and is not evidence-led storefront copy.</t>
        </is>
      </c>
      <c r="I13" s="3" t="inlineStr">
        <is>
          <t>Replace it with concise English customer-facing copy tied only to the verified motif, product type, size/pillowcase choices and supported customizer control.</t>
        </is>
      </c>
      <c r="J13" s="3" t="inlineStr">
        <is>
          <t>The proposed description uses a repeated audience list (for example, animal rooms/faith gifts/nature-inspired decor) that is not specific to this product.</t>
        </is>
      </c>
      <c r="K13" s="3" t="inlineStr">
        <is>
          <t>Description contains no irrelevant template audience list and every remaining claim is supported by live/snapshot evidence.</t>
        </is>
      </c>
    </row>
    <row r="14" ht="84" customHeight="1">
      <c r="A14" s="2" t="inlineStr">
        <is>
          <t>ISSUE-0013</t>
        </is>
      </c>
      <c r="B14" s="2" t="inlineStr">
        <is>
          <t>jeminise.com+fantasy-mythical-dragon-comforter-set-with-winged-dragon-and-bedroom-setting-bcfc28e9d3-bcfc28e9d3</t>
        </is>
      </c>
      <c r="C14" s="2" t="inlineStr"/>
      <c r="D14" s="2" t="inlineStr">
        <is>
          <t>MINOR</t>
        </is>
      </c>
      <c r="E14" s="2" t="inlineStr">
        <is>
          <t>meta_description_seo</t>
        </is>
      </c>
      <c r="F14" s="2" t="inlineStr">
        <is>
          <t>Shop a quilt set featuring teal winged dragon on a dark fantasy background with glowing green light accents. Review size and personalization options before checkout.</t>
        </is>
      </c>
      <c r="G14" s="2" t="inlineStr">
        <is>
          <t>Meta description length is 165 characters.</t>
        </is>
      </c>
      <c r="H14" s="2" t="inlineStr">
        <is>
          <t>Likely to truncate in search results and repeats review/personality wording in several rows.</t>
        </is>
      </c>
      <c r="I14" s="2" t="inlineStr">
        <is>
          <t>Rewrite to roughly 145-155 characters while preserving verified design and product type.</t>
        </is>
      </c>
      <c r="J14" s="2" t="inlineStr">
        <is>
          <t>Meta description length is 165 characters.</t>
        </is>
      </c>
      <c r="K14" s="2" t="inlineStr">
        <is>
          <t>Length check &lt;=160 characters and no unsupported claim remains.</t>
        </is>
      </c>
    </row>
    <row r="15" ht="84" customHeight="1">
      <c r="A15" s="3" t="inlineStr">
        <is>
          <t>ISSUE-0014</t>
        </is>
      </c>
      <c r="B15" s="3" t="inlineStr">
        <is>
          <t>jeminise.com+fantasy-mythical-dragon-comforter-set-with-winged-dragon-and-bedroom-setting-bcfc28e9d3-bcfc28e9d3</t>
        </is>
      </c>
      <c r="C15" s="3" t="inlineStr"/>
      <c r="D15" s="3" t="inlineStr">
        <is>
          <t>MAJOR</t>
        </is>
      </c>
      <c r="E15" s="3" t="inlineStr">
        <is>
          <t>keyword_map</t>
        </is>
      </c>
      <c r="F15" s="3" t="inlineStr">
        <is>
          <t>winged dragon quilt</t>
        </is>
      </c>
      <c r="G15" s="3" t="inlineStr">
        <is>
          <t>https://www.temu.com/dragon-bedding-set-5030175152007-s.html; https://www.pinterest.com/pin/800233427555270189/; https://www.etsy.com/market/fantasy_duvet; https://www.temu.com/dragon-bedding-set-5030175152007-s.html; https://www.pinterest.com/pin/800233427555270189/; https://www.etsy.com/market/fantasy_duvet</t>
        </is>
      </c>
      <c r="H15" s="3" t="inlineStr">
        <is>
          <t>Batch cluster contains several very similar products, so keyword/intent differentiation must be sharper.</t>
        </is>
      </c>
      <c r="I15" s="3" t="inlineStr">
        <is>
          <t>Add unique visible motif modifiers and avoid assigning the same generic product keyword to multiple URLs.</t>
        </is>
      </c>
      <c r="J15" s="3" t="inlineStr">
        <is>
          <t>https://www.temu.com/dragon-bedding-set-5030175152007-s.html; https://www.pinterest.com/pin/800233427555270189/; https://www.etsy.com/market/fantasy_duvet; https://www.temu.com/dragon-bedding-set-5030175152007-s.html; https://www.pinterest.com/pin/800233427555270189/; https://www.etsy.com/market/fantasy_duvet</t>
        </is>
      </c>
      <c r="K15" s="3" t="inlineStr">
        <is>
          <t>SERP notes and title/meta show a distinct product-level query for this exact design.</t>
        </is>
      </c>
    </row>
    <row r="16" ht="84" customHeight="1">
      <c r="A16" s="2" t="inlineStr">
        <is>
          <t>ISSUE-0015</t>
        </is>
      </c>
      <c r="B16" s="2" t="inlineStr">
        <is>
          <t>jeminise.com+fantasy-mythical-dragon-comforter-set-with-winged-dragon-and-bedroom-setting-bcfc28e9d3-bcfc28e9d3</t>
        </is>
      </c>
      <c r="C16" s="2" t="inlineStr"/>
      <c r="D16" s="2" t="inlineStr">
        <is>
          <t>LIMITATION</t>
        </is>
      </c>
      <c r="E16" s="2" t="inlineStr">
        <is>
          <t>keyword_evidence_level</t>
        </is>
      </c>
      <c r="F16" s="2" t="inlineStr">
        <is>
          <t>SERP_ONLY</t>
        </is>
      </c>
      <c r="G16" s="2" t="inlineStr">
        <is>
          <t>Only public SERP comparables are available.</t>
        </is>
      </c>
      <c r="H16" s="2" t="inlineStr">
        <is>
          <t>No Search Console, paid keyword volume or internal site search export was supplied.</t>
        </is>
      </c>
      <c r="I16" s="2" t="inlineStr">
        <is>
          <t>Keep demand statements qualitative; do not claim volume or ranking potential.</t>
        </is>
      </c>
      <c r="J16" s="2" t="inlineStr">
        <is>
          <t>Only public SERP comparables are available.</t>
        </is>
      </c>
      <c r="K16" s="2" t="inlineStr">
        <is>
          <t>Additional first-party or paid keyword evidence is attached, or limitation remains documented.</t>
        </is>
      </c>
    </row>
    <row r="17" ht="84" customHeight="1">
      <c r="A17" s="3" t="inlineStr">
        <is>
          <t>ISSUE-0016</t>
        </is>
      </c>
      <c r="B17" s="3" t="inlineStr">
        <is>
          <t>jeminise.com+fantasy-mythical-dragon-comforter-set-with-winged-dragon-and-bedroom-setting-bcfc28e9d3-bcfc28e9d3</t>
        </is>
      </c>
      <c r="C17" s="3" t="inlineStr">
        <is>
          <t>img_e415dacec766e31e</t>
        </is>
      </c>
      <c r="D17" s="3" t="inlineStr">
        <is>
          <t>MINOR</t>
        </is>
      </c>
      <c r="E17" s="3" t="inlineStr">
        <is>
          <t>alt text</t>
        </is>
      </c>
      <c r="F17" s="3" t="inlineStr">
        <is>
          <t>Teal Winged Mythical Dragon Quilt displayed in a main product mockup</t>
        </is>
      </c>
      <c r="G17" s="3" t="inlineStr">
        <is>
          <t>Fresh image file: D:\Shopify_Workspace\jeminise_seo\seo_runs\jeminise.com\20260906_234129\qa\20260907_214000\images\142_01.jpg; source URL: https://cdn.shopify.com/s/files/1/0792/5098/1063/files/eae477fdaa97e3fdca2ab3391d0017b16b984464bea16f0ed965f5f3ba5c7467.jpg?v=1785046274</t>
        </is>
      </c>
      <c r="H17" s="3" t="inlineStr">
        <is>
          <t>Alt text is too generic or describes placement more than visible content.</t>
        </is>
      </c>
      <c r="I17" s="3" t="inlineStr">
        <is>
          <t>Rewrite observation/alt from the directly opened image, naming the visible motif and use context.</t>
        </is>
      </c>
      <c r="J17" s="3" t="inlineStr">
        <is>
          <t>Fresh image file: D:\Shopify_Workspace\jeminise_seo\seo_runs\jeminise.com\20260906_234129\qa\20260907_214000\images\142_01.jpg; source URL: https://cdn.shopify.com/s/files/1/0792/5098/1063/files/eae477fdaa97e3fdca2ab3391d0017b16b984464bea16f0ed965f5f3ba5c7467.jpg?v=1785046274</t>
        </is>
      </c>
      <c r="K17" s="3" t="inlineStr">
        <is>
          <t>The image row accurately describes the actual media at this gallery position.</t>
        </is>
      </c>
    </row>
    <row r="18" ht="84" customHeight="1">
      <c r="A18" s="2" t="inlineStr">
        <is>
          <t>ISSUE-0017</t>
        </is>
      </c>
      <c r="B18" s="2" t="inlineStr">
        <is>
          <t>jeminise.com+fantasy-mythical-dragon-comforter-set-with-winged-dragon-and-bedroom-setting-bcfc28e9d3-bcfc28e9d3</t>
        </is>
      </c>
      <c r="C18" s="2" t="inlineStr">
        <is>
          <t>img_5c00d5d726f2c9e2</t>
        </is>
      </c>
      <c r="D18" s="2" t="inlineStr">
        <is>
          <t>MINOR</t>
        </is>
      </c>
      <c r="E18" s="2" t="inlineStr">
        <is>
          <t>image observation</t>
        </is>
      </c>
      <c r="F18" s="2" t="inlineStr">
        <is>
          <t>Bedding type, feature, lifestyle or material image for teal winged mythical dragon quilt set.</t>
        </is>
      </c>
      <c r="G18" s="2" t="inlineStr">
        <is>
          <t>Fresh image file: D:\Shopify_Workspace\jeminise_seo\seo_runs\jeminise.com\20260906_234129\qa\20260907_214000\images\142_03.jpg; source URL: https://cdn.shopify.com/s/files/1/0792/5098/1063/files/c9684a0dee9fa97e8e6c03ccbe71405e116e4882e73c703dff22e1ddca95c88c.jpg?v=1785046273</t>
        </is>
      </c>
      <c r="H18" s="2" t="inlineStr">
        <is>
          <t>Observation is generic or position-based; rewrite from the actual image content.</t>
        </is>
      </c>
      <c r="I18" s="2" t="inlineStr">
        <is>
          <t>Rewrite observation/alt from the directly opened image, naming the visible motif and use context.</t>
        </is>
      </c>
      <c r="J18" s="2" t="inlineStr">
        <is>
          <t>Fresh image file: D:\Shopify_Workspace\jeminise_seo\seo_runs\jeminise.com\20260906_234129\qa\20260907_214000\images\142_03.jpg; source URL: https://cdn.shopify.com/s/files/1/0792/5098/1063/files/c9684a0dee9fa97e8e6c03ccbe71405e116e4882e73c703dff22e1ddca95c88c.jpg?v=1785046273</t>
        </is>
      </c>
      <c r="K18" s="2" t="inlineStr">
        <is>
          <t>The image row accurately describes the actual media at this gallery position.</t>
        </is>
      </c>
    </row>
    <row r="19" ht="84" customHeight="1">
      <c r="A19" s="3" t="inlineStr">
        <is>
          <t>ISSUE-0018</t>
        </is>
      </c>
      <c r="B19" s="3" t="inlineStr">
        <is>
          <t>jeminise.com+fantasy-mythical-dragon-comforter-set-with-winged-dragon-and-bedroom-setting-bcfc28e9d3-bcfc28e9d3</t>
        </is>
      </c>
      <c r="C19" s="3" t="inlineStr">
        <is>
          <t>img_002a9c7fb5e385af</t>
        </is>
      </c>
      <c r="D19" s="3" t="inlineStr">
        <is>
          <t>MINOR</t>
        </is>
      </c>
      <c r="E19" s="3" t="inlineStr">
        <is>
          <t>image observation</t>
        </is>
      </c>
      <c r="F19" s="3" t="inlineStr">
        <is>
          <t>Detail, feature panel or lifestyle image connected to teal winged mythical dragon quilt set.</t>
        </is>
      </c>
      <c r="G19" s="3" t="inlineStr">
        <is>
          <t>Fresh image file: D:\Shopify_Workspace\jeminise_seo\seo_runs\jeminise.com\20260906_234129\qa\20260907_214000\images\142_04.jpg; source URL: https://cdn.shopify.com/s/files/1/0792/5098/1063/files/707cd06e0b165da8d2e4821aef36d30ebc3f9b5fc6a484d9f07c0aff99c3dbbd.jpg?v=1785046273</t>
        </is>
      </c>
      <c r="H19" s="3" t="inlineStr">
        <is>
          <t>Observation is generic or position-based; rewrite from the actual image content.</t>
        </is>
      </c>
      <c r="I19" s="3" t="inlineStr">
        <is>
          <t>Rewrite observation/alt from the directly opened image, naming the visible motif and use context.</t>
        </is>
      </c>
      <c r="J19" s="3" t="inlineStr">
        <is>
          <t>Fresh image file: D:\Shopify_Workspace\jeminise_seo\seo_runs\jeminise.com\20260906_234129\qa\20260907_214000\images\142_04.jpg; source URL: https://cdn.shopify.com/s/files/1/0792/5098/1063/files/707cd06e0b165da8d2e4821aef36d30ebc3f9b5fc6a484d9f07c0aff99c3dbbd.jpg?v=1785046273</t>
        </is>
      </c>
      <c r="K19" s="3" t="inlineStr">
        <is>
          <t>The image row accurately describes the actual media at this gallery position.</t>
        </is>
      </c>
    </row>
    <row r="20" ht="84" customHeight="1">
      <c r="A20" s="2" t="inlineStr">
        <is>
          <t>ISSUE-0019</t>
        </is>
      </c>
      <c r="B20" s="2" t="inlineStr">
        <is>
          <t>jeminise.com+fantasy-nature-tree-of-life-quilt-set-with-entwined-golden-roots-and-bedroom-setting-9ad124a9ad-9ad124a9ad</t>
        </is>
      </c>
      <c r="C20" s="2" t="inlineStr"/>
      <c r="D20" s="2" t="inlineStr">
        <is>
          <t>MAJOR</t>
        </is>
      </c>
      <c r="E20" s="2" t="inlineStr">
        <is>
          <t>description_proposed_html</t>
        </is>
      </c>
      <c r="F20" s="2" t="inlineStr">
        <is>
          <t>&lt;p&gt;This Jeminise quilt set features golden Tree of Life with entwined roots, teal leaves and ornate gold accents on a black background, making it suited for fantasy rooms, nature-inspired decor, winter bedding or woodland themes.&lt;/p&gt;&lt;h3&gt;Design Details&lt;/h3&gt;&lt;ul&gt;&lt;li&gt;Visible artwork: golden Tree of Life with entwined roots, teal leaves and ornate gold accents on a black background.&lt;/li&gt;&lt;li&gt;Source product details include: Brand: Jeminise; Product Typ…</t>
        </is>
      </c>
      <c r="G20" s="2" t="inlineStr">
        <is>
          <t>Draft contains SEO Use / QA approval wording.</t>
        </is>
      </c>
      <c r="H20" s="2" t="inlineStr">
        <is>
          <t>Internal workflow language is not publish-ready storefront copy.</t>
        </is>
      </c>
      <c r="I20" s="2" t="inlineStr">
        <is>
          <t>Remove internal QA/import block and replace with customer-facing verified copy.</t>
        </is>
      </c>
      <c r="J20" s="2" t="inlineStr">
        <is>
          <t>Draft contains SEO Use / QA approval wording.</t>
        </is>
      </c>
      <c r="K20" s="2" t="inlineStr">
        <is>
          <t>Description HTML no longer contains SEO Use, QA, approval, import or draft language.</t>
        </is>
      </c>
    </row>
    <row r="21" ht="84" customHeight="1">
      <c r="A21" s="3" t="inlineStr">
        <is>
          <t>ISSUE-0020</t>
        </is>
      </c>
      <c r="B21" s="3" t="inlineStr">
        <is>
          <t>jeminise.com+fantasy-nature-tree-of-life-quilt-set-with-entwined-golden-roots-and-bedroom-setting-9ad124a9ad-9ad124a9ad</t>
        </is>
      </c>
      <c r="C21" s="3" t="inlineStr"/>
      <c r="D21" s="3" t="inlineStr">
        <is>
          <t>MAJOR</t>
        </is>
      </c>
      <c r="E21" s="3" t="inlineStr">
        <is>
          <t>h1_proposed</t>
        </is>
      </c>
      <c r="F21" s="3" t="inlineStr"/>
      <c r="G21" s="3" t="inlineStr">
        <is>
          <t>The submitted workbook row has no proposed H1.</t>
        </is>
      </c>
      <c r="H21" s="3" t="inlineStr">
        <is>
          <t>A publishable SEO title/H1 pair is incomplete when the H1 field is blank.</t>
        </is>
      </c>
      <c r="I21" s="3" t="inlineStr">
        <is>
          <t>Write one English H1 that matches the verified product type and visible design; do not copy unsupported claims.</t>
        </is>
      </c>
      <c r="J21" s="3" t="inlineStr">
        <is>
          <t>The submitted workbook row has no proposed H1.</t>
        </is>
      </c>
      <c r="K21" s="3" t="inlineStr">
        <is>
          <t>Workbook contains a non-empty H1 and it is consistent with title, primary keyword and live product evidence.</t>
        </is>
      </c>
    </row>
    <row r="22" ht="84" customHeight="1">
      <c r="A22" s="2" t="inlineStr">
        <is>
          <t>ISSUE-0021</t>
        </is>
      </c>
      <c r="B22" s="2" t="inlineStr">
        <is>
          <t>jeminise.com+fantasy-nature-tree-of-life-quilt-set-with-entwined-golden-roots-and-bedroom-setting-9ad124a9ad-9ad124a9ad</t>
        </is>
      </c>
      <c r="C22" s="2" t="inlineStr"/>
      <c r="D22" s="2" t="inlineStr">
        <is>
          <t>MAJOR</t>
        </is>
      </c>
      <c r="E22" s="2" t="inlineStr">
        <is>
          <t>description_proposed_html</t>
        </is>
      </c>
      <c r="F22" s="2" t="inlineStr">
        <is>
          <t>&lt;p&gt;This Jeminise quilt set features golden Tree of Life with entwined roots, teal leaves and ornate gold accents on a black background, making it suited for fantasy rooms, nature-inspired decor, winter bedding or woodland themes.&lt;/p&gt;&lt;h3&gt;Design Details&lt;/h3&gt;&lt;ul&gt;&lt;li&gt;Visible artwork: golden Tree of Life with entwined roots, teal leaves and ornate gold accents on a black background.&lt;/li&gt;&lt;li&gt;Source product details include: Brand: Jeminise; Product Typ…</t>
        </is>
      </c>
      <c r="G22" s="2" t="inlineStr">
        <is>
          <t>The proposed description uses a repeated audience list (for example, animal rooms/faith gifts/nature-inspired decor) that is not specific to this product.</t>
        </is>
      </c>
      <c r="H22" s="2" t="inlineStr">
        <is>
          <t>Generic audience wording can be irrelevant or contradictory to the visible motif and is not evidence-led storefront copy.</t>
        </is>
      </c>
      <c r="I22" s="2" t="inlineStr">
        <is>
          <t>Replace it with concise English customer-facing copy tied only to the verified motif, product type, size/pillowcase choices and supported customizer control.</t>
        </is>
      </c>
      <c r="J22" s="2" t="inlineStr">
        <is>
          <t>The proposed description uses a repeated audience list (for example, animal rooms/faith gifts/nature-inspired decor) that is not specific to this product.</t>
        </is>
      </c>
      <c r="K22" s="2" t="inlineStr">
        <is>
          <t>Description contains no irrelevant template audience list and every remaining claim is supported by live/snapshot evidence.</t>
        </is>
      </c>
    </row>
    <row r="23" ht="84" customHeight="1">
      <c r="A23" s="3" t="inlineStr">
        <is>
          <t>ISSUE-0022</t>
        </is>
      </c>
      <c r="B23" s="3" t="inlineStr">
        <is>
          <t>jeminise.com+fantasy-nature-tree-of-life-quilt-set-with-entwined-golden-roots-and-bedroom-setting-9ad124a9ad-9ad124a9ad</t>
        </is>
      </c>
      <c r="C23" s="3" t="inlineStr"/>
      <c r="D23" s="3" t="inlineStr">
        <is>
          <t>MINOR</t>
        </is>
      </c>
      <c r="E23" s="3" t="inlineStr">
        <is>
          <t>meta_description_seo</t>
        </is>
      </c>
      <c r="F23" s="3" t="inlineStr">
        <is>
          <t>Shop a quilt set featuring golden Tree of Life with entwined roots, teal leaves and ornate gold accents on a black background. Review size and personalization options before checkout.</t>
        </is>
      </c>
      <c r="G23" s="3" t="inlineStr">
        <is>
          <t>Meta description length is 183 characters.</t>
        </is>
      </c>
      <c r="H23" s="3" t="inlineStr">
        <is>
          <t>Likely to truncate in search results and repeats review/personality wording in several rows.</t>
        </is>
      </c>
      <c r="I23" s="3" t="inlineStr">
        <is>
          <t>Rewrite to roughly 145-155 characters while preserving verified design and product type.</t>
        </is>
      </c>
      <c r="J23" s="3" t="inlineStr">
        <is>
          <t>Meta description length is 183 characters.</t>
        </is>
      </c>
      <c r="K23" s="3" t="inlineStr">
        <is>
          <t>Length check &lt;=160 characters and no unsupported claim remains.</t>
        </is>
      </c>
    </row>
    <row r="24" ht="84" customHeight="1">
      <c r="A24" s="2" t="inlineStr">
        <is>
          <t>ISSUE-0023</t>
        </is>
      </c>
      <c r="B24" s="2" t="inlineStr">
        <is>
          <t>jeminise.com+fantasy-nature-tree-of-life-quilt-set-with-entwined-golden-roots-and-bedroom-setting-9ad124a9ad-9ad124a9ad</t>
        </is>
      </c>
      <c r="C24" s="2" t="inlineStr"/>
      <c r="D24" s="2" t="inlineStr">
        <is>
          <t>LIMITATION</t>
        </is>
      </c>
      <c r="E24" s="2" t="inlineStr">
        <is>
          <t>keyword_evidence_level</t>
        </is>
      </c>
      <c r="F24" s="2" t="inlineStr">
        <is>
          <t>SERP_ONLY</t>
        </is>
      </c>
      <c r="G24" s="2" t="inlineStr">
        <is>
          <t>Only public SERP comparables are available.</t>
        </is>
      </c>
      <c r="H24" s="2" t="inlineStr">
        <is>
          <t>No Search Console, paid keyword volume or internal site search export was supplied.</t>
        </is>
      </c>
      <c r="I24" s="2" t="inlineStr">
        <is>
          <t>Keep demand statements qualitative; do not claim volume or ranking potential.</t>
        </is>
      </c>
      <c r="J24" s="2" t="inlineStr">
        <is>
          <t>Only public SERP comparables are available.</t>
        </is>
      </c>
      <c r="K24" s="2" t="inlineStr">
        <is>
          <t>Additional first-party or paid keyword evidence is attached, or limitation remains documented.</t>
        </is>
      </c>
    </row>
    <row r="25" ht="84" customHeight="1">
      <c r="A25" s="3" t="inlineStr">
        <is>
          <t>ISSUE-0024</t>
        </is>
      </c>
      <c r="B25" s="3" t="inlineStr">
        <is>
          <t>jeminise.com+fantasy-nature-tree-of-life-quilt-set-with-entwined-golden-roots-and-bedroom-setting-9ad124a9ad-9ad124a9ad</t>
        </is>
      </c>
      <c r="C25" s="3" t="inlineStr">
        <is>
          <t>img_6a56518ea830deae</t>
        </is>
      </c>
      <c r="D25" s="3" t="inlineStr">
        <is>
          <t>MINOR</t>
        </is>
      </c>
      <c r="E25" s="3" t="inlineStr">
        <is>
          <t>alt text</t>
        </is>
      </c>
      <c r="F25" s="3" t="inlineStr">
        <is>
          <t>Golden Roots Tree of Life Quilt Set displayed in a main product mockup</t>
        </is>
      </c>
      <c r="G25" s="3" t="inlineStr">
        <is>
          <t>Fresh image file: D:\Shopify_Workspace\jeminise_seo\seo_runs\jeminise.com\20260906_234129\qa\20260907_214000\images\143_01.jpg; source URL: https://cdn.shopify.com/s/files/1/0792/5098/1063/files/e66d4264844973bf2fc3c9d45eddb2de13062133a35eb290dd2e57828457ae96.jpg?v=1785047641</t>
        </is>
      </c>
      <c r="H25" s="3" t="inlineStr">
        <is>
          <t>Alt text is too generic or describes placement more than visible content.</t>
        </is>
      </c>
      <c r="I25" s="3" t="inlineStr">
        <is>
          <t>Rewrite observation/alt from the directly opened image, naming the visible motif and use context.</t>
        </is>
      </c>
      <c r="J25" s="3" t="inlineStr">
        <is>
          <t>Fresh image file: D:\Shopify_Workspace\jeminise_seo\seo_runs\jeminise.com\20260906_234129\qa\20260907_214000\images\143_01.jpg; source URL: https://cdn.shopify.com/s/files/1/0792/5098/1063/files/e66d4264844973bf2fc3c9d45eddb2de13062133a35eb290dd2e57828457ae96.jpg?v=1785047641</t>
        </is>
      </c>
      <c r="K25" s="3" t="inlineStr">
        <is>
          <t>The image row accurately describes the actual media at this gallery position.</t>
        </is>
      </c>
    </row>
    <row r="26" ht="84" customHeight="1">
      <c r="A26" s="2" t="inlineStr">
        <is>
          <t>ISSUE-0025</t>
        </is>
      </c>
      <c r="B26" s="2" t="inlineStr">
        <is>
          <t>jeminise.com+fantasy-nature-tree-of-life-quilt-set-with-entwined-golden-roots-and-bedroom-setting-9ad124a9ad-9ad124a9ad</t>
        </is>
      </c>
      <c r="C26" s="2" t="inlineStr">
        <is>
          <t>img_28735a4982c0075e</t>
        </is>
      </c>
      <c r="D26" s="2" t="inlineStr">
        <is>
          <t>MINOR</t>
        </is>
      </c>
      <c r="E26" s="2" t="inlineStr">
        <is>
          <t>image observation</t>
        </is>
      </c>
      <c r="F26" s="2" t="inlineStr">
        <is>
          <t>Bedding type, feature, lifestyle or material image for golden roots Tree of Life quilt set.</t>
        </is>
      </c>
      <c r="G26" s="2" t="inlineStr">
        <is>
          <t>Fresh image file: D:\Shopify_Workspace\jeminise_seo\seo_runs\jeminise.com\20260906_234129\qa\20260907_214000\images\143_03.jpg; source URL: https://cdn.shopify.com/s/files/1/0792/5098/1063/files/154e0978960240ef894684873b01b7474acc167faf78b0a25dad3220dceea9ff.jpg?v=1785047641</t>
        </is>
      </c>
      <c r="H26" s="2" t="inlineStr">
        <is>
          <t>Observation is generic or position-based; rewrite from the actual image content.</t>
        </is>
      </c>
      <c r="I26" s="2" t="inlineStr">
        <is>
          <t>Rewrite observation/alt from the directly opened image, naming the visible motif and use context.</t>
        </is>
      </c>
      <c r="J26" s="2" t="inlineStr">
        <is>
          <t>Fresh image file: D:\Shopify_Workspace\jeminise_seo\seo_runs\jeminise.com\20260906_234129\qa\20260907_214000\images\143_03.jpg; source URL: https://cdn.shopify.com/s/files/1/0792/5098/1063/files/154e0978960240ef894684873b01b7474acc167faf78b0a25dad3220dceea9ff.jpg?v=1785047641</t>
        </is>
      </c>
      <c r="K26" s="2" t="inlineStr">
        <is>
          <t>The image row accurately describes the actual media at this gallery position.</t>
        </is>
      </c>
    </row>
    <row r="27" ht="84" customHeight="1">
      <c r="A27" s="3" t="inlineStr">
        <is>
          <t>ISSUE-0026</t>
        </is>
      </c>
      <c r="B27" s="3" t="inlineStr">
        <is>
          <t>jeminise.com+fantasy-nature-tree-of-life-quilt-set-with-entwined-golden-roots-and-bedroom-setting-9ad124a9ad-9ad124a9ad</t>
        </is>
      </c>
      <c r="C27" s="3" t="inlineStr">
        <is>
          <t>img_4634ed12e3ba5485</t>
        </is>
      </c>
      <c r="D27" s="3" t="inlineStr">
        <is>
          <t>MINOR</t>
        </is>
      </c>
      <c r="E27" s="3" t="inlineStr">
        <is>
          <t>image observation</t>
        </is>
      </c>
      <c r="F27" s="3" t="inlineStr">
        <is>
          <t>Detail, feature panel or lifestyle image connected to golden roots Tree of Life quilt set.</t>
        </is>
      </c>
      <c r="G27" s="3" t="inlineStr">
        <is>
          <t>Fresh image file: D:\Shopify_Workspace\jeminise_seo\seo_runs\jeminise.com\20260906_234129\qa\20260907_214000\images\143_04.jpg; source URL: https://cdn.shopify.com/s/files/1/0792/5098/1063/files/dc2169ad0621c11be08d4052b8aa06015181b0f9bb4a084f774f76045a433ddb.jpg?v=1785047642</t>
        </is>
      </c>
      <c r="H27" s="3" t="inlineStr">
        <is>
          <t>Observation is generic or position-based; rewrite from the actual image content.</t>
        </is>
      </c>
      <c r="I27" s="3" t="inlineStr">
        <is>
          <t>Rewrite observation/alt from the directly opened image, naming the visible motif and use context.</t>
        </is>
      </c>
      <c r="J27" s="3" t="inlineStr">
        <is>
          <t>Fresh image file: D:\Shopify_Workspace\jeminise_seo\seo_runs\jeminise.com\20260906_234129\qa\20260907_214000\images\143_04.jpg; source URL: https://cdn.shopify.com/s/files/1/0792/5098/1063/files/dc2169ad0621c11be08d4052b8aa06015181b0f9bb4a084f774f76045a433ddb.jpg?v=1785047642</t>
        </is>
      </c>
      <c r="K27" s="3" t="inlineStr">
        <is>
          <t>The image row accurately describes the actual media at this gallery position.</t>
        </is>
      </c>
    </row>
    <row r="28" ht="84" customHeight="1">
      <c r="A28" s="2" t="inlineStr">
        <is>
          <t>ISSUE-0027</t>
        </is>
      </c>
      <c r="B28" s="2" t="inlineStr">
        <is>
          <t>jeminise.com+fantasy-nature-tree-of-life-quilt-set-with-entwined-golden-roots-and-bedroom-setting-9ad124a9ad-9ad124a9ad</t>
        </is>
      </c>
      <c r="C28" s="2" t="inlineStr">
        <is>
          <t>img_fd13bd51bcf73b39</t>
        </is>
      </c>
      <c r="D28" s="2" t="inlineStr">
        <is>
          <t>MINOR</t>
        </is>
      </c>
      <c r="E28" s="2" t="inlineStr">
        <is>
          <t>image observation</t>
        </is>
      </c>
      <c r="F28" s="2" t="inlineStr">
        <is>
          <t>Easy-care, size guide or product feature image for golden roots Tree of Life quilt set.</t>
        </is>
      </c>
      <c r="G28" s="2" t="inlineStr">
        <is>
          <t>Fresh image file: D:\Shopify_Workspace\jeminise_seo\seo_runs\jeminise.com\20260906_234129\qa\20260907_214000\images\143_06.jpg; source URL: https://cdn.shopify.com/s/files/1/0792/5098/1063/files/cb81fbbd323502c328afba908d7ba84be8fa902b3586aba23f3ea630c44b5ece.jpg?v=1785047641</t>
        </is>
      </c>
      <c r="H28" s="2" t="inlineStr">
        <is>
          <t>Observation is generic or position-based; rewrite from the actual image content.</t>
        </is>
      </c>
      <c r="I28" s="2" t="inlineStr">
        <is>
          <t>Rewrite observation/alt from the directly opened image, naming the visible motif and use context.</t>
        </is>
      </c>
      <c r="J28" s="2" t="inlineStr">
        <is>
          <t>Fresh image file: D:\Shopify_Workspace\jeminise_seo\seo_runs\jeminise.com\20260906_234129\qa\20260907_214000\images\143_06.jpg; source URL: https://cdn.shopify.com/s/files/1/0792/5098/1063/files/cb81fbbd323502c328afba908d7ba84be8fa902b3586aba23f3ea630c44b5ece.jpg?v=1785047641</t>
        </is>
      </c>
      <c r="K28" s="2" t="inlineStr">
        <is>
          <t>The image row accurately describes the actual media at this gallery position.</t>
        </is>
      </c>
    </row>
    <row r="29" ht="84" customHeight="1">
      <c r="A29" s="3" t="inlineStr">
        <is>
          <t>ISSUE-0028</t>
        </is>
      </c>
      <c r="B29" s="3" t="inlineStr">
        <is>
          <t>jeminise.com+fantasy-nature-tree-of-life-quilt-set-with-entwined-golden-roots-and-bedroom-setting-9ad124a9ad-9ad124a9ad</t>
        </is>
      </c>
      <c r="C29" s="3" t="inlineStr">
        <is>
          <t>img_9fa1c4cd9d056a40</t>
        </is>
      </c>
      <c r="D29" s="3" t="inlineStr">
        <is>
          <t>MINOR</t>
        </is>
      </c>
      <c r="E29" s="3" t="inlineStr">
        <is>
          <t>image observation</t>
        </is>
      </c>
      <c r="F29" s="3" t="inlineStr">
        <is>
          <t>Additional lifestyle, feature or product detail image showing golden roots Tree of Life quilt set.</t>
        </is>
      </c>
      <c r="G29" s="3" t="inlineStr">
        <is>
          <t>Fresh image file: D:\Shopify_Workspace\jeminise_seo\seo_runs\jeminise.com\20260906_234129\qa\20260907_214000\images\143_07.jpg; source URL: https://cdn.shopify.com/s/files/1/0792/5098/1063/files/312851c507c911ddebc26229bf4ed0a8b8b7d6c725a99e10af2eee1f0cb7d759.jpg?v=1785047641</t>
        </is>
      </c>
      <c r="H29" s="3" t="inlineStr">
        <is>
          <t>Observation is generic or position-based; rewrite from the actual image content.</t>
        </is>
      </c>
      <c r="I29" s="3" t="inlineStr">
        <is>
          <t>Rewrite observation/alt from the directly opened image, naming the visible motif and use context.</t>
        </is>
      </c>
      <c r="J29" s="3" t="inlineStr">
        <is>
          <t>Fresh image file: D:\Shopify_Workspace\jeminise_seo\seo_runs\jeminise.com\20260906_234129\qa\20260907_214000\images\143_07.jpg; source URL: https://cdn.shopify.com/s/files/1/0792/5098/1063/files/312851c507c911ddebc26229bf4ed0a8b8b7d6c725a99e10af2eee1f0cb7d759.jpg?v=1785047641</t>
        </is>
      </c>
      <c r="K29" s="3" t="inlineStr">
        <is>
          <t>The image row accurately describes the actual media at this gallery position.</t>
        </is>
      </c>
    </row>
    <row r="30" ht="84" customHeight="1">
      <c r="A30" s="2" t="inlineStr">
        <is>
          <t>ISSUE-0029</t>
        </is>
      </c>
      <c r="B30" s="2" t="inlineStr">
        <is>
          <t>jeminise.com+fantasy-nature-tree-of-life-quilt-set-with-twisted-tree-trunk-and-bedroom-4dbc5a5b98-4dbc5a5b98</t>
        </is>
      </c>
      <c r="C30" s="2" t="inlineStr"/>
      <c r="D30" s="2" t="inlineStr">
        <is>
          <t>MAJOR</t>
        </is>
      </c>
      <c r="E30" s="2" t="inlineStr">
        <is>
          <t>description_proposed_html</t>
        </is>
      </c>
      <c r="F30" s="2" t="inlineStr">
        <is>
          <t>&lt;p&gt;This Jeminise quilt set features twisted golden tree trunk and sprawling roots under a teal night-sky landscape, making it suited for fantasy rooms, nature-inspired decor, winter bedding or woodland themes.&lt;/p&gt;&lt;h3&gt;Design Details&lt;/h3&gt;&lt;ul&gt;&lt;li&gt;Visible artwork: twisted golden tree trunk and sprawling roots under a teal night-sky landscape.&lt;/li&gt;&lt;li&gt;Source product details include: Brand: Jeminise; Product Type: Quilt Set; Material: Polyester; Fabri…</t>
        </is>
      </c>
      <c r="G30" s="2" t="inlineStr">
        <is>
          <t>Draft contains SEO Use / QA approval wording.</t>
        </is>
      </c>
      <c r="H30" s="2" t="inlineStr">
        <is>
          <t>Internal workflow language is not publish-ready storefront copy.</t>
        </is>
      </c>
      <c r="I30" s="2" t="inlineStr">
        <is>
          <t>Remove internal QA/import block and replace with customer-facing verified copy.</t>
        </is>
      </c>
      <c r="J30" s="2" t="inlineStr">
        <is>
          <t>Draft contains SEO Use / QA approval wording.</t>
        </is>
      </c>
      <c r="K30" s="2" t="inlineStr">
        <is>
          <t>Description HTML no longer contains SEO Use, QA, approval, import or draft language.</t>
        </is>
      </c>
    </row>
    <row r="31" ht="84" customHeight="1">
      <c r="A31" s="3" t="inlineStr">
        <is>
          <t>ISSUE-0030</t>
        </is>
      </c>
      <c r="B31" s="3" t="inlineStr">
        <is>
          <t>jeminise.com+fantasy-nature-tree-of-life-quilt-set-with-twisted-tree-trunk-and-bedroom-4dbc5a5b98-4dbc5a5b98</t>
        </is>
      </c>
      <c r="C31" s="3" t="inlineStr"/>
      <c r="D31" s="3" t="inlineStr">
        <is>
          <t>MAJOR</t>
        </is>
      </c>
      <c r="E31" s="3" t="inlineStr">
        <is>
          <t>h1_proposed</t>
        </is>
      </c>
      <c r="F31" s="3" t="inlineStr"/>
      <c r="G31" s="3" t="inlineStr">
        <is>
          <t>The submitted workbook row has no proposed H1.</t>
        </is>
      </c>
      <c r="H31" s="3" t="inlineStr">
        <is>
          <t>A publishable SEO title/H1 pair is incomplete when the H1 field is blank.</t>
        </is>
      </c>
      <c r="I31" s="3" t="inlineStr">
        <is>
          <t>Write one English H1 that matches the verified product type and visible design; do not copy unsupported claims.</t>
        </is>
      </c>
      <c r="J31" s="3" t="inlineStr">
        <is>
          <t>The submitted workbook row has no proposed H1.</t>
        </is>
      </c>
      <c r="K31" s="3" t="inlineStr">
        <is>
          <t>Workbook contains a non-empty H1 and it is consistent with title, primary keyword and live product evidence.</t>
        </is>
      </c>
    </row>
    <row r="32" ht="84" customHeight="1">
      <c r="A32" s="2" t="inlineStr">
        <is>
          <t>ISSUE-0031</t>
        </is>
      </c>
      <c r="B32" s="2" t="inlineStr">
        <is>
          <t>jeminise.com+fantasy-nature-tree-of-life-quilt-set-with-twisted-tree-trunk-and-bedroom-4dbc5a5b98-4dbc5a5b98</t>
        </is>
      </c>
      <c r="C32" s="2" t="inlineStr"/>
      <c r="D32" s="2" t="inlineStr">
        <is>
          <t>MAJOR</t>
        </is>
      </c>
      <c r="E32" s="2" t="inlineStr">
        <is>
          <t>description_proposed_html</t>
        </is>
      </c>
      <c r="F32" s="2" t="inlineStr">
        <is>
          <t>&lt;p&gt;This Jeminise quilt set features twisted golden tree trunk and sprawling roots under a teal night-sky landscape, making it suited for fantasy rooms, nature-inspired decor, winter bedding or woodland themes.&lt;/p&gt;&lt;h3&gt;Design Details&lt;/h3&gt;&lt;ul&gt;&lt;li&gt;Visible artwork: twisted golden tree trunk and sprawling roots under a teal night-sky landscape.&lt;/li&gt;&lt;li&gt;Source product details include: Brand: Jeminise; Product Type: Quilt Set; Material: Polyester; Fabri…</t>
        </is>
      </c>
      <c r="G32" s="2" t="inlineStr">
        <is>
          <t>The proposed description uses a repeated audience list (for example, animal rooms/faith gifts/nature-inspired decor) that is not specific to this product.</t>
        </is>
      </c>
      <c r="H32" s="2" t="inlineStr">
        <is>
          <t>Generic audience wording can be irrelevant or contradictory to the visible motif and is not evidence-led storefront copy.</t>
        </is>
      </c>
      <c r="I32" s="2" t="inlineStr">
        <is>
          <t>Replace it with concise English customer-facing copy tied only to the verified motif, product type, size/pillowcase choices and supported customizer control.</t>
        </is>
      </c>
      <c r="J32" s="2" t="inlineStr">
        <is>
          <t>The proposed description uses a repeated audience list (for example, animal rooms/faith gifts/nature-inspired decor) that is not specific to this product.</t>
        </is>
      </c>
      <c r="K32" s="2" t="inlineStr">
        <is>
          <t>Description contains no irrelevant template audience list and every remaining claim is supported by live/snapshot evidence.</t>
        </is>
      </c>
    </row>
    <row r="33" ht="84" customHeight="1">
      <c r="A33" s="3" t="inlineStr">
        <is>
          <t>ISSUE-0032</t>
        </is>
      </c>
      <c r="B33" s="3" t="inlineStr">
        <is>
          <t>jeminise.com+fantasy-nature-tree-of-life-quilt-set-with-twisted-tree-trunk-and-bedroom-4dbc5a5b98-4dbc5a5b98</t>
        </is>
      </c>
      <c r="C33" s="3" t="inlineStr"/>
      <c r="D33" s="3" t="inlineStr">
        <is>
          <t>MINOR</t>
        </is>
      </c>
      <c r="E33" s="3" t="inlineStr">
        <is>
          <t>meta_description_seo</t>
        </is>
      </c>
      <c r="F33" s="3" t="inlineStr">
        <is>
          <t>Shop a quilt set featuring twisted golden tree trunk and sprawling roots under a teal night-sky landscape. Review size and personalization options before checkout.</t>
        </is>
      </c>
      <c r="G33" s="3" t="inlineStr">
        <is>
          <t>Meta description length is 163 characters.</t>
        </is>
      </c>
      <c r="H33" s="3" t="inlineStr">
        <is>
          <t>Likely to truncate in search results and repeats review/personality wording in several rows.</t>
        </is>
      </c>
      <c r="I33" s="3" t="inlineStr">
        <is>
          <t>Rewrite to roughly 145-155 characters while preserving verified design and product type.</t>
        </is>
      </c>
      <c r="J33" s="3" t="inlineStr">
        <is>
          <t>Meta description length is 163 characters.</t>
        </is>
      </c>
      <c r="K33" s="3" t="inlineStr">
        <is>
          <t>Length check &lt;=160 characters and no unsupported claim remains.</t>
        </is>
      </c>
    </row>
    <row r="34" ht="84" customHeight="1">
      <c r="A34" s="2" t="inlineStr">
        <is>
          <t>ISSUE-0033</t>
        </is>
      </c>
      <c r="B34" s="2" t="inlineStr">
        <is>
          <t>jeminise.com+fantasy-nature-tree-of-life-quilt-set-with-twisted-tree-trunk-and-bedroom-4dbc5a5b98-4dbc5a5b98</t>
        </is>
      </c>
      <c r="C34" s="2" t="inlineStr"/>
      <c r="D34" s="2" t="inlineStr">
        <is>
          <t>LIMITATION</t>
        </is>
      </c>
      <c r="E34" s="2" t="inlineStr">
        <is>
          <t>keyword_evidence_level</t>
        </is>
      </c>
      <c r="F34" s="2" t="inlineStr">
        <is>
          <t>SERP_ONLY</t>
        </is>
      </c>
      <c r="G34" s="2" t="inlineStr">
        <is>
          <t>Only public SERP comparables are available.</t>
        </is>
      </c>
      <c r="H34" s="2" t="inlineStr">
        <is>
          <t>No Search Console, paid keyword volume or internal site search export was supplied.</t>
        </is>
      </c>
      <c r="I34" s="2" t="inlineStr">
        <is>
          <t>Keep demand statements qualitative; do not claim volume or ranking potential.</t>
        </is>
      </c>
      <c r="J34" s="2" t="inlineStr">
        <is>
          <t>Only public SERP comparables are available.</t>
        </is>
      </c>
      <c r="K34" s="2" t="inlineStr">
        <is>
          <t>Additional first-party or paid keyword evidence is attached, or limitation remains documented.</t>
        </is>
      </c>
    </row>
    <row r="35" ht="84" customHeight="1">
      <c r="A35" s="3" t="inlineStr">
        <is>
          <t>ISSUE-0034</t>
        </is>
      </c>
      <c r="B35" s="3" t="inlineStr">
        <is>
          <t>jeminise.com+fantasy-nature-tree-of-life-quilt-set-with-twisted-tree-trunk-and-bedroom-4dbc5a5b98-4dbc5a5b98</t>
        </is>
      </c>
      <c r="C35" s="3" t="inlineStr">
        <is>
          <t>img_b54cae9e2e2e2c1f</t>
        </is>
      </c>
      <c r="D35" s="3" t="inlineStr">
        <is>
          <t>MINOR</t>
        </is>
      </c>
      <c r="E35" s="3" t="inlineStr">
        <is>
          <t>alt text</t>
        </is>
      </c>
      <c r="F35" s="3" t="inlineStr">
        <is>
          <t>Twisted Trunk Tree of Life Quilt Set displayed in a main product mockup</t>
        </is>
      </c>
      <c r="G35" s="3" t="inlineStr">
        <is>
          <t>Fresh image file: D:\Shopify_Workspace\jeminise_seo\seo_runs\jeminise.com\20260906_234129\qa\20260907_214000\images\144_01.jpg; source URL: https://cdn.shopify.com/s/files/1/0792/5098/1063/files/a65d7ac7a8f7f7e983b00e3d7f2c80dfe5c3dfba4b2c5562d979b2867a75b9a9.jpg?v=1785047723</t>
        </is>
      </c>
      <c r="H35" s="3" t="inlineStr">
        <is>
          <t>Alt text is too generic or describes placement more than visible content.</t>
        </is>
      </c>
      <c r="I35" s="3" t="inlineStr">
        <is>
          <t>Rewrite observation/alt from the directly opened image, naming the visible motif and use context.</t>
        </is>
      </c>
      <c r="J35" s="3" t="inlineStr">
        <is>
          <t>Fresh image file: D:\Shopify_Workspace\jeminise_seo\seo_runs\jeminise.com\20260906_234129\qa\20260907_214000\images\144_01.jpg; source URL: https://cdn.shopify.com/s/files/1/0792/5098/1063/files/a65d7ac7a8f7f7e983b00e3d7f2c80dfe5c3dfba4b2c5562d979b2867a75b9a9.jpg?v=1785047723</t>
        </is>
      </c>
      <c r="K35" s="3" t="inlineStr">
        <is>
          <t>The image row accurately describes the actual media at this gallery position.</t>
        </is>
      </c>
    </row>
    <row r="36" ht="84" customHeight="1">
      <c r="A36" s="2" t="inlineStr">
        <is>
          <t>ISSUE-0035</t>
        </is>
      </c>
      <c r="B36" s="2" t="inlineStr">
        <is>
          <t>jeminise.com+fantasy-nature-tree-of-life-quilt-set-with-twisted-tree-trunk-and-bedroom-4dbc5a5b98-4dbc5a5b98</t>
        </is>
      </c>
      <c r="C36" s="2" t="inlineStr">
        <is>
          <t>img_8b36caf7e23a26e7</t>
        </is>
      </c>
      <c r="D36" s="2" t="inlineStr">
        <is>
          <t>MINOR</t>
        </is>
      </c>
      <c r="E36" s="2" t="inlineStr">
        <is>
          <t>image observation</t>
        </is>
      </c>
      <c r="F36" s="2" t="inlineStr">
        <is>
          <t>Bedding type, feature, lifestyle or material image for twisted trunk Tree of Life quilt set.</t>
        </is>
      </c>
      <c r="G36" s="2" t="inlineStr">
        <is>
          <t>Fresh image file: D:\Shopify_Workspace\jeminise_seo\seo_runs\jeminise.com\20260906_234129\qa\20260907_214000\images\144_03.jpg; source URL: https://cdn.shopify.com/s/files/1/0792/5098/1063/files/883a02b119af28ef08b91bee6b79a0cf17aeb400df92b0e570b3092d246f2ce3.jpg?v=1785047723</t>
        </is>
      </c>
      <c r="H36" s="2" t="inlineStr">
        <is>
          <t>Observation is generic or position-based; rewrite from the actual image content.</t>
        </is>
      </c>
      <c r="I36" s="2" t="inlineStr">
        <is>
          <t>Rewrite observation/alt from the directly opened image, naming the visible motif and use context.</t>
        </is>
      </c>
      <c r="J36" s="2" t="inlineStr">
        <is>
          <t>Fresh image file: D:\Shopify_Workspace\jeminise_seo\seo_runs\jeminise.com\20260906_234129\qa\20260907_214000\images\144_03.jpg; source URL: https://cdn.shopify.com/s/files/1/0792/5098/1063/files/883a02b119af28ef08b91bee6b79a0cf17aeb400df92b0e570b3092d246f2ce3.jpg?v=1785047723</t>
        </is>
      </c>
      <c r="K36" s="2" t="inlineStr">
        <is>
          <t>The image row accurately describes the actual media at this gallery position.</t>
        </is>
      </c>
    </row>
    <row r="37" ht="84" customHeight="1">
      <c r="A37" s="3" t="inlineStr">
        <is>
          <t>ISSUE-0036</t>
        </is>
      </c>
      <c r="B37" s="3" t="inlineStr">
        <is>
          <t>jeminise.com+fantasy-nature-tree-of-life-quilt-set-with-twisted-tree-trunk-and-bedroom-4dbc5a5b98-4dbc5a5b98</t>
        </is>
      </c>
      <c r="C37" s="3" t="inlineStr">
        <is>
          <t>img_6afb819f6ecb5824</t>
        </is>
      </c>
      <c r="D37" s="3" t="inlineStr">
        <is>
          <t>MINOR</t>
        </is>
      </c>
      <c r="E37" s="3" t="inlineStr">
        <is>
          <t>image observation</t>
        </is>
      </c>
      <c r="F37" s="3" t="inlineStr">
        <is>
          <t>Detail, feature panel or lifestyle image connected to twisted trunk Tree of Life quilt set.</t>
        </is>
      </c>
      <c r="G37" s="3" t="inlineStr">
        <is>
          <t>Fresh image file: D:\Shopify_Workspace\jeminise_seo\seo_runs\jeminise.com\20260906_234129\qa\20260907_214000\images\144_04.jpg; source URL: https://cdn.shopify.com/s/files/1/0792/5098/1063/files/e9a03d40e08a4d81e910a9631ec20e3ff087b7ec69c4256c8f010c8ef198e296.jpg?v=1785047723</t>
        </is>
      </c>
      <c r="H37" s="3" t="inlineStr">
        <is>
          <t>Observation is generic or position-based; rewrite from the actual image content.</t>
        </is>
      </c>
      <c r="I37" s="3" t="inlineStr">
        <is>
          <t>Rewrite observation/alt from the directly opened image, naming the visible motif and use context.</t>
        </is>
      </c>
      <c r="J37" s="3" t="inlineStr">
        <is>
          <t>Fresh image file: D:\Shopify_Workspace\jeminise_seo\seo_runs\jeminise.com\20260906_234129\qa\20260907_214000\images\144_04.jpg; source URL: https://cdn.shopify.com/s/files/1/0792/5098/1063/files/e9a03d40e08a4d81e910a9631ec20e3ff087b7ec69c4256c8f010c8ef198e296.jpg?v=1785047723</t>
        </is>
      </c>
      <c r="K37" s="3" t="inlineStr">
        <is>
          <t>The image row accurately describes the actual media at this gallery position.</t>
        </is>
      </c>
    </row>
    <row r="38" ht="84" customHeight="1">
      <c r="A38" s="2" t="inlineStr">
        <is>
          <t>ISSUE-0037</t>
        </is>
      </c>
      <c r="B38" s="2" t="inlineStr">
        <is>
          <t>jeminise.com+fantasy-nature-tree-of-life-quilt-set-with-twisted-tree-trunk-and-bedroom-4dbc5a5b98-4dbc5a5b98</t>
        </is>
      </c>
      <c r="C38" s="2" t="inlineStr">
        <is>
          <t>img_a5243d0809c35972</t>
        </is>
      </c>
      <c r="D38" s="2" t="inlineStr">
        <is>
          <t>MINOR</t>
        </is>
      </c>
      <c r="E38" s="2" t="inlineStr">
        <is>
          <t>image observation</t>
        </is>
      </c>
      <c r="F38" s="2" t="inlineStr">
        <is>
          <t>Easy-care, size guide or product feature image for twisted trunk Tree of Life quilt set.</t>
        </is>
      </c>
      <c r="G38" s="2" t="inlineStr">
        <is>
          <t>Fresh image file: D:\Shopify_Workspace\jeminise_seo\seo_runs\jeminise.com\20260906_234129\qa\20260907_214000\images\144_06.jpg; source URL: https://cdn.shopify.com/s/files/1/0792/5098/1063/files/b704ba1ab0ecc12f7c984e77ff339054f6178a5d22213a4f66b32cb0b33179a2.jpg?v=1785047723</t>
        </is>
      </c>
      <c r="H38" s="2" t="inlineStr">
        <is>
          <t>Observation is generic or position-based; rewrite from the actual image content.</t>
        </is>
      </c>
      <c r="I38" s="2" t="inlineStr">
        <is>
          <t>Rewrite observation/alt from the directly opened image, naming the visible motif and use context.</t>
        </is>
      </c>
      <c r="J38" s="2" t="inlineStr">
        <is>
          <t>Fresh image file: D:\Shopify_Workspace\jeminise_seo\seo_runs\jeminise.com\20260906_234129\qa\20260907_214000\images\144_06.jpg; source URL: https://cdn.shopify.com/s/files/1/0792/5098/1063/files/b704ba1ab0ecc12f7c984e77ff339054f6178a5d22213a4f66b32cb0b33179a2.jpg?v=1785047723</t>
        </is>
      </c>
      <c r="K38" s="2" t="inlineStr">
        <is>
          <t>The image row accurately describes the actual media at this gallery position.</t>
        </is>
      </c>
    </row>
    <row r="39" ht="84" customHeight="1">
      <c r="A39" s="3" t="inlineStr">
        <is>
          <t>ISSUE-0038</t>
        </is>
      </c>
      <c r="B39" s="3" t="inlineStr">
        <is>
          <t>jeminise.com+fantasy-comforter-set-with-dragon-and-bedroom-and-fire-and-spikes-9008eacaf3-9008eacaf3</t>
        </is>
      </c>
      <c r="C39" s="3" t="inlineStr"/>
      <c r="D39" s="3" t="inlineStr">
        <is>
          <t>MAJOR</t>
        </is>
      </c>
      <c r="E39" s="3" t="inlineStr">
        <is>
          <t>description_proposed_html</t>
        </is>
      </c>
      <c r="F39" s="3" t="inlineStr">
        <is>
          <t>&lt;p&gt;This Jeminise quilt set features green fantasy dragon with spikes, open mouth and glowing fire at the bottom of the artwork, making it suited for fantasy rooms, nature-inspired decor, winter bedding or woodland themes.&lt;/p&gt;&lt;h3&gt;Design Details&lt;/h3&gt;&lt;ul&gt;&lt;li&gt;Visible artwork: green fantasy dragon with spikes, open mouth and glowing fire at the bottom of the artwork.&lt;/li&gt;&lt;li&gt;Source product details include: Brand: Jeminise; Product Type: Quilt Set; Ma…</t>
        </is>
      </c>
      <c r="G39" s="3" t="inlineStr">
        <is>
          <t>Draft contains SEO Use / QA approval wording.</t>
        </is>
      </c>
      <c r="H39" s="3" t="inlineStr">
        <is>
          <t>Internal workflow language is not publish-ready storefront copy.</t>
        </is>
      </c>
      <c r="I39" s="3" t="inlineStr">
        <is>
          <t>Remove internal QA/import block and replace with customer-facing verified copy.</t>
        </is>
      </c>
      <c r="J39" s="3" t="inlineStr">
        <is>
          <t>Draft contains SEO Use / QA approval wording.</t>
        </is>
      </c>
      <c r="K39" s="3" t="inlineStr">
        <is>
          <t>Description HTML no longer contains SEO Use, QA, approval, import or draft language.</t>
        </is>
      </c>
    </row>
    <row r="40" ht="84" customHeight="1">
      <c r="A40" s="2" t="inlineStr">
        <is>
          <t>ISSUE-0039</t>
        </is>
      </c>
      <c r="B40" s="2" t="inlineStr">
        <is>
          <t>jeminise.com+fantasy-comforter-set-with-dragon-and-bedroom-and-fire-and-spikes-9008eacaf3-9008eacaf3</t>
        </is>
      </c>
      <c r="C40" s="2" t="inlineStr"/>
      <c r="D40" s="2" t="inlineStr">
        <is>
          <t>MAJOR</t>
        </is>
      </c>
      <c r="E40" s="2" t="inlineStr">
        <is>
          <t>h1_proposed</t>
        </is>
      </c>
      <c r="F40" s="2" t="inlineStr"/>
      <c r="G40" s="2" t="inlineStr">
        <is>
          <t>The submitted workbook row has no proposed H1.</t>
        </is>
      </c>
      <c r="H40" s="2" t="inlineStr">
        <is>
          <t>A publishable SEO title/H1 pair is incomplete when the H1 field is blank.</t>
        </is>
      </c>
      <c r="I40" s="2" t="inlineStr">
        <is>
          <t>Write one English H1 that matches the verified product type and visible design; do not copy unsupported claims.</t>
        </is>
      </c>
      <c r="J40" s="2" t="inlineStr">
        <is>
          <t>The submitted workbook row has no proposed H1.</t>
        </is>
      </c>
      <c r="K40" s="2" t="inlineStr">
        <is>
          <t>Workbook contains a non-empty H1 and it is consistent with title, primary keyword and live product evidence.</t>
        </is>
      </c>
    </row>
    <row r="41" ht="84" customHeight="1">
      <c r="A41" s="3" t="inlineStr">
        <is>
          <t>ISSUE-0040</t>
        </is>
      </c>
      <c r="B41" s="3" t="inlineStr">
        <is>
          <t>jeminise.com+fantasy-comforter-set-with-dragon-and-bedroom-and-fire-and-spikes-9008eacaf3-9008eacaf3</t>
        </is>
      </c>
      <c r="C41" s="3" t="inlineStr"/>
      <c r="D41" s="3" t="inlineStr">
        <is>
          <t>MAJOR</t>
        </is>
      </c>
      <c r="E41" s="3" t="inlineStr">
        <is>
          <t>description_proposed_html</t>
        </is>
      </c>
      <c r="F41" s="3" t="inlineStr">
        <is>
          <t>&lt;p&gt;This Jeminise quilt set features green fantasy dragon with spikes, open mouth and glowing fire at the bottom of the artwork, making it suited for fantasy rooms, nature-inspired decor, winter bedding or woodland themes.&lt;/p&gt;&lt;h3&gt;Design Details&lt;/h3&gt;&lt;ul&gt;&lt;li&gt;Visible artwork: green fantasy dragon with spikes, open mouth and glowing fire at the bottom of the artwork.&lt;/li&gt;&lt;li&gt;Source product details include: Brand: Jeminise; Product Type: Quilt Set; Ma…</t>
        </is>
      </c>
      <c r="G41" s="3" t="inlineStr">
        <is>
          <t>The proposed description uses a repeated audience list (for example, animal rooms/faith gifts/nature-inspired decor) that is not specific to this product.</t>
        </is>
      </c>
      <c r="H41" s="3" t="inlineStr">
        <is>
          <t>Generic audience wording can be irrelevant or contradictory to the visible motif and is not evidence-led storefront copy.</t>
        </is>
      </c>
      <c r="I41" s="3" t="inlineStr">
        <is>
          <t>Replace it with concise English customer-facing copy tied only to the verified motif, product type, size/pillowcase choices and supported customizer control.</t>
        </is>
      </c>
      <c r="J41" s="3" t="inlineStr">
        <is>
          <t>The proposed description uses a repeated audience list (for example, animal rooms/faith gifts/nature-inspired decor) that is not specific to this product.</t>
        </is>
      </c>
      <c r="K41" s="3" t="inlineStr">
        <is>
          <t>Description contains no irrelevant template audience list and every remaining claim is supported by live/snapshot evidence.</t>
        </is>
      </c>
    </row>
    <row r="42" ht="84" customHeight="1">
      <c r="A42" s="2" t="inlineStr">
        <is>
          <t>ISSUE-0041</t>
        </is>
      </c>
      <c r="B42" s="2" t="inlineStr">
        <is>
          <t>jeminise.com+fantasy-comforter-set-with-dragon-and-bedroom-and-fire-and-spikes-9008eacaf3-9008eacaf3</t>
        </is>
      </c>
      <c r="C42" s="2" t="inlineStr"/>
      <c r="D42" s="2" t="inlineStr">
        <is>
          <t>MINOR</t>
        </is>
      </c>
      <c r="E42" s="2" t="inlineStr">
        <is>
          <t>meta_description_seo</t>
        </is>
      </c>
      <c r="F42" s="2" t="inlineStr">
        <is>
          <t>Shop a quilt set featuring green fantasy dragon with spikes, open mouth and glowing fire at the bottom of the artwork. Review size and personalization options before checkout.</t>
        </is>
      </c>
      <c r="G42" s="2" t="inlineStr">
        <is>
          <t>Meta description length is 175 characters.</t>
        </is>
      </c>
      <c r="H42" s="2" t="inlineStr">
        <is>
          <t>Likely to truncate in search results and repeats review/personality wording in several rows.</t>
        </is>
      </c>
      <c r="I42" s="2" t="inlineStr">
        <is>
          <t>Rewrite to roughly 145-155 characters while preserving verified design and product type.</t>
        </is>
      </c>
      <c r="J42" s="2" t="inlineStr">
        <is>
          <t>Meta description length is 175 characters.</t>
        </is>
      </c>
      <c r="K42" s="2" t="inlineStr">
        <is>
          <t>Length check &lt;=160 characters and no unsupported claim remains.</t>
        </is>
      </c>
    </row>
    <row r="43" ht="84" customHeight="1">
      <c r="A43" s="3" t="inlineStr">
        <is>
          <t>ISSUE-0042</t>
        </is>
      </c>
      <c r="B43" s="3" t="inlineStr">
        <is>
          <t>jeminise.com+fantasy-comforter-set-with-dragon-and-bedroom-and-fire-and-spikes-9008eacaf3-9008eacaf3</t>
        </is>
      </c>
      <c r="C43" s="3" t="inlineStr"/>
      <c r="D43" s="3" t="inlineStr">
        <is>
          <t>MAJOR</t>
        </is>
      </c>
      <c r="E43" s="3" t="inlineStr">
        <is>
          <t>keyword_map</t>
        </is>
      </c>
      <c r="F43" s="3" t="inlineStr">
        <is>
          <t>green dragon quilt</t>
        </is>
      </c>
      <c r="G43" s="3" t="inlineStr">
        <is>
          <t>https://www.temu.com/dragon-bedding-set-5030175152007-s.html; https://www.pinterest.com/pin/800233427555270189/; https://www.etsy.com/market/fantasy_duvet; https://www.temu.com/dragon-bedding-set-5030175152007-s.html; https://www.pinterest.com/pin/800233427555270189/; https://www.etsy.com/market/fantasy_duvet</t>
        </is>
      </c>
      <c r="H43" s="3" t="inlineStr">
        <is>
          <t>Batch cluster contains several very similar products, so keyword/intent differentiation must be sharper.</t>
        </is>
      </c>
      <c r="I43" s="3" t="inlineStr">
        <is>
          <t>Add unique visible motif modifiers and avoid assigning the same generic product keyword to multiple URLs.</t>
        </is>
      </c>
      <c r="J43" s="3" t="inlineStr">
        <is>
          <t>https://www.temu.com/dragon-bedding-set-5030175152007-s.html; https://www.pinterest.com/pin/800233427555270189/; https://www.etsy.com/market/fantasy_duvet; https://www.temu.com/dragon-bedding-set-5030175152007-s.html; https://www.pinterest.com/pin/800233427555270189/; https://www.etsy.com/market/fantasy_duvet</t>
        </is>
      </c>
      <c r="K43" s="3" t="inlineStr">
        <is>
          <t>SERP notes and title/meta show a distinct product-level query for this exact design.</t>
        </is>
      </c>
    </row>
    <row r="44" ht="84" customHeight="1">
      <c r="A44" s="2" t="inlineStr">
        <is>
          <t>ISSUE-0043</t>
        </is>
      </c>
      <c r="B44" s="2" t="inlineStr">
        <is>
          <t>jeminise.com+fantasy-comforter-set-with-dragon-and-bedroom-and-fire-and-spikes-9008eacaf3-9008eacaf3</t>
        </is>
      </c>
      <c r="C44" s="2" t="inlineStr"/>
      <c r="D44" s="2" t="inlineStr">
        <is>
          <t>LIMITATION</t>
        </is>
      </c>
      <c r="E44" s="2" t="inlineStr">
        <is>
          <t>keyword_evidence_level</t>
        </is>
      </c>
      <c r="F44" s="2" t="inlineStr">
        <is>
          <t>SERP_ONLY</t>
        </is>
      </c>
      <c r="G44" s="2" t="inlineStr">
        <is>
          <t>Only public SERP comparables are available.</t>
        </is>
      </c>
      <c r="H44" s="2" t="inlineStr">
        <is>
          <t>No Search Console, paid keyword volume or internal site search export was supplied.</t>
        </is>
      </c>
      <c r="I44" s="2" t="inlineStr">
        <is>
          <t>Keep demand statements qualitative; do not claim volume or ranking potential.</t>
        </is>
      </c>
      <c r="J44" s="2" t="inlineStr">
        <is>
          <t>Only public SERP comparables are available.</t>
        </is>
      </c>
      <c r="K44" s="2" t="inlineStr">
        <is>
          <t>Additional first-party or paid keyword evidence is attached, or limitation remains documented.</t>
        </is>
      </c>
    </row>
    <row r="45" ht="84" customHeight="1">
      <c r="A45" s="3" t="inlineStr">
        <is>
          <t>ISSUE-0044</t>
        </is>
      </c>
      <c r="B45" s="3" t="inlineStr">
        <is>
          <t>jeminise.com+fantasy-comforter-set-with-dragon-and-bedroom-and-fire-and-spikes-9008eacaf3-9008eacaf3</t>
        </is>
      </c>
      <c r="C45" s="3" t="inlineStr">
        <is>
          <t>img_3c16bbac6a144f58</t>
        </is>
      </c>
      <c r="D45" s="3" t="inlineStr">
        <is>
          <t>MINOR</t>
        </is>
      </c>
      <c r="E45" s="3" t="inlineStr">
        <is>
          <t>alt text</t>
        </is>
      </c>
      <c r="F45" s="3" t="inlineStr">
        <is>
          <t>Green Fire Dragon Spikes Quilt Set displayed in a main product mockup</t>
        </is>
      </c>
      <c r="G45" s="3" t="inlineStr">
        <is>
          <t>Fresh image file: D:\Shopify_Workspace\jeminise_seo\seo_runs\jeminise.com\20260906_234129\qa\20260907_214000\images\145_01.jpg; source URL: https://cdn.shopify.com/s/files/1/0792/5098/1063/files/16b2a7500baa52d57db1e163763d075142abbc3bb7aef362e0f069d8dbc4ff84.jpg?v=1785046479</t>
        </is>
      </c>
      <c r="H45" s="3" t="inlineStr">
        <is>
          <t>Alt text is too generic or describes placement more than visible content.</t>
        </is>
      </c>
      <c r="I45" s="3" t="inlineStr">
        <is>
          <t>Rewrite observation/alt from the directly opened image, naming the visible motif and use context.</t>
        </is>
      </c>
      <c r="J45" s="3" t="inlineStr">
        <is>
          <t>Fresh image file: D:\Shopify_Workspace\jeminise_seo\seo_runs\jeminise.com\20260906_234129\qa\20260907_214000\images\145_01.jpg; source URL: https://cdn.shopify.com/s/files/1/0792/5098/1063/files/16b2a7500baa52d57db1e163763d075142abbc3bb7aef362e0f069d8dbc4ff84.jpg?v=1785046479</t>
        </is>
      </c>
      <c r="K45" s="3" t="inlineStr">
        <is>
          <t>The image row accurately describes the actual media at this gallery position.</t>
        </is>
      </c>
    </row>
    <row r="46" ht="84" customHeight="1">
      <c r="A46" s="2" t="inlineStr">
        <is>
          <t>ISSUE-0045</t>
        </is>
      </c>
      <c r="B46" s="2" t="inlineStr">
        <is>
          <t>jeminise.com+fantasy-comforter-set-with-dragon-and-bedroom-and-fire-and-spikes-9008eacaf3-9008eacaf3</t>
        </is>
      </c>
      <c r="C46" s="2" t="inlineStr">
        <is>
          <t>img_9aa1f9682483bf3b</t>
        </is>
      </c>
      <c r="D46" s="2" t="inlineStr">
        <is>
          <t>MINOR</t>
        </is>
      </c>
      <c r="E46" s="2" t="inlineStr">
        <is>
          <t>image observation</t>
        </is>
      </c>
      <c r="F46" s="2" t="inlineStr">
        <is>
          <t>Bedding type, feature, lifestyle or material image for green fire dragon spikes quilt set.</t>
        </is>
      </c>
      <c r="G46" s="2" t="inlineStr">
        <is>
          <t>Fresh image file: D:\Shopify_Workspace\jeminise_seo\seo_runs\jeminise.com\20260906_234129\qa\20260907_214000\images\145_03.jpg; source URL: https://cdn.shopify.com/s/files/1/0792/5098/1063/files/4e8c5912b8e924d5221f376453a040ea3284bd5fa7524596fa0a04390c0ace96.jpg?v=1785046479</t>
        </is>
      </c>
      <c r="H46" s="2" t="inlineStr">
        <is>
          <t>Observation is generic or position-based; rewrite from the actual image content.</t>
        </is>
      </c>
      <c r="I46" s="2" t="inlineStr">
        <is>
          <t>Rewrite observation/alt from the directly opened image, naming the visible motif and use context.</t>
        </is>
      </c>
      <c r="J46" s="2" t="inlineStr">
        <is>
          <t>Fresh image file: D:\Shopify_Workspace\jeminise_seo\seo_runs\jeminise.com\20260906_234129\qa\20260907_214000\images\145_03.jpg; source URL: https://cdn.shopify.com/s/files/1/0792/5098/1063/files/4e8c5912b8e924d5221f376453a040ea3284bd5fa7524596fa0a04390c0ace96.jpg?v=1785046479</t>
        </is>
      </c>
      <c r="K46" s="2" t="inlineStr">
        <is>
          <t>The image row accurately describes the actual media at this gallery position.</t>
        </is>
      </c>
    </row>
    <row r="47" ht="84" customHeight="1">
      <c r="A47" s="3" t="inlineStr">
        <is>
          <t>ISSUE-0046</t>
        </is>
      </c>
      <c r="B47" s="3" t="inlineStr">
        <is>
          <t>jeminise.com+fantasy-comforter-set-with-dragon-and-bedroom-and-fire-and-spikes-9008eacaf3-9008eacaf3</t>
        </is>
      </c>
      <c r="C47" s="3" t="inlineStr">
        <is>
          <t>img_4586afb6dd906cd6</t>
        </is>
      </c>
      <c r="D47" s="3" t="inlineStr">
        <is>
          <t>MINOR</t>
        </is>
      </c>
      <c r="E47" s="3" t="inlineStr">
        <is>
          <t>image observation</t>
        </is>
      </c>
      <c r="F47" s="3" t="inlineStr">
        <is>
          <t>Detail, feature panel or lifestyle image connected to green fire dragon spikes quilt set.</t>
        </is>
      </c>
      <c r="G47" s="3" t="inlineStr">
        <is>
          <t>Fresh image file: D:\Shopify_Workspace\jeminise_seo\seo_runs\jeminise.com\20260906_234129\qa\20260907_214000\images\145_04.jpg; source URL: https://cdn.shopify.com/s/files/1/0792/5098/1063/files/3d1e34d78c30e8f2974ee01ce23c9ec90898bc07630a4ad3c07f2b8b40ac92ea.jpg?v=1785046479</t>
        </is>
      </c>
      <c r="H47" s="3" t="inlineStr">
        <is>
          <t>Observation is generic or position-based; rewrite from the actual image content.</t>
        </is>
      </c>
      <c r="I47" s="3" t="inlineStr">
        <is>
          <t>Rewrite observation/alt from the directly opened image, naming the visible motif and use context.</t>
        </is>
      </c>
      <c r="J47" s="3" t="inlineStr">
        <is>
          <t>Fresh image file: D:\Shopify_Workspace\jeminise_seo\seo_runs\jeminise.com\20260906_234129\qa\20260907_214000\images\145_04.jpg; source URL: https://cdn.shopify.com/s/files/1/0792/5098/1063/files/3d1e34d78c30e8f2974ee01ce23c9ec90898bc07630a4ad3c07f2b8b40ac92ea.jpg?v=1785046479</t>
        </is>
      </c>
      <c r="K47" s="3" t="inlineStr">
        <is>
          <t>The image row accurately describes the actual media at this gallery position.</t>
        </is>
      </c>
    </row>
    <row r="48" ht="84" customHeight="1">
      <c r="A48" s="2" t="inlineStr">
        <is>
          <t>ISSUE-0047</t>
        </is>
      </c>
      <c r="B48" s="2" t="inlineStr">
        <is>
          <t>jeminise.com+fantasy-winged-dragon-comforter-set-with-starry-nebula-pattern-and-bedroom-setting-d228ce3712-d228ce3712</t>
        </is>
      </c>
      <c r="C48" s="2" t="inlineStr"/>
      <c r="D48" s="2" t="inlineStr">
        <is>
          <t>MAJOR</t>
        </is>
      </c>
      <c r="E48" s="2" t="inlineStr">
        <is>
          <t>description_proposed_html</t>
        </is>
      </c>
      <c r="F48" s="2" t="inlineStr">
        <is>
          <t>&lt;p&gt;This Jeminise quilt set features purple winged dragon with blue highlights and starry nebula pattern on a black background, making it suited for fantasy rooms, nature-inspired decor, winter bedding or woodland themes.&lt;/p&gt;&lt;h3&gt;Design Details&lt;/h3&gt;&lt;ul&gt;&lt;li&gt;Visible artwork: purple winged dragon with blue highlights and starry nebula pattern on a black background.&lt;/li&gt;&lt;li&gt;Source product details include: Brand: Jeminise; Product Type: Quilt Set or Co…</t>
        </is>
      </c>
      <c r="G48" s="2" t="inlineStr">
        <is>
          <t>Draft contains SEO Use / QA approval wording.</t>
        </is>
      </c>
      <c r="H48" s="2" t="inlineStr">
        <is>
          <t>Internal workflow language is not publish-ready storefront copy.</t>
        </is>
      </c>
      <c r="I48" s="2" t="inlineStr">
        <is>
          <t>Remove internal QA/import block and replace with customer-facing verified copy.</t>
        </is>
      </c>
      <c r="J48" s="2" t="inlineStr">
        <is>
          <t>Draft contains SEO Use / QA approval wording.</t>
        </is>
      </c>
      <c r="K48" s="2" t="inlineStr">
        <is>
          <t>Description HTML no longer contains SEO Use, QA, approval, import or draft language.</t>
        </is>
      </c>
    </row>
    <row r="49" ht="84" customHeight="1">
      <c r="A49" s="3" t="inlineStr">
        <is>
          <t>ISSUE-0048</t>
        </is>
      </c>
      <c r="B49" s="3" t="inlineStr">
        <is>
          <t>jeminise.com+fantasy-winged-dragon-comforter-set-with-starry-nebula-pattern-and-bedroom-setting-d228ce3712-d228ce3712</t>
        </is>
      </c>
      <c r="C49" s="3" t="inlineStr"/>
      <c r="D49" s="3" t="inlineStr">
        <is>
          <t>MAJOR</t>
        </is>
      </c>
      <c r="E49" s="3" t="inlineStr">
        <is>
          <t>h1_proposed</t>
        </is>
      </c>
      <c r="F49" s="3" t="inlineStr"/>
      <c r="G49" s="3" t="inlineStr">
        <is>
          <t>The submitted workbook row has no proposed H1.</t>
        </is>
      </c>
      <c r="H49" s="3" t="inlineStr">
        <is>
          <t>A publishable SEO title/H1 pair is incomplete when the H1 field is blank.</t>
        </is>
      </c>
      <c r="I49" s="3" t="inlineStr">
        <is>
          <t>Write one English H1 that matches the verified product type and visible design; do not copy unsupported claims.</t>
        </is>
      </c>
      <c r="J49" s="3" t="inlineStr">
        <is>
          <t>The submitted workbook row has no proposed H1.</t>
        </is>
      </c>
      <c r="K49" s="3" t="inlineStr">
        <is>
          <t>Workbook contains a non-empty H1 and it is consistent with title, primary keyword and live product evidence.</t>
        </is>
      </c>
    </row>
    <row r="50" ht="84" customHeight="1">
      <c r="A50" s="2" t="inlineStr">
        <is>
          <t>ISSUE-0049</t>
        </is>
      </c>
      <c r="B50" s="2" t="inlineStr">
        <is>
          <t>jeminise.com+fantasy-winged-dragon-comforter-set-with-starry-nebula-pattern-and-bedroom-setting-d228ce3712-d228ce3712</t>
        </is>
      </c>
      <c r="C50" s="2" t="inlineStr"/>
      <c r="D50" s="2" t="inlineStr">
        <is>
          <t>MAJOR</t>
        </is>
      </c>
      <c r="E50" s="2" t="inlineStr">
        <is>
          <t>description_proposed_html</t>
        </is>
      </c>
      <c r="F50" s="2" t="inlineStr">
        <is>
          <t>&lt;p&gt;This Jeminise quilt set features purple winged dragon with blue highlights and starry nebula pattern on a black background, making it suited for fantasy rooms, nature-inspired decor, winter bedding or woodland themes.&lt;/p&gt;&lt;h3&gt;Design Details&lt;/h3&gt;&lt;ul&gt;&lt;li&gt;Visible artwork: purple winged dragon with blue highlights and starry nebula pattern on a black background.&lt;/li&gt;&lt;li&gt;Source product details include: Brand: Jeminise; Product Type: Quilt Set or Co…</t>
        </is>
      </c>
      <c r="G50" s="2" t="inlineStr">
        <is>
          <t>The proposed description uses a repeated audience list (for example, animal rooms/faith gifts/nature-inspired decor) that is not specific to this product.</t>
        </is>
      </c>
      <c r="H50" s="2" t="inlineStr">
        <is>
          <t>Generic audience wording can be irrelevant or contradictory to the visible motif and is not evidence-led storefront copy.</t>
        </is>
      </c>
      <c r="I50" s="2" t="inlineStr">
        <is>
          <t>Replace it with concise English customer-facing copy tied only to the verified motif, product type, size/pillowcase choices and supported customizer control.</t>
        </is>
      </c>
      <c r="J50" s="2" t="inlineStr">
        <is>
          <t>The proposed description uses a repeated audience list (for example, animal rooms/faith gifts/nature-inspired decor) that is not specific to this product.</t>
        </is>
      </c>
      <c r="K50" s="2" t="inlineStr">
        <is>
          <t>Description contains no irrelevant template audience list and every remaining claim is supported by live/snapshot evidence.</t>
        </is>
      </c>
    </row>
    <row r="51" ht="84" customHeight="1">
      <c r="A51" s="3" t="inlineStr">
        <is>
          <t>ISSUE-0050</t>
        </is>
      </c>
      <c r="B51" s="3" t="inlineStr">
        <is>
          <t>jeminise.com+fantasy-winged-dragon-comforter-set-with-starry-nebula-pattern-and-bedroom-setting-d228ce3712-d228ce3712</t>
        </is>
      </c>
      <c r="C51" s="3" t="inlineStr"/>
      <c r="D51" s="3" t="inlineStr">
        <is>
          <t>MINOR</t>
        </is>
      </c>
      <c r="E51" s="3" t="inlineStr">
        <is>
          <t>meta_description_seo</t>
        </is>
      </c>
      <c r="F51" s="3" t="inlineStr">
        <is>
          <t>Shop a quilt set featuring purple winged dragon with blue highlights and starry nebula pattern on a black background. Review size and personalization options before checkout.</t>
        </is>
      </c>
      <c r="G51" s="3" t="inlineStr">
        <is>
          <t>Meta description length is 174 characters.</t>
        </is>
      </c>
      <c r="H51" s="3" t="inlineStr">
        <is>
          <t>Likely to truncate in search results and repeats review/personality wording in several rows.</t>
        </is>
      </c>
      <c r="I51" s="3" t="inlineStr">
        <is>
          <t>Rewrite to roughly 145-155 characters while preserving verified design and product type.</t>
        </is>
      </c>
      <c r="J51" s="3" t="inlineStr">
        <is>
          <t>Meta description length is 174 characters.</t>
        </is>
      </c>
      <c r="K51" s="3" t="inlineStr">
        <is>
          <t>Length check &lt;=160 characters and no unsupported claim remains.</t>
        </is>
      </c>
    </row>
    <row r="52" ht="84" customHeight="1">
      <c r="A52" s="2" t="inlineStr">
        <is>
          <t>ISSUE-0051</t>
        </is>
      </c>
      <c r="B52" s="2" t="inlineStr">
        <is>
          <t>jeminise.com+fantasy-winged-dragon-comforter-set-with-starry-nebula-pattern-and-bedroom-setting-d228ce3712-d228ce3712</t>
        </is>
      </c>
      <c r="C52" s="2" t="inlineStr"/>
      <c r="D52" s="2" t="inlineStr">
        <is>
          <t>MAJOR</t>
        </is>
      </c>
      <c r="E52" s="2" t="inlineStr">
        <is>
          <t>keyword_map</t>
        </is>
      </c>
      <c r="F52" s="2" t="inlineStr">
        <is>
          <t>nebula dragon quilt</t>
        </is>
      </c>
      <c r="G52" s="2" t="inlineStr">
        <is>
          <t>https://www.temu.com/dragon-bedding-set-5030175152007-s.html; https://www.pinterest.com/pin/800233427555270189/; https://www.etsy.com/market/fantasy_duvet; https://www.temu.com/dragon-bedding-set-5030175152007-s.html; https://www.pinterest.com/pin/800233427555270189/; https://www.etsy.com/market/fantasy_duvet</t>
        </is>
      </c>
      <c r="H52" s="2" t="inlineStr">
        <is>
          <t>Batch cluster contains several very similar products, so keyword/intent differentiation must be sharper.</t>
        </is>
      </c>
      <c r="I52" s="2" t="inlineStr">
        <is>
          <t>Add unique visible motif modifiers and avoid assigning the same generic product keyword to multiple URLs.</t>
        </is>
      </c>
      <c r="J52" s="2" t="inlineStr">
        <is>
          <t>https://www.temu.com/dragon-bedding-set-5030175152007-s.html; https://www.pinterest.com/pin/800233427555270189/; https://www.etsy.com/market/fantasy_duvet; https://www.temu.com/dragon-bedding-set-5030175152007-s.html; https://www.pinterest.com/pin/800233427555270189/; https://www.etsy.com/market/fantasy_duvet</t>
        </is>
      </c>
      <c r="K52" s="2" t="inlineStr">
        <is>
          <t>SERP notes and title/meta show a distinct product-level query for this exact design.</t>
        </is>
      </c>
    </row>
    <row r="53" ht="84" customHeight="1">
      <c r="A53" s="3" t="inlineStr">
        <is>
          <t>ISSUE-0052</t>
        </is>
      </c>
      <c r="B53" s="3" t="inlineStr">
        <is>
          <t>jeminise.com+fantasy-winged-dragon-comforter-set-with-starry-nebula-pattern-and-bedroom-setting-d228ce3712-d228ce3712</t>
        </is>
      </c>
      <c r="C53" s="3" t="inlineStr"/>
      <c r="D53" s="3" t="inlineStr">
        <is>
          <t>LIMITATION</t>
        </is>
      </c>
      <c r="E53" s="3" t="inlineStr">
        <is>
          <t>keyword_evidence_level</t>
        </is>
      </c>
      <c r="F53" s="3" t="inlineStr">
        <is>
          <t>SERP_ONLY</t>
        </is>
      </c>
      <c r="G53" s="3" t="inlineStr">
        <is>
          <t>Only public SERP comparables are available.</t>
        </is>
      </c>
      <c r="H53" s="3" t="inlineStr">
        <is>
          <t>No Search Console, paid keyword volume or internal site search export was supplied.</t>
        </is>
      </c>
      <c r="I53" s="3" t="inlineStr">
        <is>
          <t>Keep demand statements qualitative; do not claim volume or ranking potential.</t>
        </is>
      </c>
      <c r="J53" s="3" t="inlineStr">
        <is>
          <t>Only public SERP comparables are available.</t>
        </is>
      </c>
      <c r="K53" s="3" t="inlineStr">
        <is>
          <t>Additional first-party or paid keyword evidence is attached, or limitation remains documented.</t>
        </is>
      </c>
    </row>
    <row r="54" ht="84" customHeight="1">
      <c r="A54" s="2" t="inlineStr">
        <is>
          <t>ISSUE-0053</t>
        </is>
      </c>
      <c r="B54" s="2" t="inlineStr">
        <is>
          <t>jeminise.com+fantasy-winged-dragon-comforter-set-with-starry-nebula-pattern-and-bedroom-setting-d228ce3712-d228ce3712</t>
        </is>
      </c>
      <c r="C54" s="2" t="inlineStr">
        <is>
          <t>img_f66b175cb8c5520e</t>
        </is>
      </c>
      <c r="D54" s="2" t="inlineStr">
        <is>
          <t>MINOR</t>
        </is>
      </c>
      <c r="E54" s="2" t="inlineStr">
        <is>
          <t>alt text</t>
        </is>
      </c>
      <c r="F54" s="2" t="inlineStr">
        <is>
          <t>Purple Nebula Winged Dragon Quilt displayed in a main product mockup</t>
        </is>
      </c>
      <c r="G54" s="2" t="inlineStr">
        <is>
          <t>Fresh image file: D:\Shopify_Workspace\jeminise_seo\seo_runs\jeminise.com\20260906_234129\qa\20260907_214000\images\146_01.jpg; source URL: https://cdn.shopify.com/s/files/1/0792/5098/1063/files/cdfb2abc2375160a8704f9ec9d3c4be2c8f8852d5e6f2aae6e84f0cc5f8d0810.jpg?v=1785046051</t>
        </is>
      </c>
      <c r="H54" s="2" t="inlineStr">
        <is>
          <t>Alt text is too generic or describes placement more than visible content.</t>
        </is>
      </c>
      <c r="I54" s="2" t="inlineStr">
        <is>
          <t>Rewrite observation/alt from the directly opened image, naming the visible motif and use context.</t>
        </is>
      </c>
      <c r="J54" s="2" t="inlineStr">
        <is>
          <t>Fresh image file: D:\Shopify_Workspace\jeminise_seo\seo_runs\jeminise.com\20260906_234129\qa\20260907_214000\images\146_01.jpg; source URL: https://cdn.shopify.com/s/files/1/0792/5098/1063/files/cdfb2abc2375160a8704f9ec9d3c4be2c8f8852d5e6f2aae6e84f0cc5f8d0810.jpg?v=1785046051</t>
        </is>
      </c>
      <c r="K54" s="2" t="inlineStr">
        <is>
          <t>The image row accurately describes the actual media at this gallery position.</t>
        </is>
      </c>
    </row>
    <row r="55" ht="84" customHeight="1">
      <c r="A55" s="3" t="inlineStr">
        <is>
          <t>ISSUE-0054</t>
        </is>
      </c>
      <c r="B55" s="3" t="inlineStr">
        <is>
          <t>jeminise.com+fantasy-winged-dragon-comforter-set-with-starry-nebula-pattern-and-bedroom-setting-d228ce3712-d228ce3712</t>
        </is>
      </c>
      <c r="C55" s="3" t="inlineStr">
        <is>
          <t>img_3df05ec1baee3301</t>
        </is>
      </c>
      <c r="D55" s="3" t="inlineStr">
        <is>
          <t>MINOR</t>
        </is>
      </c>
      <c r="E55" s="3" t="inlineStr">
        <is>
          <t>image observation</t>
        </is>
      </c>
      <c r="F55" s="3" t="inlineStr">
        <is>
          <t>Bedding type, feature, lifestyle or material image for purple nebula winged dragon quilt set.</t>
        </is>
      </c>
      <c r="G55" s="3" t="inlineStr">
        <is>
          <t>Fresh image file: D:\Shopify_Workspace\jeminise_seo\seo_runs\jeminise.com\20260906_234129\qa\20260907_214000\images\146_03.jpg; source URL: https://cdn.shopify.com/s/files/1/0792/5098/1063/files/86eced4e4bf6e63735f4f2c66481275b7882f4bc066ceec8d9502d708a5d984c.jpg?v=1785046051</t>
        </is>
      </c>
      <c r="H55" s="3" t="inlineStr">
        <is>
          <t>Observation is generic or position-based; rewrite from the actual image content.</t>
        </is>
      </c>
      <c r="I55" s="3" t="inlineStr">
        <is>
          <t>Rewrite observation/alt from the directly opened image, naming the visible motif and use context.</t>
        </is>
      </c>
      <c r="J55" s="3" t="inlineStr">
        <is>
          <t>Fresh image file: D:\Shopify_Workspace\jeminise_seo\seo_runs\jeminise.com\20260906_234129\qa\20260907_214000\images\146_03.jpg; source URL: https://cdn.shopify.com/s/files/1/0792/5098/1063/files/86eced4e4bf6e63735f4f2c66481275b7882f4bc066ceec8d9502d708a5d984c.jpg?v=1785046051</t>
        </is>
      </c>
      <c r="K55" s="3" t="inlineStr">
        <is>
          <t>The image row accurately describes the actual media at this gallery position.</t>
        </is>
      </c>
    </row>
    <row r="56" ht="84" customHeight="1">
      <c r="A56" s="2" t="inlineStr">
        <is>
          <t>ISSUE-0055</t>
        </is>
      </c>
      <c r="B56" s="2" t="inlineStr">
        <is>
          <t>jeminise.com+fantasy-winged-dragon-comforter-set-with-starry-nebula-pattern-and-bedroom-setting-d228ce3712-d228ce3712</t>
        </is>
      </c>
      <c r="C56" s="2" t="inlineStr">
        <is>
          <t>img_f1d795ff2c009401</t>
        </is>
      </c>
      <c r="D56" s="2" t="inlineStr">
        <is>
          <t>MINOR</t>
        </is>
      </c>
      <c r="E56" s="2" t="inlineStr">
        <is>
          <t>image observation</t>
        </is>
      </c>
      <c r="F56" s="2" t="inlineStr">
        <is>
          <t>Detail, feature panel or lifestyle image connected to purple nebula winged dragon quilt set.</t>
        </is>
      </c>
      <c r="G56" s="2" t="inlineStr">
        <is>
          <t>Fresh image file: D:\Shopify_Workspace\jeminise_seo\seo_runs\jeminise.com\20260906_234129\qa\20260907_214000\images\146_04.jpg; source URL: https://cdn.shopify.com/s/files/1/0792/5098/1063/files/010fc93066b878fd361c7354db22404ffa1c52e92a983073c965b52097e7da0f.jpg?v=1785046051</t>
        </is>
      </c>
      <c r="H56" s="2" t="inlineStr">
        <is>
          <t>Observation is generic or position-based; rewrite from the actual image content.</t>
        </is>
      </c>
      <c r="I56" s="2" t="inlineStr">
        <is>
          <t>Rewrite observation/alt from the directly opened image, naming the visible motif and use context.</t>
        </is>
      </c>
      <c r="J56" s="2" t="inlineStr">
        <is>
          <t>Fresh image file: D:\Shopify_Workspace\jeminise_seo\seo_runs\jeminise.com\20260906_234129\qa\20260907_214000\images\146_04.jpg; source URL: https://cdn.shopify.com/s/files/1/0792/5098/1063/files/010fc93066b878fd361c7354db22404ffa1c52e92a983073c965b52097e7da0f.jpg?v=1785046051</t>
        </is>
      </c>
      <c r="K56" s="2" t="inlineStr">
        <is>
          <t>The image row accurately describes the actual media at this gallery position.</t>
        </is>
      </c>
    </row>
    <row r="57" ht="84" customHeight="1">
      <c r="A57" s="3" t="inlineStr">
        <is>
          <t>ISSUE-0056</t>
        </is>
      </c>
      <c r="B57" s="3" t="inlineStr">
        <is>
          <t>jeminise.com+fantasy-winged-dragon-comforter-set-with-volcanic-eruption-and-bedroom-258009c125-258009c125</t>
        </is>
      </c>
      <c r="C57" s="3" t="inlineStr"/>
      <c r="D57" s="3" t="inlineStr">
        <is>
          <t>MAJOR</t>
        </is>
      </c>
      <c r="E57" s="3" t="inlineStr">
        <is>
          <t>description_proposed_html</t>
        </is>
      </c>
      <c r="F57" s="3" t="inlineStr">
        <is>
          <t>&lt;p&gt;This Jeminise quilt set features red winged dragon silhouette over orange volcanic eruption and lava glow, making it suited for fantasy rooms, nature-inspired decor, winter bedding or woodland themes.&lt;/p&gt;&lt;h3&gt;Design Details&lt;/h3&gt;&lt;ul&gt;&lt;li&gt;Visible artwork: red winged dragon silhouette over orange volcanic eruption and lava glow.&lt;/li&gt;&lt;li&gt;Source product details include: Brand: Jeminise; Product Type: Quilt Set; Material: Microfiber, Cotton-Polyester…</t>
        </is>
      </c>
      <c r="G57" s="3" t="inlineStr">
        <is>
          <t>Draft contains SEO Use / QA approval wording.</t>
        </is>
      </c>
      <c r="H57" s="3" t="inlineStr">
        <is>
          <t>Internal workflow language is not publish-ready storefront copy.</t>
        </is>
      </c>
      <c r="I57" s="3" t="inlineStr">
        <is>
          <t>Remove internal QA/import block and replace with customer-facing verified copy.</t>
        </is>
      </c>
      <c r="J57" s="3" t="inlineStr">
        <is>
          <t>Draft contains SEO Use / QA approval wording.</t>
        </is>
      </c>
      <c r="K57" s="3" t="inlineStr">
        <is>
          <t>Description HTML no longer contains SEO Use, QA, approval, import or draft language.</t>
        </is>
      </c>
    </row>
    <row r="58" ht="84" customHeight="1">
      <c r="A58" s="2" t="inlineStr">
        <is>
          <t>ISSUE-0057</t>
        </is>
      </c>
      <c r="B58" s="2" t="inlineStr">
        <is>
          <t>jeminise.com+fantasy-winged-dragon-comforter-set-with-volcanic-eruption-and-bedroom-258009c125-258009c125</t>
        </is>
      </c>
      <c r="C58" s="2" t="inlineStr"/>
      <c r="D58" s="2" t="inlineStr">
        <is>
          <t>MAJOR</t>
        </is>
      </c>
      <c r="E58" s="2" t="inlineStr">
        <is>
          <t>h1_proposed</t>
        </is>
      </c>
      <c r="F58" s="2" t="inlineStr"/>
      <c r="G58" s="2" t="inlineStr">
        <is>
          <t>The submitted workbook row has no proposed H1.</t>
        </is>
      </c>
      <c r="H58" s="2" t="inlineStr">
        <is>
          <t>A publishable SEO title/H1 pair is incomplete when the H1 field is blank.</t>
        </is>
      </c>
      <c r="I58" s="2" t="inlineStr">
        <is>
          <t>Write one English H1 that matches the verified product type and visible design; do not copy unsupported claims.</t>
        </is>
      </c>
      <c r="J58" s="2" t="inlineStr">
        <is>
          <t>The submitted workbook row has no proposed H1.</t>
        </is>
      </c>
      <c r="K58" s="2" t="inlineStr">
        <is>
          <t>Workbook contains a non-empty H1 and it is consistent with title, primary keyword and live product evidence.</t>
        </is>
      </c>
    </row>
    <row r="59" ht="84" customHeight="1">
      <c r="A59" s="3" t="inlineStr">
        <is>
          <t>ISSUE-0058</t>
        </is>
      </c>
      <c r="B59" s="3" t="inlineStr">
        <is>
          <t>jeminise.com+fantasy-winged-dragon-comforter-set-with-volcanic-eruption-and-bedroom-258009c125-258009c125</t>
        </is>
      </c>
      <c r="C59" s="3" t="inlineStr"/>
      <c r="D59" s="3" t="inlineStr">
        <is>
          <t>MAJOR</t>
        </is>
      </c>
      <c r="E59" s="3" t="inlineStr">
        <is>
          <t>description_proposed_html</t>
        </is>
      </c>
      <c r="F59" s="3" t="inlineStr">
        <is>
          <t>&lt;p&gt;This Jeminise quilt set features red winged dragon silhouette over orange volcanic eruption and lava glow, making it suited for fantasy rooms, nature-inspired decor, winter bedding or woodland themes.&lt;/p&gt;&lt;h3&gt;Design Details&lt;/h3&gt;&lt;ul&gt;&lt;li&gt;Visible artwork: red winged dragon silhouette over orange volcanic eruption and lava glow.&lt;/li&gt;&lt;li&gt;Source product details include: Brand: Jeminise; Product Type: Quilt Set; Material: Microfiber, Cotton-Polyester…</t>
        </is>
      </c>
      <c r="G59" s="3" t="inlineStr">
        <is>
          <t>The proposed description uses a repeated audience list (for example, animal rooms/faith gifts/nature-inspired decor) that is not specific to this product.</t>
        </is>
      </c>
      <c r="H59" s="3" t="inlineStr">
        <is>
          <t>Generic audience wording can be irrelevant or contradictory to the visible motif and is not evidence-led storefront copy.</t>
        </is>
      </c>
      <c r="I59" s="3" t="inlineStr">
        <is>
          <t>Replace it with concise English customer-facing copy tied only to the verified motif, product type, size/pillowcase choices and supported customizer control.</t>
        </is>
      </c>
      <c r="J59" s="3" t="inlineStr">
        <is>
          <t>The proposed description uses a repeated audience list (for example, animal rooms/faith gifts/nature-inspired decor) that is not specific to this product.</t>
        </is>
      </c>
      <c r="K59" s="3" t="inlineStr">
        <is>
          <t>Description contains no irrelevant template audience list and every remaining claim is supported by live/snapshot evidence.</t>
        </is>
      </c>
    </row>
    <row r="60" ht="84" customHeight="1">
      <c r="A60" s="2" t="inlineStr">
        <is>
          <t>ISSUE-0059</t>
        </is>
      </c>
      <c r="B60" s="2" t="inlineStr">
        <is>
          <t>jeminise.com+fantasy-winged-dragon-comforter-set-with-volcanic-eruption-and-bedroom-258009c125-258009c125</t>
        </is>
      </c>
      <c r="C60" s="2" t="inlineStr"/>
      <c r="D60" s="2" t="inlineStr">
        <is>
          <t>MAJOR</t>
        </is>
      </c>
      <c r="E60" s="2" t="inlineStr">
        <is>
          <t>keyword_map</t>
        </is>
      </c>
      <c r="F60" s="2" t="inlineStr">
        <is>
          <t>volcanic dragon quilt</t>
        </is>
      </c>
      <c r="G60" s="2" t="inlineStr">
        <is>
          <t>https://www.temu.com/dragon-bedding-set-5030175152007-s.html; https://www.pinterest.com/pin/800233427555270189/; https://www.etsy.com/market/fantasy_duvet; https://www.temu.com/dragon-bedding-set-5030175152007-s.html; https://www.pinterest.com/pin/800233427555270189/; https://www.etsy.com/market/fantasy_duvet</t>
        </is>
      </c>
      <c r="H60" s="2" t="inlineStr">
        <is>
          <t>Batch cluster contains several very similar products, so keyword/intent differentiation must be sharper.</t>
        </is>
      </c>
      <c r="I60" s="2" t="inlineStr">
        <is>
          <t>Add unique visible motif modifiers and avoid assigning the same generic product keyword to multiple URLs.</t>
        </is>
      </c>
      <c r="J60" s="2" t="inlineStr">
        <is>
          <t>https://www.temu.com/dragon-bedding-set-5030175152007-s.html; https://www.pinterest.com/pin/800233427555270189/; https://www.etsy.com/market/fantasy_duvet; https://www.temu.com/dragon-bedding-set-5030175152007-s.html; https://www.pinterest.com/pin/800233427555270189/; https://www.etsy.com/market/fantasy_duvet</t>
        </is>
      </c>
      <c r="K60" s="2" t="inlineStr">
        <is>
          <t>SERP notes and title/meta show a distinct product-level query for this exact design.</t>
        </is>
      </c>
    </row>
    <row r="61" ht="84" customHeight="1">
      <c r="A61" s="3" t="inlineStr">
        <is>
          <t>ISSUE-0060</t>
        </is>
      </c>
      <c r="B61" s="3" t="inlineStr">
        <is>
          <t>jeminise.com+fantasy-winged-dragon-comforter-set-with-volcanic-eruption-and-bedroom-258009c125-258009c125</t>
        </is>
      </c>
      <c r="C61" s="3" t="inlineStr"/>
      <c r="D61" s="3" t="inlineStr">
        <is>
          <t>LIMITATION</t>
        </is>
      </c>
      <c r="E61" s="3" t="inlineStr">
        <is>
          <t>keyword_evidence_level</t>
        </is>
      </c>
      <c r="F61" s="3" t="inlineStr">
        <is>
          <t>SERP_ONLY</t>
        </is>
      </c>
      <c r="G61" s="3" t="inlineStr">
        <is>
          <t>Only public SERP comparables are available.</t>
        </is>
      </c>
      <c r="H61" s="3" t="inlineStr">
        <is>
          <t>No Search Console, paid keyword volume or internal site search export was supplied.</t>
        </is>
      </c>
      <c r="I61" s="3" t="inlineStr">
        <is>
          <t>Keep demand statements qualitative; do not claim volume or ranking potential.</t>
        </is>
      </c>
      <c r="J61" s="3" t="inlineStr">
        <is>
          <t>Only public SERP comparables are available.</t>
        </is>
      </c>
      <c r="K61" s="3" t="inlineStr">
        <is>
          <t>Additional first-party or paid keyword evidence is attached, or limitation remains documented.</t>
        </is>
      </c>
    </row>
    <row r="62" ht="84" customHeight="1">
      <c r="A62" s="2" t="inlineStr">
        <is>
          <t>ISSUE-0061</t>
        </is>
      </c>
      <c r="B62" s="2" t="inlineStr">
        <is>
          <t>jeminise.com+fantasy-winged-dragon-comforter-set-with-volcanic-eruption-and-bedroom-258009c125-258009c125</t>
        </is>
      </c>
      <c r="C62" s="2" t="inlineStr">
        <is>
          <t>img_f81722dfdc904b50</t>
        </is>
      </c>
      <c r="D62" s="2" t="inlineStr">
        <is>
          <t>MINOR</t>
        </is>
      </c>
      <c r="E62" s="2" t="inlineStr">
        <is>
          <t>alt text</t>
        </is>
      </c>
      <c r="F62" s="2" t="inlineStr">
        <is>
          <t>Red Volcanic Winged Dragon Quilt displayed in a main product mockup</t>
        </is>
      </c>
      <c r="G62" s="2" t="inlineStr">
        <is>
          <t>Fresh image file: D:\Shopify_Workspace\jeminise_seo\seo_runs\jeminise.com\20260906_234129\qa\20260907_214000\images\147_01.jpg; source URL: https://cdn.shopify.com/s/files/1/0792/5098/1063/files/94001394196306ca9b1b0d683fd420fd7088a94b484c78bd3b50c3693317b348.jpg?v=1785046158</t>
        </is>
      </c>
      <c r="H62" s="2" t="inlineStr">
        <is>
          <t>Alt text is too generic or describes placement more than visible content.</t>
        </is>
      </c>
      <c r="I62" s="2" t="inlineStr">
        <is>
          <t>Rewrite observation/alt from the directly opened image, naming the visible motif and use context.</t>
        </is>
      </c>
      <c r="J62" s="2" t="inlineStr">
        <is>
          <t>Fresh image file: D:\Shopify_Workspace\jeminise_seo\seo_runs\jeminise.com\20260906_234129\qa\20260907_214000\images\147_01.jpg; source URL: https://cdn.shopify.com/s/files/1/0792/5098/1063/files/94001394196306ca9b1b0d683fd420fd7088a94b484c78bd3b50c3693317b348.jpg?v=1785046158</t>
        </is>
      </c>
      <c r="K62" s="2" t="inlineStr">
        <is>
          <t>The image row accurately describes the actual media at this gallery position.</t>
        </is>
      </c>
    </row>
    <row r="63" ht="84" customHeight="1">
      <c r="A63" s="3" t="inlineStr">
        <is>
          <t>ISSUE-0062</t>
        </is>
      </c>
      <c r="B63" s="3" t="inlineStr">
        <is>
          <t>jeminise.com+fantasy-winged-dragon-comforter-set-with-volcanic-eruption-and-bedroom-258009c125-258009c125</t>
        </is>
      </c>
      <c r="C63" s="3" t="inlineStr">
        <is>
          <t>img_24437237b4ab1219</t>
        </is>
      </c>
      <c r="D63" s="3" t="inlineStr">
        <is>
          <t>MINOR</t>
        </is>
      </c>
      <c r="E63" s="3" t="inlineStr">
        <is>
          <t>image observation</t>
        </is>
      </c>
      <c r="F63" s="3" t="inlineStr">
        <is>
          <t>Bedding type, feature, lifestyle or material image for red volcanic winged dragon quilt set.</t>
        </is>
      </c>
      <c r="G63" s="3" t="inlineStr">
        <is>
          <t>Fresh image file: D:\Shopify_Workspace\jeminise_seo\seo_runs\jeminise.com\20260906_234129\qa\20260907_214000\images\147_03.jpg; source URL: https://cdn.shopify.com/s/files/1/0792/5098/1063/files/fb8b51b32f2c661aed0d41d26205998733170132be56a1b92b3e9a668c8a4dd4.jpg?v=1785046158</t>
        </is>
      </c>
      <c r="H63" s="3" t="inlineStr">
        <is>
          <t>Observation is generic or position-based; rewrite from the actual image content.</t>
        </is>
      </c>
      <c r="I63" s="3" t="inlineStr">
        <is>
          <t>Rewrite observation/alt from the directly opened image, naming the visible motif and use context.</t>
        </is>
      </c>
      <c r="J63" s="3" t="inlineStr">
        <is>
          <t>Fresh image file: D:\Shopify_Workspace\jeminise_seo\seo_runs\jeminise.com\20260906_234129\qa\20260907_214000\images\147_03.jpg; source URL: https://cdn.shopify.com/s/files/1/0792/5098/1063/files/fb8b51b32f2c661aed0d41d26205998733170132be56a1b92b3e9a668c8a4dd4.jpg?v=1785046158</t>
        </is>
      </c>
      <c r="K63" s="3" t="inlineStr">
        <is>
          <t>The image row accurately describes the actual media at this gallery position.</t>
        </is>
      </c>
    </row>
    <row r="64" ht="84" customHeight="1">
      <c r="A64" s="2" t="inlineStr">
        <is>
          <t>ISSUE-0063</t>
        </is>
      </c>
      <c r="B64" s="2" t="inlineStr">
        <is>
          <t>jeminise.com+fantasy-winged-dragon-comforter-set-with-volcanic-eruption-and-bedroom-258009c125-258009c125</t>
        </is>
      </c>
      <c r="C64" s="2" t="inlineStr">
        <is>
          <t>img_fdf26274a6ec801d</t>
        </is>
      </c>
      <c r="D64" s="2" t="inlineStr">
        <is>
          <t>MINOR</t>
        </is>
      </c>
      <c r="E64" s="2" t="inlineStr">
        <is>
          <t>image observation</t>
        </is>
      </c>
      <c r="F64" s="2" t="inlineStr">
        <is>
          <t>Detail, feature panel or lifestyle image connected to red volcanic winged dragon quilt set.</t>
        </is>
      </c>
      <c r="G64" s="2" t="inlineStr">
        <is>
          <t>Fresh image file: D:\Shopify_Workspace\jeminise_seo\seo_runs\jeminise.com\20260906_234129\qa\20260907_214000\images\147_04.jpg; source URL: https://cdn.shopify.com/s/files/1/0792/5098/1063/files/01f734498d3b89750a943829d688abf985a64d10d034f01ce76a5b383304afd0.jpg?v=1785046159</t>
        </is>
      </c>
      <c r="H64" s="2" t="inlineStr">
        <is>
          <t>Observation is generic or position-based; rewrite from the actual image content.</t>
        </is>
      </c>
      <c r="I64" s="2" t="inlineStr">
        <is>
          <t>Rewrite observation/alt from the directly opened image, naming the visible motif and use context.</t>
        </is>
      </c>
      <c r="J64" s="2" t="inlineStr">
        <is>
          <t>Fresh image file: D:\Shopify_Workspace\jeminise_seo\seo_runs\jeminise.com\20260906_234129\qa\20260907_214000\images\147_04.jpg; source URL: https://cdn.shopify.com/s/files/1/0792/5098/1063/files/01f734498d3b89750a943829d688abf985a64d10d034f01ce76a5b383304afd0.jpg?v=1785046159</t>
        </is>
      </c>
      <c r="K64" s="2" t="inlineStr">
        <is>
          <t>The image row accurately describes the actual media at this gallery position.</t>
        </is>
      </c>
    </row>
    <row r="65" ht="84" customHeight="1">
      <c r="A65" s="3" t="inlineStr">
        <is>
          <t>ISSUE-0064</t>
        </is>
      </c>
      <c r="B65" s="3" t="inlineStr">
        <is>
          <t>jeminise.com+floral-nature-cardinal-within-ornate-oval-frame-patchwork-winter-quilt-88ef309589-88ef309589</t>
        </is>
      </c>
      <c r="C65" s="3" t="inlineStr"/>
      <c r="D65" s="3" t="inlineStr">
        <is>
          <t>MAJOR</t>
        </is>
      </c>
      <c r="E65" s="3" t="inlineStr">
        <is>
          <t>description_proposed_html</t>
        </is>
      </c>
      <c r="F65" s="3" t="inlineStr">
        <is>
          <t>&lt;p&gt;This Jeminise quilt set features red cardinal inside an ornate oval frame with roses, winter greenery and vintage floral accents, making it suited for fantasy rooms, nature-inspired decor, winter bedding or woodland themes.&lt;/p&gt;&lt;h3&gt;Design Details&lt;/h3&gt;&lt;ul&gt;&lt;li&gt;Visible artwork: red cardinal inside an ornate oval frame with roses, winter greenery and vintage floral accents.&lt;/li&gt;&lt;li&gt;Source product details include: Brand: Jeminise; Product Type: Qui…</t>
        </is>
      </c>
      <c r="G65" s="3" t="inlineStr">
        <is>
          <t>Draft contains SEO Use / QA approval wording.</t>
        </is>
      </c>
      <c r="H65" s="3" t="inlineStr">
        <is>
          <t>Internal workflow language is not publish-ready storefront copy.</t>
        </is>
      </c>
      <c r="I65" s="3" t="inlineStr">
        <is>
          <t>Remove internal QA/import block and replace with customer-facing verified copy.</t>
        </is>
      </c>
      <c r="J65" s="3" t="inlineStr">
        <is>
          <t>Draft contains SEO Use / QA approval wording.</t>
        </is>
      </c>
      <c r="K65" s="3" t="inlineStr">
        <is>
          <t>Description HTML no longer contains SEO Use, QA, approval, import or draft language.</t>
        </is>
      </c>
    </row>
    <row r="66" ht="84" customHeight="1">
      <c r="A66" s="2" t="inlineStr">
        <is>
          <t>ISSUE-0065</t>
        </is>
      </c>
      <c r="B66" s="2" t="inlineStr">
        <is>
          <t>jeminise.com+floral-nature-cardinal-within-ornate-oval-frame-patchwork-winter-quilt-88ef309589-88ef309589</t>
        </is>
      </c>
      <c r="C66" s="2" t="inlineStr"/>
      <c r="D66" s="2" t="inlineStr">
        <is>
          <t>MAJOR</t>
        </is>
      </c>
      <c r="E66" s="2" t="inlineStr">
        <is>
          <t>h1_proposed</t>
        </is>
      </c>
      <c r="F66" s="2" t="inlineStr"/>
      <c r="G66" s="2" t="inlineStr">
        <is>
          <t>The submitted workbook row has no proposed H1.</t>
        </is>
      </c>
      <c r="H66" s="2" t="inlineStr">
        <is>
          <t>A publishable SEO title/H1 pair is incomplete when the H1 field is blank.</t>
        </is>
      </c>
      <c r="I66" s="2" t="inlineStr">
        <is>
          <t>Write one English H1 that matches the verified product type and visible design; do not copy unsupported claims.</t>
        </is>
      </c>
      <c r="J66" s="2" t="inlineStr">
        <is>
          <t>The submitted workbook row has no proposed H1.</t>
        </is>
      </c>
      <c r="K66" s="2" t="inlineStr">
        <is>
          <t>Workbook contains a non-empty H1 and it is consistent with title, primary keyword and live product evidence.</t>
        </is>
      </c>
    </row>
    <row r="67" ht="84" customHeight="1">
      <c r="A67" s="3" t="inlineStr">
        <is>
          <t>ISSUE-0066</t>
        </is>
      </c>
      <c r="B67" s="3" t="inlineStr">
        <is>
          <t>jeminise.com+floral-nature-cardinal-within-ornate-oval-frame-patchwork-winter-quilt-88ef309589-88ef309589</t>
        </is>
      </c>
      <c r="C67" s="3" t="inlineStr"/>
      <c r="D67" s="3" t="inlineStr">
        <is>
          <t>MAJOR</t>
        </is>
      </c>
      <c r="E67" s="3" t="inlineStr">
        <is>
          <t>description_proposed_html</t>
        </is>
      </c>
      <c r="F67" s="3" t="inlineStr">
        <is>
          <t>&lt;p&gt;This Jeminise quilt set features red cardinal inside an ornate oval frame with roses, winter greenery and vintage floral accents, making it suited for fantasy rooms, nature-inspired decor, winter bedding or woodland themes.&lt;/p&gt;&lt;h3&gt;Design Details&lt;/h3&gt;&lt;ul&gt;&lt;li&gt;Visible artwork: red cardinal inside an ornate oval frame with roses, winter greenery and vintage floral accents.&lt;/li&gt;&lt;li&gt;Source product details include: Brand: Jeminise; Product Type: Qui…</t>
        </is>
      </c>
      <c r="G67" s="3" t="inlineStr">
        <is>
          <t>The proposed description uses a repeated audience list (for example, animal rooms/faith gifts/nature-inspired decor) that is not specific to this product.</t>
        </is>
      </c>
      <c r="H67" s="3" t="inlineStr">
        <is>
          <t>Generic audience wording can be irrelevant or contradictory to the visible motif and is not evidence-led storefront copy.</t>
        </is>
      </c>
      <c r="I67" s="3" t="inlineStr">
        <is>
          <t>Replace it with concise English customer-facing copy tied only to the verified motif, product type, size/pillowcase choices and supported customizer control.</t>
        </is>
      </c>
      <c r="J67" s="3" t="inlineStr">
        <is>
          <t>The proposed description uses a repeated audience list (for example, animal rooms/faith gifts/nature-inspired decor) that is not specific to this product.</t>
        </is>
      </c>
      <c r="K67" s="3" t="inlineStr">
        <is>
          <t>Description contains no irrelevant template audience list and every remaining claim is supported by live/snapshot evidence.</t>
        </is>
      </c>
    </row>
    <row r="68" ht="84" customHeight="1">
      <c r="A68" s="2" t="inlineStr">
        <is>
          <t>ISSUE-0067</t>
        </is>
      </c>
      <c r="B68" s="2" t="inlineStr">
        <is>
          <t>jeminise.com+floral-nature-cardinal-within-ornate-oval-frame-patchwork-winter-quilt-88ef309589-88ef309589</t>
        </is>
      </c>
      <c r="C68" s="2" t="inlineStr"/>
      <c r="D68" s="2" t="inlineStr">
        <is>
          <t>MINOR</t>
        </is>
      </c>
      <c r="E68" s="2" t="inlineStr">
        <is>
          <t>meta_description_seo</t>
        </is>
      </c>
      <c r="F68" s="2" t="inlineStr">
        <is>
          <t>Shop a quilt set featuring red cardinal inside an ornate oval frame with roses, winter greenery and vintage floral accents. Review size and personalization options before checkout.</t>
        </is>
      </c>
      <c r="G68" s="2" t="inlineStr">
        <is>
          <t>Meta description length is 180 characters.</t>
        </is>
      </c>
      <c r="H68" s="2" t="inlineStr">
        <is>
          <t>Likely to truncate in search results and repeats review/personality wording in several rows.</t>
        </is>
      </c>
      <c r="I68" s="2" t="inlineStr">
        <is>
          <t>Rewrite to roughly 145-155 characters while preserving verified design and product type.</t>
        </is>
      </c>
      <c r="J68" s="2" t="inlineStr">
        <is>
          <t>Meta description length is 180 characters.</t>
        </is>
      </c>
      <c r="K68" s="2" t="inlineStr">
        <is>
          <t>Length check &lt;=160 characters and no unsupported claim remains.</t>
        </is>
      </c>
    </row>
    <row r="69" ht="84" customHeight="1">
      <c r="A69" s="3" t="inlineStr">
        <is>
          <t>ISSUE-0068</t>
        </is>
      </c>
      <c r="B69" s="3" t="inlineStr">
        <is>
          <t>jeminise.com+floral-nature-cardinal-within-ornate-oval-frame-patchwork-winter-quilt-88ef309589-88ef309589</t>
        </is>
      </c>
      <c r="C69" s="3" t="inlineStr"/>
      <c r="D69" s="3" t="inlineStr">
        <is>
          <t>LIMITATION</t>
        </is>
      </c>
      <c r="E69" s="3" t="inlineStr">
        <is>
          <t>keyword_evidence_level</t>
        </is>
      </c>
      <c r="F69" s="3" t="inlineStr">
        <is>
          <t>SERP_ONLY</t>
        </is>
      </c>
      <c r="G69" s="3" t="inlineStr">
        <is>
          <t>Only public SERP comparables are available.</t>
        </is>
      </c>
      <c r="H69" s="3" t="inlineStr">
        <is>
          <t>No Search Console, paid keyword volume or internal site search export was supplied.</t>
        </is>
      </c>
      <c r="I69" s="3" t="inlineStr">
        <is>
          <t>Keep demand statements qualitative; do not claim volume or ranking potential.</t>
        </is>
      </c>
      <c r="J69" s="3" t="inlineStr">
        <is>
          <t>Only public SERP comparables are available.</t>
        </is>
      </c>
      <c r="K69" s="3" t="inlineStr">
        <is>
          <t>Additional first-party or paid keyword evidence is attached, or limitation remains documented.</t>
        </is>
      </c>
    </row>
    <row r="70" ht="84" customHeight="1">
      <c r="A70" s="2" t="inlineStr">
        <is>
          <t>ISSUE-0069</t>
        </is>
      </c>
      <c r="B70" s="2" t="inlineStr">
        <is>
          <t>jeminise.com+floral-nature-cardinal-within-ornate-oval-frame-patchwork-winter-quilt-88ef309589-88ef309589</t>
        </is>
      </c>
      <c r="C70" s="2" t="inlineStr">
        <is>
          <t>img_5379a6357acb9a8a</t>
        </is>
      </c>
      <c r="D70" s="2" t="inlineStr">
        <is>
          <t>MINOR</t>
        </is>
      </c>
      <c r="E70" s="2" t="inlineStr">
        <is>
          <t>alt text</t>
        </is>
      </c>
      <c r="F70" s="2" t="inlineStr">
        <is>
          <t>Cardinal Floral Oval Frame Winter Quilt displayed in a main product mockup</t>
        </is>
      </c>
      <c r="G70" s="2" t="inlineStr">
        <is>
          <t>Fresh image file: D:\Shopify_Workspace\jeminise_seo\seo_runs\jeminise.com\20260906_234129\qa\20260907_214000\images\148_01.jpg; source URL: https://cdn.shopify.com/s/files/1/0792/5098/1063/files/28cdf69b4ac6725594ea1a837ebe8c207ad2e3bc3eaa00dcae9c37f372a06930.jpg?v=1785099676</t>
        </is>
      </c>
      <c r="H70" s="2" t="inlineStr">
        <is>
          <t>Alt text is too generic or describes placement more than visible content.</t>
        </is>
      </c>
      <c r="I70" s="2" t="inlineStr">
        <is>
          <t>Rewrite observation/alt from the directly opened image, naming the visible motif and use context.</t>
        </is>
      </c>
      <c r="J70" s="2" t="inlineStr">
        <is>
          <t>Fresh image file: D:\Shopify_Workspace\jeminise_seo\seo_runs\jeminise.com\20260906_234129\qa\20260907_214000\images\148_01.jpg; source URL: https://cdn.shopify.com/s/files/1/0792/5098/1063/files/28cdf69b4ac6725594ea1a837ebe8c207ad2e3bc3eaa00dcae9c37f372a06930.jpg?v=1785099676</t>
        </is>
      </c>
      <c r="K70" s="2" t="inlineStr">
        <is>
          <t>The image row accurately describes the actual media at this gallery position.</t>
        </is>
      </c>
    </row>
    <row r="71" ht="84" customHeight="1">
      <c r="A71" s="3" t="inlineStr">
        <is>
          <t>ISSUE-0070</t>
        </is>
      </c>
      <c r="B71" s="3" t="inlineStr">
        <is>
          <t>jeminise.com+floral-nature-cardinal-within-ornate-oval-frame-patchwork-winter-quilt-88ef309589-88ef309589</t>
        </is>
      </c>
      <c r="C71" s="3" t="inlineStr">
        <is>
          <t>img_265e27d5cabb3630</t>
        </is>
      </c>
      <c r="D71" s="3" t="inlineStr">
        <is>
          <t>MINOR</t>
        </is>
      </c>
      <c r="E71" s="3" t="inlineStr">
        <is>
          <t>image observation</t>
        </is>
      </c>
      <c r="F71" s="3" t="inlineStr">
        <is>
          <t>Bedding type, feature, lifestyle or material image for cardinal floral oval frame winter quilt.</t>
        </is>
      </c>
      <c r="G71" s="3" t="inlineStr">
        <is>
          <t>Fresh image file: D:\Shopify_Workspace\jeminise_seo\seo_runs\jeminise.com\20260906_234129\qa\20260907_214000\images\148_03.jpg; source URL: https://cdn.shopify.com/s/files/1/0792/5098/1063/files/e2799d48fb782b01867d568b702d482759c35c84c72a224b1ae800761f02dc85.jpg?v=1785099676</t>
        </is>
      </c>
      <c r="H71" s="3" t="inlineStr">
        <is>
          <t>Observation is generic or position-based; rewrite from the actual image content.</t>
        </is>
      </c>
      <c r="I71" s="3" t="inlineStr">
        <is>
          <t>Rewrite observation/alt from the directly opened image, naming the visible motif and use context.</t>
        </is>
      </c>
      <c r="J71" s="3" t="inlineStr">
        <is>
          <t>Fresh image file: D:\Shopify_Workspace\jeminise_seo\seo_runs\jeminise.com\20260906_234129\qa\20260907_214000\images\148_03.jpg; source URL: https://cdn.shopify.com/s/files/1/0792/5098/1063/files/e2799d48fb782b01867d568b702d482759c35c84c72a224b1ae800761f02dc85.jpg?v=1785099676</t>
        </is>
      </c>
      <c r="K71" s="3" t="inlineStr">
        <is>
          <t>The image row accurately describes the actual media at this gallery position.</t>
        </is>
      </c>
    </row>
    <row r="72" ht="84" customHeight="1">
      <c r="A72" s="2" t="inlineStr">
        <is>
          <t>ISSUE-0071</t>
        </is>
      </c>
      <c r="B72" s="2" t="inlineStr">
        <is>
          <t>jeminise.com+floral-nature-cardinal-within-ornate-oval-frame-patchwork-winter-quilt-88ef309589-88ef309589</t>
        </is>
      </c>
      <c r="C72" s="2" t="inlineStr">
        <is>
          <t>img_9fd5308bb2979547</t>
        </is>
      </c>
      <c r="D72" s="2" t="inlineStr">
        <is>
          <t>MINOR</t>
        </is>
      </c>
      <c r="E72" s="2" t="inlineStr">
        <is>
          <t>image observation</t>
        </is>
      </c>
      <c r="F72" s="2" t="inlineStr">
        <is>
          <t>Detail, feature panel or lifestyle image connected to cardinal floral oval frame winter quilt.</t>
        </is>
      </c>
      <c r="G72" s="2" t="inlineStr">
        <is>
          <t>Fresh image file: D:\Shopify_Workspace\jeminise_seo\seo_runs\jeminise.com\20260906_234129\qa\20260907_214000\images\148_04.jpg; source URL: https://cdn.shopify.com/s/files/1/0792/5098/1063/files/843c75776c48ba7c6b9de831505e6128337fdac4e212bc21f8db025894661a25.jpg?v=1785099676</t>
        </is>
      </c>
      <c r="H72" s="2" t="inlineStr">
        <is>
          <t>Observation is generic or position-based; rewrite from the actual image content.</t>
        </is>
      </c>
      <c r="I72" s="2" t="inlineStr">
        <is>
          <t>Rewrite observation/alt from the directly opened image, naming the visible motif and use context.</t>
        </is>
      </c>
      <c r="J72" s="2" t="inlineStr">
        <is>
          <t>Fresh image file: D:\Shopify_Workspace\jeminise_seo\seo_runs\jeminise.com\20260906_234129\qa\20260907_214000\images\148_04.jpg; source URL: https://cdn.shopify.com/s/files/1/0792/5098/1063/files/843c75776c48ba7c6b9de831505e6128337fdac4e212bc21f8db025894661a25.jpg?v=1785099676</t>
        </is>
      </c>
      <c r="K72" s="2" t="inlineStr">
        <is>
          <t>The image row accurately describes the actual media at this gallery position.</t>
        </is>
      </c>
    </row>
    <row r="73" ht="84" customHeight="1">
      <c r="A73" s="3" t="inlineStr">
        <is>
          <t>ISSUE-0072</t>
        </is>
      </c>
      <c r="B73" s="3" t="inlineStr">
        <is>
          <t>jeminise.com+folklore-tree-of-life-in-celtic-knot-quilt-40ab1f6113-40ab1f6113</t>
        </is>
      </c>
      <c r="C73" s="3" t="inlineStr"/>
      <c r="D73" s="3" t="inlineStr">
        <is>
          <t>MAJOR</t>
        </is>
      </c>
      <c r="E73" s="3" t="inlineStr">
        <is>
          <t>description_proposed_html</t>
        </is>
      </c>
      <c r="F73" s="3" t="inlineStr">
        <is>
          <t>&lt;p&gt;This Jeminise quilt set features black Tree of Life silhouette inside teal Celtic knot artwork with gold interlaced border, making it suited for fantasy rooms, nature-inspired decor, winter bedding or woodland themes.&lt;/p&gt;&lt;h3&gt;Design Details&lt;/h3&gt;&lt;ul&gt;&lt;li&gt;Visible artwork: black Tree of Life silhouette inside teal Celtic knot artwork with gold interlaced border.&lt;/li&gt;&lt;li&gt;Source product details include: Brand: Jeminise; Product Type: Quilt Set; Mate…</t>
        </is>
      </c>
      <c r="G73" s="3" t="inlineStr">
        <is>
          <t>Draft contains SEO Use / QA approval wording.</t>
        </is>
      </c>
      <c r="H73" s="3" t="inlineStr">
        <is>
          <t>Internal workflow language is not publish-ready storefront copy.</t>
        </is>
      </c>
      <c r="I73" s="3" t="inlineStr">
        <is>
          <t>Remove internal QA/import block and replace with customer-facing verified copy.</t>
        </is>
      </c>
      <c r="J73" s="3" t="inlineStr">
        <is>
          <t>Draft contains SEO Use / QA approval wording.</t>
        </is>
      </c>
      <c r="K73" s="3" t="inlineStr">
        <is>
          <t>Description HTML no longer contains SEO Use, QA, approval, import or draft language.</t>
        </is>
      </c>
    </row>
    <row r="74" ht="84" customHeight="1">
      <c r="A74" s="2" t="inlineStr">
        <is>
          <t>ISSUE-0073</t>
        </is>
      </c>
      <c r="B74" s="2" t="inlineStr">
        <is>
          <t>jeminise.com+folklore-tree-of-life-in-celtic-knot-quilt-40ab1f6113-40ab1f6113</t>
        </is>
      </c>
      <c r="C74" s="2" t="inlineStr"/>
      <c r="D74" s="2" t="inlineStr">
        <is>
          <t>MAJOR</t>
        </is>
      </c>
      <c r="E74" s="2" t="inlineStr">
        <is>
          <t>h1_proposed</t>
        </is>
      </c>
      <c r="F74" s="2" t="inlineStr"/>
      <c r="G74" s="2" t="inlineStr">
        <is>
          <t>The submitted workbook row has no proposed H1.</t>
        </is>
      </c>
      <c r="H74" s="2" t="inlineStr">
        <is>
          <t>A publishable SEO title/H1 pair is incomplete when the H1 field is blank.</t>
        </is>
      </c>
      <c r="I74" s="2" t="inlineStr">
        <is>
          <t>Write one English H1 that matches the verified product type and visible design; do not copy unsupported claims.</t>
        </is>
      </c>
      <c r="J74" s="2" t="inlineStr">
        <is>
          <t>The submitted workbook row has no proposed H1.</t>
        </is>
      </c>
      <c r="K74" s="2" t="inlineStr">
        <is>
          <t>Workbook contains a non-empty H1 and it is consistent with title, primary keyword and live product evidence.</t>
        </is>
      </c>
    </row>
    <row r="75" ht="84" customHeight="1">
      <c r="A75" s="3" t="inlineStr">
        <is>
          <t>ISSUE-0074</t>
        </is>
      </c>
      <c r="B75" s="3" t="inlineStr">
        <is>
          <t>jeminise.com+folklore-tree-of-life-in-celtic-knot-quilt-40ab1f6113-40ab1f6113</t>
        </is>
      </c>
      <c r="C75" s="3" t="inlineStr"/>
      <c r="D75" s="3" t="inlineStr">
        <is>
          <t>MAJOR</t>
        </is>
      </c>
      <c r="E75" s="3" t="inlineStr">
        <is>
          <t>description_proposed_html</t>
        </is>
      </c>
      <c r="F75" s="3" t="inlineStr">
        <is>
          <t>&lt;p&gt;This Jeminise quilt set features black Tree of Life silhouette inside teal Celtic knot artwork with gold interlaced border, making it suited for fantasy rooms, nature-inspired decor, winter bedding or woodland themes.&lt;/p&gt;&lt;h3&gt;Design Details&lt;/h3&gt;&lt;ul&gt;&lt;li&gt;Visible artwork: black Tree of Life silhouette inside teal Celtic knot artwork with gold interlaced border.&lt;/li&gt;&lt;li&gt;Source product details include: Brand: Jeminise; Product Type: Quilt Set; Mate…</t>
        </is>
      </c>
      <c r="G75" s="3" t="inlineStr">
        <is>
          <t>The proposed description uses a repeated audience list (for example, animal rooms/faith gifts/nature-inspired decor) that is not specific to this product.</t>
        </is>
      </c>
      <c r="H75" s="3" t="inlineStr">
        <is>
          <t>Generic audience wording can be irrelevant or contradictory to the visible motif and is not evidence-led storefront copy.</t>
        </is>
      </c>
      <c r="I75" s="3" t="inlineStr">
        <is>
          <t>Replace it with concise English customer-facing copy tied only to the verified motif, product type, size/pillowcase choices and supported customizer control.</t>
        </is>
      </c>
      <c r="J75" s="3" t="inlineStr">
        <is>
          <t>The proposed description uses a repeated audience list (for example, animal rooms/faith gifts/nature-inspired decor) that is not specific to this product.</t>
        </is>
      </c>
      <c r="K75" s="3" t="inlineStr">
        <is>
          <t>Description contains no irrelevant template audience list and every remaining claim is supported by live/snapshot evidence.</t>
        </is>
      </c>
    </row>
    <row r="76" ht="84" customHeight="1">
      <c r="A76" s="2" t="inlineStr">
        <is>
          <t>ISSUE-0075</t>
        </is>
      </c>
      <c r="B76" s="2" t="inlineStr">
        <is>
          <t>jeminise.com+folklore-tree-of-life-in-celtic-knot-quilt-40ab1f6113-40ab1f6113</t>
        </is>
      </c>
      <c r="C76" s="2" t="inlineStr"/>
      <c r="D76" s="2" t="inlineStr">
        <is>
          <t>MINOR</t>
        </is>
      </c>
      <c r="E76" s="2" t="inlineStr">
        <is>
          <t>meta_description_seo</t>
        </is>
      </c>
      <c r="F76" s="2" t="inlineStr">
        <is>
          <t>Shop a quilt set featuring black Tree of Life silhouette inside teal Celtic knot artwork with gold interlaced border. Review size and personalization options before checkout.</t>
        </is>
      </c>
      <c r="G76" s="2" t="inlineStr">
        <is>
          <t>Meta description length is 174 characters.</t>
        </is>
      </c>
      <c r="H76" s="2" t="inlineStr">
        <is>
          <t>Likely to truncate in search results and repeats review/personality wording in several rows.</t>
        </is>
      </c>
      <c r="I76" s="2" t="inlineStr">
        <is>
          <t>Rewrite to roughly 145-155 characters while preserving verified design and product type.</t>
        </is>
      </c>
      <c r="J76" s="2" t="inlineStr">
        <is>
          <t>Meta description length is 174 characters.</t>
        </is>
      </c>
      <c r="K76" s="2" t="inlineStr">
        <is>
          <t>Length check &lt;=160 characters and no unsupported claim remains.</t>
        </is>
      </c>
    </row>
    <row r="77" ht="84" customHeight="1">
      <c r="A77" s="3" t="inlineStr">
        <is>
          <t>ISSUE-0076</t>
        </is>
      </c>
      <c r="B77" s="3" t="inlineStr">
        <is>
          <t>jeminise.com+folklore-tree-of-life-in-celtic-knot-quilt-40ab1f6113-40ab1f6113</t>
        </is>
      </c>
      <c r="C77" s="3" t="inlineStr"/>
      <c r="D77" s="3" t="inlineStr">
        <is>
          <t>LIMITATION</t>
        </is>
      </c>
      <c r="E77" s="3" t="inlineStr">
        <is>
          <t>keyword_evidence_level</t>
        </is>
      </c>
      <c r="F77" s="3" t="inlineStr">
        <is>
          <t>SERP_ONLY</t>
        </is>
      </c>
      <c r="G77" s="3" t="inlineStr">
        <is>
          <t>Only public SERP comparables are available.</t>
        </is>
      </c>
      <c r="H77" s="3" t="inlineStr">
        <is>
          <t>No Search Console, paid keyword volume or internal site search export was supplied.</t>
        </is>
      </c>
      <c r="I77" s="3" t="inlineStr">
        <is>
          <t>Keep demand statements qualitative; do not claim volume or ranking potential.</t>
        </is>
      </c>
      <c r="J77" s="3" t="inlineStr">
        <is>
          <t>Only public SERP comparables are available.</t>
        </is>
      </c>
      <c r="K77" s="3" t="inlineStr">
        <is>
          <t>Additional first-party or paid keyword evidence is attached, or limitation remains documented.</t>
        </is>
      </c>
    </row>
    <row r="78" ht="84" customHeight="1">
      <c r="A78" s="2" t="inlineStr">
        <is>
          <t>ISSUE-0077</t>
        </is>
      </c>
      <c r="B78" s="2" t="inlineStr">
        <is>
          <t>jeminise.com+folklore-tree-of-life-in-celtic-knot-quilt-40ab1f6113-40ab1f6113</t>
        </is>
      </c>
      <c r="C78" s="2" t="inlineStr">
        <is>
          <t>img_24559d3dd2689156</t>
        </is>
      </c>
      <c r="D78" s="2" t="inlineStr">
        <is>
          <t>MINOR</t>
        </is>
      </c>
      <c r="E78" s="2" t="inlineStr">
        <is>
          <t>alt text</t>
        </is>
      </c>
      <c r="F78" s="2" t="inlineStr">
        <is>
          <t>Celtic Knot Tree of Life Quilt Set displayed in a main product mockup</t>
        </is>
      </c>
      <c r="G78" s="2" t="inlineStr">
        <is>
          <t>Fresh image file: D:\Shopify_Workspace\jeminise_seo\seo_runs\jeminise.com\20260906_234129\qa\20260907_214000\images\149_01.jpg; source URL: https://cdn.shopify.com/s/files/1/0792/5098/1063/files/404ed5803f051b4bd7cf074f2d1676bab70b65623b4817a5ec6c069f82efdddf.jpg?v=1785103994</t>
        </is>
      </c>
      <c r="H78" s="2" t="inlineStr">
        <is>
          <t>Alt text is too generic or describes placement more than visible content.</t>
        </is>
      </c>
      <c r="I78" s="2" t="inlineStr">
        <is>
          <t>Rewrite observation/alt from the directly opened image, naming the visible motif and use context.</t>
        </is>
      </c>
      <c r="J78" s="2" t="inlineStr">
        <is>
          <t>Fresh image file: D:\Shopify_Workspace\jeminise_seo\seo_runs\jeminise.com\20260906_234129\qa\20260907_214000\images\149_01.jpg; source URL: https://cdn.shopify.com/s/files/1/0792/5098/1063/files/404ed5803f051b4bd7cf074f2d1676bab70b65623b4817a5ec6c069f82efdddf.jpg?v=1785103994</t>
        </is>
      </c>
      <c r="K78" s="2" t="inlineStr">
        <is>
          <t>The image row accurately describes the actual media at this gallery position.</t>
        </is>
      </c>
    </row>
    <row r="79" ht="84" customHeight="1">
      <c r="A79" s="3" t="inlineStr">
        <is>
          <t>ISSUE-0078</t>
        </is>
      </c>
      <c r="B79" s="3" t="inlineStr">
        <is>
          <t>jeminise.com+folklore-tree-of-life-in-celtic-knot-quilt-40ab1f6113-40ab1f6113</t>
        </is>
      </c>
      <c r="C79" s="3" t="inlineStr">
        <is>
          <t>img_ea1177c235b49339</t>
        </is>
      </c>
      <c r="D79" s="3" t="inlineStr">
        <is>
          <t>MINOR</t>
        </is>
      </c>
      <c r="E79" s="3" t="inlineStr">
        <is>
          <t>image observation</t>
        </is>
      </c>
      <c r="F79" s="3" t="inlineStr">
        <is>
          <t>Bedding type, feature, lifestyle or material image for Celtic knot Tree of Life quilt set.</t>
        </is>
      </c>
      <c r="G79" s="3" t="inlineStr">
        <is>
          <t>Fresh image file: D:\Shopify_Workspace\jeminise_seo\seo_runs\jeminise.com\20260906_234129\qa\20260907_214000\images\149_03.jpg; source URL: https://cdn.shopify.com/s/files/1/0792/5098/1063/files/d1059c276ace67802969ba6fb620ce50ca0b4fa72d02e7be1790b7d39ab41eb7.jpg?v=1785103994</t>
        </is>
      </c>
      <c r="H79" s="3" t="inlineStr">
        <is>
          <t>Observation is generic or position-based; rewrite from the actual image content.</t>
        </is>
      </c>
      <c r="I79" s="3" t="inlineStr">
        <is>
          <t>Rewrite observation/alt from the directly opened image, naming the visible motif and use context.</t>
        </is>
      </c>
      <c r="J79" s="3" t="inlineStr">
        <is>
          <t>Fresh image file: D:\Shopify_Workspace\jeminise_seo\seo_runs\jeminise.com\20260906_234129\qa\20260907_214000\images\149_03.jpg; source URL: https://cdn.shopify.com/s/files/1/0792/5098/1063/files/d1059c276ace67802969ba6fb620ce50ca0b4fa72d02e7be1790b7d39ab41eb7.jpg?v=1785103994</t>
        </is>
      </c>
      <c r="K79" s="3" t="inlineStr">
        <is>
          <t>The image row accurately describes the actual media at this gallery position.</t>
        </is>
      </c>
    </row>
    <row r="80" ht="84" customHeight="1">
      <c r="A80" s="2" t="inlineStr">
        <is>
          <t>ISSUE-0079</t>
        </is>
      </c>
      <c r="B80" s="2" t="inlineStr">
        <is>
          <t>jeminise.com+folklore-tree-of-life-in-celtic-knot-quilt-40ab1f6113-40ab1f6113</t>
        </is>
      </c>
      <c r="C80" s="2" t="inlineStr">
        <is>
          <t>img_fb28835756f38893</t>
        </is>
      </c>
      <c r="D80" s="2" t="inlineStr">
        <is>
          <t>MINOR</t>
        </is>
      </c>
      <c r="E80" s="2" t="inlineStr">
        <is>
          <t>image observation</t>
        </is>
      </c>
      <c r="F80" s="2" t="inlineStr">
        <is>
          <t>Detail, feature panel or lifestyle image connected to Celtic knot Tree of Life quilt set.</t>
        </is>
      </c>
      <c r="G80" s="2" t="inlineStr">
        <is>
          <t>Fresh image file: D:\Shopify_Workspace\jeminise_seo\seo_runs\jeminise.com\20260906_234129\qa\20260907_214000\images\149_04.jpg; source URL: https://cdn.shopify.com/s/files/1/0792/5098/1063/files/31555b0f52e5ce2dbc2f028f11c9e41272413a642740df0fff5d4479cdd052a8.jpg?v=1785103994</t>
        </is>
      </c>
      <c r="H80" s="2" t="inlineStr">
        <is>
          <t>Observation is generic or position-based; rewrite from the actual image content.</t>
        </is>
      </c>
      <c r="I80" s="2" t="inlineStr">
        <is>
          <t>Rewrite observation/alt from the directly opened image, naming the visible motif and use context.</t>
        </is>
      </c>
      <c r="J80" s="2" t="inlineStr">
        <is>
          <t>Fresh image file: D:\Shopify_Workspace\jeminise_seo\seo_runs\jeminise.com\20260906_234129\qa\20260907_214000\images\149_04.jpg; source URL: https://cdn.shopify.com/s/files/1/0792/5098/1063/files/31555b0f52e5ce2dbc2f028f11c9e41272413a642740df0fff5d4479cdd052a8.jpg?v=1785103994</t>
        </is>
      </c>
      <c r="K80" s="2" t="inlineStr">
        <is>
          <t>The image row accurately describes the actual media at this gallery position.</t>
        </is>
      </c>
    </row>
    <row r="81" ht="84" customHeight="1">
      <c r="A81" s="3" t="inlineStr">
        <is>
          <t>ISSUE-0080</t>
        </is>
      </c>
      <c r="B81" s="3" t="inlineStr">
        <is>
          <t>jeminise.com+folklore-tree-of-life-in-celtic-knot-quilt-40ab1f6113-40ab1f6113</t>
        </is>
      </c>
      <c r="C81" s="3" t="inlineStr">
        <is>
          <t>img_c596a17911b284e2</t>
        </is>
      </c>
      <c r="D81" s="3" t="inlineStr">
        <is>
          <t>MINOR</t>
        </is>
      </c>
      <c r="E81" s="3" t="inlineStr">
        <is>
          <t>image observation</t>
        </is>
      </c>
      <c r="F81" s="3" t="inlineStr">
        <is>
          <t>Easy-care, size guide or product feature image for Celtic knot Tree of Life quilt set.</t>
        </is>
      </c>
      <c r="G81" s="3" t="inlineStr">
        <is>
          <t>Fresh image file: D:\Shopify_Workspace\jeminise_seo\seo_runs\jeminise.com\20260906_234129\qa\20260907_214000\images\149_06.jpg; source URL: https://cdn.shopify.com/s/files/1/0792/5098/1063/files/0e97f0275ec81b9b8b4855997dfbe42687a5179966f4a4818b2567ed84c668b1.jpg?v=1785103994</t>
        </is>
      </c>
      <c r="H81" s="3" t="inlineStr">
        <is>
          <t>Observation is generic or position-based; rewrite from the actual image content.</t>
        </is>
      </c>
      <c r="I81" s="3" t="inlineStr">
        <is>
          <t>Rewrite observation/alt from the directly opened image, naming the visible motif and use context.</t>
        </is>
      </c>
      <c r="J81" s="3" t="inlineStr">
        <is>
          <t>Fresh image file: D:\Shopify_Workspace\jeminise_seo\seo_runs\jeminise.com\20260906_234129\qa\20260907_214000\images\149_06.jpg; source URL: https://cdn.shopify.com/s/files/1/0792/5098/1063/files/0e97f0275ec81b9b8b4855997dfbe42687a5179966f4a4818b2567ed84c668b1.jpg?v=1785103994</t>
        </is>
      </c>
      <c r="K81" s="3" t="inlineStr">
        <is>
          <t>The image row accurately describes the actual media at this gallery position.</t>
        </is>
      </c>
    </row>
    <row r="82" ht="84" customHeight="1">
      <c r="A82" s="2" t="inlineStr">
        <is>
          <t>ISSUE-0081</t>
        </is>
      </c>
      <c r="B82" s="2" t="inlineStr">
        <is>
          <t>jeminise.com+folklore-tree-of-life-in-celtic-knot-quilt-40ab1f6113-40ab1f6113</t>
        </is>
      </c>
      <c r="C82" s="2" t="inlineStr">
        <is>
          <t>img_d083792a903bfc27</t>
        </is>
      </c>
      <c r="D82" s="2" t="inlineStr">
        <is>
          <t>MINOR</t>
        </is>
      </c>
      <c r="E82" s="2" t="inlineStr">
        <is>
          <t>image observation</t>
        </is>
      </c>
      <c r="F82" s="2" t="inlineStr">
        <is>
          <t>Additional lifestyle, feature or product detail image showing Celtic knot Tree of Life quilt set.</t>
        </is>
      </c>
      <c r="G82" s="2" t="inlineStr">
        <is>
          <t>Fresh image file: D:\Shopify_Workspace\jeminise_seo\seo_runs\jeminise.com\20260906_234129\qa\20260907_214000\images\149_07.jpg; source URL: https://cdn.shopify.com/s/files/1/0792/5098/1063/files/c47177e42e8c147f5efe5d49253545313c2a7f4e815909b29b5c78cb601deb3c.jpg?v=1785103994</t>
        </is>
      </c>
      <c r="H82" s="2" t="inlineStr">
        <is>
          <t>Observation is generic or position-based; rewrite from the actual image content.</t>
        </is>
      </c>
      <c r="I82" s="2" t="inlineStr">
        <is>
          <t>Rewrite observation/alt from the directly opened image, naming the visible motif and use context.</t>
        </is>
      </c>
      <c r="J82" s="2" t="inlineStr">
        <is>
          <t>Fresh image file: D:\Shopify_Workspace\jeminise_seo\seo_runs\jeminise.com\20260906_234129\qa\20260907_214000\images\149_07.jpg; source URL: https://cdn.shopify.com/s/files/1/0792/5098/1063/files/c47177e42e8c147f5efe5d49253545313c2a7f4e815909b29b5c78cb601deb3c.jpg?v=1785103994</t>
        </is>
      </c>
      <c r="K82" s="2" t="inlineStr">
        <is>
          <t>The image row accurately describes the actual media at this gallery position.</t>
        </is>
      </c>
    </row>
    <row r="83" ht="84" customHeight="1">
      <c r="A83" s="3" t="inlineStr">
        <is>
          <t>ISSUE-0082</t>
        </is>
      </c>
      <c r="B83" s="3" t="inlineStr">
        <is>
          <t>jeminise.com+fox-patchwork-pattern-quilt-set-animal-quilt-set-patchwork-style</t>
        </is>
      </c>
      <c r="C83" s="3" t="inlineStr"/>
      <c r="D83" s="3" t="inlineStr">
        <is>
          <t>MAJOR</t>
        </is>
      </c>
      <c r="E83" s="3" t="inlineStr">
        <is>
          <t>description_proposed_html</t>
        </is>
      </c>
      <c r="F83" s="3" t="inlineStr">
        <is>
          <t>&lt;p&gt;This Jeminise quilt set features orange fox portrait inside a circular patchwork frame with blue, red and tan geometric accents, making it suited for fantasy rooms, nature-inspired decor, winter bedding or woodland themes.&lt;/p&gt;&lt;h3&gt;Design Details&lt;/h3&gt;&lt;ul&gt;&lt;li&gt;Visible artwork: orange fox portrait inside a circular patchwork frame with blue, red and tan geometric accents.&lt;/li&gt;&lt;li&gt;Source product details include: Brand: Jeminise; Product Type: Quilt…</t>
        </is>
      </c>
      <c r="G83" s="3" t="inlineStr">
        <is>
          <t>Draft contains SEO Use / QA approval wording.</t>
        </is>
      </c>
      <c r="H83" s="3" t="inlineStr">
        <is>
          <t>Internal workflow language is not publish-ready storefront copy.</t>
        </is>
      </c>
      <c r="I83" s="3" t="inlineStr">
        <is>
          <t>Remove internal QA/import block and replace with customer-facing verified copy.</t>
        </is>
      </c>
      <c r="J83" s="3" t="inlineStr">
        <is>
          <t>Draft contains SEO Use / QA approval wording.</t>
        </is>
      </c>
      <c r="K83" s="3" t="inlineStr">
        <is>
          <t>Description HTML no longer contains SEO Use, QA, approval, import or draft language.</t>
        </is>
      </c>
    </row>
    <row r="84" ht="84" customHeight="1">
      <c r="A84" s="2" t="inlineStr">
        <is>
          <t>ISSUE-0083</t>
        </is>
      </c>
      <c r="B84" s="2" t="inlineStr">
        <is>
          <t>jeminise.com+fox-patchwork-pattern-quilt-set-animal-quilt-set-patchwork-style</t>
        </is>
      </c>
      <c r="C84" s="2" t="inlineStr"/>
      <c r="D84" s="2" t="inlineStr">
        <is>
          <t>MAJOR</t>
        </is>
      </c>
      <c r="E84" s="2" t="inlineStr">
        <is>
          <t>h1_proposed</t>
        </is>
      </c>
      <c r="F84" s="2" t="inlineStr"/>
      <c r="G84" s="2" t="inlineStr">
        <is>
          <t>The submitted workbook row has no proposed H1.</t>
        </is>
      </c>
      <c r="H84" s="2" t="inlineStr">
        <is>
          <t>A publishable SEO title/H1 pair is incomplete when the H1 field is blank.</t>
        </is>
      </c>
      <c r="I84" s="2" t="inlineStr">
        <is>
          <t>Write one English H1 that matches the verified product type and visible design; do not copy unsupported claims.</t>
        </is>
      </c>
      <c r="J84" s="2" t="inlineStr">
        <is>
          <t>The submitted workbook row has no proposed H1.</t>
        </is>
      </c>
      <c r="K84" s="2" t="inlineStr">
        <is>
          <t>Workbook contains a non-empty H1 and it is consistent with title, primary keyword and live product evidence.</t>
        </is>
      </c>
    </row>
    <row r="85" ht="84" customHeight="1">
      <c r="A85" s="3" t="inlineStr">
        <is>
          <t>ISSUE-0084</t>
        </is>
      </c>
      <c r="B85" s="3" t="inlineStr">
        <is>
          <t>jeminise.com+fox-patchwork-pattern-quilt-set-animal-quilt-set-patchwork-style</t>
        </is>
      </c>
      <c r="C85" s="3" t="inlineStr"/>
      <c r="D85" s="3" t="inlineStr">
        <is>
          <t>MAJOR</t>
        </is>
      </c>
      <c r="E85" s="3" t="inlineStr">
        <is>
          <t>description_proposed_html</t>
        </is>
      </c>
      <c r="F85" s="3" t="inlineStr">
        <is>
          <t>&lt;p&gt;This Jeminise quilt set features orange fox portrait inside a circular patchwork frame with blue, red and tan geometric accents, making it suited for fantasy rooms, nature-inspired decor, winter bedding or woodland themes.&lt;/p&gt;&lt;h3&gt;Design Details&lt;/h3&gt;&lt;ul&gt;&lt;li&gt;Visible artwork: orange fox portrait inside a circular patchwork frame with blue, red and tan geometric accents.&lt;/li&gt;&lt;li&gt;Source product details include: Brand: Jeminise; Product Type: Quilt…</t>
        </is>
      </c>
      <c r="G85" s="3" t="inlineStr">
        <is>
          <t>The proposed description uses a repeated audience list (for example, animal rooms/faith gifts/nature-inspired decor) that is not specific to this product.</t>
        </is>
      </c>
      <c r="H85" s="3" t="inlineStr">
        <is>
          <t>Generic audience wording can be irrelevant or contradictory to the visible motif and is not evidence-led storefront copy.</t>
        </is>
      </c>
      <c r="I85" s="3" t="inlineStr">
        <is>
          <t>Replace it with concise English customer-facing copy tied only to the verified motif, product type, size/pillowcase choices and supported customizer control.</t>
        </is>
      </c>
      <c r="J85" s="3" t="inlineStr">
        <is>
          <t>The proposed description uses a repeated audience list (for example, animal rooms/faith gifts/nature-inspired decor) that is not specific to this product.</t>
        </is>
      </c>
      <c r="K85" s="3" t="inlineStr">
        <is>
          <t>Description contains no irrelevant template audience list and every remaining claim is supported by live/snapshot evidence.</t>
        </is>
      </c>
    </row>
    <row r="86" ht="84" customHeight="1">
      <c r="A86" s="2" t="inlineStr">
        <is>
          <t>ISSUE-0085</t>
        </is>
      </c>
      <c r="B86" s="2" t="inlineStr">
        <is>
          <t>jeminise.com+fox-patchwork-pattern-quilt-set-animal-quilt-set-patchwork-style</t>
        </is>
      </c>
      <c r="C86" s="2" t="inlineStr"/>
      <c r="D86" s="2" t="inlineStr">
        <is>
          <t>MINOR</t>
        </is>
      </c>
      <c r="E86" s="2" t="inlineStr">
        <is>
          <t>meta_description_seo</t>
        </is>
      </c>
      <c r="F86" s="2" t="inlineStr">
        <is>
          <t>Shop a quilt set featuring orange fox portrait inside a circular patchwork frame with blue, red and tan geometric accents. Review size and personalization options before checkout.</t>
        </is>
      </c>
      <c r="G86" s="2" t="inlineStr">
        <is>
          <t>Meta description length is 179 characters.</t>
        </is>
      </c>
      <c r="H86" s="2" t="inlineStr">
        <is>
          <t>Likely to truncate in search results and repeats review/personality wording in several rows.</t>
        </is>
      </c>
      <c r="I86" s="2" t="inlineStr">
        <is>
          <t>Rewrite to roughly 145-155 characters while preserving verified design and product type.</t>
        </is>
      </c>
      <c r="J86" s="2" t="inlineStr">
        <is>
          <t>Meta description length is 179 characters.</t>
        </is>
      </c>
      <c r="K86" s="2" t="inlineStr">
        <is>
          <t>Length check &lt;=160 characters and no unsupported claim remains.</t>
        </is>
      </c>
    </row>
    <row r="87" ht="84" customHeight="1">
      <c r="A87" s="3" t="inlineStr">
        <is>
          <t>ISSUE-0086</t>
        </is>
      </c>
      <c r="B87" s="3" t="inlineStr">
        <is>
          <t>jeminise.com+fox-patchwork-pattern-quilt-set-animal-quilt-set-patchwork-style</t>
        </is>
      </c>
      <c r="C87" s="3" t="inlineStr"/>
      <c r="D87" s="3" t="inlineStr">
        <is>
          <t>LIMITATION</t>
        </is>
      </c>
      <c r="E87" s="3" t="inlineStr">
        <is>
          <t>keyword_evidence_level</t>
        </is>
      </c>
      <c r="F87" s="3" t="inlineStr">
        <is>
          <t>SERP_ONLY</t>
        </is>
      </c>
      <c r="G87" s="3" t="inlineStr">
        <is>
          <t>Only public SERP comparables are available.</t>
        </is>
      </c>
      <c r="H87" s="3" t="inlineStr">
        <is>
          <t>No Search Console, paid keyword volume or internal site search export was supplied.</t>
        </is>
      </c>
      <c r="I87" s="3" t="inlineStr">
        <is>
          <t>Keep demand statements qualitative; do not claim volume or ranking potential.</t>
        </is>
      </c>
      <c r="J87" s="3" t="inlineStr">
        <is>
          <t>Only public SERP comparables are available.</t>
        </is>
      </c>
      <c r="K87" s="3" t="inlineStr">
        <is>
          <t>Additional first-party or paid keyword evidence is attached, or limitation remains documented.</t>
        </is>
      </c>
    </row>
    <row r="88" ht="84" customHeight="1">
      <c r="A88" s="2" t="inlineStr">
        <is>
          <t>ISSUE-0087</t>
        </is>
      </c>
      <c r="B88" s="2" t="inlineStr">
        <is>
          <t>jeminise.com+fox-patchwork-pattern-quilt-set-animal-quilt-set-patchwork-style</t>
        </is>
      </c>
      <c r="C88" s="2" t="inlineStr">
        <is>
          <t>img_a092cb9907ec9633</t>
        </is>
      </c>
      <c r="D88" s="2" t="inlineStr">
        <is>
          <t>MINOR</t>
        </is>
      </c>
      <c r="E88" s="2" t="inlineStr">
        <is>
          <t>alt text</t>
        </is>
      </c>
      <c r="F88" s="2" t="inlineStr">
        <is>
          <t>Fox Patchwork Animal Quilt Set displayed in a main product mockup</t>
        </is>
      </c>
      <c r="G88" s="2" t="inlineStr">
        <is>
          <t>Fresh image file: D:\Shopify_Workspace\jeminise_seo\seo_runs\jeminise.com\20260906_234129\qa\20260907_214000\images\150_01.jpg; source URL: https://cdn.shopify.com/s/files/1/0792/5098/1063/files/988722264f93b7f929168547b94fc3474fc0ce389c8526bb822d4377a564c29d.jpg?v=1787233669</t>
        </is>
      </c>
      <c r="H88" s="2" t="inlineStr">
        <is>
          <t>Alt text is too generic or describes placement more than visible content.</t>
        </is>
      </c>
      <c r="I88" s="2" t="inlineStr">
        <is>
          <t>Rewrite observation/alt from the directly opened image, naming the visible motif and use context.</t>
        </is>
      </c>
      <c r="J88" s="2" t="inlineStr">
        <is>
          <t>Fresh image file: D:\Shopify_Workspace\jeminise_seo\seo_runs\jeminise.com\20260906_234129\qa\20260907_214000\images\150_01.jpg; source URL: https://cdn.shopify.com/s/files/1/0792/5098/1063/files/988722264f93b7f929168547b94fc3474fc0ce389c8526bb822d4377a564c29d.jpg?v=1787233669</t>
        </is>
      </c>
      <c r="K88" s="2" t="inlineStr">
        <is>
          <t>The image row accurately describes the actual media at this gallery position.</t>
        </is>
      </c>
    </row>
    <row r="89" ht="84" customHeight="1">
      <c r="A89" s="3" t="inlineStr">
        <is>
          <t>ISSUE-0088</t>
        </is>
      </c>
      <c r="B89" s="3" t="inlineStr">
        <is>
          <t>jeminise.com+fox-patchwork-pattern-quilt-set-animal-quilt-set-patchwork-style</t>
        </is>
      </c>
      <c r="C89" s="3" t="inlineStr">
        <is>
          <t>img_62c8c1a0c2ce8611</t>
        </is>
      </c>
      <c r="D89" s="3" t="inlineStr">
        <is>
          <t>MINOR</t>
        </is>
      </c>
      <c r="E89" s="3" t="inlineStr">
        <is>
          <t>image observation</t>
        </is>
      </c>
      <c r="F89" s="3" t="inlineStr">
        <is>
          <t>Bedding type, feature, lifestyle or material image for fox patchwork animal quilt set.</t>
        </is>
      </c>
      <c r="G89" s="3" t="inlineStr">
        <is>
          <t>Fresh image file: D:\Shopify_Workspace\jeminise_seo\seo_runs\jeminise.com\20260906_234129\qa\20260907_214000\images\150_03.jpg; source URL: https://cdn.shopify.com/s/files/1/0792/5098/1063/files/a2cb5e690cb249a856de7836f6eb3260f06f9a5d599fedfdf7d545401e0282f0.jpg?v=1787233669</t>
        </is>
      </c>
      <c r="H89" s="3" t="inlineStr">
        <is>
          <t>Observation is generic or position-based; rewrite from the actual image content.</t>
        </is>
      </c>
      <c r="I89" s="3" t="inlineStr">
        <is>
          <t>Rewrite observation/alt from the directly opened image, naming the visible motif and use context.</t>
        </is>
      </c>
      <c r="J89" s="3" t="inlineStr">
        <is>
          <t>Fresh image file: D:\Shopify_Workspace\jeminise_seo\seo_runs\jeminise.com\20260906_234129\qa\20260907_214000\images\150_03.jpg; source URL: https://cdn.shopify.com/s/files/1/0792/5098/1063/files/a2cb5e690cb249a856de7836f6eb3260f06f9a5d599fedfdf7d545401e0282f0.jpg?v=1787233669</t>
        </is>
      </c>
      <c r="K89" s="3" t="inlineStr">
        <is>
          <t>The image row accurately describes the actual media at this gallery position.</t>
        </is>
      </c>
    </row>
    <row r="90" ht="84" customHeight="1">
      <c r="A90" s="2" t="inlineStr">
        <is>
          <t>ISSUE-0089</t>
        </is>
      </c>
      <c r="B90" s="2" t="inlineStr">
        <is>
          <t>jeminise.com+fox-patchwork-pattern-quilt-set-animal-quilt-set-patchwork-style</t>
        </is>
      </c>
      <c r="C90" s="2" t="inlineStr">
        <is>
          <t>img_09217e0231a070e8</t>
        </is>
      </c>
      <c r="D90" s="2" t="inlineStr">
        <is>
          <t>MINOR</t>
        </is>
      </c>
      <c r="E90" s="2" t="inlineStr">
        <is>
          <t>image observation</t>
        </is>
      </c>
      <c r="F90" s="2" t="inlineStr">
        <is>
          <t>Detail, feature panel or lifestyle image connected to fox patchwork animal quilt set.</t>
        </is>
      </c>
      <c r="G90" s="2" t="inlineStr">
        <is>
          <t>Fresh image file: D:\Shopify_Workspace\jeminise_seo\seo_runs\jeminise.com\20260906_234129\qa\20260907_214000\images\150_04.jpg; source URL: https://cdn.shopify.com/s/files/1/0792/5098/1063/files/a4fb818afb81b9c4913d6d39542326bd6d4fe7c92d81e82f96d3c35eb4d087ca.jpg?v=1787233669</t>
        </is>
      </c>
      <c r="H90" s="2" t="inlineStr">
        <is>
          <t>Observation is generic or position-based; rewrite from the actual image content.</t>
        </is>
      </c>
      <c r="I90" s="2" t="inlineStr">
        <is>
          <t>Rewrite observation/alt from the directly opened image, naming the visible motif and use context.</t>
        </is>
      </c>
      <c r="J90" s="2" t="inlineStr">
        <is>
          <t>Fresh image file: D:\Shopify_Workspace\jeminise_seo\seo_runs\jeminise.com\20260906_234129\qa\20260907_214000\images\150_04.jpg; source URL: https://cdn.shopify.com/s/files/1/0792/5098/1063/files/a4fb818afb81b9c4913d6d39542326bd6d4fe7c92d81e82f96d3c35eb4d087ca.jpg?v=1787233669</t>
        </is>
      </c>
      <c r="K90" s="2" t="inlineStr">
        <is>
          <t>The image row accurately describes the actual media at this gallery position.</t>
        </is>
      </c>
    </row>
    <row r="91" ht="84" customHeight="1">
      <c r="A91" s="3" t="inlineStr">
        <is>
          <t>ISSUE-0090</t>
        </is>
      </c>
      <c r="B91" s="3" t="inlineStr">
        <is>
          <t>jeminise.com+fox-patchwork-pattern-quilt-set-animal-quilt-set-patchwork-style</t>
        </is>
      </c>
      <c r="C91" s="3" t="inlineStr">
        <is>
          <t>img_cb83375f0fcf62ca</t>
        </is>
      </c>
      <c r="D91" s="3" t="inlineStr">
        <is>
          <t>MINOR</t>
        </is>
      </c>
      <c r="E91" s="3" t="inlineStr">
        <is>
          <t>image observation</t>
        </is>
      </c>
      <c r="F91" s="3" t="inlineStr">
        <is>
          <t>Easy-care, size guide or product feature image for fox patchwork animal quilt set.</t>
        </is>
      </c>
      <c r="G91" s="3" t="inlineStr">
        <is>
          <t>Fresh image file: D:\Shopify_Workspace\jeminise_seo\seo_runs\jeminise.com\20260906_234129\qa\20260907_214000\images\150_06.jpg; source URL: https://cdn.shopify.com/s/files/1/0792/5098/1063/files/d20c2c33933f1f653a3f3f47666f0c1c2efb2135959e0e0ddbdd4bff35474308.jpg?v=1787233669</t>
        </is>
      </c>
      <c r="H91" s="3" t="inlineStr">
        <is>
          <t>Observation is generic or position-based; rewrite from the actual image content.</t>
        </is>
      </c>
      <c r="I91" s="3" t="inlineStr">
        <is>
          <t>Rewrite observation/alt from the directly opened image, naming the visible motif and use context.</t>
        </is>
      </c>
      <c r="J91" s="3" t="inlineStr">
        <is>
          <t>Fresh image file: D:\Shopify_Workspace\jeminise_seo\seo_runs\jeminise.com\20260906_234129\qa\20260907_214000\images\150_06.jpg; source URL: https://cdn.shopify.com/s/files/1/0792/5098/1063/files/d20c2c33933f1f653a3f3f47666f0c1c2efb2135959e0e0ddbdd4bff35474308.jpg?v=1787233669</t>
        </is>
      </c>
      <c r="K91" s="3" t="inlineStr">
        <is>
          <t>The image row accurately describes the actual media at this gallery position.</t>
        </is>
      </c>
    </row>
    <row r="92" ht="84" customHeight="1">
      <c r="A92" s="2" t="inlineStr">
        <is>
          <t>ISSUE-0091</t>
        </is>
      </c>
      <c r="B92" s="2" t="inlineStr">
        <is>
          <t>jeminise.com+fox-patchwork-pattern-quilt-set-animal-quilt-set-patchwork-style</t>
        </is>
      </c>
      <c r="C92" s="2" t="inlineStr">
        <is>
          <t>img_433594314a2b0e61</t>
        </is>
      </c>
      <c r="D92" s="2" t="inlineStr">
        <is>
          <t>MINOR</t>
        </is>
      </c>
      <c r="E92" s="2" t="inlineStr">
        <is>
          <t>image observation</t>
        </is>
      </c>
      <c r="F92" s="2" t="inlineStr">
        <is>
          <t>Additional lifestyle, feature or product detail image showing fox patchwork animal quilt set.</t>
        </is>
      </c>
      <c r="G92" s="2" t="inlineStr">
        <is>
          <t>Fresh image file: D:\Shopify_Workspace\jeminise_seo\seo_runs\jeminise.com\20260906_234129\qa\20260907_214000\images\150_07.jpg; source URL: https://cdn.shopify.com/s/files/1/0792/5098/1063/files/2da7f736cf6f750ba52277e2af1fa4fb70311ada87fb3eab2e27bf613bac4d55.jpg?v=1787233669</t>
        </is>
      </c>
      <c r="H92" s="2" t="inlineStr">
        <is>
          <t>Observation is generic or position-based; rewrite from the actual image content.</t>
        </is>
      </c>
      <c r="I92" s="2" t="inlineStr">
        <is>
          <t>Rewrite observation/alt from the directly opened image, naming the visible motif and use context.</t>
        </is>
      </c>
      <c r="J92" s="2" t="inlineStr">
        <is>
          <t>Fresh image file: D:\Shopify_Workspace\jeminise_seo\seo_runs\jeminise.com\20260906_234129\qa\20260907_214000\images\150_07.jpg; source URL: https://cdn.shopify.com/s/files/1/0792/5098/1063/files/2da7f736cf6f750ba52277e2af1fa4fb70311ada87fb3eab2e27bf613bac4d55.jpg?v=1787233669</t>
        </is>
      </c>
      <c r="K92" s="2" t="inlineStr">
        <is>
          <t>The image row accurately describes the actual media at this gallery position.</t>
        </is>
      </c>
    </row>
  </sheetData>
  <autoFilter ref="A1:K92"/>
  <conditionalFormatting sqref="D2:D92">
    <cfRule type="expression" priority="1" dxfId="3">
      <formula>D2="CRITICAL"</formula>
    </cfRule>
    <cfRule type="expression" priority="2" dxfId="2">
      <formula>D2="MAJOR"</formula>
    </cfRule>
    <cfRule type="expression" priority="3" dxfId="1">
      <formula>D2="MINOR"</formula>
    </cfRule>
    <cfRule type="expression" priority="4" dxfId="4">
      <formula>D2="LIMITATION"</formula>
    </cfRule>
  </conditionalFormatting>
  <printOptions horizontalCentered="0"/>
  <pageMargins left="0.25" right="0.25" top="0.5" bottom="0.5" header="0.5" footer="0.5"/>
  <pageSetup orientation="landscape" fitToHeight="0" fitToWidth="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2026-09-07T14:54:17Z</dcterms:created>
  <dcterms:modified xmlns:dcterms="http://purl.org/dc/terms/" xmlns:xsi="http://www.w3.org/2001/XMLSchema-instance" xsi:type="dcterms:W3CDTF">2026-09-07T14:54:18Z</dcterms:modified>
</cp:coreProperties>
</file>