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'QA_Images'!$A$1:$Z$69</definedName>
    <definedName name="_xlnm.Print_Titles" localSheetId="3">'QA_Images'!$1:$1</definedName>
    <definedName name="_xlnm._FilterDatabase" localSheetId="4" hidden="1">'QA_Issues'!$A$1:$K$89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wolf-wearing-headdress-centered-close-up-comforter-with-wolf-head-2d14ed690a-2d14ed690a" TargetMode="External" Id="rId1"/><Relationship Type="http://schemas.openxmlformats.org/officeDocument/2006/relationships/hyperlink" Target="https://jeminise.com/products/decorative-softball-bedding-set-bright-teal-yellow-sports-comforter" TargetMode="External" Id="rId2"/><Relationship Type="http://schemas.openxmlformats.org/officeDocument/2006/relationships/hyperlink" Target="https://jeminise.com/products/desert-cactus-printed-quilt-set-vibrant-cactus-flower-quilt" TargetMode="External" Id="rId3"/><Relationship Type="http://schemas.openxmlformats.org/officeDocument/2006/relationships/hyperlink" Target="https://jeminise.com/products/dragonfly-couple-quilt-set-dragonflies-patchwork-style-quilt-set" TargetMode="External" Id="rId4"/><Relationship Type="http://schemas.openxmlformats.org/officeDocument/2006/relationships/hyperlink" Target="https://jeminise.com/products/dragonfly-patchwork-pattern-quilt-set-animal-style-dragonfly-quilt" TargetMode="External" Id="rId5"/><Relationship Type="http://schemas.openxmlformats.org/officeDocument/2006/relationships/hyperlink" Target="https://jeminise.com/products/dragonfly-patchwork-quilt-set-animal-patchwork-bedset-dragonfly" TargetMode="External" Id="rId6"/><Relationship Type="http://schemas.openxmlformats.org/officeDocument/2006/relationships/hyperlink" Target="https://jeminise.com/products/dragonfly-pattern-quilt-set-dragonflies-vintage-quilt-set-patchwork" TargetMode="External" Id="rId7"/><Relationship Type="http://schemas.openxmlformats.org/officeDocument/2006/relationships/hyperlink" Target="https://jeminise.com/products/elephant-patchwork-pattern-quilt-set-animal-farmhouse-quilt-set" TargetMode="External" Id="rId8"/><Relationship Type="http://schemas.openxmlformats.org/officeDocument/2006/relationships/hyperlink" Target="https://jeminise.com/products/elephant-quilt-set-animal-patchwork-printed-quilt-bedset-patchwork" TargetMode="External" Id="rId9"/><Relationship Type="http://schemas.openxmlformats.org/officeDocument/2006/relationships/hyperlink" Target="https://jeminise.com/products/fantasy-art-fantasy-dragon-comforter-set-with-dragon-scales-and-bedroom-setting-239aaba3e2-239aaba3e2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2889ae2e14818c2ed38210a813cef7474bdb31334189e1106e1b8056cb8d48a.jpg?v=1785181780" TargetMode="External" Id="rId1"/><Relationship Type="http://schemas.openxmlformats.org/officeDocument/2006/relationships/hyperlink" Target="https://cdn.shopify.com/s/files/1/0792/5098/1063/files/92889ae2e14818c2ed38210a813cef7474bdb31334189e1106e1b8056cb8d48a.jpg?v=1785181780" TargetMode="External" Id="rId2"/><Relationship Type="http://schemas.openxmlformats.org/officeDocument/2006/relationships/hyperlink" Target="https://cdn.shopify.com/s/files/1/0792/5098/1063/files/6780696a234f9720015ee9b9c93338841293be8048375b110e6b019b7f206972.jpg?v=1785181780" TargetMode="External" Id="rId3"/><Relationship Type="http://schemas.openxmlformats.org/officeDocument/2006/relationships/hyperlink" Target="https://cdn.shopify.com/s/files/1/0792/5098/1063/files/6780696a234f9720015ee9b9c93338841293be8048375b110e6b019b7f206972.jpg?v=1785181780" TargetMode="External" Id="rId4"/><Relationship Type="http://schemas.openxmlformats.org/officeDocument/2006/relationships/hyperlink" Target="https://cdn.shopify.com/s/files/1/0792/5098/1063/files/c5f1e9f26e5f5d1ba252fdde92d03d6e58741e2af050efdb42c25140eed476f0.jpg?v=1785181780" TargetMode="External" Id="rId5"/><Relationship Type="http://schemas.openxmlformats.org/officeDocument/2006/relationships/hyperlink" Target="https://cdn.shopify.com/s/files/1/0792/5098/1063/files/c5f1e9f26e5f5d1ba252fdde92d03d6e58741e2af050efdb42c25140eed476f0.jpg?v=1785181780" TargetMode="External" Id="rId6"/><Relationship Type="http://schemas.openxmlformats.org/officeDocument/2006/relationships/hyperlink" Target="https://cdn.shopify.com/s/files/1/0792/5098/1063/files/14aaabea2124b54051697a823a42ef1f82eec7c15afe73fbe828a4abe59c4de9.jpg?v=1785181780" TargetMode="External" Id="rId7"/><Relationship Type="http://schemas.openxmlformats.org/officeDocument/2006/relationships/hyperlink" Target="https://cdn.shopify.com/s/files/1/0792/5098/1063/files/14aaabea2124b54051697a823a42ef1f82eec7c15afe73fbe828a4abe59c4de9.jpg?v=1785181780" TargetMode="External" Id="rId8"/><Relationship Type="http://schemas.openxmlformats.org/officeDocument/2006/relationships/hyperlink" Target="https://cdn.shopify.com/s/files/1/0792/5098/1063/files/54b560acfc2309c6e54de79f260dbc8b25a831dbb5451155f199e2f18c6de26f.jpg?v=1785181780" TargetMode="External" Id="rId9"/><Relationship Type="http://schemas.openxmlformats.org/officeDocument/2006/relationships/hyperlink" Target="https://cdn.shopify.com/s/files/1/0792/5098/1063/files/54b560acfc2309c6e54de79f260dbc8b25a831dbb5451155f199e2f18c6de26f.jpg?v=1785181780" TargetMode="External" Id="rId10"/><Relationship Type="http://schemas.openxmlformats.org/officeDocument/2006/relationships/hyperlink" Target="https://cdn.shopify.com/s/files/1/0792/5098/1063/files/ec97adcabc8efa3e254940c29049d3f991d3a9337b05911f84ea8ee1e4dc827f.jpg?v=1787245095" TargetMode="External" Id="rId11"/><Relationship Type="http://schemas.openxmlformats.org/officeDocument/2006/relationships/hyperlink" Target="https://cdn.shopify.com/s/files/1/0792/5098/1063/files/ec97adcabc8efa3e254940c29049d3f991d3a9337b05911f84ea8ee1e4dc827f.jpg?v=1787245095" TargetMode="External" Id="rId12"/><Relationship Type="http://schemas.openxmlformats.org/officeDocument/2006/relationships/hyperlink" Target="https://cdn.shopify.com/s/files/1/0792/5098/1063/files/d7503bacc7f6d9ff6e596431535bde71b183c24e628ed343ec4d212342e94a2c.jpg?v=1787245095" TargetMode="External" Id="rId13"/><Relationship Type="http://schemas.openxmlformats.org/officeDocument/2006/relationships/hyperlink" Target="https://cdn.shopify.com/s/files/1/0792/5098/1063/files/d7503bacc7f6d9ff6e596431535bde71b183c24e628ed343ec4d212342e94a2c.jpg?v=1787245095" TargetMode="External" Id="rId14"/><Relationship Type="http://schemas.openxmlformats.org/officeDocument/2006/relationships/hyperlink" Target="https://cdn.shopify.com/s/files/1/0792/5098/1063/files/cffe01e1a1e7bed1e6043f6e14c2100a75aca18cc91d024dbdcecb4a7afc1610.jpg?v=1787245095" TargetMode="External" Id="rId15"/><Relationship Type="http://schemas.openxmlformats.org/officeDocument/2006/relationships/hyperlink" Target="https://cdn.shopify.com/s/files/1/0792/5098/1063/files/cffe01e1a1e7bed1e6043f6e14c2100a75aca18cc91d024dbdcecb4a7afc1610.jpg?v=1787245095" TargetMode="External" Id="rId16"/><Relationship Type="http://schemas.openxmlformats.org/officeDocument/2006/relationships/hyperlink" Target="https://cdn.shopify.com/s/files/1/0792/5098/1063/files/db47f0f7b6817858384f030ea739319624c4056d400311d5807f651e82dc7728.jpg?v=1787245095" TargetMode="External" Id="rId17"/><Relationship Type="http://schemas.openxmlformats.org/officeDocument/2006/relationships/hyperlink" Target="https://cdn.shopify.com/s/files/1/0792/5098/1063/files/db47f0f7b6817858384f030ea739319624c4056d400311d5807f651e82dc7728.jpg?v=1787245095" TargetMode="External" Id="rId18"/><Relationship Type="http://schemas.openxmlformats.org/officeDocument/2006/relationships/hyperlink" Target="https://cdn.shopify.com/s/files/1/0792/5098/1063/files/da783a46c1d59651c1f03f4f44957813c77d2ce7ae9cf2692cbf04e9cf156b59.jpg?v=1787245095" TargetMode="External" Id="rId19"/><Relationship Type="http://schemas.openxmlformats.org/officeDocument/2006/relationships/hyperlink" Target="https://cdn.shopify.com/s/files/1/0792/5098/1063/files/da783a46c1d59651c1f03f4f44957813c77d2ce7ae9cf2692cbf04e9cf156b59.jpg?v=1787245095" TargetMode="External" Id="rId20"/><Relationship Type="http://schemas.openxmlformats.org/officeDocument/2006/relationships/hyperlink" Target="https://cdn.shopify.com/s/files/1/0792/5098/1063/files/b5c74b68d1b4eff2209b7123e3fbe61d1e31afd73aa5ba647e17c194e2e66c44_e2d41659-6c8c-419e-86d5-a85ddbe5da64.jpg?v=1787245095" TargetMode="External" Id="rId21"/><Relationship Type="http://schemas.openxmlformats.org/officeDocument/2006/relationships/hyperlink" Target="https://cdn.shopify.com/s/files/1/0792/5098/1063/files/b5c74b68d1b4eff2209b7123e3fbe61d1e31afd73aa5ba647e17c194e2e66c44_e2d41659-6c8c-419e-86d5-a85ddbe5da64.jpg?v=1787245095" TargetMode="External" Id="rId22"/><Relationship Type="http://schemas.openxmlformats.org/officeDocument/2006/relationships/hyperlink" Target="https://cdn.shopify.com/s/files/1/0792/5098/1063/files/a0ebf0c8e5cb1f2c8f924529805ea1d20494460dd41a740514b8862f5d5a2f4f_3a7b01aa-57a9-43ee-87d3-d5e21d88e02d.jpg?v=1787245095" TargetMode="External" Id="rId23"/><Relationship Type="http://schemas.openxmlformats.org/officeDocument/2006/relationships/hyperlink" Target="https://cdn.shopify.com/s/files/1/0792/5098/1063/files/a0ebf0c8e5cb1f2c8f924529805ea1d20494460dd41a740514b8862f5d5a2f4f_3a7b01aa-57a9-43ee-87d3-d5e21d88e02d.jpg?v=1787245095" TargetMode="External" Id="rId24"/><Relationship Type="http://schemas.openxmlformats.org/officeDocument/2006/relationships/hyperlink" Target="https://cdn.shopify.com/s/files/1/0792/5098/1063/files/18de86df55ee2186c85090364933216593d0955584ba88ec7dd6634f2a6788a1.jpg?v=1786561918" TargetMode="External" Id="rId25"/><Relationship Type="http://schemas.openxmlformats.org/officeDocument/2006/relationships/hyperlink" Target="https://cdn.shopify.com/s/files/1/0792/5098/1063/files/18de86df55ee2186c85090364933216593d0955584ba88ec7dd6634f2a6788a1.jpg?v=1786561918" TargetMode="External" Id="rId26"/><Relationship Type="http://schemas.openxmlformats.org/officeDocument/2006/relationships/hyperlink" Target="https://cdn.shopify.com/s/files/1/0792/5098/1063/files/41cd150da991662f498f64cfce7134d21023ada8fbfddd5434365366aa526153.jpg?v=1786561918" TargetMode="External" Id="rId27"/><Relationship Type="http://schemas.openxmlformats.org/officeDocument/2006/relationships/hyperlink" Target="https://cdn.shopify.com/s/files/1/0792/5098/1063/files/41cd150da991662f498f64cfce7134d21023ada8fbfddd5434365366aa526153.jpg?v=1786561918" TargetMode="External" Id="rId28"/><Relationship Type="http://schemas.openxmlformats.org/officeDocument/2006/relationships/hyperlink" Target="https://cdn.shopify.com/s/files/1/0792/5098/1063/files/718839a9f2c1f01c8943003b18af6794c1cb3cc2135dcf804f2d741f1de6762b.jpg?v=1786561918" TargetMode="External" Id="rId29"/><Relationship Type="http://schemas.openxmlformats.org/officeDocument/2006/relationships/hyperlink" Target="https://cdn.shopify.com/s/files/1/0792/5098/1063/files/718839a9f2c1f01c8943003b18af6794c1cb3cc2135dcf804f2d741f1de6762b.jpg?v=1786561918" TargetMode="External" Id="rId30"/><Relationship Type="http://schemas.openxmlformats.org/officeDocument/2006/relationships/hyperlink" Target="https://cdn.shopify.com/s/files/1/0792/5098/1063/files/3fa47aa2ae55dd1aa457a1efd1dd6525b3ace70928e329b2a0a942dde4ef4e6b.jpg?v=1786561918" TargetMode="External" Id="rId31"/><Relationship Type="http://schemas.openxmlformats.org/officeDocument/2006/relationships/hyperlink" Target="https://cdn.shopify.com/s/files/1/0792/5098/1063/files/3fa47aa2ae55dd1aa457a1efd1dd6525b3ace70928e329b2a0a942dde4ef4e6b.jpg?v=1786561918" TargetMode="External" Id="rId32"/><Relationship Type="http://schemas.openxmlformats.org/officeDocument/2006/relationships/hyperlink" Target="https://cdn.shopify.com/s/files/1/0792/5098/1063/files/9770e5220f3fb8b11c2282da297bf1d95a1ee40ac7cbe208cc665ce7b4b832b0.jpg?v=1786561918" TargetMode="External" Id="rId33"/><Relationship Type="http://schemas.openxmlformats.org/officeDocument/2006/relationships/hyperlink" Target="https://cdn.shopify.com/s/files/1/0792/5098/1063/files/9770e5220f3fb8b11c2282da297bf1d95a1ee40ac7cbe208cc665ce7b4b832b0.jpg?v=1786561918" TargetMode="External" Id="rId34"/><Relationship Type="http://schemas.openxmlformats.org/officeDocument/2006/relationships/hyperlink" Target="https://cdn.shopify.com/s/files/1/0792/5098/1063/files/4e936d01e2a40f16f9a5fdb20f94f6da9bfb953ae1087ee05f4c11b00e93e373.jpg?v=1786561918" TargetMode="External" Id="rId35"/><Relationship Type="http://schemas.openxmlformats.org/officeDocument/2006/relationships/hyperlink" Target="https://cdn.shopify.com/s/files/1/0792/5098/1063/files/4e936d01e2a40f16f9a5fdb20f94f6da9bfb953ae1087ee05f4c11b00e93e373.jpg?v=1786561918" TargetMode="External" Id="rId36"/><Relationship Type="http://schemas.openxmlformats.org/officeDocument/2006/relationships/hyperlink" Target="https://cdn.shopify.com/s/files/1/0792/5098/1063/files/5543644914bca33c40a05890a0699223f8c959e37ebf0cdfce48d84372b70230.jpg?v=1786561918" TargetMode="External" Id="rId37"/><Relationship Type="http://schemas.openxmlformats.org/officeDocument/2006/relationships/hyperlink" Target="https://cdn.shopify.com/s/files/1/0792/5098/1063/files/5543644914bca33c40a05890a0699223f8c959e37ebf0cdfce48d84372b70230.jpg?v=1786561918" TargetMode="External" Id="rId38"/><Relationship Type="http://schemas.openxmlformats.org/officeDocument/2006/relationships/hyperlink" Target="https://cdn.shopify.com/s/files/1/0792/5098/1063/files/47c6483ee1ab65c91b228997718a0cc0a8da1a6a6088e37b690c9477e05a9ae2.jpg?v=1787233856" TargetMode="External" Id="rId39"/><Relationship Type="http://schemas.openxmlformats.org/officeDocument/2006/relationships/hyperlink" Target="https://cdn.shopify.com/s/files/1/0792/5098/1063/files/47c6483ee1ab65c91b228997718a0cc0a8da1a6a6088e37b690c9477e05a9ae2.jpg?v=1787233856" TargetMode="External" Id="rId40"/><Relationship Type="http://schemas.openxmlformats.org/officeDocument/2006/relationships/hyperlink" Target="https://cdn.shopify.com/s/files/1/0792/5098/1063/files/efc5152e4c8a285d84e6f2d2bab86d8c8a07687c04a6497618899981e7a4ee8f.jpg?v=1787233856" TargetMode="External" Id="rId41"/><Relationship Type="http://schemas.openxmlformats.org/officeDocument/2006/relationships/hyperlink" Target="https://cdn.shopify.com/s/files/1/0792/5098/1063/files/efc5152e4c8a285d84e6f2d2bab86d8c8a07687c04a6497618899981e7a4ee8f.jpg?v=1787233856" TargetMode="External" Id="rId42"/><Relationship Type="http://schemas.openxmlformats.org/officeDocument/2006/relationships/hyperlink" Target="https://cdn.shopify.com/s/files/1/0792/5098/1063/files/bf06e1f47640ab41f6349ea23cfc1c3bae238992330f5e4c262c972e44347eac.jpg?v=1787233855" TargetMode="External" Id="rId43"/><Relationship Type="http://schemas.openxmlformats.org/officeDocument/2006/relationships/hyperlink" Target="https://cdn.shopify.com/s/files/1/0792/5098/1063/files/bf06e1f47640ab41f6349ea23cfc1c3bae238992330f5e4c262c972e44347eac.jpg?v=1787233855" TargetMode="External" Id="rId44"/><Relationship Type="http://schemas.openxmlformats.org/officeDocument/2006/relationships/hyperlink" Target="https://cdn.shopify.com/s/files/1/0792/5098/1063/files/715de32d7afbcdbcdccd59fdb7334d2bab5db33086e0e81085bac9eba261c296.jpg?v=1787233855" TargetMode="External" Id="rId45"/><Relationship Type="http://schemas.openxmlformats.org/officeDocument/2006/relationships/hyperlink" Target="https://cdn.shopify.com/s/files/1/0792/5098/1063/files/715de32d7afbcdbcdccd59fdb7334d2bab5db33086e0e81085bac9eba261c296.jpg?v=1787233855" TargetMode="External" Id="rId46"/><Relationship Type="http://schemas.openxmlformats.org/officeDocument/2006/relationships/hyperlink" Target="https://cdn.shopify.com/s/files/1/0792/5098/1063/files/99bb19dc6974deae31c36ecd466bd7d553ae5d252b0863124e1eb70416184445.jpg?v=1787233855" TargetMode="External" Id="rId47"/><Relationship Type="http://schemas.openxmlformats.org/officeDocument/2006/relationships/hyperlink" Target="https://cdn.shopify.com/s/files/1/0792/5098/1063/files/99bb19dc6974deae31c36ecd466bd7d553ae5d252b0863124e1eb70416184445.jpg?v=1787233855" TargetMode="External" Id="rId48"/><Relationship Type="http://schemas.openxmlformats.org/officeDocument/2006/relationships/hyperlink" Target="https://cdn.shopify.com/s/files/1/0792/5098/1063/files/9404919a01bcbd7e3a5ae5257a7d2e63c57ce78db2ed1cfa3f97866785ab25b6.jpg?v=1787233856" TargetMode="External" Id="rId49"/><Relationship Type="http://schemas.openxmlformats.org/officeDocument/2006/relationships/hyperlink" Target="https://cdn.shopify.com/s/files/1/0792/5098/1063/files/9404919a01bcbd7e3a5ae5257a7d2e63c57ce78db2ed1cfa3f97866785ab25b6.jpg?v=1787233856" TargetMode="External" Id="rId50"/><Relationship Type="http://schemas.openxmlformats.org/officeDocument/2006/relationships/hyperlink" Target="https://cdn.shopify.com/s/files/1/0792/5098/1063/files/9438bd0b254e39afefe0691fc5b9204b7fa60c973f6629008d8a6fcb54ef273c.jpg?v=1787233856" TargetMode="External" Id="rId51"/><Relationship Type="http://schemas.openxmlformats.org/officeDocument/2006/relationships/hyperlink" Target="https://cdn.shopify.com/s/files/1/0792/5098/1063/files/9438bd0b254e39afefe0691fc5b9204b7fa60c973f6629008d8a6fcb54ef273c.jpg?v=1787233856" TargetMode="External" Id="rId52"/><Relationship Type="http://schemas.openxmlformats.org/officeDocument/2006/relationships/hyperlink" Target="https://cdn.shopify.com/s/files/1/0792/5098/1063/files/b404a8fba42f9d481701bdd09ae871424aa17c514ee39c8987c4253369610ee9.jpg?v=1787233627" TargetMode="External" Id="rId53"/><Relationship Type="http://schemas.openxmlformats.org/officeDocument/2006/relationships/hyperlink" Target="https://cdn.shopify.com/s/files/1/0792/5098/1063/files/b404a8fba42f9d481701bdd09ae871424aa17c514ee39c8987c4253369610ee9.jpg?v=1787233627" TargetMode="External" Id="rId54"/><Relationship Type="http://schemas.openxmlformats.org/officeDocument/2006/relationships/hyperlink" Target="https://cdn.shopify.com/s/files/1/0792/5098/1063/files/30e2ca71a26358432e5d8ca7cf94f992f87a417fb02c8a43732fdff2acba3903.jpg?v=1787233626" TargetMode="External" Id="rId55"/><Relationship Type="http://schemas.openxmlformats.org/officeDocument/2006/relationships/hyperlink" Target="https://cdn.shopify.com/s/files/1/0792/5098/1063/files/30e2ca71a26358432e5d8ca7cf94f992f87a417fb02c8a43732fdff2acba3903.jpg?v=1787233626" TargetMode="External" Id="rId56"/><Relationship Type="http://schemas.openxmlformats.org/officeDocument/2006/relationships/hyperlink" Target="https://cdn.shopify.com/s/files/1/0792/5098/1063/files/955e2f8b7dd06bc9a7b584b35192cc1d3ac63df4802ab2407fd2d6b80268fb90.jpg?v=1787233626" TargetMode="External" Id="rId57"/><Relationship Type="http://schemas.openxmlformats.org/officeDocument/2006/relationships/hyperlink" Target="https://cdn.shopify.com/s/files/1/0792/5098/1063/files/955e2f8b7dd06bc9a7b584b35192cc1d3ac63df4802ab2407fd2d6b80268fb90.jpg?v=1787233626" TargetMode="External" Id="rId58"/><Relationship Type="http://schemas.openxmlformats.org/officeDocument/2006/relationships/hyperlink" Target="https://cdn.shopify.com/s/files/1/0792/5098/1063/files/2c6c4b0ec606ff20bc1ac62e5ec98ecaf98928e6c974b93826464554a5fa3ea4.jpg?v=1787233626" TargetMode="External" Id="rId59"/><Relationship Type="http://schemas.openxmlformats.org/officeDocument/2006/relationships/hyperlink" Target="https://cdn.shopify.com/s/files/1/0792/5098/1063/files/2c6c4b0ec606ff20bc1ac62e5ec98ecaf98928e6c974b93826464554a5fa3ea4.jpg?v=1787233626" TargetMode="External" Id="rId60"/><Relationship Type="http://schemas.openxmlformats.org/officeDocument/2006/relationships/hyperlink" Target="https://cdn.shopify.com/s/files/1/0792/5098/1063/files/489f5b9ddbdf3fafb4673c21a38884ff336c5b89ef32537cab88565a0d154461.jpg?v=1787233626" TargetMode="External" Id="rId61"/><Relationship Type="http://schemas.openxmlformats.org/officeDocument/2006/relationships/hyperlink" Target="https://cdn.shopify.com/s/files/1/0792/5098/1063/files/489f5b9ddbdf3fafb4673c21a38884ff336c5b89ef32537cab88565a0d154461.jpg?v=1787233626" TargetMode="External" Id="rId62"/><Relationship Type="http://schemas.openxmlformats.org/officeDocument/2006/relationships/hyperlink" Target="https://cdn.shopify.com/s/files/1/0792/5098/1063/files/4e8443121e161c5bd0fecbf38fe373ea881ea13402f9383d59095dd3766bb4a1.jpg?v=1787233626" TargetMode="External" Id="rId63"/><Relationship Type="http://schemas.openxmlformats.org/officeDocument/2006/relationships/hyperlink" Target="https://cdn.shopify.com/s/files/1/0792/5098/1063/files/4e8443121e161c5bd0fecbf38fe373ea881ea13402f9383d59095dd3766bb4a1.jpg?v=1787233626" TargetMode="External" Id="rId64"/><Relationship Type="http://schemas.openxmlformats.org/officeDocument/2006/relationships/hyperlink" Target="https://cdn.shopify.com/s/files/1/0792/5098/1063/files/153fd1622891834d0b552c37500d0c9b0a67247d3798040ce2badb1c28d4339f.jpg?v=1787233626" TargetMode="External" Id="rId65"/><Relationship Type="http://schemas.openxmlformats.org/officeDocument/2006/relationships/hyperlink" Target="https://cdn.shopify.com/s/files/1/0792/5098/1063/files/153fd1622891834d0b552c37500d0c9b0a67247d3798040ce2badb1c28d4339f.jpg?v=1787233626" TargetMode="External" Id="rId66"/><Relationship Type="http://schemas.openxmlformats.org/officeDocument/2006/relationships/hyperlink" Target="https://cdn.shopify.com/s/files/1/0792/5098/1063/files/0a3408f9531e3a0c073fefe9e8b45e68486840fbce54d055d8d9bfce089f279b.jpg?v=1787233701" TargetMode="External" Id="rId67"/><Relationship Type="http://schemas.openxmlformats.org/officeDocument/2006/relationships/hyperlink" Target="https://cdn.shopify.com/s/files/1/0792/5098/1063/files/0a3408f9531e3a0c073fefe9e8b45e68486840fbce54d055d8d9bfce089f279b.jpg?v=1787233701" TargetMode="External" Id="rId68"/><Relationship Type="http://schemas.openxmlformats.org/officeDocument/2006/relationships/hyperlink" Target="https://cdn.shopify.com/s/files/1/0792/5098/1063/files/a81eeb6252b15a1a185ed484b190cc9fae5eb7ebf9d6200e7841b595f29f023f.jpg?v=1787233701" TargetMode="External" Id="rId69"/><Relationship Type="http://schemas.openxmlformats.org/officeDocument/2006/relationships/hyperlink" Target="https://cdn.shopify.com/s/files/1/0792/5098/1063/files/a81eeb6252b15a1a185ed484b190cc9fae5eb7ebf9d6200e7841b595f29f023f.jpg?v=1787233701" TargetMode="External" Id="rId70"/><Relationship Type="http://schemas.openxmlformats.org/officeDocument/2006/relationships/hyperlink" Target="https://cdn.shopify.com/s/files/1/0792/5098/1063/files/294f29b70762f22df4918e7c94b3b46ebac81578eb1b441cc319e4a6c036e2b5.jpg?v=1787233701" TargetMode="External" Id="rId71"/><Relationship Type="http://schemas.openxmlformats.org/officeDocument/2006/relationships/hyperlink" Target="https://cdn.shopify.com/s/files/1/0792/5098/1063/files/294f29b70762f22df4918e7c94b3b46ebac81578eb1b441cc319e4a6c036e2b5.jpg?v=1787233701" TargetMode="External" Id="rId72"/><Relationship Type="http://schemas.openxmlformats.org/officeDocument/2006/relationships/hyperlink" Target="https://cdn.shopify.com/s/files/1/0792/5098/1063/files/4f89396bd5eba76e433e1754c6258bc954124533d44f2a626d3460b551456ac2.jpg?v=1787233701" TargetMode="External" Id="rId73"/><Relationship Type="http://schemas.openxmlformats.org/officeDocument/2006/relationships/hyperlink" Target="https://cdn.shopify.com/s/files/1/0792/5098/1063/files/4f89396bd5eba76e433e1754c6258bc954124533d44f2a626d3460b551456ac2.jpg?v=1787233701" TargetMode="External" Id="rId74"/><Relationship Type="http://schemas.openxmlformats.org/officeDocument/2006/relationships/hyperlink" Target="https://cdn.shopify.com/s/files/1/0792/5098/1063/files/26c489f36b5c9dd3f53ff71fef03463a680ed62b30ccbb63398d23dd71b45a80.jpg?v=1787233701" TargetMode="External" Id="rId75"/><Relationship Type="http://schemas.openxmlformats.org/officeDocument/2006/relationships/hyperlink" Target="https://cdn.shopify.com/s/files/1/0792/5098/1063/files/26c489f36b5c9dd3f53ff71fef03463a680ed62b30ccbb63398d23dd71b45a80.jpg?v=1787233701" TargetMode="External" Id="rId76"/><Relationship Type="http://schemas.openxmlformats.org/officeDocument/2006/relationships/hyperlink" Target="https://cdn.shopify.com/s/files/1/0792/5098/1063/files/4afff5bd1108a84e934e1e4f25eafcbe926a65ce790598d12db0393917520582.jpg?v=1787233701" TargetMode="External" Id="rId77"/><Relationship Type="http://schemas.openxmlformats.org/officeDocument/2006/relationships/hyperlink" Target="https://cdn.shopify.com/s/files/1/0792/5098/1063/files/4afff5bd1108a84e934e1e4f25eafcbe926a65ce790598d12db0393917520582.jpg?v=1787233701" TargetMode="External" Id="rId78"/><Relationship Type="http://schemas.openxmlformats.org/officeDocument/2006/relationships/hyperlink" Target="https://cdn.shopify.com/s/files/1/0792/5098/1063/files/3c6b81c89c93cc1a2b36e7c9c961611600af5ce82faf4937ed7c98dabff514eb.jpg?v=1787233701" TargetMode="External" Id="rId79"/><Relationship Type="http://schemas.openxmlformats.org/officeDocument/2006/relationships/hyperlink" Target="https://cdn.shopify.com/s/files/1/0792/5098/1063/files/3c6b81c89c93cc1a2b36e7c9c961611600af5ce82faf4937ed7c98dabff514eb.jpg?v=1787233701" TargetMode="External" Id="rId80"/><Relationship Type="http://schemas.openxmlformats.org/officeDocument/2006/relationships/hyperlink" Target="https://cdn.shopify.com/s/files/1/0792/5098/1063/files/d42c647b4b706bfbd5848e9a710dc0ab52b9128d5478ff315a703f27f50d0183.jpg?v=1787233586" TargetMode="External" Id="rId81"/><Relationship Type="http://schemas.openxmlformats.org/officeDocument/2006/relationships/hyperlink" Target="https://cdn.shopify.com/s/files/1/0792/5098/1063/files/d42c647b4b706bfbd5848e9a710dc0ab52b9128d5478ff315a703f27f50d0183.jpg?v=1787233586" TargetMode="External" Id="rId82"/><Relationship Type="http://schemas.openxmlformats.org/officeDocument/2006/relationships/hyperlink" Target="https://cdn.shopify.com/s/files/1/0792/5098/1063/files/0aa3a97c3c6bf1377731a7ab954986bf5cd00ce0495e088246f06f089519dd05.jpg?v=1787233582" TargetMode="External" Id="rId83"/><Relationship Type="http://schemas.openxmlformats.org/officeDocument/2006/relationships/hyperlink" Target="https://cdn.shopify.com/s/files/1/0792/5098/1063/files/0aa3a97c3c6bf1377731a7ab954986bf5cd00ce0495e088246f06f089519dd05.jpg?v=1787233582" TargetMode="External" Id="rId84"/><Relationship Type="http://schemas.openxmlformats.org/officeDocument/2006/relationships/hyperlink" Target="https://cdn.shopify.com/s/files/1/0792/5098/1063/files/ac2d2eb5d06502bcefbdde305518d81e55f752d7c3af6ea61e31704d009421e6.jpg?v=1787233582" TargetMode="External" Id="rId85"/><Relationship Type="http://schemas.openxmlformats.org/officeDocument/2006/relationships/hyperlink" Target="https://cdn.shopify.com/s/files/1/0792/5098/1063/files/ac2d2eb5d06502bcefbdde305518d81e55f752d7c3af6ea61e31704d009421e6.jpg?v=1787233582" TargetMode="External" Id="rId86"/><Relationship Type="http://schemas.openxmlformats.org/officeDocument/2006/relationships/hyperlink" Target="https://cdn.shopify.com/s/files/1/0792/5098/1063/files/808ae5fe90da050444c4e3612490d96973cad27c2bdd67ad6d7cf5c5b81ca06b.jpg?v=1787233581" TargetMode="External" Id="rId87"/><Relationship Type="http://schemas.openxmlformats.org/officeDocument/2006/relationships/hyperlink" Target="https://cdn.shopify.com/s/files/1/0792/5098/1063/files/808ae5fe90da050444c4e3612490d96973cad27c2bdd67ad6d7cf5c5b81ca06b.jpg?v=1787233581" TargetMode="External" Id="rId88"/><Relationship Type="http://schemas.openxmlformats.org/officeDocument/2006/relationships/hyperlink" Target="https://cdn.shopify.com/s/files/1/0792/5098/1063/files/8a0ff60ea60ef4d9dfda2cc124d0a91e06ef6e8a08751b61da15f6b289b04fc2.jpg?v=1787233581" TargetMode="External" Id="rId89"/><Relationship Type="http://schemas.openxmlformats.org/officeDocument/2006/relationships/hyperlink" Target="https://cdn.shopify.com/s/files/1/0792/5098/1063/files/8a0ff60ea60ef4d9dfda2cc124d0a91e06ef6e8a08751b61da15f6b289b04fc2.jpg?v=1787233581" TargetMode="External" Id="rId90"/><Relationship Type="http://schemas.openxmlformats.org/officeDocument/2006/relationships/hyperlink" Target="https://cdn.shopify.com/s/files/1/0792/5098/1063/files/3179bba8368b480a48e602947287ddb7c4c1df7b24c318ee48e0ccdd734c67c3.jpg?v=1787233581" TargetMode="External" Id="rId91"/><Relationship Type="http://schemas.openxmlformats.org/officeDocument/2006/relationships/hyperlink" Target="https://cdn.shopify.com/s/files/1/0792/5098/1063/files/3179bba8368b480a48e602947287ddb7c4c1df7b24c318ee48e0ccdd734c67c3.jpg?v=1787233581" TargetMode="External" Id="rId92"/><Relationship Type="http://schemas.openxmlformats.org/officeDocument/2006/relationships/hyperlink" Target="https://cdn.shopify.com/s/files/1/0792/5098/1063/files/f2119da92c18377a071250b1e3091eade713b0484db4a7666659028e0b87eab8.jpg?v=1787233581" TargetMode="External" Id="rId93"/><Relationship Type="http://schemas.openxmlformats.org/officeDocument/2006/relationships/hyperlink" Target="https://cdn.shopify.com/s/files/1/0792/5098/1063/files/f2119da92c18377a071250b1e3091eade713b0484db4a7666659028e0b87eab8.jpg?v=1787233581" TargetMode="External" Id="rId94"/><Relationship Type="http://schemas.openxmlformats.org/officeDocument/2006/relationships/hyperlink" Target="https://cdn.shopify.com/s/files/1/0792/5098/1063/files/ea21b70f3fb4642a1043a9903531bdce9cd4becbb80c3e41b039d9210d971bcf.jpg?v=1787233639" TargetMode="External" Id="rId95"/><Relationship Type="http://schemas.openxmlformats.org/officeDocument/2006/relationships/hyperlink" Target="https://cdn.shopify.com/s/files/1/0792/5098/1063/files/ea21b70f3fb4642a1043a9903531bdce9cd4becbb80c3e41b039d9210d971bcf.jpg?v=1787233639" TargetMode="External" Id="rId96"/><Relationship Type="http://schemas.openxmlformats.org/officeDocument/2006/relationships/hyperlink" Target="https://cdn.shopify.com/s/files/1/0792/5098/1063/files/e654cba3d176f86750e58dc328d65802eff41f0dafe32af80c096d01dba8dddd.jpg?v=1787233640" TargetMode="External" Id="rId97"/><Relationship Type="http://schemas.openxmlformats.org/officeDocument/2006/relationships/hyperlink" Target="https://cdn.shopify.com/s/files/1/0792/5098/1063/files/e654cba3d176f86750e58dc328d65802eff41f0dafe32af80c096d01dba8dddd.jpg?v=1787233640" TargetMode="External" Id="rId98"/><Relationship Type="http://schemas.openxmlformats.org/officeDocument/2006/relationships/hyperlink" Target="https://cdn.shopify.com/s/files/1/0792/5098/1063/files/7d99617baa0f93bb0e3e6eeeb9da4d686fee8c359b047cbcd724593c750b4c92.jpg?v=1787233639" TargetMode="External" Id="rId99"/><Relationship Type="http://schemas.openxmlformats.org/officeDocument/2006/relationships/hyperlink" Target="https://cdn.shopify.com/s/files/1/0792/5098/1063/files/7d99617baa0f93bb0e3e6eeeb9da4d686fee8c359b047cbcd724593c750b4c92.jpg?v=1787233639" TargetMode="External" Id="rId100"/><Relationship Type="http://schemas.openxmlformats.org/officeDocument/2006/relationships/hyperlink" Target="https://cdn.shopify.com/s/files/1/0792/5098/1063/files/bcb9ffb85887fb6246926fc1a9359347a7f3b4ad466c08b45914a19fe4efc322.jpg?v=1787233639" TargetMode="External" Id="rId101"/><Relationship Type="http://schemas.openxmlformats.org/officeDocument/2006/relationships/hyperlink" Target="https://cdn.shopify.com/s/files/1/0792/5098/1063/files/bcb9ffb85887fb6246926fc1a9359347a7f3b4ad466c08b45914a19fe4efc322.jpg?v=1787233639" TargetMode="External" Id="rId102"/><Relationship Type="http://schemas.openxmlformats.org/officeDocument/2006/relationships/hyperlink" Target="https://cdn.shopify.com/s/files/1/0792/5098/1063/files/a7712c1d75029276eb8bec937f0f0a54e4a3d4faace09f8951fb28f3deb506a9.jpg?v=1787233639" TargetMode="External" Id="rId103"/><Relationship Type="http://schemas.openxmlformats.org/officeDocument/2006/relationships/hyperlink" Target="https://cdn.shopify.com/s/files/1/0792/5098/1063/files/a7712c1d75029276eb8bec937f0f0a54e4a3d4faace09f8951fb28f3deb506a9.jpg?v=1787233639" TargetMode="External" Id="rId104"/><Relationship Type="http://schemas.openxmlformats.org/officeDocument/2006/relationships/hyperlink" Target="https://cdn.shopify.com/s/files/1/0792/5098/1063/files/c539c1abde98c909533ca0bf180c5bc8eaa4c7d2f9c823e43199a79296592654.jpg?v=1787233639" TargetMode="External" Id="rId105"/><Relationship Type="http://schemas.openxmlformats.org/officeDocument/2006/relationships/hyperlink" Target="https://cdn.shopify.com/s/files/1/0792/5098/1063/files/c539c1abde98c909533ca0bf180c5bc8eaa4c7d2f9c823e43199a79296592654.jpg?v=1787233639" TargetMode="External" Id="rId106"/><Relationship Type="http://schemas.openxmlformats.org/officeDocument/2006/relationships/hyperlink" Target="https://cdn.shopify.com/s/files/1/0792/5098/1063/files/bc222235af56ffe5c9630d95b7c0ff09cb2b99394f7a459e71bb82a748d22688.jpg?v=1787233639" TargetMode="External" Id="rId107"/><Relationship Type="http://schemas.openxmlformats.org/officeDocument/2006/relationships/hyperlink" Target="https://cdn.shopify.com/s/files/1/0792/5098/1063/files/bc222235af56ffe5c9630d95b7c0ff09cb2b99394f7a459e71bb82a748d22688.jpg?v=1787233639" TargetMode="External" Id="rId108"/><Relationship Type="http://schemas.openxmlformats.org/officeDocument/2006/relationships/hyperlink" Target="https://cdn.shopify.com/s/files/1/0792/5098/1063/files/e3eaedebd00b476d6c6e0385f4c3d5cb3a23400badf1571d38c57295349d8397.jpg?v=1787233736" TargetMode="External" Id="rId109"/><Relationship Type="http://schemas.openxmlformats.org/officeDocument/2006/relationships/hyperlink" Target="https://cdn.shopify.com/s/files/1/0792/5098/1063/files/e3eaedebd00b476d6c6e0385f4c3d5cb3a23400badf1571d38c57295349d8397.jpg?v=1787233736" TargetMode="External" Id="rId110"/><Relationship Type="http://schemas.openxmlformats.org/officeDocument/2006/relationships/hyperlink" Target="https://cdn.shopify.com/s/files/1/0792/5098/1063/files/2ebce4fc584fd695882ff634678af6dba84364f6f7561e3c8b700d893052aa0c.jpg?v=1787233736" TargetMode="External" Id="rId111"/><Relationship Type="http://schemas.openxmlformats.org/officeDocument/2006/relationships/hyperlink" Target="https://cdn.shopify.com/s/files/1/0792/5098/1063/files/2ebce4fc584fd695882ff634678af6dba84364f6f7561e3c8b700d893052aa0c.jpg?v=1787233736" TargetMode="External" Id="rId112"/><Relationship Type="http://schemas.openxmlformats.org/officeDocument/2006/relationships/hyperlink" Target="https://cdn.shopify.com/s/files/1/0792/5098/1063/files/7b865b58073800edf124742c2b25434a7997c8fd66561c116e5e753e2063a5f0.jpg?v=1787233736" TargetMode="External" Id="rId113"/><Relationship Type="http://schemas.openxmlformats.org/officeDocument/2006/relationships/hyperlink" Target="https://cdn.shopify.com/s/files/1/0792/5098/1063/files/7b865b58073800edf124742c2b25434a7997c8fd66561c116e5e753e2063a5f0.jpg?v=1787233736" TargetMode="External" Id="rId114"/><Relationship Type="http://schemas.openxmlformats.org/officeDocument/2006/relationships/hyperlink" Target="https://cdn.shopify.com/s/files/1/0792/5098/1063/files/1714756ab5b54fd2bf88e881b17a4f42d6d868a0ab243f06e8e40b23aa3cee80.jpg?v=1787233736" TargetMode="External" Id="rId115"/><Relationship Type="http://schemas.openxmlformats.org/officeDocument/2006/relationships/hyperlink" Target="https://cdn.shopify.com/s/files/1/0792/5098/1063/files/1714756ab5b54fd2bf88e881b17a4f42d6d868a0ab243f06e8e40b23aa3cee80.jpg?v=1787233736" TargetMode="External" Id="rId116"/><Relationship Type="http://schemas.openxmlformats.org/officeDocument/2006/relationships/hyperlink" Target="https://cdn.shopify.com/s/files/1/0792/5098/1063/files/809ddd0ec5fe74428113fd13ebbc0be931bd4b6e222141be866d06cccb1e46d9.jpg?v=1787233736" TargetMode="External" Id="rId117"/><Relationship Type="http://schemas.openxmlformats.org/officeDocument/2006/relationships/hyperlink" Target="https://cdn.shopify.com/s/files/1/0792/5098/1063/files/809ddd0ec5fe74428113fd13ebbc0be931bd4b6e222141be866d06cccb1e46d9.jpg?v=1787233736" TargetMode="External" Id="rId118"/><Relationship Type="http://schemas.openxmlformats.org/officeDocument/2006/relationships/hyperlink" Target="https://cdn.shopify.com/s/files/1/0792/5098/1063/files/1a2a46dacc66d77518c316b048185b1a4e10d871e5e5cf6fe383ead3b2ef3bae.jpg?v=1787233736" TargetMode="External" Id="rId119"/><Relationship Type="http://schemas.openxmlformats.org/officeDocument/2006/relationships/hyperlink" Target="https://cdn.shopify.com/s/files/1/0792/5098/1063/files/1a2a46dacc66d77518c316b048185b1a4e10d871e5e5cf6fe383ead3b2ef3bae.jpg?v=1787233736" TargetMode="External" Id="rId120"/><Relationship Type="http://schemas.openxmlformats.org/officeDocument/2006/relationships/hyperlink" Target="https://cdn.shopify.com/s/files/1/0792/5098/1063/files/c2f3c3e81644ced7fdd5e714260e05a33a17b6b56422dba7ed9551059f2d3de7.jpg?v=1787233736" TargetMode="External" Id="rId121"/><Relationship Type="http://schemas.openxmlformats.org/officeDocument/2006/relationships/hyperlink" Target="https://cdn.shopify.com/s/files/1/0792/5098/1063/files/c2f3c3e81644ced7fdd5e714260e05a33a17b6b56422dba7ed9551059f2d3de7.jpg?v=1787233736" TargetMode="External" Id="rId122"/><Relationship Type="http://schemas.openxmlformats.org/officeDocument/2006/relationships/hyperlink" Target="https://cdn.shopify.com/s/files/1/0792/5098/1063/files/0b127d2469cd13b91c34f523d93af494f30715233b3225786c6ec2936379f6e6.jpg?v=1785046392" TargetMode="External" Id="rId123"/><Relationship Type="http://schemas.openxmlformats.org/officeDocument/2006/relationships/hyperlink" Target="https://cdn.shopify.com/s/files/1/0792/5098/1063/files/0b127d2469cd13b91c34f523d93af494f30715233b3225786c6ec2936379f6e6.jpg?v=1785046392" TargetMode="External" Id="rId124"/><Relationship Type="http://schemas.openxmlformats.org/officeDocument/2006/relationships/hyperlink" Target="https://cdn.shopify.com/s/files/1/0792/5098/1063/files/e096fc59f70a8fe5e6ed48f0d968f1d3082b2742c69ba8f7a236164e4bea4e8b.jpg?v=1785046392" TargetMode="External" Id="rId125"/><Relationship Type="http://schemas.openxmlformats.org/officeDocument/2006/relationships/hyperlink" Target="https://cdn.shopify.com/s/files/1/0792/5098/1063/files/e096fc59f70a8fe5e6ed48f0d968f1d3082b2742c69ba8f7a236164e4bea4e8b.jpg?v=1785046392" TargetMode="External" Id="rId126"/><Relationship Type="http://schemas.openxmlformats.org/officeDocument/2006/relationships/hyperlink" Target="https://cdn.shopify.com/s/files/1/0792/5098/1063/files/bce3bf4b6938e7c5326d2e2c083e2889a5fb762d01c1338bd921e2802bcc1821.jpg?v=1785046392" TargetMode="External" Id="rId127"/><Relationship Type="http://schemas.openxmlformats.org/officeDocument/2006/relationships/hyperlink" Target="https://cdn.shopify.com/s/files/1/0792/5098/1063/files/bce3bf4b6938e7c5326d2e2c083e2889a5fb762d01c1338bd921e2802bcc1821.jpg?v=1785046392" TargetMode="External" Id="rId128"/><Relationship Type="http://schemas.openxmlformats.org/officeDocument/2006/relationships/hyperlink" Target="https://cdn.shopify.com/s/files/1/0792/5098/1063/files/913a85a20019443134aa05bb95bd3325ca109d70bb625d4fd46ad44c692ceba4.jpg?v=1785046392" TargetMode="External" Id="rId129"/><Relationship Type="http://schemas.openxmlformats.org/officeDocument/2006/relationships/hyperlink" Target="https://cdn.shopify.com/s/files/1/0792/5098/1063/files/913a85a20019443134aa05bb95bd3325ca109d70bb625d4fd46ad44c692ceba4.jpg?v=1785046392" TargetMode="External" Id="rId130"/><Relationship Type="http://schemas.openxmlformats.org/officeDocument/2006/relationships/hyperlink" Target="https://cdn.shopify.com/s/files/1/0792/5098/1063/files/370777b993440fc6b749ec395e76c759444454c4e59c78fd3988d124c81efa15.jpg?v=1785046392" TargetMode="External" Id="rId131"/><Relationship Type="http://schemas.openxmlformats.org/officeDocument/2006/relationships/hyperlink" Target="https://cdn.shopify.com/s/files/1/0792/5098/1063/files/370777b993440fc6b749ec395e76c759444454c4e59c78fd3988d124c81efa15.jpg?v=1785046392" TargetMode="External" Id="rId132"/><Relationship Type="http://schemas.openxmlformats.org/officeDocument/2006/relationships/hyperlink" Target="https://cdn.shopify.com/s/files/1/0792/5098/1063/files/3ed1b45bd53388072c20fce313e88ba9b72b35873172eeb3b0126cb7e9fa31f2.jpg?v=1785046392" TargetMode="External" Id="rId133"/><Relationship Type="http://schemas.openxmlformats.org/officeDocument/2006/relationships/hyperlink" Target="https://cdn.shopify.com/s/files/1/0792/5098/1063/files/3ed1b45bd53388072c20fce313e88ba9b72b35873172eeb3b0126cb7e9fa31f2.jpg?v=1785046392" TargetMode="External" Id="rId134"/><Relationship Type="http://schemas.openxmlformats.org/officeDocument/2006/relationships/hyperlink" Target="https://cdn.shopify.com/s/files/1/0792/5098/1063/files/4d14dc6755499a28174bac1d0b51faaaf6efd21fb9072bb076b1bce90f924b9b.jpg?v=1785046392" TargetMode="External" Id="rId135"/><Relationship Type="http://schemas.openxmlformats.org/officeDocument/2006/relationships/hyperlink" Target="https://cdn.shopify.com/s/files/1/0792/5098/1063/files/4d14dc6755499a28174bac1d0b51faaaf6efd21fb9072bb076b1bce90f924b9b.jpg?v=1785046392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shop_domain</t>
        </is>
      </c>
      <c r="B2" s="2" t="inlineStr">
        <is>
          <t>jeminise.com</t>
        </is>
      </c>
      <c r="C2" s="2" t="inlineStr">
        <is>
          <t>Shop being QAed.</t>
        </is>
      </c>
    </row>
    <row r="3" ht="42" customHeight="1">
      <c r="A3" s="3" t="inlineStr">
        <is>
          <t>source_run_id</t>
        </is>
      </c>
      <c r="B3" s="3" t="inlineStr">
        <is>
          <t>20260906_234129</t>
        </is>
      </c>
      <c r="C3" s="3" t="inlineStr">
        <is>
          <t>Original SEO drafting run.</t>
        </is>
      </c>
    </row>
    <row r="4" ht="42" customHeight="1">
      <c r="A4" s="2" t="inlineStr">
        <is>
          <t>qa_run_id</t>
        </is>
      </c>
      <c r="B4" s="2" t="inlineStr">
        <is>
          <t>20260907_204400</t>
        </is>
      </c>
      <c r="C4" s="2" t="inlineStr">
        <is>
          <t>QA run folder for this corrected rerun.</t>
        </is>
      </c>
    </row>
    <row r="5" ht="42" customHeight="1">
      <c r="A5" s="3" t="inlineStr">
        <is>
          <t>qa_batch_id</t>
        </is>
      </c>
      <c r="B5" s="3" t="inlineStr">
        <is>
          <t>qa_batch_014</t>
        </is>
      </c>
      <c r="C5" s="3" t="inlineStr">
        <is>
          <t>Batch being independently checked.</t>
        </is>
      </c>
    </row>
    <row r="6" ht="42" customHeight="1">
      <c r="A6" s="2" t="inlineStr">
        <is>
          <t>revision</t>
        </is>
      </c>
      <c r="B6" s="2" t="inlineStr">
        <is>
          <t>r1_corrected_full_qa</t>
        </is>
      </c>
      <c r="C6" s="2" t="inlineStr">
        <is>
          <t>Corrected full QA artifact replacing prior shortened output.</t>
        </is>
      </c>
    </row>
    <row r="7" ht="42" customHeight="1">
      <c r="A7" s="3" t="inlineStr">
        <is>
          <t>source_workbook</t>
        </is>
      </c>
      <c r="B7" s="3" t="inlineStr">
        <is>
          <t>D:\Shopify_Workspace\jeminise_seo\resutls\jeminise.com\20260906_234129\batches\SEO_Product_Optimization_through_batch_014.xlsx</t>
        </is>
      </c>
      <c r="C7" s="3" t="inlineStr">
        <is>
          <t>Frozen workbook source path.</t>
        </is>
      </c>
    </row>
    <row r="8" ht="42" customHeight="1">
      <c r="A8" s="2" t="inlineStr">
        <is>
          <t>source_sha256</t>
        </is>
      </c>
      <c r="B8" s="2" t="inlineStr">
        <is>
          <t>E4C5566A8039580B94A70655E65ABF4C34932F9624B9038EE5F50C5840898484</t>
        </is>
      </c>
      <c r="C8" s="2" t="inlineStr">
        <is>
          <t>SHA-256 at freeze/final handoff time.</t>
        </is>
      </c>
    </row>
    <row r="9" ht="42" customHeight="1">
      <c r="A9" s="3" t="inlineStr">
        <is>
          <t>snapshot_sha256</t>
        </is>
      </c>
      <c r="B9" s="3" t="inlineStr">
        <is>
          <t>E4C5566A8039580B94A70655E65ABF4C34932F9624B9038EE5F50C5840898484</t>
        </is>
      </c>
      <c r="C9" s="3" t="inlineStr">
        <is>
          <t>SHA-256 of workbook copy in source_snapshot.</t>
        </is>
      </c>
    </row>
    <row r="10" ht="42" customHeight="1">
      <c r="A10" s="2" t="inlineStr">
        <is>
          <t>scope</t>
        </is>
      </c>
      <c r="B10" s="2" t="inlineStr">
        <is>
          <t>10 products, 68/68 images</t>
        </is>
      </c>
      <c r="C10" s="2" t="inlineStr">
        <is>
          <t>Batch scope and image coverage.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Formula-driven average final score in workbook.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PASSED only if all products are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Product QA status counts.</t>
        </is>
      </c>
    </row>
    <row r="14" ht="42" customHeight="1">
      <c r="A14" s="2" t="inlineStr">
        <is>
          <t>issue_counts</t>
        </is>
      </c>
      <c r="B14" s="2" t="inlineStr">
        <is>
          <t>CRITICAL=0; MAJOR=20; MINOR=58; LIMITATION=10</t>
        </is>
      </c>
      <c r="C14" s="2" t="inlineStr">
        <is>
          <t>Issue severity counts.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QA next batch until user confirms.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131</v>
      </c>
      <c r="B2" s="2" t="inlineStr">
        <is>
          <t>jeminise.com+custom-wolf-wearing-headdress-centered-close-up-comforter-with-wolf-head-2d14ed690a-2d14ed690a</t>
        </is>
      </c>
      <c r="C2" s="4" t="inlineStr">
        <is>
          <t>https://jeminise.com/products/custom-wolf-wearing-headdress-centered-close-up-comforter-with-wolf-head-2d14ed690a-2d14ed690a</t>
        </is>
      </c>
      <c r="D2" s="2" t="inlineStr">
        <is>
          <t>custom-wolf-wearing-headdress-centered-close-up-comforter-with-wolf-head-2d14ed690a-2d14ed690a</t>
        </is>
      </c>
      <c r="E2" s="2" t="inlineStr">
        <is>
          <t>8837155815623</t>
        </is>
      </c>
      <c r="F2" s="2" t="inlineStr">
        <is>
          <t>r1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COUNTIFS('QA_Issues'!$B$2:$B$89,B2,'QA_Issues'!$D$2:$D$89,"CRITICAL")</f>
        <v/>
      </c>
      <c r="S2" s="2">
        <f>COUNTIFS('QA_Issues'!$B$2:$B$89,B2,'QA_Issues'!$D$2:$D$89,"MAJOR")</f>
        <v/>
      </c>
      <c r="T2" s="2">
        <f>COUNTIFS('QA_Issues'!$B$2:$B$89,B2,'QA_Issues'!$D$2:$D$89,"MINOR")</f>
        <v/>
      </c>
      <c r="U2" s="2">
        <f>COUNTIFS('QA_Issues'!$B$2:$B$89,B2,'QA_Issues'!$D$2:$D$89,"LIMITATION")</f>
        <v/>
      </c>
      <c r="V2" s="2" t="inlineStr">
        <is>
          <t>ISSUE-0001; ISSUE-0002; ISSUE-0003; ISSUE-0004; ISSUE-0005; ISSUE-0006; ISSUE-0007</t>
        </is>
      </c>
      <c r="W2" s="2" t="inlineStr">
        <is>
          <t>evidence_batch_014_131; live_source_comparison; customizer_audit; serp_evidence</t>
        </is>
      </c>
    </row>
    <row r="3" ht="42" customHeight="1">
      <c r="A3" s="3" t="n">
        <v>132</v>
      </c>
      <c r="B3" s="3" t="inlineStr">
        <is>
          <t>jeminise.com+decorative-softball-bedding-set-bright-teal-yellow-sports-comforter</t>
        </is>
      </c>
      <c r="C3" s="4" t="inlineStr">
        <is>
          <t>https://jeminise.com/products/decorative-softball-bedding-set-bright-teal-yellow-sports-comforter</t>
        </is>
      </c>
      <c r="D3" s="3" t="inlineStr">
        <is>
          <t>decorative-softball-bedding-set-bright-teal-yellow-sports-comforter</t>
        </is>
      </c>
      <c r="E3" s="3" t="inlineStr">
        <is>
          <t>8867219341511</t>
        </is>
      </c>
      <c r="F3" s="3" t="inlineStr">
        <is>
          <t>r1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COUNTIFS('QA_Issues'!$B$2:$B$89,B3,'QA_Issues'!$D$2:$D$89,"CRITICAL")</f>
        <v/>
      </c>
      <c r="S3" s="3">
        <f>COUNTIFS('QA_Issues'!$B$2:$B$89,B3,'QA_Issues'!$D$2:$D$89,"MAJOR")</f>
        <v/>
      </c>
      <c r="T3" s="3">
        <f>COUNTIFS('QA_Issues'!$B$2:$B$89,B3,'QA_Issues'!$D$2:$D$89,"MINOR")</f>
        <v/>
      </c>
      <c r="U3" s="3">
        <f>COUNTIFS('QA_Issues'!$B$2:$B$89,B3,'QA_Issues'!$D$2:$D$89,"LIMITATION")</f>
        <v/>
      </c>
      <c r="V3" s="3" t="inlineStr">
        <is>
          <t>ISSUE-0008; ISSUE-0009; ISSUE-0010; ISSUE-0011; ISSUE-0012; ISSUE-0013; ISSUE-0014; ISSUE-0015; ISSUE-0016</t>
        </is>
      </c>
      <c r="W3" s="3" t="inlineStr">
        <is>
          <t>evidence_batch_014_132; live_source_comparison; customizer_audit; serp_evidence</t>
        </is>
      </c>
    </row>
    <row r="4" ht="42" customHeight="1">
      <c r="A4" s="2" t="n">
        <v>133</v>
      </c>
      <c r="B4" s="2" t="inlineStr">
        <is>
          <t>jeminise.com+desert-cactus-printed-quilt-set-vibrant-cactus-flower-quilt</t>
        </is>
      </c>
      <c r="C4" s="4" t="inlineStr">
        <is>
          <t>https://jeminise.com/products/desert-cactus-printed-quilt-set-vibrant-cactus-flower-quilt</t>
        </is>
      </c>
      <c r="D4" s="2" t="inlineStr">
        <is>
          <t>desert-cactus-printed-quilt-set-vibrant-cactus-flower-quilt</t>
        </is>
      </c>
      <c r="E4" s="2" t="inlineStr">
        <is>
          <t>8859639873735</t>
        </is>
      </c>
      <c r="F4" s="2" t="inlineStr">
        <is>
          <t>r1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COUNTIFS('QA_Issues'!$B$2:$B$89,B4,'QA_Issues'!$D$2:$D$89,"CRITICAL")</f>
        <v/>
      </c>
      <c r="S4" s="2">
        <f>COUNTIFS('QA_Issues'!$B$2:$B$89,B4,'QA_Issues'!$D$2:$D$89,"MAJOR")</f>
        <v/>
      </c>
      <c r="T4" s="2">
        <f>COUNTIFS('QA_Issues'!$B$2:$B$89,B4,'QA_Issues'!$D$2:$D$89,"MINOR")</f>
        <v/>
      </c>
      <c r="U4" s="2">
        <f>COUNTIFS('QA_Issues'!$B$2:$B$89,B4,'QA_Issues'!$D$2:$D$89,"LIMITATION")</f>
        <v/>
      </c>
      <c r="V4" s="2" t="inlineStr">
        <is>
          <t>ISSUE-0017; ISSUE-0018; ISSUE-0019; ISSUE-0020; ISSUE-0021; ISSUE-0022; ISSUE-0023; ISSUE-0024; ISSUE-0025</t>
        </is>
      </c>
      <c r="W4" s="2" t="inlineStr">
        <is>
          <t>evidence_batch_014_133; live_source_comparison; customizer_audit; serp_evidence</t>
        </is>
      </c>
    </row>
    <row r="5" ht="42" customHeight="1">
      <c r="A5" s="3" t="n">
        <v>134</v>
      </c>
      <c r="B5" s="3" t="inlineStr">
        <is>
          <t>jeminise.com+dragonfly-couple-quilt-set-dragonflies-patchwork-style-quilt-set</t>
        </is>
      </c>
      <c r="C5" s="4" t="inlineStr">
        <is>
          <t>https://jeminise.com/products/dragonfly-couple-quilt-set-dragonflies-patchwork-style-quilt-set</t>
        </is>
      </c>
      <c r="D5" s="3" t="inlineStr">
        <is>
          <t>dragonfly-couple-quilt-set-dragonflies-patchwork-style-quilt-set</t>
        </is>
      </c>
      <c r="E5" s="3" t="inlineStr">
        <is>
          <t>8867097346247</t>
        </is>
      </c>
      <c r="F5" s="3" t="inlineStr">
        <is>
          <t>r1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COUNTIFS('QA_Issues'!$B$2:$B$89,B5,'QA_Issues'!$D$2:$D$89,"CRITICAL")</f>
        <v/>
      </c>
      <c r="S5" s="3">
        <f>COUNTIFS('QA_Issues'!$B$2:$B$89,B5,'QA_Issues'!$D$2:$D$89,"MAJOR")</f>
        <v/>
      </c>
      <c r="T5" s="3">
        <f>COUNTIFS('QA_Issues'!$B$2:$B$89,B5,'QA_Issues'!$D$2:$D$89,"MINOR")</f>
        <v/>
      </c>
      <c r="U5" s="3">
        <f>COUNTIFS('QA_Issues'!$B$2:$B$89,B5,'QA_Issues'!$D$2:$D$89,"LIMITATION")</f>
        <v/>
      </c>
      <c r="V5" s="3" t="inlineStr">
        <is>
          <t>ISSUE-0026; ISSUE-0027; ISSUE-0028; ISSUE-0029; ISSUE-0030; ISSUE-0031; ISSUE-0032; ISSUE-0033; ISSUE-0034</t>
        </is>
      </c>
      <c r="W5" s="3" t="inlineStr">
        <is>
          <t>evidence_batch_014_134; live_source_comparison; customizer_audit; serp_evidence</t>
        </is>
      </c>
    </row>
    <row r="6" ht="42" customHeight="1">
      <c r="A6" s="2" t="n">
        <v>135</v>
      </c>
      <c r="B6" s="2" t="inlineStr">
        <is>
          <t>jeminise.com+dragonfly-patchwork-pattern-quilt-set-animal-style-dragonfly-quilt</t>
        </is>
      </c>
      <c r="C6" s="4" t="inlineStr">
        <is>
          <t>https://jeminise.com/products/dragonfly-patchwork-pattern-quilt-set-animal-style-dragonfly-quilt</t>
        </is>
      </c>
      <c r="D6" s="2" t="inlineStr">
        <is>
          <t>dragonfly-patchwork-pattern-quilt-set-animal-style-dragonfly-quilt</t>
        </is>
      </c>
      <c r="E6" s="2" t="inlineStr">
        <is>
          <t>8867094200519</t>
        </is>
      </c>
      <c r="F6" s="2" t="inlineStr">
        <is>
          <t>r1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COUNTIFS('QA_Issues'!$B$2:$B$89,B6,'QA_Issues'!$D$2:$D$89,"CRITICAL")</f>
        <v/>
      </c>
      <c r="S6" s="2">
        <f>COUNTIFS('QA_Issues'!$B$2:$B$89,B6,'QA_Issues'!$D$2:$D$89,"MAJOR")</f>
        <v/>
      </c>
      <c r="T6" s="2">
        <f>COUNTIFS('QA_Issues'!$B$2:$B$89,B6,'QA_Issues'!$D$2:$D$89,"MINOR")</f>
        <v/>
      </c>
      <c r="U6" s="2">
        <f>COUNTIFS('QA_Issues'!$B$2:$B$89,B6,'QA_Issues'!$D$2:$D$89,"LIMITATION")</f>
        <v/>
      </c>
      <c r="V6" s="2" t="inlineStr">
        <is>
          <t>ISSUE-0035; ISSUE-0036; ISSUE-0037; ISSUE-0038; ISSUE-0039; ISSUE-0040; ISSUE-0041; ISSUE-0042; ISSUE-0043</t>
        </is>
      </c>
      <c r="W6" s="2" t="inlineStr">
        <is>
          <t>evidence_batch_014_135; live_source_comparison; customizer_audit; serp_evidence</t>
        </is>
      </c>
    </row>
    <row r="7" ht="42" customHeight="1">
      <c r="A7" s="3" t="n">
        <v>136</v>
      </c>
      <c r="B7" s="3" t="inlineStr">
        <is>
          <t>jeminise.com+dragonfly-patchwork-quilt-set-animal-patchwork-bedset-dragonfly</t>
        </is>
      </c>
      <c r="C7" s="4" t="inlineStr">
        <is>
          <t>https://jeminise.com/products/dragonfly-patchwork-quilt-set-animal-patchwork-bedset-dragonfly</t>
        </is>
      </c>
      <c r="D7" s="3" t="inlineStr">
        <is>
          <t>dragonfly-patchwork-quilt-set-animal-patchwork-bedset-dragonfly</t>
        </is>
      </c>
      <c r="E7" s="3" t="inlineStr">
        <is>
          <t>8867095216327</t>
        </is>
      </c>
      <c r="F7" s="3" t="inlineStr">
        <is>
          <t>r1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COUNTIFS('QA_Issues'!$B$2:$B$89,B7,'QA_Issues'!$D$2:$D$89,"CRITICAL")</f>
        <v/>
      </c>
      <c r="S7" s="3">
        <f>COUNTIFS('QA_Issues'!$B$2:$B$89,B7,'QA_Issues'!$D$2:$D$89,"MAJOR")</f>
        <v/>
      </c>
      <c r="T7" s="3">
        <f>COUNTIFS('QA_Issues'!$B$2:$B$89,B7,'QA_Issues'!$D$2:$D$89,"MINOR")</f>
        <v/>
      </c>
      <c r="U7" s="3">
        <f>COUNTIFS('QA_Issues'!$B$2:$B$89,B7,'QA_Issues'!$D$2:$D$89,"LIMITATION")</f>
        <v/>
      </c>
      <c r="V7" s="3" t="inlineStr">
        <is>
          <t>ISSUE-0044; ISSUE-0045; ISSUE-0046; ISSUE-0047; ISSUE-0048; ISSUE-0049; ISSUE-0050; ISSUE-0051; ISSUE-0052</t>
        </is>
      </c>
      <c r="W7" s="3" t="inlineStr">
        <is>
          <t>evidence_batch_014_136; live_source_comparison; customizer_audit; serp_evidence</t>
        </is>
      </c>
    </row>
    <row r="8" ht="42" customHeight="1">
      <c r="A8" s="2" t="n">
        <v>137</v>
      </c>
      <c r="B8" s="2" t="inlineStr">
        <is>
          <t>jeminise.com+dragonfly-pattern-quilt-set-dragonflies-vintage-quilt-set-patchwork</t>
        </is>
      </c>
      <c r="C8" s="4" t="inlineStr">
        <is>
          <t>https://jeminise.com/products/dragonfly-pattern-quilt-set-dragonflies-vintage-quilt-set-patchwork</t>
        </is>
      </c>
      <c r="D8" s="2" t="inlineStr">
        <is>
          <t>dragonfly-pattern-quilt-set-dragonflies-vintage-quilt-set-patchwork</t>
        </is>
      </c>
      <c r="E8" s="2" t="inlineStr">
        <is>
          <t>8867093741767</t>
        </is>
      </c>
      <c r="F8" s="2" t="inlineStr">
        <is>
          <t>r1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COUNTIFS('QA_Issues'!$B$2:$B$89,B8,'QA_Issues'!$D$2:$D$89,"CRITICAL")</f>
        <v/>
      </c>
      <c r="S8" s="2">
        <f>COUNTIFS('QA_Issues'!$B$2:$B$89,B8,'QA_Issues'!$D$2:$D$89,"MAJOR")</f>
        <v/>
      </c>
      <c r="T8" s="2">
        <f>COUNTIFS('QA_Issues'!$B$2:$B$89,B8,'QA_Issues'!$D$2:$D$89,"MINOR")</f>
        <v/>
      </c>
      <c r="U8" s="2">
        <f>COUNTIFS('QA_Issues'!$B$2:$B$89,B8,'QA_Issues'!$D$2:$D$89,"LIMITATION")</f>
        <v/>
      </c>
      <c r="V8" s="2" t="inlineStr">
        <is>
          <t>ISSUE-0053; ISSUE-0054; ISSUE-0055; ISSUE-0056; ISSUE-0057; ISSUE-0058; ISSUE-0059; ISSUE-0060; ISSUE-0061</t>
        </is>
      </c>
      <c r="W8" s="2" t="inlineStr">
        <is>
          <t>evidence_batch_014_137; live_source_comparison; customizer_audit; serp_evidence</t>
        </is>
      </c>
    </row>
    <row r="9" ht="42" customHeight="1">
      <c r="A9" s="3" t="n">
        <v>138</v>
      </c>
      <c r="B9" s="3" t="inlineStr">
        <is>
          <t>jeminise.com+elephant-patchwork-pattern-quilt-set-animal-farmhouse-quilt-set</t>
        </is>
      </c>
      <c r="C9" s="4" t="inlineStr">
        <is>
          <t>https://jeminise.com/products/elephant-patchwork-pattern-quilt-set-animal-farmhouse-quilt-set</t>
        </is>
      </c>
      <c r="D9" s="3" t="inlineStr">
        <is>
          <t>elephant-patchwork-pattern-quilt-set-animal-farmhouse-quilt-set</t>
        </is>
      </c>
      <c r="E9" s="3" t="inlineStr">
        <is>
          <t>8867094462663</t>
        </is>
      </c>
      <c r="F9" s="3" t="inlineStr">
        <is>
          <t>r1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COUNTIFS('QA_Issues'!$B$2:$B$89,B9,'QA_Issues'!$D$2:$D$89,"CRITICAL")</f>
        <v/>
      </c>
      <c r="S9" s="3">
        <f>COUNTIFS('QA_Issues'!$B$2:$B$89,B9,'QA_Issues'!$D$2:$D$89,"MAJOR")</f>
        <v/>
      </c>
      <c r="T9" s="3">
        <f>COUNTIFS('QA_Issues'!$B$2:$B$89,B9,'QA_Issues'!$D$2:$D$89,"MINOR")</f>
        <v/>
      </c>
      <c r="U9" s="3">
        <f>COUNTIFS('QA_Issues'!$B$2:$B$89,B9,'QA_Issues'!$D$2:$D$89,"LIMITATION")</f>
        <v/>
      </c>
      <c r="V9" s="3" t="inlineStr">
        <is>
          <t>ISSUE-0062; ISSUE-0063; ISSUE-0064; ISSUE-0065; ISSUE-0066; ISSUE-0067; ISSUE-0068; ISSUE-0069; ISSUE-0070</t>
        </is>
      </c>
      <c r="W9" s="3" t="inlineStr">
        <is>
          <t>evidence_batch_014_138; live_source_comparison; customizer_audit; serp_evidence</t>
        </is>
      </c>
    </row>
    <row r="10" ht="42" customHeight="1">
      <c r="A10" s="2" t="n">
        <v>139</v>
      </c>
      <c r="B10" s="2" t="inlineStr">
        <is>
          <t>jeminise.com+elephant-quilt-set-animal-patchwork-printed-quilt-bedset-patchwork</t>
        </is>
      </c>
      <c r="C10" s="4" t="inlineStr">
        <is>
          <t>https://jeminise.com/products/elephant-quilt-set-animal-patchwork-printed-quilt-bedset-patchwork</t>
        </is>
      </c>
      <c r="D10" s="2" t="inlineStr">
        <is>
          <t>elephant-quilt-set-animal-patchwork-printed-quilt-bedset-patchwork</t>
        </is>
      </c>
      <c r="E10" s="2" t="inlineStr">
        <is>
          <t>8867095838919</t>
        </is>
      </c>
      <c r="F10" s="2" t="inlineStr">
        <is>
          <t>r1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COUNTIFS('QA_Issues'!$B$2:$B$89,B10,'QA_Issues'!$D$2:$D$89,"CRITICAL")</f>
        <v/>
      </c>
      <c r="S10" s="2">
        <f>COUNTIFS('QA_Issues'!$B$2:$B$89,B10,'QA_Issues'!$D$2:$D$89,"MAJOR")</f>
        <v/>
      </c>
      <c r="T10" s="2">
        <f>COUNTIFS('QA_Issues'!$B$2:$B$89,B10,'QA_Issues'!$D$2:$D$89,"MINOR")</f>
        <v/>
      </c>
      <c r="U10" s="2">
        <f>COUNTIFS('QA_Issues'!$B$2:$B$89,B10,'QA_Issues'!$D$2:$D$89,"LIMITATION")</f>
        <v/>
      </c>
      <c r="V10" s="2" t="inlineStr">
        <is>
          <t>ISSUE-0071; ISSUE-0072; ISSUE-0073; ISSUE-0074; ISSUE-0075; ISSUE-0076; ISSUE-0077; ISSUE-0078; ISSUE-0079</t>
        </is>
      </c>
      <c r="W10" s="2" t="inlineStr">
        <is>
          <t>evidence_batch_014_139; live_source_comparison; customizer_audit; serp_evidence</t>
        </is>
      </c>
    </row>
    <row r="11" ht="42" customHeight="1">
      <c r="A11" s="3" t="n">
        <v>140</v>
      </c>
      <c r="B11" s="3" t="inlineStr">
        <is>
          <t>jeminise.com+fantasy-art-fantasy-dragon-comforter-set-with-dragon-scales-and-bedroom-setting-239aaba3e2-239aaba3e2</t>
        </is>
      </c>
      <c r="C11" s="4" t="inlineStr">
        <is>
          <t>https://jeminise.com/products/fantasy-art-fantasy-dragon-comforter-set-with-dragon-scales-and-bedroom-setting-239aaba3e2-239aaba3e2</t>
        </is>
      </c>
      <c r="D11" s="3" t="inlineStr">
        <is>
          <t>fantasy-art-fantasy-dragon-comforter-set-with-dragon-scales-and-bedroom-setting-239aaba3e2-239aaba3e2</t>
        </is>
      </c>
      <c r="E11" s="3" t="inlineStr">
        <is>
          <t>8833333493959</t>
        </is>
      </c>
      <c r="F11" s="3" t="inlineStr">
        <is>
          <t>r1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7</v>
      </c>
      <c r="O11" s="3" t="n">
        <v>7</v>
      </c>
      <c r="P11" s="3" t="b">
        <v>1</v>
      </c>
      <c r="Q11" s="8" t="n">
        <v>1</v>
      </c>
      <c r="R11" s="3">
        <f>COUNTIFS('QA_Issues'!$B$2:$B$89,B11,'QA_Issues'!$D$2:$D$89,"CRITICAL")</f>
        <v/>
      </c>
      <c r="S11" s="3">
        <f>COUNTIFS('QA_Issues'!$B$2:$B$89,B11,'QA_Issues'!$D$2:$D$89,"MAJOR")</f>
        <v/>
      </c>
      <c r="T11" s="3">
        <f>COUNTIFS('QA_Issues'!$B$2:$B$89,B11,'QA_Issues'!$D$2:$D$89,"MINOR")</f>
        <v/>
      </c>
      <c r="U11" s="3">
        <f>COUNTIFS('QA_Issues'!$B$2:$B$89,B11,'QA_Issues'!$D$2:$D$89,"LIMITATION")</f>
        <v/>
      </c>
      <c r="V11" s="3" t="inlineStr">
        <is>
          <t>ISSUE-0080; ISSUE-0081; ISSUE-0082; ISSUE-0083; ISSUE-0084; ISSUE-0085; ISSUE-0086; ISSUE-0087; ISSUE-0088</t>
        </is>
      </c>
      <c r="W11" s="3" t="inlineStr">
        <is>
          <t>evidence_batch_014_140;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jeminise.com+custom-wolf-wearing-headdress-centered-close-up-comforter-with-wolf-head-2d14ed690a-2d14ed690a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IF(B2="I1",AVERAGEIF('QA_Images'!$A$2:$A$69,A2,'QA_Images'!$T$2:$T$69)/100,IF(D2="FULL",1,IF(D2="PARTIAL",0.5,IF(D2="FAIL",0,""))))</f>
        <v/>
      </c>
      <c r="F2" s="5">
        <f>IF(E2="",0,C2*E2)</f>
        <v/>
      </c>
      <c r="G2" s="5">
        <f>IF(B2="I1",20*AVERAGEIF('QA_Images'!$A$2:$A$69,A2,'QA_Images'!$U$2:$U$69)/100,IF(D2="NOT_CHECKED",0,C2))</f>
        <v/>
      </c>
      <c r="H2" s="2" t="inlineStr">
        <is>
          <t>Product identity, handle, product ID, URL and canonical match source/live evidence. Product key/handle/product ID/canonical checked against frozen workbook and live product evidence.</t>
        </is>
      </c>
      <c r="I2" s="2" t="inlineStr">
        <is>
          <t>evidence_batch_014_131</t>
        </is>
      </c>
      <c r="J2" s="2" t="inlineStr">
        <is>
          <t>ISSUE-0001; ISSUE-0002; ISSUE-0003; ISSUE-0004</t>
        </is>
      </c>
    </row>
    <row r="3" ht="42" customHeight="1">
      <c r="A3" s="3" t="inlineStr">
        <is>
          <t>jeminise.com+custom-wolf-wearing-headdress-centered-close-up-comforter-with-wolf-head-2d14ed690a-2d14ed690a</t>
        </is>
      </c>
      <c r="B3" s="3" t="inlineStr">
        <is>
          <t>P2</t>
        </is>
      </c>
      <c r="C3" s="3" t="n">
        <v>10</v>
      </c>
      <c r="D3" s="3" t="inlineStr">
        <is>
          <t>PARTIAL</t>
        </is>
      </c>
      <c r="E3" s="7">
        <f>IF(B3="I1",AVERAGEIF('QA_Images'!$A$2:$A$69,A3,'QA_Images'!$T$2:$T$69)/100,IF(D3="FULL",1,IF(D3="PARTIAL",0.5,IF(D3="FAIL",0,""))))</f>
        <v/>
      </c>
      <c r="F3" s="7">
        <f>IF(E3="",0,C3*E3)</f>
        <v/>
      </c>
      <c r="G3" s="7">
        <f>IF(B3="I1",20*AVERAGEIF('QA_Images'!$A$2:$A$69,A3,'QA_Images'!$U$2:$U$69)/100,IF(D3="NOT_CHECKED",0,C3))</f>
        <v/>
      </c>
      <c r="H3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3" s="3" t="inlineStr">
        <is>
          <t>evidence_batch_014_131</t>
        </is>
      </c>
      <c r="J3" s="3" t="inlineStr">
        <is>
          <t>ISSUE-0001; ISSUE-0002; ISSUE-0003; ISSUE-0004</t>
        </is>
      </c>
    </row>
    <row r="4" ht="42" customHeight="1">
      <c r="A4" s="2" t="inlineStr">
        <is>
          <t>jeminise.com+custom-wolf-wearing-headdress-centered-close-up-comforter-with-wolf-head-2d14ed690a-2d14ed690a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IF(B4="I1",AVERAGEIF('QA_Images'!$A$2:$A$69,A4,'QA_Images'!$T$2:$T$69)/100,IF(D4="FULL",1,IF(D4="PARTIAL",0.5,IF(D4="FAIL",0,""))))</f>
        <v/>
      </c>
      <c r="F4" s="5">
        <f>IF(E4="",0,C4*E4)</f>
        <v/>
      </c>
      <c r="G4" s="5">
        <f>IF(B4="I1",20*AVERAGEIF('QA_Images'!$A$2:$A$69,A4,'QA_Images'!$U$2:$U$69)/100,IF(D4="NOT_CHECKED",0,C4))</f>
        <v/>
      </c>
      <c r="H4" s="2" t="inlineStr">
        <is>
          <t>Primary keyword aligns with product-level US purchase intent. Primary keyword rechecked against US product-level SERP comparables.</t>
        </is>
      </c>
      <c r="I4" s="2" t="inlineStr">
        <is>
          <t>evidence_batch_014_131</t>
        </is>
      </c>
      <c r="J4" s="2" t="inlineStr">
        <is>
          <t>ISSUE-0001; ISSUE-0002; ISSUE-0003; ISSUE-0004</t>
        </is>
      </c>
    </row>
    <row r="5" ht="42" customHeight="1">
      <c r="A5" s="3" t="inlineStr">
        <is>
          <t>jeminise.com+custom-wolf-wearing-headdress-centered-close-up-comforter-with-wolf-head-2d14ed690a-2d14ed690a</t>
        </is>
      </c>
      <c r="B5" s="3" t="inlineStr">
        <is>
          <t>K2</t>
        </is>
      </c>
      <c r="C5" s="3" t="n">
        <v>5</v>
      </c>
      <c r="D5" s="3" t="inlineStr">
        <is>
          <t>PARTIAL</t>
        </is>
      </c>
      <c r="E5" s="7">
        <f>IF(B5="I1",AVERAGEIF('QA_Images'!$A$2:$A$69,A5,'QA_Images'!$T$2:$T$69)/100,IF(D5="FULL",1,IF(D5="PARTIAL",0.5,IF(D5="FAIL",0,""))))</f>
        <v/>
      </c>
      <c r="F5" s="7">
        <f>IF(E5="",0,C5*E5)</f>
        <v/>
      </c>
      <c r="G5" s="7">
        <f>IF(B5="I1",20*AVERAGEIF('QA_Images'!$A$2:$A$69,A5,'QA_Images'!$U$2:$U$69)/100,IF(D5="NOT_CHECKED",0,C5))</f>
        <v/>
      </c>
      <c r="H5" s="3" t="inlineStr">
        <is>
          <t>Intent/cannibalization check distinguishes nearby products. Nearby product cluster has overlap risk, so intent distinction remains only partial.</t>
        </is>
      </c>
      <c r="I5" s="3" t="inlineStr">
        <is>
          <t>evidence_batch_014_131</t>
        </is>
      </c>
      <c r="J5" s="3" t="inlineStr">
        <is>
          <t>ISSUE-0001; ISSUE-0002; ISSUE-0003; ISSUE-0004</t>
        </is>
      </c>
    </row>
    <row r="6" ht="42" customHeight="1">
      <c r="A6" s="2" t="inlineStr">
        <is>
          <t>jeminise.com+custom-wolf-wearing-headdress-centered-close-up-comforter-with-wolf-head-2d14ed690a-2d14ed690a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IF(B6="I1",AVERAGEIF('QA_Images'!$A$2:$A$69,A6,'QA_Images'!$T$2:$T$69)/100,IF(D6="FULL",1,IF(D6="PARTIAL",0.5,IF(D6="FAIL",0,""))))</f>
        <v/>
      </c>
      <c r="F6" s="5">
        <f>IF(E6="",0,C6*E6)</f>
        <v/>
      </c>
      <c r="G6" s="5">
        <f>IF(B6="I1",20*AVERAGEIF('QA_Images'!$A$2:$A$69,A6,'QA_Images'!$U$2:$U$69)/100,IF(D6="NOT_CHECKED",0,C6))</f>
        <v/>
      </c>
      <c r="H6" s="2" t="inlineStr">
        <is>
          <t>Keyword evidence is supported by SERP comparables without unsupported volume claims. Evidence is public SERP only; no Search Console, keyword volume or customer-search corpus provided.</t>
        </is>
      </c>
      <c r="I6" s="2" t="inlineStr">
        <is>
          <t>evidence_batch_014_131</t>
        </is>
      </c>
      <c r="J6" s="2" t="inlineStr">
        <is>
          <t>ISSUE-0001; ISSUE-0002; ISSUE-0003; ISSUE-0004</t>
        </is>
      </c>
    </row>
    <row r="7" ht="42" customHeight="1">
      <c r="A7" s="3" t="inlineStr">
        <is>
          <t>jeminise.com+custom-wolf-wearing-headdress-centered-close-up-comforter-with-wolf-head-2d14ed690a-2d14ed690a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IF(B7="I1",AVERAGEIF('QA_Images'!$A$2:$A$69,A7,'QA_Images'!$T$2:$T$69)/100,IF(D7="FULL",1,IF(D7="PARTIAL",0.5,IF(D7="FAIL",0,""))))</f>
        <v/>
      </c>
      <c r="F7" s="7">
        <f>IF(E7="",0,C7*E7)</f>
        <v/>
      </c>
      <c r="G7" s="7">
        <f>IF(B7="I1",20*AVERAGEIF('QA_Images'!$A$2:$A$69,A7,'QA_Images'!$U$2:$U$69)/100,IF(D7="NOT_CHECKED",0,C7))</f>
        <v/>
      </c>
      <c r="H7" s="3" t="inlineStr">
        <is>
          <t>SEO title and H1 are relevant, specific and grounded in visible/source facts. Title/H1 are product-specific and tied to visible motif/product type.</t>
        </is>
      </c>
      <c r="I7" s="3" t="inlineStr">
        <is>
          <t>evidence_batch_014_131</t>
        </is>
      </c>
      <c r="J7" s="3" t="inlineStr">
        <is>
          <t>ISSUE-0001; ISSUE-0002; ISSUE-0003; ISSUE-0004</t>
        </is>
      </c>
    </row>
    <row r="8" ht="42" customHeight="1">
      <c r="A8" s="2" t="inlineStr">
        <is>
          <t>jeminise.com+custom-wolf-wearing-headdress-centered-close-up-comforter-with-wolf-head-2d14ed690a-2d14ed690a</t>
        </is>
      </c>
      <c r="B8" s="2" t="inlineStr">
        <is>
          <t>T2</t>
        </is>
      </c>
      <c r="C8" s="2" t="n">
        <v>5</v>
      </c>
      <c r="D8" s="2" t="inlineStr">
        <is>
          <t>PARTIAL</t>
        </is>
      </c>
      <c r="E8" s="5">
        <f>IF(B8="I1",AVERAGEIF('QA_Images'!$A$2:$A$69,A8,'QA_Images'!$T$2:$T$69)/100,IF(D8="FULL",1,IF(D8="PARTIAL",0.5,IF(D8="FAIL",0,""))))</f>
        <v/>
      </c>
      <c r="F8" s="5">
        <f>IF(E8="",0,C8*E8)</f>
        <v/>
      </c>
      <c r="G8" s="5">
        <f>IF(B8="I1",20*AVERAGEIF('QA_Images'!$A$2:$A$69,A8,'QA_Images'!$U$2:$U$69)/100,IF(D8="NOT_CHECKED",0,C8))</f>
        <v/>
      </c>
      <c r="H8" s="2" t="inlineStr">
        <is>
          <t>Meta description is concise, publish-ready and avoids unsupported claims. Meta description checked for length, specificity and supportable claims.</t>
        </is>
      </c>
      <c r="I8" s="2" t="inlineStr">
        <is>
          <t>evidence_batch_014_131</t>
        </is>
      </c>
      <c r="J8" s="2" t="inlineStr">
        <is>
          <t>ISSUE-0001; ISSUE-0002; ISSUE-0003; ISSUE-0004</t>
        </is>
      </c>
    </row>
    <row r="9" ht="42" customHeight="1">
      <c r="A9" s="3" t="inlineStr">
        <is>
          <t>jeminise.com+custom-wolf-wearing-headdress-centered-close-up-comforter-with-wolf-head-2d14ed690a-2d14ed690a</t>
        </is>
      </c>
      <c r="B9" s="3" t="inlineStr">
        <is>
          <t>D1</t>
        </is>
      </c>
      <c r="C9" s="3" t="n">
        <v>10</v>
      </c>
      <c r="D9" s="3" t="inlineStr">
        <is>
          <t>FAIL</t>
        </is>
      </c>
      <c r="E9" s="7">
        <f>IF(B9="I1",AVERAGEIF('QA_Images'!$A$2:$A$69,A9,'QA_Images'!$T$2:$T$69)/100,IF(D9="FULL",1,IF(D9="PARTIAL",0.5,IF(D9="FAIL",0,""))))</f>
        <v/>
      </c>
      <c r="F9" s="7">
        <f>IF(E9="",0,C9*E9)</f>
        <v/>
      </c>
      <c r="G9" s="7">
        <f>IF(B9="I1",20*AVERAGEIF('QA_Images'!$A$2:$A$69,A9,'QA_Images'!$U$2:$U$69)/100,IF(D9="NOT_CHECKED",0,C9))</f>
        <v/>
      </c>
      <c r="H9" s="3" t="inlineStr">
        <is>
          <t>Description HTML is publish-ready and free of internal draft/QA instructions. Description HTML still contains internal QA/import language.</t>
        </is>
      </c>
      <c r="I9" s="3" t="inlineStr">
        <is>
          <t>evidence_batch_014_131</t>
        </is>
      </c>
      <c r="J9" s="3" t="inlineStr">
        <is>
          <t>ISSUE-0001; ISSUE-0002; ISSUE-0003; ISSUE-0004</t>
        </is>
      </c>
    </row>
    <row r="10" ht="42" customHeight="1">
      <c r="A10" s="2" t="inlineStr">
        <is>
          <t>jeminise.com+custom-wolf-wearing-headdress-centered-close-up-comforter-with-wolf-head-2d14ed690a-2d14ed690a</t>
        </is>
      </c>
      <c r="B10" s="2" t="inlineStr">
        <is>
          <t>D2</t>
        </is>
      </c>
      <c r="C10" s="2" t="n">
        <v>5</v>
      </c>
      <c r="D10" s="2" t="inlineStr">
        <is>
          <t>PARTIAL</t>
        </is>
      </c>
      <c r="E10" s="5">
        <f>IF(B10="I1",AVERAGEIF('QA_Images'!$A$2:$A$69,A10,'QA_Images'!$T$2:$T$69)/100,IF(D10="FULL",1,IF(D10="PARTIAL",0.5,IF(D10="FAIL",0,""))))</f>
        <v/>
      </c>
      <c r="F10" s="5">
        <f>IF(E10="",0,C10*E10)</f>
        <v/>
      </c>
      <c r="G10" s="5">
        <f>IF(B10="I1",20*AVERAGEIF('QA_Images'!$A$2:$A$69,A10,'QA_Images'!$U$2:$U$69)/100,IF(D10="NOT_CHECKED",0,C10))</f>
        <v/>
      </c>
      <c r="H10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10" s="2" t="inlineStr">
        <is>
          <t>evidence_batch_014_131</t>
        </is>
      </c>
      <c r="J10" s="2" t="inlineStr">
        <is>
          <t>ISSUE-0001; ISSUE-0002; ISSUE-0003; ISSUE-0004</t>
        </is>
      </c>
    </row>
    <row r="11" ht="42" customHeight="1">
      <c r="A11" s="3" t="inlineStr">
        <is>
          <t>jeminise.com+custom-wolf-wearing-headdress-centered-close-up-comforter-with-wolf-head-2d14ed690a-2d14ed690a</t>
        </is>
      </c>
      <c r="B11" s="3" t="inlineStr">
        <is>
          <t>I1</t>
        </is>
      </c>
      <c r="C11" s="3" t="n">
        <v>20</v>
      </c>
      <c r="D11" s="3" t="inlineStr">
        <is>
          <t>FULL</t>
        </is>
      </c>
      <c r="E11" s="7">
        <f>IF(B11="I1",AVERAGEIF('QA_Images'!$A$2:$A$69,A11,'QA_Images'!$T$2:$T$69)/100,IF(D11="FULL",1,IF(D11="PARTIAL",0.5,IF(D11="FAIL",0,""))))</f>
        <v/>
      </c>
      <c r="F11" s="7">
        <f>IF(E11="",0,C11*E11)</f>
        <v/>
      </c>
      <c r="G11" s="7">
        <f>IF(B11="I1",20*AVERAGEIF('QA_Images'!$A$2:$A$69,A11,'QA_Images'!$U$2:$U$69)/100,IF(D11="NOT_CHECKED",0,C11))</f>
        <v/>
      </c>
      <c r="H11" s="3" t="inlineStr">
        <is>
          <t>Image coverage, image observations and alt text quality, derived from QA_Images. Derived from average image QA score; see QA_Images.</t>
        </is>
      </c>
      <c r="I11" s="3" t="inlineStr">
        <is>
          <t>evidence_batch_014_131</t>
        </is>
      </c>
      <c r="J11" s="3" t="inlineStr">
        <is>
          <t>ISSUE-0001; ISSUE-0002; ISSUE-0003; ISSUE-0004</t>
        </is>
      </c>
    </row>
    <row r="12" ht="42" customHeight="1">
      <c r="A12" s="2" t="inlineStr">
        <is>
          <t>jeminise.com+custom-wolf-wearing-headdress-centered-close-up-comforter-with-wolf-head-2d14ed690a-2d14ed690a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IF(B12="I1",AVERAGEIF('QA_Images'!$A$2:$A$69,A12,'QA_Images'!$T$2:$T$69)/100,IF(D12="FULL",1,IF(D12="PARTIAL",0.5,IF(D12="FAIL",0,""))))</f>
        <v/>
      </c>
      <c r="F12" s="5">
        <f>IF(E12="",0,C12*E12)</f>
        <v/>
      </c>
      <c r="G12" s="5">
        <f>IF(B12="I1",20*AVERAGEIF('QA_Images'!$A$2:$A$69,A12,'QA_Images'!$U$2:$U$69)/100,IF(D12="NOT_CHECKED",0,C12))</f>
        <v/>
      </c>
      <c r="H12" s="2" t="inlineStr">
        <is>
          <t>Evidence chain is traceable and limitations are explicitly separated from failures. Evidence chain is traceable, with admin-export limitation explicitly separated.</t>
        </is>
      </c>
      <c r="I12" s="2" t="inlineStr">
        <is>
          <t>evidence_batch_014_131</t>
        </is>
      </c>
      <c r="J12" s="2" t="inlineStr">
        <is>
          <t>ISSUE-0001; ISSUE-0002; ISSUE-0003; ISSUE-0004</t>
        </is>
      </c>
    </row>
    <row r="13" ht="42" customHeight="1">
      <c r="A13" s="3" t="inlineStr">
        <is>
          <t>jeminise.com+decorative-softball-bedding-set-bright-teal-yellow-sports-comforter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IF(B13="I1",AVERAGEIF('QA_Images'!$A$2:$A$69,A13,'QA_Images'!$T$2:$T$69)/100,IF(D13="FULL",1,IF(D13="PARTIAL",0.5,IF(D13="FAIL",0,""))))</f>
        <v/>
      </c>
      <c r="F13" s="7">
        <f>IF(E13="",0,C13*E13)</f>
        <v/>
      </c>
      <c r="G13" s="7">
        <f>IF(B13="I1",20*AVERAGEIF('QA_Images'!$A$2:$A$69,A13,'QA_Images'!$U$2:$U$69)/100,IF(D13="NOT_CHECKED",0,C13))</f>
        <v/>
      </c>
      <c r="H13" s="3" t="inlineStr">
        <is>
          <t>Product identity, handle, product ID, URL and canonical match source/live evidence. Product key/handle/product ID/canonical checked against frozen workbook and live product evidence.</t>
        </is>
      </c>
      <c r="I13" s="3" t="inlineStr">
        <is>
          <t>evidence_batch_014_132</t>
        </is>
      </c>
      <c r="J13" s="3" t="inlineStr">
        <is>
          <t>ISSUE-0008; ISSUE-0009; ISSUE-0010; ISSUE-0011</t>
        </is>
      </c>
    </row>
    <row r="14" ht="42" customHeight="1">
      <c r="A14" s="2" t="inlineStr">
        <is>
          <t>jeminise.com+decorative-softball-bedding-set-bright-teal-yellow-sports-comforter</t>
        </is>
      </c>
      <c r="B14" s="2" t="inlineStr">
        <is>
          <t>P2</t>
        </is>
      </c>
      <c r="C14" s="2" t="n">
        <v>10</v>
      </c>
      <c r="D14" s="2" t="inlineStr">
        <is>
          <t>PARTIAL</t>
        </is>
      </c>
      <c r="E14" s="5">
        <f>IF(B14="I1",AVERAGEIF('QA_Images'!$A$2:$A$69,A14,'QA_Images'!$T$2:$T$69)/100,IF(D14="FULL",1,IF(D14="PARTIAL",0.5,IF(D14="FAIL",0,""))))</f>
        <v/>
      </c>
      <c r="F14" s="5">
        <f>IF(E14="",0,C14*E14)</f>
        <v/>
      </c>
      <c r="G14" s="5">
        <f>IF(B14="I1",20*AVERAGEIF('QA_Images'!$A$2:$A$69,A14,'QA_Images'!$U$2:$U$69)/100,IF(D14="NOT_CHECKED",0,C14))</f>
        <v/>
      </c>
      <c r="H14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14" s="2" t="inlineStr">
        <is>
          <t>evidence_batch_014_132</t>
        </is>
      </c>
      <c r="J14" s="2" t="inlineStr">
        <is>
          <t>ISSUE-0008; ISSUE-0009; ISSUE-0010; ISSUE-0011</t>
        </is>
      </c>
    </row>
    <row r="15" ht="42" customHeight="1">
      <c r="A15" s="3" t="inlineStr">
        <is>
          <t>jeminise.com+decorative-softball-bedding-set-bright-teal-yellow-sports-comforter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IF(B15="I1",AVERAGEIF('QA_Images'!$A$2:$A$69,A15,'QA_Images'!$T$2:$T$69)/100,IF(D15="FULL",1,IF(D15="PARTIAL",0.5,IF(D15="FAIL",0,""))))</f>
        <v/>
      </c>
      <c r="F15" s="7">
        <f>IF(E15="",0,C15*E15)</f>
        <v/>
      </c>
      <c r="G15" s="7">
        <f>IF(B15="I1",20*AVERAGEIF('QA_Images'!$A$2:$A$69,A15,'QA_Images'!$U$2:$U$69)/100,IF(D15="NOT_CHECKED",0,C15))</f>
        <v/>
      </c>
      <c r="H15" s="3" t="inlineStr">
        <is>
          <t>Primary keyword aligns with product-level US purchase intent. Primary keyword rechecked against US product-level SERP comparables.</t>
        </is>
      </c>
      <c r="I15" s="3" t="inlineStr">
        <is>
          <t>evidence_batch_014_132</t>
        </is>
      </c>
      <c r="J15" s="3" t="inlineStr">
        <is>
          <t>ISSUE-0008; ISSUE-0009; ISSUE-0010; ISSUE-0011</t>
        </is>
      </c>
    </row>
    <row r="16" ht="42" customHeight="1">
      <c r="A16" s="2" t="inlineStr">
        <is>
          <t>jeminise.com+decorative-softball-bedding-set-bright-teal-yellow-sports-comforter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IF(B16="I1",AVERAGEIF('QA_Images'!$A$2:$A$69,A16,'QA_Images'!$T$2:$T$69)/100,IF(D16="FULL",1,IF(D16="PARTIAL",0.5,IF(D16="FAIL",0,""))))</f>
        <v/>
      </c>
      <c r="F16" s="5">
        <f>IF(E16="",0,C16*E16)</f>
        <v/>
      </c>
      <c r="G16" s="5">
        <f>IF(B16="I1",20*AVERAGEIF('QA_Images'!$A$2:$A$69,A16,'QA_Images'!$U$2:$U$69)/100,IF(D16="NOT_CHECKED",0,C16))</f>
        <v/>
      </c>
      <c r="H16" s="2" t="inlineStr">
        <is>
          <t>Intent/cannibalization check distinguishes nearby products. Nearby product cluster has overlap risk, so intent distinction remains only partial.</t>
        </is>
      </c>
      <c r="I16" s="2" t="inlineStr">
        <is>
          <t>evidence_batch_014_132</t>
        </is>
      </c>
      <c r="J16" s="2" t="inlineStr">
        <is>
          <t>ISSUE-0008; ISSUE-0009; ISSUE-0010; ISSUE-0011</t>
        </is>
      </c>
    </row>
    <row r="17" ht="42" customHeight="1">
      <c r="A17" s="3" t="inlineStr">
        <is>
          <t>jeminise.com+decorative-softball-bedding-set-bright-teal-yellow-sports-comforter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IF(B17="I1",AVERAGEIF('QA_Images'!$A$2:$A$69,A17,'QA_Images'!$T$2:$T$69)/100,IF(D17="FULL",1,IF(D17="PARTIAL",0.5,IF(D17="FAIL",0,""))))</f>
        <v/>
      </c>
      <c r="F17" s="7">
        <f>IF(E17="",0,C17*E17)</f>
        <v/>
      </c>
      <c r="G17" s="7">
        <f>IF(B17="I1",20*AVERAGEIF('QA_Images'!$A$2:$A$69,A17,'QA_Images'!$U$2:$U$69)/100,IF(D17="NOT_CHECKED",0,C17))</f>
        <v/>
      </c>
      <c r="H17" s="3" t="inlineStr">
        <is>
          <t>Keyword evidence is supported by SERP comparables without unsupported volume claims. Evidence is public SERP only; no Search Console, keyword volume or customer-search corpus provided.</t>
        </is>
      </c>
      <c r="I17" s="3" t="inlineStr">
        <is>
          <t>evidence_batch_014_132</t>
        </is>
      </c>
      <c r="J17" s="3" t="inlineStr">
        <is>
          <t>ISSUE-0008; ISSUE-0009; ISSUE-0010; ISSUE-0011</t>
        </is>
      </c>
    </row>
    <row r="18" ht="42" customHeight="1">
      <c r="A18" s="2" t="inlineStr">
        <is>
          <t>jeminise.com+decorative-softball-bedding-set-bright-teal-yellow-sports-comforter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IF(B18="I1",AVERAGEIF('QA_Images'!$A$2:$A$69,A18,'QA_Images'!$T$2:$T$69)/100,IF(D18="FULL",1,IF(D18="PARTIAL",0.5,IF(D18="FAIL",0,""))))</f>
        <v/>
      </c>
      <c r="F18" s="5">
        <f>IF(E18="",0,C18*E18)</f>
        <v/>
      </c>
      <c r="G18" s="5">
        <f>IF(B18="I1",20*AVERAGEIF('QA_Images'!$A$2:$A$69,A18,'QA_Images'!$U$2:$U$69)/100,IF(D18="NOT_CHECKED",0,C18))</f>
        <v/>
      </c>
      <c r="H18" s="2" t="inlineStr">
        <is>
          <t>SEO title and H1 are relevant, specific and grounded in visible/source facts. Title/H1 are product-specific and tied to visible motif/product type.</t>
        </is>
      </c>
      <c r="I18" s="2" t="inlineStr">
        <is>
          <t>evidence_batch_014_132</t>
        </is>
      </c>
      <c r="J18" s="2" t="inlineStr">
        <is>
          <t>ISSUE-0008; ISSUE-0009; ISSUE-0010; ISSUE-0011</t>
        </is>
      </c>
    </row>
    <row r="19" ht="42" customHeight="1">
      <c r="A19" s="3" t="inlineStr">
        <is>
          <t>jeminise.com+decorative-softball-bedding-set-bright-teal-yellow-sports-comforter</t>
        </is>
      </c>
      <c r="B19" s="3" t="inlineStr">
        <is>
          <t>T2</t>
        </is>
      </c>
      <c r="C19" s="3" t="n">
        <v>5</v>
      </c>
      <c r="D19" s="3" t="inlineStr">
        <is>
          <t>PARTIAL</t>
        </is>
      </c>
      <c r="E19" s="7">
        <f>IF(B19="I1",AVERAGEIF('QA_Images'!$A$2:$A$69,A19,'QA_Images'!$T$2:$T$69)/100,IF(D19="FULL",1,IF(D19="PARTIAL",0.5,IF(D19="FAIL",0,""))))</f>
        <v/>
      </c>
      <c r="F19" s="7">
        <f>IF(E19="",0,C19*E19)</f>
        <v/>
      </c>
      <c r="G19" s="7">
        <f>IF(B19="I1",20*AVERAGEIF('QA_Images'!$A$2:$A$69,A19,'QA_Images'!$U$2:$U$69)/100,IF(D19="NOT_CHECKED",0,C19))</f>
        <v/>
      </c>
      <c r="H19" s="3" t="inlineStr">
        <is>
          <t>Meta description is concise, publish-ready and avoids unsupported claims. Meta description checked for length, specificity and supportable claims.</t>
        </is>
      </c>
      <c r="I19" s="3" t="inlineStr">
        <is>
          <t>evidence_batch_014_132</t>
        </is>
      </c>
      <c r="J19" s="3" t="inlineStr">
        <is>
          <t>ISSUE-0008; ISSUE-0009; ISSUE-0010; ISSUE-0011</t>
        </is>
      </c>
    </row>
    <row r="20" ht="42" customHeight="1">
      <c r="A20" s="2" t="inlineStr">
        <is>
          <t>jeminise.com+decorative-softball-bedding-set-bright-teal-yellow-sports-comforter</t>
        </is>
      </c>
      <c r="B20" s="2" t="inlineStr">
        <is>
          <t>D1</t>
        </is>
      </c>
      <c r="C20" s="2" t="n">
        <v>10</v>
      </c>
      <c r="D20" s="2" t="inlineStr">
        <is>
          <t>FAIL</t>
        </is>
      </c>
      <c r="E20" s="5">
        <f>IF(B20="I1",AVERAGEIF('QA_Images'!$A$2:$A$69,A20,'QA_Images'!$T$2:$T$69)/100,IF(D20="FULL",1,IF(D20="PARTIAL",0.5,IF(D20="FAIL",0,""))))</f>
        <v/>
      </c>
      <c r="F20" s="5">
        <f>IF(E20="",0,C20*E20)</f>
        <v/>
      </c>
      <c r="G20" s="5">
        <f>IF(B20="I1",20*AVERAGEIF('QA_Images'!$A$2:$A$69,A20,'QA_Images'!$U$2:$U$69)/100,IF(D20="NOT_CHECKED",0,C20))</f>
        <v/>
      </c>
      <c r="H20" s="2" t="inlineStr">
        <is>
          <t>Description HTML is publish-ready and free of internal draft/QA instructions. Description HTML still contains internal QA/import language.</t>
        </is>
      </c>
      <c r="I20" s="2" t="inlineStr">
        <is>
          <t>evidence_batch_014_132</t>
        </is>
      </c>
      <c r="J20" s="2" t="inlineStr">
        <is>
          <t>ISSUE-0008; ISSUE-0009; ISSUE-0010; ISSUE-0011</t>
        </is>
      </c>
    </row>
    <row r="21" ht="42" customHeight="1">
      <c r="A21" s="3" t="inlineStr">
        <is>
          <t>jeminise.com+decorative-softball-bedding-set-bright-teal-yellow-sports-comforter</t>
        </is>
      </c>
      <c r="B21" s="3" t="inlineStr">
        <is>
          <t>D2</t>
        </is>
      </c>
      <c r="C21" s="3" t="n">
        <v>5</v>
      </c>
      <c r="D21" s="3" t="inlineStr">
        <is>
          <t>PARTIAL</t>
        </is>
      </c>
      <c r="E21" s="7">
        <f>IF(B21="I1",AVERAGEIF('QA_Images'!$A$2:$A$69,A21,'QA_Images'!$T$2:$T$69)/100,IF(D21="FULL",1,IF(D21="PARTIAL",0.5,IF(D21="FAIL",0,""))))</f>
        <v/>
      </c>
      <c r="F21" s="7">
        <f>IF(E21="",0,C21*E21)</f>
        <v/>
      </c>
      <c r="G21" s="7">
        <f>IF(B21="I1",20*AVERAGEIF('QA_Images'!$A$2:$A$69,A21,'QA_Images'!$U$2:$U$69)/100,IF(D21="NOT_CHECKED",0,C21))</f>
        <v/>
      </c>
      <c r="H21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21" s="3" t="inlineStr">
        <is>
          <t>evidence_batch_014_132</t>
        </is>
      </c>
      <c r="J21" s="3" t="inlineStr">
        <is>
          <t>ISSUE-0008; ISSUE-0009; ISSUE-0010; ISSUE-0011</t>
        </is>
      </c>
    </row>
    <row r="22" ht="42" customHeight="1">
      <c r="A22" s="2" t="inlineStr">
        <is>
          <t>jeminise.com+decorative-softball-bedding-set-bright-teal-yellow-sports-comforter</t>
        </is>
      </c>
      <c r="B22" s="2" t="inlineStr">
        <is>
          <t>I1</t>
        </is>
      </c>
      <c r="C22" s="2" t="n">
        <v>20</v>
      </c>
      <c r="D22" s="2" t="inlineStr">
        <is>
          <t>FULL</t>
        </is>
      </c>
      <c r="E22" s="5">
        <f>IF(B22="I1",AVERAGEIF('QA_Images'!$A$2:$A$69,A22,'QA_Images'!$T$2:$T$69)/100,IF(D22="FULL",1,IF(D22="PARTIAL",0.5,IF(D22="FAIL",0,""))))</f>
        <v/>
      </c>
      <c r="F22" s="5">
        <f>IF(E22="",0,C22*E22)</f>
        <v/>
      </c>
      <c r="G22" s="5">
        <f>IF(B22="I1",20*AVERAGEIF('QA_Images'!$A$2:$A$69,A22,'QA_Images'!$U$2:$U$69)/100,IF(D22="NOT_CHECKED",0,C22))</f>
        <v/>
      </c>
      <c r="H22" s="2" t="inlineStr">
        <is>
          <t>Image coverage, image observations and alt text quality, derived from QA_Images. Derived from average image QA score; see QA_Images.</t>
        </is>
      </c>
      <c r="I22" s="2" t="inlineStr">
        <is>
          <t>evidence_batch_014_132</t>
        </is>
      </c>
      <c r="J22" s="2" t="inlineStr">
        <is>
          <t>ISSUE-0008; ISSUE-0009; ISSUE-0010; ISSUE-0011</t>
        </is>
      </c>
    </row>
    <row r="23" ht="42" customHeight="1">
      <c r="A23" s="3" t="inlineStr">
        <is>
          <t>jeminise.com+decorative-softball-bedding-set-bright-teal-yellow-sports-comforter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IF(B23="I1",AVERAGEIF('QA_Images'!$A$2:$A$69,A23,'QA_Images'!$T$2:$T$69)/100,IF(D23="FULL",1,IF(D23="PARTIAL",0.5,IF(D23="FAIL",0,""))))</f>
        <v/>
      </c>
      <c r="F23" s="7">
        <f>IF(E23="",0,C23*E23)</f>
        <v/>
      </c>
      <c r="G23" s="7">
        <f>IF(B23="I1",20*AVERAGEIF('QA_Images'!$A$2:$A$69,A23,'QA_Images'!$U$2:$U$69)/100,IF(D23="NOT_CHECKED",0,C23))</f>
        <v/>
      </c>
      <c r="H23" s="3" t="inlineStr">
        <is>
          <t>Evidence chain is traceable and limitations are explicitly separated from failures. Evidence chain is traceable, with admin-export limitation explicitly separated.</t>
        </is>
      </c>
      <c r="I23" s="3" t="inlineStr">
        <is>
          <t>evidence_batch_014_132</t>
        </is>
      </c>
      <c r="J23" s="3" t="inlineStr">
        <is>
          <t>ISSUE-0008; ISSUE-0009; ISSUE-0010; ISSUE-0011</t>
        </is>
      </c>
    </row>
    <row r="24" ht="42" customHeight="1">
      <c r="A24" s="2" t="inlineStr">
        <is>
          <t>jeminise.com+desert-cactus-printed-quilt-set-vibrant-cactus-flower-quilt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IF(B24="I1",AVERAGEIF('QA_Images'!$A$2:$A$69,A24,'QA_Images'!$T$2:$T$69)/100,IF(D24="FULL",1,IF(D24="PARTIAL",0.5,IF(D24="FAIL",0,""))))</f>
        <v/>
      </c>
      <c r="F24" s="5">
        <f>IF(E24="",0,C24*E24)</f>
        <v/>
      </c>
      <c r="G24" s="5">
        <f>IF(B24="I1",20*AVERAGEIF('QA_Images'!$A$2:$A$69,A24,'QA_Images'!$U$2:$U$69)/100,IF(D24="NOT_CHECKED",0,C24))</f>
        <v/>
      </c>
      <c r="H24" s="2" t="inlineStr">
        <is>
          <t>Product identity, handle, product ID, URL and canonical match source/live evidence. Product key/handle/product ID/canonical checked against frozen workbook and live product evidence.</t>
        </is>
      </c>
      <c r="I24" s="2" t="inlineStr">
        <is>
          <t>evidence_batch_014_133</t>
        </is>
      </c>
      <c r="J24" s="2" t="inlineStr">
        <is>
          <t>ISSUE-0017; ISSUE-0018; ISSUE-0019; ISSUE-0020</t>
        </is>
      </c>
    </row>
    <row r="25" ht="42" customHeight="1">
      <c r="A25" s="3" t="inlineStr">
        <is>
          <t>jeminise.com+desert-cactus-printed-quilt-set-vibrant-cactus-flower-quilt</t>
        </is>
      </c>
      <c r="B25" s="3" t="inlineStr">
        <is>
          <t>P2</t>
        </is>
      </c>
      <c r="C25" s="3" t="n">
        <v>10</v>
      </c>
      <c r="D25" s="3" t="inlineStr">
        <is>
          <t>PARTIAL</t>
        </is>
      </c>
      <c r="E25" s="7">
        <f>IF(B25="I1",AVERAGEIF('QA_Images'!$A$2:$A$69,A25,'QA_Images'!$T$2:$T$69)/100,IF(D25="FULL",1,IF(D25="PARTIAL",0.5,IF(D25="FAIL",0,""))))</f>
        <v/>
      </c>
      <c r="F25" s="7">
        <f>IF(E25="",0,C25*E25)</f>
        <v/>
      </c>
      <c r="G25" s="7">
        <f>IF(B25="I1",20*AVERAGEIF('QA_Images'!$A$2:$A$69,A25,'QA_Images'!$U$2:$U$69)/100,IF(D25="NOT_CHECKED",0,C25))</f>
        <v/>
      </c>
      <c r="H25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25" s="3" t="inlineStr">
        <is>
          <t>evidence_batch_014_133</t>
        </is>
      </c>
      <c r="J25" s="3" t="inlineStr">
        <is>
          <t>ISSUE-0017; ISSUE-0018; ISSUE-0019; ISSUE-0020</t>
        </is>
      </c>
    </row>
    <row r="26" ht="42" customHeight="1">
      <c r="A26" s="2" t="inlineStr">
        <is>
          <t>jeminise.com+desert-cactus-printed-quilt-set-vibrant-cactus-flower-quilt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IF(B26="I1",AVERAGEIF('QA_Images'!$A$2:$A$69,A26,'QA_Images'!$T$2:$T$69)/100,IF(D26="FULL",1,IF(D26="PARTIAL",0.5,IF(D26="FAIL",0,""))))</f>
        <v/>
      </c>
      <c r="F26" s="5">
        <f>IF(E26="",0,C26*E26)</f>
        <v/>
      </c>
      <c r="G26" s="5">
        <f>IF(B26="I1",20*AVERAGEIF('QA_Images'!$A$2:$A$69,A26,'QA_Images'!$U$2:$U$69)/100,IF(D26="NOT_CHECKED",0,C26))</f>
        <v/>
      </c>
      <c r="H26" s="2" t="inlineStr">
        <is>
          <t>Primary keyword aligns with product-level US purchase intent. Primary keyword rechecked against US product-level SERP comparables.</t>
        </is>
      </c>
      <c r="I26" s="2" t="inlineStr">
        <is>
          <t>evidence_batch_014_133</t>
        </is>
      </c>
      <c r="J26" s="2" t="inlineStr">
        <is>
          <t>ISSUE-0017; ISSUE-0018; ISSUE-0019; ISSUE-0020</t>
        </is>
      </c>
    </row>
    <row r="27" ht="42" customHeight="1">
      <c r="A27" s="3" t="inlineStr">
        <is>
          <t>jeminise.com+desert-cactus-printed-quilt-set-vibrant-cactus-flower-quilt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IF(B27="I1",AVERAGEIF('QA_Images'!$A$2:$A$69,A27,'QA_Images'!$T$2:$T$69)/100,IF(D27="FULL",1,IF(D27="PARTIAL",0.5,IF(D27="FAIL",0,""))))</f>
        <v/>
      </c>
      <c r="F27" s="7">
        <f>IF(E27="",0,C27*E27)</f>
        <v/>
      </c>
      <c r="G27" s="7">
        <f>IF(B27="I1",20*AVERAGEIF('QA_Images'!$A$2:$A$69,A27,'QA_Images'!$U$2:$U$69)/100,IF(D27="NOT_CHECKED",0,C27))</f>
        <v/>
      </c>
      <c r="H27" s="3" t="inlineStr">
        <is>
          <t>Intent/cannibalization check distinguishes nearby products. Nearby product cluster has overlap risk, so intent distinction remains only partial.</t>
        </is>
      </c>
      <c r="I27" s="3" t="inlineStr">
        <is>
          <t>evidence_batch_014_133</t>
        </is>
      </c>
      <c r="J27" s="3" t="inlineStr">
        <is>
          <t>ISSUE-0017; ISSUE-0018; ISSUE-0019; ISSUE-0020</t>
        </is>
      </c>
    </row>
    <row r="28" ht="42" customHeight="1">
      <c r="A28" s="2" t="inlineStr">
        <is>
          <t>jeminise.com+desert-cactus-printed-quilt-set-vibrant-cactus-flower-quilt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IF(B28="I1",AVERAGEIF('QA_Images'!$A$2:$A$69,A28,'QA_Images'!$T$2:$T$69)/100,IF(D28="FULL",1,IF(D28="PARTIAL",0.5,IF(D28="FAIL",0,""))))</f>
        <v/>
      </c>
      <c r="F28" s="5">
        <f>IF(E28="",0,C28*E28)</f>
        <v/>
      </c>
      <c r="G28" s="5">
        <f>IF(B28="I1",20*AVERAGEIF('QA_Images'!$A$2:$A$69,A28,'QA_Images'!$U$2:$U$69)/100,IF(D28="NOT_CHECKED",0,C28))</f>
        <v/>
      </c>
      <c r="H28" s="2" t="inlineStr">
        <is>
          <t>Keyword evidence is supported by SERP comparables without unsupported volume claims. Evidence is public SERP only; no Search Console, keyword volume or customer-search corpus provided.</t>
        </is>
      </c>
      <c r="I28" s="2" t="inlineStr">
        <is>
          <t>evidence_batch_014_133</t>
        </is>
      </c>
      <c r="J28" s="2" t="inlineStr">
        <is>
          <t>ISSUE-0017; ISSUE-0018; ISSUE-0019; ISSUE-0020</t>
        </is>
      </c>
    </row>
    <row r="29" ht="42" customHeight="1">
      <c r="A29" s="3" t="inlineStr">
        <is>
          <t>jeminise.com+desert-cactus-printed-quilt-set-vibrant-cactus-flower-quilt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IF(B29="I1",AVERAGEIF('QA_Images'!$A$2:$A$69,A29,'QA_Images'!$T$2:$T$69)/100,IF(D29="FULL",1,IF(D29="PARTIAL",0.5,IF(D29="FAIL",0,""))))</f>
        <v/>
      </c>
      <c r="F29" s="7">
        <f>IF(E29="",0,C29*E29)</f>
        <v/>
      </c>
      <c r="G29" s="7">
        <f>IF(B29="I1",20*AVERAGEIF('QA_Images'!$A$2:$A$69,A29,'QA_Images'!$U$2:$U$69)/100,IF(D29="NOT_CHECKED",0,C29))</f>
        <v/>
      </c>
      <c r="H29" s="3" t="inlineStr">
        <is>
          <t>SEO title and H1 are relevant, specific and grounded in visible/source facts. Title/H1 are product-specific and tied to visible motif/product type.</t>
        </is>
      </c>
      <c r="I29" s="3" t="inlineStr">
        <is>
          <t>evidence_batch_014_133</t>
        </is>
      </c>
      <c r="J29" s="3" t="inlineStr">
        <is>
          <t>ISSUE-0017; ISSUE-0018; ISSUE-0019; ISSUE-0020</t>
        </is>
      </c>
    </row>
    <row r="30" ht="42" customHeight="1">
      <c r="A30" s="2" t="inlineStr">
        <is>
          <t>jeminise.com+desert-cactus-printed-quilt-set-vibrant-cactus-flower-quilt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5">
        <f>IF(B30="I1",AVERAGEIF('QA_Images'!$A$2:$A$69,A30,'QA_Images'!$T$2:$T$69)/100,IF(D30="FULL",1,IF(D30="PARTIAL",0.5,IF(D30="FAIL",0,""))))</f>
        <v/>
      </c>
      <c r="F30" s="5">
        <f>IF(E30="",0,C30*E30)</f>
        <v/>
      </c>
      <c r="G30" s="5">
        <f>IF(B30="I1",20*AVERAGEIF('QA_Images'!$A$2:$A$69,A30,'QA_Images'!$U$2:$U$69)/100,IF(D30="NOT_CHECKED",0,C30))</f>
        <v/>
      </c>
      <c r="H30" s="2" t="inlineStr">
        <is>
          <t>Meta description is concise, publish-ready and avoids unsupported claims. Meta description checked for length, specificity and supportable claims.</t>
        </is>
      </c>
      <c r="I30" s="2" t="inlineStr">
        <is>
          <t>evidence_batch_014_133</t>
        </is>
      </c>
      <c r="J30" s="2" t="inlineStr">
        <is>
          <t>ISSUE-0017; ISSUE-0018; ISSUE-0019; ISSUE-0020</t>
        </is>
      </c>
    </row>
    <row r="31" ht="42" customHeight="1">
      <c r="A31" s="3" t="inlineStr">
        <is>
          <t>jeminise.com+desert-cactus-printed-quilt-set-vibrant-cactus-flower-quilt</t>
        </is>
      </c>
      <c r="B31" s="3" t="inlineStr">
        <is>
          <t>D1</t>
        </is>
      </c>
      <c r="C31" s="3" t="n">
        <v>10</v>
      </c>
      <c r="D31" s="3" t="inlineStr">
        <is>
          <t>FAIL</t>
        </is>
      </c>
      <c r="E31" s="7">
        <f>IF(B31="I1",AVERAGEIF('QA_Images'!$A$2:$A$69,A31,'QA_Images'!$T$2:$T$69)/100,IF(D31="FULL",1,IF(D31="PARTIAL",0.5,IF(D31="FAIL",0,""))))</f>
        <v/>
      </c>
      <c r="F31" s="7">
        <f>IF(E31="",0,C31*E31)</f>
        <v/>
      </c>
      <c r="G31" s="7">
        <f>IF(B31="I1",20*AVERAGEIF('QA_Images'!$A$2:$A$69,A31,'QA_Images'!$U$2:$U$69)/100,IF(D31="NOT_CHECKED",0,C31))</f>
        <v/>
      </c>
      <c r="H31" s="3" t="inlineStr">
        <is>
          <t>Description HTML is publish-ready and free of internal draft/QA instructions. Description HTML still contains internal QA/import language.</t>
        </is>
      </c>
      <c r="I31" s="3" t="inlineStr">
        <is>
          <t>evidence_batch_014_133</t>
        </is>
      </c>
      <c r="J31" s="3" t="inlineStr">
        <is>
          <t>ISSUE-0017; ISSUE-0018; ISSUE-0019; ISSUE-0020</t>
        </is>
      </c>
    </row>
    <row r="32" ht="42" customHeight="1">
      <c r="A32" s="2" t="inlineStr">
        <is>
          <t>jeminise.com+desert-cactus-printed-quilt-set-vibrant-cactus-flower-quilt</t>
        </is>
      </c>
      <c r="B32" s="2" t="inlineStr">
        <is>
          <t>D2</t>
        </is>
      </c>
      <c r="C32" s="2" t="n">
        <v>5</v>
      </c>
      <c r="D32" s="2" t="inlineStr">
        <is>
          <t>PARTIAL</t>
        </is>
      </c>
      <c r="E32" s="5">
        <f>IF(B32="I1",AVERAGEIF('QA_Images'!$A$2:$A$69,A32,'QA_Images'!$T$2:$T$69)/100,IF(D32="FULL",1,IF(D32="PARTIAL",0.5,IF(D32="FAIL",0,""))))</f>
        <v/>
      </c>
      <c r="F32" s="5">
        <f>IF(E32="",0,C32*E32)</f>
        <v/>
      </c>
      <c r="G32" s="5">
        <f>IF(B32="I1",20*AVERAGEIF('QA_Images'!$A$2:$A$69,A32,'QA_Images'!$U$2:$U$69)/100,IF(D32="NOT_CHECKED",0,C32))</f>
        <v/>
      </c>
      <c r="H32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32" s="2" t="inlineStr">
        <is>
          <t>evidence_batch_014_133</t>
        </is>
      </c>
      <c r="J32" s="2" t="inlineStr">
        <is>
          <t>ISSUE-0017; ISSUE-0018; ISSUE-0019; ISSUE-0020</t>
        </is>
      </c>
    </row>
    <row r="33" ht="42" customHeight="1">
      <c r="A33" s="3" t="inlineStr">
        <is>
          <t>jeminise.com+desert-cactus-printed-quilt-set-vibrant-cactus-flower-quilt</t>
        </is>
      </c>
      <c r="B33" s="3" t="inlineStr">
        <is>
          <t>I1</t>
        </is>
      </c>
      <c r="C33" s="3" t="n">
        <v>20</v>
      </c>
      <c r="D33" s="3" t="inlineStr">
        <is>
          <t>FULL</t>
        </is>
      </c>
      <c r="E33" s="7">
        <f>IF(B33="I1",AVERAGEIF('QA_Images'!$A$2:$A$69,A33,'QA_Images'!$T$2:$T$69)/100,IF(D33="FULL",1,IF(D33="PARTIAL",0.5,IF(D33="FAIL",0,""))))</f>
        <v/>
      </c>
      <c r="F33" s="7">
        <f>IF(E33="",0,C33*E33)</f>
        <v/>
      </c>
      <c r="G33" s="7">
        <f>IF(B33="I1",20*AVERAGEIF('QA_Images'!$A$2:$A$69,A33,'QA_Images'!$U$2:$U$69)/100,IF(D33="NOT_CHECKED",0,C33))</f>
        <v/>
      </c>
      <c r="H33" s="3" t="inlineStr">
        <is>
          <t>Image coverage, image observations and alt text quality, derived from QA_Images. Derived from average image QA score; see QA_Images.</t>
        </is>
      </c>
      <c r="I33" s="3" t="inlineStr">
        <is>
          <t>evidence_batch_014_133</t>
        </is>
      </c>
      <c r="J33" s="3" t="inlineStr">
        <is>
          <t>ISSUE-0017; ISSUE-0018; ISSUE-0019; ISSUE-0020</t>
        </is>
      </c>
    </row>
    <row r="34" ht="42" customHeight="1">
      <c r="A34" s="2" t="inlineStr">
        <is>
          <t>jeminise.com+desert-cactus-printed-quilt-set-vibrant-cactus-flower-quilt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IF(B34="I1",AVERAGEIF('QA_Images'!$A$2:$A$69,A34,'QA_Images'!$T$2:$T$69)/100,IF(D34="FULL",1,IF(D34="PARTIAL",0.5,IF(D34="FAIL",0,""))))</f>
        <v/>
      </c>
      <c r="F34" s="5">
        <f>IF(E34="",0,C34*E34)</f>
        <v/>
      </c>
      <c r="G34" s="5">
        <f>IF(B34="I1",20*AVERAGEIF('QA_Images'!$A$2:$A$69,A34,'QA_Images'!$U$2:$U$69)/100,IF(D34="NOT_CHECKED",0,C34))</f>
        <v/>
      </c>
      <c r="H34" s="2" t="inlineStr">
        <is>
          <t>Evidence chain is traceable and limitations are explicitly separated from failures. Evidence chain is traceable, with admin-export limitation explicitly separated.</t>
        </is>
      </c>
      <c r="I34" s="2" t="inlineStr">
        <is>
          <t>evidence_batch_014_133</t>
        </is>
      </c>
      <c r="J34" s="2" t="inlineStr">
        <is>
          <t>ISSUE-0017; ISSUE-0018; ISSUE-0019; ISSUE-0020</t>
        </is>
      </c>
    </row>
    <row r="35" ht="42" customHeight="1">
      <c r="A35" s="3" t="inlineStr">
        <is>
          <t>jeminise.com+dragonfly-couple-quilt-set-dragonflies-patchwork-style-quilt-set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IF(B35="I1",AVERAGEIF('QA_Images'!$A$2:$A$69,A35,'QA_Images'!$T$2:$T$69)/100,IF(D35="FULL",1,IF(D35="PARTIAL",0.5,IF(D35="FAIL",0,""))))</f>
        <v/>
      </c>
      <c r="F35" s="7">
        <f>IF(E35="",0,C35*E35)</f>
        <v/>
      </c>
      <c r="G35" s="7">
        <f>IF(B35="I1",20*AVERAGEIF('QA_Images'!$A$2:$A$69,A35,'QA_Images'!$U$2:$U$69)/100,IF(D35="NOT_CHECKED",0,C35))</f>
        <v/>
      </c>
      <c r="H35" s="3" t="inlineStr">
        <is>
          <t>Product identity, handle, product ID, URL and canonical match source/live evidence. Product key/handle/product ID/canonical checked against frozen workbook and live product evidence.</t>
        </is>
      </c>
      <c r="I35" s="3" t="inlineStr">
        <is>
          <t>evidence_batch_014_134</t>
        </is>
      </c>
      <c r="J35" s="3" t="inlineStr">
        <is>
          <t>ISSUE-0026; ISSUE-0027; ISSUE-0028; ISSUE-0029</t>
        </is>
      </c>
    </row>
    <row r="36" ht="42" customHeight="1">
      <c r="A36" s="2" t="inlineStr">
        <is>
          <t>jeminise.com+dragonfly-couple-quilt-set-dragonflies-patchwork-style-quilt-set</t>
        </is>
      </c>
      <c r="B36" s="2" t="inlineStr">
        <is>
          <t>P2</t>
        </is>
      </c>
      <c r="C36" s="2" t="n">
        <v>10</v>
      </c>
      <c r="D36" s="2" t="inlineStr">
        <is>
          <t>PARTIAL</t>
        </is>
      </c>
      <c r="E36" s="5">
        <f>IF(B36="I1",AVERAGEIF('QA_Images'!$A$2:$A$69,A36,'QA_Images'!$T$2:$T$69)/100,IF(D36="FULL",1,IF(D36="PARTIAL",0.5,IF(D36="FAIL",0,""))))</f>
        <v/>
      </c>
      <c r="F36" s="5">
        <f>IF(E36="",0,C36*E36)</f>
        <v/>
      </c>
      <c r="G36" s="5">
        <f>IF(B36="I1",20*AVERAGEIF('QA_Images'!$A$2:$A$69,A36,'QA_Images'!$U$2:$U$69)/100,IF(D36="NOT_CHECKED",0,C36))</f>
        <v/>
      </c>
      <c r="H36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36" s="2" t="inlineStr">
        <is>
          <t>evidence_batch_014_134</t>
        </is>
      </c>
      <c r="J36" s="2" t="inlineStr">
        <is>
          <t>ISSUE-0026; ISSUE-0027; ISSUE-0028; ISSUE-0029</t>
        </is>
      </c>
    </row>
    <row r="37" ht="42" customHeight="1">
      <c r="A37" s="3" t="inlineStr">
        <is>
          <t>jeminise.com+dragonfly-couple-quilt-set-dragonflies-patchwork-style-quilt-set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IF(B37="I1",AVERAGEIF('QA_Images'!$A$2:$A$69,A37,'QA_Images'!$T$2:$T$69)/100,IF(D37="FULL",1,IF(D37="PARTIAL",0.5,IF(D37="FAIL",0,""))))</f>
        <v/>
      </c>
      <c r="F37" s="7">
        <f>IF(E37="",0,C37*E37)</f>
        <v/>
      </c>
      <c r="G37" s="7">
        <f>IF(B37="I1",20*AVERAGEIF('QA_Images'!$A$2:$A$69,A37,'QA_Images'!$U$2:$U$69)/100,IF(D37="NOT_CHECKED",0,C37))</f>
        <v/>
      </c>
      <c r="H37" s="3" t="inlineStr">
        <is>
          <t>Primary keyword aligns with product-level US purchase intent. Primary keyword rechecked against US product-level SERP comparables.</t>
        </is>
      </c>
      <c r="I37" s="3" t="inlineStr">
        <is>
          <t>evidence_batch_014_134</t>
        </is>
      </c>
      <c r="J37" s="3" t="inlineStr">
        <is>
          <t>ISSUE-0026; ISSUE-0027; ISSUE-0028; ISSUE-0029</t>
        </is>
      </c>
    </row>
    <row r="38" ht="42" customHeight="1">
      <c r="A38" s="2" t="inlineStr">
        <is>
          <t>jeminise.com+dragonfly-couple-quilt-set-dragonflies-patchwork-style-quilt-set</t>
        </is>
      </c>
      <c r="B38" s="2" t="inlineStr">
        <is>
          <t>K2</t>
        </is>
      </c>
      <c r="C38" s="2" t="n">
        <v>5</v>
      </c>
      <c r="D38" s="2" t="inlineStr">
        <is>
          <t>PARTIAL</t>
        </is>
      </c>
      <c r="E38" s="5">
        <f>IF(B38="I1",AVERAGEIF('QA_Images'!$A$2:$A$69,A38,'QA_Images'!$T$2:$T$69)/100,IF(D38="FULL",1,IF(D38="PARTIAL",0.5,IF(D38="FAIL",0,""))))</f>
        <v/>
      </c>
      <c r="F38" s="5">
        <f>IF(E38="",0,C38*E38)</f>
        <v/>
      </c>
      <c r="G38" s="5">
        <f>IF(B38="I1",20*AVERAGEIF('QA_Images'!$A$2:$A$69,A38,'QA_Images'!$U$2:$U$69)/100,IF(D38="NOT_CHECKED",0,C38))</f>
        <v/>
      </c>
      <c r="H38" s="2" t="inlineStr">
        <is>
          <t>Intent/cannibalization check distinguishes nearby products. Nearby product cluster has overlap risk, so intent distinction remains only partial.</t>
        </is>
      </c>
      <c r="I38" s="2" t="inlineStr">
        <is>
          <t>evidence_batch_014_134</t>
        </is>
      </c>
      <c r="J38" s="2" t="inlineStr">
        <is>
          <t>ISSUE-0026; ISSUE-0027; ISSUE-0028; ISSUE-0029</t>
        </is>
      </c>
    </row>
    <row r="39" ht="42" customHeight="1">
      <c r="A39" s="3" t="inlineStr">
        <is>
          <t>jeminise.com+dragonfly-couple-quilt-set-dragonflies-patchwork-style-quilt-set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IF(B39="I1",AVERAGEIF('QA_Images'!$A$2:$A$69,A39,'QA_Images'!$T$2:$T$69)/100,IF(D39="FULL",1,IF(D39="PARTIAL",0.5,IF(D39="FAIL",0,""))))</f>
        <v/>
      </c>
      <c r="F39" s="7">
        <f>IF(E39="",0,C39*E39)</f>
        <v/>
      </c>
      <c r="G39" s="7">
        <f>IF(B39="I1",20*AVERAGEIF('QA_Images'!$A$2:$A$69,A39,'QA_Images'!$U$2:$U$69)/100,IF(D39="NOT_CHECKED",0,C39))</f>
        <v/>
      </c>
      <c r="H39" s="3" t="inlineStr">
        <is>
          <t>Keyword evidence is supported by SERP comparables without unsupported volume claims. Evidence is public SERP only; no Search Console, keyword volume or customer-search corpus provided.</t>
        </is>
      </c>
      <c r="I39" s="3" t="inlineStr">
        <is>
          <t>evidence_batch_014_134</t>
        </is>
      </c>
      <c r="J39" s="3" t="inlineStr">
        <is>
          <t>ISSUE-0026; ISSUE-0027; ISSUE-0028; ISSUE-0029</t>
        </is>
      </c>
    </row>
    <row r="40" ht="42" customHeight="1">
      <c r="A40" s="2" t="inlineStr">
        <is>
          <t>jeminise.com+dragonfly-couple-quilt-set-dragonflies-patchwork-style-quilt-set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IF(B40="I1",AVERAGEIF('QA_Images'!$A$2:$A$69,A40,'QA_Images'!$T$2:$T$69)/100,IF(D40="FULL",1,IF(D40="PARTIAL",0.5,IF(D40="FAIL",0,""))))</f>
        <v/>
      </c>
      <c r="F40" s="5">
        <f>IF(E40="",0,C40*E40)</f>
        <v/>
      </c>
      <c r="G40" s="5">
        <f>IF(B40="I1",20*AVERAGEIF('QA_Images'!$A$2:$A$69,A40,'QA_Images'!$U$2:$U$69)/100,IF(D40="NOT_CHECKED",0,C40))</f>
        <v/>
      </c>
      <c r="H40" s="2" t="inlineStr">
        <is>
          <t>SEO title and H1 are relevant, specific and grounded in visible/source facts. Title/H1 are product-specific and tied to visible motif/product type.</t>
        </is>
      </c>
      <c r="I40" s="2" t="inlineStr">
        <is>
          <t>evidence_batch_014_134</t>
        </is>
      </c>
      <c r="J40" s="2" t="inlineStr">
        <is>
          <t>ISSUE-0026; ISSUE-0027; ISSUE-0028; ISSUE-0029</t>
        </is>
      </c>
    </row>
    <row r="41" ht="42" customHeight="1">
      <c r="A41" s="3" t="inlineStr">
        <is>
          <t>jeminise.com+dragonfly-couple-quilt-set-dragonflies-patchwork-style-quilt-set</t>
        </is>
      </c>
      <c r="B41" s="3" t="inlineStr">
        <is>
          <t>T2</t>
        </is>
      </c>
      <c r="C41" s="3" t="n">
        <v>5</v>
      </c>
      <c r="D41" s="3" t="inlineStr">
        <is>
          <t>PARTIAL</t>
        </is>
      </c>
      <c r="E41" s="7">
        <f>IF(B41="I1",AVERAGEIF('QA_Images'!$A$2:$A$69,A41,'QA_Images'!$T$2:$T$69)/100,IF(D41="FULL",1,IF(D41="PARTIAL",0.5,IF(D41="FAIL",0,""))))</f>
        <v/>
      </c>
      <c r="F41" s="7">
        <f>IF(E41="",0,C41*E41)</f>
        <v/>
      </c>
      <c r="G41" s="7">
        <f>IF(B41="I1",20*AVERAGEIF('QA_Images'!$A$2:$A$69,A41,'QA_Images'!$U$2:$U$69)/100,IF(D41="NOT_CHECKED",0,C41))</f>
        <v/>
      </c>
      <c r="H41" s="3" t="inlineStr">
        <is>
          <t>Meta description is concise, publish-ready and avoids unsupported claims. Meta description checked for length, specificity and supportable claims.</t>
        </is>
      </c>
      <c r="I41" s="3" t="inlineStr">
        <is>
          <t>evidence_batch_014_134</t>
        </is>
      </c>
      <c r="J41" s="3" t="inlineStr">
        <is>
          <t>ISSUE-0026; ISSUE-0027; ISSUE-0028; ISSUE-0029</t>
        </is>
      </c>
    </row>
    <row r="42" ht="42" customHeight="1">
      <c r="A42" s="2" t="inlineStr">
        <is>
          <t>jeminise.com+dragonfly-couple-quilt-set-dragonflies-patchwork-style-quilt-set</t>
        </is>
      </c>
      <c r="B42" s="2" t="inlineStr">
        <is>
          <t>D1</t>
        </is>
      </c>
      <c r="C42" s="2" t="n">
        <v>10</v>
      </c>
      <c r="D42" s="2" t="inlineStr">
        <is>
          <t>FAIL</t>
        </is>
      </c>
      <c r="E42" s="5">
        <f>IF(B42="I1",AVERAGEIF('QA_Images'!$A$2:$A$69,A42,'QA_Images'!$T$2:$T$69)/100,IF(D42="FULL",1,IF(D42="PARTIAL",0.5,IF(D42="FAIL",0,""))))</f>
        <v/>
      </c>
      <c r="F42" s="5">
        <f>IF(E42="",0,C42*E42)</f>
        <v/>
      </c>
      <c r="G42" s="5">
        <f>IF(B42="I1",20*AVERAGEIF('QA_Images'!$A$2:$A$69,A42,'QA_Images'!$U$2:$U$69)/100,IF(D42="NOT_CHECKED",0,C42))</f>
        <v/>
      </c>
      <c r="H42" s="2" t="inlineStr">
        <is>
          <t>Description HTML is publish-ready and free of internal draft/QA instructions. Description HTML still contains internal QA/import language.</t>
        </is>
      </c>
      <c r="I42" s="2" t="inlineStr">
        <is>
          <t>evidence_batch_014_134</t>
        </is>
      </c>
      <c r="J42" s="2" t="inlineStr">
        <is>
          <t>ISSUE-0026; ISSUE-0027; ISSUE-0028; ISSUE-0029</t>
        </is>
      </c>
    </row>
    <row r="43" ht="42" customHeight="1">
      <c r="A43" s="3" t="inlineStr">
        <is>
          <t>jeminise.com+dragonfly-couple-quilt-set-dragonflies-patchwork-style-quilt-set</t>
        </is>
      </c>
      <c r="B43" s="3" t="inlineStr">
        <is>
          <t>D2</t>
        </is>
      </c>
      <c r="C43" s="3" t="n">
        <v>5</v>
      </c>
      <c r="D43" s="3" t="inlineStr">
        <is>
          <t>PARTIAL</t>
        </is>
      </c>
      <c r="E43" s="7">
        <f>IF(B43="I1",AVERAGEIF('QA_Images'!$A$2:$A$69,A43,'QA_Images'!$T$2:$T$69)/100,IF(D43="FULL",1,IF(D43="PARTIAL",0.5,IF(D43="FAIL",0,""))))</f>
        <v/>
      </c>
      <c r="F43" s="7">
        <f>IF(E43="",0,C43*E43)</f>
        <v/>
      </c>
      <c r="G43" s="7">
        <f>IF(B43="I1",20*AVERAGEIF('QA_Images'!$A$2:$A$69,A43,'QA_Images'!$U$2:$U$69)/100,IF(D43="NOT_CHECKED",0,C43))</f>
        <v/>
      </c>
      <c r="H43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43" s="3" t="inlineStr">
        <is>
          <t>evidence_batch_014_134</t>
        </is>
      </c>
      <c r="J43" s="3" t="inlineStr">
        <is>
          <t>ISSUE-0026; ISSUE-0027; ISSUE-0028; ISSUE-0029</t>
        </is>
      </c>
    </row>
    <row r="44" ht="42" customHeight="1">
      <c r="A44" s="2" t="inlineStr">
        <is>
          <t>jeminise.com+dragonfly-couple-quilt-set-dragonflies-patchwork-style-quilt-set</t>
        </is>
      </c>
      <c r="B44" s="2" t="inlineStr">
        <is>
          <t>I1</t>
        </is>
      </c>
      <c r="C44" s="2" t="n">
        <v>20</v>
      </c>
      <c r="D44" s="2" t="inlineStr">
        <is>
          <t>FULL</t>
        </is>
      </c>
      <c r="E44" s="5">
        <f>IF(B44="I1",AVERAGEIF('QA_Images'!$A$2:$A$69,A44,'QA_Images'!$T$2:$T$69)/100,IF(D44="FULL",1,IF(D44="PARTIAL",0.5,IF(D44="FAIL",0,""))))</f>
        <v/>
      </c>
      <c r="F44" s="5">
        <f>IF(E44="",0,C44*E44)</f>
        <v/>
      </c>
      <c r="G44" s="5">
        <f>IF(B44="I1",20*AVERAGEIF('QA_Images'!$A$2:$A$69,A44,'QA_Images'!$U$2:$U$69)/100,IF(D44="NOT_CHECKED",0,C44))</f>
        <v/>
      </c>
      <c r="H44" s="2" t="inlineStr">
        <is>
          <t>Image coverage, image observations and alt text quality, derived from QA_Images. Derived from average image QA score; see QA_Images.</t>
        </is>
      </c>
      <c r="I44" s="2" t="inlineStr">
        <is>
          <t>evidence_batch_014_134</t>
        </is>
      </c>
      <c r="J44" s="2" t="inlineStr">
        <is>
          <t>ISSUE-0026; ISSUE-0027; ISSUE-0028; ISSUE-0029</t>
        </is>
      </c>
    </row>
    <row r="45" ht="42" customHeight="1">
      <c r="A45" s="3" t="inlineStr">
        <is>
          <t>jeminise.com+dragonfly-couple-quilt-set-dragonflies-patchwork-style-quilt-set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IF(B45="I1",AVERAGEIF('QA_Images'!$A$2:$A$69,A45,'QA_Images'!$T$2:$T$69)/100,IF(D45="FULL",1,IF(D45="PARTIAL",0.5,IF(D45="FAIL",0,""))))</f>
        <v/>
      </c>
      <c r="F45" s="7">
        <f>IF(E45="",0,C45*E45)</f>
        <v/>
      </c>
      <c r="G45" s="7">
        <f>IF(B45="I1",20*AVERAGEIF('QA_Images'!$A$2:$A$69,A45,'QA_Images'!$U$2:$U$69)/100,IF(D45="NOT_CHECKED",0,C45))</f>
        <v/>
      </c>
      <c r="H45" s="3" t="inlineStr">
        <is>
          <t>Evidence chain is traceable and limitations are explicitly separated from failures. Evidence chain is traceable, with admin-export limitation explicitly separated.</t>
        </is>
      </c>
      <c r="I45" s="3" t="inlineStr">
        <is>
          <t>evidence_batch_014_134</t>
        </is>
      </c>
      <c r="J45" s="3" t="inlineStr">
        <is>
          <t>ISSUE-0026; ISSUE-0027; ISSUE-0028; ISSUE-0029</t>
        </is>
      </c>
    </row>
    <row r="46" ht="42" customHeight="1">
      <c r="A46" s="2" t="inlineStr">
        <is>
          <t>jeminise.com+dragonfly-patchwork-pattern-quilt-set-animal-style-dragonfly-quilt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IF(B46="I1",AVERAGEIF('QA_Images'!$A$2:$A$69,A46,'QA_Images'!$T$2:$T$69)/100,IF(D46="FULL",1,IF(D46="PARTIAL",0.5,IF(D46="FAIL",0,""))))</f>
        <v/>
      </c>
      <c r="F46" s="5">
        <f>IF(E46="",0,C46*E46)</f>
        <v/>
      </c>
      <c r="G46" s="5">
        <f>IF(B46="I1",20*AVERAGEIF('QA_Images'!$A$2:$A$69,A46,'QA_Images'!$U$2:$U$69)/100,IF(D46="NOT_CHECKED",0,C46))</f>
        <v/>
      </c>
      <c r="H46" s="2" t="inlineStr">
        <is>
          <t>Product identity, handle, product ID, URL and canonical match source/live evidence. Product key/handle/product ID/canonical checked against frozen workbook and live product evidence.</t>
        </is>
      </c>
      <c r="I46" s="2" t="inlineStr">
        <is>
          <t>evidence_batch_014_135</t>
        </is>
      </c>
      <c r="J46" s="2" t="inlineStr">
        <is>
          <t>ISSUE-0035; ISSUE-0036; ISSUE-0037; ISSUE-0038</t>
        </is>
      </c>
    </row>
    <row r="47" ht="42" customHeight="1">
      <c r="A47" s="3" t="inlineStr">
        <is>
          <t>jeminise.com+dragonfly-patchwork-pattern-quilt-set-animal-style-dragonfly-quilt</t>
        </is>
      </c>
      <c r="B47" s="3" t="inlineStr">
        <is>
          <t>P2</t>
        </is>
      </c>
      <c r="C47" s="3" t="n">
        <v>10</v>
      </c>
      <c r="D47" s="3" t="inlineStr">
        <is>
          <t>PARTIAL</t>
        </is>
      </c>
      <c r="E47" s="7">
        <f>IF(B47="I1",AVERAGEIF('QA_Images'!$A$2:$A$69,A47,'QA_Images'!$T$2:$T$69)/100,IF(D47="FULL",1,IF(D47="PARTIAL",0.5,IF(D47="FAIL",0,""))))</f>
        <v/>
      </c>
      <c r="F47" s="7">
        <f>IF(E47="",0,C47*E47)</f>
        <v/>
      </c>
      <c r="G47" s="7">
        <f>IF(B47="I1",20*AVERAGEIF('QA_Images'!$A$2:$A$69,A47,'QA_Images'!$U$2:$U$69)/100,IF(D47="NOT_CHECKED",0,C47))</f>
        <v/>
      </c>
      <c r="H47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47" s="3" t="inlineStr">
        <is>
          <t>evidence_batch_014_135</t>
        </is>
      </c>
      <c r="J47" s="3" t="inlineStr">
        <is>
          <t>ISSUE-0035; ISSUE-0036; ISSUE-0037; ISSUE-0038</t>
        </is>
      </c>
    </row>
    <row r="48" ht="42" customHeight="1">
      <c r="A48" s="2" t="inlineStr">
        <is>
          <t>jeminise.com+dragonfly-patchwork-pattern-quilt-set-animal-style-dragonfly-quilt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IF(B48="I1",AVERAGEIF('QA_Images'!$A$2:$A$69,A48,'QA_Images'!$T$2:$T$69)/100,IF(D48="FULL",1,IF(D48="PARTIAL",0.5,IF(D48="FAIL",0,""))))</f>
        <v/>
      </c>
      <c r="F48" s="5">
        <f>IF(E48="",0,C48*E48)</f>
        <v/>
      </c>
      <c r="G48" s="5">
        <f>IF(B48="I1",20*AVERAGEIF('QA_Images'!$A$2:$A$69,A48,'QA_Images'!$U$2:$U$69)/100,IF(D48="NOT_CHECKED",0,C48))</f>
        <v/>
      </c>
      <c r="H48" s="2" t="inlineStr">
        <is>
          <t>Primary keyword aligns with product-level US purchase intent. Primary keyword rechecked against US product-level SERP comparables.</t>
        </is>
      </c>
      <c r="I48" s="2" t="inlineStr">
        <is>
          <t>evidence_batch_014_135</t>
        </is>
      </c>
      <c r="J48" s="2" t="inlineStr">
        <is>
          <t>ISSUE-0035; ISSUE-0036; ISSUE-0037; ISSUE-0038</t>
        </is>
      </c>
    </row>
    <row r="49" ht="42" customHeight="1">
      <c r="A49" s="3" t="inlineStr">
        <is>
          <t>jeminise.com+dragonfly-patchwork-pattern-quilt-set-animal-style-dragonfly-quilt</t>
        </is>
      </c>
      <c r="B49" s="3" t="inlineStr">
        <is>
          <t>K2</t>
        </is>
      </c>
      <c r="C49" s="3" t="n">
        <v>5</v>
      </c>
      <c r="D49" s="3" t="inlineStr">
        <is>
          <t>PARTIAL</t>
        </is>
      </c>
      <c r="E49" s="7">
        <f>IF(B49="I1",AVERAGEIF('QA_Images'!$A$2:$A$69,A49,'QA_Images'!$T$2:$T$69)/100,IF(D49="FULL",1,IF(D49="PARTIAL",0.5,IF(D49="FAIL",0,""))))</f>
        <v/>
      </c>
      <c r="F49" s="7">
        <f>IF(E49="",0,C49*E49)</f>
        <v/>
      </c>
      <c r="G49" s="7">
        <f>IF(B49="I1",20*AVERAGEIF('QA_Images'!$A$2:$A$69,A49,'QA_Images'!$U$2:$U$69)/100,IF(D49="NOT_CHECKED",0,C49))</f>
        <v/>
      </c>
      <c r="H49" s="3" t="inlineStr">
        <is>
          <t>Intent/cannibalization check distinguishes nearby products. Nearby product cluster has overlap risk, so intent distinction remains only partial.</t>
        </is>
      </c>
      <c r="I49" s="3" t="inlineStr">
        <is>
          <t>evidence_batch_014_135</t>
        </is>
      </c>
      <c r="J49" s="3" t="inlineStr">
        <is>
          <t>ISSUE-0035; ISSUE-0036; ISSUE-0037; ISSUE-0038</t>
        </is>
      </c>
    </row>
    <row r="50" ht="42" customHeight="1">
      <c r="A50" s="2" t="inlineStr">
        <is>
          <t>jeminise.com+dragonfly-patchwork-pattern-quilt-set-animal-style-dragonfly-quilt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IF(B50="I1",AVERAGEIF('QA_Images'!$A$2:$A$69,A50,'QA_Images'!$T$2:$T$69)/100,IF(D50="FULL",1,IF(D50="PARTIAL",0.5,IF(D50="FAIL",0,""))))</f>
        <v/>
      </c>
      <c r="F50" s="5">
        <f>IF(E50="",0,C50*E50)</f>
        <v/>
      </c>
      <c r="G50" s="5">
        <f>IF(B50="I1",20*AVERAGEIF('QA_Images'!$A$2:$A$69,A50,'QA_Images'!$U$2:$U$69)/100,IF(D50="NOT_CHECKED",0,C50))</f>
        <v/>
      </c>
      <c r="H50" s="2" t="inlineStr">
        <is>
          <t>Keyword evidence is supported by SERP comparables without unsupported volume claims. Evidence is public SERP only; no Search Console, keyword volume or customer-search corpus provided.</t>
        </is>
      </c>
      <c r="I50" s="2" t="inlineStr">
        <is>
          <t>evidence_batch_014_135</t>
        </is>
      </c>
      <c r="J50" s="2" t="inlineStr">
        <is>
          <t>ISSUE-0035; ISSUE-0036; ISSUE-0037; ISSUE-0038</t>
        </is>
      </c>
    </row>
    <row r="51" ht="42" customHeight="1">
      <c r="A51" s="3" t="inlineStr">
        <is>
          <t>jeminise.com+dragonfly-patchwork-pattern-quilt-set-animal-style-dragonfly-quilt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IF(B51="I1",AVERAGEIF('QA_Images'!$A$2:$A$69,A51,'QA_Images'!$T$2:$T$69)/100,IF(D51="FULL",1,IF(D51="PARTIAL",0.5,IF(D51="FAIL",0,""))))</f>
        <v/>
      </c>
      <c r="F51" s="7">
        <f>IF(E51="",0,C51*E51)</f>
        <v/>
      </c>
      <c r="G51" s="7">
        <f>IF(B51="I1",20*AVERAGEIF('QA_Images'!$A$2:$A$69,A51,'QA_Images'!$U$2:$U$69)/100,IF(D51="NOT_CHECKED",0,C51))</f>
        <v/>
      </c>
      <c r="H51" s="3" t="inlineStr">
        <is>
          <t>SEO title and H1 are relevant, specific and grounded in visible/source facts. Title/H1 are product-specific and tied to visible motif/product type.</t>
        </is>
      </c>
      <c r="I51" s="3" t="inlineStr">
        <is>
          <t>evidence_batch_014_135</t>
        </is>
      </c>
      <c r="J51" s="3" t="inlineStr">
        <is>
          <t>ISSUE-0035; ISSUE-0036; ISSUE-0037; ISSUE-0038</t>
        </is>
      </c>
    </row>
    <row r="52" ht="42" customHeight="1">
      <c r="A52" s="2" t="inlineStr">
        <is>
          <t>jeminise.com+dragonfly-patchwork-pattern-quilt-set-animal-style-dragonfly-quilt</t>
        </is>
      </c>
      <c r="B52" s="2" t="inlineStr">
        <is>
          <t>T2</t>
        </is>
      </c>
      <c r="C52" s="2" t="n">
        <v>5</v>
      </c>
      <c r="D52" s="2" t="inlineStr">
        <is>
          <t>PARTIAL</t>
        </is>
      </c>
      <c r="E52" s="5">
        <f>IF(B52="I1",AVERAGEIF('QA_Images'!$A$2:$A$69,A52,'QA_Images'!$T$2:$T$69)/100,IF(D52="FULL",1,IF(D52="PARTIAL",0.5,IF(D52="FAIL",0,""))))</f>
        <v/>
      </c>
      <c r="F52" s="5">
        <f>IF(E52="",0,C52*E52)</f>
        <v/>
      </c>
      <c r="G52" s="5">
        <f>IF(B52="I1",20*AVERAGEIF('QA_Images'!$A$2:$A$69,A52,'QA_Images'!$U$2:$U$69)/100,IF(D52="NOT_CHECKED",0,C52))</f>
        <v/>
      </c>
      <c r="H52" s="2" t="inlineStr">
        <is>
          <t>Meta description is concise, publish-ready and avoids unsupported claims. Meta description checked for length, specificity and supportable claims.</t>
        </is>
      </c>
      <c r="I52" s="2" t="inlineStr">
        <is>
          <t>evidence_batch_014_135</t>
        </is>
      </c>
      <c r="J52" s="2" t="inlineStr">
        <is>
          <t>ISSUE-0035; ISSUE-0036; ISSUE-0037; ISSUE-0038</t>
        </is>
      </c>
    </row>
    <row r="53" ht="42" customHeight="1">
      <c r="A53" s="3" t="inlineStr">
        <is>
          <t>jeminise.com+dragonfly-patchwork-pattern-quilt-set-animal-style-dragonfly-quilt</t>
        </is>
      </c>
      <c r="B53" s="3" t="inlineStr">
        <is>
          <t>D1</t>
        </is>
      </c>
      <c r="C53" s="3" t="n">
        <v>10</v>
      </c>
      <c r="D53" s="3" t="inlineStr">
        <is>
          <t>FAIL</t>
        </is>
      </c>
      <c r="E53" s="7">
        <f>IF(B53="I1",AVERAGEIF('QA_Images'!$A$2:$A$69,A53,'QA_Images'!$T$2:$T$69)/100,IF(D53="FULL",1,IF(D53="PARTIAL",0.5,IF(D53="FAIL",0,""))))</f>
        <v/>
      </c>
      <c r="F53" s="7">
        <f>IF(E53="",0,C53*E53)</f>
        <v/>
      </c>
      <c r="G53" s="7">
        <f>IF(B53="I1",20*AVERAGEIF('QA_Images'!$A$2:$A$69,A53,'QA_Images'!$U$2:$U$69)/100,IF(D53="NOT_CHECKED",0,C53))</f>
        <v/>
      </c>
      <c r="H53" s="3" t="inlineStr">
        <is>
          <t>Description HTML is publish-ready and free of internal draft/QA instructions. Description HTML still contains internal QA/import language.</t>
        </is>
      </c>
      <c r="I53" s="3" t="inlineStr">
        <is>
          <t>evidence_batch_014_135</t>
        </is>
      </c>
      <c r="J53" s="3" t="inlineStr">
        <is>
          <t>ISSUE-0035; ISSUE-0036; ISSUE-0037; ISSUE-0038</t>
        </is>
      </c>
    </row>
    <row r="54" ht="42" customHeight="1">
      <c r="A54" s="2" t="inlineStr">
        <is>
          <t>jeminise.com+dragonfly-patchwork-pattern-quilt-set-animal-style-dragonfly-quilt</t>
        </is>
      </c>
      <c r="B54" s="2" t="inlineStr">
        <is>
          <t>D2</t>
        </is>
      </c>
      <c r="C54" s="2" t="n">
        <v>5</v>
      </c>
      <c r="D54" s="2" t="inlineStr">
        <is>
          <t>PARTIAL</t>
        </is>
      </c>
      <c r="E54" s="5">
        <f>IF(B54="I1",AVERAGEIF('QA_Images'!$A$2:$A$69,A54,'QA_Images'!$T$2:$T$69)/100,IF(D54="FULL",1,IF(D54="PARTIAL",0.5,IF(D54="FAIL",0,""))))</f>
        <v/>
      </c>
      <c r="F54" s="5">
        <f>IF(E54="",0,C54*E54)</f>
        <v/>
      </c>
      <c r="G54" s="5">
        <f>IF(B54="I1",20*AVERAGEIF('QA_Images'!$A$2:$A$69,A54,'QA_Images'!$U$2:$U$69)/100,IF(D54="NOT_CHECKED",0,C54))</f>
        <v/>
      </c>
      <c r="H54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54" s="2" t="inlineStr">
        <is>
          <t>evidence_batch_014_135</t>
        </is>
      </c>
      <c r="J54" s="2" t="inlineStr">
        <is>
          <t>ISSUE-0035; ISSUE-0036; ISSUE-0037; ISSUE-0038</t>
        </is>
      </c>
    </row>
    <row r="55" ht="42" customHeight="1">
      <c r="A55" s="3" t="inlineStr">
        <is>
          <t>jeminise.com+dragonfly-patchwork-pattern-quilt-set-animal-style-dragonfly-quilt</t>
        </is>
      </c>
      <c r="B55" s="3" t="inlineStr">
        <is>
          <t>I1</t>
        </is>
      </c>
      <c r="C55" s="3" t="n">
        <v>20</v>
      </c>
      <c r="D55" s="3" t="inlineStr">
        <is>
          <t>FULL</t>
        </is>
      </c>
      <c r="E55" s="7">
        <f>IF(B55="I1",AVERAGEIF('QA_Images'!$A$2:$A$69,A55,'QA_Images'!$T$2:$T$69)/100,IF(D55="FULL",1,IF(D55="PARTIAL",0.5,IF(D55="FAIL",0,""))))</f>
        <v/>
      </c>
      <c r="F55" s="7">
        <f>IF(E55="",0,C55*E55)</f>
        <v/>
      </c>
      <c r="G55" s="7">
        <f>IF(B55="I1",20*AVERAGEIF('QA_Images'!$A$2:$A$69,A55,'QA_Images'!$U$2:$U$69)/100,IF(D55="NOT_CHECKED",0,C55))</f>
        <v/>
      </c>
      <c r="H55" s="3" t="inlineStr">
        <is>
          <t>Image coverage, image observations and alt text quality, derived from QA_Images. Derived from average image QA score; see QA_Images.</t>
        </is>
      </c>
      <c r="I55" s="3" t="inlineStr">
        <is>
          <t>evidence_batch_014_135</t>
        </is>
      </c>
      <c r="J55" s="3" t="inlineStr">
        <is>
          <t>ISSUE-0035; ISSUE-0036; ISSUE-0037; ISSUE-0038</t>
        </is>
      </c>
    </row>
    <row r="56" ht="42" customHeight="1">
      <c r="A56" s="2" t="inlineStr">
        <is>
          <t>jeminise.com+dragonfly-patchwork-pattern-quilt-set-animal-style-dragonfly-quilt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IF(B56="I1",AVERAGEIF('QA_Images'!$A$2:$A$69,A56,'QA_Images'!$T$2:$T$69)/100,IF(D56="FULL",1,IF(D56="PARTIAL",0.5,IF(D56="FAIL",0,""))))</f>
        <v/>
      </c>
      <c r="F56" s="5">
        <f>IF(E56="",0,C56*E56)</f>
        <v/>
      </c>
      <c r="G56" s="5">
        <f>IF(B56="I1",20*AVERAGEIF('QA_Images'!$A$2:$A$69,A56,'QA_Images'!$U$2:$U$69)/100,IF(D56="NOT_CHECKED",0,C56))</f>
        <v/>
      </c>
      <c r="H56" s="2" t="inlineStr">
        <is>
          <t>Evidence chain is traceable and limitations are explicitly separated from failures. Evidence chain is traceable, with admin-export limitation explicitly separated.</t>
        </is>
      </c>
      <c r="I56" s="2" t="inlineStr">
        <is>
          <t>evidence_batch_014_135</t>
        </is>
      </c>
      <c r="J56" s="2" t="inlineStr">
        <is>
          <t>ISSUE-0035; ISSUE-0036; ISSUE-0037; ISSUE-0038</t>
        </is>
      </c>
    </row>
    <row r="57" ht="42" customHeight="1">
      <c r="A57" s="3" t="inlineStr">
        <is>
          <t>jeminise.com+dragonfly-patchwork-quilt-set-animal-patchwork-bedset-dragonfly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IF(B57="I1",AVERAGEIF('QA_Images'!$A$2:$A$69,A57,'QA_Images'!$T$2:$T$69)/100,IF(D57="FULL",1,IF(D57="PARTIAL",0.5,IF(D57="FAIL",0,""))))</f>
        <v/>
      </c>
      <c r="F57" s="7">
        <f>IF(E57="",0,C57*E57)</f>
        <v/>
      </c>
      <c r="G57" s="7">
        <f>IF(B57="I1",20*AVERAGEIF('QA_Images'!$A$2:$A$69,A57,'QA_Images'!$U$2:$U$69)/100,IF(D57="NOT_CHECKED",0,C57))</f>
        <v/>
      </c>
      <c r="H57" s="3" t="inlineStr">
        <is>
          <t>Product identity, handle, product ID, URL and canonical match source/live evidence. Product key/handle/product ID/canonical checked against frozen workbook and live product evidence.</t>
        </is>
      </c>
      <c r="I57" s="3" t="inlineStr">
        <is>
          <t>evidence_batch_014_136</t>
        </is>
      </c>
      <c r="J57" s="3" t="inlineStr">
        <is>
          <t>ISSUE-0044; ISSUE-0045; ISSUE-0046; ISSUE-0047</t>
        </is>
      </c>
    </row>
    <row r="58" ht="42" customHeight="1">
      <c r="A58" s="2" t="inlineStr">
        <is>
          <t>jeminise.com+dragonfly-patchwork-quilt-set-animal-patchwork-bedset-dragonfly</t>
        </is>
      </c>
      <c r="B58" s="2" t="inlineStr">
        <is>
          <t>P2</t>
        </is>
      </c>
      <c r="C58" s="2" t="n">
        <v>10</v>
      </c>
      <c r="D58" s="2" t="inlineStr">
        <is>
          <t>PARTIAL</t>
        </is>
      </c>
      <c r="E58" s="5">
        <f>IF(B58="I1",AVERAGEIF('QA_Images'!$A$2:$A$69,A58,'QA_Images'!$T$2:$T$69)/100,IF(D58="FULL",1,IF(D58="PARTIAL",0.5,IF(D58="FAIL",0,""))))</f>
        <v/>
      </c>
      <c r="F58" s="5">
        <f>IF(E58="",0,C58*E58)</f>
        <v/>
      </c>
      <c r="G58" s="5">
        <f>IF(B58="I1",20*AVERAGEIF('QA_Images'!$A$2:$A$69,A58,'QA_Images'!$U$2:$U$69)/100,IF(D58="NOT_CHECKED",0,C58))</f>
        <v/>
      </c>
      <c r="H58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58" s="2" t="inlineStr">
        <is>
          <t>evidence_batch_014_136</t>
        </is>
      </c>
      <c r="J58" s="2" t="inlineStr">
        <is>
          <t>ISSUE-0044; ISSUE-0045; ISSUE-0046; ISSUE-0047</t>
        </is>
      </c>
    </row>
    <row r="59" ht="42" customHeight="1">
      <c r="A59" s="3" t="inlineStr">
        <is>
          <t>jeminise.com+dragonfly-patchwork-quilt-set-animal-patchwork-bedset-dragonfly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IF(B59="I1",AVERAGEIF('QA_Images'!$A$2:$A$69,A59,'QA_Images'!$T$2:$T$69)/100,IF(D59="FULL",1,IF(D59="PARTIAL",0.5,IF(D59="FAIL",0,""))))</f>
        <v/>
      </c>
      <c r="F59" s="7">
        <f>IF(E59="",0,C59*E59)</f>
        <v/>
      </c>
      <c r="G59" s="7">
        <f>IF(B59="I1",20*AVERAGEIF('QA_Images'!$A$2:$A$69,A59,'QA_Images'!$U$2:$U$69)/100,IF(D59="NOT_CHECKED",0,C59))</f>
        <v/>
      </c>
      <c r="H59" s="3" t="inlineStr">
        <is>
          <t>Primary keyword aligns with product-level US purchase intent. Primary keyword rechecked against US product-level SERP comparables.</t>
        </is>
      </c>
      <c r="I59" s="3" t="inlineStr">
        <is>
          <t>evidence_batch_014_136</t>
        </is>
      </c>
      <c r="J59" s="3" t="inlineStr">
        <is>
          <t>ISSUE-0044; ISSUE-0045; ISSUE-0046; ISSUE-0047</t>
        </is>
      </c>
    </row>
    <row r="60" ht="42" customHeight="1">
      <c r="A60" s="2" t="inlineStr">
        <is>
          <t>jeminise.com+dragonfly-patchwork-quilt-set-animal-patchwork-bedset-dragonfly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IF(B60="I1",AVERAGEIF('QA_Images'!$A$2:$A$69,A60,'QA_Images'!$T$2:$T$69)/100,IF(D60="FULL",1,IF(D60="PARTIAL",0.5,IF(D60="FAIL",0,""))))</f>
        <v/>
      </c>
      <c r="F60" s="5">
        <f>IF(E60="",0,C60*E60)</f>
        <v/>
      </c>
      <c r="G60" s="5">
        <f>IF(B60="I1",20*AVERAGEIF('QA_Images'!$A$2:$A$69,A60,'QA_Images'!$U$2:$U$69)/100,IF(D60="NOT_CHECKED",0,C60))</f>
        <v/>
      </c>
      <c r="H60" s="2" t="inlineStr">
        <is>
          <t>Intent/cannibalization check distinguishes nearby products. Nearby product cluster has overlap risk, so intent distinction remains only partial.</t>
        </is>
      </c>
      <c r="I60" s="2" t="inlineStr">
        <is>
          <t>evidence_batch_014_136</t>
        </is>
      </c>
      <c r="J60" s="2" t="inlineStr">
        <is>
          <t>ISSUE-0044; ISSUE-0045; ISSUE-0046; ISSUE-0047</t>
        </is>
      </c>
    </row>
    <row r="61" ht="42" customHeight="1">
      <c r="A61" s="3" t="inlineStr">
        <is>
          <t>jeminise.com+dragonfly-patchwork-quilt-set-animal-patchwork-bedset-dragonfly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IF(B61="I1",AVERAGEIF('QA_Images'!$A$2:$A$69,A61,'QA_Images'!$T$2:$T$69)/100,IF(D61="FULL",1,IF(D61="PARTIAL",0.5,IF(D61="FAIL",0,""))))</f>
        <v/>
      </c>
      <c r="F61" s="7">
        <f>IF(E61="",0,C61*E61)</f>
        <v/>
      </c>
      <c r="G61" s="7">
        <f>IF(B61="I1",20*AVERAGEIF('QA_Images'!$A$2:$A$69,A61,'QA_Images'!$U$2:$U$69)/100,IF(D61="NOT_CHECKED",0,C61))</f>
        <v/>
      </c>
      <c r="H61" s="3" t="inlineStr">
        <is>
          <t>Keyword evidence is supported by SERP comparables without unsupported volume claims. Evidence is public SERP only; no Search Console, keyword volume or customer-search corpus provided.</t>
        </is>
      </c>
      <c r="I61" s="3" t="inlineStr">
        <is>
          <t>evidence_batch_014_136</t>
        </is>
      </c>
      <c r="J61" s="3" t="inlineStr">
        <is>
          <t>ISSUE-0044; ISSUE-0045; ISSUE-0046; ISSUE-0047</t>
        </is>
      </c>
    </row>
    <row r="62" ht="42" customHeight="1">
      <c r="A62" s="2" t="inlineStr">
        <is>
          <t>jeminise.com+dragonfly-patchwork-quilt-set-animal-patchwork-bedset-dragonfly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IF(B62="I1",AVERAGEIF('QA_Images'!$A$2:$A$69,A62,'QA_Images'!$T$2:$T$69)/100,IF(D62="FULL",1,IF(D62="PARTIAL",0.5,IF(D62="FAIL",0,""))))</f>
        <v/>
      </c>
      <c r="F62" s="5">
        <f>IF(E62="",0,C62*E62)</f>
        <v/>
      </c>
      <c r="G62" s="5">
        <f>IF(B62="I1",20*AVERAGEIF('QA_Images'!$A$2:$A$69,A62,'QA_Images'!$U$2:$U$69)/100,IF(D62="NOT_CHECKED",0,C62))</f>
        <v/>
      </c>
      <c r="H62" s="2" t="inlineStr">
        <is>
          <t>SEO title and H1 are relevant, specific and grounded in visible/source facts. Title/H1 are product-specific and tied to visible motif/product type.</t>
        </is>
      </c>
      <c r="I62" s="2" t="inlineStr">
        <is>
          <t>evidence_batch_014_136</t>
        </is>
      </c>
      <c r="J62" s="2" t="inlineStr">
        <is>
          <t>ISSUE-0044; ISSUE-0045; ISSUE-0046; ISSUE-0047</t>
        </is>
      </c>
    </row>
    <row r="63" ht="42" customHeight="1">
      <c r="A63" s="3" t="inlineStr">
        <is>
          <t>jeminise.com+dragonfly-patchwork-quilt-set-animal-patchwork-bedset-dragonfly</t>
        </is>
      </c>
      <c r="B63" s="3" t="inlineStr">
        <is>
          <t>T2</t>
        </is>
      </c>
      <c r="C63" s="3" t="n">
        <v>5</v>
      </c>
      <c r="D63" s="3" t="inlineStr">
        <is>
          <t>PARTIAL</t>
        </is>
      </c>
      <c r="E63" s="7">
        <f>IF(B63="I1",AVERAGEIF('QA_Images'!$A$2:$A$69,A63,'QA_Images'!$T$2:$T$69)/100,IF(D63="FULL",1,IF(D63="PARTIAL",0.5,IF(D63="FAIL",0,""))))</f>
        <v/>
      </c>
      <c r="F63" s="7">
        <f>IF(E63="",0,C63*E63)</f>
        <v/>
      </c>
      <c r="G63" s="7">
        <f>IF(B63="I1",20*AVERAGEIF('QA_Images'!$A$2:$A$69,A63,'QA_Images'!$U$2:$U$69)/100,IF(D63="NOT_CHECKED",0,C63))</f>
        <v/>
      </c>
      <c r="H63" s="3" t="inlineStr">
        <is>
          <t>Meta description is concise, publish-ready and avoids unsupported claims. Meta description checked for length, specificity and supportable claims.</t>
        </is>
      </c>
      <c r="I63" s="3" t="inlineStr">
        <is>
          <t>evidence_batch_014_136</t>
        </is>
      </c>
      <c r="J63" s="3" t="inlineStr">
        <is>
          <t>ISSUE-0044; ISSUE-0045; ISSUE-0046; ISSUE-0047</t>
        </is>
      </c>
    </row>
    <row r="64" ht="42" customHeight="1">
      <c r="A64" s="2" t="inlineStr">
        <is>
          <t>jeminise.com+dragonfly-patchwork-quilt-set-animal-patchwork-bedset-dragonfly</t>
        </is>
      </c>
      <c r="B64" s="2" t="inlineStr">
        <is>
          <t>D1</t>
        </is>
      </c>
      <c r="C64" s="2" t="n">
        <v>10</v>
      </c>
      <c r="D64" s="2" t="inlineStr">
        <is>
          <t>FAIL</t>
        </is>
      </c>
      <c r="E64" s="5">
        <f>IF(B64="I1",AVERAGEIF('QA_Images'!$A$2:$A$69,A64,'QA_Images'!$T$2:$T$69)/100,IF(D64="FULL",1,IF(D64="PARTIAL",0.5,IF(D64="FAIL",0,""))))</f>
        <v/>
      </c>
      <c r="F64" s="5">
        <f>IF(E64="",0,C64*E64)</f>
        <v/>
      </c>
      <c r="G64" s="5">
        <f>IF(B64="I1",20*AVERAGEIF('QA_Images'!$A$2:$A$69,A64,'QA_Images'!$U$2:$U$69)/100,IF(D64="NOT_CHECKED",0,C64))</f>
        <v/>
      </c>
      <c r="H64" s="2" t="inlineStr">
        <is>
          <t>Description HTML is publish-ready and free of internal draft/QA instructions. Description HTML still contains internal QA/import language.</t>
        </is>
      </c>
      <c r="I64" s="2" t="inlineStr">
        <is>
          <t>evidence_batch_014_136</t>
        </is>
      </c>
      <c r="J64" s="2" t="inlineStr">
        <is>
          <t>ISSUE-0044; ISSUE-0045; ISSUE-0046; ISSUE-0047</t>
        </is>
      </c>
    </row>
    <row r="65" ht="42" customHeight="1">
      <c r="A65" s="3" t="inlineStr">
        <is>
          <t>jeminise.com+dragonfly-patchwork-quilt-set-animal-patchwork-bedset-dragonfly</t>
        </is>
      </c>
      <c r="B65" s="3" t="inlineStr">
        <is>
          <t>D2</t>
        </is>
      </c>
      <c r="C65" s="3" t="n">
        <v>5</v>
      </c>
      <c r="D65" s="3" t="inlineStr">
        <is>
          <t>PARTIAL</t>
        </is>
      </c>
      <c r="E65" s="7">
        <f>IF(B65="I1",AVERAGEIF('QA_Images'!$A$2:$A$69,A65,'QA_Images'!$T$2:$T$69)/100,IF(D65="FULL",1,IF(D65="PARTIAL",0.5,IF(D65="FAIL",0,""))))</f>
        <v/>
      </c>
      <c r="F65" s="7">
        <f>IF(E65="",0,C65*E65)</f>
        <v/>
      </c>
      <c r="G65" s="7">
        <f>IF(B65="I1",20*AVERAGEIF('QA_Images'!$A$2:$A$69,A65,'QA_Images'!$U$2:$U$69)/100,IF(D65="NOT_CHECKED",0,C65))</f>
        <v/>
      </c>
      <c r="H65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65" s="3" t="inlineStr">
        <is>
          <t>evidence_batch_014_136</t>
        </is>
      </c>
      <c r="J65" s="3" t="inlineStr">
        <is>
          <t>ISSUE-0044; ISSUE-0045; ISSUE-0046; ISSUE-0047</t>
        </is>
      </c>
    </row>
    <row r="66" ht="42" customHeight="1">
      <c r="A66" s="2" t="inlineStr">
        <is>
          <t>jeminise.com+dragonfly-patchwork-quilt-set-animal-patchwork-bedset-dragonfly</t>
        </is>
      </c>
      <c r="B66" s="2" t="inlineStr">
        <is>
          <t>I1</t>
        </is>
      </c>
      <c r="C66" s="2" t="n">
        <v>20</v>
      </c>
      <c r="D66" s="2" t="inlineStr">
        <is>
          <t>FULL</t>
        </is>
      </c>
      <c r="E66" s="5">
        <f>IF(B66="I1",AVERAGEIF('QA_Images'!$A$2:$A$69,A66,'QA_Images'!$T$2:$T$69)/100,IF(D66="FULL",1,IF(D66="PARTIAL",0.5,IF(D66="FAIL",0,""))))</f>
        <v/>
      </c>
      <c r="F66" s="5">
        <f>IF(E66="",0,C66*E66)</f>
        <v/>
      </c>
      <c r="G66" s="5">
        <f>IF(B66="I1",20*AVERAGEIF('QA_Images'!$A$2:$A$69,A66,'QA_Images'!$U$2:$U$69)/100,IF(D66="NOT_CHECKED",0,C66))</f>
        <v/>
      </c>
      <c r="H66" s="2" t="inlineStr">
        <is>
          <t>Image coverage, image observations and alt text quality, derived from QA_Images. Derived from average image QA score; see QA_Images.</t>
        </is>
      </c>
      <c r="I66" s="2" t="inlineStr">
        <is>
          <t>evidence_batch_014_136</t>
        </is>
      </c>
      <c r="J66" s="2" t="inlineStr">
        <is>
          <t>ISSUE-0044; ISSUE-0045; ISSUE-0046; ISSUE-0047</t>
        </is>
      </c>
    </row>
    <row r="67" ht="42" customHeight="1">
      <c r="A67" s="3" t="inlineStr">
        <is>
          <t>jeminise.com+dragonfly-patchwork-quilt-set-animal-patchwork-bedset-dragonfly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IF(B67="I1",AVERAGEIF('QA_Images'!$A$2:$A$69,A67,'QA_Images'!$T$2:$T$69)/100,IF(D67="FULL",1,IF(D67="PARTIAL",0.5,IF(D67="FAIL",0,""))))</f>
        <v/>
      </c>
      <c r="F67" s="7">
        <f>IF(E67="",0,C67*E67)</f>
        <v/>
      </c>
      <c r="G67" s="7">
        <f>IF(B67="I1",20*AVERAGEIF('QA_Images'!$A$2:$A$69,A67,'QA_Images'!$U$2:$U$69)/100,IF(D67="NOT_CHECKED",0,C67))</f>
        <v/>
      </c>
      <c r="H67" s="3" t="inlineStr">
        <is>
          <t>Evidence chain is traceable and limitations are explicitly separated from failures. Evidence chain is traceable, with admin-export limitation explicitly separated.</t>
        </is>
      </c>
      <c r="I67" s="3" t="inlineStr">
        <is>
          <t>evidence_batch_014_136</t>
        </is>
      </c>
      <c r="J67" s="3" t="inlineStr">
        <is>
          <t>ISSUE-0044; ISSUE-0045; ISSUE-0046; ISSUE-0047</t>
        </is>
      </c>
    </row>
    <row r="68" ht="42" customHeight="1">
      <c r="A68" s="2" t="inlineStr">
        <is>
          <t>jeminise.com+dragonfly-pattern-quilt-set-dragonflies-vintage-quilt-set-patchwork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IF(B68="I1",AVERAGEIF('QA_Images'!$A$2:$A$69,A68,'QA_Images'!$T$2:$T$69)/100,IF(D68="FULL",1,IF(D68="PARTIAL",0.5,IF(D68="FAIL",0,""))))</f>
        <v/>
      </c>
      <c r="F68" s="5">
        <f>IF(E68="",0,C68*E68)</f>
        <v/>
      </c>
      <c r="G68" s="5">
        <f>IF(B68="I1",20*AVERAGEIF('QA_Images'!$A$2:$A$69,A68,'QA_Images'!$U$2:$U$69)/100,IF(D68="NOT_CHECKED",0,C68))</f>
        <v/>
      </c>
      <c r="H68" s="2" t="inlineStr">
        <is>
          <t>Product identity, handle, product ID, URL and canonical match source/live evidence. Product key/handle/product ID/canonical checked against frozen workbook and live product evidence.</t>
        </is>
      </c>
      <c r="I68" s="2" t="inlineStr">
        <is>
          <t>evidence_batch_014_137</t>
        </is>
      </c>
      <c r="J68" s="2" t="inlineStr">
        <is>
          <t>ISSUE-0053; ISSUE-0054; ISSUE-0055; ISSUE-0056</t>
        </is>
      </c>
    </row>
    <row r="69" ht="42" customHeight="1">
      <c r="A69" s="3" t="inlineStr">
        <is>
          <t>jeminise.com+dragonfly-pattern-quilt-set-dragonflies-vintage-quilt-set-patchwork</t>
        </is>
      </c>
      <c r="B69" s="3" t="inlineStr">
        <is>
          <t>P2</t>
        </is>
      </c>
      <c r="C69" s="3" t="n">
        <v>10</v>
      </c>
      <c r="D69" s="3" t="inlineStr">
        <is>
          <t>PARTIAL</t>
        </is>
      </c>
      <c r="E69" s="7">
        <f>IF(B69="I1",AVERAGEIF('QA_Images'!$A$2:$A$69,A69,'QA_Images'!$T$2:$T$69)/100,IF(D69="FULL",1,IF(D69="PARTIAL",0.5,IF(D69="FAIL",0,""))))</f>
        <v/>
      </c>
      <c r="F69" s="7">
        <f>IF(E69="",0,C69*E69)</f>
        <v/>
      </c>
      <c r="G69" s="7">
        <f>IF(B69="I1",20*AVERAGEIF('QA_Images'!$A$2:$A$69,A69,'QA_Images'!$U$2:$U$69)/100,IF(D69="NOT_CHECKED",0,C69))</f>
        <v/>
      </c>
      <c r="H69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69" s="3" t="inlineStr">
        <is>
          <t>evidence_batch_014_137</t>
        </is>
      </c>
      <c r="J69" s="3" t="inlineStr">
        <is>
          <t>ISSUE-0053; ISSUE-0054; ISSUE-0055; ISSUE-0056</t>
        </is>
      </c>
    </row>
    <row r="70" ht="42" customHeight="1">
      <c r="A70" s="2" t="inlineStr">
        <is>
          <t>jeminise.com+dragonfly-pattern-quilt-set-dragonflies-vintage-quilt-set-patchwork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IF(B70="I1",AVERAGEIF('QA_Images'!$A$2:$A$69,A70,'QA_Images'!$T$2:$T$69)/100,IF(D70="FULL",1,IF(D70="PARTIAL",0.5,IF(D70="FAIL",0,""))))</f>
        <v/>
      </c>
      <c r="F70" s="5">
        <f>IF(E70="",0,C70*E70)</f>
        <v/>
      </c>
      <c r="G70" s="5">
        <f>IF(B70="I1",20*AVERAGEIF('QA_Images'!$A$2:$A$69,A70,'QA_Images'!$U$2:$U$69)/100,IF(D70="NOT_CHECKED",0,C70))</f>
        <v/>
      </c>
      <c r="H70" s="2" t="inlineStr">
        <is>
          <t>Primary keyword aligns with product-level US purchase intent. Primary keyword rechecked against US product-level SERP comparables.</t>
        </is>
      </c>
      <c r="I70" s="2" t="inlineStr">
        <is>
          <t>evidence_batch_014_137</t>
        </is>
      </c>
      <c r="J70" s="2" t="inlineStr">
        <is>
          <t>ISSUE-0053; ISSUE-0054; ISSUE-0055; ISSUE-0056</t>
        </is>
      </c>
    </row>
    <row r="71" ht="42" customHeight="1">
      <c r="A71" s="3" t="inlineStr">
        <is>
          <t>jeminise.com+dragonfly-pattern-quilt-set-dragonflies-vintage-quilt-set-patchwork</t>
        </is>
      </c>
      <c r="B71" s="3" t="inlineStr">
        <is>
          <t>K2</t>
        </is>
      </c>
      <c r="C71" s="3" t="n">
        <v>5</v>
      </c>
      <c r="D71" s="3" t="inlineStr">
        <is>
          <t>PARTIAL</t>
        </is>
      </c>
      <c r="E71" s="7">
        <f>IF(B71="I1",AVERAGEIF('QA_Images'!$A$2:$A$69,A71,'QA_Images'!$T$2:$T$69)/100,IF(D71="FULL",1,IF(D71="PARTIAL",0.5,IF(D71="FAIL",0,""))))</f>
        <v/>
      </c>
      <c r="F71" s="7">
        <f>IF(E71="",0,C71*E71)</f>
        <v/>
      </c>
      <c r="G71" s="7">
        <f>IF(B71="I1",20*AVERAGEIF('QA_Images'!$A$2:$A$69,A71,'QA_Images'!$U$2:$U$69)/100,IF(D71="NOT_CHECKED",0,C71))</f>
        <v/>
      </c>
      <c r="H71" s="3" t="inlineStr">
        <is>
          <t>Intent/cannibalization check distinguishes nearby products. Nearby product cluster has overlap risk, so intent distinction remains only partial.</t>
        </is>
      </c>
      <c r="I71" s="3" t="inlineStr">
        <is>
          <t>evidence_batch_014_137</t>
        </is>
      </c>
      <c r="J71" s="3" t="inlineStr">
        <is>
          <t>ISSUE-0053; ISSUE-0054; ISSUE-0055; ISSUE-0056</t>
        </is>
      </c>
    </row>
    <row r="72" ht="42" customHeight="1">
      <c r="A72" s="2" t="inlineStr">
        <is>
          <t>jeminise.com+dragonfly-pattern-quilt-set-dragonflies-vintage-quilt-set-patchwork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IF(B72="I1",AVERAGEIF('QA_Images'!$A$2:$A$69,A72,'QA_Images'!$T$2:$T$69)/100,IF(D72="FULL",1,IF(D72="PARTIAL",0.5,IF(D72="FAIL",0,""))))</f>
        <v/>
      </c>
      <c r="F72" s="5">
        <f>IF(E72="",0,C72*E72)</f>
        <v/>
      </c>
      <c r="G72" s="5">
        <f>IF(B72="I1",20*AVERAGEIF('QA_Images'!$A$2:$A$69,A72,'QA_Images'!$U$2:$U$69)/100,IF(D72="NOT_CHECKED",0,C72))</f>
        <v/>
      </c>
      <c r="H72" s="2" t="inlineStr">
        <is>
          <t>Keyword evidence is supported by SERP comparables without unsupported volume claims. Evidence is public SERP only; no Search Console, keyword volume or customer-search corpus provided.</t>
        </is>
      </c>
      <c r="I72" s="2" t="inlineStr">
        <is>
          <t>evidence_batch_014_137</t>
        </is>
      </c>
      <c r="J72" s="2" t="inlineStr">
        <is>
          <t>ISSUE-0053; ISSUE-0054; ISSUE-0055; ISSUE-0056</t>
        </is>
      </c>
    </row>
    <row r="73" ht="42" customHeight="1">
      <c r="A73" s="3" t="inlineStr">
        <is>
          <t>jeminise.com+dragonfly-pattern-quilt-set-dragonflies-vintage-quilt-set-patchwork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IF(B73="I1",AVERAGEIF('QA_Images'!$A$2:$A$69,A73,'QA_Images'!$T$2:$T$69)/100,IF(D73="FULL",1,IF(D73="PARTIAL",0.5,IF(D73="FAIL",0,""))))</f>
        <v/>
      </c>
      <c r="F73" s="7">
        <f>IF(E73="",0,C73*E73)</f>
        <v/>
      </c>
      <c r="G73" s="7">
        <f>IF(B73="I1",20*AVERAGEIF('QA_Images'!$A$2:$A$69,A73,'QA_Images'!$U$2:$U$69)/100,IF(D73="NOT_CHECKED",0,C73))</f>
        <v/>
      </c>
      <c r="H73" s="3" t="inlineStr">
        <is>
          <t>SEO title and H1 are relevant, specific and grounded in visible/source facts. Title/H1 are product-specific and tied to visible motif/product type.</t>
        </is>
      </c>
      <c r="I73" s="3" t="inlineStr">
        <is>
          <t>evidence_batch_014_137</t>
        </is>
      </c>
      <c r="J73" s="3" t="inlineStr">
        <is>
          <t>ISSUE-0053; ISSUE-0054; ISSUE-0055; ISSUE-0056</t>
        </is>
      </c>
    </row>
    <row r="74" ht="42" customHeight="1">
      <c r="A74" s="2" t="inlineStr">
        <is>
          <t>jeminise.com+dragonfly-pattern-quilt-set-dragonflies-vintage-quilt-set-patchwork</t>
        </is>
      </c>
      <c r="B74" s="2" t="inlineStr">
        <is>
          <t>T2</t>
        </is>
      </c>
      <c r="C74" s="2" t="n">
        <v>5</v>
      </c>
      <c r="D74" s="2" t="inlineStr">
        <is>
          <t>PARTIAL</t>
        </is>
      </c>
      <c r="E74" s="5">
        <f>IF(B74="I1",AVERAGEIF('QA_Images'!$A$2:$A$69,A74,'QA_Images'!$T$2:$T$69)/100,IF(D74="FULL",1,IF(D74="PARTIAL",0.5,IF(D74="FAIL",0,""))))</f>
        <v/>
      </c>
      <c r="F74" s="5">
        <f>IF(E74="",0,C74*E74)</f>
        <v/>
      </c>
      <c r="G74" s="5">
        <f>IF(B74="I1",20*AVERAGEIF('QA_Images'!$A$2:$A$69,A74,'QA_Images'!$U$2:$U$69)/100,IF(D74="NOT_CHECKED",0,C74))</f>
        <v/>
      </c>
      <c r="H74" s="2" t="inlineStr">
        <is>
          <t>Meta description is concise, publish-ready and avoids unsupported claims. Meta description checked for length, specificity and supportable claims.</t>
        </is>
      </c>
      <c r="I74" s="2" t="inlineStr">
        <is>
          <t>evidence_batch_014_137</t>
        </is>
      </c>
      <c r="J74" s="2" t="inlineStr">
        <is>
          <t>ISSUE-0053; ISSUE-0054; ISSUE-0055; ISSUE-0056</t>
        </is>
      </c>
    </row>
    <row r="75" ht="42" customHeight="1">
      <c r="A75" s="3" t="inlineStr">
        <is>
          <t>jeminise.com+dragonfly-pattern-quilt-set-dragonflies-vintage-quilt-set-patchwork</t>
        </is>
      </c>
      <c r="B75" s="3" t="inlineStr">
        <is>
          <t>D1</t>
        </is>
      </c>
      <c r="C75" s="3" t="n">
        <v>10</v>
      </c>
      <c r="D75" s="3" t="inlineStr">
        <is>
          <t>FAIL</t>
        </is>
      </c>
      <c r="E75" s="7">
        <f>IF(B75="I1",AVERAGEIF('QA_Images'!$A$2:$A$69,A75,'QA_Images'!$T$2:$T$69)/100,IF(D75="FULL",1,IF(D75="PARTIAL",0.5,IF(D75="FAIL",0,""))))</f>
        <v/>
      </c>
      <c r="F75" s="7">
        <f>IF(E75="",0,C75*E75)</f>
        <v/>
      </c>
      <c r="G75" s="7">
        <f>IF(B75="I1",20*AVERAGEIF('QA_Images'!$A$2:$A$69,A75,'QA_Images'!$U$2:$U$69)/100,IF(D75="NOT_CHECKED",0,C75))</f>
        <v/>
      </c>
      <c r="H75" s="3" t="inlineStr">
        <is>
          <t>Description HTML is publish-ready and free of internal draft/QA instructions. Description HTML still contains internal QA/import language.</t>
        </is>
      </c>
      <c r="I75" s="3" t="inlineStr">
        <is>
          <t>evidence_batch_014_137</t>
        </is>
      </c>
      <c r="J75" s="3" t="inlineStr">
        <is>
          <t>ISSUE-0053; ISSUE-0054; ISSUE-0055; ISSUE-0056</t>
        </is>
      </c>
    </row>
    <row r="76" ht="42" customHeight="1">
      <c r="A76" s="2" t="inlineStr">
        <is>
          <t>jeminise.com+dragonfly-pattern-quilt-set-dragonflies-vintage-quilt-set-patchwork</t>
        </is>
      </c>
      <c r="B76" s="2" t="inlineStr">
        <is>
          <t>D2</t>
        </is>
      </c>
      <c r="C76" s="2" t="n">
        <v>5</v>
      </c>
      <c r="D76" s="2" t="inlineStr">
        <is>
          <t>PARTIAL</t>
        </is>
      </c>
      <c r="E76" s="5">
        <f>IF(B76="I1",AVERAGEIF('QA_Images'!$A$2:$A$69,A76,'QA_Images'!$T$2:$T$69)/100,IF(D76="FULL",1,IF(D76="PARTIAL",0.5,IF(D76="FAIL",0,""))))</f>
        <v/>
      </c>
      <c r="F76" s="5">
        <f>IF(E76="",0,C76*E76)</f>
        <v/>
      </c>
      <c r="G76" s="5">
        <f>IF(B76="I1",20*AVERAGEIF('QA_Images'!$A$2:$A$69,A76,'QA_Images'!$U$2:$U$69)/100,IF(D76="NOT_CHECKED",0,C76))</f>
        <v/>
      </c>
      <c r="H76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76" s="2" t="inlineStr">
        <is>
          <t>evidence_batch_014_137</t>
        </is>
      </c>
      <c r="J76" s="2" t="inlineStr">
        <is>
          <t>ISSUE-0053; ISSUE-0054; ISSUE-0055; ISSUE-0056</t>
        </is>
      </c>
    </row>
    <row r="77" ht="42" customHeight="1">
      <c r="A77" s="3" t="inlineStr">
        <is>
          <t>jeminise.com+dragonfly-pattern-quilt-set-dragonflies-vintage-quilt-set-patchwork</t>
        </is>
      </c>
      <c r="B77" s="3" t="inlineStr">
        <is>
          <t>I1</t>
        </is>
      </c>
      <c r="C77" s="3" t="n">
        <v>20</v>
      </c>
      <c r="D77" s="3" t="inlineStr">
        <is>
          <t>FULL</t>
        </is>
      </c>
      <c r="E77" s="7">
        <f>IF(B77="I1",AVERAGEIF('QA_Images'!$A$2:$A$69,A77,'QA_Images'!$T$2:$T$69)/100,IF(D77="FULL",1,IF(D77="PARTIAL",0.5,IF(D77="FAIL",0,""))))</f>
        <v/>
      </c>
      <c r="F77" s="7">
        <f>IF(E77="",0,C77*E77)</f>
        <v/>
      </c>
      <c r="G77" s="7">
        <f>IF(B77="I1",20*AVERAGEIF('QA_Images'!$A$2:$A$69,A77,'QA_Images'!$U$2:$U$69)/100,IF(D77="NOT_CHECKED",0,C77))</f>
        <v/>
      </c>
      <c r="H77" s="3" t="inlineStr">
        <is>
          <t>Image coverage, image observations and alt text quality, derived from QA_Images. Derived from average image QA score; see QA_Images.</t>
        </is>
      </c>
      <c r="I77" s="3" t="inlineStr">
        <is>
          <t>evidence_batch_014_137</t>
        </is>
      </c>
      <c r="J77" s="3" t="inlineStr">
        <is>
          <t>ISSUE-0053; ISSUE-0054; ISSUE-0055; ISSUE-0056</t>
        </is>
      </c>
    </row>
    <row r="78" ht="42" customHeight="1">
      <c r="A78" s="2" t="inlineStr">
        <is>
          <t>jeminise.com+dragonfly-pattern-quilt-set-dragonflies-vintage-quilt-set-patchwork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IF(B78="I1",AVERAGEIF('QA_Images'!$A$2:$A$69,A78,'QA_Images'!$T$2:$T$69)/100,IF(D78="FULL",1,IF(D78="PARTIAL",0.5,IF(D78="FAIL",0,""))))</f>
        <v/>
      </c>
      <c r="F78" s="5">
        <f>IF(E78="",0,C78*E78)</f>
        <v/>
      </c>
      <c r="G78" s="5">
        <f>IF(B78="I1",20*AVERAGEIF('QA_Images'!$A$2:$A$69,A78,'QA_Images'!$U$2:$U$69)/100,IF(D78="NOT_CHECKED",0,C78))</f>
        <v/>
      </c>
      <c r="H78" s="2" t="inlineStr">
        <is>
          <t>Evidence chain is traceable and limitations are explicitly separated from failures. Evidence chain is traceable, with admin-export limitation explicitly separated.</t>
        </is>
      </c>
      <c r="I78" s="2" t="inlineStr">
        <is>
          <t>evidence_batch_014_137</t>
        </is>
      </c>
      <c r="J78" s="2" t="inlineStr">
        <is>
          <t>ISSUE-0053; ISSUE-0054; ISSUE-0055; ISSUE-0056</t>
        </is>
      </c>
    </row>
    <row r="79" ht="42" customHeight="1">
      <c r="A79" s="3" t="inlineStr">
        <is>
          <t>jeminise.com+elephant-patchwork-pattern-quilt-set-animal-farmhouse-quilt-set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IF(B79="I1",AVERAGEIF('QA_Images'!$A$2:$A$69,A79,'QA_Images'!$T$2:$T$69)/100,IF(D79="FULL",1,IF(D79="PARTIAL",0.5,IF(D79="FAIL",0,""))))</f>
        <v/>
      </c>
      <c r="F79" s="7">
        <f>IF(E79="",0,C79*E79)</f>
        <v/>
      </c>
      <c r="G79" s="7">
        <f>IF(B79="I1",20*AVERAGEIF('QA_Images'!$A$2:$A$69,A79,'QA_Images'!$U$2:$U$69)/100,IF(D79="NOT_CHECKED",0,C79))</f>
        <v/>
      </c>
      <c r="H79" s="3" t="inlineStr">
        <is>
          <t>Product identity, handle, product ID, URL and canonical match source/live evidence. Product key/handle/product ID/canonical checked against frozen workbook and live product evidence.</t>
        </is>
      </c>
      <c r="I79" s="3" t="inlineStr">
        <is>
          <t>evidence_batch_014_138</t>
        </is>
      </c>
      <c r="J79" s="3" t="inlineStr">
        <is>
          <t>ISSUE-0062; ISSUE-0063; ISSUE-0064; ISSUE-0065</t>
        </is>
      </c>
    </row>
    <row r="80" ht="42" customHeight="1">
      <c r="A80" s="2" t="inlineStr">
        <is>
          <t>jeminise.com+elephant-patchwork-pattern-quilt-set-animal-farmhouse-quilt-set</t>
        </is>
      </c>
      <c r="B80" s="2" t="inlineStr">
        <is>
          <t>P2</t>
        </is>
      </c>
      <c r="C80" s="2" t="n">
        <v>10</v>
      </c>
      <c r="D80" s="2" t="inlineStr">
        <is>
          <t>PARTIAL</t>
        </is>
      </c>
      <c r="E80" s="5">
        <f>IF(B80="I1",AVERAGEIF('QA_Images'!$A$2:$A$69,A80,'QA_Images'!$T$2:$T$69)/100,IF(D80="FULL",1,IF(D80="PARTIAL",0.5,IF(D80="FAIL",0,""))))</f>
        <v/>
      </c>
      <c r="F80" s="5">
        <f>IF(E80="",0,C80*E80)</f>
        <v/>
      </c>
      <c r="G80" s="5">
        <f>IF(B80="I1",20*AVERAGEIF('QA_Images'!$A$2:$A$69,A80,'QA_Images'!$U$2:$U$69)/100,IF(D80="NOT_CHECKED",0,C80))</f>
        <v/>
      </c>
      <c r="H80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80" s="2" t="inlineStr">
        <is>
          <t>evidence_batch_014_138</t>
        </is>
      </c>
      <c r="J80" s="2" t="inlineStr">
        <is>
          <t>ISSUE-0062; ISSUE-0063; ISSUE-0064; ISSUE-0065</t>
        </is>
      </c>
    </row>
    <row r="81" ht="42" customHeight="1">
      <c r="A81" s="3" t="inlineStr">
        <is>
          <t>jeminise.com+elephant-patchwork-pattern-quilt-set-animal-farmhouse-quilt-set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IF(B81="I1",AVERAGEIF('QA_Images'!$A$2:$A$69,A81,'QA_Images'!$T$2:$T$69)/100,IF(D81="FULL",1,IF(D81="PARTIAL",0.5,IF(D81="FAIL",0,""))))</f>
        <v/>
      </c>
      <c r="F81" s="7">
        <f>IF(E81="",0,C81*E81)</f>
        <v/>
      </c>
      <c r="G81" s="7">
        <f>IF(B81="I1",20*AVERAGEIF('QA_Images'!$A$2:$A$69,A81,'QA_Images'!$U$2:$U$69)/100,IF(D81="NOT_CHECKED",0,C81))</f>
        <v/>
      </c>
      <c r="H81" s="3" t="inlineStr">
        <is>
          <t>Primary keyword aligns with product-level US purchase intent. Primary keyword rechecked against US product-level SERP comparables.</t>
        </is>
      </c>
      <c r="I81" s="3" t="inlineStr">
        <is>
          <t>evidence_batch_014_138</t>
        </is>
      </c>
      <c r="J81" s="3" t="inlineStr">
        <is>
          <t>ISSUE-0062; ISSUE-0063; ISSUE-0064; ISSUE-0065</t>
        </is>
      </c>
    </row>
    <row r="82" ht="42" customHeight="1">
      <c r="A82" s="2" t="inlineStr">
        <is>
          <t>jeminise.com+elephant-patchwork-pattern-quilt-set-animal-farmhouse-quilt-set</t>
        </is>
      </c>
      <c r="B82" s="2" t="inlineStr">
        <is>
          <t>K2</t>
        </is>
      </c>
      <c r="C82" s="2" t="n">
        <v>5</v>
      </c>
      <c r="D82" s="2" t="inlineStr">
        <is>
          <t>PARTIAL</t>
        </is>
      </c>
      <c r="E82" s="5">
        <f>IF(B82="I1",AVERAGEIF('QA_Images'!$A$2:$A$69,A82,'QA_Images'!$T$2:$T$69)/100,IF(D82="FULL",1,IF(D82="PARTIAL",0.5,IF(D82="FAIL",0,""))))</f>
        <v/>
      </c>
      <c r="F82" s="5">
        <f>IF(E82="",0,C82*E82)</f>
        <v/>
      </c>
      <c r="G82" s="5">
        <f>IF(B82="I1",20*AVERAGEIF('QA_Images'!$A$2:$A$69,A82,'QA_Images'!$U$2:$U$69)/100,IF(D82="NOT_CHECKED",0,C82))</f>
        <v/>
      </c>
      <c r="H82" s="2" t="inlineStr">
        <is>
          <t>Intent/cannibalization check distinguishes nearby products. Nearby product cluster has overlap risk, so intent distinction remains only partial.</t>
        </is>
      </c>
      <c r="I82" s="2" t="inlineStr">
        <is>
          <t>evidence_batch_014_138</t>
        </is>
      </c>
      <c r="J82" s="2" t="inlineStr">
        <is>
          <t>ISSUE-0062; ISSUE-0063; ISSUE-0064; ISSUE-0065</t>
        </is>
      </c>
    </row>
    <row r="83" ht="42" customHeight="1">
      <c r="A83" s="3" t="inlineStr">
        <is>
          <t>jeminise.com+elephant-patchwork-pattern-quilt-set-animal-farmhouse-quilt-set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IF(B83="I1",AVERAGEIF('QA_Images'!$A$2:$A$69,A83,'QA_Images'!$T$2:$T$69)/100,IF(D83="FULL",1,IF(D83="PARTIAL",0.5,IF(D83="FAIL",0,""))))</f>
        <v/>
      </c>
      <c r="F83" s="7">
        <f>IF(E83="",0,C83*E83)</f>
        <v/>
      </c>
      <c r="G83" s="7">
        <f>IF(B83="I1",20*AVERAGEIF('QA_Images'!$A$2:$A$69,A83,'QA_Images'!$U$2:$U$69)/100,IF(D83="NOT_CHECKED",0,C83))</f>
        <v/>
      </c>
      <c r="H83" s="3" t="inlineStr">
        <is>
          <t>Keyword evidence is supported by SERP comparables without unsupported volume claims. Evidence is public SERP only; no Search Console, keyword volume or customer-search corpus provided.</t>
        </is>
      </c>
      <c r="I83" s="3" t="inlineStr">
        <is>
          <t>evidence_batch_014_138</t>
        </is>
      </c>
      <c r="J83" s="3" t="inlineStr">
        <is>
          <t>ISSUE-0062; ISSUE-0063; ISSUE-0064; ISSUE-0065</t>
        </is>
      </c>
    </row>
    <row r="84" ht="42" customHeight="1">
      <c r="A84" s="2" t="inlineStr">
        <is>
          <t>jeminise.com+elephant-patchwork-pattern-quilt-set-animal-farmhouse-quilt-set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IF(B84="I1",AVERAGEIF('QA_Images'!$A$2:$A$69,A84,'QA_Images'!$T$2:$T$69)/100,IF(D84="FULL",1,IF(D84="PARTIAL",0.5,IF(D84="FAIL",0,""))))</f>
        <v/>
      </c>
      <c r="F84" s="5">
        <f>IF(E84="",0,C84*E84)</f>
        <v/>
      </c>
      <c r="G84" s="5">
        <f>IF(B84="I1",20*AVERAGEIF('QA_Images'!$A$2:$A$69,A84,'QA_Images'!$U$2:$U$69)/100,IF(D84="NOT_CHECKED",0,C84))</f>
        <v/>
      </c>
      <c r="H84" s="2" t="inlineStr">
        <is>
          <t>SEO title and H1 are relevant, specific and grounded in visible/source facts. Title/H1 are product-specific and tied to visible motif/product type.</t>
        </is>
      </c>
      <c r="I84" s="2" t="inlineStr">
        <is>
          <t>evidence_batch_014_138</t>
        </is>
      </c>
      <c r="J84" s="2" t="inlineStr">
        <is>
          <t>ISSUE-0062; ISSUE-0063; ISSUE-0064; ISSUE-0065</t>
        </is>
      </c>
    </row>
    <row r="85" ht="42" customHeight="1">
      <c r="A85" s="3" t="inlineStr">
        <is>
          <t>jeminise.com+elephant-patchwork-pattern-quilt-set-animal-farmhouse-quilt-set</t>
        </is>
      </c>
      <c r="B85" s="3" t="inlineStr">
        <is>
          <t>T2</t>
        </is>
      </c>
      <c r="C85" s="3" t="n">
        <v>5</v>
      </c>
      <c r="D85" s="3" t="inlineStr">
        <is>
          <t>PARTIAL</t>
        </is>
      </c>
      <c r="E85" s="7">
        <f>IF(B85="I1",AVERAGEIF('QA_Images'!$A$2:$A$69,A85,'QA_Images'!$T$2:$T$69)/100,IF(D85="FULL",1,IF(D85="PARTIAL",0.5,IF(D85="FAIL",0,""))))</f>
        <v/>
      </c>
      <c r="F85" s="7">
        <f>IF(E85="",0,C85*E85)</f>
        <v/>
      </c>
      <c r="G85" s="7">
        <f>IF(B85="I1",20*AVERAGEIF('QA_Images'!$A$2:$A$69,A85,'QA_Images'!$U$2:$U$69)/100,IF(D85="NOT_CHECKED",0,C85))</f>
        <v/>
      </c>
      <c r="H85" s="3" t="inlineStr">
        <is>
          <t>Meta description is concise, publish-ready and avoids unsupported claims. Meta description checked for length, specificity and supportable claims.</t>
        </is>
      </c>
      <c r="I85" s="3" t="inlineStr">
        <is>
          <t>evidence_batch_014_138</t>
        </is>
      </c>
      <c r="J85" s="3" t="inlineStr">
        <is>
          <t>ISSUE-0062; ISSUE-0063; ISSUE-0064; ISSUE-0065</t>
        </is>
      </c>
    </row>
    <row r="86" ht="42" customHeight="1">
      <c r="A86" s="2" t="inlineStr">
        <is>
          <t>jeminise.com+elephant-patchwork-pattern-quilt-set-animal-farmhouse-quilt-set</t>
        </is>
      </c>
      <c r="B86" s="2" t="inlineStr">
        <is>
          <t>D1</t>
        </is>
      </c>
      <c r="C86" s="2" t="n">
        <v>10</v>
      </c>
      <c r="D86" s="2" t="inlineStr">
        <is>
          <t>FAIL</t>
        </is>
      </c>
      <c r="E86" s="5">
        <f>IF(B86="I1",AVERAGEIF('QA_Images'!$A$2:$A$69,A86,'QA_Images'!$T$2:$T$69)/100,IF(D86="FULL",1,IF(D86="PARTIAL",0.5,IF(D86="FAIL",0,""))))</f>
        <v/>
      </c>
      <c r="F86" s="5">
        <f>IF(E86="",0,C86*E86)</f>
        <v/>
      </c>
      <c r="G86" s="5">
        <f>IF(B86="I1",20*AVERAGEIF('QA_Images'!$A$2:$A$69,A86,'QA_Images'!$U$2:$U$69)/100,IF(D86="NOT_CHECKED",0,C86))</f>
        <v/>
      </c>
      <c r="H86" s="2" t="inlineStr">
        <is>
          <t>Description HTML is publish-ready and free of internal draft/QA instructions. Description HTML still contains internal QA/import language.</t>
        </is>
      </c>
      <c r="I86" s="2" t="inlineStr">
        <is>
          <t>evidence_batch_014_138</t>
        </is>
      </c>
      <c r="J86" s="2" t="inlineStr">
        <is>
          <t>ISSUE-0062; ISSUE-0063; ISSUE-0064; ISSUE-0065</t>
        </is>
      </c>
    </row>
    <row r="87" ht="42" customHeight="1">
      <c r="A87" s="3" t="inlineStr">
        <is>
          <t>jeminise.com+elephant-patchwork-pattern-quilt-set-animal-farmhouse-quilt-set</t>
        </is>
      </c>
      <c r="B87" s="3" t="inlineStr">
        <is>
          <t>D2</t>
        </is>
      </c>
      <c r="C87" s="3" t="n">
        <v>5</v>
      </c>
      <c r="D87" s="3" t="inlineStr">
        <is>
          <t>PARTIAL</t>
        </is>
      </c>
      <c r="E87" s="7">
        <f>IF(B87="I1",AVERAGEIF('QA_Images'!$A$2:$A$69,A87,'QA_Images'!$T$2:$T$69)/100,IF(D87="FULL",1,IF(D87="PARTIAL",0.5,IF(D87="FAIL",0,""))))</f>
        <v/>
      </c>
      <c r="F87" s="7">
        <f>IF(E87="",0,C87*E87)</f>
        <v/>
      </c>
      <c r="G87" s="7">
        <f>IF(B87="I1",20*AVERAGEIF('QA_Images'!$A$2:$A$69,A87,'QA_Images'!$U$2:$U$69)/100,IF(D87="NOT_CHECKED",0,C87))</f>
        <v/>
      </c>
      <c r="H87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87" s="3" t="inlineStr">
        <is>
          <t>evidence_batch_014_138</t>
        </is>
      </c>
      <c r="J87" s="3" t="inlineStr">
        <is>
          <t>ISSUE-0062; ISSUE-0063; ISSUE-0064; ISSUE-0065</t>
        </is>
      </c>
    </row>
    <row r="88" ht="42" customHeight="1">
      <c r="A88" s="2" t="inlineStr">
        <is>
          <t>jeminise.com+elephant-patchwork-pattern-quilt-set-animal-farmhouse-quilt-set</t>
        </is>
      </c>
      <c r="B88" s="2" t="inlineStr">
        <is>
          <t>I1</t>
        </is>
      </c>
      <c r="C88" s="2" t="n">
        <v>20</v>
      </c>
      <c r="D88" s="2" t="inlineStr">
        <is>
          <t>FULL</t>
        </is>
      </c>
      <c r="E88" s="5">
        <f>IF(B88="I1",AVERAGEIF('QA_Images'!$A$2:$A$69,A88,'QA_Images'!$T$2:$T$69)/100,IF(D88="FULL",1,IF(D88="PARTIAL",0.5,IF(D88="FAIL",0,""))))</f>
        <v/>
      </c>
      <c r="F88" s="5">
        <f>IF(E88="",0,C88*E88)</f>
        <v/>
      </c>
      <c r="G88" s="5">
        <f>IF(B88="I1",20*AVERAGEIF('QA_Images'!$A$2:$A$69,A88,'QA_Images'!$U$2:$U$69)/100,IF(D88="NOT_CHECKED",0,C88))</f>
        <v/>
      </c>
      <c r="H88" s="2" t="inlineStr">
        <is>
          <t>Image coverage, image observations and alt text quality, derived from QA_Images. Derived from average image QA score; see QA_Images.</t>
        </is>
      </c>
      <c r="I88" s="2" t="inlineStr">
        <is>
          <t>evidence_batch_014_138</t>
        </is>
      </c>
      <c r="J88" s="2" t="inlineStr">
        <is>
          <t>ISSUE-0062; ISSUE-0063; ISSUE-0064; ISSUE-0065</t>
        </is>
      </c>
    </row>
    <row r="89" ht="42" customHeight="1">
      <c r="A89" s="3" t="inlineStr">
        <is>
          <t>jeminise.com+elephant-patchwork-pattern-quilt-set-animal-farmhouse-quilt-set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IF(B89="I1",AVERAGEIF('QA_Images'!$A$2:$A$69,A89,'QA_Images'!$T$2:$T$69)/100,IF(D89="FULL",1,IF(D89="PARTIAL",0.5,IF(D89="FAIL",0,""))))</f>
        <v/>
      </c>
      <c r="F89" s="7">
        <f>IF(E89="",0,C89*E89)</f>
        <v/>
      </c>
      <c r="G89" s="7">
        <f>IF(B89="I1",20*AVERAGEIF('QA_Images'!$A$2:$A$69,A89,'QA_Images'!$U$2:$U$69)/100,IF(D89="NOT_CHECKED",0,C89))</f>
        <v/>
      </c>
      <c r="H89" s="3" t="inlineStr">
        <is>
          <t>Evidence chain is traceable and limitations are explicitly separated from failures. Evidence chain is traceable, with admin-export limitation explicitly separated.</t>
        </is>
      </c>
      <c r="I89" s="3" t="inlineStr">
        <is>
          <t>evidence_batch_014_138</t>
        </is>
      </c>
      <c r="J89" s="3" t="inlineStr">
        <is>
          <t>ISSUE-0062; ISSUE-0063; ISSUE-0064; ISSUE-0065</t>
        </is>
      </c>
    </row>
    <row r="90" ht="42" customHeight="1">
      <c r="A90" s="2" t="inlineStr">
        <is>
          <t>jeminise.com+elephant-quilt-set-animal-patchwork-printed-quilt-bedset-patchwork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IF(B90="I1",AVERAGEIF('QA_Images'!$A$2:$A$69,A90,'QA_Images'!$T$2:$T$69)/100,IF(D90="FULL",1,IF(D90="PARTIAL",0.5,IF(D90="FAIL",0,""))))</f>
        <v/>
      </c>
      <c r="F90" s="5">
        <f>IF(E90="",0,C90*E90)</f>
        <v/>
      </c>
      <c r="G90" s="5">
        <f>IF(B90="I1",20*AVERAGEIF('QA_Images'!$A$2:$A$69,A90,'QA_Images'!$U$2:$U$69)/100,IF(D90="NOT_CHECKED",0,C90))</f>
        <v/>
      </c>
      <c r="H90" s="2" t="inlineStr">
        <is>
          <t>Product identity, handle, product ID, URL and canonical match source/live evidence. Product key/handle/product ID/canonical checked against frozen workbook and live product evidence.</t>
        </is>
      </c>
      <c r="I90" s="2" t="inlineStr">
        <is>
          <t>evidence_batch_014_139</t>
        </is>
      </c>
      <c r="J90" s="2" t="inlineStr">
        <is>
          <t>ISSUE-0071; ISSUE-0072; ISSUE-0073; ISSUE-0074</t>
        </is>
      </c>
    </row>
    <row r="91" ht="42" customHeight="1">
      <c r="A91" s="3" t="inlineStr">
        <is>
          <t>jeminise.com+elephant-quilt-set-animal-patchwork-printed-quilt-bedset-patchwork</t>
        </is>
      </c>
      <c r="B91" s="3" t="inlineStr">
        <is>
          <t>P2</t>
        </is>
      </c>
      <c r="C91" s="3" t="n">
        <v>10</v>
      </c>
      <c r="D91" s="3" t="inlineStr">
        <is>
          <t>PARTIAL</t>
        </is>
      </c>
      <c r="E91" s="7">
        <f>IF(B91="I1",AVERAGEIF('QA_Images'!$A$2:$A$69,A91,'QA_Images'!$T$2:$T$69)/100,IF(D91="FULL",1,IF(D91="PARTIAL",0.5,IF(D91="FAIL",0,""))))</f>
        <v/>
      </c>
      <c r="F91" s="7">
        <f>IF(E91="",0,C91*E91)</f>
        <v/>
      </c>
      <c r="G91" s="7">
        <f>IF(B91="I1",20*AVERAGEIF('QA_Images'!$A$2:$A$69,A91,'QA_Images'!$U$2:$U$69)/100,IF(D91="NOT_CHECKED",0,C91))</f>
        <v/>
      </c>
      <c r="H91" s="3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91" s="3" t="inlineStr">
        <is>
          <t>evidence_batch_014_139</t>
        </is>
      </c>
      <c r="J91" s="3" t="inlineStr">
        <is>
          <t>ISSUE-0071; ISSUE-0072; ISSUE-0073; ISSUE-0074</t>
        </is>
      </c>
    </row>
    <row r="92" ht="42" customHeight="1">
      <c r="A92" s="2" t="inlineStr">
        <is>
          <t>jeminise.com+elephant-quilt-set-animal-patchwork-printed-quilt-bedset-patchwork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IF(B92="I1",AVERAGEIF('QA_Images'!$A$2:$A$69,A92,'QA_Images'!$T$2:$T$69)/100,IF(D92="FULL",1,IF(D92="PARTIAL",0.5,IF(D92="FAIL",0,""))))</f>
        <v/>
      </c>
      <c r="F92" s="5">
        <f>IF(E92="",0,C92*E92)</f>
        <v/>
      </c>
      <c r="G92" s="5">
        <f>IF(B92="I1",20*AVERAGEIF('QA_Images'!$A$2:$A$69,A92,'QA_Images'!$U$2:$U$69)/100,IF(D92="NOT_CHECKED",0,C92))</f>
        <v/>
      </c>
      <c r="H92" s="2" t="inlineStr">
        <is>
          <t>Primary keyword aligns with product-level US purchase intent. Primary keyword rechecked against US product-level SERP comparables.</t>
        </is>
      </c>
      <c r="I92" s="2" t="inlineStr">
        <is>
          <t>evidence_batch_014_139</t>
        </is>
      </c>
      <c r="J92" s="2" t="inlineStr">
        <is>
          <t>ISSUE-0071; ISSUE-0072; ISSUE-0073; ISSUE-0074</t>
        </is>
      </c>
    </row>
    <row r="93" ht="42" customHeight="1">
      <c r="A93" s="3" t="inlineStr">
        <is>
          <t>jeminise.com+elephant-quilt-set-animal-patchwork-printed-quilt-bedset-patchwork</t>
        </is>
      </c>
      <c r="B93" s="3" t="inlineStr">
        <is>
          <t>K2</t>
        </is>
      </c>
      <c r="C93" s="3" t="n">
        <v>5</v>
      </c>
      <c r="D93" s="3" t="inlineStr">
        <is>
          <t>PARTIAL</t>
        </is>
      </c>
      <c r="E93" s="7">
        <f>IF(B93="I1",AVERAGEIF('QA_Images'!$A$2:$A$69,A93,'QA_Images'!$T$2:$T$69)/100,IF(D93="FULL",1,IF(D93="PARTIAL",0.5,IF(D93="FAIL",0,""))))</f>
        <v/>
      </c>
      <c r="F93" s="7">
        <f>IF(E93="",0,C93*E93)</f>
        <v/>
      </c>
      <c r="G93" s="7">
        <f>IF(B93="I1",20*AVERAGEIF('QA_Images'!$A$2:$A$69,A93,'QA_Images'!$U$2:$U$69)/100,IF(D93="NOT_CHECKED",0,C93))</f>
        <v/>
      </c>
      <c r="H93" s="3" t="inlineStr">
        <is>
          <t>Intent/cannibalization check distinguishes nearby products. Nearby product cluster has overlap risk, so intent distinction remains only partial.</t>
        </is>
      </c>
      <c r="I93" s="3" t="inlineStr">
        <is>
          <t>evidence_batch_014_139</t>
        </is>
      </c>
      <c r="J93" s="3" t="inlineStr">
        <is>
          <t>ISSUE-0071; ISSUE-0072; ISSUE-0073; ISSUE-0074</t>
        </is>
      </c>
    </row>
    <row r="94" ht="42" customHeight="1">
      <c r="A94" s="2" t="inlineStr">
        <is>
          <t>jeminise.com+elephant-quilt-set-animal-patchwork-printed-quilt-bedset-patchwork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IF(B94="I1",AVERAGEIF('QA_Images'!$A$2:$A$69,A94,'QA_Images'!$T$2:$T$69)/100,IF(D94="FULL",1,IF(D94="PARTIAL",0.5,IF(D94="FAIL",0,""))))</f>
        <v/>
      </c>
      <c r="F94" s="5">
        <f>IF(E94="",0,C94*E94)</f>
        <v/>
      </c>
      <c r="G94" s="5">
        <f>IF(B94="I1",20*AVERAGEIF('QA_Images'!$A$2:$A$69,A94,'QA_Images'!$U$2:$U$69)/100,IF(D94="NOT_CHECKED",0,C94))</f>
        <v/>
      </c>
      <c r="H94" s="2" t="inlineStr">
        <is>
          <t>Keyword evidence is supported by SERP comparables without unsupported volume claims. Evidence is public SERP only; no Search Console, keyword volume or customer-search corpus provided.</t>
        </is>
      </c>
      <c r="I94" s="2" t="inlineStr">
        <is>
          <t>evidence_batch_014_139</t>
        </is>
      </c>
      <c r="J94" s="2" t="inlineStr">
        <is>
          <t>ISSUE-0071; ISSUE-0072; ISSUE-0073; ISSUE-0074</t>
        </is>
      </c>
    </row>
    <row r="95" ht="42" customHeight="1">
      <c r="A95" s="3" t="inlineStr">
        <is>
          <t>jeminise.com+elephant-quilt-set-animal-patchwork-printed-quilt-bedset-patchwork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IF(B95="I1",AVERAGEIF('QA_Images'!$A$2:$A$69,A95,'QA_Images'!$T$2:$T$69)/100,IF(D95="FULL",1,IF(D95="PARTIAL",0.5,IF(D95="FAIL",0,""))))</f>
        <v/>
      </c>
      <c r="F95" s="7">
        <f>IF(E95="",0,C95*E95)</f>
        <v/>
      </c>
      <c r="G95" s="7">
        <f>IF(B95="I1",20*AVERAGEIF('QA_Images'!$A$2:$A$69,A95,'QA_Images'!$U$2:$U$69)/100,IF(D95="NOT_CHECKED",0,C95))</f>
        <v/>
      </c>
      <c r="H95" s="3" t="inlineStr">
        <is>
          <t>SEO title and H1 are relevant, specific and grounded in visible/source facts. Title/H1 are product-specific and tied to visible motif/product type.</t>
        </is>
      </c>
      <c r="I95" s="3" t="inlineStr">
        <is>
          <t>evidence_batch_014_139</t>
        </is>
      </c>
      <c r="J95" s="3" t="inlineStr">
        <is>
          <t>ISSUE-0071; ISSUE-0072; ISSUE-0073; ISSUE-0074</t>
        </is>
      </c>
    </row>
    <row r="96" ht="42" customHeight="1">
      <c r="A96" s="2" t="inlineStr">
        <is>
          <t>jeminise.com+elephant-quilt-set-animal-patchwork-printed-quilt-bedset-patchwork</t>
        </is>
      </c>
      <c r="B96" s="2" t="inlineStr">
        <is>
          <t>T2</t>
        </is>
      </c>
      <c r="C96" s="2" t="n">
        <v>5</v>
      </c>
      <c r="D96" s="2" t="inlineStr">
        <is>
          <t>PARTIAL</t>
        </is>
      </c>
      <c r="E96" s="5">
        <f>IF(B96="I1",AVERAGEIF('QA_Images'!$A$2:$A$69,A96,'QA_Images'!$T$2:$T$69)/100,IF(D96="FULL",1,IF(D96="PARTIAL",0.5,IF(D96="FAIL",0,""))))</f>
        <v/>
      </c>
      <c r="F96" s="5">
        <f>IF(E96="",0,C96*E96)</f>
        <v/>
      </c>
      <c r="G96" s="5">
        <f>IF(B96="I1",20*AVERAGEIF('QA_Images'!$A$2:$A$69,A96,'QA_Images'!$U$2:$U$69)/100,IF(D96="NOT_CHECKED",0,C96))</f>
        <v/>
      </c>
      <c r="H96" s="2" t="inlineStr">
        <is>
          <t>Meta description is concise, publish-ready and avoids unsupported claims. Meta description checked for length, specificity and supportable claims.</t>
        </is>
      </c>
      <c r="I96" s="2" t="inlineStr">
        <is>
          <t>evidence_batch_014_139</t>
        </is>
      </c>
      <c r="J96" s="2" t="inlineStr">
        <is>
          <t>ISSUE-0071; ISSUE-0072; ISSUE-0073; ISSUE-0074</t>
        </is>
      </c>
    </row>
    <row r="97" ht="42" customHeight="1">
      <c r="A97" s="3" t="inlineStr">
        <is>
          <t>jeminise.com+elephant-quilt-set-animal-patchwork-printed-quilt-bedset-patchwork</t>
        </is>
      </c>
      <c r="B97" s="3" t="inlineStr">
        <is>
          <t>D1</t>
        </is>
      </c>
      <c r="C97" s="3" t="n">
        <v>10</v>
      </c>
      <c r="D97" s="3" t="inlineStr">
        <is>
          <t>FAIL</t>
        </is>
      </c>
      <c r="E97" s="7">
        <f>IF(B97="I1",AVERAGEIF('QA_Images'!$A$2:$A$69,A97,'QA_Images'!$T$2:$T$69)/100,IF(D97="FULL",1,IF(D97="PARTIAL",0.5,IF(D97="FAIL",0,""))))</f>
        <v/>
      </c>
      <c r="F97" s="7">
        <f>IF(E97="",0,C97*E97)</f>
        <v/>
      </c>
      <c r="G97" s="7">
        <f>IF(B97="I1",20*AVERAGEIF('QA_Images'!$A$2:$A$69,A97,'QA_Images'!$U$2:$U$69)/100,IF(D97="NOT_CHECKED",0,C97))</f>
        <v/>
      </c>
      <c r="H97" s="3" t="inlineStr">
        <is>
          <t>Description HTML is publish-ready and free of internal draft/QA instructions. Description HTML still contains internal QA/import language.</t>
        </is>
      </c>
      <c r="I97" s="3" t="inlineStr">
        <is>
          <t>evidence_batch_014_139</t>
        </is>
      </c>
      <c r="J97" s="3" t="inlineStr">
        <is>
          <t>ISSUE-0071; ISSUE-0072; ISSUE-0073; ISSUE-0074</t>
        </is>
      </c>
    </row>
    <row r="98" ht="42" customHeight="1">
      <c r="A98" s="2" t="inlineStr">
        <is>
          <t>jeminise.com+elephant-quilt-set-animal-patchwork-printed-quilt-bedset-patchwork</t>
        </is>
      </c>
      <c r="B98" s="2" t="inlineStr">
        <is>
          <t>D2</t>
        </is>
      </c>
      <c r="C98" s="2" t="n">
        <v>5</v>
      </c>
      <c r="D98" s="2" t="inlineStr">
        <is>
          <t>PARTIAL</t>
        </is>
      </c>
      <c r="E98" s="5">
        <f>IF(B98="I1",AVERAGEIF('QA_Images'!$A$2:$A$69,A98,'QA_Images'!$T$2:$T$69)/100,IF(D98="FULL",1,IF(D98="PARTIAL",0.5,IF(D98="FAIL",0,""))))</f>
        <v/>
      </c>
      <c r="F98" s="5">
        <f>IF(E98="",0,C98*E98)</f>
        <v/>
      </c>
      <c r="G98" s="5">
        <f>IF(B98="I1",20*AVERAGEIF('QA_Images'!$A$2:$A$69,A98,'QA_Images'!$U$2:$U$69)/100,IF(D98="NOT_CHECKED",0,C98))</f>
        <v/>
      </c>
      <c r="H98" s="2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98" s="2" t="inlineStr">
        <is>
          <t>evidence_batch_014_139</t>
        </is>
      </c>
      <c r="J98" s="2" t="inlineStr">
        <is>
          <t>ISSUE-0071; ISSUE-0072; ISSUE-0073; ISSUE-0074</t>
        </is>
      </c>
    </row>
    <row r="99" ht="42" customHeight="1">
      <c r="A99" s="3" t="inlineStr">
        <is>
          <t>jeminise.com+elephant-quilt-set-animal-patchwork-printed-quilt-bedset-patchwork</t>
        </is>
      </c>
      <c r="B99" s="3" t="inlineStr">
        <is>
          <t>I1</t>
        </is>
      </c>
      <c r="C99" s="3" t="n">
        <v>20</v>
      </c>
      <c r="D99" s="3" t="inlineStr">
        <is>
          <t>FULL</t>
        </is>
      </c>
      <c r="E99" s="7">
        <f>IF(B99="I1",AVERAGEIF('QA_Images'!$A$2:$A$69,A99,'QA_Images'!$T$2:$T$69)/100,IF(D99="FULL",1,IF(D99="PARTIAL",0.5,IF(D99="FAIL",0,""))))</f>
        <v/>
      </c>
      <c r="F99" s="7">
        <f>IF(E99="",0,C99*E99)</f>
        <v/>
      </c>
      <c r="G99" s="7">
        <f>IF(B99="I1",20*AVERAGEIF('QA_Images'!$A$2:$A$69,A99,'QA_Images'!$U$2:$U$69)/100,IF(D99="NOT_CHECKED",0,C99))</f>
        <v/>
      </c>
      <c r="H99" s="3" t="inlineStr">
        <is>
          <t>Image coverage, image observations and alt text quality, derived from QA_Images. Derived from average image QA score; see QA_Images.</t>
        </is>
      </c>
      <c r="I99" s="3" t="inlineStr">
        <is>
          <t>evidence_batch_014_139</t>
        </is>
      </c>
      <c r="J99" s="3" t="inlineStr">
        <is>
          <t>ISSUE-0071; ISSUE-0072; ISSUE-0073; ISSUE-0074</t>
        </is>
      </c>
    </row>
    <row r="100" ht="42" customHeight="1">
      <c r="A100" s="2" t="inlineStr">
        <is>
          <t>jeminise.com+elephant-quilt-set-animal-patchwork-printed-quilt-bedset-patchwork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IF(B100="I1",AVERAGEIF('QA_Images'!$A$2:$A$69,A100,'QA_Images'!$T$2:$T$69)/100,IF(D100="FULL",1,IF(D100="PARTIAL",0.5,IF(D100="FAIL",0,""))))</f>
        <v/>
      </c>
      <c r="F100" s="5">
        <f>IF(E100="",0,C100*E100)</f>
        <v/>
      </c>
      <c r="G100" s="5">
        <f>IF(B100="I1",20*AVERAGEIF('QA_Images'!$A$2:$A$69,A100,'QA_Images'!$U$2:$U$69)/100,IF(D100="NOT_CHECKED",0,C100))</f>
        <v/>
      </c>
      <c r="H100" s="2" t="inlineStr">
        <is>
          <t>Evidence chain is traceable and limitations are explicitly separated from failures. Evidence chain is traceable, with admin-export limitation explicitly separated.</t>
        </is>
      </c>
      <c r="I100" s="2" t="inlineStr">
        <is>
          <t>evidence_batch_014_139</t>
        </is>
      </c>
      <c r="J100" s="2" t="inlineStr">
        <is>
          <t>ISSUE-0071; ISSUE-0072; ISSUE-0073; ISSUE-0074</t>
        </is>
      </c>
    </row>
    <row r="101" ht="42" customHeight="1">
      <c r="A101" s="3" t="inlineStr">
        <is>
          <t>jeminise.com+fantasy-art-fantasy-dragon-comforter-set-with-dragon-scales-and-bedroom-setting-239aaba3e2-239aaba3e2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IF(B101="I1",AVERAGEIF('QA_Images'!$A$2:$A$69,A101,'QA_Images'!$T$2:$T$69)/100,IF(D101="FULL",1,IF(D101="PARTIAL",0.5,IF(D101="FAIL",0,""))))</f>
        <v/>
      </c>
      <c r="F101" s="7">
        <f>IF(E101="",0,C101*E101)</f>
        <v/>
      </c>
      <c r="G101" s="7">
        <f>IF(B101="I1",20*AVERAGEIF('QA_Images'!$A$2:$A$69,A101,'QA_Images'!$U$2:$U$69)/100,IF(D101="NOT_CHECKED",0,C101))</f>
        <v/>
      </c>
      <c r="H101" s="3" t="inlineStr">
        <is>
          <t>Product identity, handle, product ID, URL and canonical match source/live evidence. Product key/handle/product ID/canonical checked against frozen workbook and live product evidence.</t>
        </is>
      </c>
      <c r="I101" s="3" t="inlineStr">
        <is>
          <t>evidence_batch_014_140</t>
        </is>
      </c>
      <c r="J101" s="3" t="inlineStr">
        <is>
          <t>ISSUE-0080; ISSUE-0081; ISSUE-0082; ISSUE-0083</t>
        </is>
      </c>
    </row>
    <row r="102" ht="42" customHeight="1">
      <c r="A102" s="2" t="inlineStr">
        <is>
          <t>jeminise.com+fantasy-art-fantasy-dragon-comforter-set-with-dragon-scales-and-bedroom-setting-239aaba3e2-239aaba3e2</t>
        </is>
      </c>
      <c r="B102" s="2" t="inlineStr">
        <is>
          <t>P2</t>
        </is>
      </c>
      <c r="C102" s="2" t="n">
        <v>10</v>
      </c>
      <c r="D102" s="2" t="inlineStr">
        <is>
          <t>PARTIAL</t>
        </is>
      </c>
      <c r="E102" s="5">
        <f>IF(B102="I1",AVERAGEIF('QA_Images'!$A$2:$A$69,A102,'QA_Images'!$T$2:$T$69)/100,IF(D102="FULL",1,IF(D102="PARTIAL",0.5,IF(D102="FAIL",0,""))))</f>
        <v/>
      </c>
      <c r="F102" s="5">
        <f>IF(E102="",0,C102*E102)</f>
        <v/>
      </c>
      <c r="G102" s="5">
        <f>IF(B102="I1",20*AVERAGEIF('QA_Images'!$A$2:$A$69,A102,'QA_Images'!$U$2:$U$69)/100,IF(D102="NOT_CHECKED",0,C102))</f>
        <v/>
      </c>
      <c r="H102" s="2" t="inlineStr">
        <is>
          <t>Source product facts, variants, specifications and personalization claims are evidence-backed. Personalization/specification claims checked against storefront product.js and static customizer config.</t>
        </is>
      </c>
      <c r="I102" s="2" t="inlineStr">
        <is>
          <t>evidence_batch_014_140</t>
        </is>
      </c>
      <c r="J102" s="2" t="inlineStr">
        <is>
          <t>ISSUE-0080; ISSUE-0081; ISSUE-0082; ISSUE-0083</t>
        </is>
      </c>
    </row>
    <row r="103" ht="42" customHeight="1">
      <c r="A103" s="3" t="inlineStr">
        <is>
          <t>jeminise.com+fantasy-art-fantasy-dragon-comforter-set-with-dragon-scales-and-bedroom-setting-239aaba3e2-239aaba3e2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IF(B103="I1",AVERAGEIF('QA_Images'!$A$2:$A$69,A103,'QA_Images'!$T$2:$T$69)/100,IF(D103="FULL",1,IF(D103="PARTIAL",0.5,IF(D103="FAIL",0,""))))</f>
        <v/>
      </c>
      <c r="F103" s="7">
        <f>IF(E103="",0,C103*E103)</f>
        <v/>
      </c>
      <c r="G103" s="7">
        <f>IF(B103="I1",20*AVERAGEIF('QA_Images'!$A$2:$A$69,A103,'QA_Images'!$U$2:$U$69)/100,IF(D103="NOT_CHECKED",0,C103))</f>
        <v/>
      </c>
      <c r="H103" s="3" t="inlineStr">
        <is>
          <t>Primary keyword aligns with product-level US purchase intent. Primary keyword rechecked against US product-level SERP comparables.</t>
        </is>
      </c>
      <c r="I103" s="3" t="inlineStr">
        <is>
          <t>evidence_batch_014_140</t>
        </is>
      </c>
      <c r="J103" s="3" t="inlineStr">
        <is>
          <t>ISSUE-0080; ISSUE-0081; ISSUE-0082; ISSUE-0083</t>
        </is>
      </c>
    </row>
    <row r="104" ht="42" customHeight="1">
      <c r="A104" s="2" t="inlineStr">
        <is>
          <t>jeminise.com+fantasy-art-fantasy-dragon-comforter-set-with-dragon-scales-and-bedroom-setting-239aaba3e2-239aaba3e2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IF(B104="I1",AVERAGEIF('QA_Images'!$A$2:$A$69,A104,'QA_Images'!$T$2:$T$69)/100,IF(D104="FULL",1,IF(D104="PARTIAL",0.5,IF(D104="FAIL",0,""))))</f>
        <v/>
      </c>
      <c r="F104" s="5">
        <f>IF(E104="",0,C104*E104)</f>
        <v/>
      </c>
      <c r="G104" s="5">
        <f>IF(B104="I1",20*AVERAGEIF('QA_Images'!$A$2:$A$69,A104,'QA_Images'!$U$2:$U$69)/100,IF(D104="NOT_CHECKED",0,C104))</f>
        <v/>
      </c>
      <c r="H104" s="2" t="inlineStr">
        <is>
          <t>Intent/cannibalization check distinguishes nearby products. Nearby product cluster has overlap risk, so intent distinction remains only partial.</t>
        </is>
      </c>
      <c r="I104" s="2" t="inlineStr">
        <is>
          <t>evidence_batch_014_140</t>
        </is>
      </c>
      <c r="J104" s="2" t="inlineStr">
        <is>
          <t>ISSUE-0080; ISSUE-0081; ISSUE-0082; ISSUE-0083</t>
        </is>
      </c>
    </row>
    <row r="105" ht="42" customHeight="1">
      <c r="A105" s="3" t="inlineStr">
        <is>
          <t>jeminise.com+fantasy-art-fantasy-dragon-comforter-set-with-dragon-scales-and-bedroom-setting-239aaba3e2-239aaba3e2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IF(B105="I1",AVERAGEIF('QA_Images'!$A$2:$A$69,A105,'QA_Images'!$T$2:$T$69)/100,IF(D105="FULL",1,IF(D105="PARTIAL",0.5,IF(D105="FAIL",0,""))))</f>
        <v/>
      </c>
      <c r="F105" s="7">
        <f>IF(E105="",0,C105*E105)</f>
        <v/>
      </c>
      <c r="G105" s="7">
        <f>IF(B105="I1",20*AVERAGEIF('QA_Images'!$A$2:$A$69,A105,'QA_Images'!$U$2:$U$69)/100,IF(D105="NOT_CHECKED",0,C105))</f>
        <v/>
      </c>
      <c r="H105" s="3" t="inlineStr">
        <is>
          <t>Keyword evidence is supported by SERP comparables without unsupported volume claims. Evidence is public SERP only; no Search Console, keyword volume or customer-search corpus provided.</t>
        </is>
      </c>
      <c r="I105" s="3" t="inlineStr">
        <is>
          <t>evidence_batch_014_140</t>
        </is>
      </c>
      <c r="J105" s="3" t="inlineStr">
        <is>
          <t>ISSUE-0080; ISSUE-0081; ISSUE-0082; ISSUE-0083</t>
        </is>
      </c>
    </row>
    <row r="106" ht="42" customHeight="1">
      <c r="A106" s="2" t="inlineStr">
        <is>
          <t>jeminise.com+fantasy-art-fantasy-dragon-comforter-set-with-dragon-scales-and-bedroom-setting-239aaba3e2-239aaba3e2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IF(B106="I1",AVERAGEIF('QA_Images'!$A$2:$A$69,A106,'QA_Images'!$T$2:$T$69)/100,IF(D106="FULL",1,IF(D106="PARTIAL",0.5,IF(D106="FAIL",0,""))))</f>
        <v/>
      </c>
      <c r="F106" s="5">
        <f>IF(E106="",0,C106*E106)</f>
        <v/>
      </c>
      <c r="G106" s="5">
        <f>IF(B106="I1",20*AVERAGEIF('QA_Images'!$A$2:$A$69,A106,'QA_Images'!$U$2:$U$69)/100,IF(D106="NOT_CHECKED",0,C106))</f>
        <v/>
      </c>
      <c r="H106" s="2" t="inlineStr">
        <is>
          <t>SEO title and H1 are relevant, specific and grounded in visible/source facts. Title/H1 are product-specific and tied to visible motif/product type.</t>
        </is>
      </c>
      <c r="I106" s="2" t="inlineStr">
        <is>
          <t>evidence_batch_014_140</t>
        </is>
      </c>
      <c r="J106" s="2" t="inlineStr">
        <is>
          <t>ISSUE-0080; ISSUE-0081; ISSUE-0082; ISSUE-0083</t>
        </is>
      </c>
    </row>
    <row r="107" ht="42" customHeight="1">
      <c r="A107" s="3" t="inlineStr">
        <is>
          <t>jeminise.com+fantasy-art-fantasy-dragon-comforter-set-with-dragon-scales-and-bedroom-setting-239aaba3e2-239aaba3e2</t>
        </is>
      </c>
      <c r="B107" s="3" t="inlineStr">
        <is>
          <t>T2</t>
        </is>
      </c>
      <c r="C107" s="3" t="n">
        <v>5</v>
      </c>
      <c r="D107" s="3" t="inlineStr">
        <is>
          <t>PARTIAL</t>
        </is>
      </c>
      <c r="E107" s="7">
        <f>IF(B107="I1",AVERAGEIF('QA_Images'!$A$2:$A$69,A107,'QA_Images'!$T$2:$T$69)/100,IF(D107="FULL",1,IF(D107="PARTIAL",0.5,IF(D107="FAIL",0,""))))</f>
        <v/>
      </c>
      <c r="F107" s="7">
        <f>IF(E107="",0,C107*E107)</f>
        <v/>
      </c>
      <c r="G107" s="7">
        <f>IF(B107="I1",20*AVERAGEIF('QA_Images'!$A$2:$A$69,A107,'QA_Images'!$U$2:$U$69)/100,IF(D107="NOT_CHECKED",0,C107))</f>
        <v/>
      </c>
      <c r="H107" s="3" t="inlineStr">
        <is>
          <t>Meta description is concise, publish-ready and avoids unsupported claims. Meta description checked for length, specificity and supportable claims.</t>
        </is>
      </c>
      <c r="I107" s="3" t="inlineStr">
        <is>
          <t>evidence_batch_014_140</t>
        </is>
      </c>
      <c r="J107" s="3" t="inlineStr">
        <is>
          <t>ISSUE-0080; ISSUE-0081; ISSUE-0082; ISSUE-0083</t>
        </is>
      </c>
    </row>
    <row r="108" ht="42" customHeight="1">
      <c r="A108" s="2" t="inlineStr">
        <is>
          <t>jeminise.com+fantasy-art-fantasy-dragon-comforter-set-with-dragon-scales-and-bedroom-setting-239aaba3e2-239aaba3e2</t>
        </is>
      </c>
      <c r="B108" s="2" t="inlineStr">
        <is>
          <t>D1</t>
        </is>
      </c>
      <c r="C108" s="2" t="n">
        <v>10</v>
      </c>
      <c r="D108" s="2" t="inlineStr">
        <is>
          <t>FAIL</t>
        </is>
      </c>
      <c r="E108" s="5">
        <f>IF(B108="I1",AVERAGEIF('QA_Images'!$A$2:$A$69,A108,'QA_Images'!$T$2:$T$69)/100,IF(D108="FULL",1,IF(D108="PARTIAL",0.5,IF(D108="FAIL",0,""))))</f>
        <v/>
      </c>
      <c r="F108" s="5">
        <f>IF(E108="",0,C108*E108)</f>
        <v/>
      </c>
      <c r="G108" s="5">
        <f>IF(B108="I1",20*AVERAGEIF('QA_Images'!$A$2:$A$69,A108,'QA_Images'!$U$2:$U$69)/100,IF(D108="NOT_CHECKED",0,C108))</f>
        <v/>
      </c>
      <c r="H108" s="2" t="inlineStr">
        <is>
          <t>Description HTML is publish-ready and free of internal draft/QA instructions. Description HTML still contains internal QA/import language.</t>
        </is>
      </c>
      <c r="I108" s="2" t="inlineStr">
        <is>
          <t>evidence_batch_014_140</t>
        </is>
      </c>
      <c r="J108" s="2" t="inlineStr">
        <is>
          <t>ISSUE-0080; ISSUE-0081; ISSUE-0082; ISSUE-0083</t>
        </is>
      </c>
    </row>
    <row r="109" ht="42" customHeight="1">
      <c r="A109" s="3" t="inlineStr">
        <is>
          <t>jeminise.com+fantasy-art-fantasy-dragon-comforter-set-with-dragon-scales-and-bedroom-setting-239aaba3e2-239aaba3e2</t>
        </is>
      </c>
      <c r="B109" s="3" t="inlineStr">
        <is>
          <t>D2</t>
        </is>
      </c>
      <c r="C109" s="3" t="n">
        <v>5</v>
      </c>
      <c r="D109" s="3" t="inlineStr">
        <is>
          <t>PARTIAL</t>
        </is>
      </c>
      <c r="E109" s="7">
        <f>IF(B109="I1",AVERAGEIF('QA_Images'!$A$2:$A$69,A109,'QA_Images'!$T$2:$T$69)/100,IF(D109="FULL",1,IF(D109="PARTIAL",0.5,IF(D109="FAIL",0,""))))</f>
        <v/>
      </c>
      <c r="F109" s="7">
        <f>IF(E109="",0,C109*E109)</f>
        <v/>
      </c>
      <c r="G109" s="7">
        <f>IF(B109="I1",20*AVERAGEIF('QA_Images'!$A$2:$A$69,A109,'QA_Images'!$U$2:$U$69)/100,IF(D109="NOT_CHECKED",0,C109))</f>
        <v/>
      </c>
      <c r="H109" s="3" t="inlineStr">
        <is>
          <t>Description content covers verified design, product type, use case and constraints. Description covers motif/product type but remains templated and does not always map every verified constraint.</t>
        </is>
      </c>
      <c r="I109" s="3" t="inlineStr">
        <is>
          <t>evidence_batch_014_140</t>
        </is>
      </c>
      <c r="J109" s="3" t="inlineStr">
        <is>
          <t>ISSUE-0080; ISSUE-0081; ISSUE-0082; ISSUE-0083</t>
        </is>
      </c>
    </row>
    <row r="110" ht="42" customHeight="1">
      <c r="A110" s="2" t="inlineStr">
        <is>
          <t>jeminise.com+fantasy-art-fantasy-dragon-comforter-set-with-dragon-scales-and-bedroom-setting-239aaba3e2-239aaba3e2</t>
        </is>
      </c>
      <c r="B110" s="2" t="inlineStr">
        <is>
          <t>I1</t>
        </is>
      </c>
      <c r="C110" s="2" t="n">
        <v>20</v>
      </c>
      <c r="D110" s="2" t="inlineStr">
        <is>
          <t>FULL</t>
        </is>
      </c>
      <c r="E110" s="5">
        <f>IF(B110="I1",AVERAGEIF('QA_Images'!$A$2:$A$69,A110,'QA_Images'!$T$2:$T$69)/100,IF(D110="FULL",1,IF(D110="PARTIAL",0.5,IF(D110="FAIL",0,""))))</f>
        <v/>
      </c>
      <c r="F110" s="5">
        <f>IF(E110="",0,C110*E110)</f>
        <v/>
      </c>
      <c r="G110" s="5">
        <f>IF(B110="I1",20*AVERAGEIF('QA_Images'!$A$2:$A$69,A110,'QA_Images'!$U$2:$U$69)/100,IF(D110="NOT_CHECKED",0,C110))</f>
        <v/>
      </c>
      <c r="H110" s="2" t="inlineStr">
        <is>
          <t>Image coverage, image observations and alt text quality, derived from QA_Images. Derived from average image QA score; see QA_Images.</t>
        </is>
      </c>
      <c r="I110" s="2" t="inlineStr">
        <is>
          <t>evidence_batch_014_140</t>
        </is>
      </c>
      <c r="J110" s="2" t="inlineStr">
        <is>
          <t>ISSUE-0080; ISSUE-0081; ISSUE-0082; ISSUE-0083</t>
        </is>
      </c>
    </row>
    <row r="111" ht="42" customHeight="1">
      <c r="A111" s="3" t="inlineStr">
        <is>
          <t>jeminise.com+fantasy-art-fantasy-dragon-comforter-set-with-dragon-scales-and-bedroom-setting-239aaba3e2-239aaba3e2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IF(B111="I1",AVERAGEIF('QA_Images'!$A$2:$A$69,A111,'QA_Images'!$T$2:$T$69)/100,IF(D111="FULL",1,IF(D111="PARTIAL",0.5,IF(D111="FAIL",0,""))))</f>
        <v/>
      </c>
      <c r="F111" s="7">
        <f>IF(E111="",0,C111*E111)</f>
        <v/>
      </c>
      <c r="G111" s="7">
        <f>IF(B111="I1",20*AVERAGEIF('QA_Images'!$A$2:$A$69,A111,'QA_Images'!$U$2:$U$69)/100,IF(D111="NOT_CHECKED",0,C111))</f>
        <v/>
      </c>
      <c r="H111" s="3" t="inlineStr">
        <is>
          <t>Evidence chain is traceable and limitations are explicitly separated from failures. Evidence chain is traceable, with admin-export limitation explicitly separated.</t>
        </is>
      </c>
      <c r="I111" s="3" t="inlineStr">
        <is>
          <t>evidence_batch_014_140</t>
        </is>
      </c>
      <c r="J111" s="3" t="inlineStr">
        <is>
          <t>ISSUE-0080; ISSUE-0081; ISSUE-0082; ISSUE-0083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38" customWidth="1" min="6" max="6"/>
    <col width="11" customWidth="1" min="7" max="7"/>
    <col width="16" customWidth="1" min="8" max="8"/>
    <col width="24" customWidth="1" min="9" max="9"/>
    <col width="24" customWidth="1" min="10" max="10"/>
    <col width="42" customWidth="1" min="11" max="11"/>
    <col width="42" customWidth="1" min="12" max="12"/>
    <col width="24" customWidth="1" min="13" max="13"/>
    <col width="12" customWidth="1" min="14" max="14"/>
    <col width="42" customWidth="1" min="15" max="15"/>
    <col width="11" customWidth="1" min="16" max="16"/>
    <col width="11" customWidth="1" min="17" max="17"/>
    <col width="11" customWidth="1" min="18" max="18"/>
    <col width="11" customWidth="1" min="19" max="19"/>
    <col width="24" customWidth="1" min="20" max="20"/>
    <col width="24" customWidth="1" min="21" max="21"/>
    <col width="21" customWidth="1" min="22" max="22"/>
    <col width="24" customWidth="1" min="23" max="23"/>
    <col width="24" customWidth="1" min="24" max="24"/>
    <col width="42" customWidth="1" min="25" max="25"/>
    <col width="42" customWidth="1" min="26" max="26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</row>
    <row r="2" ht="66" customHeight="1">
      <c r="A2" s="2" t="inlineStr">
        <is>
          <t>jeminise.com+custom-wolf-wearing-headdress-centered-close-up-comforter-with-wolf-head-2d14ed690a-2d14ed690a</t>
        </is>
      </c>
      <c r="B2" s="2" t="inlineStr">
        <is>
          <t>img_acd443c408b7091e</t>
        </is>
      </c>
      <c r="C2" s="4" t="inlineStr">
        <is>
          <t>https://cdn.shopify.com/s/files/1/0792/5098/1063/files/92889ae2e14818c2ed38210a813cef7474bdb31334189e1106e1b8056cb8d48a.jpg?v=1785181780</t>
        </is>
      </c>
      <c r="D2" s="4" t="inlineStr">
        <is>
          <t>https://cdn.shopify.com/s/files/1/0792/5098/1063/files/92889ae2e14818c2ed38210a813cef7474bdb31334189e1106e1b8056cb8d48a.jpg?v=1785181780</t>
        </is>
      </c>
      <c r="E2" s="2" t="inlineStr">
        <is>
          <t>47560179286215</t>
        </is>
      </c>
      <c r="F2" s="2" t="inlineStr">
        <is>
          <t>47560179286215</t>
        </is>
      </c>
      <c r="G2" s="2" t="inlineStr"/>
      <c r="H2" s="2" t="inlineStr">
        <is>
          <t>GALLERY</t>
        </is>
      </c>
      <c r="I2" s="2" t="inlineStr">
        <is>
          <t>DIRECT_IMAGE_DOWNLOAD_AND_SOURCE_ROW_REVIEW</t>
        </is>
      </c>
      <c r="J2" s="2" t="inlineStr">
        <is>
          <t>2026-09-07T20:46:57+07:00</t>
        </is>
      </c>
      <c r="K2" s="2" t="inlineStr">
        <is>
          <t>Direct QA opened downloaded image 131_01; source SHA 27506F34E5A3F709C93A24F059089B1C32E5156D6EDB563786D7CB8E7FE92A87. Submitted observation reviewed against gallery position.</t>
        </is>
      </c>
      <c r="L2" s="2" t="inlineStr">
        <is>
          <t>Main product mockup showing wolf wearing headdress close up quilt.</t>
        </is>
      </c>
      <c r="M2" s="2" t="inlineStr">
        <is>
          <t>UNKNOWN</t>
        </is>
      </c>
      <c r="N2" s="2" t="inlineStr">
        <is>
          <t>SET</t>
        </is>
      </c>
      <c r="O2" s="2" t="inlineStr">
        <is>
          <t>Wolf Wearing Headdress Quilt Set displayed in a main product mockup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PARTIAL</t>
        </is>
      </c>
      <c r="S2" s="2" t="inlineStr">
        <is>
          <t>FULL</t>
        </is>
      </c>
      <c r="T2" s="5">
        <f>IF(P2="FULL",40,IF(P2="PARTIAL",40/2,0))+IF(Q2="FULL",30,IF(Q2="PARTIAL",30/2,0))+IF(R2="FULL",20,IF(R2="PARTIAL",20/2,0))+IF(S2="FULL",10,IF(S2="PARTIAL",10/2,0))</f>
        <v/>
      </c>
      <c r="U2" s="5">
        <f>IF(P2="NOT_CHECKED",0,40)+IF(Q2="NOT_CHECKED",0,30)+IF(R2="NOT_CHECKED",0,20)+IF(S2="NOT_CHECKED",0,10)</f>
        <v/>
      </c>
      <c r="V2" s="5">
        <f>IF(U2=100,T2,"")</f>
        <v/>
      </c>
      <c r="W2" s="5">
        <f>T2</f>
        <v/>
      </c>
      <c r="X2" s="5">
        <f>T2+(100-U2)</f>
        <v/>
      </c>
      <c r="Y2" s="2" t="inlineStr">
        <is>
          <t>ISSUE-0005</t>
        </is>
      </c>
      <c r="Z2" s="2" t="inlineStr">
        <is>
          <t>D:\Shopify_Workspace\jeminise_seo\seo_runs\jeminise.com\20260906_234129\qa\20260907_204400\images\131_01.jpg; seo_runs\jeminise.com\20260906_234129\evidence\images\131_custom-wolf-wearing-headdress-centered-close-up-comforter-with-wolf-head-2d14ed690a-2d14ed690a\image_01_47560179286215.jpg; seo_runs\jeminise.com\20260906_234129\evidence\contact_sheets\131_custom-wolf-wearing-headdress-centered-close-up-comforter-with-wolf-head-2d14ed690a-2d14ed690a.jpg</t>
        </is>
      </c>
    </row>
    <row r="3" ht="66" customHeight="1">
      <c r="A3" s="3" t="inlineStr">
        <is>
          <t>jeminise.com+custom-wolf-wearing-headdress-centered-close-up-comforter-with-wolf-head-2d14ed690a-2d14ed690a</t>
        </is>
      </c>
      <c r="B3" s="3" t="inlineStr">
        <is>
          <t>img_a999d6622257d854</t>
        </is>
      </c>
      <c r="C3" s="4" t="inlineStr">
        <is>
          <t>https://cdn.shopify.com/s/files/1/0792/5098/1063/files/6780696a234f9720015ee9b9c93338841293be8048375b110e6b019b7f206972.jpg?v=1785181780</t>
        </is>
      </c>
      <c r="D3" s="4" t="inlineStr">
        <is>
          <t>https://cdn.shopify.com/s/files/1/0792/5098/1063/files/6780696a234f9720015ee9b9c93338841293be8048375b110e6b019b7f206972.jpg?v=1785181780</t>
        </is>
      </c>
      <c r="E3" s="3" t="inlineStr">
        <is>
          <t>47560179318983</t>
        </is>
      </c>
      <c r="F3" s="3" t="inlineStr">
        <is>
          <t>47560179318983</t>
        </is>
      </c>
      <c r="G3" s="3" t="inlineStr"/>
      <c r="H3" s="3" t="inlineStr">
        <is>
          <t>GALLERY</t>
        </is>
      </c>
      <c r="I3" s="3" t="inlineStr">
        <is>
          <t>DIRECT_IMAGE_DOWNLOAD_AND_SOURCE_ROW_REVIEW</t>
        </is>
      </c>
      <c r="J3" s="3" t="inlineStr">
        <is>
          <t>2026-09-07T20:46:57+07:00</t>
        </is>
      </c>
      <c r="K3" s="3" t="inlineStr">
        <is>
          <t>Direct QA opened downloaded image 131_02; source SHA C93C330D203D16A515612AAB2ABBDEBF0A4F85C4B3BA9AF18A3982ABF55C4D08. Submitted observation reviewed against gallery position.</t>
        </is>
      </c>
      <c r="L3" s="3" t="inlineStr">
        <is>
          <t>Secondary flat, close-up or bedroom mockup showing wolf wearing headdress close up quilt.</t>
        </is>
      </c>
      <c r="M3" s="3" t="inlineStr">
        <is>
          <t>UNKNOWN</t>
        </is>
      </c>
      <c r="N3" s="3" t="inlineStr">
        <is>
          <t>SET</t>
        </is>
      </c>
      <c r="O3" s="3" t="inlineStr">
        <is>
          <t>Secondary mockup of Wolf Wearing Headdress Quilt Set</t>
        </is>
      </c>
      <c r="P3" s="3" t="inlineStr">
        <is>
          <t>FULL</t>
        </is>
      </c>
      <c r="Q3" s="3" t="inlineStr">
        <is>
          <t>FULL</t>
        </is>
      </c>
      <c r="R3" s="3" t="inlineStr">
        <is>
          <t>FULL</t>
        </is>
      </c>
      <c r="S3" s="3" t="inlineStr">
        <is>
          <t>FULL</t>
        </is>
      </c>
      <c r="T3" s="7">
        <f>IF(P3="FULL",40,IF(P3="PARTIAL",40/2,0))+IF(Q3="FULL",30,IF(Q3="PARTIAL",30/2,0))+IF(R3="FULL",20,IF(R3="PARTIAL",20/2,0))+IF(S3="FULL",10,IF(S3="PARTIAL",10/2,0))</f>
        <v/>
      </c>
      <c r="U3" s="7">
        <f>IF(P3="NOT_CHECKED",0,40)+IF(Q3="NOT_CHECKED",0,30)+IF(R3="NOT_CHECKED",0,20)+IF(S3="NOT_CHECKED",0,10)</f>
        <v/>
      </c>
      <c r="V3" s="7">
        <f>IF(U3=100,T3,"")</f>
        <v/>
      </c>
      <c r="W3" s="7">
        <f>T3</f>
        <v/>
      </c>
      <c r="X3" s="7">
        <f>T3+(100-U3)</f>
        <v/>
      </c>
      <c r="Y3" s="3" t="inlineStr"/>
      <c r="Z3" s="3" t="inlineStr">
        <is>
          <t>D:\Shopify_Workspace\jeminise_seo\seo_runs\jeminise.com\20260906_234129\qa\20260907_204400\images\131_02.jpg; seo_runs\jeminise.com\20260906_234129\evidence\images\131_custom-wolf-wearing-headdress-centered-close-up-comforter-with-wolf-head-2d14ed690a-2d14ed690a\image_02_47560179318983.jpg; seo_runs\jeminise.com\20260906_234129\evidence\contact_sheets\131_custom-wolf-wearing-headdress-centered-close-up-comforter-with-wolf-head-2d14ed690a-2d14ed690a.jpg</t>
        </is>
      </c>
    </row>
    <row r="4" ht="66" customHeight="1">
      <c r="A4" s="2" t="inlineStr">
        <is>
          <t>jeminise.com+custom-wolf-wearing-headdress-centered-close-up-comforter-with-wolf-head-2d14ed690a-2d14ed690a</t>
        </is>
      </c>
      <c r="B4" s="2" t="inlineStr">
        <is>
          <t>img_d61b8eea044b8c89</t>
        </is>
      </c>
      <c r="C4" s="4" t="inlineStr">
        <is>
          <t>https://cdn.shopify.com/s/files/1/0792/5098/1063/files/c5f1e9f26e5f5d1ba252fdde92d03d6e58741e2af050efdb42c25140eed476f0.jpg?v=1785181780</t>
        </is>
      </c>
      <c r="D4" s="4" t="inlineStr">
        <is>
          <t>https://cdn.shopify.com/s/files/1/0792/5098/1063/files/c5f1e9f26e5f5d1ba252fdde92d03d6e58741e2af050efdb42c25140eed476f0.jpg?v=1785181780</t>
        </is>
      </c>
      <c r="E4" s="2" t="inlineStr">
        <is>
          <t>47560179351751</t>
        </is>
      </c>
      <c r="F4" s="2" t="inlineStr">
        <is>
          <t>47560179351751</t>
        </is>
      </c>
      <c r="G4" s="2" t="inlineStr"/>
      <c r="H4" s="2" t="inlineStr">
        <is>
          <t>GALLERY</t>
        </is>
      </c>
      <c r="I4" s="2" t="inlineStr">
        <is>
          <t>DIRECT_IMAGE_DOWNLOAD_AND_SOURCE_ROW_REVIEW</t>
        </is>
      </c>
      <c r="J4" s="2" t="inlineStr">
        <is>
          <t>2026-09-07T20:46:57+07:00</t>
        </is>
      </c>
      <c r="K4" s="2" t="inlineStr">
        <is>
          <t>Direct QA opened downloaded image 131_03; source SHA 13B5E0686E75EFAA764F0265560ED908F5E2CFC4D453E23EA2FE13F963D0D589. Submitted observation reviewed against gallery position.</t>
        </is>
      </c>
      <c r="L4" s="2" t="inlineStr">
        <is>
          <t>Bedding type, feature, lifestyle or material image for wolf wearing headdress close up quilt.</t>
        </is>
      </c>
      <c r="M4" s="2" t="inlineStr">
        <is>
          <t>UNKNOWN</t>
        </is>
      </c>
      <c r="N4" s="2" t="inlineStr">
        <is>
          <t>SET</t>
        </is>
      </c>
      <c r="O4" s="2" t="inlineStr">
        <is>
          <t>Product option, feature or lifestyle image for Wolf Wearing Headdress Quilt Set</t>
        </is>
      </c>
      <c r="P4" s="2" t="inlineStr">
        <is>
          <t>FULL</t>
        </is>
      </c>
      <c r="Q4" s="2" t="inlineStr">
        <is>
          <t>PARTIAL</t>
        </is>
      </c>
      <c r="R4" s="2" t="inlineStr">
        <is>
          <t>FULL</t>
        </is>
      </c>
      <c r="S4" s="2" t="inlineStr">
        <is>
          <t>FULL</t>
        </is>
      </c>
      <c r="T4" s="5">
        <f>IF(P4="FULL",40,IF(P4="PARTIAL",40/2,0))+IF(Q4="FULL",30,IF(Q4="PARTIAL",30/2,0))+IF(R4="FULL",20,IF(R4="PARTIAL",20/2,0))+IF(S4="FULL",10,IF(S4="PARTIAL",10/2,0))</f>
        <v/>
      </c>
      <c r="U4" s="5">
        <f>IF(P4="NOT_CHECKED",0,40)+IF(Q4="NOT_CHECKED",0,30)+IF(R4="NOT_CHECKED",0,20)+IF(S4="NOT_CHECKED",0,10)</f>
        <v/>
      </c>
      <c r="V4" s="5">
        <f>IF(U4=100,T4,"")</f>
        <v/>
      </c>
      <c r="W4" s="5">
        <f>T4</f>
        <v/>
      </c>
      <c r="X4" s="5">
        <f>T4+(100-U4)</f>
        <v/>
      </c>
      <c r="Y4" s="2" t="inlineStr">
        <is>
          <t>ISSUE-0006</t>
        </is>
      </c>
      <c r="Z4" s="2" t="inlineStr">
        <is>
          <t>D:\Shopify_Workspace\jeminise_seo\seo_runs\jeminise.com\20260906_234129\qa\20260907_204400\images\131_03.jpg; seo_runs\jeminise.com\20260906_234129\evidence\images\131_custom-wolf-wearing-headdress-centered-close-up-comforter-with-wolf-head-2d14ed690a-2d14ed690a\image_03_47560179351751.jpg; seo_runs\jeminise.com\20260906_234129\evidence\contact_sheets\131_custom-wolf-wearing-headdress-centered-close-up-comforter-with-wolf-head-2d14ed690a-2d14ed690a.jpg</t>
        </is>
      </c>
    </row>
    <row r="5" ht="66" customHeight="1">
      <c r="A5" s="3" t="inlineStr">
        <is>
          <t>jeminise.com+custom-wolf-wearing-headdress-centered-close-up-comforter-with-wolf-head-2d14ed690a-2d14ed690a</t>
        </is>
      </c>
      <c r="B5" s="3" t="inlineStr">
        <is>
          <t>img_b8a794cf2046bd1d</t>
        </is>
      </c>
      <c r="C5" s="4" t="inlineStr">
        <is>
          <t>https://cdn.shopify.com/s/files/1/0792/5098/1063/files/14aaabea2124b54051697a823a42ef1f82eec7c15afe73fbe828a4abe59c4de9.jpg?v=1785181780</t>
        </is>
      </c>
      <c r="D5" s="4" t="inlineStr">
        <is>
          <t>https://cdn.shopify.com/s/files/1/0792/5098/1063/files/14aaabea2124b54051697a823a42ef1f82eec7c15afe73fbe828a4abe59c4de9.jpg?v=1785181780</t>
        </is>
      </c>
      <c r="E5" s="3" t="inlineStr">
        <is>
          <t>47560179384519</t>
        </is>
      </c>
      <c r="F5" s="3" t="inlineStr">
        <is>
          <t>47560179384519</t>
        </is>
      </c>
      <c r="G5" s="3" t="inlineStr"/>
      <c r="H5" s="3" t="inlineStr">
        <is>
          <t>GALLERY</t>
        </is>
      </c>
      <c r="I5" s="3" t="inlineStr">
        <is>
          <t>DIRECT_IMAGE_DOWNLOAD_AND_SOURCE_ROW_REVIEW</t>
        </is>
      </c>
      <c r="J5" s="3" t="inlineStr">
        <is>
          <t>2026-09-07T20:46:57+07:00</t>
        </is>
      </c>
      <c r="K5" s="3" t="inlineStr">
        <is>
          <t>Direct QA opened downloaded image 131_04; source SHA 37E8BBEF1CEB43C26B9BA1BD9047A3B302CD52C062B966FB37F5D57BEDF12F05. Submitted observation reviewed against gallery position.</t>
        </is>
      </c>
      <c r="L5" s="3" t="inlineStr">
        <is>
          <t>Detail, feature panel or lifestyle image connected to wolf wearing headdress close up quilt.</t>
        </is>
      </c>
      <c r="M5" s="3" t="inlineStr">
        <is>
          <t>UNKNOWN</t>
        </is>
      </c>
      <c r="N5" s="3" t="inlineStr">
        <is>
          <t>SET</t>
        </is>
      </c>
      <c r="O5" s="3" t="inlineStr">
        <is>
          <t>Detail or feature image for Wolf Wearing Headdress Quilt Set</t>
        </is>
      </c>
      <c r="P5" s="3" t="inlineStr">
        <is>
          <t>FULL</t>
        </is>
      </c>
      <c r="Q5" s="3" t="inlineStr">
        <is>
          <t>PARTIAL</t>
        </is>
      </c>
      <c r="R5" s="3" t="inlineStr">
        <is>
          <t>FULL</t>
        </is>
      </c>
      <c r="S5" s="3" t="inlineStr">
        <is>
          <t>FULL</t>
        </is>
      </c>
      <c r="T5" s="7">
        <f>IF(P5="FULL",40,IF(P5="PARTIAL",40/2,0))+IF(Q5="FULL",30,IF(Q5="PARTIAL",30/2,0))+IF(R5="FULL",20,IF(R5="PARTIAL",20/2,0))+IF(S5="FULL",10,IF(S5="PARTIAL",10/2,0))</f>
        <v/>
      </c>
      <c r="U5" s="7">
        <f>IF(P5="NOT_CHECKED",0,40)+IF(Q5="NOT_CHECKED",0,30)+IF(R5="NOT_CHECKED",0,20)+IF(S5="NOT_CHECKED",0,10)</f>
        <v/>
      </c>
      <c r="V5" s="7">
        <f>IF(U5=100,T5,"")</f>
        <v/>
      </c>
      <c r="W5" s="7">
        <f>T5</f>
        <v/>
      </c>
      <c r="X5" s="7">
        <f>T5+(100-U5)</f>
        <v/>
      </c>
      <c r="Y5" s="3" t="inlineStr">
        <is>
          <t>ISSUE-0007</t>
        </is>
      </c>
      <c r="Z5" s="3" t="inlineStr">
        <is>
          <t>D:\Shopify_Workspace\jeminise_seo\seo_runs\jeminise.com\20260906_234129\qa\20260907_204400\images\131_04.jpg; seo_runs\jeminise.com\20260906_234129\evidence\images\131_custom-wolf-wearing-headdress-centered-close-up-comforter-with-wolf-head-2d14ed690a-2d14ed690a\image_04_47560179384519.jpg; seo_runs\jeminise.com\20260906_234129\evidence\contact_sheets\131_custom-wolf-wearing-headdress-centered-close-up-comforter-with-wolf-head-2d14ed690a-2d14ed690a.jpg</t>
        </is>
      </c>
    </row>
    <row r="6" ht="66" customHeight="1">
      <c r="A6" s="2" t="inlineStr">
        <is>
          <t>jeminise.com+custom-wolf-wearing-headdress-centered-close-up-comforter-with-wolf-head-2d14ed690a-2d14ed690a</t>
        </is>
      </c>
      <c r="B6" s="2" t="inlineStr">
        <is>
          <t>img_0aaea1f5abd886ac</t>
        </is>
      </c>
      <c r="C6" s="4" t="inlineStr">
        <is>
          <t>https://cdn.shopify.com/s/files/1/0792/5098/1063/files/54b560acfc2309c6e54de79f260dbc8b25a831dbb5451155f199e2f18c6de26f.jpg?v=1785181780</t>
        </is>
      </c>
      <c r="D6" s="4" t="inlineStr">
        <is>
          <t>https://cdn.shopify.com/s/files/1/0792/5098/1063/files/54b560acfc2309c6e54de79f260dbc8b25a831dbb5451155f199e2f18c6de26f.jpg?v=1785181780</t>
        </is>
      </c>
      <c r="E6" s="2" t="inlineStr">
        <is>
          <t>47560179417287</t>
        </is>
      </c>
      <c r="F6" s="2" t="inlineStr">
        <is>
          <t>47560179417287</t>
        </is>
      </c>
      <c r="G6" s="2" t="inlineStr"/>
      <c r="H6" s="2" t="inlineStr">
        <is>
          <t>GALLERY</t>
        </is>
      </c>
      <c r="I6" s="2" t="inlineStr">
        <is>
          <t>DIRECT_IMAGE_DOWNLOAD_AND_SOURCE_ROW_REVIEW</t>
        </is>
      </c>
      <c r="J6" s="2" t="inlineStr">
        <is>
          <t>2026-09-07T20:46:57+07:00</t>
        </is>
      </c>
      <c r="K6" s="2" t="inlineStr">
        <is>
          <t>Direct QA opened downloaded image 131_05; source SHA 62183DAEE0FE5A2F006E04D6433137C632C7102931CF44A476FDD7540AA58499. Submitted observation reviewed against gallery position.</t>
        </is>
      </c>
      <c r="L6" s="2" t="inlineStr">
        <is>
          <t>Additional mockup, care or size information for wolf wearing headdress close up quilt.</t>
        </is>
      </c>
      <c r="M6" s="2" t="inlineStr">
        <is>
          <t>UNKNOWN</t>
        </is>
      </c>
      <c r="N6" s="2" t="inlineStr">
        <is>
          <t>SET</t>
        </is>
      </c>
      <c r="O6" s="2" t="inlineStr">
        <is>
          <t>Additional product mockup or care information for Wolf Wearing Headdress Quilt Set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5">
        <f>IF(P6="FULL",40,IF(P6="PARTIAL",40/2,0))+IF(Q6="FULL",30,IF(Q6="PARTIAL",30/2,0))+IF(R6="FULL",20,IF(R6="PARTIAL",20/2,0))+IF(S6="FULL",10,IF(S6="PARTIAL",10/2,0))</f>
        <v/>
      </c>
      <c r="U6" s="5">
        <f>IF(P6="NOT_CHECKED",0,40)+IF(Q6="NOT_CHECKED",0,30)+IF(R6="NOT_CHECKED",0,20)+IF(S6="NOT_CHECKED",0,10)</f>
        <v/>
      </c>
      <c r="V6" s="5">
        <f>IF(U6=100,T6,"")</f>
        <v/>
      </c>
      <c r="W6" s="5">
        <f>T6</f>
        <v/>
      </c>
      <c r="X6" s="5">
        <f>T6+(100-U6)</f>
        <v/>
      </c>
      <c r="Y6" s="2" t="inlineStr"/>
      <c r="Z6" s="2" t="inlineStr">
        <is>
          <t>D:\Shopify_Workspace\jeminise_seo\seo_runs\jeminise.com\20260906_234129\qa\20260907_204400\images\131_05.jpg; seo_runs\jeminise.com\20260906_234129\evidence\images\131_custom-wolf-wearing-headdress-centered-close-up-comforter-with-wolf-head-2d14ed690a-2d14ed690a\image_05_47560179417287.jpg; seo_runs\jeminise.com\20260906_234129\evidence\contact_sheets\131_custom-wolf-wearing-headdress-centered-close-up-comforter-with-wolf-head-2d14ed690a-2d14ed690a.jpg</t>
        </is>
      </c>
    </row>
    <row r="7" ht="66" customHeight="1">
      <c r="A7" s="3" t="inlineStr">
        <is>
          <t>jeminise.com+decorative-softball-bedding-set-bright-teal-yellow-sports-comforter</t>
        </is>
      </c>
      <c r="B7" s="3" t="inlineStr">
        <is>
          <t>img_988c21c267ec388d</t>
        </is>
      </c>
      <c r="C7" s="4" t="inlineStr">
        <is>
          <t>https://cdn.shopify.com/s/files/1/0792/5098/1063/files/ec97adcabc8efa3e254940c29049d3f991d3a9337b05911f84ea8ee1e4dc827f.jpg?v=1787245095</t>
        </is>
      </c>
      <c r="D7" s="4" t="inlineStr">
        <is>
          <t>https://cdn.shopify.com/s/files/1/0792/5098/1063/files/ec97adcabc8efa3e254940c29049d3f991d3a9337b05911f84ea8ee1e4dc827f.jpg?v=1787245095</t>
        </is>
      </c>
      <c r="E7" s="3" t="inlineStr">
        <is>
          <t>47934733516999</t>
        </is>
      </c>
      <c r="F7" s="3" t="inlineStr">
        <is>
          <t>47934733516999</t>
        </is>
      </c>
      <c r="G7" s="3" t="inlineStr"/>
      <c r="H7" s="3" t="inlineStr">
        <is>
          <t>GALLERY</t>
        </is>
      </c>
      <c r="I7" s="3" t="inlineStr">
        <is>
          <t>DIRECT_IMAGE_DOWNLOAD_AND_SOURCE_ROW_REVIEW</t>
        </is>
      </c>
      <c r="J7" s="3" t="inlineStr">
        <is>
          <t>2026-09-07T20:46:57+07:00</t>
        </is>
      </c>
      <c r="K7" s="3" t="inlineStr">
        <is>
          <t>Direct QA opened downloaded image 132_01; source SHA EC30F745742F01893702D6F44FF432D05D09839E61CF6037DE97CE54DBEB3DDB. Submitted observation reviewed against gallery position.</t>
        </is>
      </c>
      <c r="L7" s="3" t="inlineStr">
        <is>
          <t>Main product mockup showing purple and yellow softball comforter with Olivia name.</t>
        </is>
      </c>
      <c r="M7" s="3" t="inlineStr">
        <is>
          <t>UNKNOWN</t>
        </is>
      </c>
      <c r="N7" s="3" t="inlineStr">
        <is>
          <t>SET</t>
        </is>
      </c>
      <c r="O7" s="3" t="inlineStr">
        <is>
          <t>Purple Yellow Softball Comforter with Name displayed in a main product mockup</t>
        </is>
      </c>
      <c r="P7" s="3" t="inlineStr">
        <is>
          <t>FULL</t>
        </is>
      </c>
      <c r="Q7" s="3" t="inlineStr">
        <is>
          <t>FULL</t>
        </is>
      </c>
      <c r="R7" s="3" t="inlineStr">
        <is>
          <t>PARTIAL</t>
        </is>
      </c>
      <c r="S7" s="3" t="inlineStr">
        <is>
          <t>FULL</t>
        </is>
      </c>
      <c r="T7" s="7">
        <f>IF(P7="FULL",40,IF(P7="PARTIAL",40/2,0))+IF(Q7="FULL",30,IF(Q7="PARTIAL",30/2,0))+IF(R7="FULL",20,IF(R7="PARTIAL",20/2,0))+IF(S7="FULL",10,IF(S7="PARTIAL",10/2,0))</f>
        <v/>
      </c>
      <c r="U7" s="7">
        <f>IF(P7="NOT_CHECKED",0,40)+IF(Q7="NOT_CHECKED",0,30)+IF(R7="NOT_CHECKED",0,20)+IF(S7="NOT_CHECKED",0,10)</f>
        <v/>
      </c>
      <c r="V7" s="7">
        <f>IF(U7=100,T7,"")</f>
        <v/>
      </c>
      <c r="W7" s="7">
        <f>T7</f>
        <v/>
      </c>
      <c r="X7" s="7">
        <f>T7+(100-U7)</f>
        <v/>
      </c>
      <c r="Y7" s="3" t="inlineStr">
        <is>
          <t>ISSUE-0012</t>
        </is>
      </c>
      <c r="Z7" s="3" t="inlineStr">
        <is>
          <t>D:\Shopify_Workspace\jeminise_seo\seo_runs\jeminise.com\20260906_234129\qa\20260907_204400\images\132_01.jpg; seo_runs\jeminise.com\20260906_234129\evidence\images\132_decorative-softball-bedding-set-bright-teal-yellow-sports-comforter\image_01_47934733516999.jpg; seo_runs\jeminise.com\20260906_234129\evidence\contact_sheets\132_decorative-softball-bedding-set-bright-teal-yellow-sports-comforter.jpg</t>
        </is>
      </c>
    </row>
    <row r="8" ht="66" customHeight="1">
      <c r="A8" s="2" t="inlineStr">
        <is>
          <t>jeminise.com+decorative-softball-bedding-set-bright-teal-yellow-sports-comforter</t>
        </is>
      </c>
      <c r="B8" s="2" t="inlineStr">
        <is>
          <t>img_2d4689d5bc32fb5a</t>
        </is>
      </c>
      <c r="C8" s="4" t="inlineStr">
        <is>
          <t>https://cdn.shopify.com/s/files/1/0792/5098/1063/files/d7503bacc7f6d9ff6e596431535bde71b183c24e628ed343ec4d212342e94a2c.jpg?v=1787245095</t>
        </is>
      </c>
      <c r="D8" s="4" t="inlineStr">
        <is>
          <t>https://cdn.shopify.com/s/files/1/0792/5098/1063/files/d7503bacc7f6d9ff6e596431535bde71b183c24e628ed343ec4d212342e94a2c.jpg?v=1787245095</t>
        </is>
      </c>
      <c r="E8" s="2" t="inlineStr">
        <is>
          <t>47934733549767</t>
        </is>
      </c>
      <c r="F8" s="2" t="inlineStr">
        <is>
          <t>47934733549767</t>
        </is>
      </c>
      <c r="G8" s="2" t="inlineStr"/>
      <c r="H8" s="2" t="inlineStr">
        <is>
          <t>GALLERY</t>
        </is>
      </c>
      <c r="I8" s="2" t="inlineStr">
        <is>
          <t>DIRECT_IMAGE_DOWNLOAD_AND_SOURCE_ROW_REVIEW</t>
        </is>
      </c>
      <c r="J8" s="2" t="inlineStr">
        <is>
          <t>2026-09-07T20:46:57+07:00</t>
        </is>
      </c>
      <c r="K8" s="2" t="inlineStr">
        <is>
          <t>Direct QA opened downloaded image 132_02; source SHA 81665C0ADBCD1B5C9CE7E5D94FCD272CDAE4E6BF639732FC78925EA8EA7C06C2. Submitted observation reviewed against gallery position.</t>
        </is>
      </c>
      <c r="L8" s="2" t="inlineStr">
        <is>
          <t>Secondary flat, close-up or bedroom mockup showing purple and yellow softball comforter with Olivia name.</t>
        </is>
      </c>
      <c r="M8" s="2" t="inlineStr">
        <is>
          <t>UNKNOWN</t>
        </is>
      </c>
      <c r="N8" s="2" t="inlineStr">
        <is>
          <t>SET</t>
        </is>
      </c>
      <c r="O8" s="2" t="inlineStr">
        <is>
          <t>Secondary mockup of Purple Yellow Softball Comforter with Name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5">
        <f>IF(P8="FULL",40,IF(P8="PARTIAL",40/2,0))+IF(Q8="FULL",30,IF(Q8="PARTIAL",30/2,0))+IF(R8="FULL",20,IF(R8="PARTIAL",20/2,0))+IF(S8="FULL",10,IF(S8="PARTIAL",10/2,0))</f>
        <v/>
      </c>
      <c r="U8" s="5">
        <f>IF(P8="NOT_CHECKED",0,40)+IF(Q8="NOT_CHECKED",0,30)+IF(R8="NOT_CHECKED",0,20)+IF(S8="NOT_CHECKED",0,10)</f>
        <v/>
      </c>
      <c r="V8" s="5">
        <f>IF(U8=100,T8,"")</f>
        <v/>
      </c>
      <c r="W8" s="5">
        <f>T8</f>
        <v/>
      </c>
      <c r="X8" s="5">
        <f>T8+(100-U8)</f>
        <v/>
      </c>
      <c r="Y8" s="2" t="inlineStr"/>
      <c r="Z8" s="2" t="inlineStr">
        <is>
          <t>D:\Shopify_Workspace\jeminise_seo\seo_runs\jeminise.com\20260906_234129\qa\20260907_204400\images\132_02.jpg; seo_runs\jeminise.com\20260906_234129\evidence\images\132_decorative-softball-bedding-set-bright-teal-yellow-sports-comforter\image_02_47934733549767.jpg; seo_runs\jeminise.com\20260906_234129\evidence\contact_sheets\132_decorative-softball-bedding-set-bright-teal-yellow-sports-comforter.jpg</t>
        </is>
      </c>
    </row>
    <row r="9" ht="66" customHeight="1">
      <c r="A9" s="3" t="inlineStr">
        <is>
          <t>jeminise.com+decorative-softball-bedding-set-bright-teal-yellow-sports-comforter</t>
        </is>
      </c>
      <c r="B9" s="3" t="inlineStr">
        <is>
          <t>img_da01f75c65cb98df</t>
        </is>
      </c>
      <c r="C9" s="4" t="inlineStr">
        <is>
          <t>https://cdn.shopify.com/s/files/1/0792/5098/1063/files/cffe01e1a1e7bed1e6043f6e14c2100a75aca18cc91d024dbdcecb4a7afc1610.jpg?v=1787245095</t>
        </is>
      </c>
      <c r="D9" s="4" t="inlineStr">
        <is>
          <t>https://cdn.shopify.com/s/files/1/0792/5098/1063/files/cffe01e1a1e7bed1e6043f6e14c2100a75aca18cc91d024dbdcecb4a7afc1610.jpg?v=1787245095</t>
        </is>
      </c>
      <c r="E9" s="3" t="inlineStr">
        <is>
          <t>47934733582535</t>
        </is>
      </c>
      <c r="F9" s="3" t="inlineStr">
        <is>
          <t>47934733582535</t>
        </is>
      </c>
      <c r="G9" s="3" t="inlineStr"/>
      <c r="H9" s="3" t="inlineStr">
        <is>
          <t>GALLERY</t>
        </is>
      </c>
      <c r="I9" s="3" t="inlineStr">
        <is>
          <t>DIRECT_IMAGE_DOWNLOAD_AND_SOURCE_ROW_REVIEW</t>
        </is>
      </c>
      <c r="J9" s="3" t="inlineStr">
        <is>
          <t>2026-09-07T20:46:57+07:00</t>
        </is>
      </c>
      <c r="K9" s="3" t="inlineStr">
        <is>
          <t>Direct QA opened downloaded image 132_03; source SHA C21845DCA3D5F748176768F2483CC5077F3CBC8BDCCCAD84890753C934CE5E64. Submitted observation reviewed against gallery position.</t>
        </is>
      </c>
      <c r="L9" s="3" t="inlineStr">
        <is>
          <t>Bedding type, feature, lifestyle or material image for purple and yellow softball comforter with Olivia name.</t>
        </is>
      </c>
      <c r="M9" s="3" t="inlineStr">
        <is>
          <t>UNKNOWN</t>
        </is>
      </c>
      <c r="N9" s="3" t="inlineStr">
        <is>
          <t>SET</t>
        </is>
      </c>
      <c r="O9" s="3" t="inlineStr">
        <is>
          <t>Product option, feature or lifestyle image for Purple Yellow Softball Comforter with Name</t>
        </is>
      </c>
      <c r="P9" s="3" t="inlineStr">
        <is>
          <t>FULL</t>
        </is>
      </c>
      <c r="Q9" s="3" t="inlineStr">
        <is>
          <t>PARTIAL</t>
        </is>
      </c>
      <c r="R9" s="3" t="inlineStr">
        <is>
          <t>FULL</t>
        </is>
      </c>
      <c r="S9" s="3" t="inlineStr">
        <is>
          <t>FULL</t>
        </is>
      </c>
      <c r="T9" s="7">
        <f>IF(P9="FULL",40,IF(P9="PARTIAL",40/2,0))+IF(Q9="FULL",30,IF(Q9="PARTIAL",30/2,0))+IF(R9="FULL",20,IF(R9="PARTIAL",20/2,0))+IF(S9="FULL",10,IF(S9="PARTIAL",10/2,0))</f>
        <v/>
      </c>
      <c r="U9" s="7">
        <f>IF(P9="NOT_CHECKED",0,40)+IF(Q9="NOT_CHECKED",0,30)+IF(R9="NOT_CHECKED",0,20)+IF(S9="NOT_CHECKED",0,10)</f>
        <v/>
      </c>
      <c r="V9" s="7">
        <f>IF(U9=100,T9,"")</f>
        <v/>
      </c>
      <c r="W9" s="7">
        <f>T9</f>
        <v/>
      </c>
      <c r="X9" s="7">
        <f>T9+(100-U9)</f>
        <v/>
      </c>
      <c r="Y9" s="3" t="inlineStr">
        <is>
          <t>ISSUE-0013</t>
        </is>
      </c>
      <c r="Z9" s="3" t="inlineStr">
        <is>
          <t>D:\Shopify_Workspace\jeminise_seo\seo_runs\jeminise.com\20260906_234129\qa\20260907_204400\images\132_03.jpg; seo_runs\jeminise.com\20260906_234129\evidence\images\132_decorative-softball-bedding-set-bright-teal-yellow-sports-comforter\image_03_47934733582535.jpg; seo_runs\jeminise.com\20260906_234129\evidence\contact_sheets\132_decorative-softball-bedding-set-bright-teal-yellow-sports-comforter.jpg</t>
        </is>
      </c>
    </row>
    <row r="10" ht="66" customHeight="1">
      <c r="A10" s="2" t="inlineStr">
        <is>
          <t>jeminise.com+decorative-softball-bedding-set-bright-teal-yellow-sports-comforter</t>
        </is>
      </c>
      <c r="B10" s="2" t="inlineStr">
        <is>
          <t>img_bc66dbd43ec27382</t>
        </is>
      </c>
      <c r="C10" s="4" t="inlineStr">
        <is>
          <t>https://cdn.shopify.com/s/files/1/0792/5098/1063/files/db47f0f7b6817858384f030ea739319624c4056d400311d5807f651e82dc7728.jpg?v=1787245095</t>
        </is>
      </c>
      <c r="D10" s="4" t="inlineStr">
        <is>
          <t>https://cdn.shopify.com/s/files/1/0792/5098/1063/files/db47f0f7b6817858384f030ea739319624c4056d400311d5807f651e82dc7728.jpg?v=1787245095</t>
        </is>
      </c>
      <c r="E10" s="2" t="inlineStr">
        <is>
          <t>47934733615303</t>
        </is>
      </c>
      <c r="F10" s="2" t="inlineStr">
        <is>
          <t>47934733615303</t>
        </is>
      </c>
      <c r="G10" s="2" t="inlineStr"/>
      <c r="H10" s="2" t="inlineStr">
        <is>
          <t>GALLERY</t>
        </is>
      </c>
      <c r="I10" s="2" t="inlineStr">
        <is>
          <t>DIRECT_IMAGE_DOWNLOAD_AND_SOURCE_ROW_REVIEW</t>
        </is>
      </c>
      <c r="J10" s="2" t="inlineStr">
        <is>
          <t>2026-09-07T20:46:57+07:00</t>
        </is>
      </c>
      <c r="K10" s="2" t="inlineStr">
        <is>
          <t>Direct QA opened downloaded image 132_04; source SHA 6C67AD1C4BB2CDC7A96FBB83DAC811D49A70AAC7425DA1D4064C53EF2B1C6643. Submitted observation reviewed against gallery position.</t>
        </is>
      </c>
      <c r="L10" s="2" t="inlineStr">
        <is>
          <t>Detail, feature panel or lifestyle image connected to purple and yellow softball comforter with Olivia name.</t>
        </is>
      </c>
      <c r="M10" s="2" t="inlineStr">
        <is>
          <t>UNKNOWN</t>
        </is>
      </c>
      <c r="N10" s="2" t="inlineStr">
        <is>
          <t>SET</t>
        </is>
      </c>
      <c r="O10" s="2" t="inlineStr">
        <is>
          <t>Detail or feature image for Purple Yellow Softball Comforter with Name</t>
        </is>
      </c>
      <c r="P10" s="2" t="inlineStr">
        <is>
          <t>FULL</t>
        </is>
      </c>
      <c r="Q10" s="2" t="inlineStr">
        <is>
          <t>PARTIAL</t>
        </is>
      </c>
      <c r="R10" s="2" t="inlineStr">
        <is>
          <t>FULL</t>
        </is>
      </c>
      <c r="S10" s="2" t="inlineStr">
        <is>
          <t>FULL</t>
        </is>
      </c>
      <c r="T10" s="5">
        <f>IF(P10="FULL",40,IF(P10="PARTIAL",40/2,0))+IF(Q10="FULL",30,IF(Q10="PARTIAL",30/2,0))+IF(R10="FULL",20,IF(R10="PARTIAL",20/2,0))+IF(S10="FULL",10,IF(S10="PARTIAL",10/2,0))</f>
        <v/>
      </c>
      <c r="U10" s="5">
        <f>IF(P10="NOT_CHECKED",0,40)+IF(Q10="NOT_CHECKED",0,30)+IF(R10="NOT_CHECKED",0,20)+IF(S10="NOT_CHECKED",0,10)</f>
        <v/>
      </c>
      <c r="V10" s="5">
        <f>IF(U10=100,T10,"")</f>
        <v/>
      </c>
      <c r="W10" s="5">
        <f>T10</f>
        <v/>
      </c>
      <c r="X10" s="5">
        <f>T10+(100-U10)</f>
        <v/>
      </c>
      <c r="Y10" s="2" t="inlineStr">
        <is>
          <t>ISSUE-0014</t>
        </is>
      </c>
      <c r="Z10" s="2" t="inlineStr">
        <is>
          <t>D:\Shopify_Workspace\jeminise_seo\seo_runs\jeminise.com\20260906_234129\qa\20260907_204400\images\132_04.jpg; seo_runs\jeminise.com\20260906_234129\evidence\images\132_decorative-softball-bedding-set-bright-teal-yellow-sports-comforter\image_04_47934733615303.jpg; seo_runs\jeminise.com\20260906_234129\evidence\contact_sheets\132_decorative-softball-bedding-set-bright-teal-yellow-sports-comforter.jpg</t>
        </is>
      </c>
    </row>
    <row r="11" ht="66" customHeight="1">
      <c r="A11" s="3" t="inlineStr">
        <is>
          <t>jeminise.com+decorative-softball-bedding-set-bright-teal-yellow-sports-comforter</t>
        </is>
      </c>
      <c r="B11" s="3" t="inlineStr">
        <is>
          <t>img_704b4bb85b3a7428</t>
        </is>
      </c>
      <c r="C11" s="4" t="inlineStr">
        <is>
          <t>https://cdn.shopify.com/s/files/1/0792/5098/1063/files/da783a46c1d59651c1f03f4f44957813c77d2ce7ae9cf2692cbf04e9cf156b59.jpg?v=1787245095</t>
        </is>
      </c>
      <c r="D11" s="4" t="inlineStr">
        <is>
          <t>https://cdn.shopify.com/s/files/1/0792/5098/1063/files/da783a46c1d59651c1f03f4f44957813c77d2ce7ae9cf2692cbf04e9cf156b59.jpg?v=1787245095</t>
        </is>
      </c>
      <c r="E11" s="3" t="inlineStr">
        <is>
          <t>47934733648071</t>
        </is>
      </c>
      <c r="F11" s="3" t="inlineStr">
        <is>
          <t>47934733648071</t>
        </is>
      </c>
      <c r="G11" s="3" t="inlineStr"/>
      <c r="H11" s="3" t="inlineStr">
        <is>
          <t>GALLERY</t>
        </is>
      </c>
      <c r="I11" s="3" t="inlineStr">
        <is>
          <t>DIRECT_IMAGE_DOWNLOAD_AND_SOURCE_ROW_REVIEW</t>
        </is>
      </c>
      <c r="J11" s="3" t="inlineStr">
        <is>
          <t>2026-09-07T20:46:57+07:00</t>
        </is>
      </c>
      <c r="K11" s="3" t="inlineStr">
        <is>
          <t>Direct QA opened downloaded image 132_05; source SHA E26C45AA4A141BF308A01BA45F9287E7A6D4D5575DA715D17D1BA6CB14793953. Submitted observation reviewed against gallery position.</t>
        </is>
      </c>
      <c r="L11" s="3" t="inlineStr">
        <is>
          <t>Additional mockup, care or size information for purple and yellow softball comforter with Olivia name.</t>
        </is>
      </c>
      <c r="M11" s="3" t="inlineStr">
        <is>
          <t>UNKNOWN</t>
        </is>
      </c>
      <c r="N11" s="3" t="inlineStr">
        <is>
          <t>SET</t>
        </is>
      </c>
      <c r="O11" s="3" t="inlineStr">
        <is>
          <t>Additional product mockup or care information for Purple Yellow Softball Comforter with Name</t>
        </is>
      </c>
      <c r="P11" s="3" t="inlineStr">
        <is>
          <t>FULL</t>
        </is>
      </c>
      <c r="Q11" s="3" t="inlineStr">
        <is>
          <t>FULL</t>
        </is>
      </c>
      <c r="R11" s="3" t="inlineStr">
        <is>
          <t>FULL</t>
        </is>
      </c>
      <c r="S11" s="3" t="inlineStr">
        <is>
          <t>FULL</t>
        </is>
      </c>
      <c r="T11" s="7">
        <f>IF(P11="FULL",40,IF(P11="PARTIAL",40/2,0))+IF(Q11="FULL",30,IF(Q11="PARTIAL",30/2,0))+IF(R11="FULL",20,IF(R11="PARTIAL",20/2,0))+IF(S11="FULL",10,IF(S11="PARTIAL",10/2,0))</f>
        <v/>
      </c>
      <c r="U11" s="7">
        <f>IF(P11="NOT_CHECKED",0,40)+IF(Q11="NOT_CHECKED",0,30)+IF(R11="NOT_CHECKED",0,20)+IF(S11="NOT_CHECKED",0,10)</f>
        <v/>
      </c>
      <c r="V11" s="7">
        <f>IF(U11=100,T11,"")</f>
        <v/>
      </c>
      <c r="W11" s="7">
        <f>T11</f>
        <v/>
      </c>
      <c r="X11" s="7">
        <f>T11+(100-U11)</f>
        <v/>
      </c>
      <c r="Y11" s="3" t="inlineStr"/>
      <c r="Z11" s="3" t="inlineStr">
        <is>
          <t>D:\Shopify_Workspace\jeminise_seo\seo_runs\jeminise.com\20260906_234129\qa\20260907_204400\images\132_05.jpg; seo_runs\jeminise.com\20260906_234129\evidence\images\132_decorative-softball-bedding-set-bright-teal-yellow-sports-comforter\image_05_47934733648071.jpg; seo_runs\jeminise.com\20260906_234129\evidence\contact_sheets\132_decorative-softball-bedding-set-bright-teal-yellow-sports-comforter.jpg</t>
        </is>
      </c>
    </row>
    <row r="12" ht="66" customHeight="1">
      <c r="A12" s="2" t="inlineStr">
        <is>
          <t>jeminise.com+decorative-softball-bedding-set-bright-teal-yellow-sports-comforter</t>
        </is>
      </c>
      <c r="B12" s="2" t="inlineStr">
        <is>
          <t>img_0a2ad3fabde9daf2</t>
        </is>
      </c>
      <c r="C12" s="4" t="inlineStr">
        <is>
          <t>https://cdn.shopify.com/s/files/1/0792/5098/1063/files/b5c74b68d1b4eff2209b7123e3fbe61d1e31afd73aa5ba647e17c194e2e66c44_e2d41659-6c8c-419e-86d5-a85ddbe5da64.jpg?v=1787245095</t>
        </is>
      </c>
      <c r="D12" s="4" t="inlineStr">
        <is>
          <t>https://cdn.shopify.com/s/files/1/0792/5098/1063/files/b5c74b68d1b4eff2209b7123e3fbe61d1e31afd73aa5ba647e17c194e2e66c44_e2d41659-6c8c-419e-86d5-a85ddbe5da64.jpg?v=1787245095</t>
        </is>
      </c>
      <c r="E12" s="2" t="inlineStr">
        <is>
          <t>47934733680839</t>
        </is>
      </c>
      <c r="F12" s="2" t="inlineStr">
        <is>
          <t>47934733680839</t>
        </is>
      </c>
      <c r="G12" s="2" t="inlineStr"/>
      <c r="H12" s="2" t="inlineStr">
        <is>
          <t>GALLERY</t>
        </is>
      </c>
      <c r="I12" s="2" t="inlineStr">
        <is>
          <t>DIRECT_IMAGE_DOWNLOAD_AND_SOURCE_ROW_REVIEW</t>
        </is>
      </c>
      <c r="J12" s="2" t="inlineStr">
        <is>
          <t>2026-09-07T20:46:57+07:00</t>
        </is>
      </c>
      <c r="K12" s="2" t="inlineStr">
        <is>
          <t>Direct QA opened downloaded image 132_06; source SHA 26BCFCEF0FE1B00164928B71D289F771A0BA03EAB3FD49FB30095539839D789B. Submitted observation reviewed against gallery position.</t>
        </is>
      </c>
      <c r="L12" s="2" t="inlineStr">
        <is>
          <t>Easy-care, size guide or product feature image for purple and yellow softball comforter with Olivia name.</t>
        </is>
      </c>
      <c r="M12" s="2" t="inlineStr">
        <is>
          <t>UNKNOWN</t>
        </is>
      </c>
      <c r="N12" s="2" t="inlineStr">
        <is>
          <t>SET</t>
        </is>
      </c>
      <c r="O12" s="2" t="inlineStr">
        <is>
          <t>Care, size or product feature image for Purple Yellow Softball Comforter with Name</t>
        </is>
      </c>
      <c r="P12" s="2" t="inlineStr">
        <is>
          <t>FULL</t>
        </is>
      </c>
      <c r="Q12" s="2" t="inlineStr">
        <is>
          <t>PARTIAL</t>
        </is>
      </c>
      <c r="R12" s="2" t="inlineStr">
        <is>
          <t>FULL</t>
        </is>
      </c>
      <c r="S12" s="2" t="inlineStr">
        <is>
          <t>FULL</t>
        </is>
      </c>
      <c r="T12" s="5">
        <f>IF(P12="FULL",40,IF(P12="PARTIAL",40/2,0))+IF(Q12="FULL",30,IF(Q12="PARTIAL",30/2,0))+IF(R12="FULL",20,IF(R12="PARTIAL",20/2,0))+IF(S12="FULL",10,IF(S12="PARTIAL",10/2,0))</f>
        <v/>
      </c>
      <c r="U12" s="5">
        <f>IF(P12="NOT_CHECKED",0,40)+IF(Q12="NOT_CHECKED",0,30)+IF(R12="NOT_CHECKED",0,20)+IF(S12="NOT_CHECKED",0,10)</f>
        <v/>
      </c>
      <c r="V12" s="5">
        <f>IF(U12=100,T12,"")</f>
        <v/>
      </c>
      <c r="W12" s="5">
        <f>T12</f>
        <v/>
      </c>
      <c r="X12" s="5">
        <f>T12+(100-U12)</f>
        <v/>
      </c>
      <c r="Y12" s="2" t="inlineStr">
        <is>
          <t>ISSUE-0015</t>
        </is>
      </c>
      <c r="Z12" s="2" t="inlineStr">
        <is>
          <t>D:\Shopify_Workspace\jeminise_seo\seo_runs\jeminise.com\20260906_234129\qa\20260907_204400\images\132_06.jpg; seo_runs\jeminise.com\20260906_234129\evidence\images\132_decorative-softball-bedding-set-bright-teal-yellow-sports-comforter\image_06_47934733680839.jpg; seo_runs\jeminise.com\20260906_234129\evidence\contact_sheets\132_decorative-softball-bedding-set-bright-teal-yellow-sports-comforter.jpg</t>
        </is>
      </c>
    </row>
    <row r="13" ht="66" customHeight="1">
      <c r="A13" s="3" t="inlineStr">
        <is>
          <t>jeminise.com+decorative-softball-bedding-set-bright-teal-yellow-sports-comforter</t>
        </is>
      </c>
      <c r="B13" s="3" t="inlineStr">
        <is>
          <t>img_3f8c0fb3de23ddf1</t>
        </is>
      </c>
      <c r="C13" s="4" t="inlineStr">
        <is>
          <t>https://cdn.shopify.com/s/files/1/0792/5098/1063/files/a0ebf0c8e5cb1f2c8f924529805ea1d20494460dd41a740514b8862f5d5a2f4f_3a7b01aa-57a9-43ee-87d3-d5e21d88e02d.jpg?v=1787245095</t>
        </is>
      </c>
      <c r="D13" s="4" t="inlineStr">
        <is>
          <t>https://cdn.shopify.com/s/files/1/0792/5098/1063/files/a0ebf0c8e5cb1f2c8f924529805ea1d20494460dd41a740514b8862f5d5a2f4f_3a7b01aa-57a9-43ee-87d3-d5e21d88e02d.jpg?v=1787245095</t>
        </is>
      </c>
      <c r="E13" s="3" t="inlineStr">
        <is>
          <t>47934733713607</t>
        </is>
      </c>
      <c r="F13" s="3" t="inlineStr">
        <is>
          <t>47934733713607</t>
        </is>
      </c>
      <c r="G13" s="3" t="inlineStr"/>
      <c r="H13" s="3" t="inlineStr">
        <is>
          <t>GALLERY</t>
        </is>
      </c>
      <c r="I13" s="3" t="inlineStr">
        <is>
          <t>DIRECT_IMAGE_DOWNLOAD_AND_SOURCE_ROW_REVIEW</t>
        </is>
      </c>
      <c r="J13" s="3" t="inlineStr">
        <is>
          <t>2026-09-07T20:46:57+07:00</t>
        </is>
      </c>
      <c r="K13" s="3" t="inlineStr">
        <is>
          <t>Direct QA opened downloaded image 132_07; source SHA 66803DD8B86096044F5F294A5856C42982D4018979CA13ED619A694D3B21C9CD. Submitted observation reviewed against gallery position.</t>
        </is>
      </c>
      <c r="L13" s="3" t="inlineStr">
        <is>
          <t>Additional lifestyle, feature or product detail image showing purple and yellow softball comforter with Olivia name.</t>
        </is>
      </c>
      <c r="M13" s="3" t="inlineStr">
        <is>
          <t>UNKNOWN</t>
        </is>
      </c>
      <c r="N13" s="3" t="inlineStr">
        <is>
          <t>SET</t>
        </is>
      </c>
      <c r="O13" s="3" t="inlineStr">
        <is>
          <t>Additional product mockup of Purple Yellow Softball Comforter with Name</t>
        </is>
      </c>
      <c r="P13" s="3" t="inlineStr">
        <is>
          <t>FULL</t>
        </is>
      </c>
      <c r="Q13" s="3" t="inlineStr">
        <is>
          <t>PARTIAL</t>
        </is>
      </c>
      <c r="R13" s="3" t="inlineStr">
        <is>
          <t>FULL</t>
        </is>
      </c>
      <c r="S13" s="3" t="inlineStr">
        <is>
          <t>FULL</t>
        </is>
      </c>
      <c r="T13" s="7">
        <f>IF(P13="FULL",40,IF(P13="PARTIAL",40/2,0))+IF(Q13="FULL",30,IF(Q13="PARTIAL",30/2,0))+IF(R13="FULL",20,IF(R13="PARTIAL",20/2,0))+IF(S13="FULL",10,IF(S13="PARTIAL",10/2,0))</f>
        <v/>
      </c>
      <c r="U13" s="7">
        <f>IF(P13="NOT_CHECKED",0,40)+IF(Q13="NOT_CHECKED",0,30)+IF(R13="NOT_CHECKED",0,20)+IF(S13="NOT_CHECKED",0,10)</f>
        <v/>
      </c>
      <c r="V13" s="7">
        <f>IF(U13=100,T13,"")</f>
        <v/>
      </c>
      <c r="W13" s="7">
        <f>T13</f>
        <v/>
      </c>
      <c r="X13" s="7">
        <f>T13+(100-U13)</f>
        <v/>
      </c>
      <c r="Y13" s="3" t="inlineStr">
        <is>
          <t>ISSUE-0016</t>
        </is>
      </c>
      <c r="Z13" s="3" t="inlineStr">
        <is>
          <t>D:\Shopify_Workspace\jeminise_seo\seo_runs\jeminise.com\20260906_234129\qa\20260907_204400\images\132_07.jpg; seo_runs\jeminise.com\20260906_234129\evidence\images\132_decorative-softball-bedding-set-bright-teal-yellow-sports-comforter\image_07_47934733713607.jpg; seo_runs\jeminise.com\20260906_234129\evidence\contact_sheets\132_decorative-softball-bedding-set-bright-teal-yellow-sports-comforter.jpg</t>
        </is>
      </c>
    </row>
    <row r="14" ht="66" customHeight="1">
      <c r="A14" s="2" t="inlineStr">
        <is>
          <t>jeminise.com+desert-cactus-printed-quilt-set-vibrant-cactus-flower-quilt</t>
        </is>
      </c>
      <c r="B14" s="2" t="inlineStr">
        <is>
          <t>img_1eb6635e1fa9db26</t>
        </is>
      </c>
      <c r="C14" s="4" t="inlineStr">
        <is>
          <t>https://cdn.shopify.com/s/files/1/0792/5098/1063/files/18de86df55ee2186c85090364933216593d0955584ba88ec7dd6634f2a6788a1.jpg?v=1786561918</t>
        </is>
      </c>
      <c r="D14" s="4" t="inlineStr">
        <is>
          <t>https://cdn.shopify.com/s/files/1/0792/5098/1063/files/18de86df55ee2186c85090364933216593d0955584ba88ec7dd6634f2a6788a1.jpg?v=1786561918</t>
        </is>
      </c>
      <c r="E14" s="2" t="inlineStr">
        <is>
          <t>47825518559431</t>
        </is>
      </c>
      <c r="F14" s="2" t="inlineStr">
        <is>
          <t>47825518559431</t>
        </is>
      </c>
      <c r="G14" s="2" t="inlineStr"/>
      <c r="H14" s="2" t="inlineStr">
        <is>
          <t>GALLERY</t>
        </is>
      </c>
      <c r="I14" s="2" t="inlineStr">
        <is>
          <t>DIRECT_IMAGE_DOWNLOAD_AND_SOURCE_ROW_REVIEW</t>
        </is>
      </c>
      <c r="J14" s="2" t="inlineStr">
        <is>
          <t>2026-09-07T20:46:57+07:00</t>
        </is>
      </c>
      <c r="K14" s="2" t="inlineStr">
        <is>
          <t>Direct QA opened downloaded image 133_01; source SHA 927601494EEAFAD8B5BC49A3265A86BF05D6930134C04D99C065CFF278B0C682. Submitted observation reviewed against gallery position.</t>
        </is>
      </c>
      <c r="L14" s="2" t="inlineStr">
        <is>
          <t>Main product mockup showing desert cactus flower patchwork quilt.</t>
        </is>
      </c>
      <c r="M14" s="2" t="inlineStr">
        <is>
          <t>UNKNOWN</t>
        </is>
      </c>
      <c r="N14" s="2" t="inlineStr">
        <is>
          <t>SET</t>
        </is>
      </c>
      <c r="O14" s="2" t="inlineStr">
        <is>
          <t>Desert Cactus Flower Patchwork Quilt displayed in a main product mockup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PARTIAL</t>
        </is>
      </c>
      <c r="S14" s="2" t="inlineStr">
        <is>
          <t>FULL</t>
        </is>
      </c>
      <c r="T14" s="5">
        <f>IF(P14="FULL",40,IF(P14="PARTIAL",40/2,0))+IF(Q14="FULL",30,IF(Q14="PARTIAL",30/2,0))+IF(R14="FULL",20,IF(R14="PARTIAL",20/2,0))+IF(S14="FULL",10,IF(S14="PARTIAL",10/2,0))</f>
        <v/>
      </c>
      <c r="U14" s="5">
        <f>IF(P14="NOT_CHECKED",0,40)+IF(Q14="NOT_CHECKED",0,30)+IF(R14="NOT_CHECKED",0,20)+IF(S14="NOT_CHECKED",0,10)</f>
        <v/>
      </c>
      <c r="V14" s="5">
        <f>IF(U14=100,T14,"")</f>
        <v/>
      </c>
      <c r="W14" s="5">
        <f>T14</f>
        <v/>
      </c>
      <c r="X14" s="5">
        <f>T14+(100-U14)</f>
        <v/>
      </c>
      <c r="Y14" s="2" t="inlineStr">
        <is>
          <t>ISSUE-0021</t>
        </is>
      </c>
      <c r="Z14" s="2" t="inlineStr">
        <is>
          <t>D:\Shopify_Workspace\jeminise_seo\seo_runs\jeminise.com\20260906_234129\qa\20260907_204400\images\133_01.jpg; seo_runs\jeminise.com\20260906_234129\evidence\images\133_desert-cactus-printed-quilt-set-vibrant-cactus-flower-quilt\image_01_47825518559431.jpg; seo_runs\jeminise.com\20260906_234129\evidence\contact_sheets\133_desert-cactus-printed-quilt-set-vibrant-cactus-flower-quilt.jpg</t>
        </is>
      </c>
    </row>
    <row r="15" ht="66" customHeight="1">
      <c r="A15" s="3" t="inlineStr">
        <is>
          <t>jeminise.com+desert-cactus-printed-quilt-set-vibrant-cactus-flower-quilt</t>
        </is>
      </c>
      <c r="B15" s="3" t="inlineStr">
        <is>
          <t>img_18d7b964ddb102ba</t>
        </is>
      </c>
      <c r="C15" s="4" t="inlineStr">
        <is>
          <t>https://cdn.shopify.com/s/files/1/0792/5098/1063/files/41cd150da991662f498f64cfce7134d21023ada8fbfddd5434365366aa526153.jpg?v=1786561918</t>
        </is>
      </c>
      <c r="D15" s="4" t="inlineStr">
        <is>
          <t>https://cdn.shopify.com/s/files/1/0792/5098/1063/files/41cd150da991662f498f64cfce7134d21023ada8fbfddd5434365366aa526153.jpg?v=1786561918</t>
        </is>
      </c>
      <c r="E15" s="3" t="inlineStr">
        <is>
          <t>47825518592199</t>
        </is>
      </c>
      <c r="F15" s="3" t="inlineStr">
        <is>
          <t>47825518592199</t>
        </is>
      </c>
      <c r="G15" s="3" t="inlineStr"/>
      <c r="H15" s="3" t="inlineStr">
        <is>
          <t>GALLERY</t>
        </is>
      </c>
      <c r="I15" s="3" t="inlineStr">
        <is>
          <t>DIRECT_IMAGE_DOWNLOAD_AND_SOURCE_ROW_REVIEW</t>
        </is>
      </c>
      <c r="J15" s="3" t="inlineStr">
        <is>
          <t>2026-09-07T20:46:57+07:00</t>
        </is>
      </c>
      <c r="K15" s="3" t="inlineStr">
        <is>
          <t>Direct QA opened downloaded image 133_02; source SHA A8887561C1F3A275D182F2167095FE843FA0B4726540E0DC2B7D25F9946E451F. Submitted observation reviewed against gallery position.</t>
        </is>
      </c>
      <c r="L15" s="3" t="inlineStr">
        <is>
          <t>Secondary flat, close-up or bedroom mockup showing desert cactus flower patchwork quilt.</t>
        </is>
      </c>
      <c r="M15" s="3" t="inlineStr">
        <is>
          <t>UNKNOWN</t>
        </is>
      </c>
      <c r="N15" s="3" t="inlineStr">
        <is>
          <t>SET</t>
        </is>
      </c>
      <c r="O15" s="3" t="inlineStr">
        <is>
          <t>Secondary mockup of Desert Cactus Flower Patchwork Quilt</t>
        </is>
      </c>
      <c r="P15" s="3" t="inlineStr">
        <is>
          <t>FULL</t>
        </is>
      </c>
      <c r="Q15" s="3" t="inlineStr">
        <is>
          <t>FULL</t>
        </is>
      </c>
      <c r="R15" s="3" t="inlineStr">
        <is>
          <t>FULL</t>
        </is>
      </c>
      <c r="S15" s="3" t="inlineStr">
        <is>
          <t>FULL</t>
        </is>
      </c>
      <c r="T15" s="7">
        <f>IF(P15="FULL",40,IF(P15="PARTIAL",40/2,0))+IF(Q15="FULL",30,IF(Q15="PARTIAL",30/2,0))+IF(R15="FULL",20,IF(R15="PARTIAL",20/2,0))+IF(S15="FULL",10,IF(S15="PARTIAL",10/2,0))</f>
        <v/>
      </c>
      <c r="U15" s="7">
        <f>IF(P15="NOT_CHECKED",0,40)+IF(Q15="NOT_CHECKED",0,30)+IF(R15="NOT_CHECKED",0,20)+IF(S15="NOT_CHECKED",0,10)</f>
        <v/>
      </c>
      <c r="V15" s="7">
        <f>IF(U15=100,T15,"")</f>
        <v/>
      </c>
      <c r="W15" s="7">
        <f>T15</f>
        <v/>
      </c>
      <c r="X15" s="7">
        <f>T15+(100-U15)</f>
        <v/>
      </c>
      <c r="Y15" s="3" t="inlineStr"/>
      <c r="Z15" s="3" t="inlineStr">
        <is>
          <t>D:\Shopify_Workspace\jeminise_seo\seo_runs\jeminise.com\20260906_234129\qa\20260907_204400\images\133_02.jpg; seo_runs\jeminise.com\20260906_234129\evidence\images\133_desert-cactus-printed-quilt-set-vibrant-cactus-flower-quilt\image_02_47825518592199.jpg; seo_runs\jeminise.com\20260906_234129\evidence\contact_sheets\133_desert-cactus-printed-quilt-set-vibrant-cactus-flower-quilt.jpg</t>
        </is>
      </c>
    </row>
    <row r="16" ht="66" customHeight="1">
      <c r="A16" s="2" t="inlineStr">
        <is>
          <t>jeminise.com+desert-cactus-printed-quilt-set-vibrant-cactus-flower-quilt</t>
        </is>
      </c>
      <c r="B16" s="2" t="inlineStr">
        <is>
          <t>img_2c87b516ab39b8b8</t>
        </is>
      </c>
      <c r="C16" s="4" t="inlineStr">
        <is>
          <t>https://cdn.shopify.com/s/files/1/0792/5098/1063/files/718839a9f2c1f01c8943003b18af6794c1cb3cc2135dcf804f2d741f1de6762b.jpg?v=1786561918</t>
        </is>
      </c>
      <c r="D16" s="4" t="inlineStr">
        <is>
          <t>https://cdn.shopify.com/s/files/1/0792/5098/1063/files/718839a9f2c1f01c8943003b18af6794c1cb3cc2135dcf804f2d741f1de6762b.jpg?v=1786561918</t>
        </is>
      </c>
      <c r="E16" s="2" t="inlineStr">
        <is>
          <t>47825518624967</t>
        </is>
      </c>
      <c r="F16" s="2" t="inlineStr">
        <is>
          <t>47825518624967</t>
        </is>
      </c>
      <c r="G16" s="2" t="inlineStr"/>
      <c r="H16" s="2" t="inlineStr">
        <is>
          <t>GALLERY</t>
        </is>
      </c>
      <c r="I16" s="2" t="inlineStr">
        <is>
          <t>DIRECT_IMAGE_DOWNLOAD_AND_SOURCE_ROW_REVIEW</t>
        </is>
      </c>
      <c r="J16" s="2" t="inlineStr">
        <is>
          <t>2026-09-07T20:46:57+07:00</t>
        </is>
      </c>
      <c r="K16" s="2" t="inlineStr">
        <is>
          <t>Direct QA opened downloaded image 133_03; source SHA 372A22C3DFBF29145F5130D6792535CB46EB016A48A2BBA17D74F5379C7AF413. Submitted observation reviewed against gallery position.</t>
        </is>
      </c>
      <c r="L16" s="2" t="inlineStr">
        <is>
          <t>Bedding type, feature, lifestyle or material image for desert cactus flower patchwork quilt.</t>
        </is>
      </c>
      <c r="M16" s="2" t="inlineStr">
        <is>
          <t>UNKNOWN</t>
        </is>
      </c>
      <c r="N16" s="2" t="inlineStr">
        <is>
          <t>SET</t>
        </is>
      </c>
      <c r="O16" s="2" t="inlineStr">
        <is>
          <t>Product option, feature or lifestyle image for Desert Cactus Flower Patchwork Quilt</t>
        </is>
      </c>
      <c r="P16" s="2" t="inlineStr">
        <is>
          <t>FULL</t>
        </is>
      </c>
      <c r="Q16" s="2" t="inlineStr">
        <is>
          <t>PARTIAL</t>
        </is>
      </c>
      <c r="R16" s="2" t="inlineStr">
        <is>
          <t>FULL</t>
        </is>
      </c>
      <c r="S16" s="2" t="inlineStr">
        <is>
          <t>FULL</t>
        </is>
      </c>
      <c r="T16" s="5">
        <f>IF(P16="FULL",40,IF(P16="PARTIAL",40/2,0))+IF(Q16="FULL",30,IF(Q16="PARTIAL",30/2,0))+IF(R16="FULL",20,IF(R16="PARTIAL",20/2,0))+IF(S16="FULL",10,IF(S16="PARTIAL",10/2,0))</f>
        <v/>
      </c>
      <c r="U16" s="5">
        <f>IF(P16="NOT_CHECKED",0,40)+IF(Q16="NOT_CHECKED",0,30)+IF(R16="NOT_CHECKED",0,20)+IF(S16="NOT_CHECKED",0,10)</f>
        <v/>
      </c>
      <c r="V16" s="5">
        <f>IF(U16=100,T16,"")</f>
        <v/>
      </c>
      <c r="W16" s="5">
        <f>T16</f>
        <v/>
      </c>
      <c r="X16" s="5">
        <f>T16+(100-U16)</f>
        <v/>
      </c>
      <c r="Y16" s="2" t="inlineStr">
        <is>
          <t>ISSUE-0022</t>
        </is>
      </c>
      <c r="Z16" s="2" t="inlineStr">
        <is>
          <t>D:\Shopify_Workspace\jeminise_seo\seo_runs\jeminise.com\20260906_234129\qa\20260907_204400\images\133_03.jpg; seo_runs\jeminise.com\20260906_234129\evidence\images\133_desert-cactus-printed-quilt-set-vibrant-cactus-flower-quilt\image_03_47825518624967.jpg; seo_runs\jeminise.com\20260906_234129\evidence\contact_sheets\133_desert-cactus-printed-quilt-set-vibrant-cactus-flower-quilt.jpg</t>
        </is>
      </c>
    </row>
    <row r="17" ht="66" customHeight="1">
      <c r="A17" s="3" t="inlineStr">
        <is>
          <t>jeminise.com+desert-cactus-printed-quilt-set-vibrant-cactus-flower-quilt</t>
        </is>
      </c>
      <c r="B17" s="3" t="inlineStr">
        <is>
          <t>img_2a89eab97336c263</t>
        </is>
      </c>
      <c r="C17" s="4" t="inlineStr">
        <is>
          <t>https://cdn.shopify.com/s/files/1/0792/5098/1063/files/3fa47aa2ae55dd1aa457a1efd1dd6525b3ace70928e329b2a0a942dde4ef4e6b.jpg?v=1786561918</t>
        </is>
      </c>
      <c r="D17" s="4" t="inlineStr">
        <is>
          <t>https://cdn.shopify.com/s/files/1/0792/5098/1063/files/3fa47aa2ae55dd1aa457a1efd1dd6525b3ace70928e329b2a0a942dde4ef4e6b.jpg?v=1786561918</t>
        </is>
      </c>
      <c r="E17" s="3" t="inlineStr">
        <is>
          <t>47825518657735</t>
        </is>
      </c>
      <c r="F17" s="3" t="inlineStr">
        <is>
          <t>47825518657735</t>
        </is>
      </c>
      <c r="G17" s="3" t="inlineStr"/>
      <c r="H17" s="3" t="inlineStr">
        <is>
          <t>GALLERY</t>
        </is>
      </c>
      <c r="I17" s="3" t="inlineStr">
        <is>
          <t>DIRECT_IMAGE_DOWNLOAD_AND_SOURCE_ROW_REVIEW</t>
        </is>
      </c>
      <c r="J17" s="3" t="inlineStr">
        <is>
          <t>2026-09-07T20:46:57+07:00</t>
        </is>
      </c>
      <c r="K17" s="3" t="inlineStr">
        <is>
          <t>Direct QA opened downloaded image 133_04; source SHA BB85AAADA68759B2246ECC704429C71275D9BEF177F4EDBBA9BBA4D9DBDA444F. Submitted observation reviewed against gallery position.</t>
        </is>
      </c>
      <c r="L17" s="3" t="inlineStr">
        <is>
          <t>Detail, feature panel or lifestyle image connected to desert cactus flower patchwork quilt.</t>
        </is>
      </c>
      <c r="M17" s="3" t="inlineStr">
        <is>
          <t>UNKNOWN</t>
        </is>
      </c>
      <c r="N17" s="3" t="inlineStr">
        <is>
          <t>SET</t>
        </is>
      </c>
      <c r="O17" s="3" t="inlineStr">
        <is>
          <t>Detail or feature image for Desert Cactus Flower Patchwork Quilt</t>
        </is>
      </c>
      <c r="P17" s="3" t="inlineStr">
        <is>
          <t>FULL</t>
        </is>
      </c>
      <c r="Q17" s="3" t="inlineStr">
        <is>
          <t>PARTIAL</t>
        </is>
      </c>
      <c r="R17" s="3" t="inlineStr">
        <is>
          <t>FULL</t>
        </is>
      </c>
      <c r="S17" s="3" t="inlineStr">
        <is>
          <t>FULL</t>
        </is>
      </c>
      <c r="T17" s="7">
        <f>IF(P17="FULL",40,IF(P17="PARTIAL",40/2,0))+IF(Q17="FULL",30,IF(Q17="PARTIAL",30/2,0))+IF(R17="FULL",20,IF(R17="PARTIAL",20/2,0))+IF(S17="FULL",10,IF(S17="PARTIAL",10/2,0))</f>
        <v/>
      </c>
      <c r="U17" s="7">
        <f>IF(P17="NOT_CHECKED",0,40)+IF(Q17="NOT_CHECKED",0,30)+IF(R17="NOT_CHECKED",0,20)+IF(S17="NOT_CHECKED",0,10)</f>
        <v/>
      </c>
      <c r="V17" s="7">
        <f>IF(U17=100,T17,"")</f>
        <v/>
      </c>
      <c r="W17" s="7">
        <f>T17</f>
        <v/>
      </c>
      <c r="X17" s="7">
        <f>T17+(100-U17)</f>
        <v/>
      </c>
      <c r="Y17" s="3" t="inlineStr">
        <is>
          <t>ISSUE-0023</t>
        </is>
      </c>
      <c r="Z17" s="3" t="inlineStr">
        <is>
          <t>D:\Shopify_Workspace\jeminise_seo\seo_runs\jeminise.com\20260906_234129\qa\20260907_204400\images\133_04.jpg; seo_runs\jeminise.com\20260906_234129\evidence\images\133_desert-cactus-printed-quilt-set-vibrant-cactus-flower-quilt\image_04_47825518657735.jpg; seo_runs\jeminise.com\20260906_234129\evidence\contact_sheets\133_desert-cactus-printed-quilt-set-vibrant-cactus-flower-quilt.jpg</t>
        </is>
      </c>
    </row>
    <row r="18" ht="66" customHeight="1">
      <c r="A18" s="2" t="inlineStr">
        <is>
          <t>jeminise.com+desert-cactus-printed-quilt-set-vibrant-cactus-flower-quilt</t>
        </is>
      </c>
      <c r="B18" s="2" t="inlineStr">
        <is>
          <t>img_3e95f0e5929c80d7</t>
        </is>
      </c>
      <c r="C18" s="4" t="inlineStr">
        <is>
          <t>https://cdn.shopify.com/s/files/1/0792/5098/1063/files/9770e5220f3fb8b11c2282da297bf1d95a1ee40ac7cbe208cc665ce7b4b832b0.jpg?v=1786561918</t>
        </is>
      </c>
      <c r="D18" s="4" t="inlineStr">
        <is>
          <t>https://cdn.shopify.com/s/files/1/0792/5098/1063/files/9770e5220f3fb8b11c2282da297bf1d95a1ee40ac7cbe208cc665ce7b4b832b0.jpg?v=1786561918</t>
        </is>
      </c>
      <c r="E18" s="2" t="inlineStr">
        <is>
          <t>47825518690503</t>
        </is>
      </c>
      <c r="F18" s="2" t="inlineStr">
        <is>
          <t>47825518690503</t>
        </is>
      </c>
      <c r="G18" s="2" t="inlineStr"/>
      <c r="H18" s="2" t="inlineStr">
        <is>
          <t>GALLERY</t>
        </is>
      </c>
      <c r="I18" s="2" t="inlineStr">
        <is>
          <t>DIRECT_IMAGE_DOWNLOAD_AND_SOURCE_ROW_REVIEW</t>
        </is>
      </c>
      <c r="J18" s="2" t="inlineStr">
        <is>
          <t>2026-09-07T20:46:57+07:00</t>
        </is>
      </c>
      <c r="K18" s="2" t="inlineStr">
        <is>
          <t>Direct QA opened downloaded image 133_05; source SHA 3A2A2D7A17809AE382E6867FB87DED9677DDFADF94BFE46307F40DC65CA5FA16. Submitted observation reviewed against gallery position.</t>
        </is>
      </c>
      <c r="L18" s="2" t="inlineStr">
        <is>
          <t>Additional mockup, care or size information for desert cactus flower patchwork quilt.</t>
        </is>
      </c>
      <c r="M18" s="2" t="inlineStr">
        <is>
          <t>UNKNOWN</t>
        </is>
      </c>
      <c r="N18" s="2" t="inlineStr">
        <is>
          <t>SET</t>
        </is>
      </c>
      <c r="O18" s="2" t="inlineStr">
        <is>
          <t>Additional product mockup or care information for Desert Cactus Flower Patchwork Quilt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5">
        <f>IF(P18="FULL",40,IF(P18="PARTIAL",40/2,0))+IF(Q18="FULL",30,IF(Q18="PARTIAL",30/2,0))+IF(R18="FULL",20,IF(R18="PARTIAL",20/2,0))+IF(S18="FULL",10,IF(S18="PARTIAL",10/2,0))</f>
        <v/>
      </c>
      <c r="U18" s="5">
        <f>IF(P18="NOT_CHECKED",0,40)+IF(Q18="NOT_CHECKED",0,30)+IF(R18="NOT_CHECKED",0,20)+IF(S18="NOT_CHECKED",0,10)</f>
        <v/>
      </c>
      <c r="V18" s="5">
        <f>IF(U18=100,T18,"")</f>
        <v/>
      </c>
      <c r="W18" s="5">
        <f>T18</f>
        <v/>
      </c>
      <c r="X18" s="5">
        <f>T18+(100-U18)</f>
        <v/>
      </c>
      <c r="Y18" s="2" t="inlineStr"/>
      <c r="Z18" s="2" t="inlineStr">
        <is>
          <t>D:\Shopify_Workspace\jeminise_seo\seo_runs\jeminise.com\20260906_234129\qa\20260907_204400\images\133_05.jpg; seo_runs\jeminise.com\20260906_234129\evidence\images\133_desert-cactus-printed-quilt-set-vibrant-cactus-flower-quilt\image_05_47825518690503.jpg; seo_runs\jeminise.com\20260906_234129\evidence\contact_sheets\133_desert-cactus-printed-quilt-set-vibrant-cactus-flower-quilt.jpg</t>
        </is>
      </c>
    </row>
    <row r="19" ht="66" customHeight="1">
      <c r="A19" s="3" t="inlineStr">
        <is>
          <t>jeminise.com+desert-cactus-printed-quilt-set-vibrant-cactus-flower-quilt</t>
        </is>
      </c>
      <c r="B19" s="3" t="inlineStr">
        <is>
          <t>img_7e617d332bdef5fd</t>
        </is>
      </c>
      <c r="C19" s="4" t="inlineStr">
        <is>
          <t>https://cdn.shopify.com/s/files/1/0792/5098/1063/files/4e936d01e2a40f16f9a5fdb20f94f6da9bfb953ae1087ee05f4c11b00e93e373.jpg?v=1786561918</t>
        </is>
      </c>
      <c r="D19" s="4" t="inlineStr">
        <is>
          <t>https://cdn.shopify.com/s/files/1/0792/5098/1063/files/4e936d01e2a40f16f9a5fdb20f94f6da9bfb953ae1087ee05f4c11b00e93e373.jpg?v=1786561918</t>
        </is>
      </c>
      <c r="E19" s="3" t="inlineStr">
        <is>
          <t>47825518723271</t>
        </is>
      </c>
      <c r="F19" s="3" t="inlineStr">
        <is>
          <t>47825518723271</t>
        </is>
      </c>
      <c r="G19" s="3" t="inlineStr"/>
      <c r="H19" s="3" t="inlineStr">
        <is>
          <t>GALLERY</t>
        </is>
      </c>
      <c r="I19" s="3" t="inlineStr">
        <is>
          <t>DIRECT_IMAGE_DOWNLOAD_AND_SOURCE_ROW_REVIEW</t>
        </is>
      </c>
      <c r="J19" s="3" t="inlineStr">
        <is>
          <t>2026-09-07T20:46:57+07:00</t>
        </is>
      </c>
      <c r="K19" s="3" t="inlineStr">
        <is>
          <t>Direct QA opened downloaded image 133_06; source SHA AAAE935107DFB7E87E3A42C4FA96F7774446CC085BED07EF3AC4835A62C31766. Submitted observation reviewed against gallery position.</t>
        </is>
      </c>
      <c r="L19" s="3" t="inlineStr">
        <is>
          <t>Easy-care, size guide or product feature image for desert cactus flower patchwork quilt.</t>
        </is>
      </c>
      <c r="M19" s="3" t="inlineStr">
        <is>
          <t>UNKNOWN</t>
        </is>
      </c>
      <c r="N19" s="3" t="inlineStr">
        <is>
          <t>SET</t>
        </is>
      </c>
      <c r="O19" s="3" t="inlineStr">
        <is>
          <t>Care, size or product feature image for Desert Cactus Flower Patchwork Quilt</t>
        </is>
      </c>
      <c r="P19" s="3" t="inlineStr">
        <is>
          <t>FULL</t>
        </is>
      </c>
      <c r="Q19" s="3" t="inlineStr">
        <is>
          <t>PARTIAL</t>
        </is>
      </c>
      <c r="R19" s="3" t="inlineStr">
        <is>
          <t>FULL</t>
        </is>
      </c>
      <c r="S19" s="3" t="inlineStr">
        <is>
          <t>FULL</t>
        </is>
      </c>
      <c r="T19" s="7">
        <f>IF(P19="FULL",40,IF(P19="PARTIAL",40/2,0))+IF(Q19="FULL",30,IF(Q19="PARTIAL",30/2,0))+IF(R19="FULL",20,IF(R19="PARTIAL",20/2,0))+IF(S19="FULL",10,IF(S19="PARTIAL",10/2,0))</f>
        <v/>
      </c>
      <c r="U19" s="7">
        <f>IF(P19="NOT_CHECKED",0,40)+IF(Q19="NOT_CHECKED",0,30)+IF(R19="NOT_CHECKED",0,20)+IF(S19="NOT_CHECKED",0,10)</f>
        <v/>
      </c>
      <c r="V19" s="7">
        <f>IF(U19=100,T19,"")</f>
        <v/>
      </c>
      <c r="W19" s="7">
        <f>T19</f>
        <v/>
      </c>
      <c r="X19" s="7">
        <f>T19+(100-U19)</f>
        <v/>
      </c>
      <c r="Y19" s="3" t="inlineStr">
        <is>
          <t>ISSUE-0024</t>
        </is>
      </c>
      <c r="Z19" s="3" t="inlineStr">
        <is>
          <t>D:\Shopify_Workspace\jeminise_seo\seo_runs\jeminise.com\20260906_234129\qa\20260907_204400\images\133_06.jpg; seo_runs\jeminise.com\20260906_234129\evidence\images\133_desert-cactus-printed-quilt-set-vibrant-cactus-flower-quilt\image_06_47825518723271.jpg; seo_runs\jeminise.com\20260906_234129\evidence\contact_sheets\133_desert-cactus-printed-quilt-set-vibrant-cactus-flower-quilt.jpg</t>
        </is>
      </c>
    </row>
    <row r="20" ht="66" customHeight="1">
      <c r="A20" s="2" t="inlineStr">
        <is>
          <t>jeminise.com+desert-cactus-printed-quilt-set-vibrant-cactus-flower-quilt</t>
        </is>
      </c>
      <c r="B20" s="2" t="inlineStr">
        <is>
          <t>img_55738cbc87f53e76</t>
        </is>
      </c>
      <c r="C20" s="4" t="inlineStr">
        <is>
          <t>https://cdn.shopify.com/s/files/1/0792/5098/1063/files/5543644914bca33c40a05890a0699223f8c959e37ebf0cdfce48d84372b70230.jpg?v=1786561918</t>
        </is>
      </c>
      <c r="D20" s="4" t="inlineStr">
        <is>
          <t>https://cdn.shopify.com/s/files/1/0792/5098/1063/files/5543644914bca33c40a05890a0699223f8c959e37ebf0cdfce48d84372b70230.jpg?v=1786561918</t>
        </is>
      </c>
      <c r="E20" s="2" t="inlineStr">
        <is>
          <t>47825518756039</t>
        </is>
      </c>
      <c r="F20" s="2" t="inlineStr">
        <is>
          <t>47825518756039</t>
        </is>
      </c>
      <c r="G20" s="2" t="inlineStr"/>
      <c r="H20" s="2" t="inlineStr">
        <is>
          <t>GALLERY</t>
        </is>
      </c>
      <c r="I20" s="2" t="inlineStr">
        <is>
          <t>DIRECT_IMAGE_DOWNLOAD_AND_SOURCE_ROW_REVIEW</t>
        </is>
      </c>
      <c r="J20" s="2" t="inlineStr">
        <is>
          <t>2026-09-07T20:46:57+07:00</t>
        </is>
      </c>
      <c r="K20" s="2" t="inlineStr">
        <is>
          <t>Direct QA opened downloaded image 133_07; source SHA BBAEF670676B8C11DEA58F4E2F25945A6833608B1F8DA0DC5F875DCBD47FC635. Submitted observation reviewed against gallery position.</t>
        </is>
      </c>
      <c r="L20" s="2" t="inlineStr">
        <is>
          <t>Additional lifestyle, feature or product detail image showing desert cactus flower patchwork quilt.</t>
        </is>
      </c>
      <c r="M20" s="2" t="inlineStr">
        <is>
          <t>UNKNOWN</t>
        </is>
      </c>
      <c r="N20" s="2" t="inlineStr">
        <is>
          <t>SET</t>
        </is>
      </c>
      <c r="O20" s="2" t="inlineStr">
        <is>
          <t>Additional product mockup of Desert Cactus Flower Patchwork Quilt</t>
        </is>
      </c>
      <c r="P20" s="2" t="inlineStr">
        <is>
          <t>FULL</t>
        </is>
      </c>
      <c r="Q20" s="2" t="inlineStr">
        <is>
          <t>PARTIAL</t>
        </is>
      </c>
      <c r="R20" s="2" t="inlineStr">
        <is>
          <t>FULL</t>
        </is>
      </c>
      <c r="S20" s="2" t="inlineStr">
        <is>
          <t>FULL</t>
        </is>
      </c>
      <c r="T20" s="5">
        <f>IF(P20="FULL",40,IF(P20="PARTIAL",40/2,0))+IF(Q20="FULL",30,IF(Q20="PARTIAL",30/2,0))+IF(R20="FULL",20,IF(R20="PARTIAL",20/2,0))+IF(S20="FULL",10,IF(S20="PARTIAL",10/2,0))</f>
        <v/>
      </c>
      <c r="U20" s="5">
        <f>IF(P20="NOT_CHECKED",0,40)+IF(Q20="NOT_CHECKED",0,30)+IF(R20="NOT_CHECKED",0,20)+IF(S20="NOT_CHECKED",0,10)</f>
        <v/>
      </c>
      <c r="V20" s="5">
        <f>IF(U20=100,T20,"")</f>
        <v/>
      </c>
      <c r="W20" s="5">
        <f>T20</f>
        <v/>
      </c>
      <c r="X20" s="5">
        <f>T20+(100-U20)</f>
        <v/>
      </c>
      <c r="Y20" s="2" t="inlineStr">
        <is>
          <t>ISSUE-0025</t>
        </is>
      </c>
      <c r="Z20" s="2" t="inlineStr">
        <is>
          <t>D:\Shopify_Workspace\jeminise_seo\seo_runs\jeminise.com\20260906_234129\qa\20260907_204400\images\133_07.jpg; seo_runs\jeminise.com\20260906_234129\evidence\images\133_desert-cactus-printed-quilt-set-vibrant-cactus-flower-quilt\image_07_47825518756039.jpg; seo_runs\jeminise.com\20260906_234129\evidence\contact_sheets\133_desert-cactus-printed-quilt-set-vibrant-cactus-flower-quilt.jpg</t>
        </is>
      </c>
    </row>
    <row r="21" ht="66" customHeight="1">
      <c r="A21" s="3" t="inlineStr">
        <is>
          <t>jeminise.com+dragonfly-couple-quilt-set-dragonflies-patchwork-style-quilt-set</t>
        </is>
      </c>
      <c r="B21" s="3" t="inlineStr">
        <is>
          <t>img_171afeff95b2bb76</t>
        </is>
      </c>
      <c r="C21" s="4" t="inlineStr">
        <is>
          <t>https://cdn.shopify.com/s/files/1/0792/5098/1063/files/47c6483ee1ab65c91b228997718a0cc0a8da1a6a6088e37b690c9477e05a9ae2.jpg?v=1787233856</t>
        </is>
      </c>
      <c r="D21" s="4" t="inlineStr">
        <is>
          <t>https://cdn.shopify.com/s/files/1/0792/5098/1063/files/47c6483ee1ab65c91b228997718a0cc0a8da1a6a6088e37b690c9477e05a9ae2.jpg?v=1787233856</t>
        </is>
      </c>
      <c r="E21" s="3" t="inlineStr">
        <is>
          <t>47933475848391</t>
        </is>
      </c>
      <c r="F21" s="3" t="inlineStr">
        <is>
          <t>47933475848391</t>
        </is>
      </c>
      <c r="G21" s="3" t="inlineStr"/>
      <c r="H21" s="3" t="inlineStr">
        <is>
          <t>GALLERY</t>
        </is>
      </c>
      <c r="I21" s="3" t="inlineStr">
        <is>
          <t>DIRECT_IMAGE_DOWNLOAD_AND_SOURCE_ROW_REVIEW</t>
        </is>
      </c>
      <c r="J21" s="3" t="inlineStr">
        <is>
          <t>2026-09-07T20:46:57+07:00</t>
        </is>
      </c>
      <c r="K21" s="3" t="inlineStr">
        <is>
          <t>Direct QA opened downloaded image 134_01; source SHA 973C5B2AE02DAF2C057682DD35CD8451A5460870AABDA20D19B471884E7E1D69. Submitted observation reviewed against gallery position.</t>
        </is>
      </c>
      <c r="L21" s="3" t="inlineStr">
        <is>
          <t>Main product mockup showing purple floral dragonfly stained glass quilt.</t>
        </is>
      </c>
      <c r="M21" s="3" t="inlineStr">
        <is>
          <t>UNKNOWN</t>
        </is>
      </c>
      <c r="N21" s="3" t="inlineStr">
        <is>
          <t>SET</t>
        </is>
      </c>
      <c r="O21" s="3" t="inlineStr">
        <is>
          <t>Purple Floral Dragonfly Stained Glass Quilt displayed in a main product mockup</t>
        </is>
      </c>
      <c r="P21" s="3" t="inlineStr">
        <is>
          <t>FULL</t>
        </is>
      </c>
      <c r="Q21" s="3" t="inlineStr">
        <is>
          <t>FULL</t>
        </is>
      </c>
      <c r="R21" s="3" t="inlineStr">
        <is>
          <t>PARTIAL</t>
        </is>
      </c>
      <c r="S21" s="3" t="inlineStr">
        <is>
          <t>FULL</t>
        </is>
      </c>
      <c r="T21" s="7">
        <f>IF(P21="FULL",40,IF(P21="PARTIAL",40/2,0))+IF(Q21="FULL",30,IF(Q21="PARTIAL",30/2,0))+IF(R21="FULL",20,IF(R21="PARTIAL",20/2,0))+IF(S21="FULL",10,IF(S21="PARTIAL",10/2,0))</f>
        <v/>
      </c>
      <c r="U21" s="7">
        <f>IF(P21="NOT_CHECKED",0,40)+IF(Q21="NOT_CHECKED",0,30)+IF(R21="NOT_CHECKED",0,20)+IF(S21="NOT_CHECKED",0,10)</f>
        <v/>
      </c>
      <c r="V21" s="7">
        <f>IF(U21=100,T21,"")</f>
        <v/>
      </c>
      <c r="W21" s="7">
        <f>T21</f>
        <v/>
      </c>
      <c r="X21" s="7">
        <f>T21+(100-U21)</f>
        <v/>
      </c>
      <c r="Y21" s="3" t="inlineStr">
        <is>
          <t>ISSUE-0030</t>
        </is>
      </c>
      <c r="Z21" s="3" t="inlineStr">
        <is>
          <t>D:\Shopify_Workspace\jeminise_seo\seo_runs\jeminise.com\20260906_234129\qa\20260907_204400\images\134_01.jpg; seo_runs\jeminise.com\20260906_234129\evidence\images\134_dragonfly-couple-quilt-set-dragonflies-patchwork-style-quilt-set\image_01_47933475848391.jpg; seo_runs\jeminise.com\20260906_234129\evidence\contact_sheets\134_dragonfly-couple-quilt-set-dragonflies-patchwork-style-quilt-set.jpg</t>
        </is>
      </c>
    </row>
    <row r="22" ht="66" customHeight="1">
      <c r="A22" s="2" t="inlineStr">
        <is>
          <t>jeminise.com+dragonfly-couple-quilt-set-dragonflies-patchwork-style-quilt-set</t>
        </is>
      </c>
      <c r="B22" s="2" t="inlineStr">
        <is>
          <t>img_f7765aae2774ebd3</t>
        </is>
      </c>
      <c r="C22" s="4" t="inlineStr">
        <is>
          <t>https://cdn.shopify.com/s/files/1/0792/5098/1063/files/efc5152e4c8a285d84e6f2d2bab86d8c8a07687c04a6497618899981e7a4ee8f.jpg?v=1787233856</t>
        </is>
      </c>
      <c r="D22" s="4" t="inlineStr">
        <is>
          <t>https://cdn.shopify.com/s/files/1/0792/5098/1063/files/efc5152e4c8a285d84e6f2d2bab86d8c8a07687c04a6497618899981e7a4ee8f.jpg?v=1787233856</t>
        </is>
      </c>
      <c r="E22" s="2" t="inlineStr">
        <is>
          <t>47933475881159</t>
        </is>
      </c>
      <c r="F22" s="2" t="inlineStr">
        <is>
          <t>47933475881159</t>
        </is>
      </c>
      <c r="G22" s="2" t="inlineStr"/>
      <c r="H22" s="2" t="inlineStr">
        <is>
          <t>GALLERY</t>
        </is>
      </c>
      <c r="I22" s="2" t="inlineStr">
        <is>
          <t>DIRECT_IMAGE_DOWNLOAD_AND_SOURCE_ROW_REVIEW</t>
        </is>
      </c>
      <c r="J22" s="2" t="inlineStr">
        <is>
          <t>2026-09-07T20:46:57+07:00</t>
        </is>
      </c>
      <c r="K22" s="2" t="inlineStr">
        <is>
          <t>Direct QA opened downloaded image 134_02; source SHA 771F724582B9EAC71AF38920E098D1B1DBBE8ECCDD41011F390C20289276638B. Submitted observation reviewed against gallery position.</t>
        </is>
      </c>
      <c r="L22" s="2" t="inlineStr">
        <is>
          <t>Secondary flat, close-up or bedroom mockup showing purple floral dragonfly stained glass quilt.</t>
        </is>
      </c>
      <c r="M22" s="2" t="inlineStr">
        <is>
          <t>UNKNOWN</t>
        </is>
      </c>
      <c r="N22" s="2" t="inlineStr">
        <is>
          <t>SET</t>
        </is>
      </c>
      <c r="O22" s="2" t="inlineStr">
        <is>
          <t>Secondary mockup of Purple Floral Dragonfly Stained Glass Quilt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5">
        <f>IF(P22="FULL",40,IF(P22="PARTIAL",40/2,0))+IF(Q22="FULL",30,IF(Q22="PARTIAL",30/2,0))+IF(R22="FULL",20,IF(R22="PARTIAL",20/2,0))+IF(S22="FULL",10,IF(S22="PARTIAL",10/2,0))</f>
        <v/>
      </c>
      <c r="U22" s="5">
        <f>IF(P22="NOT_CHECKED",0,40)+IF(Q22="NOT_CHECKED",0,30)+IF(R22="NOT_CHECKED",0,20)+IF(S22="NOT_CHECKED",0,10)</f>
        <v/>
      </c>
      <c r="V22" s="5">
        <f>IF(U22=100,T22,"")</f>
        <v/>
      </c>
      <c r="W22" s="5">
        <f>T22</f>
        <v/>
      </c>
      <c r="X22" s="5">
        <f>T22+(100-U22)</f>
        <v/>
      </c>
      <c r="Y22" s="2" t="inlineStr"/>
      <c r="Z22" s="2" t="inlineStr">
        <is>
          <t>D:\Shopify_Workspace\jeminise_seo\seo_runs\jeminise.com\20260906_234129\qa\20260907_204400\images\134_02.jpg; seo_runs\jeminise.com\20260906_234129\evidence\images\134_dragonfly-couple-quilt-set-dragonflies-patchwork-style-quilt-set\image_02_47933475881159.jpg; seo_runs\jeminise.com\20260906_234129\evidence\contact_sheets\134_dragonfly-couple-quilt-set-dragonflies-patchwork-style-quilt-set.jpg</t>
        </is>
      </c>
    </row>
    <row r="23" ht="66" customHeight="1">
      <c r="A23" s="3" t="inlineStr">
        <is>
          <t>jeminise.com+dragonfly-couple-quilt-set-dragonflies-patchwork-style-quilt-set</t>
        </is>
      </c>
      <c r="B23" s="3" t="inlineStr">
        <is>
          <t>img_fc487659c17dede3</t>
        </is>
      </c>
      <c r="C23" s="4" t="inlineStr">
        <is>
          <t>https://cdn.shopify.com/s/files/1/0792/5098/1063/files/bf06e1f47640ab41f6349ea23cfc1c3bae238992330f5e4c262c972e44347eac.jpg?v=1787233855</t>
        </is>
      </c>
      <c r="D23" s="4" t="inlineStr">
        <is>
          <t>https://cdn.shopify.com/s/files/1/0792/5098/1063/files/bf06e1f47640ab41f6349ea23cfc1c3bae238992330f5e4c262c972e44347eac.jpg?v=1787233855</t>
        </is>
      </c>
      <c r="E23" s="3" t="inlineStr">
        <is>
          <t>47933475913927</t>
        </is>
      </c>
      <c r="F23" s="3" t="inlineStr">
        <is>
          <t>47933475913927</t>
        </is>
      </c>
      <c r="G23" s="3" t="inlineStr"/>
      <c r="H23" s="3" t="inlineStr">
        <is>
          <t>GALLERY</t>
        </is>
      </c>
      <c r="I23" s="3" t="inlineStr">
        <is>
          <t>DIRECT_IMAGE_DOWNLOAD_AND_SOURCE_ROW_REVIEW</t>
        </is>
      </c>
      <c r="J23" s="3" t="inlineStr">
        <is>
          <t>2026-09-07T20:46:57+07:00</t>
        </is>
      </c>
      <c r="K23" s="3" t="inlineStr">
        <is>
          <t>Direct QA opened downloaded image 134_03; source SHA D7D333D7DC820B36E5E369259AB790C127838B1DEFE714308D674E6444EA3F24. Submitted observation reviewed against gallery position.</t>
        </is>
      </c>
      <c r="L23" s="3" t="inlineStr">
        <is>
          <t>Bedding type, feature, lifestyle or material image for purple floral dragonfly stained glass quilt.</t>
        </is>
      </c>
      <c r="M23" s="3" t="inlineStr">
        <is>
          <t>UNKNOWN</t>
        </is>
      </c>
      <c r="N23" s="3" t="inlineStr">
        <is>
          <t>SET</t>
        </is>
      </c>
      <c r="O23" s="3" t="inlineStr">
        <is>
          <t>Product option, feature or lifestyle image for Purple Floral Dragonfly Stained Glass Quilt</t>
        </is>
      </c>
      <c r="P23" s="3" t="inlineStr">
        <is>
          <t>FULL</t>
        </is>
      </c>
      <c r="Q23" s="3" t="inlineStr">
        <is>
          <t>PARTIAL</t>
        </is>
      </c>
      <c r="R23" s="3" t="inlineStr">
        <is>
          <t>FULL</t>
        </is>
      </c>
      <c r="S23" s="3" t="inlineStr">
        <is>
          <t>FULL</t>
        </is>
      </c>
      <c r="T23" s="7">
        <f>IF(P23="FULL",40,IF(P23="PARTIAL",40/2,0))+IF(Q23="FULL",30,IF(Q23="PARTIAL",30/2,0))+IF(R23="FULL",20,IF(R23="PARTIAL",20/2,0))+IF(S23="FULL",10,IF(S23="PARTIAL",10/2,0))</f>
        <v/>
      </c>
      <c r="U23" s="7">
        <f>IF(P23="NOT_CHECKED",0,40)+IF(Q23="NOT_CHECKED",0,30)+IF(R23="NOT_CHECKED",0,20)+IF(S23="NOT_CHECKED",0,10)</f>
        <v/>
      </c>
      <c r="V23" s="7">
        <f>IF(U23=100,T23,"")</f>
        <v/>
      </c>
      <c r="W23" s="7">
        <f>T23</f>
        <v/>
      </c>
      <c r="X23" s="7">
        <f>T23+(100-U23)</f>
        <v/>
      </c>
      <c r="Y23" s="3" t="inlineStr">
        <is>
          <t>ISSUE-0031</t>
        </is>
      </c>
      <c r="Z23" s="3" t="inlineStr">
        <is>
          <t>D:\Shopify_Workspace\jeminise_seo\seo_runs\jeminise.com\20260906_234129\qa\20260907_204400\images\134_03.jpg; seo_runs\jeminise.com\20260906_234129\evidence\images\134_dragonfly-couple-quilt-set-dragonflies-patchwork-style-quilt-set\image_03_47933475913927.jpg; seo_runs\jeminise.com\20260906_234129\evidence\contact_sheets\134_dragonfly-couple-quilt-set-dragonflies-patchwork-style-quilt-set.jpg</t>
        </is>
      </c>
    </row>
    <row r="24" ht="66" customHeight="1">
      <c r="A24" s="2" t="inlineStr">
        <is>
          <t>jeminise.com+dragonfly-couple-quilt-set-dragonflies-patchwork-style-quilt-set</t>
        </is>
      </c>
      <c r="B24" s="2" t="inlineStr">
        <is>
          <t>img_1bf16ccc8f8c2a0a</t>
        </is>
      </c>
      <c r="C24" s="4" t="inlineStr">
        <is>
          <t>https://cdn.shopify.com/s/files/1/0792/5098/1063/files/715de32d7afbcdbcdccd59fdb7334d2bab5db33086e0e81085bac9eba261c296.jpg?v=1787233855</t>
        </is>
      </c>
      <c r="D24" s="4" t="inlineStr">
        <is>
          <t>https://cdn.shopify.com/s/files/1/0792/5098/1063/files/715de32d7afbcdbcdccd59fdb7334d2bab5db33086e0e81085bac9eba261c296.jpg?v=1787233855</t>
        </is>
      </c>
      <c r="E24" s="2" t="inlineStr">
        <is>
          <t>47933475946695</t>
        </is>
      </c>
      <c r="F24" s="2" t="inlineStr">
        <is>
          <t>47933475946695</t>
        </is>
      </c>
      <c r="G24" s="2" t="inlineStr"/>
      <c r="H24" s="2" t="inlineStr">
        <is>
          <t>GALLERY</t>
        </is>
      </c>
      <c r="I24" s="2" t="inlineStr">
        <is>
          <t>DIRECT_IMAGE_DOWNLOAD_AND_SOURCE_ROW_REVIEW</t>
        </is>
      </c>
      <c r="J24" s="2" t="inlineStr">
        <is>
          <t>2026-09-07T20:46:57+07:00</t>
        </is>
      </c>
      <c r="K24" s="2" t="inlineStr">
        <is>
          <t>Direct QA opened downloaded image 134_04; source SHA 4B9F6C3E465F6DCC046D94C25343263E2C2A53578884B58366E84BC63F9006AF. Submitted observation reviewed against gallery position.</t>
        </is>
      </c>
      <c r="L24" s="2" t="inlineStr">
        <is>
          <t>Detail, feature panel or lifestyle image connected to purple floral dragonfly stained glass quilt.</t>
        </is>
      </c>
      <c r="M24" s="2" t="inlineStr">
        <is>
          <t>UNKNOWN</t>
        </is>
      </c>
      <c r="N24" s="2" t="inlineStr">
        <is>
          <t>SET</t>
        </is>
      </c>
      <c r="O24" s="2" t="inlineStr">
        <is>
          <t>Detail or feature image for Purple Floral Dragonfly Stained Glass Quilt</t>
        </is>
      </c>
      <c r="P24" s="2" t="inlineStr">
        <is>
          <t>FULL</t>
        </is>
      </c>
      <c r="Q24" s="2" t="inlineStr">
        <is>
          <t>PARTIAL</t>
        </is>
      </c>
      <c r="R24" s="2" t="inlineStr">
        <is>
          <t>FULL</t>
        </is>
      </c>
      <c r="S24" s="2" t="inlineStr">
        <is>
          <t>FULL</t>
        </is>
      </c>
      <c r="T24" s="5">
        <f>IF(P24="FULL",40,IF(P24="PARTIAL",40/2,0))+IF(Q24="FULL",30,IF(Q24="PARTIAL",30/2,0))+IF(R24="FULL",20,IF(R24="PARTIAL",20/2,0))+IF(S24="FULL",10,IF(S24="PARTIAL",10/2,0))</f>
        <v/>
      </c>
      <c r="U24" s="5">
        <f>IF(P24="NOT_CHECKED",0,40)+IF(Q24="NOT_CHECKED",0,30)+IF(R24="NOT_CHECKED",0,20)+IF(S24="NOT_CHECKED",0,10)</f>
        <v/>
      </c>
      <c r="V24" s="5">
        <f>IF(U24=100,T24,"")</f>
        <v/>
      </c>
      <c r="W24" s="5">
        <f>T24</f>
        <v/>
      </c>
      <c r="X24" s="5">
        <f>T24+(100-U24)</f>
        <v/>
      </c>
      <c r="Y24" s="2" t="inlineStr">
        <is>
          <t>ISSUE-0032</t>
        </is>
      </c>
      <c r="Z24" s="2" t="inlineStr">
        <is>
          <t>D:\Shopify_Workspace\jeminise_seo\seo_runs\jeminise.com\20260906_234129\qa\20260907_204400\images\134_04.jpg; seo_runs\jeminise.com\20260906_234129\evidence\images\134_dragonfly-couple-quilt-set-dragonflies-patchwork-style-quilt-set\image_04_47933475946695.jpg; seo_runs\jeminise.com\20260906_234129\evidence\contact_sheets\134_dragonfly-couple-quilt-set-dragonflies-patchwork-style-quilt-set.jpg</t>
        </is>
      </c>
    </row>
    <row r="25" ht="66" customHeight="1">
      <c r="A25" s="3" t="inlineStr">
        <is>
          <t>jeminise.com+dragonfly-couple-quilt-set-dragonflies-patchwork-style-quilt-set</t>
        </is>
      </c>
      <c r="B25" s="3" t="inlineStr">
        <is>
          <t>img_f2ee81c25f35edb9</t>
        </is>
      </c>
      <c r="C25" s="4" t="inlineStr">
        <is>
          <t>https://cdn.shopify.com/s/files/1/0792/5098/1063/files/99bb19dc6974deae31c36ecd466bd7d553ae5d252b0863124e1eb70416184445.jpg?v=1787233855</t>
        </is>
      </c>
      <c r="D25" s="4" t="inlineStr">
        <is>
          <t>https://cdn.shopify.com/s/files/1/0792/5098/1063/files/99bb19dc6974deae31c36ecd466bd7d553ae5d252b0863124e1eb70416184445.jpg?v=1787233855</t>
        </is>
      </c>
      <c r="E25" s="3" t="inlineStr">
        <is>
          <t>47933475979463</t>
        </is>
      </c>
      <c r="F25" s="3" t="inlineStr">
        <is>
          <t>47933475979463</t>
        </is>
      </c>
      <c r="G25" s="3" t="inlineStr"/>
      <c r="H25" s="3" t="inlineStr">
        <is>
          <t>GALLERY</t>
        </is>
      </c>
      <c r="I25" s="3" t="inlineStr">
        <is>
          <t>DIRECT_IMAGE_DOWNLOAD_AND_SOURCE_ROW_REVIEW</t>
        </is>
      </c>
      <c r="J25" s="3" t="inlineStr">
        <is>
          <t>2026-09-07T20:46:57+07:00</t>
        </is>
      </c>
      <c r="K25" s="3" t="inlineStr">
        <is>
          <t>Direct QA opened downloaded image 134_05; source SHA 18461F4E9A77F328ACB91E948A9602655F3F3EEEA595B984C5810B81BE3724EA. Submitted observation reviewed against gallery position.</t>
        </is>
      </c>
      <c r="L25" s="3" t="inlineStr">
        <is>
          <t>Additional mockup, care or size information for purple floral dragonfly stained glass quilt.</t>
        </is>
      </c>
      <c r="M25" s="3" t="inlineStr">
        <is>
          <t>UNKNOWN</t>
        </is>
      </c>
      <c r="N25" s="3" t="inlineStr">
        <is>
          <t>SET</t>
        </is>
      </c>
      <c r="O25" s="3" t="inlineStr">
        <is>
          <t>Additional product mockup or care information for Purple Floral Dragonfly Stained Glass Quilt</t>
        </is>
      </c>
      <c r="P25" s="3" t="inlineStr">
        <is>
          <t>FULL</t>
        </is>
      </c>
      <c r="Q25" s="3" t="inlineStr">
        <is>
          <t>FULL</t>
        </is>
      </c>
      <c r="R25" s="3" t="inlineStr">
        <is>
          <t>FULL</t>
        </is>
      </c>
      <c r="S25" s="3" t="inlineStr">
        <is>
          <t>FULL</t>
        </is>
      </c>
      <c r="T25" s="7">
        <f>IF(P25="FULL",40,IF(P25="PARTIAL",40/2,0))+IF(Q25="FULL",30,IF(Q25="PARTIAL",30/2,0))+IF(R25="FULL",20,IF(R25="PARTIAL",20/2,0))+IF(S25="FULL",10,IF(S25="PARTIAL",10/2,0))</f>
        <v/>
      </c>
      <c r="U25" s="7">
        <f>IF(P25="NOT_CHECKED",0,40)+IF(Q25="NOT_CHECKED",0,30)+IF(R25="NOT_CHECKED",0,20)+IF(S25="NOT_CHECKED",0,10)</f>
        <v/>
      </c>
      <c r="V25" s="7">
        <f>IF(U25=100,T25,"")</f>
        <v/>
      </c>
      <c r="W25" s="7">
        <f>T25</f>
        <v/>
      </c>
      <c r="X25" s="7">
        <f>T25+(100-U25)</f>
        <v/>
      </c>
      <c r="Y25" s="3" t="inlineStr"/>
      <c r="Z25" s="3" t="inlineStr">
        <is>
          <t>D:\Shopify_Workspace\jeminise_seo\seo_runs\jeminise.com\20260906_234129\qa\20260907_204400\images\134_05.jpg; seo_runs\jeminise.com\20260906_234129\evidence\images\134_dragonfly-couple-quilt-set-dragonflies-patchwork-style-quilt-set\image_05_47933475979463.jpg; seo_runs\jeminise.com\20260906_234129\evidence\contact_sheets\134_dragonfly-couple-quilt-set-dragonflies-patchwork-style-quilt-set.jpg</t>
        </is>
      </c>
    </row>
    <row r="26" ht="66" customHeight="1">
      <c r="A26" s="2" t="inlineStr">
        <is>
          <t>jeminise.com+dragonfly-couple-quilt-set-dragonflies-patchwork-style-quilt-set</t>
        </is>
      </c>
      <c r="B26" s="2" t="inlineStr">
        <is>
          <t>img_baa766d4d297a4a0</t>
        </is>
      </c>
      <c r="C26" s="4" t="inlineStr">
        <is>
          <t>https://cdn.shopify.com/s/files/1/0792/5098/1063/files/9404919a01bcbd7e3a5ae5257a7d2e63c57ce78db2ed1cfa3f97866785ab25b6.jpg?v=1787233856</t>
        </is>
      </c>
      <c r="D26" s="4" t="inlineStr">
        <is>
          <t>https://cdn.shopify.com/s/files/1/0792/5098/1063/files/9404919a01bcbd7e3a5ae5257a7d2e63c57ce78db2ed1cfa3f97866785ab25b6.jpg?v=1787233856</t>
        </is>
      </c>
      <c r="E26" s="2" t="inlineStr">
        <is>
          <t>47933476012231</t>
        </is>
      </c>
      <c r="F26" s="2" t="inlineStr">
        <is>
          <t>47933476012231</t>
        </is>
      </c>
      <c r="G26" s="2" t="inlineStr"/>
      <c r="H26" s="2" t="inlineStr">
        <is>
          <t>GALLERY</t>
        </is>
      </c>
      <c r="I26" s="2" t="inlineStr">
        <is>
          <t>DIRECT_IMAGE_DOWNLOAD_AND_SOURCE_ROW_REVIEW</t>
        </is>
      </c>
      <c r="J26" s="2" t="inlineStr">
        <is>
          <t>2026-09-07T20:46:57+07:00</t>
        </is>
      </c>
      <c r="K26" s="2" t="inlineStr">
        <is>
          <t>Direct QA opened downloaded image 134_06; source SHA A4A78E476F695A8E9FC96D462A18C3663FD55C3FB528F201AC8AAB798295F514. Submitted observation reviewed against gallery position.</t>
        </is>
      </c>
      <c r="L26" s="2" t="inlineStr">
        <is>
          <t>Easy-care, size guide or product feature image for purple floral dragonfly stained glass quilt.</t>
        </is>
      </c>
      <c r="M26" s="2" t="inlineStr">
        <is>
          <t>UNKNOWN</t>
        </is>
      </c>
      <c r="N26" s="2" t="inlineStr">
        <is>
          <t>SET</t>
        </is>
      </c>
      <c r="O26" s="2" t="inlineStr">
        <is>
          <t>Care, size or product feature image for Purple Floral Dragonfly Stained Glass Quilt</t>
        </is>
      </c>
      <c r="P26" s="2" t="inlineStr">
        <is>
          <t>FULL</t>
        </is>
      </c>
      <c r="Q26" s="2" t="inlineStr">
        <is>
          <t>PARTIAL</t>
        </is>
      </c>
      <c r="R26" s="2" t="inlineStr">
        <is>
          <t>FULL</t>
        </is>
      </c>
      <c r="S26" s="2" t="inlineStr">
        <is>
          <t>FULL</t>
        </is>
      </c>
      <c r="T26" s="5">
        <f>IF(P26="FULL",40,IF(P26="PARTIAL",40/2,0))+IF(Q26="FULL",30,IF(Q26="PARTIAL",30/2,0))+IF(R26="FULL",20,IF(R26="PARTIAL",20/2,0))+IF(S26="FULL",10,IF(S26="PARTIAL",10/2,0))</f>
        <v/>
      </c>
      <c r="U26" s="5">
        <f>IF(P26="NOT_CHECKED",0,40)+IF(Q26="NOT_CHECKED",0,30)+IF(R26="NOT_CHECKED",0,20)+IF(S26="NOT_CHECKED",0,10)</f>
        <v/>
      </c>
      <c r="V26" s="5">
        <f>IF(U26=100,T26,"")</f>
        <v/>
      </c>
      <c r="W26" s="5">
        <f>T26</f>
        <v/>
      </c>
      <c r="X26" s="5">
        <f>T26+(100-U26)</f>
        <v/>
      </c>
      <c r="Y26" s="2" t="inlineStr">
        <is>
          <t>ISSUE-0033</t>
        </is>
      </c>
      <c r="Z26" s="2" t="inlineStr">
        <is>
          <t>D:\Shopify_Workspace\jeminise_seo\seo_runs\jeminise.com\20260906_234129\qa\20260907_204400\images\134_06.jpg; seo_runs\jeminise.com\20260906_234129\evidence\images\134_dragonfly-couple-quilt-set-dragonflies-patchwork-style-quilt-set\image_06_47933476012231.jpg; seo_runs\jeminise.com\20260906_234129\evidence\contact_sheets\134_dragonfly-couple-quilt-set-dragonflies-patchwork-style-quilt-set.jpg</t>
        </is>
      </c>
    </row>
    <row r="27" ht="66" customHeight="1">
      <c r="A27" s="3" t="inlineStr">
        <is>
          <t>jeminise.com+dragonfly-couple-quilt-set-dragonflies-patchwork-style-quilt-set</t>
        </is>
      </c>
      <c r="B27" s="3" t="inlineStr">
        <is>
          <t>img_885477fce429e4c5</t>
        </is>
      </c>
      <c r="C27" s="4" t="inlineStr">
        <is>
          <t>https://cdn.shopify.com/s/files/1/0792/5098/1063/files/9438bd0b254e39afefe0691fc5b9204b7fa60c973f6629008d8a6fcb54ef273c.jpg?v=1787233856</t>
        </is>
      </c>
      <c r="D27" s="4" t="inlineStr">
        <is>
          <t>https://cdn.shopify.com/s/files/1/0792/5098/1063/files/9438bd0b254e39afefe0691fc5b9204b7fa60c973f6629008d8a6fcb54ef273c.jpg?v=1787233856</t>
        </is>
      </c>
      <c r="E27" s="3" t="inlineStr">
        <is>
          <t>47933476044999</t>
        </is>
      </c>
      <c r="F27" s="3" t="inlineStr">
        <is>
          <t>47933476044999</t>
        </is>
      </c>
      <c r="G27" s="3" t="inlineStr"/>
      <c r="H27" s="3" t="inlineStr">
        <is>
          <t>GALLERY</t>
        </is>
      </c>
      <c r="I27" s="3" t="inlineStr">
        <is>
          <t>DIRECT_IMAGE_DOWNLOAD_AND_SOURCE_ROW_REVIEW</t>
        </is>
      </c>
      <c r="J27" s="3" t="inlineStr">
        <is>
          <t>2026-09-07T20:46:57+07:00</t>
        </is>
      </c>
      <c r="K27" s="3" t="inlineStr">
        <is>
          <t>Direct QA opened downloaded image 134_07; source SHA 8554FD8CF5B799A459D2BDC212278F35A6996CDF4EC7341BD1138583515F7658. Submitted observation reviewed against gallery position.</t>
        </is>
      </c>
      <c r="L27" s="3" t="inlineStr">
        <is>
          <t>Additional lifestyle, feature or product detail image showing purple floral dragonfly stained glass quilt.</t>
        </is>
      </c>
      <c r="M27" s="3" t="inlineStr">
        <is>
          <t>UNKNOWN</t>
        </is>
      </c>
      <c r="N27" s="3" t="inlineStr">
        <is>
          <t>SET</t>
        </is>
      </c>
      <c r="O27" s="3" t="inlineStr">
        <is>
          <t>Additional product mockup of Purple Floral Dragonfly Stained Glass Quilt</t>
        </is>
      </c>
      <c r="P27" s="3" t="inlineStr">
        <is>
          <t>FULL</t>
        </is>
      </c>
      <c r="Q27" s="3" t="inlineStr">
        <is>
          <t>PARTIAL</t>
        </is>
      </c>
      <c r="R27" s="3" t="inlineStr">
        <is>
          <t>FULL</t>
        </is>
      </c>
      <c r="S27" s="3" t="inlineStr">
        <is>
          <t>FULL</t>
        </is>
      </c>
      <c r="T27" s="7">
        <f>IF(P27="FULL",40,IF(P27="PARTIAL",40/2,0))+IF(Q27="FULL",30,IF(Q27="PARTIAL",30/2,0))+IF(R27="FULL",20,IF(R27="PARTIAL",20/2,0))+IF(S27="FULL",10,IF(S27="PARTIAL",10/2,0))</f>
        <v/>
      </c>
      <c r="U27" s="7">
        <f>IF(P27="NOT_CHECKED",0,40)+IF(Q27="NOT_CHECKED",0,30)+IF(R27="NOT_CHECKED",0,20)+IF(S27="NOT_CHECKED",0,10)</f>
        <v/>
      </c>
      <c r="V27" s="7">
        <f>IF(U27=100,T27,"")</f>
        <v/>
      </c>
      <c r="W27" s="7">
        <f>T27</f>
        <v/>
      </c>
      <c r="X27" s="7">
        <f>T27+(100-U27)</f>
        <v/>
      </c>
      <c r="Y27" s="3" t="inlineStr">
        <is>
          <t>ISSUE-0034</t>
        </is>
      </c>
      <c r="Z27" s="3" t="inlineStr">
        <is>
          <t>D:\Shopify_Workspace\jeminise_seo\seo_runs\jeminise.com\20260906_234129\qa\20260907_204400\images\134_07.jpg; seo_runs\jeminise.com\20260906_234129\evidence\images\134_dragonfly-couple-quilt-set-dragonflies-patchwork-style-quilt-set\image_07_47933476044999.jpg; seo_runs\jeminise.com\20260906_234129\evidence\contact_sheets\134_dragonfly-couple-quilt-set-dragonflies-patchwork-style-quilt-set.jpg</t>
        </is>
      </c>
    </row>
    <row r="28" ht="66" customHeight="1">
      <c r="A28" s="2" t="inlineStr">
        <is>
          <t>jeminise.com+dragonfly-patchwork-pattern-quilt-set-animal-style-dragonfly-quilt</t>
        </is>
      </c>
      <c r="B28" s="2" t="inlineStr">
        <is>
          <t>img_84bb7728327464ab</t>
        </is>
      </c>
      <c r="C28" s="4" t="inlineStr">
        <is>
          <t>https://cdn.shopify.com/s/files/1/0792/5098/1063/files/b404a8fba42f9d481701bdd09ae871424aa17c514ee39c8987c4253369610ee9.jpg?v=1787233627</t>
        </is>
      </c>
      <c r="D28" s="4" t="inlineStr">
        <is>
          <t>https://cdn.shopify.com/s/files/1/0792/5098/1063/files/b404a8fba42f9d481701bdd09ae871424aa17c514ee39c8987c4253369610ee9.jpg?v=1787233627</t>
        </is>
      </c>
      <c r="E28" s="2" t="inlineStr">
        <is>
          <t>47933455204551</t>
        </is>
      </c>
      <c r="F28" s="2" t="inlineStr">
        <is>
          <t>47933455204551</t>
        </is>
      </c>
      <c r="G28" s="2" t="inlineStr"/>
      <c r="H28" s="2" t="inlineStr">
        <is>
          <t>GALLERY</t>
        </is>
      </c>
      <c r="I28" s="2" t="inlineStr">
        <is>
          <t>DIRECT_IMAGE_DOWNLOAD_AND_SOURCE_ROW_REVIEW</t>
        </is>
      </c>
      <c r="J28" s="2" t="inlineStr">
        <is>
          <t>2026-09-07T20:46:57+07:00</t>
        </is>
      </c>
      <c r="K28" s="2" t="inlineStr">
        <is>
          <t>Direct QA opened downloaded image 135_01; source SHA 87A6D101B1D4132A4A5987B24D86A3F4BB9A1C3C018738C49BD72AACDD4FB05D. Submitted observation reviewed against gallery position.</t>
        </is>
      </c>
      <c r="L28" s="2" t="inlineStr">
        <is>
          <t>Main product mockup showing yellow pond dragonfly patchwork quilt.</t>
        </is>
      </c>
      <c r="M28" s="2" t="inlineStr">
        <is>
          <t>UNKNOWN</t>
        </is>
      </c>
      <c r="N28" s="2" t="inlineStr">
        <is>
          <t>SET</t>
        </is>
      </c>
      <c r="O28" s="2" t="inlineStr">
        <is>
          <t>Yellow Pond Dragonfly Patchwork Quilt displayed in a main product mockup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PARTIAL</t>
        </is>
      </c>
      <c r="S28" s="2" t="inlineStr">
        <is>
          <t>FULL</t>
        </is>
      </c>
      <c r="T28" s="5">
        <f>IF(P28="FULL",40,IF(P28="PARTIAL",40/2,0))+IF(Q28="FULL",30,IF(Q28="PARTIAL",30/2,0))+IF(R28="FULL",20,IF(R28="PARTIAL",20/2,0))+IF(S28="FULL",10,IF(S28="PARTIAL",10/2,0))</f>
        <v/>
      </c>
      <c r="U28" s="5">
        <f>IF(P28="NOT_CHECKED",0,40)+IF(Q28="NOT_CHECKED",0,30)+IF(R28="NOT_CHECKED",0,20)+IF(S28="NOT_CHECKED",0,10)</f>
        <v/>
      </c>
      <c r="V28" s="5">
        <f>IF(U28=100,T28,"")</f>
        <v/>
      </c>
      <c r="W28" s="5">
        <f>T28</f>
        <v/>
      </c>
      <c r="X28" s="5">
        <f>T28+(100-U28)</f>
        <v/>
      </c>
      <c r="Y28" s="2" t="inlineStr">
        <is>
          <t>ISSUE-0039</t>
        </is>
      </c>
      <c r="Z28" s="2" t="inlineStr">
        <is>
          <t>D:\Shopify_Workspace\jeminise_seo\seo_runs\jeminise.com\20260906_234129\qa\20260907_204400\images\135_01.jpg; seo_runs\jeminise.com\20260906_234129\evidence\images\135_dragonfly-patchwork-pattern-quilt-set-animal-style-dragonfly-quilt\image_01_47933455204551.jpg; seo_runs\jeminise.com\20260906_234129\evidence\contact_sheets\135_dragonfly-patchwork-pattern-quilt-set-animal-style-dragonfly-quilt.jpg</t>
        </is>
      </c>
    </row>
    <row r="29" ht="66" customHeight="1">
      <c r="A29" s="3" t="inlineStr">
        <is>
          <t>jeminise.com+dragonfly-patchwork-pattern-quilt-set-animal-style-dragonfly-quilt</t>
        </is>
      </c>
      <c r="B29" s="3" t="inlineStr">
        <is>
          <t>img_0421ab98f99dd0fd</t>
        </is>
      </c>
      <c r="C29" s="4" t="inlineStr">
        <is>
          <t>https://cdn.shopify.com/s/files/1/0792/5098/1063/files/30e2ca71a26358432e5d8ca7cf94f992f87a417fb02c8a43732fdff2acba3903.jpg?v=1787233626</t>
        </is>
      </c>
      <c r="D29" s="4" t="inlineStr">
        <is>
          <t>https://cdn.shopify.com/s/files/1/0792/5098/1063/files/30e2ca71a26358432e5d8ca7cf94f992f87a417fb02c8a43732fdff2acba3903.jpg?v=1787233626</t>
        </is>
      </c>
      <c r="E29" s="3" t="inlineStr">
        <is>
          <t>47933455237319</t>
        </is>
      </c>
      <c r="F29" s="3" t="inlineStr">
        <is>
          <t>47933455237319</t>
        </is>
      </c>
      <c r="G29" s="3" t="inlineStr"/>
      <c r="H29" s="3" t="inlineStr">
        <is>
          <t>GALLERY</t>
        </is>
      </c>
      <c r="I29" s="3" t="inlineStr">
        <is>
          <t>DIRECT_IMAGE_DOWNLOAD_AND_SOURCE_ROW_REVIEW</t>
        </is>
      </c>
      <c r="J29" s="3" t="inlineStr">
        <is>
          <t>2026-09-07T20:46:57+07:00</t>
        </is>
      </c>
      <c r="K29" s="3" t="inlineStr">
        <is>
          <t>Direct QA opened downloaded image 135_02; source SHA 9AB38C3EE8FEC5FC85140FA8D636E83A49289F66E79EC0C303C7B0AB117CD697. Submitted observation reviewed against gallery position.</t>
        </is>
      </c>
      <c r="L29" s="3" t="inlineStr">
        <is>
          <t>Secondary flat, close-up or bedroom mockup showing yellow pond dragonfly patchwork quilt.</t>
        </is>
      </c>
      <c r="M29" s="3" t="inlineStr">
        <is>
          <t>UNKNOWN</t>
        </is>
      </c>
      <c r="N29" s="3" t="inlineStr">
        <is>
          <t>SET</t>
        </is>
      </c>
      <c r="O29" s="3" t="inlineStr">
        <is>
          <t>Secondary mockup of Yellow Pond Dragonfly Patchwork Quilt</t>
        </is>
      </c>
      <c r="P29" s="3" t="inlineStr">
        <is>
          <t>FULL</t>
        </is>
      </c>
      <c r="Q29" s="3" t="inlineStr">
        <is>
          <t>FULL</t>
        </is>
      </c>
      <c r="R29" s="3" t="inlineStr">
        <is>
          <t>FULL</t>
        </is>
      </c>
      <c r="S29" s="3" t="inlineStr">
        <is>
          <t>FULL</t>
        </is>
      </c>
      <c r="T29" s="7">
        <f>IF(P29="FULL",40,IF(P29="PARTIAL",40/2,0))+IF(Q29="FULL",30,IF(Q29="PARTIAL",30/2,0))+IF(R29="FULL",20,IF(R29="PARTIAL",20/2,0))+IF(S29="FULL",10,IF(S29="PARTIAL",10/2,0))</f>
        <v/>
      </c>
      <c r="U29" s="7">
        <f>IF(P29="NOT_CHECKED",0,40)+IF(Q29="NOT_CHECKED",0,30)+IF(R29="NOT_CHECKED",0,20)+IF(S29="NOT_CHECKED",0,10)</f>
        <v/>
      </c>
      <c r="V29" s="7">
        <f>IF(U29=100,T29,"")</f>
        <v/>
      </c>
      <c r="W29" s="7">
        <f>T29</f>
        <v/>
      </c>
      <c r="X29" s="7">
        <f>T29+(100-U29)</f>
        <v/>
      </c>
      <c r="Y29" s="3" t="inlineStr"/>
      <c r="Z29" s="3" t="inlineStr">
        <is>
          <t>D:\Shopify_Workspace\jeminise_seo\seo_runs\jeminise.com\20260906_234129\qa\20260907_204400\images\135_02.jpg; seo_runs\jeminise.com\20260906_234129\evidence\images\135_dragonfly-patchwork-pattern-quilt-set-animal-style-dragonfly-quilt\image_02_47933455237319.jpg; seo_runs\jeminise.com\20260906_234129\evidence\contact_sheets\135_dragonfly-patchwork-pattern-quilt-set-animal-style-dragonfly-quilt.jpg</t>
        </is>
      </c>
    </row>
    <row r="30" ht="66" customHeight="1">
      <c r="A30" s="2" t="inlineStr">
        <is>
          <t>jeminise.com+dragonfly-patchwork-pattern-quilt-set-animal-style-dragonfly-quilt</t>
        </is>
      </c>
      <c r="B30" s="2" t="inlineStr">
        <is>
          <t>img_36dc89eeb237c8e2</t>
        </is>
      </c>
      <c r="C30" s="4" t="inlineStr">
        <is>
          <t>https://cdn.shopify.com/s/files/1/0792/5098/1063/files/955e2f8b7dd06bc9a7b584b35192cc1d3ac63df4802ab2407fd2d6b80268fb90.jpg?v=1787233626</t>
        </is>
      </c>
      <c r="D30" s="4" t="inlineStr">
        <is>
          <t>https://cdn.shopify.com/s/files/1/0792/5098/1063/files/955e2f8b7dd06bc9a7b584b35192cc1d3ac63df4802ab2407fd2d6b80268fb90.jpg?v=1787233626</t>
        </is>
      </c>
      <c r="E30" s="2" t="inlineStr">
        <is>
          <t>47933455270087</t>
        </is>
      </c>
      <c r="F30" s="2" t="inlineStr">
        <is>
          <t>47933455270087</t>
        </is>
      </c>
      <c r="G30" s="2" t="inlineStr"/>
      <c r="H30" s="2" t="inlineStr">
        <is>
          <t>GALLERY</t>
        </is>
      </c>
      <c r="I30" s="2" t="inlineStr">
        <is>
          <t>DIRECT_IMAGE_DOWNLOAD_AND_SOURCE_ROW_REVIEW</t>
        </is>
      </c>
      <c r="J30" s="2" t="inlineStr">
        <is>
          <t>2026-09-07T20:46:57+07:00</t>
        </is>
      </c>
      <c r="K30" s="2" t="inlineStr">
        <is>
          <t>Direct QA opened downloaded image 135_03; source SHA 467B755C0BF914A47F5EA7868986B7AC359DBAF2426CEA5C9AF2D588BC619F36. Submitted observation reviewed against gallery position.</t>
        </is>
      </c>
      <c r="L30" s="2" t="inlineStr">
        <is>
          <t>Bedding type, feature, lifestyle or material image for yellow pond dragonfly patchwork quilt.</t>
        </is>
      </c>
      <c r="M30" s="2" t="inlineStr">
        <is>
          <t>UNKNOWN</t>
        </is>
      </c>
      <c r="N30" s="2" t="inlineStr">
        <is>
          <t>SET</t>
        </is>
      </c>
      <c r="O30" s="2" t="inlineStr">
        <is>
          <t>Product option, feature or lifestyle image for Yellow Pond Dragonfly Patchwork Quilt</t>
        </is>
      </c>
      <c r="P30" s="2" t="inlineStr">
        <is>
          <t>FULL</t>
        </is>
      </c>
      <c r="Q30" s="2" t="inlineStr">
        <is>
          <t>PARTIAL</t>
        </is>
      </c>
      <c r="R30" s="2" t="inlineStr">
        <is>
          <t>FULL</t>
        </is>
      </c>
      <c r="S30" s="2" t="inlineStr">
        <is>
          <t>FULL</t>
        </is>
      </c>
      <c r="T30" s="5">
        <f>IF(P30="FULL",40,IF(P30="PARTIAL",40/2,0))+IF(Q30="FULL",30,IF(Q30="PARTIAL",30/2,0))+IF(R30="FULL",20,IF(R30="PARTIAL",20/2,0))+IF(S30="FULL",10,IF(S30="PARTIAL",10/2,0))</f>
        <v/>
      </c>
      <c r="U30" s="5">
        <f>IF(P30="NOT_CHECKED",0,40)+IF(Q30="NOT_CHECKED",0,30)+IF(R30="NOT_CHECKED",0,20)+IF(S30="NOT_CHECKED",0,10)</f>
        <v/>
      </c>
      <c r="V30" s="5">
        <f>IF(U30=100,T30,"")</f>
        <v/>
      </c>
      <c r="W30" s="5">
        <f>T30</f>
        <v/>
      </c>
      <c r="X30" s="5">
        <f>T30+(100-U30)</f>
        <v/>
      </c>
      <c r="Y30" s="2" t="inlineStr">
        <is>
          <t>ISSUE-0040</t>
        </is>
      </c>
      <c r="Z30" s="2" t="inlineStr">
        <is>
          <t>D:\Shopify_Workspace\jeminise_seo\seo_runs\jeminise.com\20260906_234129\qa\20260907_204400\images\135_03.jpg; seo_runs\jeminise.com\20260906_234129\evidence\images\135_dragonfly-patchwork-pattern-quilt-set-animal-style-dragonfly-quilt\image_03_47933455270087.jpg; seo_runs\jeminise.com\20260906_234129\evidence\contact_sheets\135_dragonfly-patchwork-pattern-quilt-set-animal-style-dragonfly-quilt.jpg</t>
        </is>
      </c>
    </row>
    <row r="31" ht="66" customHeight="1">
      <c r="A31" s="3" t="inlineStr">
        <is>
          <t>jeminise.com+dragonfly-patchwork-pattern-quilt-set-animal-style-dragonfly-quilt</t>
        </is>
      </c>
      <c r="B31" s="3" t="inlineStr">
        <is>
          <t>img_ec74b0093089bdf7</t>
        </is>
      </c>
      <c r="C31" s="4" t="inlineStr">
        <is>
          <t>https://cdn.shopify.com/s/files/1/0792/5098/1063/files/2c6c4b0ec606ff20bc1ac62e5ec98ecaf98928e6c974b93826464554a5fa3ea4.jpg?v=1787233626</t>
        </is>
      </c>
      <c r="D31" s="4" t="inlineStr">
        <is>
          <t>https://cdn.shopify.com/s/files/1/0792/5098/1063/files/2c6c4b0ec606ff20bc1ac62e5ec98ecaf98928e6c974b93826464554a5fa3ea4.jpg?v=1787233626</t>
        </is>
      </c>
      <c r="E31" s="3" t="inlineStr">
        <is>
          <t>47933455302855</t>
        </is>
      </c>
      <c r="F31" s="3" t="inlineStr">
        <is>
          <t>47933455302855</t>
        </is>
      </c>
      <c r="G31" s="3" t="inlineStr"/>
      <c r="H31" s="3" t="inlineStr">
        <is>
          <t>GALLERY</t>
        </is>
      </c>
      <c r="I31" s="3" t="inlineStr">
        <is>
          <t>DIRECT_IMAGE_DOWNLOAD_AND_SOURCE_ROW_REVIEW</t>
        </is>
      </c>
      <c r="J31" s="3" t="inlineStr">
        <is>
          <t>2026-09-07T20:46:57+07:00</t>
        </is>
      </c>
      <c r="K31" s="3" t="inlineStr">
        <is>
          <t>Direct QA opened downloaded image 135_04; source SHA B179004EDF7AFF290D0991C78F062E521546BC35F60D0B81C1FAA4A35DC0A9F9. Submitted observation reviewed against gallery position.</t>
        </is>
      </c>
      <c r="L31" s="3" t="inlineStr">
        <is>
          <t>Detail, feature panel or lifestyle image connected to yellow pond dragonfly patchwork quilt.</t>
        </is>
      </c>
      <c r="M31" s="3" t="inlineStr">
        <is>
          <t>UNKNOWN</t>
        </is>
      </c>
      <c r="N31" s="3" t="inlineStr">
        <is>
          <t>SET</t>
        </is>
      </c>
      <c r="O31" s="3" t="inlineStr">
        <is>
          <t>Detail or feature image for Yellow Pond Dragonfly Patchwork Quilt</t>
        </is>
      </c>
      <c r="P31" s="3" t="inlineStr">
        <is>
          <t>FULL</t>
        </is>
      </c>
      <c r="Q31" s="3" t="inlineStr">
        <is>
          <t>PARTIAL</t>
        </is>
      </c>
      <c r="R31" s="3" t="inlineStr">
        <is>
          <t>FULL</t>
        </is>
      </c>
      <c r="S31" s="3" t="inlineStr">
        <is>
          <t>FULL</t>
        </is>
      </c>
      <c r="T31" s="7">
        <f>IF(P31="FULL",40,IF(P31="PARTIAL",40/2,0))+IF(Q31="FULL",30,IF(Q31="PARTIAL",30/2,0))+IF(R31="FULL",20,IF(R31="PARTIAL",20/2,0))+IF(S31="FULL",10,IF(S31="PARTIAL",10/2,0))</f>
        <v/>
      </c>
      <c r="U31" s="7">
        <f>IF(P31="NOT_CHECKED",0,40)+IF(Q31="NOT_CHECKED",0,30)+IF(R31="NOT_CHECKED",0,20)+IF(S31="NOT_CHECKED",0,10)</f>
        <v/>
      </c>
      <c r="V31" s="7">
        <f>IF(U31=100,T31,"")</f>
        <v/>
      </c>
      <c r="W31" s="7">
        <f>T31</f>
        <v/>
      </c>
      <c r="X31" s="7">
        <f>T31+(100-U31)</f>
        <v/>
      </c>
      <c r="Y31" s="3" t="inlineStr">
        <is>
          <t>ISSUE-0041</t>
        </is>
      </c>
      <c r="Z31" s="3" t="inlineStr">
        <is>
          <t>D:\Shopify_Workspace\jeminise_seo\seo_runs\jeminise.com\20260906_234129\qa\20260907_204400\images\135_04.jpg; seo_runs\jeminise.com\20260906_234129\evidence\images\135_dragonfly-patchwork-pattern-quilt-set-animal-style-dragonfly-quilt\image_04_47933455302855.jpg; seo_runs\jeminise.com\20260906_234129\evidence\contact_sheets\135_dragonfly-patchwork-pattern-quilt-set-animal-style-dragonfly-quilt.jpg</t>
        </is>
      </c>
    </row>
    <row r="32" ht="66" customHeight="1">
      <c r="A32" s="2" t="inlineStr">
        <is>
          <t>jeminise.com+dragonfly-patchwork-pattern-quilt-set-animal-style-dragonfly-quilt</t>
        </is>
      </c>
      <c r="B32" s="2" t="inlineStr">
        <is>
          <t>img_161968e7dc768efe</t>
        </is>
      </c>
      <c r="C32" s="4" t="inlineStr">
        <is>
          <t>https://cdn.shopify.com/s/files/1/0792/5098/1063/files/489f5b9ddbdf3fafb4673c21a38884ff336c5b89ef32537cab88565a0d154461.jpg?v=1787233626</t>
        </is>
      </c>
      <c r="D32" s="4" t="inlineStr">
        <is>
          <t>https://cdn.shopify.com/s/files/1/0792/5098/1063/files/489f5b9ddbdf3fafb4673c21a38884ff336c5b89ef32537cab88565a0d154461.jpg?v=1787233626</t>
        </is>
      </c>
      <c r="E32" s="2" t="inlineStr">
        <is>
          <t>47933455335623</t>
        </is>
      </c>
      <c r="F32" s="2" t="inlineStr">
        <is>
          <t>47933455335623</t>
        </is>
      </c>
      <c r="G32" s="2" t="inlineStr"/>
      <c r="H32" s="2" t="inlineStr">
        <is>
          <t>GALLERY</t>
        </is>
      </c>
      <c r="I32" s="2" t="inlineStr">
        <is>
          <t>DIRECT_IMAGE_DOWNLOAD_AND_SOURCE_ROW_REVIEW</t>
        </is>
      </c>
      <c r="J32" s="2" t="inlineStr">
        <is>
          <t>2026-09-07T20:46:57+07:00</t>
        </is>
      </c>
      <c r="K32" s="2" t="inlineStr">
        <is>
          <t>Direct QA opened downloaded image 135_05; source SHA 48FE1ED5E145B1DB989EAE6A73D5F2E87F426578E2876071226F072DDB905BFE. Submitted observation reviewed against gallery position.</t>
        </is>
      </c>
      <c r="L32" s="2" t="inlineStr">
        <is>
          <t>Additional mockup, care or size information for yellow pond dragonfly patchwork quilt.</t>
        </is>
      </c>
      <c r="M32" s="2" t="inlineStr">
        <is>
          <t>UNKNOWN</t>
        </is>
      </c>
      <c r="N32" s="2" t="inlineStr">
        <is>
          <t>SET</t>
        </is>
      </c>
      <c r="O32" s="2" t="inlineStr">
        <is>
          <t>Additional product mockup or care information for Yellow Pond Dragonfly Patchwork Quilt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5">
        <f>IF(P32="FULL",40,IF(P32="PARTIAL",40/2,0))+IF(Q32="FULL",30,IF(Q32="PARTIAL",30/2,0))+IF(R32="FULL",20,IF(R32="PARTIAL",20/2,0))+IF(S32="FULL",10,IF(S32="PARTIAL",10/2,0))</f>
        <v/>
      </c>
      <c r="U32" s="5">
        <f>IF(P32="NOT_CHECKED",0,40)+IF(Q32="NOT_CHECKED",0,30)+IF(R32="NOT_CHECKED",0,20)+IF(S32="NOT_CHECKED",0,10)</f>
        <v/>
      </c>
      <c r="V32" s="5">
        <f>IF(U32=100,T32,"")</f>
        <v/>
      </c>
      <c r="W32" s="5">
        <f>T32</f>
        <v/>
      </c>
      <c r="X32" s="5">
        <f>T32+(100-U32)</f>
        <v/>
      </c>
      <c r="Y32" s="2" t="inlineStr"/>
      <c r="Z32" s="2" t="inlineStr">
        <is>
          <t>D:\Shopify_Workspace\jeminise_seo\seo_runs\jeminise.com\20260906_234129\qa\20260907_204400\images\135_05.jpg; seo_runs\jeminise.com\20260906_234129\evidence\images\135_dragonfly-patchwork-pattern-quilt-set-animal-style-dragonfly-quilt\image_05_47933455335623.jpg; seo_runs\jeminise.com\20260906_234129\evidence\contact_sheets\135_dragonfly-patchwork-pattern-quilt-set-animal-style-dragonfly-quilt.jpg</t>
        </is>
      </c>
    </row>
    <row r="33" ht="66" customHeight="1">
      <c r="A33" s="3" t="inlineStr">
        <is>
          <t>jeminise.com+dragonfly-patchwork-pattern-quilt-set-animal-style-dragonfly-quilt</t>
        </is>
      </c>
      <c r="B33" s="3" t="inlineStr">
        <is>
          <t>img_e855a35f1991d3f1</t>
        </is>
      </c>
      <c r="C33" s="4" t="inlineStr">
        <is>
          <t>https://cdn.shopify.com/s/files/1/0792/5098/1063/files/4e8443121e161c5bd0fecbf38fe373ea881ea13402f9383d59095dd3766bb4a1.jpg?v=1787233626</t>
        </is>
      </c>
      <c r="D33" s="4" t="inlineStr">
        <is>
          <t>https://cdn.shopify.com/s/files/1/0792/5098/1063/files/4e8443121e161c5bd0fecbf38fe373ea881ea13402f9383d59095dd3766bb4a1.jpg?v=1787233626</t>
        </is>
      </c>
      <c r="E33" s="3" t="inlineStr">
        <is>
          <t>47933455368391</t>
        </is>
      </c>
      <c r="F33" s="3" t="inlineStr">
        <is>
          <t>47933455368391</t>
        </is>
      </c>
      <c r="G33" s="3" t="inlineStr"/>
      <c r="H33" s="3" t="inlineStr">
        <is>
          <t>GALLERY</t>
        </is>
      </c>
      <c r="I33" s="3" t="inlineStr">
        <is>
          <t>DIRECT_IMAGE_DOWNLOAD_AND_SOURCE_ROW_REVIEW</t>
        </is>
      </c>
      <c r="J33" s="3" t="inlineStr">
        <is>
          <t>2026-09-07T20:46:57+07:00</t>
        </is>
      </c>
      <c r="K33" s="3" t="inlineStr">
        <is>
          <t>Direct QA opened downloaded image 135_06; source SHA C231FE0B4581CAF026AFC2DF59B24798E0791525A7FD7548FC9277966F83286E. Submitted observation reviewed against gallery position.</t>
        </is>
      </c>
      <c r="L33" s="3" t="inlineStr">
        <is>
          <t>Easy-care, size guide or product feature image for yellow pond dragonfly patchwork quilt.</t>
        </is>
      </c>
      <c r="M33" s="3" t="inlineStr">
        <is>
          <t>UNKNOWN</t>
        </is>
      </c>
      <c r="N33" s="3" t="inlineStr">
        <is>
          <t>SET</t>
        </is>
      </c>
      <c r="O33" s="3" t="inlineStr">
        <is>
          <t>Care, size or product feature image for Yellow Pond Dragonfly Patchwork Quilt</t>
        </is>
      </c>
      <c r="P33" s="3" t="inlineStr">
        <is>
          <t>FULL</t>
        </is>
      </c>
      <c r="Q33" s="3" t="inlineStr">
        <is>
          <t>PARTIAL</t>
        </is>
      </c>
      <c r="R33" s="3" t="inlineStr">
        <is>
          <t>FULL</t>
        </is>
      </c>
      <c r="S33" s="3" t="inlineStr">
        <is>
          <t>FULL</t>
        </is>
      </c>
      <c r="T33" s="7">
        <f>IF(P33="FULL",40,IF(P33="PARTIAL",40/2,0))+IF(Q33="FULL",30,IF(Q33="PARTIAL",30/2,0))+IF(R33="FULL",20,IF(R33="PARTIAL",20/2,0))+IF(S33="FULL",10,IF(S33="PARTIAL",10/2,0))</f>
        <v/>
      </c>
      <c r="U33" s="7">
        <f>IF(P33="NOT_CHECKED",0,40)+IF(Q33="NOT_CHECKED",0,30)+IF(R33="NOT_CHECKED",0,20)+IF(S33="NOT_CHECKED",0,10)</f>
        <v/>
      </c>
      <c r="V33" s="7">
        <f>IF(U33=100,T33,"")</f>
        <v/>
      </c>
      <c r="W33" s="7">
        <f>T33</f>
        <v/>
      </c>
      <c r="X33" s="7">
        <f>T33+(100-U33)</f>
        <v/>
      </c>
      <c r="Y33" s="3" t="inlineStr">
        <is>
          <t>ISSUE-0042</t>
        </is>
      </c>
      <c r="Z33" s="3" t="inlineStr">
        <is>
          <t>D:\Shopify_Workspace\jeminise_seo\seo_runs\jeminise.com\20260906_234129\qa\20260907_204400\images\135_06.jpg; seo_runs\jeminise.com\20260906_234129\evidence\images\135_dragonfly-patchwork-pattern-quilt-set-animal-style-dragonfly-quilt\image_06_47933455368391.jpg; seo_runs\jeminise.com\20260906_234129\evidence\contact_sheets\135_dragonfly-patchwork-pattern-quilt-set-animal-style-dragonfly-quilt.jpg</t>
        </is>
      </c>
    </row>
    <row r="34" ht="66" customHeight="1">
      <c r="A34" s="2" t="inlineStr">
        <is>
          <t>jeminise.com+dragonfly-patchwork-pattern-quilt-set-animal-style-dragonfly-quilt</t>
        </is>
      </c>
      <c r="B34" s="2" t="inlineStr">
        <is>
          <t>img_bf17748d389bdacd</t>
        </is>
      </c>
      <c r="C34" s="4" t="inlineStr">
        <is>
          <t>https://cdn.shopify.com/s/files/1/0792/5098/1063/files/153fd1622891834d0b552c37500d0c9b0a67247d3798040ce2badb1c28d4339f.jpg?v=1787233626</t>
        </is>
      </c>
      <c r="D34" s="4" t="inlineStr">
        <is>
          <t>https://cdn.shopify.com/s/files/1/0792/5098/1063/files/153fd1622891834d0b552c37500d0c9b0a67247d3798040ce2badb1c28d4339f.jpg?v=1787233626</t>
        </is>
      </c>
      <c r="E34" s="2" t="inlineStr">
        <is>
          <t>47933455401159</t>
        </is>
      </c>
      <c r="F34" s="2" t="inlineStr">
        <is>
          <t>47933455401159</t>
        </is>
      </c>
      <c r="G34" s="2" t="inlineStr"/>
      <c r="H34" s="2" t="inlineStr">
        <is>
          <t>GALLERY</t>
        </is>
      </c>
      <c r="I34" s="2" t="inlineStr">
        <is>
          <t>DIRECT_IMAGE_DOWNLOAD_AND_SOURCE_ROW_REVIEW</t>
        </is>
      </c>
      <c r="J34" s="2" t="inlineStr">
        <is>
          <t>2026-09-07T20:46:57+07:00</t>
        </is>
      </c>
      <c r="K34" s="2" t="inlineStr">
        <is>
          <t>Direct QA opened downloaded image 135_07; source SHA 5C04124B1A1D60FB09ECC9BEEA90D41D8DDC306193B066DE7FB32817AEDA0328. Submitted observation reviewed against gallery position.</t>
        </is>
      </c>
      <c r="L34" s="2" t="inlineStr">
        <is>
          <t>Additional lifestyle, feature or product detail image showing yellow pond dragonfly patchwork quilt.</t>
        </is>
      </c>
      <c r="M34" s="2" t="inlineStr">
        <is>
          <t>UNKNOWN</t>
        </is>
      </c>
      <c r="N34" s="2" t="inlineStr">
        <is>
          <t>SET</t>
        </is>
      </c>
      <c r="O34" s="2" t="inlineStr">
        <is>
          <t>Additional product mockup of Yellow Pond Dragonfly Patchwork Quilt</t>
        </is>
      </c>
      <c r="P34" s="2" t="inlineStr">
        <is>
          <t>FULL</t>
        </is>
      </c>
      <c r="Q34" s="2" t="inlineStr">
        <is>
          <t>PARTIAL</t>
        </is>
      </c>
      <c r="R34" s="2" t="inlineStr">
        <is>
          <t>FULL</t>
        </is>
      </c>
      <c r="S34" s="2" t="inlineStr">
        <is>
          <t>FULL</t>
        </is>
      </c>
      <c r="T34" s="5">
        <f>IF(P34="FULL",40,IF(P34="PARTIAL",40/2,0))+IF(Q34="FULL",30,IF(Q34="PARTIAL",30/2,0))+IF(R34="FULL",20,IF(R34="PARTIAL",20/2,0))+IF(S34="FULL",10,IF(S34="PARTIAL",10/2,0))</f>
        <v/>
      </c>
      <c r="U34" s="5">
        <f>IF(P34="NOT_CHECKED",0,40)+IF(Q34="NOT_CHECKED",0,30)+IF(R34="NOT_CHECKED",0,20)+IF(S34="NOT_CHECKED",0,10)</f>
        <v/>
      </c>
      <c r="V34" s="5">
        <f>IF(U34=100,T34,"")</f>
        <v/>
      </c>
      <c r="W34" s="5">
        <f>T34</f>
        <v/>
      </c>
      <c r="X34" s="5">
        <f>T34+(100-U34)</f>
        <v/>
      </c>
      <c r="Y34" s="2" t="inlineStr">
        <is>
          <t>ISSUE-0043</t>
        </is>
      </c>
      <c r="Z34" s="2" t="inlineStr">
        <is>
          <t>D:\Shopify_Workspace\jeminise_seo\seo_runs\jeminise.com\20260906_234129\qa\20260907_204400\images\135_07.jpg; seo_runs\jeminise.com\20260906_234129\evidence\images\135_dragonfly-patchwork-pattern-quilt-set-animal-style-dragonfly-quilt\image_07_47933455401159.jpg; seo_runs\jeminise.com\20260906_234129\evidence\contact_sheets\135_dragonfly-patchwork-pattern-quilt-set-animal-style-dragonfly-quilt.jpg</t>
        </is>
      </c>
    </row>
    <row r="35" ht="66" customHeight="1">
      <c r="A35" s="3" t="inlineStr">
        <is>
          <t>jeminise.com+dragonfly-patchwork-quilt-set-animal-patchwork-bedset-dragonfly</t>
        </is>
      </c>
      <c r="B35" s="3" t="inlineStr">
        <is>
          <t>img_378676e6b60b2517</t>
        </is>
      </c>
      <c r="C35" s="4" t="inlineStr">
        <is>
          <t>https://cdn.shopify.com/s/files/1/0792/5098/1063/files/0a3408f9531e3a0c073fefe9e8b45e68486840fbce54d055d8d9bfce089f279b.jpg?v=1787233701</t>
        </is>
      </c>
      <c r="D35" s="4" t="inlineStr">
        <is>
          <t>https://cdn.shopify.com/s/files/1/0792/5098/1063/files/0a3408f9531e3a0c073fefe9e8b45e68486840fbce54d055d8d9bfce089f279b.jpg?v=1787233701</t>
        </is>
      </c>
      <c r="E35" s="3" t="inlineStr">
        <is>
          <t>47933463822535</t>
        </is>
      </c>
      <c r="F35" s="3" t="inlineStr">
        <is>
          <t>47933463822535</t>
        </is>
      </c>
      <c r="G35" s="3" t="inlineStr"/>
      <c r="H35" s="3" t="inlineStr">
        <is>
          <t>GALLERY</t>
        </is>
      </c>
      <c r="I35" s="3" t="inlineStr">
        <is>
          <t>DIRECT_IMAGE_DOWNLOAD_AND_SOURCE_ROW_REVIEW</t>
        </is>
      </c>
      <c r="J35" s="3" t="inlineStr">
        <is>
          <t>2026-09-07T20:46:57+07:00</t>
        </is>
      </c>
      <c r="K35" s="3" t="inlineStr">
        <is>
          <t>Direct QA opened downloaded image 136_01; source SHA 891FAACE6512A57A6A2C8F1079A6096F672261258D3D117C6892331C4D3ADED9. Submitted observation reviewed against gallery position.</t>
        </is>
      </c>
      <c r="L35" s="3" t="inlineStr">
        <is>
          <t>Main product mockup showing blue yellow dragonfly pond quilt.</t>
        </is>
      </c>
      <c r="M35" s="3" t="inlineStr">
        <is>
          <t>UNKNOWN</t>
        </is>
      </c>
      <c r="N35" s="3" t="inlineStr">
        <is>
          <t>SET</t>
        </is>
      </c>
      <c r="O35" s="3" t="inlineStr">
        <is>
          <t>Blue Yellow Dragonfly Pond Quilt displayed in a main product mockup</t>
        </is>
      </c>
      <c r="P35" s="3" t="inlineStr">
        <is>
          <t>FULL</t>
        </is>
      </c>
      <c r="Q35" s="3" t="inlineStr">
        <is>
          <t>FULL</t>
        </is>
      </c>
      <c r="R35" s="3" t="inlineStr">
        <is>
          <t>PARTIAL</t>
        </is>
      </c>
      <c r="S35" s="3" t="inlineStr">
        <is>
          <t>FULL</t>
        </is>
      </c>
      <c r="T35" s="7">
        <f>IF(P35="FULL",40,IF(P35="PARTIAL",40/2,0))+IF(Q35="FULL",30,IF(Q35="PARTIAL",30/2,0))+IF(R35="FULL",20,IF(R35="PARTIAL",20/2,0))+IF(S35="FULL",10,IF(S35="PARTIAL",10/2,0))</f>
        <v/>
      </c>
      <c r="U35" s="7">
        <f>IF(P35="NOT_CHECKED",0,40)+IF(Q35="NOT_CHECKED",0,30)+IF(R35="NOT_CHECKED",0,20)+IF(S35="NOT_CHECKED",0,10)</f>
        <v/>
      </c>
      <c r="V35" s="7">
        <f>IF(U35=100,T35,"")</f>
        <v/>
      </c>
      <c r="W35" s="7">
        <f>T35</f>
        <v/>
      </c>
      <c r="X35" s="7">
        <f>T35+(100-U35)</f>
        <v/>
      </c>
      <c r="Y35" s="3" t="inlineStr">
        <is>
          <t>ISSUE-0048</t>
        </is>
      </c>
      <c r="Z35" s="3" t="inlineStr">
        <is>
          <t>D:\Shopify_Workspace\jeminise_seo\seo_runs\jeminise.com\20260906_234129\qa\20260907_204400\images\136_01.jpg; seo_runs\jeminise.com\20260906_234129\evidence\images\136_dragonfly-patchwork-quilt-set-animal-patchwork-bedset-dragonfly\image_01_47933463822535.jpg; seo_runs\jeminise.com\20260906_234129\evidence\contact_sheets\136_dragonfly-patchwork-quilt-set-animal-patchwork-bedset-dragonfly.jpg</t>
        </is>
      </c>
    </row>
    <row r="36" ht="66" customHeight="1">
      <c r="A36" s="2" t="inlineStr">
        <is>
          <t>jeminise.com+dragonfly-patchwork-quilt-set-animal-patchwork-bedset-dragonfly</t>
        </is>
      </c>
      <c r="B36" s="2" t="inlineStr">
        <is>
          <t>img_46688089c95fa106</t>
        </is>
      </c>
      <c r="C36" s="4" t="inlineStr">
        <is>
          <t>https://cdn.shopify.com/s/files/1/0792/5098/1063/files/a81eeb6252b15a1a185ed484b190cc9fae5eb7ebf9d6200e7841b595f29f023f.jpg?v=1787233701</t>
        </is>
      </c>
      <c r="D36" s="4" t="inlineStr">
        <is>
          <t>https://cdn.shopify.com/s/files/1/0792/5098/1063/files/a81eeb6252b15a1a185ed484b190cc9fae5eb7ebf9d6200e7841b595f29f023f.jpg?v=1787233701</t>
        </is>
      </c>
      <c r="E36" s="2" t="inlineStr">
        <is>
          <t>47933463855303</t>
        </is>
      </c>
      <c r="F36" s="2" t="inlineStr">
        <is>
          <t>47933463855303</t>
        </is>
      </c>
      <c r="G36" s="2" t="inlineStr"/>
      <c r="H36" s="2" t="inlineStr">
        <is>
          <t>GALLERY</t>
        </is>
      </c>
      <c r="I36" s="2" t="inlineStr">
        <is>
          <t>DIRECT_IMAGE_DOWNLOAD_AND_SOURCE_ROW_REVIEW</t>
        </is>
      </c>
      <c r="J36" s="2" t="inlineStr">
        <is>
          <t>2026-09-07T20:46:57+07:00</t>
        </is>
      </c>
      <c r="K36" s="2" t="inlineStr">
        <is>
          <t>Direct QA opened downloaded image 136_02; source SHA E24A41BE21B1137FC68D39E330B90BA731BC95E9734EEAAA34A1B340F7078AF9. Submitted observation reviewed against gallery position.</t>
        </is>
      </c>
      <c r="L36" s="2" t="inlineStr">
        <is>
          <t>Secondary flat, close-up or bedroom mockup showing blue yellow dragonfly pond quilt.</t>
        </is>
      </c>
      <c r="M36" s="2" t="inlineStr">
        <is>
          <t>UNKNOWN</t>
        </is>
      </c>
      <c r="N36" s="2" t="inlineStr">
        <is>
          <t>SET</t>
        </is>
      </c>
      <c r="O36" s="2" t="inlineStr">
        <is>
          <t>Secondary mockup of Blue Yellow Dragonfly Pond Quilt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5">
        <f>IF(P36="FULL",40,IF(P36="PARTIAL",40/2,0))+IF(Q36="FULL",30,IF(Q36="PARTIAL",30/2,0))+IF(R36="FULL",20,IF(R36="PARTIAL",20/2,0))+IF(S36="FULL",10,IF(S36="PARTIAL",10/2,0))</f>
        <v/>
      </c>
      <c r="U36" s="5">
        <f>IF(P36="NOT_CHECKED",0,40)+IF(Q36="NOT_CHECKED",0,30)+IF(R36="NOT_CHECKED",0,20)+IF(S36="NOT_CHECKED",0,10)</f>
        <v/>
      </c>
      <c r="V36" s="5">
        <f>IF(U36=100,T36,"")</f>
        <v/>
      </c>
      <c r="W36" s="5">
        <f>T36</f>
        <v/>
      </c>
      <c r="X36" s="5">
        <f>T36+(100-U36)</f>
        <v/>
      </c>
      <c r="Y36" s="2" t="inlineStr"/>
      <c r="Z36" s="2" t="inlineStr">
        <is>
          <t>D:\Shopify_Workspace\jeminise_seo\seo_runs\jeminise.com\20260906_234129\qa\20260907_204400\images\136_02.jpg; seo_runs\jeminise.com\20260906_234129\evidence\images\136_dragonfly-patchwork-quilt-set-animal-patchwork-bedset-dragonfly\image_02_47933463855303.jpg; seo_runs\jeminise.com\20260906_234129\evidence\contact_sheets\136_dragonfly-patchwork-quilt-set-animal-patchwork-bedset-dragonfly.jpg</t>
        </is>
      </c>
    </row>
    <row r="37" ht="66" customHeight="1">
      <c r="A37" s="3" t="inlineStr">
        <is>
          <t>jeminise.com+dragonfly-patchwork-quilt-set-animal-patchwork-bedset-dragonfly</t>
        </is>
      </c>
      <c r="B37" s="3" t="inlineStr">
        <is>
          <t>img_9e1bf3b06d869293</t>
        </is>
      </c>
      <c r="C37" s="4" t="inlineStr">
        <is>
          <t>https://cdn.shopify.com/s/files/1/0792/5098/1063/files/294f29b70762f22df4918e7c94b3b46ebac81578eb1b441cc319e4a6c036e2b5.jpg?v=1787233701</t>
        </is>
      </c>
      <c r="D37" s="4" t="inlineStr">
        <is>
          <t>https://cdn.shopify.com/s/files/1/0792/5098/1063/files/294f29b70762f22df4918e7c94b3b46ebac81578eb1b441cc319e4a6c036e2b5.jpg?v=1787233701</t>
        </is>
      </c>
      <c r="E37" s="3" t="inlineStr">
        <is>
          <t>47933463888071</t>
        </is>
      </c>
      <c r="F37" s="3" t="inlineStr">
        <is>
          <t>47933463888071</t>
        </is>
      </c>
      <c r="G37" s="3" t="inlineStr"/>
      <c r="H37" s="3" t="inlineStr">
        <is>
          <t>GALLERY</t>
        </is>
      </c>
      <c r="I37" s="3" t="inlineStr">
        <is>
          <t>DIRECT_IMAGE_DOWNLOAD_AND_SOURCE_ROW_REVIEW</t>
        </is>
      </c>
      <c r="J37" s="3" t="inlineStr">
        <is>
          <t>2026-09-07T20:46:57+07:00</t>
        </is>
      </c>
      <c r="K37" s="3" t="inlineStr">
        <is>
          <t>Direct QA opened downloaded image 136_03; source SHA 9BB8382E158B2366CD278C789A860C5CC40750704297EBDB0E19DED90AF3C769. Submitted observation reviewed against gallery position.</t>
        </is>
      </c>
      <c r="L37" s="3" t="inlineStr">
        <is>
          <t>Bedding type, feature, lifestyle or material image for blue yellow dragonfly pond quilt.</t>
        </is>
      </c>
      <c r="M37" s="3" t="inlineStr">
        <is>
          <t>UNKNOWN</t>
        </is>
      </c>
      <c r="N37" s="3" t="inlineStr">
        <is>
          <t>SET</t>
        </is>
      </c>
      <c r="O37" s="3" t="inlineStr">
        <is>
          <t>Product option, feature or lifestyle image for Blue Yellow Dragonfly Pond Quilt</t>
        </is>
      </c>
      <c r="P37" s="3" t="inlineStr">
        <is>
          <t>FULL</t>
        </is>
      </c>
      <c r="Q37" s="3" t="inlineStr">
        <is>
          <t>PARTIAL</t>
        </is>
      </c>
      <c r="R37" s="3" t="inlineStr">
        <is>
          <t>FULL</t>
        </is>
      </c>
      <c r="S37" s="3" t="inlineStr">
        <is>
          <t>FULL</t>
        </is>
      </c>
      <c r="T37" s="7">
        <f>IF(P37="FULL",40,IF(P37="PARTIAL",40/2,0))+IF(Q37="FULL",30,IF(Q37="PARTIAL",30/2,0))+IF(R37="FULL",20,IF(R37="PARTIAL",20/2,0))+IF(S37="FULL",10,IF(S37="PARTIAL",10/2,0))</f>
        <v/>
      </c>
      <c r="U37" s="7">
        <f>IF(P37="NOT_CHECKED",0,40)+IF(Q37="NOT_CHECKED",0,30)+IF(R37="NOT_CHECKED",0,20)+IF(S37="NOT_CHECKED",0,10)</f>
        <v/>
      </c>
      <c r="V37" s="7">
        <f>IF(U37=100,T37,"")</f>
        <v/>
      </c>
      <c r="W37" s="7">
        <f>T37</f>
        <v/>
      </c>
      <c r="X37" s="7">
        <f>T37+(100-U37)</f>
        <v/>
      </c>
      <c r="Y37" s="3" t="inlineStr">
        <is>
          <t>ISSUE-0049</t>
        </is>
      </c>
      <c r="Z37" s="3" t="inlineStr">
        <is>
          <t>D:\Shopify_Workspace\jeminise_seo\seo_runs\jeminise.com\20260906_234129\qa\20260907_204400\images\136_03.jpg; seo_runs\jeminise.com\20260906_234129\evidence\images\136_dragonfly-patchwork-quilt-set-animal-patchwork-bedset-dragonfly\image_03_47933463888071.jpg; seo_runs\jeminise.com\20260906_234129\evidence\contact_sheets\136_dragonfly-patchwork-quilt-set-animal-patchwork-bedset-dragonfly.jpg</t>
        </is>
      </c>
    </row>
    <row r="38" ht="66" customHeight="1">
      <c r="A38" s="2" t="inlineStr">
        <is>
          <t>jeminise.com+dragonfly-patchwork-quilt-set-animal-patchwork-bedset-dragonfly</t>
        </is>
      </c>
      <c r="B38" s="2" t="inlineStr">
        <is>
          <t>img_a2cd34d5bdc406d2</t>
        </is>
      </c>
      <c r="C38" s="4" t="inlineStr">
        <is>
          <t>https://cdn.shopify.com/s/files/1/0792/5098/1063/files/4f89396bd5eba76e433e1754c6258bc954124533d44f2a626d3460b551456ac2.jpg?v=1787233701</t>
        </is>
      </c>
      <c r="D38" s="4" t="inlineStr">
        <is>
          <t>https://cdn.shopify.com/s/files/1/0792/5098/1063/files/4f89396bd5eba76e433e1754c6258bc954124533d44f2a626d3460b551456ac2.jpg?v=1787233701</t>
        </is>
      </c>
      <c r="E38" s="2" t="inlineStr">
        <is>
          <t>47933463920839</t>
        </is>
      </c>
      <c r="F38" s="2" t="inlineStr">
        <is>
          <t>47933463920839</t>
        </is>
      </c>
      <c r="G38" s="2" t="inlineStr"/>
      <c r="H38" s="2" t="inlineStr">
        <is>
          <t>GALLERY</t>
        </is>
      </c>
      <c r="I38" s="2" t="inlineStr">
        <is>
          <t>DIRECT_IMAGE_DOWNLOAD_AND_SOURCE_ROW_REVIEW</t>
        </is>
      </c>
      <c r="J38" s="2" t="inlineStr">
        <is>
          <t>2026-09-07T20:46:57+07:00</t>
        </is>
      </c>
      <c r="K38" s="2" t="inlineStr">
        <is>
          <t>Direct QA opened downloaded image 136_04; source SHA 90E6C0319655A4465E8915A7CA937D55247C8DADDAA8B040DE267ECA10442922. Submitted observation reviewed against gallery position.</t>
        </is>
      </c>
      <c r="L38" s="2" t="inlineStr">
        <is>
          <t>Detail, feature panel or lifestyle image connected to blue yellow dragonfly pond quilt.</t>
        </is>
      </c>
      <c r="M38" s="2" t="inlineStr">
        <is>
          <t>UNKNOWN</t>
        </is>
      </c>
      <c r="N38" s="2" t="inlineStr">
        <is>
          <t>SET</t>
        </is>
      </c>
      <c r="O38" s="2" t="inlineStr">
        <is>
          <t>Detail or feature image for Blue Yellow Dragonfly Pond Quilt</t>
        </is>
      </c>
      <c r="P38" s="2" t="inlineStr">
        <is>
          <t>FULL</t>
        </is>
      </c>
      <c r="Q38" s="2" t="inlineStr">
        <is>
          <t>PARTIAL</t>
        </is>
      </c>
      <c r="R38" s="2" t="inlineStr">
        <is>
          <t>FULL</t>
        </is>
      </c>
      <c r="S38" s="2" t="inlineStr">
        <is>
          <t>FULL</t>
        </is>
      </c>
      <c r="T38" s="5">
        <f>IF(P38="FULL",40,IF(P38="PARTIAL",40/2,0))+IF(Q38="FULL",30,IF(Q38="PARTIAL",30/2,0))+IF(R38="FULL",20,IF(R38="PARTIAL",20/2,0))+IF(S38="FULL",10,IF(S38="PARTIAL",10/2,0))</f>
        <v/>
      </c>
      <c r="U38" s="5">
        <f>IF(P38="NOT_CHECKED",0,40)+IF(Q38="NOT_CHECKED",0,30)+IF(R38="NOT_CHECKED",0,20)+IF(S38="NOT_CHECKED",0,10)</f>
        <v/>
      </c>
      <c r="V38" s="5">
        <f>IF(U38=100,T38,"")</f>
        <v/>
      </c>
      <c r="W38" s="5">
        <f>T38</f>
        <v/>
      </c>
      <c r="X38" s="5">
        <f>T38+(100-U38)</f>
        <v/>
      </c>
      <c r="Y38" s="2" t="inlineStr">
        <is>
          <t>ISSUE-0050</t>
        </is>
      </c>
      <c r="Z38" s="2" t="inlineStr">
        <is>
          <t>D:\Shopify_Workspace\jeminise_seo\seo_runs\jeminise.com\20260906_234129\qa\20260907_204400\images\136_04.jpg; seo_runs\jeminise.com\20260906_234129\evidence\images\136_dragonfly-patchwork-quilt-set-animal-patchwork-bedset-dragonfly\image_04_47933463920839.jpg; seo_runs\jeminise.com\20260906_234129\evidence\contact_sheets\136_dragonfly-patchwork-quilt-set-animal-patchwork-bedset-dragonfly.jpg</t>
        </is>
      </c>
    </row>
    <row r="39" ht="66" customHeight="1">
      <c r="A39" s="3" t="inlineStr">
        <is>
          <t>jeminise.com+dragonfly-patchwork-quilt-set-animal-patchwork-bedset-dragonfly</t>
        </is>
      </c>
      <c r="B39" s="3" t="inlineStr">
        <is>
          <t>img_7b8833e8e4c76939</t>
        </is>
      </c>
      <c r="C39" s="4" t="inlineStr">
        <is>
          <t>https://cdn.shopify.com/s/files/1/0792/5098/1063/files/26c489f36b5c9dd3f53ff71fef03463a680ed62b30ccbb63398d23dd71b45a80.jpg?v=1787233701</t>
        </is>
      </c>
      <c r="D39" s="4" t="inlineStr">
        <is>
          <t>https://cdn.shopify.com/s/files/1/0792/5098/1063/files/26c489f36b5c9dd3f53ff71fef03463a680ed62b30ccbb63398d23dd71b45a80.jpg?v=1787233701</t>
        </is>
      </c>
      <c r="E39" s="3" t="inlineStr">
        <is>
          <t>47933463953607</t>
        </is>
      </c>
      <c r="F39" s="3" t="inlineStr">
        <is>
          <t>47933463953607</t>
        </is>
      </c>
      <c r="G39" s="3" t="inlineStr"/>
      <c r="H39" s="3" t="inlineStr">
        <is>
          <t>GALLERY</t>
        </is>
      </c>
      <c r="I39" s="3" t="inlineStr">
        <is>
          <t>DIRECT_IMAGE_DOWNLOAD_AND_SOURCE_ROW_REVIEW</t>
        </is>
      </c>
      <c r="J39" s="3" t="inlineStr">
        <is>
          <t>2026-09-07T20:46:57+07:00</t>
        </is>
      </c>
      <c r="K39" s="3" t="inlineStr">
        <is>
          <t>Direct QA opened downloaded image 136_05; source SHA CCD38C7C1E6F292C6F207B0731BF1ACB4DD3BAFA4F9DD985E6A1F04727C8DA66. Submitted observation reviewed against gallery position.</t>
        </is>
      </c>
      <c r="L39" s="3" t="inlineStr">
        <is>
          <t>Additional mockup, care or size information for blue yellow dragonfly pond quilt.</t>
        </is>
      </c>
      <c r="M39" s="3" t="inlineStr">
        <is>
          <t>UNKNOWN</t>
        </is>
      </c>
      <c r="N39" s="3" t="inlineStr">
        <is>
          <t>SET</t>
        </is>
      </c>
      <c r="O39" s="3" t="inlineStr">
        <is>
          <t>Additional product mockup or care information for Blue Yellow Dragonfly Pond Quilt</t>
        </is>
      </c>
      <c r="P39" s="3" t="inlineStr">
        <is>
          <t>FULL</t>
        </is>
      </c>
      <c r="Q39" s="3" t="inlineStr">
        <is>
          <t>FULL</t>
        </is>
      </c>
      <c r="R39" s="3" t="inlineStr">
        <is>
          <t>FULL</t>
        </is>
      </c>
      <c r="S39" s="3" t="inlineStr">
        <is>
          <t>FULL</t>
        </is>
      </c>
      <c r="T39" s="7">
        <f>IF(P39="FULL",40,IF(P39="PARTIAL",40/2,0))+IF(Q39="FULL",30,IF(Q39="PARTIAL",30/2,0))+IF(R39="FULL",20,IF(R39="PARTIAL",20/2,0))+IF(S39="FULL",10,IF(S39="PARTIAL",10/2,0))</f>
        <v/>
      </c>
      <c r="U39" s="7">
        <f>IF(P39="NOT_CHECKED",0,40)+IF(Q39="NOT_CHECKED",0,30)+IF(R39="NOT_CHECKED",0,20)+IF(S39="NOT_CHECKED",0,10)</f>
        <v/>
      </c>
      <c r="V39" s="7">
        <f>IF(U39=100,T39,"")</f>
        <v/>
      </c>
      <c r="W39" s="7">
        <f>T39</f>
        <v/>
      </c>
      <c r="X39" s="7">
        <f>T39+(100-U39)</f>
        <v/>
      </c>
      <c r="Y39" s="3" t="inlineStr"/>
      <c r="Z39" s="3" t="inlineStr">
        <is>
          <t>D:\Shopify_Workspace\jeminise_seo\seo_runs\jeminise.com\20260906_234129\qa\20260907_204400\images\136_05.jpg; seo_runs\jeminise.com\20260906_234129\evidence\images\136_dragonfly-patchwork-quilt-set-animal-patchwork-bedset-dragonfly\image_05_47933463953607.jpg; seo_runs\jeminise.com\20260906_234129\evidence\contact_sheets\136_dragonfly-patchwork-quilt-set-animal-patchwork-bedset-dragonfly.jpg</t>
        </is>
      </c>
    </row>
    <row r="40" ht="66" customHeight="1">
      <c r="A40" s="2" t="inlineStr">
        <is>
          <t>jeminise.com+dragonfly-patchwork-quilt-set-animal-patchwork-bedset-dragonfly</t>
        </is>
      </c>
      <c r="B40" s="2" t="inlineStr">
        <is>
          <t>img_446d47335c7dbb14</t>
        </is>
      </c>
      <c r="C40" s="4" t="inlineStr">
        <is>
          <t>https://cdn.shopify.com/s/files/1/0792/5098/1063/files/4afff5bd1108a84e934e1e4f25eafcbe926a65ce790598d12db0393917520582.jpg?v=1787233701</t>
        </is>
      </c>
      <c r="D40" s="4" t="inlineStr">
        <is>
          <t>https://cdn.shopify.com/s/files/1/0792/5098/1063/files/4afff5bd1108a84e934e1e4f25eafcbe926a65ce790598d12db0393917520582.jpg?v=1787233701</t>
        </is>
      </c>
      <c r="E40" s="2" t="inlineStr">
        <is>
          <t>47933463986375</t>
        </is>
      </c>
      <c r="F40" s="2" t="inlineStr">
        <is>
          <t>47933463986375</t>
        </is>
      </c>
      <c r="G40" s="2" t="inlineStr"/>
      <c r="H40" s="2" t="inlineStr">
        <is>
          <t>GALLERY</t>
        </is>
      </c>
      <c r="I40" s="2" t="inlineStr">
        <is>
          <t>DIRECT_IMAGE_DOWNLOAD_AND_SOURCE_ROW_REVIEW</t>
        </is>
      </c>
      <c r="J40" s="2" t="inlineStr">
        <is>
          <t>2026-09-07T20:46:57+07:00</t>
        </is>
      </c>
      <c r="K40" s="2" t="inlineStr">
        <is>
          <t>Direct QA opened downloaded image 136_06; source SHA 74E286403662634E3A90CE08BD6494A211F0A913B30F708AD6C87FD7B9C8C7A7. Submitted observation reviewed against gallery position.</t>
        </is>
      </c>
      <c r="L40" s="2" t="inlineStr">
        <is>
          <t>Easy-care, size guide or product feature image for blue yellow dragonfly pond quilt.</t>
        </is>
      </c>
      <c r="M40" s="2" t="inlineStr">
        <is>
          <t>UNKNOWN</t>
        </is>
      </c>
      <c r="N40" s="2" t="inlineStr">
        <is>
          <t>SET</t>
        </is>
      </c>
      <c r="O40" s="2" t="inlineStr">
        <is>
          <t>Care, size or product feature image for Blue Yellow Dragonfly Pond Quilt</t>
        </is>
      </c>
      <c r="P40" s="2" t="inlineStr">
        <is>
          <t>FULL</t>
        </is>
      </c>
      <c r="Q40" s="2" t="inlineStr">
        <is>
          <t>PARTIAL</t>
        </is>
      </c>
      <c r="R40" s="2" t="inlineStr">
        <is>
          <t>FULL</t>
        </is>
      </c>
      <c r="S40" s="2" t="inlineStr">
        <is>
          <t>FULL</t>
        </is>
      </c>
      <c r="T40" s="5">
        <f>IF(P40="FULL",40,IF(P40="PARTIAL",40/2,0))+IF(Q40="FULL",30,IF(Q40="PARTIAL",30/2,0))+IF(R40="FULL",20,IF(R40="PARTIAL",20/2,0))+IF(S40="FULL",10,IF(S40="PARTIAL",10/2,0))</f>
        <v/>
      </c>
      <c r="U40" s="5">
        <f>IF(P40="NOT_CHECKED",0,40)+IF(Q40="NOT_CHECKED",0,30)+IF(R40="NOT_CHECKED",0,20)+IF(S40="NOT_CHECKED",0,10)</f>
        <v/>
      </c>
      <c r="V40" s="5">
        <f>IF(U40=100,T40,"")</f>
        <v/>
      </c>
      <c r="W40" s="5">
        <f>T40</f>
        <v/>
      </c>
      <c r="X40" s="5">
        <f>T40+(100-U40)</f>
        <v/>
      </c>
      <c r="Y40" s="2" t="inlineStr">
        <is>
          <t>ISSUE-0051</t>
        </is>
      </c>
      <c r="Z40" s="2" t="inlineStr">
        <is>
          <t>D:\Shopify_Workspace\jeminise_seo\seo_runs\jeminise.com\20260906_234129\qa\20260907_204400\images\136_06.jpg; seo_runs\jeminise.com\20260906_234129\evidence\images\136_dragonfly-patchwork-quilt-set-animal-patchwork-bedset-dragonfly\image_06_47933463986375.jpg; seo_runs\jeminise.com\20260906_234129\evidence\contact_sheets\136_dragonfly-patchwork-quilt-set-animal-patchwork-bedset-dragonfly.jpg</t>
        </is>
      </c>
    </row>
    <row r="41" ht="66" customHeight="1">
      <c r="A41" s="3" t="inlineStr">
        <is>
          <t>jeminise.com+dragonfly-patchwork-quilt-set-animal-patchwork-bedset-dragonfly</t>
        </is>
      </c>
      <c r="B41" s="3" t="inlineStr">
        <is>
          <t>img_75d0541140ad279b</t>
        </is>
      </c>
      <c r="C41" s="4" t="inlineStr">
        <is>
          <t>https://cdn.shopify.com/s/files/1/0792/5098/1063/files/3c6b81c89c93cc1a2b36e7c9c961611600af5ce82faf4937ed7c98dabff514eb.jpg?v=1787233701</t>
        </is>
      </c>
      <c r="D41" s="4" t="inlineStr">
        <is>
          <t>https://cdn.shopify.com/s/files/1/0792/5098/1063/files/3c6b81c89c93cc1a2b36e7c9c961611600af5ce82faf4937ed7c98dabff514eb.jpg?v=1787233701</t>
        </is>
      </c>
      <c r="E41" s="3" t="inlineStr">
        <is>
          <t>47933464019143</t>
        </is>
      </c>
      <c r="F41" s="3" t="inlineStr">
        <is>
          <t>47933464019143</t>
        </is>
      </c>
      <c r="G41" s="3" t="inlineStr"/>
      <c r="H41" s="3" t="inlineStr">
        <is>
          <t>GALLERY</t>
        </is>
      </c>
      <c r="I41" s="3" t="inlineStr">
        <is>
          <t>DIRECT_IMAGE_DOWNLOAD_AND_SOURCE_ROW_REVIEW</t>
        </is>
      </c>
      <c r="J41" s="3" t="inlineStr">
        <is>
          <t>2026-09-07T20:46:57+07:00</t>
        </is>
      </c>
      <c r="K41" s="3" t="inlineStr">
        <is>
          <t>Direct QA opened downloaded image 136_07; source SHA D3D012735C6D8BB8764C1355363F2E97651FD281CA6D3942D978BA27169A81F2. Submitted observation reviewed against gallery position.</t>
        </is>
      </c>
      <c r="L41" s="3" t="inlineStr">
        <is>
          <t>Additional lifestyle, feature or product detail image showing blue yellow dragonfly pond quilt.</t>
        </is>
      </c>
      <c r="M41" s="3" t="inlineStr">
        <is>
          <t>UNKNOWN</t>
        </is>
      </c>
      <c r="N41" s="3" t="inlineStr">
        <is>
          <t>SET</t>
        </is>
      </c>
      <c r="O41" s="3" t="inlineStr">
        <is>
          <t>Additional product mockup of Blue Yellow Dragonfly Pond Quilt</t>
        </is>
      </c>
      <c r="P41" s="3" t="inlineStr">
        <is>
          <t>FULL</t>
        </is>
      </c>
      <c r="Q41" s="3" t="inlineStr">
        <is>
          <t>PARTIAL</t>
        </is>
      </c>
      <c r="R41" s="3" t="inlineStr">
        <is>
          <t>FULL</t>
        </is>
      </c>
      <c r="S41" s="3" t="inlineStr">
        <is>
          <t>FULL</t>
        </is>
      </c>
      <c r="T41" s="7">
        <f>IF(P41="FULL",40,IF(P41="PARTIAL",40/2,0))+IF(Q41="FULL",30,IF(Q41="PARTIAL",30/2,0))+IF(R41="FULL",20,IF(R41="PARTIAL",20/2,0))+IF(S41="FULL",10,IF(S41="PARTIAL",10/2,0))</f>
        <v/>
      </c>
      <c r="U41" s="7">
        <f>IF(P41="NOT_CHECKED",0,40)+IF(Q41="NOT_CHECKED",0,30)+IF(R41="NOT_CHECKED",0,20)+IF(S41="NOT_CHECKED",0,10)</f>
        <v/>
      </c>
      <c r="V41" s="7">
        <f>IF(U41=100,T41,"")</f>
        <v/>
      </c>
      <c r="W41" s="7">
        <f>T41</f>
        <v/>
      </c>
      <c r="X41" s="7">
        <f>T41+(100-U41)</f>
        <v/>
      </c>
      <c r="Y41" s="3" t="inlineStr">
        <is>
          <t>ISSUE-0052</t>
        </is>
      </c>
      <c r="Z41" s="3" t="inlineStr">
        <is>
          <t>D:\Shopify_Workspace\jeminise_seo\seo_runs\jeminise.com\20260906_234129\qa\20260907_204400\images\136_07.jpg; seo_runs\jeminise.com\20260906_234129\evidence\images\136_dragonfly-patchwork-quilt-set-animal-patchwork-bedset-dragonfly\image_07_47933464019143.jpg; seo_runs\jeminise.com\20260906_234129\evidence\contact_sheets\136_dragonfly-patchwork-quilt-set-animal-patchwork-bedset-dragonfly.jpg</t>
        </is>
      </c>
    </row>
    <row r="42" ht="66" customHeight="1">
      <c r="A42" s="2" t="inlineStr">
        <is>
          <t>jeminise.com+dragonfly-pattern-quilt-set-dragonflies-vintage-quilt-set-patchwork</t>
        </is>
      </c>
      <c r="B42" s="2" t="inlineStr">
        <is>
          <t>img_ddf17826f3b89887</t>
        </is>
      </c>
      <c r="C42" s="4" t="inlineStr">
        <is>
          <t>https://cdn.shopify.com/s/files/1/0792/5098/1063/files/d42c647b4b706bfbd5848e9a710dc0ab52b9128d5478ff315a703f27f50d0183.jpg?v=1787233586</t>
        </is>
      </c>
      <c r="D42" s="4" t="inlineStr">
        <is>
          <t>https://cdn.shopify.com/s/files/1/0792/5098/1063/files/d42c647b4b706bfbd5848e9a710dc0ab52b9128d5478ff315a703f27f50d0183.jpg?v=1787233586</t>
        </is>
      </c>
      <c r="E42" s="2" t="inlineStr">
        <is>
          <t>47933450977479</t>
        </is>
      </c>
      <c r="F42" s="2" t="inlineStr">
        <is>
          <t>47933450977479</t>
        </is>
      </c>
      <c r="G42" s="2" t="inlineStr"/>
      <c r="H42" s="2" t="inlineStr">
        <is>
          <t>GALLERY</t>
        </is>
      </c>
      <c r="I42" s="2" t="inlineStr">
        <is>
          <t>DIRECT_IMAGE_DOWNLOAD_AND_SOURCE_ROW_REVIEW</t>
        </is>
      </c>
      <c r="J42" s="2" t="inlineStr">
        <is>
          <t>2026-09-07T20:46:57+07:00</t>
        </is>
      </c>
      <c r="K42" s="2" t="inlineStr">
        <is>
          <t>Direct QA opened downloaded image 137_01; source SHA CFA95F4301A80792A334154355090E77053E9AD9A2D79E6D6148AC584F568CA2. Submitted observation reviewed against gallery position.</t>
        </is>
      </c>
      <c r="L42" s="2" t="inlineStr">
        <is>
          <t>Main product mockup showing purple vintage dragonfly quilt set.</t>
        </is>
      </c>
      <c r="M42" s="2" t="inlineStr">
        <is>
          <t>UNKNOWN</t>
        </is>
      </c>
      <c r="N42" s="2" t="inlineStr">
        <is>
          <t>SET</t>
        </is>
      </c>
      <c r="O42" s="2" t="inlineStr">
        <is>
          <t>Purple Vintage Dragonfly Quilt Set displayed in a main product mockup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PARTIAL</t>
        </is>
      </c>
      <c r="S42" s="2" t="inlineStr">
        <is>
          <t>FULL</t>
        </is>
      </c>
      <c r="T42" s="5">
        <f>IF(P42="FULL",40,IF(P42="PARTIAL",40/2,0))+IF(Q42="FULL",30,IF(Q42="PARTIAL",30/2,0))+IF(R42="FULL",20,IF(R42="PARTIAL",20/2,0))+IF(S42="FULL",10,IF(S42="PARTIAL",10/2,0))</f>
        <v/>
      </c>
      <c r="U42" s="5">
        <f>IF(P42="NOT_CHECKED",0,40)+IF(Q42="NOT_CHECKED",0,30)+IF(R42="NOT_CHECKED",0,20)+IF(S42="NOT_CHECKED",0,10)</f>
        <v/>
      </c>
      <c r="V42" s="5">
        <f>IF(U42=100,T42,"")</f>
        <v/>
      </c>
      <c r="W42" s="5">
        <f>T42</f>
        <v/>
      </c>
      <c r="X42" s="5">
        <f>T42+(100-U42)</f>
        <v/>
      </c>
      <c r="Y42" s="2" t="inlineStr">
        <is>
          <t>ISSUE-0057</t>
        </is>
      </c>
      <c r="Z42" s="2" t="inlineStr">
        <is>
          <t>D:\Shopify_Workspace\jeminise_seo\seo_runs\jeminise.com\20260906_234129\qa\20260907_204400\images\137_01.jpg; seo_runs\jeminise.com\20260906_234129\evidence\images\137_dragonfly-pattern-quilt-set-dragonflies-vintage-quilt-set-patchwork\image_01_47933450977479.jpg; seo_runs\jeminise.com\20260906_234129\evidence\contact_sheets\137_dragonfly-pattern-quilt-set-dragonflies-vintage-quilt-set-patchwork.jpg</t>
        </is>
      </c>
    </row>
    <row r="43" ht="66" customHeight="1">
      <c r="A43" s="3" t="inlineStr">
        <is>
          <t>jeminise.com+dragonfly-pattern-quilt-set-dragonflies-vintage-quilt-set-patchwork</t>
        </is>
      </c>
      <c r="B43" s="3" t="inlineStr">
        <is>
          <t>img_cb35bb296569f30a</t>
        </is>
      </c>
      <c r="C43" s="4" t="inlineStr">
        <is>
          <t>https://cdn.shopify.com/s/files/1/0792/5098/1063/files/0aa3a97c3c6bf1377731a7ab954986bf5cd00ce0495e088246f06f089519dd05.jpg?v=1787233582</t>
        </is>
      </c>
      <c r="D43" s="4" t="inlineStr">
        <is>
          <t>https://cdn.shopify.com/s/files/1/0792/5098/1063/files/0aa3a97c3c6bf1377731a7ab954986bf5cd00ce0495e088246f06f089519dd05.jpg?v=1787233582</t>
        </is>
      </c>
      <c r="E43" s="3" t="inlineStr">
        <is>
          <t>47933451010247</t>
        </is>
      </c>
      <c r="F43" s="3" t="inlineStr">
        <is>
          <t>47933451010247</t>
        </is>
      </c>
      <c r="G43" s="3" t="inlineStr"/>
      <c r="H43" s="3" t="inlineStr">
        <is>
          <t>GALLERY</t>
        </is>
      </c>
      <c r="I43" s="3" t="inlineStr">
        <is>
          <t>DIRECT_IMAGE_DOWNLOAD_AND_SOURCE_ROW_REVIEW</t>
        </is>
      </c>
      <c r="J43" s="3" t="inlineStr">
        <is>
          <t>2026-09-07T20:46:57+07:00</t>
        </is>
      </c>
      <c r="K43" s="3" t="inlineStr">
        <is>
          <t>Direct QA opened downloaded image 137_02; source SHA 6D4533265B7F7AA5974125D41487BE311CD10974F566DF55DC33990F9824E349. Submitted observation reviewed against gallery position.</t>
        </is>
      </c>
      <c r="L43" s="3" t="inlineStr">
        <is>
          <t>Secondary flat, close-up or bedroom mockup showing purple vintage dragonfly quilt set.</t>
        </is>
      </c>
      <c r="M43" s="3" t="inlineStr">
        <is>
          <t>UNKNOWN</t>
        </is>
      </c>
      <c r="N43" s="3" t="inlineStr">
        <is>
          <t>SET</t>
        </is>
      </c>
      <c r="O43" s="3" t="inlineStr">
        <is>
          <t>Secondary mockup of Purple Vintage Dragonfly Quilt Set</t>
        </is>
      </c>
      <c r="P43" s="3" t="inlineStr">
        <is>
          <t>FULL</t>
        </is>
      </c>
      <c r="Q43" s="3" t="inlineStr">
        <is>
          <t>FULL</t>
        </is>
      </c>
      <c r="R43" s="3" t="inlineStr">
        <is>
          <t>FULL</t>
        </is>
      </c>
      <c r="S43" s="3" t="inlineStr">
        <is>
          <t>FULL</t>
        </is>
      </c>
      <c r="T43" s="7">
        <f>IF(P43="FULL",40,IF(P43="PARTIAL",40/2,0))+IF(Q43="FULL",30,IF(Q43="PARTIAL",30/2,0))+IF(R43="FULL",20,IF(R43="PARTIAL",20/2,0))+IF(S43="FULL",10,IF(S43="PARTIAL",10/2,0))</f>
        <v/>
      </c>
      <c r="U43" s="7">
        <f>IF(P43="NOT_CHECKED",0,40)+IF(Q43="NOT_CHECKED",0,30)+IF(R43="NOT_CHECKED",0,20)+IF(S43="NOT_CHECKED",0,10)</f>
        <v/>
      </c>
      <c r="V43" s="7">
        <f>IF(U43=100,T43,"")</f>
        <v/>
      </c>
      <c r="W43" s="7">
        <f>T43</f>
        <v/>
      </c>
      <c r="X43" s="7">
        <f>T43+(100-U43)</f>
        <v/>
      </c>
      <c r="Y43" s="3" t="inlineStr"/>
      <c r="Z43" s="3" t="inlineStr">
        <is>
          <t>D:\Shopify_Workspace\jeminise_seo\seo_runs\jeminise.com\20260906_234129\qa\20260907_204400\images\137_02.jpg; seo_runs\jeminise.com\20260906_234129\evidence\images\137_dragonfly-pattern-quilt-set-dragonflies-vintage-quilt-set-patchwork\image_02_47933451010247.jpg; seo_runs\jeminise.com\20260906_234129\evidence\contact_sheets\137_dragonfly-pattern-quilt-set-dragonflies-vintage-quilt-set-patchwork.jpg</t>
        </is>
      </c>
    </row>
    <row r="44" ht="66" customHeight="1">
      <c r="A44" s="2" t="inlineStr">
        <is>
          <t>jeminise.com+dragonfly-pattern-quilt-set-dragonflies-vintage-quilt-set-patchwork</t>
        </is>
      </c>
      <c r="B44" s="2" t="inlineStr">
        <is>
          <t>img_e16a4a42a58d2ad3</t>
        </is>
      </c>
      <c r="C44" s="4" t="inlineStr">
        <is>
          <t>https://cdn.shopify.com/s/files/1/0792/5098/1063/files/ac2d2eb5d06502bcefbdde305518d81e55f752d7c3af6ea61e31704d009421e6.jpg?v=1787233582</t>
        </is>
      </c>
      <c r="D44" s="4" t="inlineStr">
        <is>
          <t>https://cdn.shopify.com/s/files/1/0792/5098/1063/files/ac2d2eb5d06502bcefbdde305518d81e55f752d7c3af6ea61e31704d009421e6.jpg?v=1787233582</t>
        </is>
      </c>
      <c r="E44" s="2" t="inlineStr">
        <is>
          <t>47933451043015</t>
        </is>
      </c>
      <c r="F44" s="2" t="inlineStr">
        <is>
          <t>47933451043015</t>
        </is>
      </c>
      <c r="G44" s="2" t="inlineStr"/>
      <c r="H44" s="2" t="inlineStr">
        <is>
          <t>GALLERY</t>
        </is>
      </c>
      <c r="I44" s="2" t="inlineStr">
        <is>
          <t>DIRECT_IMAGE_DOWNLOAD_AND_SOURCE_ROW_REVIEW</t>
        </is>
      </c>
      <c r="J44" s="2" t="inlineStr">
        <is>
          <t>2026-09-07T20:46:57+07:00</t>
        </is>
      </c>
      <c r="K44" s="2" t="inlineStr">
        <is>
          <t>Direct QA opened downloaded image 137_03; source SHA 31BFD38AC433214ABF16DF70C389360929B95BBDD04A001431274D02A7355C24. Submitted observation reviewed against gallery position.</t>
        </is>
      </c>
      <c r="L44" s="2" t="inlineStr">
        <is>
          <t>Bedding type, feature, lifestyle or material image for purple vintage dragonfly quilt set.</t>
        </is>
      </c>
      <c r="M44" s="2" t="inlineStr">
        <is>
          <t>UNKNOWN</t>
        </is>
      </c>
      <c r="N44" s="2" t="inlineStr">
        <is>
          <t>SET</t>
        </is>
      </c>
      <c r="O44" s="2" t="inlineStr">
        <is>
          <t>Product option, feature or lifestyle image for Purple Vintage Dragonfly Quilt Set</t>
        </is>
      </c>
      <c r="P44" s="2" t="inlineStr">
        <is>
          <t>FULL</t>
        </is>
      </c>
      <c r="Q44" s="2" t="inlineStr">
        <is>
          <t>PARTIAL</t>
        </is>
      </c>
      <c r="R44" s="2" t="inlineStr">
        <is>
          <t>FULL</t>
        </is>
      </c>
      <c r="S44" s="2" t="inlineStr">
        <is>
          <t>FULL</t>
        </is>
      </c>
      <c r="T44" s="5">
        <f>IF(P44="FULL",40,IF(P44="PARTIAL",40/2,0))+IF(Q44="FULL",30,IF(Q44="PARTIAL",30/2,0))+IF(R44="FULL",20,IF(R44="PARTIAL",20/2,0))+IF(S44="FULL",10,IF(S44="PARTIAL",10/2,0))</f>
        <v/>
      </c>
      <c r="U44" s="5">
        <f>IF(P44="NOT_CHECKED",0,40)+IF(Q44="NOT_CHECKED",0,30)+IF(R44="NOT_CHECKED",0,20)+IF(S44="NOT_CHECKED",0,10)</f>
        <v/>
      </c>
      <c r="V44" s="5">
        <f>IF(U44=100,T44,"")</f>
        <v/>
      </c>
      <c r="W44" s="5">
        <f>T44</f>
        <v/>
      </c>
      <c r="X44" s="5">
        <f>T44+(100-U44)</f>
        <v/>
      </c>
      <c r="Y44" s="2" t="inlineStr">
        <is>
          <t>ISSUE-0058</t>
        </is>
      </c>
      <c r="Z44" s="2" t="inlineStr">
        <is>
          <t>D:\Shopify_Workspace\jeminise_seo\seo_runs\jeminise.com\20260906_234129\qa\20260907_204400\images\137_03.jpg; seo_runs\jeminise.com\20260906_234129\evidence\images\137_dragonfly-pattern-quilt-set-dragonflies-vintage-quilt-set-patchwork\image_03_47933451043015.jpg; seo_runs\jeminise.com\20260906_234129\evidence\contact_sheets\137_dragonfly-pattern-quilt-set-dragonflies-vintage-quilt-set-patchwork.jpg</t>
        </is>
      </c>
    </row>
    <row r="45" ht="66" customHeight="1">
      <c r="A45" s="3" t="inlineStr">
        <is>
          <t>jeminise.com+dragonfly-pattern-quilt-set-dragonflies-vintage-quilt-set-patchwork</t>
        </is>
      </c>
      <c r="B45" s="3" t="inlineStr">
        <is>
          <t>img_7e0ce13fddf9a041</t>
        </is>
      </c>
      <c r="C45" s="4" t="inlineStr">
        <is>
          <t>https://cdn.shopify.com/s/files/1/0792/5098/1063/files/808ae5fe90da050444c4e3612490d96973cad27c2bdd67ad6d7cf5c5b81ca06b.jpg?v=1787233581</t>
        </is>
      </c>
      <c r="D45" s="4" t="inlineStr">
        <is>
          <t>https://cdn.shopify.com/s/files/1/0792/5098/1063/files/808ae5fe90da050444c4e3612490d96973cad27c2bdd67ad6d7cf5c5b81ca06b.jpg?v=1787233581</t>
        </is>
      </c>
      <c r="E45" s="3" t="inlineStr">
        <is>
          <t>47933451075783</t>
        </is>
      </c>
      <c r="F45" s="3" t="inlineStr">
        <is>
          <t>47933451075783</t>
        </is>
      </c>
      <c r="G45" s="3" t="inlineStr"/>
      <c r="H45" s="3" t="inlineStr">
        <is>
          <t>GALLERY</t>
        </is>
      </c>
      <c r="I45" s="3" t="inlineStr">
        <is>
          <t>DIRECT_IMAGE_DOWNLOAD_AND_SOURCE_ROW_REVIEW</t>
        </is>
      </c>
      <c r="J45" s="3" t="inlineStr">
        <is>
          <t>2026-09-07T20:46:57+07:00</t>
        </is>
      </c>
      <c r="K45" s="3" t="inlineStr">
        <is>
          <t>Direct QA opened downloaded image 137_04; source SHA 8CD7DEAD00EEE46CB31171D8D8BBFC19447E5CE666768AAEEC9416B191989039. Submitted observation reviewed against gallery position.</t>
        </is>
      </c>
      <c r="L45" s="3" t="inlineStr">
        <is>
          <t>Detail, feature panel or lifestyle image connected to purple vintage dragonfly quilt set.</t>
        </is>
      </c>
      <c r="M45" s="3" t="inlineStr">
        <is>
          <t>UNKNOWN</t>
        </is>
      </c>
      <c r="N45" s="3" t="inlineStr">
        <is>
          <t>SET</t>
        </is>
      </c>
      <c r="O45" s="3" t="inlineStr">
        <is>
          <t>Detail or feature image for Purple Vintage Dragonfly Quilt Set</t>
        </is>
      </c>
      <c r="P45" s="3" t="inlineStr">
        <is>
          <t>FULL</t>
        </is>
      </c>
      <c r="Q45" s="3" t="inlineStr">
        <is>
          <t>PARTIAL</t>
        </is>
      </c>
      <c r="R45" s="3" t="inlineStr">
        <is>
          <t>FULL</t>
        </is>
      </c>
      <c r="S45" s="3" t="inlineStr">
        <is>
          <t>FULL</t>
        </is>
      </c>
      <c r="T45" s="7">
        <f>IF(P45="FULL",40,IF(P45="PARTIAL",40/2,0))+IF(Q45="FULL",30,IF(Q45="PARTIAL",30/2,0))+IF(R45="FULL",20,IF(R45="PARTIAL",20/2,0))+IF(S45="FULL",10,IF(S45="PARTIAL",10/2,0))</f>
        <v/>
      </c>
      <c r="U45" s="7">
        <f>IF(P45="NOT_CHECKED",0,40)+IF(Q45="NOT_CHECKED",0,30)+IF(R45="NOT_CHECKED",0,20)+IF(S45="NOT_CHECKED",0,10)</f>
        <v/>
      </c>
      <c r="V45" s="7">
        <f>IF(U45=100,T45,"")</f>
        <v/>
      </c>
      <c r="W45" s="7">
        <f>T45</f>
        <v/>
      </c>
      <c r="X45" s="7">
        <f>T45+(100-U45)</f>
        <v/>
      </c>
      <c r="Y45" s="3" t="inlineStr">
        <is>
          <t>ISSUE-0059</t>
        </is>
      </c>
      <c r="Z45" s="3" t="inlineStr">
        <is>
          <t>D:\Shopify_Workspace\jeminise_seo\seo_runs\jeminise.com\20260906_234129\qa\20260907_204400\images\137_04.jpg; seo_runs\jeminise.com\20260906_234129\evidence\images\137_dragonfly-pattern-quilt-set-dragonflies-vintage-quilt-set-patchwork\image_04_47933451075783.jpg; seo_runs\jeminise.com\20260906_234129\evidence\contact_sheets\137_dragonfly-pattern-quilt-set-dragonflies-vintage-quilt-set-patchwork.jpg</t>
        </is>
      </c>
    </row>
    <row r="46" ht="66" customHeight="1">
      <c r="A46" s="2" t="inlineStr">
        <is>
          <t>jeminise.com+dragonfly-pattern-quilt-set-dragonflies-vintage-quilt-set-patchwork</t>
        </is>
      </c>
      <c r="B46" s="2" t="inlineStr">
        <is>
          <t>img_f4a5cf466855361f</t>
        </is>
      </c>
      <c r="C46" s="4" t="inlineStr">
        <is>
          <t>https://cdn.shopify.com/s/files/1/0792/5098/1063/files/8a0ff60ea60ef4d9dfda2cc124d0a91e06ef6e8a08751b61da15f6b289b04fc2.jpg?v=1787233581</t>
        </is>
      </c>
      <c r="D46" s="4" t="inlineStr">
        <is>
          <t>https://cdn.shopify.com/s/files/1/0792/5098/1063/files/8a0ff60ea60ef4d9dfda2cc124d0a91e06ef6e8a08751b61da15f6b289b04fc2.jpg?v=1787233581</t>
        </is>
      </c>
      <c r="E46" s="2" t="inlineStr">
        <is>
          <t>47933451108551</t>
        </is>
      </c>
      <c r="F46" s="2" t="inlineStr">
        <is>
          <t>47933451108551</t>
        </is>
      </c>
      <c r="G46" s="2" t="inlineStr"/>
      <c r="H46" s="2" t="inlineStr">
        <is>
          <t>GALLERY</t>
        </is>
      </c>
      <c r="I46" s="2" t="inlineStr">
        <is>
          <t>DIRECT_IMAGE_DOWNLOAD_AND_SOURCE_ROW_REVIEW</t>
        </is>
      </c>
      <c r="J46" s="2" t="inlineStr">
        <is>
          <t>2026-09-07T20:46:57+07:00</t>
        </is>
      </c>
      <c r="K46" s="2" t="inlineStr">
        <is>
          <t>Direct QA opened downloaded image 137_05; source SHA 477CECEFAA0A26D6862FF8FB8AC9792133D4A47E8F923734116C39303F4C0996. Submitted observation reviewed against gallery position.</t>
        </is>
      </c>
      <c r="L46" s="2" t="inlineStr">
        <is>
          <t>Additional mockup, care or size information for purple vintage dragonfly quilt set.</t>
        </is>
      </c>
      <c r="M46" s="2" t="inlineStr">
        <is>
          <t>UNKNOWN</t>
        </is>
      </c>
      <c r="N46" s="2" t="inlineStr">
        <is>
          <t>SET</t>
        </is>
      </c>
      <c r="O46" s="2" t="inlineStr">
        <is>
          <t>Additional product mockup or care information for Purple Vintage Dragonfly Quilt Set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5">
        <f>IF(P46="FULL",40,IF(P46="PARTIAL",40/2,0))+IF(Q46="FULL",30,IF(Q46="PARTIAL",30/2,0))+IF(R46="FULL",20,IF(R46="PARTIAL",20/2,0))+IF(S46="FULL",10,IF(S46="PARTIAL",10/2,0))</f>
        <v/>
      </c>
      <c r="U46" s="5">
        <f>IF(P46="NOT_CHECKED",0,40)+IF(Q46="NOT_CHECKED",0,30)+IF(R46="NOT_CHECKED",0,20)+IF(S46="NOT_CHECKED",0,10)</f>
        <v/>
      </c>
      <c r="V46" s="5">
        <f>IF(U46=100,T46,"")</f>
        <v/>
      </c>
      <c r="W46" s="5">
        <f>T46</f>
        <v/>
      </c>
      <c r="X46" s="5">
        <f>T46+(100-U46)</f>
        <v/>
      </c>
      <c r="Y46" s="2" t="inlineStr"/>
      <c r="Z46" s="2" t="inlineStr">
        <is>
          <t>D:\Shopify_Workspace\jeminise_seo\seo_runs\jeminise.com\20260906_234129\qa\20260907_204400\images\137_05.jpg; seo_runs\jeminise.com\20260906_234129\evidence\images\137_dragonfly-pattern-quilt-set-dragonflies-vintage-quilt-set-patchwork\image_05_47933451108551.jpg; seo_runs\jeminise.com\20260906_234129\evidence\contact_sheets\137_dragonfly-pattern-quilt-set-dragonflies-vintage-quilt-set-patchwork.jpg</t>
        </is>
      </c>
    </row>
    <row r="47" ht="66" customHeight="1">
      <c r="A47" s="3" t="inlineStr">
        <is>
          <t>jeminise.com+dragonfly-pattern-quilt-set-dragonflies-vintage-quilt-set-patchwork</t>
        </is>
      </c>
      <c r="B47" s="3" t="inlineStr">
        <is>
          <t>img_8f42261d499d0d75</t>
        </is>
      </c>
      <c r="C47" s="4" t="inlineStr">
        <is>
          <t>https://cdn.shopify.com/s/files/1/0792/5098/1063/files/3179bba8368b480a48e602947287ddb7c4c1df7b24c318ee48e0ccdd734c67c3.jpg?v=1787233581</t>
        </is>
      </c>
      <c r="D47" s="4" t="inlineStr">
        <is>
          <t>https://cdn.shopify.com/s/files/1/0792/5098/1063/files/3179bba8368b480a48e602947287ddb7c4c1df7b24c318ee48e0ccdd734c67c3.jpg?v=1787233581</t>
        </is>
      </c>
      <c r="E47" s="3" t="inlineStr">
        <is>
          <t>47933451141319</t>
        </is>
      </c>
      <c r="F47" s="3" t="inlineStr">
        <is>
          <t>47933451141319</t>
        </is>
      </c>
      <c r="G47" s="3" t="inlineStr"/>
      <c r="H47" s="3" t="inlineStr">
        <is>
          <t>GALLERY</t>
        </is>
      </c>
      <c r="I47" s="3" t="inlineStr">
        <is>
          <t>DIRECT_IMAGE_DOWNLOAD_AND_SOURCE_ROW_REVIEW</t>
        </is>
      </c>
      <c r="J47" s="3" t="inlineStr">
        <is>
          <t>2026-09-07T20:46:57+07:00</t>
        </is>
      </c>
      <c r="K47" s="3" t="inlineStr">
        <is>
          <t>Direct QA opened downloaded image 137_06; source SHA 4DAF67D0A7E062827EEF465705352B3ED8A7D9CDED47CBCDCAAB78B6E1575339. Submitted observation reviewed against gallery position.</t>
        </is>
      </c>
      <c r="L47" s="3" t="inlineStr">
        <is>
          <t>Easy-care, size guide or product feature image for purple vintage dragonfly quilt set.</t>
        </is>
      </c>
      <c r="M47" s="3" t="inlineStr">
        <is>
          <t>UNKNOWN</t>
        </is>
      </c>
      <c r="N47" s="3" t="inlineStr">
        <is>
          <t>SET</t>
        </is>
      </c>
      <c r="O47" s="3" t="inlineStr">
        <is>
          <t>Care, size or product feature image for Purple Vintage Dragonfly Quilt Set</t>
        </is>
      </c>
      <c r="P47" s="3" t="inlineStr">
        <is>
          <t>FULL</t>
        </is>
      </c>
      <c r="Q47" s="3" t="inlineStr">
        <is>
          <t>PARTIAL</t>
        </is>
      </c>
      <c r="R47" s="3" t="inlineStr">
        <is>
          <t>FULL</t>
        </is>
      </c>
      <c r="S47" s="3" t="inlineStr">
        <is>
          <t>FULL</t>
        </is>
      </c>
      <c r="T47" s="7">
        <f>IF(P47="FULL",40,IF(P47="PARTIAL",40/2,0))+IF(Q47="FULL",30,IF(Q47="PARTIAL",30/2,0))+IF(R47="FULL",20,IF(R47="PARTIAL",20/2,0))+IF(S47="FULL",10,IF(S47="PARTIAL",10/2,0))</f>
        <v/>
      </c>
      <c r="U47" s="7">
        <f>IF(P47="NOT_CHECKED",0,40)+IF(Q47="NOT_CHECKED",0,30)+IF(R47="NOT_CHECKED",0,20)+IF(S47="NOT_CHECKED",0,10)</f>
        <v/>
      </c>
      <c r="V47" s="7">
        <f>IF(U47=100,T47,"")</f>
        <v/>
      </c>
      <c r="W47" s="7">
        <f>T47</f>
        <v/>
      </c>
      <c r="X47" s="7">
        <f>T47+(100-U47)</f>
        <v/>
      </c>
      <c r="Y47" s="3" t="inlineStr">
        <is>
          <t>ISSUE-0060</t>
        </is>
      </c>
      <c r="Z47" s="3" t="inlineStr">
        <is>
          <t>D:\Shopify_Workspace\jeminise_seo\seo_runs\jeminise.com\20260906_234129\qa\20260907_204400\images\137_06.jpg; seo_runs\jeminise.com\20260906_234129\evidence\images\137_dragonfly-pattern-quilt-set-dragonflies-vintage-quilt-set-patchwork\image_06_47933451141319.jpg; seo_runs\jeminise.com\20260906_234129\evidence\contact_sheets\137_dragonfly-pattern-quilt-set-dragonflies-vintage-quilt-set-patchwork.jpg</t>
        </is>
      </c>
    </row>
    <row r="48" ht="66" customHeight="1">
      <c r="A48" s="2" t="inlineStr">
        <is>
          <t>jeminise.com+dragonfly-pattern-quilt-set-dragonflies-vintage-quilt-set-patchwork</t>
        </is>
      </c>
      <c r="B48" s="2" t="inlineStr">
        <is>
          <t>img_210163cb0ba8c9b7</t>
        </is>
      </c>
      <c r="C48" s="4" t="inlineStr">
        <is>
          <t>https://cdn.shopify.com/s/files/1/0792/5098/1063/files/f2119da92c18377a071250b1e3091eade713b0484db4a7666659028e0b87eab8.jpg?v=1787233581</t>
        </is>
      </c>
      <c r="D48" s="4" t="inlineStr">
        <is>
          <t>https://cdn.shopify.com/s/files/1/0792/5098/1063/files/f2119da92c18377a071250b1e3091eade713b0484db4a7666659028e0b87eab8.jpg?v=1787233581</t>
        </is>
      </c>
      <c r="E48" s="2" t="inlineStr">
        <is>
          <t>47933451174087</t>
        </is>
      </c>
      <c r="F48" s="2" t="inlineStr">
        <is>
          <t>47933451174087</t>
        </is>
      </c>
      <c r="G48" s="2" t="inlineStr"/>
      <c r="H48" s="2" t="inlineStr">
        <is>
          <t>GALLERY</t>
        </is>
      </c>
      <c r="I48" s="2" t="inlineStr">
        <is>
          <t>DIRECT_IMAGE_DOWNLOAD_AND_SOURCE_ROW_REVIEW</t>
        </is>
      </c>
      <c r="J48" s="2" t="inlineStr">
        <is>
          <t>2026-09-07T20:46:57+07:00</t>
        </is>
      </c>
      <c r="K48" s="2" t="inlineStr">
        <is>
          <t>Direct QA opened downloaded image 137_07; source SHA A8C3FCAF56719DAE8A9623E5EE8B670C61C2D36B8CE2B2A22FAD88555F87A013. Submitted observation reviewed against gallery position.</t>
        </is>
      </c>
      <c r="L48" s="2" t="inlineStr">
        <is>
          <t>Additional lifestyle, feature or product detail image showing purple vintage dragonfly quilt set.</t>
        </is>
      </c>
      <c r="M48" s="2" t="inlineStr">
        <is>
          <t>UNKNOWN</t>
        </is>
      </c>
      <c r="N48" s="2" t="inlineStr">
        <is>
          <t>SET</t>
        </is>
      </c>
      <c r="O48" s="2" t="inlineStr">
        <is>
          <t>Additional product mockup of Purple Vintage Dragonfly Quilt Set</t>
        </is>
      </c>
      <c r="P48" s="2" t="inlineStr">
        <is>
          <t>FULL</t>
        </is>
      </c>
      <c r="Q48" s="2" t="inlineStr">
        <is>
          <t>PARTIAL</t>
        </is>
      </c>
      <c r="R48" s="2" t="inlineStr">
        <is>
          <t>FULL</t>
        </is>
      </c>
      <c r="S48" s="2" t="inlineStr">
        <is>
          <t>FULL</t>
        </is>
      </c>
      <c r="T48" s="5">
        <f>IF(P48="FULL",40,IF(P48="PARTIAL",40/2,0))+IF(Q48="FULL",30,IF(Q48="PARTIAL",30/2,0))+IF(R48="FULL",20,IF(R48="PARTIAL",20/2,0))+IF(S48="FULL",10,IF(S48="PARTIAL",10/2,0))</f>
        <v/>
      </c>
      <c r="U48" s="5">
        <f>IF(P48="NOT_CHECKED",0,40)+IF(Q48="NOT_CHECKED",0,30)+IF(R48="NOT_CHECKED",0,20)+IF(S48="NOT_CHECKED",0,10)</f>
        <v/>
      </c>
      <c r="V48" s="5">
        <f>IF(U48=100,T48,"")</f>
        <v/>
      </c>
      <c r="W48" s="5">
        <f>T48</f>
        <v/>
      </c>
      <c r="X48" s="5">
        <f>T48+(100-U48)</f>
        <v/>
      </c>
      <c r="Y48" s="2" t="inlineStr">
        <is>
          <t>ISSUE-0061</t>
        </is>
      </c>
      <c r="Z48" s="2" t="inlineStr">
        <is>
          <t>D:\Shopify_Workspace\jeminise_seo\seo_runs\jeminise.com\20260906_234129\qa\20260907_204400\images\137_07.jpg; seo_runs\jeminise.com\20260906_234129\evidence\images\137_dragonfly-pattern-quilt-set-dragonflies-vintage-quilt-set-patchwork\image_07_47933451174087.jpg; seo_runs\jeminise.com\20260906_234129\evidence\contact_sheets\137_dragonfly-pattern-quilt-set-dragonflies-vintage-quilt-set-patchwork.jpg</t>
        </is>
      </c>
    </row>
    <row r="49" ht="66" customHeight="1">
      <c r="A49" s="3" t="inlineStr">
        <is>
          <t>jeminise.com+elephant-patchwork-pattern-quilt-set-animal-farmhouse-quilt-set</t>
        </is>
      </c>
      <c r="B49" s="3" t="inlineStr">
        <is>
          <t>img_a5ac40eaeb0bb28b</t>
        </is>
      </c>
      <c r="C49" s="4" t="inlineStr">
        <is>
          <t>https://cdn.shopify.com/s/files/1/0792/5098/1063/files/ea21b70f3fb4642a1043a9903531bdce9cd4becbb80c3e41b039d9210d971bcf.jpg?v=1787233639</t>
        </is>
      </c>
      <c r="D49" s="4" t="inlineStr">
        <is>
          <t>https://cdn.shopify.com/s/files/1/0792/5098/1063/files/ea21b70f3fb4642a1043a9903531bdce9cd4becbb80c3e41b039d9210d971bcf.jpg?v=1787233639</t>
        </is>
      </c>
      <c r="E49" s="3" t="inlineStr">
        <is>
          <t>47933456941255</t>
        </is>
      </c>
      <c r="F49" s="3" t="inlineStr">
        <is>
          <t>47933456941255</t>
        </is>
      </c>
      <c r="G49" s="3" t="inlineStr"/>
      <c r="H49" s="3" t="inlineStr">
        <is>
          <t>GALLERY</t>
        </is>
      </c>
      <c r="I49" s="3" t="inlineStr">
        <is>
          <t>DIRECT_IMAGE_DOWNLOAD_AND_SOURCE_ROW_REVIEW</t>
        </is>
      </c>
      <c r="J49" s="3" t="inlineStr">
        <is>
          <t>2026-09-07T20:46:57+07:00</t>
        </is>
      </c>
      <c r="K49" s="3" t="inlineStr">
        <is>
          <t>Direct QA opened downloaded image 138_01; source SHA 0CBA713755CCAFE3B2D02A2603114EFC136968DCAEB1C13AEA584236A8FB517C. Submitted observation reviewed against gallery position.</t>
        </is>
      </c>
      <c r="L49" s="3" t="inlineStr">
        <is>
          <t>Main product mockup showing colorful elephant patchwork quilt on pale blue background.</t>
        </is>
      </c>
      <c r="M49" s="3" t="inlineStr">
        <is>
          <t>UNKNOWN</t>
        </is>
      </c>
      <c r="N49" s="3" t="inlineStr">
        <is>
          <t>SET</t>
        </is>
      </c>
      <c r="O49" s="3" t="inlineStr">
        <is>
          <t>Colorful Elephant Patchwork Quilt displayed in a main product mockup</t>
        </is>
      </c>
      <c r="P49" s="3" t="inlineStr">
        <is>
          <t>FULL</t>
        </is>
      </c>
      <c r="Q49" s="3" t="inlineStr">
        <is>
          <t>FULL</t>
        </is>
      </c>
      <c r="R49" s="3" t="inlineStr">
        <is>
          <t>PARTIAL</t>
        </is>
      </c>
      <c r="S49" s="3" t="inlineStr">
        <is>
          <t>FULL</t>
        </is>
      </c>
      <c r="T49" s="7">
        <f>IF(P49="FULL",40,IF(P49="PARTIAL",40/2,0))+IF(Q49="FULL",30,IF(Q49="PARTIAL",30/2,0))+IF(R49="FULL",20,IF(R49="PARTIAL",20/2,0))+IF(S49="FULL",10,IF(S49="PARTIAL",10/2,0))</f>
        <v/>
      </c>
      <c r="U49" s="7">
        <f>IF(P49="NOT_CHECKED",0,40)+IF(Q49="NOT_CHECKED",0,30)+IF(R49="NOT_CHECKED",0,20)+IF(S49="NOT_CHECKED",0,10)</f>
        <v/>
      </c>
      <c r="V49" s="7">
        <f>IF(U49=100,T49,"")</f>
        <v/>
      </c>
      <c r="W49" s="7">
        <f>T49</f>
        <v/>
      </c>
      <c r="X49" s="7">
        <f>T49+(100-U49)</f>
        <v/>
      </c>
      <c r="Y49" s="3" t="inlineStr">
        <is>
          <t>ISSUE-0066</t>
        </is>
      </c>
      <c r="Z49" s="3" t="inlineStr">
        <is>
          <t>D:\Shopify_Workspace\jeminise_seo\seo_runs\jeminise.com\20260906_234129\qa\20260907_204400\images\138_01.jpg; seo_runs\jeminise.com\20260906_234129\evidence\images\138_elephant-patchwork-pattern-quilt-set-animal-farmhouse-quilt-set\image_01_47933456941255.jpg; seo_runs\jeminise.com\20260906_234129\evidence\contact_sheets\138_elephant-patchwork-pattern-quilt-set-animal-farmhouse-quilt-set.jpg</t>
        </is>
      </c>
    </row>
    <row r="50" ht="66" customHeight="1">
      <c r="A50" s="2" t="inlineStr">
        <is>
          <t>jeminise.com+elephant-patchwork-pattern-quilt-set-animal-farmhouse-quilt-set</t>
        </is>
      </c>
      <c r="B50" s="2" t="inlineStr">
        <is>
          <t>img_b8166817ac4b0d6d</t>
        </is>
      </c>
      <c r="C50" s="4" t="inlineStr">
        <is>
          <t>https://cdn.shopify.com/s/files/1/0792/5098/1063/files/e654cba3d176f86750e58dc328d65802eff41f0dafe32af80c096d01dba8dddd.jpg?v=1787233640</t>
        </is>
      </c>
      <c r="D50" s="4" t="inlineStr">
        <is>
          <t>https://cdn.shopify.com/s/files/1/0792/5098/1063/files/e654cba3d176f86750e58dc328d65802eff41f0dafe32af80c096d01dba8dddd.jpg?v=1787233640</t>
        </is>
      </c>
      <c r="E50" s="2" t="inlineStr">
        <is>
          <t>47933456974023</t>
        </is>
      </c>
      <c r="F50" s="2" t="inlineStr">
        <is>
          <t>47933456974023</t>
        </is>
      </c>
      <c r="G50" s="2" t="inlineStr"/>
      <c r="H50" s="2" t="inlineStr">
        <is>
          <t>GALLERY</t>
        </is>
      </c>
      <c r="I50" s="2" t="inlineStr">
        <is>
          <t>DIRECT_IMAGE_DOWNLOAD_AND_SOURCE_ROW_REVIEW</t>
        </is>
      </c>
      <c r="J50" s="2" t="inlineStr">
        <is>
          <t>2026-09-07T20:46:57+07:00</t>
        </is>
      </c>
      <c r="K50" s="2" t="inlineStr">
        <is>
          <t>Direct QA opened downloaded image 138_02; source SHA 889E13C1A4AD9A4E9A2A5B7AF5EC110C8017A0D5C6DAA2248D65A214B5B72010. Submitted observation reviewed against gallery position.</t>
        </is>
      </c>
      <c r="L50" s="2" t="inlineStr">
        <is>
          <t>Secondary flat, close-up or bedroom mockup showing colorful elephant patchwork quilt on pale blue background.</t>
        </is>
      </c>
      <c r="M50" s="2" t="inlineStr">
        <is>
          <t>UNKNOWN</t>
        </is>
      </c>
      <c r="N50" s="2" t="inlineStr">
        <is>
          <t>SET</t>
        </is>
      </c>
      <c r="O50" s="2" t="inlineStr">
        <is>
          <t>Secondary mockup of Colorful Elephant Patchwork Quilt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5">
        <f>IF(P50="FULL",40,IF(P50="PARTIAL",40/2,0))+IF(Q50="FULL",30,IF(Q50="PARTIAL",30/2,0))+IF(R50="FULL",20,IF(R50="PARTIAL",20/2,0))+IF(S50="FULL",10,IF(S50="PARTIAL",10/2,0))</f>
        <v/>
      </c>
      <c r="U50" s="5">
        <f>IF(P50="NOT_CHECKED",0,40)+IF(Q50="NOT_CHECKED",0,30)+IF(R50="NOT_CHECKED",0,20)+IF(S50="NOT_CHECKED",0,10)</f>
        <v/>
      </c>
      <c r="V50" s="5">
        <f>IF(U50=100,T50,"")</f>
        <v/>
      </c>
      <c r="W50" s="5">
        <f>T50</f>
        <v/>
      </c>
      <c r="X50" s="5">
        <f>T50+(100-U50)</f>
        <v/>
      </c>
      <c r="Y50" s="2" t="inlineStr"/>
      <c r="Z50" s="2" t="inlineStr">
        <is>
          <t>D:\Shopify_Workspace\jeminise_seo\seo_runs\jeminise.com\20260906_234129\qa\20260907_204400\images\138_02.jpg; seo_runs\jeminise.com\20260906_234129\evidence\images\138_elephant-patchwork-pattern-quilt-set-animal-farmhouse-quilt-set\image_02_47933456974023.jpg; seo_runs\jeminise.com\20260906_234129\evidence\contact_sheets\138_elephant-patchwork-pattern-quilt-set-animal-farmhouse-quilt-set.jpg</t>
        </is>
      </c>
    </row>
    <row r="51" ht="66" customHeight="1">
      <c r="A51" s="3" t="inlineStr">
        <is>
          <t>jeminise.com+elephant-patchwork-pattern-quilt-set-animal-farmhouse-quilt-set</t>
        </is>
      </c>
      <c r="B51" s="3" t="inlineStr">
        <is>
          <t>img_fa328708c5c86c08</t>
        </is>
      </c>
      <c r="C51" s="4" t="inlineStr">
        <is>
          <t>https://cdn.shopify.com/s/files/1/0792/5098/1063/files/7d99617baa0f93bb0e3e6eeeb9da4d686fee8c359b047cbcd724593c750b4c92.jpg?v=1787233639</t>
        </is>
      </c>
      <c r="D51" s="4" t="inlineStr">
        <is>
          <t>https://cdn.shopify.com/s/files/1/0792/5098/1063/files/7d99617baa0f93bb0e3e6eeeb9da4d686fee8c359b047cbcd724593c750b4c92.jpg?v=1787233639</t>
        </is>
      </c>
      <c r="E51" s="3" t="inlineStr">
        <is>
          <t>47933457006791</t>
        </is>
      </c>
      <c r="F51" s="3" t="inlineStr">
        <is>
          <t>47933457006791</t>
        </is>
      </c>
      <c r="G51" s="3" t="inlineStr"/>
      <c r="H51" s="3" t="inlineStr">
        <is>
          <t>GALLERY</t>
        </is>
      </c>
      <c r="I51" s="3" t="inlineStr">
        <is>
          <t>DIRECT_IMAGE_DOWNLOAD_AND_SOURCE_ROW_REVIEW</t>
        </is>
      </c>
      <c r="J51" s="3" t="inlineStr">
        <is>
          <t>2026-09-07T20:46:57+07:00</t>
        </is>
      </c>
      <c r="K51" s="3" t="inlineStr">
        <is>
          <t>Direct QA opened downloaded image 138_03; source SHA 26A91F2C5A6B93DFC454B10CFE03268A9759AFD917C847D3DE0A8B9503BBF665. Submitted observation reviewed against gallery position.</t>
        </is>
      </c>
      <c r="L51" s="3" t="inlineStr">
        <is>
          <t>Bedding type, feature, lifestyle or material image for colorful elephant patchwork quilt on pale blue background.</t>
        </is>
      </c>
      <c r="M51" s="3" t="inlineStr">
        <is>
          <t>UNKNOWN</t>
        </is>
      </c>
      <c r="N51" s="3" t="inlineStr">
        <is>
          <t>SET</t>
        </is>
      </c>
      <c r="O51" s="3" t="inlineStr">
        <is>
          <t>Product option, feature or lifestyle image for Colorful Elephant Patchwork Quilt</t>
        </is>
      </c>
      <c r="P51" s="3" t="inlineStr">
        <is>
          <t>FULL</t>
        </is>
      </c>
      <c r="Q51" s="3" t="inlineStr">
        <is>
          <t>PARTIAL</t>
        </is>
      </c>
      <c r="R51" s="3" t="inlineStr">
        <is>
          <t>FULL</t>
        </is>
      </c>
      <c r="S51" s="3" t="inlineStr">
        <is>
          <t>FULL</t>
        </is>
      </c>
      <c r="T51" s="7">
        <f>IF(P51="FULL",40,IF(P51="PARTIAL",40/2,0))+IF(Q51="FULL",30,IF(Q51="PARTIAL",30/2,0))+IF(R51="FULL",20,IF(R51="PARTIAL",20/2,0))+IF(S51="FULL",10,IF(S51="PARTIAL",10/2,0))</f>
        <v/>
      </c>
      <c r="U51" s="7">
        <f>IF(P51="NOT_CHECKED",0,40)+IF(Q51="NOT_CHECKED",0,30)+IF(R51="NOT_CHECKED",0,20)+IF(S51="NOT_CHECKED",0,10)</f>
        <v/>
      </c>
      <c r="V51" s="7">
        <f>IF(U51=100,T51,"")</f>
        <v/>
      </c>
      <c r="W51" s="7">
        <f>T51</f>
        <v/>
      </c>
      <c r="X51" s="7">
        <f>T51+(100-U51)</f>
        <v/>
      </c>
      <c r="Y51" s="3" t="inlineStr">
        <is>
          <t>ISSUE-0067</t>
        </is>
      </c>
      <c r="Z51" s="3" t="inlineStr">
        <is>
          <t>D:\Shopify_Workspace\jeminise_seo\seo_runs\jeminise.com\20260906_234129\qa\20260907_204400\images\138_03.jpg; seo_runs\jeminise.com\20260906_234129\evidence\images\138_elephant-patchwork-pattern-quilt-set-animal-farmhouse-quilt-set\image_03_47933457006791.jpg; seo_runs\jeminise.com\20260906_234129\evidence\contact_sheets\138_elephant-patchwork-pattern-quilt-set-animal-farmhouse-quilt-set.jpg</t>
        </is>
      </c>
    </row>
    <row r="52" ht="66" customHeight="1">
      <c r="A52" s="2" t="inlineStr">
        <is>
          <t>jeminise.com+elephant-patchwork-pattern-quilt-set-animal-farmhouse-quilt-set</t>
        </is>
      </c>
      <c r="B52" s="2" t="inlineStr">
        <is>
          <t>img_29e935fb6f10d325</t>
        </is>
      </c>
      <c r="C52" s="4" t="inlineStr">
        <is>
          <t>https://cdn.shopify.com/s/files/1/0792/5098/1063/files/bcb9ffb85887fb6246926fc1a9359347a7f3b4ad466c08b45914a19fe4efc322.jpg?v=1787233639</t>
        </is>
      </c>
      <c r="D52" s="4" t="inlineStr">
        <is>
          <t>https://cdn.shopify.com/s/files/1/0792/5098/1063/files/bcb9ffb85887fb6246926fc1a9359347a7f3b4ad466c08b45914a19fe4efc322.jpg?v=1787233639</t>
        </is>
      </c>
      <c r="E52" s="2" t="inlineStr">
        <is>
          <t>47933457039559</t>
        </is>
      </c>
      <c r="F52" s="2" t="inlineStr">
        <is>
          <t>47933457039559</t>
        </is>
      </c>
      <c r="G52" s="2" t="inlineStr"/>
      <c r="H52" s="2" t="inlineStr">
        <is>
          <t>GALLERY</t>
        </is>
      </c>
      <c r="I52" s="2" t="inlineStr">
        <is>
          <t>DIRECT_IMAGE_DOWNLOAD_AND_SOURCE_ROW_REVIEW</t>
        </is>
      </c>
      <c r="J52" s="2" t="inlineStr">
        <is>
          <t>2026-09-07T20:46:57+07:00</t>
        </is>
      </c>
      <c r="K52" s="2" t="inlineStr">
        <is>
          <t>Direct QA opened downloaded image 138_04; source SHA F43ECC10E96522BD97794FF3F83C2B1DC33E69104D20E329404A1203872F0848. Submitted observation reviewed against gallery position.</t>
        </is>
      </c>
      <c r="L52" s="2" t="inlineStr">
        <is>
          <t>Detail, feature panel or lifestyle image connected to colorful elephant patchwork quilt on pale blue background.</t>
        </is>
      </c>
      <c r="M52" s="2" t="inlineStr">
        <is>
          <t>UNKNOWN</t>
        </is>
      </c>
      <c r="N52" s="2" t="inlineStr">
        <is>
          <t>SET</t>
        </is>
      </c>
      <c r="O52" s="2" t="inlineStr">
        <is>
          <t>Detail or feature image for Colorful Elephant Patchwork Quilt</t>
        </is>
      </c>
      <c r="P52" s="2" t="inlineStr">
        <is>
          <t>FULL</t>
        </is>
      </c>
      <c r="Q52" s="2" t="inlineStr">
        <is>
          <t>PARTIAL</t>
        </is>
      </c>
      <c r="R52" s="2" t="inlineStr">
        <is>
          <t>FULL</t>
        </is>
      </c>
      <c r="S52" s="2" t="inlineStr">
        <is>
          <t>FULL</t>
        </is>
      </c>
      <c r="T52" s="5">
        <f>IF(P52="FULL",40,IF(P52="PARTIAL",40/2,0))+IF(Q52="FULL",30,IF(Q52="PARTIAL",30/2,0))+IF(R52="FULL",20,IF(R52="PARTIAL",20/2,0))+IF(S52="FULL",10,IF(S52="PARTIAL",10/2,0))</f>
        <v/>
      </c>
      <c r="U52" s="5">
        <f>IF(P52="NOT_CHECKED",0,40)+IF(Q52="NOT_CHECKED",0,30)+IF(R52="NOT_CHECKED",0,20)+IF(S52="NOT_CHECKED",0,10)</f>
        <v/>
      </c>
      <c r="V52" s="5">
        <f>IF(U52=100,T52,"")</f>
        <v/>
      </c>
      <c r="W52" s="5">
        <f>T52</f>
        <v/>
      </c>
      <c r="X52" s="5">
        <f>T52+(100-U52)</f>
        <v/>
      </c>
      <c r="Y52" s="2" t="inlineStr">
        <is>
          <t>ISSUE-0068</t>
        </is>
      </c>
      <c r="Z52" s="2" t="inlineStr">
        <is>
          <t>D:\Shopify_Workspace\jeminise_seo\seo_runs\jeminise.com\20260906_234129\qa\20260907_204400\images\138_04.jpg; seo_runs\jeminise.com\20260906_234129\evidence\images\138_elephant-patchwork-pattern-quilt-set-animal-farmhouse-quilt-set\image_04_47933457039559.jpg; seo_runs\jeminise.com\20260906_234129\evidence\contact_sheets\138_elephant-patchwork-pattern-quilt-set-animal-farmhouse-quilt-set.jpg</t>
        </is>
      </c>
    </row>
    <row r="53" ht="66" customHeight="1">
      <c r="A53" s="3" t="inlineStr">
        <is>
          <t>jeminise.com+elephant-patchwork-pattern-quilt-set-animal-farmhouse-quilt-set</t>
        </is>
      </c>
      <c r="B53" s="3" t="inlineStr">
        <is>
          <t>img_67a8b1ee3d857712</t>
        </is>
      </c>
      <c r="C53" s="4" t="inlineStr">
        <is>
          <t>https://cdn.shopify.com/s/files/1/0792/5098/1063/files/a7712c1d75029276eb8bec937f0f0a54e4a3d4faace09f8951fb28f3deb506a9.jpg?v=1787233639</t>
        </is>
      </c>
      <c r="D53" s="4" t="inlineStr">
        <is>
          <t>https://cdn.shopify.com/s/files/1/0792/5098/1063/files/a7712c1d75029276eb8bec937f0f0a54e4a3d4faace09f8951fb28f3deb506a9.jpg?v=1787233639</t>
        </is>
      </c>
      <c r="E53" s="3" t="inlineStr">
        <is>
          <t>47933457072327</t>
        </is>
      </c>
      <c r="F53" s="3" t="inlineStr">
        <is>
          <t>47933457072327</t>
        </is>
      </c>
      <c r="G53" s="3" t="inlineStr"/>
      <c r="H53" s="3" t="inlineStr">
        <is>
          <t>GALLERY</t>
        </is>
      </c>
      <c r="I53" s="3" t="inlineStr">
        <is>
          <t>DIRECT_IMAGE_DOWNLOAD_AND_SOURCE_ROW_REVIEW</t>
        </is>
      </c>
      <c r="J53" s="3" t="inlineStr">
        <is>
          <t>2026-09-07T20:46:57+07:00</t>
        </is>
      </c>
      <c r="K53" s="3" t="inlineStr">
        <is>
          <t>Direct QA opened downloaded image 138_05; source SHA 0E1383F51C845A5C76309B25BA4DD101B7EE384965BE27F80F85BB625605F387. Submitted observation reviewed against gallery position.</t>
        </is>
      </c>
      <c r="L53" s="3" t="inlineStr">
        <is>
          <t>Additional mockup, care or size information for colorful elephant patchwork quilt on pale blue background.</t>
        </is>
      </c>
      <c r="M53" s="3" t="inlineStr">
        <is>
          <t>UNKNOWN</t>
        </is>
      </c>
      <c r="N53" s="3" t="inlineStr">
        <is>
          <t>SET</t>
        </is>
      </c>
      <c r="O53" s="3" t="inlineStr">
        <is>
          <t>Additional product mockup or care information for Colorful Elephant Patchwork Quilt</t>
        </is>
      </c>
      <c r="P53" s="3" t="inlineStr">
        <is>
          <t>FULL</t>
        </is>
      </c>
      <c r="Q53" s="3" t="inlineStr">
        <is>
          <t>FULL</t>
        </is>
      </c>
      <c r="R53" s="3" t="inlineStr">
        <is>
          <t>FULL</t>
        </is>
      </c>
      <c r="S53" s="3" t="inlineStr">
        <is>
          <t>FULL</t>
        </is>
      </c>
      <c r="T53" s="7">
        <f>IF(P53="FULL",40,IF(P53="PARTIAL",40/2,0))+IF(Q53="FULL",30,IF(Q53="PARTIAL",30/2,0))+IF(R53="FULL",20,IF(R53="PARTIAL",20/2,0))+IF(S53="FULL",10,IF(S53="PARTIAL",10/2,0))</f>
        <v/>
      </c>
      <c r="U53" s="7">
        <f>IF(P53="NOT_CHECKED",0,40)+IF(Q53="NOT_CHECKED",0,30)+IF(R53="NOT_CHECKED",0,20)+IF(S53="NOT_CHECKED",0,10)</f>
        <v/>
      </c>
      <c r="V53" s="7">
        <f>IF(U53=100,T53,"")</f>
        <v/>
      </c>
      <c r="W53" s="7">
        <f>T53</f>
        <v/>
      </c>
      <c r="X53" s="7">
        <f>T53+(100-U53)</f>
        <v/>
      </c>
      <c r="Y53" s="3" t="inlineStr"/>
      <c r="Z53" s="3" t="inlineStr">
        <is>
          <t>D:\Shopify_Workspace\jeminise_seo\seo_runs\jeminise.com\20260906_234129\qa\20260907_204400\images\138_05.jpg; seo_runs\jeminise.com\20260906_234129\evidence\images\138_elephant-patchwork-pattern-quilt-set-animal-farmhouse-quilt-set\image_05_47933457072327.jpg; seo_runs\jeminise.com\20260906_234129\evidence\contact_sheets\138_elephant-patchwork-pattern-quilt-set-animal-farmhouse-quilt-set.jpg</t>
        </is>
      </c>
    </row>
    <row r="54" ht="66" customHeight="1">
      <c r="A54" s="2" t="inlineStr">
        <is>
          <t>jeminise.com+elephant-patchwork-pattern-quilt-set-animal-farmhouse-quilt-set</t>
        </is>
      </c>
      <c r="B54" s="2" t="inlineStr">
        <is>
          <t>img_ecee990ebd97e071</t>
        </is>
      </c>
      <c r="C54" s="4" t="inlineStr">
        <is>
          <t>https://cdn.shopify.com/s/files/1/0792/5098/1063/files/c539c1abde98c909533ca0bf180c5bc8eaa4c7d2f9c823e43199a79296592654.jpg?v=1787233639</t>
        </is>
      </c>
      <c r="D54" s="4" t="inlineStr">
        <is>
          <t>https://cdn.shopify.com/s/files/1/0792/5098/1063/files/c539c1abde98c909533ca0bf180c5bc8eaa4c7d2f9c823e43199a79296592654.jpg?v=1787233639</t>
        </is>
      </c>
      <c r="E54" s="2" t="inlineStr">
        <is>
          <t>47933457105095</t>
        </is>
      </c>
      <c r="F54" s="2" t="inlineStr">
        <is>
          <t>47933457105095</t>
        </is>
      </c>
      <c r="G54" s="2" t="inlineStr"/>
      <c r="H54" s="2" t="inlineStr">
        <is>
          <t>GALLERY</t>
        </is>
      </c>
      <c r="I54" s="2" t="inlineStr">
        <is>
          <t>DIRECT_IMAGE_DOWNLOAD_AND_SOURCE_ROW_REVIEW</t>
        </is>
      </c>
      <c r="J54" s="2" t="inlineStr">
        <is>
          <t>2026-09-07T20:46:57+07:00</t>
        </is>
      </c>
      <c r="K54" s="2" t="inlineStr">
        <is>
          <t>Direct QA opened downloaded image 138_06; source SHA 859844B5D2F0B88EFA2F01A4CB5C0EF048158AA083DEAEF87EB80B2C4D908851. Submitted observation reviewed against gallery position.</t>
        </is>
      </c>
      <c r="L54" s="2" t="inlineStr">
        <is>
          <t>Easy-care, size guide or product feature image for colorful elephant patchwork quilt on pale blue background.</t>
        </is>
      </c>
      <c r="M54" s="2" t="inlineStr">
        <is>
          <t>UNKNOWN</t>
        </is>
      </c>
      <c r="N54" s="2" t="inlineStr">
        <is>
          <t>SET</t>
        </is>
      </c>
      <c r="O54" s="2" t="inlineStr">
        <is>
          <t>Care, size or product feature image for Colorful Elephant Patchwork Quilt</t>
        </is>
      </c>
      <c r="P54" s="2" t="inlineStr">
        <is>
          <t>FULL</t>
        </is>
      </c>
      <c r="Q54" s="2" t="inlineStr">
        <is>
          <t>PARTIAL</t>
        </is>
      </c>
      <c r="R54" s="2" t="inlineStr">
        <is>
          <t>FULL</t>
        </is>
      </c>
      <c r="S54" s="2" t="inlineStr">
        <is>
          <t>FULL</t>
        </is>
      </c>
      <c r="T54" s="5">
        <f>IF(P54="FULL",40,IF(P54="PARTIAL",40/2,0))+IF(Q54="FULL",30,IF(Q54="PARTIAL",30/2,0))+IF(R54="FULL",20,IF(R54="PARTIAL",20/2,0))+IF(S54="FULL",10,IF(S54="PARTIAL",10/2,0))</f>
        <v/>
      </c>
      <c r="U54" s="5">
        <f>IF(P54="NOT_CHECKED",0,40)+IF(Q54="NOT_CHECKED",0,30)+IF(R54="NOT_CHECKED",0,20)+IF(S54="NOT_CHECKED",0,10)</f>
        <v/>
      </c>
      <c r="V54" s="5">
        <f>IF(U54=100,T54,"")</f>
        <v/>
      </c>
      <c r="W54" s="5">
        <f>T54</f>
        <v/>
      </c>
      <c r="X54" s="5">
        <f>T54+(100-U54)</f>
        <v/>
      </c>
      <c r="Y54" s="2" t="inlineStr">
        <is>
          <t>ISSUE-0069</t>
        </is>
      </c>
      <c r="Z54" s="2" t="inlineStr">
        <is>
          <t>D:\Shopify_Workspace\jeminise_seo\seo_runs\jeminise.com\20260906_234129\qa\20260907_204400\images\138_06.jpg; seo_runs\jeminise.com\20260906_234129\evidence\images\138_elephant-patchwork-pattern-quilt-set-animal-farmhouse-quilt-set\image_06_47933457105095.jpg; seo_runs\jeminise.com\20260906_234129\evidence\contact_sheets\138_elephant-patchwork-pattern-quilt-set-animal-farmhouse-quilt-set.jpg</t>
        </is>
      </c>
    </row>
    <row r="55" ht="66" customHeight="1">
      <c r="A55" s="3" t="inlineStr">
        <is>
          <t>jeminise.com+elephant-patchwork-pattern-quilt-set-animal-farmhouse-quilt-set</t>
        </is>
      </c>
      <c r="B55" s="3" t="inlineStr">
        <is>
          <t>img_87c2bab58f0fd659</t>
        </is>
      </c>
      <c r="C55" s="4" t="inlineStr">
        <is>
          <t>https://cdn.shopify.com/s/files/1/0792/5098/1063/files/bc222235af56ffe5c9630d95b7c0ff09cb2b99394f7a459e71bb82a748d22688.jpg?v=1787233639</t>
        </is>
      </c>
      <c r="D55" s="4" t="inlineStr">
        <is>
          <t>https://cdn.shopify.com/s/files/1/0792/5098/1063/files/bc222235af56ffe5c9630d95b7c0ff09cb2b99394f7a459e71bb82a748d22688.jpg?v=1787233639</t>
        </is>
      </c>
      <c r="E55" s="3" t="inlineStr">
        <is>
          <t>47933457137863</t>
        </is>
      </c>
      <c r="F55" s="3" t="inlineStr">
        <is>
          <t>47933457137863</t>
        </is>
      </c>
      <c r="G55" s="3" t="inlineStr"/>
      <c r="H55" s="3" t="inlineStr">
        <is>
          <t>GALLERY</t>
        </is>
      </c>
      <c r="I55" s="3" t="inlineStr">
        <is>
          <t>DIRECT_IMAGE_DOWNLOAD_AND_SOURCE_ROW_REVIEW</t>
        </is>
      </c>
      <c r="J55" s="3" t="inlineStr">
        <is>
          <t>2026-09-07T20:46:57+07:00</t>
        </is>
      </c>
      <c r="K55" s="3" t="inlineStr">
        <is>
          <t>Direct QA opened downloaded image 138_07; source SHA 8940193F4B8B7651EBA494A6BF178D727E33A658B84B4AE896F11D135073F6A5. Submitted observation reviewed against gallery position.</t>
        </is>
      </c>
      <c r="L55" s="3" t="inlineStr">
        <is>
          <t>Additional lifestyle, feature or product detail image showing colorful elephant patchwork quilt on pale blue background.</t>
        </is>
      </c>
      <c r="M55" s="3" t="inlineStr">
        <is>
          <t>UNKNOWN</t>
        </is>
      </c>
      <c r="N55" s="3" t="inlineStr">
        <is>
          <t>SET</t>
        </is>
      </c>
      <c r="O55" s="3" t="inlineStr">
        <is>
          <t>Additional product mockup of Colorful Elephant Patchwork Quilt</t>
        </is>
      </c>
      <c r="P55" s="3" t="inlineStr">
        <is>
          <t>FULL</t>
        </is>
      </c>
      <c r="Q55" s="3" t="inlineStr">
        <is>
          <t>PARTIAL</t>
        </is>
      </c>
      <c r="R55" s="3" t="inlineStr">
        <is>
          <t>FULL</t>
        </is>
      </c>
      <c r="S55" s="3" t="inlineStr">
        <is>
          <t>FULL</t>
        </is>
      </c>
      <c r="T55" s="7">
        <f>IF(P55="FULL",40,IF(P55="PARTIAL",40/2,0))+IF(Q55="FULL",30,IF(Q55="PARTIAL",30/2,0))+IF(R55="FULL",20,IF(R55="PARTIAL",20/2,0))+IF(S55="FULL",10,IF(S55="PARTIAL",10/2,0))</f>
        <v/>
      </c>
      <c r="U55" s="7">
        <f>IF(P55="NOT_CHECKED",0,40)+IF(Q55="NOT_CHECKED",0,30)+IF(R55="NOT_CHECKED",0,20)+IF(S55="NOT_CHECKED",0,10)</f>
        <v/>
      </c>
      <c r="V55" s="7">
        <f>IF(U55=100,T55,"")</f>
        <v/>
      </c>
      <c r="W55" s="7">
        <f>T55</f>
        <v/>
      </c>
      <c r="X55" s="7">
        <f>T55+(100-U55)</f>
        <v/>
      </c>
      <c r="Y55" s="3" t="inlineStr">
        <is>
          <t>ISSUE-0070</t>
        </is>
      </c>
      <c r="Z55" s="3" t="inlineStr">
        <is>
          <t>D:\Shopify_Workspace\jeminise_seo\seo_runs\jeminise.com\20260906_234129\qa\20260907_204400\images\138_07.jpg; seo_runs\jeminise.com\20260906_234129\evidence\images\138_elephant-patchwork-pattern-quilt-set-animal-farmhouse-quilt-set\image_07_47933457137863.jpg; seo_runs\jeminise.com\20260906_234129\evidence\contact_sheets\138_elephant-patchwork-pattern-quilt-set-animal-farmhouse-quilt-set.jpg</t>
        </is>
      </c>
    </row>
    <row r="56" ht="66" customHeight="1">
      <c r="A56" s="2" t="inlineStr">
        <is>
          <t>jeminise.com+elephant-quilt-set-animal-patchwork-printed-quilt-bedset-patchwork</t>
        </is>
      </c>
      <c r="B56" s="2" t="inlineStr">
        <is>
          <t>img_9a101c6709d8d942</t>
        </is>
      </c>
      <c r="C56" s="4" t="inlineStr">
        <is>
          <t>https://cdn.shopify.com/s/files/1/0792/5098/1063/files/e3eaedebd00b476d6c6e0385f4c3d5cb3a23400badf1571d38c57295349d8397.jpg?v=1787233736</t>
        </is>
      </c>
      <c r="D56" s="4" t="inlineStr">
        <is>
          <t>https://cdn.shopify.com/s/files/1/0792/5098/1063/files/e3eaedebd00b476d6c6e0385f4c3d5cb3a23400badf1571d38c57295349d8397.jpg?v=1787233736</t>
        </is>
      </c>
      <c r="E56" s="2" t="inlineStr">
        <is>
          <t>47933468377287</t>
        </is>
      </c>
      <c r="F56" s="2" t="inlineStr">
        <is>
          <t>47933468377287</t>
        </is>
      </c>
      <c r="G56" s="2" t="inlineStr"/>
      <c r="H56" s="2" t="inlineStr">
        <is>
          <t>GALLERY</t>
        </is>
      </c>
      <c r="I56" s="2" t="inlineStr">
        <is>
          <t>DIRECT_IMAGE_DOWNLOAD_AND_SOURCE_ROW_REVIEW</t>
        </is>
      </c>
      <c r="J56" s="2" t="inlineStr">
        <is>
          <t>2026-09-07T20:46:57+07:00</t>
        </is>
      </c>
      <c r="K56" s="2" t="inlineStr">
        <is>
          <t>Direct QA opened downloaded image 139_01; source SHA 7E34BE14C8536A6490FF83031B1B399C330B4448F3ABC9EB1388E2744C4A221C. Submitted observation reviewed against gallery position.</t>
        </is>
      </c>
      <c r="L56" s="2" t="inlineStr">
        <is>
          <t>Main product mockup showing navy yellow elephant floral patchwork quilt.</t>
        </is>
      </c>
      <c r="M56" s="2" t="inlineStr">
        <is>
          <t>UNKNOWN</t>
        </is>
      </c>
      <c r="N56" s="2" t="inlineStr">
        <is>
          <t>SET</t>
        </is>
      </c>
      <c r="O56" s="2" t="inlineStr">
        <is>
          <t>Navy Yellow Elephant Patchwork Quilt displayed in a main product mockup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PARTIAL</t>
        </is>
      </c>
      <c r="S56" s="2" t="inlineStr">
        <is>
          <t>FULL</t>
        </is>
      </c>
      <c r="T56" s="5">
        <f>IF(P56="FULL",40,IF(P56="PARTIAL",40/2,0))+IF(Q56="FULL",30,IF(Q56="PARTIAL",30/2,0))+IF(R56="FULL",20,IF(R56="PARTIAL",20/2,0))+IF(S56="FULL",10,IF(S56="PARTIAL",10/2,0))</f>
        <v/>
      </c>
      <c r="U56" s="5">
        <f>IF(P56="NOT_CHECKED",0,40)+IF(Q56="NOT_CHECKED",0,30)+IF(R56="NOT_CHECKED",0,20)+IF(S56="NOT_CHECKED",0,10)</f>
        <v/>
      </c>
      <c r="V56" s="5">
        <f>IF(U56=100,T56,"")</f>
        <v/>
      </c>
      <c r="W56" s="5">
        <f>T56</f>
        <v/>
      </c>
      <c r="X56" s="5">
        <f>T56+(100-U56)</f>
        <v/>
      </c>
      <c r="Y56" s="2" t="inlineStr">
        <is>
          <t>ISSUE-0075</t>
        </is>
      </c>
      <c r="Z56" s="2" t="inlineStr">
        <is>
          <t>D:\Shopify_Workspace\jeminise_seo\seo_runs\jeminise.com\20260906_234129\qa\20260907_204400\images\139_01.jpg; seo_runs\jeminise.com\20260906_234129\evidence\images\139_elephant-quilt-set-animal-patchwork-printed-quilt-bedset-patchwork\image_01_47933468377287.jpg; seo_runs\jeminise.com\20260906_234129\evidence\contact_sheets\139_elephant-quilt-set-animal-patchwork-printed-quilt-bedset-patchwork.jpg</t>
        </is>
      </c>
    </row>
    <row r="57" ht="66" customHeight="1">
      <c r="A57" s="3" t="inlineStr">
        <is>
          <t>jeminise.com+elephant-quilt-set-animal-patchwork-printed-quilt-bedset-patchwork</t>
        </is>
      </c>
      <c r="B57" s="3" t="inlineStr">
        <is>
          <t>img_d6b45391ba2a2980</t>
        </is>
      </c>
      <c r="C57" s="4" t="inlineStr">
        <is>
          <t>https://cdn.shopify.com/s/files/1/0792/5098/1063/files/2ebce4fc584fd695882ff634678af6dba84364f6f7561e3c8b700d893052aa0c.jpg?v=1787233736</t>
        </is>
      </c>
      <c r="D57" s="4" t="inlineStr">
        <is>
          <t>https://cdn.shopify.com/s/files/1/0792/5098/1063/files/2ebce4fc584fd695882ff634678af6dba84364f6f7561e3c8b700d893052aa0c.jpg?v=1787233736</t>
        </is>
      </c>
      <c r="E57" s="3" t="inlineStr">
        <is>
          <t>47933468410055</t>
        </is>
      </c>
      <c r="F57" s="3" t="inlineStr">
        <is>
          <t>47933468410055</t>
        </is>
      </c>
      <c r="G57" s="3" t="inlineStr"/>
      <c r="H57" s="3" t="inlineStr">
        <is>
          <t>GALLERY</t>
        </is>
      </c>
      <c r="I57" s="3" t="inlineStr">
        <is>
          <t>DIRECT_IMAGE_DOWNLOAD_AND_SOURCE_ROW_REVIEW</t>
        </is>
      </c>
      <c r="J57" s="3" t="inlineStr">
        <is>
          <t>2026-09-07T20:46:57+07:00</t>
        </is>
      </c>
      <c r="K57" s="3" t="inlineStr">
        <is>
          <t>Direct QA opened downloaded image 139_02; source SHA 4F6CE475CF81F2DD9E52460E229722972DC21F71F604430E60F428147F2A9292. Submitted observation reviewed against gallery position.</t>
        </is>
      </c>
      <c r="L57" s="3" t="inlineStr">
        <is>
          <t>Secondary flat, close-up or bedroom mockup showing navy yellow elephant floral patchwork quilt.</t>
        </is>
      </c>
      <c r="M57" s="3" t="inlineStr">
        <is>
          <t>UNKNOWN</t>
        </is>
      </c>
      <c r="N57" s="3" t="inlineStr">
        <is>
          <t>SET</t>
        </is>
      </c>
      <c r="O57" s="3" t="inlineStr">
        <is>
          <t>Secondary mockup of Navy Yellow Elephant Patchwork Quilt</t>
        </is>
      </c>
      <c r="P57" s="3" t="inlineStr">
        <is>
          <t>FULL</t>
        </is>
      </c>
      <c r="Q57" s="3" t="inlineStr">
        <is>
          <t>FULL</t>
        </is>
      </c>
      <c r="R57" s="3" t="inlineStr">
        <is>
          <t>FULL</t>
        </is>
      </c>
      <c r="S57" s="3" t="inlineStr">
        <is>
          <t>FULL</t>
        </is>
      </c>
      <c r="T57" s="7">
        <f>IF(P57="FULL",40,IF(P57="PARTIAL",40/2,0))+IF(Q57="FULL",30,IF(Q57="PARTIAL",30/2,0))+IF(R57="FULL",20,IF(R57="PARTIAL",20/2,0))+IF(S57="FULL",10,IF(S57="PARTIAL",10/2,0))</f>
        <v/>
      </c>
      <c r="U57" s="7">
        <f>IF(P57="NOT_CHECKED",0,40)+IF(Q57="NOT_CHECKED",0,30)+IF(R57="NOT_CHECKED",0,20)+IF(S57="NOT_CHECKED",0,10)</f>
        <v/>
      </c>
      <c r="V57" s="7">
        <f>IF(U57=100,T57,"")</f>
        <v/>
      </c>
      <c r="W57" s="7">
        <f>T57</f>
        <v/>
      </c>
      <c r="X57" s="7">
        <f>T57+(100-U57)</f>
        <v/>
      </c>
      <c r="Y57" s="3" t="inlineStr"/>
      <c r="Z57" s="3" t="inlineStr">
        <is>
          <t>D:\Shopify_Workspace\jeminise_seo\seo_runs\jeminise.com\20260906_234129\qa\20260907_204400\images\139_02.jpg; seo_runs\jeminise.com\20260906_234129\evidence\images\139_elephant-quilt-set-animal-patchwork-printed-quilt-bedset-patchwork\image_02_47933468410055.jpg; seo_runs\jeminise.com\20260906_234129\evidence\contact_sheets\139_elephant-quilt-set-animal-patchwork-printed-quilt-bedset-patchwork.jpg</t>
        </is>
      </c>
    </row>
    <row r="58" ht="66" customHeight="1">
      <c r="A58" s="2" t="inlineStr">
        <is>
          <t>jeminise.com+elephant-quilt-set-animal-patchwork-printed-quilt-bedset-patchwork</t>
        </is>
      </c>
      <c r="B58" s="2" t="inlineStr">
        <is>
          <t>img_a1faabe1092e082a</t>
        </is>
      </c>
      <c r="C58" s="4" t="inlineStr">
        <is>
          <t>https://cdn.shopify.com/s/files/1/0792/5098/1063/files/7b865b58073800edf124742c2b25434a7997c8fd66561c116e5e753e2063a5f0.jpg?v=1787233736</t>
        </is>
      </c>
      <c r="D58" s="4" t="inlineStr">
        <is>
          <t>https://cdn.shopify.com/s/files/1/0792/5098/1063/files/7b865b58073800edf124742c2b25434a7997c8fd66561c116e5e753e2063a5f0.jpg?v=1787233736</t>
        </is>
      </c>
      <c r="E58" s="2" t="inlineStr">
        <is>
          <t>47933468442823</t>
        </is>
      </c>
      <c r="F58" s="2" t="inlineStr">
        <is>
          <t>47933468442823</t>
        </is>
      </c>
      <c r="G58" s="2" t="inlineStr"/>
      <c r="H58" s="2" t="inlineStr">
        <is>
          <t>GALLERY</t>
        </is>
      </c>
      <c r="I58" s="2" t="inlineStr">
        <is>
          <t>DIRECT_IMAGE_DOWNLOAD_AND_SOURCE_ROW_REVIEW</t>
        </is>
      </c>
      <c r="J58" s="2" t="inlineStr">
        <is>
          <t>2026-09-07T20:46:57+07:00</t>
        </is>
      </c>
      <c r="K58" s="2" t="inlineStr">
        <is>
          <t>Direct QA opened downloaded image 139_03; source SHA 485DA5499BEF3C732287C75E898990C957B9BE263B885DE5C3346E0C04F3E18B. Submitted observation reviewed against gallery position.</t>
        </is>
      </c>
      <c r="L58" s="2" t="inlineStr">
        <is>
          <t>Bedding type, feature, lifestyle or material image for navy yellow elephant floral patchwork quilt.</t>
        </is>
      </c>
      <c r="M58" s="2" t="inlineStr">
        <is>
          <t>UNKNOWN</t>
        </is>
      </c>
      <c r="N58" s="2" t="inlineStr">
        <is>
          <t>SET</t>
        </is>
      </c>
      <c r="O58" s="2" t="inlineStr">
        <is>
          <t>Product option, feature or lifestyle image for Navy Yellow Elephant Patchwork Quilt</t>
        </is>
      </c>
      <c r="P58" s="2" t="inlineStr">
        <is>
          <t>FULL</t>
        </is>
      </c>
      <c r="Q58" s="2" t="inlineStr">
        <is>
          <t>PARTIAL</t>
        </is>
      </c>
      <c r="R58" s="2" t="inlineStr">
        <is>
          <t>FULL</t>
        </is>
      </c>
      <c r="S58" s="2" t="inlineStr">
        <is>
          <t>FULL</t>
        </is>
      </c>
      <c r="T58" s="5">
        <f>IF(P58="FULL",40,IF(P58="PARTIAL",40/2,0))+IF(Q58="FULL",30,IF(Q58="PARTIAL",30/2,0))+IF(R58="FULL",20,IF(R58="PARTIAL",20/2,0))+IF(S58="FULL",10,IF(S58="PARTIAL",10/2,0))</f>
        <v/>
      </c>
      <c r="U58" s="5">
        <f>IF(P58="NOT_CHECKED",0,40)+IF(Q58="NOT_CHECKED",0,30)+IF(R58="NOT_CHECKED",0,20)+IF(S58="NOT_CHECKED",0,10)</f>
        <v/>
      </c>
      <c r="V58" s="5">
        <f>IF(U58=100,T58,"")</f>
        <v/>
      </c>
      <c r="W58" s="5">
        <f>T58</f>
        <v/>
      </c>
      <c r="X58" s="5">
        <f>T58+(100-U58)</f>
        <v/>
      </c>
      <c r="Y58" s="2" t="inlineStr">
        <is>
          <t>ISSUE-0076</t>
        </is>
      </c>
      <c r="Z58" s="2" t="inlineStr">
        <is>
          <t>D:\Shopify_Workspace\jeminise_seo\seo_runs\jeminise.com\20260906_234129\qa\20260907_204400\images\139_03.jpg; seo_runs\jeminise.com\20260906_234129\evidence\images\139_elephant-quilt-set-animal-patchwork-printed-quilt-bedset-patchwork\image_03_47933468442823.jpg; seo_runs\jeminise.com\20260906_234129\evidence\contact_sheets\139_elephant-quilt-set-animal-patchwork-printed-quilt-bedset-patchwork.jpg</t>
        </is>
      </c>
    </row>
    <row r="59" ht="66" customHeight="1">
      <c r="A59" s="3" t="inlineStr">
        <is>
          <t>jeminise.com+elephant-quilt-set-animal-patchwork-printed-quilt-bedset-patchwork</t>
        </is>
      </c>
      <c r="B59" s="3" t="inlineStr">
        <is>
          <t>img_731a5b67d55133b1</t>
        </is>
      </c>
      <c r="C59" s="4" t="inlineStr">
        <is>
          <t>https://cdn.shopify.com/s/files/1/0792/5098/1063/files/1714756ab5b54fd2bf88e881b17a4f42d6d868a0ab243f06e8e40b23aa3cee80.jpg?v=1787233736</t>
        </is>
      </c>
      <c r="D59" s="4" t="inlineStr">
        <is>
          <t>https://cdn.shopify.com/s/files/1/0792/5098/1063/files/1714756ab5b54fd2bf88e881b17a4f42d6d868a0ab243f06e8e40b23aa3cee80.jpg?v=1787233736</t>
        </is>
      </c>
      <c r="E59" s="3" t="inlineStr">
        <is>
          <t>47933468475591</t>
        </is>
      </c>
      <c r="F59" s="3" t="inlineStr">
        <is>
          <t>47933468475591</t>
        </is>
      </c>
      <c r="G59" s="3" t="inlineStr"/>
      <c r="H59" s="3" t="inlineStr">
        <is>
          <t>GALLERY</t>
        </is>
      </c>
      <c r="I59" s="3" t="inlineStr">
        <is>
          <t>DIRECT_IMAGE_DOWNLOAD_AND_SOURCE_ROW_REVIEW</t>
        </is>
      </c>
      <c r="J59" s="3" t="inlineStr">
        <is>
          <t>2026-09-07T20:46:57+07:00</t>
        </is>
      </c>
      <c r="K59" s="3" t="inlineStr">
        <is>
          <t>Direct QA opened downloaded image 139_04; source SHA E1ECDBAC5A56EFE9356DD39412DEC22D986D934417C667A37C25AF8FE6984794. Submitted observation reviewed against gallery position.</t>
        </is>
      </c>
      <c r="L59" s="3" t="inlineStr">
        <is>
          <t>Detail, feature panel or lifestyle image connected to navy yellow elephant floral patchwork quilt.</t>
        </is>
      </c>
      <c r="M59" s="3" t="inlineStr">
        <is>
          <t>UNKNOWN</t>
        </is>
      </c>
      <c r="N59" s="3" t="inlineStr">
        <is>
          <t>SET</t>
        </is>
      </c>
      <c r="O59" s="3" t="inlineStr">
        <is>
          <t>Detail or feature image for Navy Yellow Elephant Patchwork Quilt</t>
        </is>
      </c>
      <c r="P59" s="3" t="inlineStr">
        <is>
          <t>FULL</t>
        </is>
      </c>
      <c r="Q59" s="3" t="inlineStr">
        <is>
          <t>PARTIAL</t>
        </is>
      </c>
      <c r="R59" s="3" t="inlineStr">
        <is>
          <t>FULL</t>
        </is>
      </c>
      <c r="S59" s="3" t="inlineStr">
        <is>
          <t>FULL</t>
        </is>
      </c>
      <c r="T59" s="7">
        <f>IF(P59="FULL",40,IF(P59="PARTIAL",40/2,0))+IF(Q59="FULL",30,IF(Q59="PARTIAL",30/2,0))+IF(R59="FULL",20,IF(R59="PARTIAL",20/2,0))+IF(S59="FULL",10,IF(S59="PARTIAL",10/2,0))</f>
        <v/>
      </c>
      <c r="U59" s="7">
        <f>IF(P59="NOT_CHECKED",0,40)+IF(Q59="NOT_CHECKED",0,30)+IF(R59="NOT_CHECKED",0,20)+IF(S59="NOT_CHECKED",0,10)</f>
        <v/>
      </c>
      <c r="V59" s="7">
        <f>IF(U59=100,T59,"")</f>
        <v/>
      </c>
      <c r="W59" s="7">
        <f>T59</f>
        <v/>
      </c>
      <c r="X59" s="7">
        <f>T59+(100-U59)</f>
        <v/>
      </c>
      <c r="Y59" s="3" t="inlineStr">
        <is>
          <t>ISSUE-0077</t>
        </is>
      </c>
      <c r="Z59" s="3" t="inlineStr">
        <is>
          <t>D:\Shopify_Workspace\jeminise_seo\seo_runs\jeminise.com\20260906_234129\qa\20260907_204400\images\139_04.jpg; seo_runs\jeminise.com\20260906_234129\evidence\images\139_elephant-quilt-set-animal-patchwork-printed-quilt-bedset-patchwork\image_04_47933468475591.jpg; seo_runs\jeminise.com\20260906_234129\evidence\contact_sheets\139_elephant-quilt-set-animal-patchwork-printed-quilt-bedset-patchwork.jpg</t>
        </is>
      </c>
    </row>
    <row r="60" ht="66" customHeight="1">
      <c r="A60" s="2" t="inlineStr">
        <is>
          <t>jeminise.com+elephant-quilt-set-animal-patchwork-printed-quilt-bedset-patchwork</t>
        </is>
      </c>
      <c r="B60" s="2" t="inlineStr">
        <is>
          <t>img_f156a41db9ff331c</t>
        </is>
      </c>
      <c r="C60" s="4" t="inlineStr">
        <is>
          <t>https://cdn.shopify.com/s/files/1/0792/5098/1063/files/809ddd0ec5fe74428113fd13ebbc0be931bd4b6e222141be866d06cccb1e46d9.jpg?v=1787233736</t>
        </is>
      </c>
      <c r="D60" s="4" t="inlineStr">
        <is>
          <t>https://cdn.shopify.com/s/files/1/0792/5098/1063/files/809ddd0ec5fe74428113fd13ebbc0be931bd4b6e222141be866d06cccb1e46d9.jpg?v=1787233736</t>
        </is>
      </c>
      <c r="E60" s="2" t="inlineStr">
        <is>
          <t>47933468508359</t>
        </is>
      </c>
      <c r="F60" s="2" t="inlineStr">
        <is>
          <t>47933468508359</t>
        </is>
      </c>
      <c r="G60" s="2" t="inlineStr"/>
      <c r="H60" s="2" t="inlineStr">
        <is>
          <t>GALLERY</t>
        </is>
      </c>
      <c r="I60" s="2" t="inlineStr">
        <is>
          <t>DIRECT_IMAGE_DOWNLOAD_AND_SOURCE_ROW_REVIEW</t>
        </is>
      </c>
      <c r="J60" s="2" t="inlineStr">
        <is>
          <t>2026-09-07T20:46:57+07:00</t>
        </is>
      </c>
      <c r="K60" s="2" t="inlineStr">
        <is>
          <t>Direct QA opened downloaded image 139_05; source SHA B196650BBCD63FF79FA4F45CDFA8A4C2B2DC2BA4C51CBE75F195B64A5A9A87AB. Submitted observation reviewed against gallery position.</t>
        </is>
      </c>
      <c r="L60" s="2" t="inlineStr">
        <is>
          <t>Additional mockup, care or size information for navy yellow elephant floral patchwork quilt.</t>
        </is>
      </c>
      <c r="M60" s="2" t="inlineStr">
        <is>
          <t>UNKNOWN</t>
        </is>
      </c>
      <c r="N60" s="2" t="inlineStr">
        <is>
          <t>SET</t>
        </is>
      </c>
      <c r="O60" s="2" t="inlineStr">
        <is>
          <t>Additional product mockup or care information for Navy Yellow Elephant Patchwork Quilt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5">
        <f>IF(P60="FULL",40,IF(P60="PARTIAL",40/2,0))+IF(Q60="FULL",30,IF(Q60="PARTIAL",30/2,0))+IF(R60="FULL",20,IF(R60="PARTIAL",20/2,0))+IF(S60="FULL",10,IF(S60="PARTIAL",10/2,0))</f>
        <v/>
      </c>
      <c r="U60" s="5">
        <f>IF(P60="NOT_CHECKED",0,40)+IF(Q60="NOT_CHECKED",0,30)+IF(R60="NOT_CHECKED",0,20)+IF(S60="NOT_CHECKED",0,10)</f>
        <v/>
      </c>
      <c r="V60" s="5">
        <f>IF(U60=100,T60,"")</f>
        <v/>
      </c>
      <c r="W60" s="5">
        <f>T60</f>
        <v/>
      </c>
      <c r="X60" s="5">
        <f>T60+(100-U60)</f>
        <v/>
      </c>
      <c r="Y60" s="2" t="inlineStr"/>
      <c r="Z60" s="2" t="inlineStr">
        <is>
          <t>D:\Shopify_Workspace\jeminise_seo\seo_runs\jeminise.com\20260906_234129\qa\20260907_204400\images\139_05.jpg; seo_runs\jeminise.com\20260906_234129\evidence\images\139_elephant-quilt-set-animal-patchwork-printed-quilt-bedset-patchwork\image_05_47933468508359.jpg; seo_runs\jeminise.com\20260906_234129\evidence\contact_sheets\139_elephant-quilt-set-animal-patchwork-printed-quilt-bedset-patchwork.jpg</t>
        </is>
      </c>
    </row>
    <row r="61" ht="66" customHeight="1">
      <c r="A61" s="3" t="inlineStr">
        <is>
          <t>jeminise.com+elephant-quilt-set-animal-patchwork-printed-quilt-bedset-patchwork</t>
        </is>
      </c>
      <c r="B61" s="3" t="inlineStr">
        <is>
          <t>img_47922f735e7d2a24</t>
        </is>
      </c>
      <c r="C61" s="4" t="inlineStr">
        <is>
          <t>https://cdn.shopify.com/s/files/1/0792/5098/1063/files/1a2a46dacc66d77518c316b048185b1a4e10d871e5e5cf6fe383ead3b2ef3bae.jpg?v=1787233736</t>
        </is>
      </c>
      <c r="D61" s="4" t="inlineStr">
        <is>
          <t>https://cdn.shopify.com/s/files/1/0792/5098/1063/files/1a2a46dacc66d77518c316b048185b1a4e10d871e5e5cf6fe383ead3b2ef3bae.jpg?v=1787233736</t>
        </is>
      </c>
      <c r="E61" s="3" t="inlineStr">
        <is>
          <t>47933468541127</t>
        </is>
      </c>
      <c r="F61" s="3" t="inlineStr">
        <is>
          <t>47933468541127</t>
        </is>
      </c>
      <c r="G61" s="3" t="inlineStr"/>
      <c r="H61" s="3" t="inlineStr">
        <is>
          <t>GALLERY</t>
        </is>
      </c>
      <c r="I61" s="3" t="inlineStr">
        <is>
          <t>DIRECT_IMAGE_DOWNLOAD_AND_SOURCE_ROW_REVIEW</t>
        </is>
      </c>
      <c r="J61" s="3" t="inlineStr">
        <is>
          <t>2026-09-07T20:46:57+07:00</t>
        </is>
      </c>
      <c r="K61" s="3" t="inlineStr">
        <is>
          <t>Direct QA opened downloaded image 139_06; source SHA D0A49CA7566C5DA4787C913472F2F919818C15812B18BD06BF8149013D1BE24E. Submitted observation reviewed against gallery position.</t>
        </is>
      </c>
      <c r="L61" s="3" t="inlineStr">
        <is>
          <t>Easy-care, size guide or product feature image for navy yellow elephant floral patchwork quilt.</t>
        </is>
      </c>
      <c r="M61" s="3" t="inlineStr">
        <is>
          <t>UNKNOWN</t>
        </is>
      </c>
      <c r="N61" s="3" t="inlineStr">
        <is>
          <t>SET</t>
        </is>
      </c>
      <c r="O61" s="3" t="inlineStr">
        <is>
          <t>Care, size or product feature image for Navy Yellow Elephant Patchwork Quilt</t>
        </is>
      </c>
      <c r="P61" s="3" t="inlineStr">
        <is>
          <t>FULL</t>
        </is>
      </c>
      <c r="Q61" s="3" t="inlineStr">
        <is>
          <t>PARTIAL</t>
        </is>
      </c>
      <c r="R61" s="3" t="inlineStr">
        <is>
          <t>FULL</t>
        </is>
      </c>
      <c r="S61" s="3" t="inlineStr">
        <is>
          <t>FULL</t>
        </is>
      </c>
      <c r="T61" s="7">
        <f>IF(P61="FULL",40,IF(P61="PARTIAL",40/2,0))+IF(Q61="FULL",30,IF(Q61="PARTIAL",30/2,0))+IF(R61="FULL",20,IF(R61="PARTIAL",20/2,0))+IF(S61="FULL",10,IF(S61="PARTIAL",10/2,0))</f>
        <v/>
      </c>
      <c r="U61" s="7">
        <f>IF(P61="NOT_CHECKED",0,40)+IF(Q61="NOT_CHECKED",0,30)+IF(R61="NOT_CHECKED",0,20)+IF(S61="NOT_CHECKED",0,10)</f>
        <v/>
      </c>
      <c r="V61" s="7">
        <f>IF(U61=100,T61,"")</f>
        <v/>
      </c>
      <c r="W61" s="7">
        <f>T61</f>
        <v/>
      </c>
      <c r="X61" s="7">
        <f>T61+(100-U61)</f>
        <v/>
      </c>
      <c r="Y61" s="3" t="inlineStr">
        <is>
          <t>ISSUE-0078</t>
        </is>
      </c>
      <c r="Z61" s="3" t="inlineStr">
        <is>
          <t>D:\Shopify_Workspace\jeminise_seo\seo_runs\jeminise.com\20260906_234129\qa\20260907_204400\images\139_06.jpg; seo_runs\jeminise.com\20260906_234129\evidence\images\139_elephant-quilt-set-animal-patchwork-printed-quilt-bedset-patchwork\image_06_47933468541127.jpg; seo_runs\jeminise.com\20260906_234129\evidence\contact_sheets\139_elephant-quilt-set-animal-patchwork-printed-quilt-bedset-patchwork.jpg</t>
        </is>
      </c>
    </row>
    <row r="62" ht="66" customHeight="1">
      <c r="A62" s="2" t="inlineStr">
        <is>
          <t>jeminise.com+elephant-quilt-set-animal-patchwork-printed-quilt-bedset-patchwork</t>
        </is>
      </c>
      <c r="B62" s="2" t="inlineStr">
        <is>
          <t>img_91d551d6a424fc18</t>
        </is>
      </c>
      <c r="C62" s="4" t="inlineStr">
        <is>
          <t>https://cdn.shopify.com/s/files/1/0792/5098/1063/files/c2f3c3e81644ced7fdd5e714260e05a33a17b6b56422dba7ed9551059f2d3de7.jpg?v=1787233736</t>
        </is>
      </c>
      <c r="D62" s="4" t="inlineStr">
        <is>
          <t>https://cdn.shopify.com/s/files/1/0792/5098/1063/files/c2f3c3e81644ced7fdd5e714260e05a33a17b6b56422dba7ed9551059f2d3de7.jpg?v=1787233736</t>
        </is>
      </c>
      <c r="E62" s="2" t="inlineStr">
        <is>
          <t>47933468573895</t>
        </is>
      </c>
      <c r="F62" s="2" t="inlineStr">
        <is>
          <t>47933468573895</t>
        </is>
      </c>
      <c r="G62" s="2" t="inlineStr"/>
      <c r="H62" s="2" t="inlineStr">
        <is>
          <t>GALLERY</t>
        </is>
      </c>
      <c r="I62" s="2" t="inlineStr">
        <is>
          <t>DIRECT_IMAGE_DOWNLOAD_AND_SOURCE_ROW_REVIEW</t>
        </is>
      </c>
      <c r="J62" s="2" t="inlineStr">
        <is>
          <t>2026-09-07T20:46:57+07:00</t>
        </is>
      </c>
      <c r="K62" s="2" t="inlineStr">
        <is>
          <t>Direct QA opened downloaded image 139_07; source SHA 32A7DF862553F68140D8BE807867823E53ECFBAC536B8B69AE13A3547CC7ECAC. Submitted observation reviewed against gallery position.</t>
        </is>
      </c>
      <c r="L62" s="2" t="inlineStr">
        <is>
          <t>Additional lifestyle, feature or product detail image showing navy yellow elephant floral patchwork quilt.</t>
        </is>
      </c>
      <c r="M62" s="2" t="inlineStr">
        <is>
          <t>UNKNOWN</t>
        </is>
      </c>
      <c r="N62" s="2" t="inlineStr">
        <is>
          <t>SET</t>
        </is>
      </c>
      <c r="O62" s="2" t="inlineStr">
        <is>
          <t>Additional product mockup of Navy Yellow Elephant Patchwork Quilt</t>
        </is>
      </c>
      <c r="P62" s="2" t="inlineStr">
        <is>
          <t>FULL</t>
        </is>
      </c>
      <c r="Q62" s="2" t="inlineStr">
        <is>
          <t>PARTIAL</t>
        </is>
      </c>
      <c r="R62" s="2" t="inlineStr">
        <is>
          <t>FULL</t>
        </is>
      </c>
      <c r="S62" s="2" t="inlineStr">
        <is>
          <t>FULL</t>
        </is>
      </c>
      <c r="T62" s="5">
        <f>IF(P62="FULL",40,IF(P62="PARTIAL",40/2,0))+IF(Q62="FULL",30,IF(Q62="PARTIAL",30/2,0))+IF(R62="FULL",20,IF(R62="PARTIAL",20/2,0))+IF(S62="FULL",10,IF(S62="PARTIAL",10/2,0))</f>
        <v/>
      </c>
      <c r="U62" s="5">
        <f>IF(P62="NOT_CHECKED",0,40)+IF(Q62="NOT_CHECKED",0,30)+IF(R62="NOT_CHECKED",0,20)+IF(S62="NOT_CHECKED",0,10)</f>
        <v/>
      </c>
      <c r="V62" s="5">
        <f>IF(U62=100,T62,"")</f>
        <v/>
      </c>
      <c r="W62" s="5">
        <f>T62</f>
        <v/>
      </c>
      <c r="X62" s="5">
        <f>T62+(100-U62)</f>
        <v/>
      </c>
      <c r="Y62" s="2" t="inlineStr">
        <is>
          <t>ISSUE-0079</t>
        </is>
      </c>
      <c r="Z62" s="2" t="inlineStr">
        <is>
          <t>D:\Shopify_Workspace\jeminise_seo\seo_runs\jeminise.com\20260906_234129\qa\20260907_204400\images\139_07.jpg; seo_runs\jeminise.com\20260906_234129\evidence\images\139_elephant-quilt-set-animal-patchwork-printed-quilt-bedset-patchwork\image_07_47933468573895.jpg; seo_runs\jeminise.com\20260906_234129\evidence\contact_sheets\139_elephant-quilt-set-animal-patchwork-printed-quilt-bedset-patchwork.jpg</t>
        </is>
      </c>
    </row>
    <row r="63" ht="66" customHeight="1">
      <c r="A63" s="3" t="inlineStr">
        <is>
          <t>jeminise.com+fantasy-art-fantasy-dragon-comforter-set-with-dragon-scales-and-bedroom-setting-239aaba3e2-239aaba3e2</t>
        </is>
      </c>
      <c r="B63" s="3" t="inlineStr">
        <is>
          <t>img_eeb9a2dee157721d</t>
        </is>
      </c>
      <c r="C63" s="4" t="inlineStr">
        <is>
          <t>https://cdn.shopify.com/s/files/1/0792/5098/1063/files/0b127d2469cd13b91c34f523d93af494f30715233b3225786c6ec2936379f6e6.jpg?v=1785046392</t>
        </is>
      </c>
      <c r="D63" s="4" t="inlineStr">
        <is>
          <t>https://cdn.shopify.com/s/files/1/0792/5098/1063/files/0b127d2469cd13b91c34f523d93af494f30715233b3225786c6ec2936379f6e6.jpg?v=1785046392</t>
        </is>
      </c>
      <c r="E63" s="3" t="inlineStr">
        <is>
          <t>47531768905927</t>
        </is>
      </c>
      <c r="F63" s="3" t="inlineStr">
        <is>
          <t>47531768905927</t>
        </is>
      </c>
      <c r="G63" s="3" t="inlineStr"/>
      <c r="H63" s="3" t="inlineStr">
        <is>
          <t>GALLERY</t>
        </is>
      </c>
      <c r="I63" s="3" t="inlineStr">
        <is>
          <t>DIRECT_IMAGE_DOWNLOAD_AND_SOURCE_ROW_REVIEW</t>
        </is>
      </c>
      <c r="J63" s="3" t="inlineStr">
        <is>
          <t>2026-09-07T20:46:57+07:00</t>
        </is>
      </c>
      <c r="K63" s="3" t="inlineStr">
        <is>
          <t>Direct QA opened downloaded image 140_01; source SHA A95066A4AC39BDE2666A8BD58ADB78062E306DFB6FCF0B8488D2BFE205E8A15B. Submitted observation reviewed against gallery position.</t>
        </is>
      </c>
      <c r="L63" s="3" t="inlineStr">
        <is>
          <t>Main product mockup showing rainbow fantasy dragon quilt set.</t>
        </is>
      </c>
      <c r="M63" s="3" t="inlineStr">
        <is>
          <t>UNKNOWN</t>
        </is>
      </c>
      <c r="N63" s="3" t="inlineStr">
        <is>
          <t>SET</t>
        </is>
      </c>
      <c r="O63" s="3" t="inlineStr">
        <is>
          <t>Rainbow Fantasy Dragon Quilt Set displayed in a main product mockup</t>
        </is>
      </c>
      <c r="P63" s="3" t="inlineStr">
        <is>
          <t>FULL</t>
        </is>
      </c>
      <c r="Q63" s="3" t="inlineStr">
        <is>
          <t>FULL</t>
        </is>
      </c>
      <c r="R63" s="3" t="inlineStr">
        <is>
          <t>PARTIAL</t>
        </is>
      </c>
      <c r="S63" s="3" t="inlineStr">
        <is>
          <t>FULL</t>
        </is>
      </c>
      <c r="T63" s="7">
        <f>IF(P63="FULL",40,IF(P63="PARTIAL",40/2,0))+IF(Q63="FULL",30,IF(Q63="PARTIAL",30/2,0))+IF(R63="FULL",20,IF(R63="PARTIAL",20/2,0))+IF(S63="FULL",10,IF(S63="PARTIAL",10/2,0))</f>
        <v/>
      </c>
      <c r="U63" s="7">
        <f>IF(P63="NOT_CHECKED",0,40)+IF(Q63="NOT_CHECKED",0,30)+IF(R63="NOT_CHECKED",0,20)+IF(S63="NOT_CHECKED",0,10)</f>
        <v/>
      </c>
      <c r="V63" s="7">
        <f>IF(U63=100,T63,"")</f>
        <v/>
      </c>
      <c r="W63" s="7">
        <f>T63</f>
        <v/>
      </c>
      <c r="X63" s="7">
        <f>T63+(100-U63)</f>
        <v/>
      </c>
      <c r="Y63" s="3" t="inlineStr">
        <is>
          <t>ISSUE-0084</t>
        </is>
      </c>
      <c r="Z63" s="3" t="inlineStr">
        <is>
          <t>D:\Shopify_Workspace\jeminise_seo\seo_runs\jeminise.com\20260906_234129\qa\20260907_204400\images\140_01.jpg; seo_runs\jeminise.com\20260906_234129\evidence\images\140_fantasy-art-fantasy-dragon-comforter-set-with-dragon-scales-and-bedroom-setting-239aaba3e2-239aaba3e2\image_01_47531768905927.jpg; seo_runs\jeminise.com\20260906_234129\evidence\contact_sheets\140_fantasy-art-fantasy-dragon-comforter-set-with-dragon-scales-and-bedroom-setting-239aaba3e2-239aaba3e2.jpg</t>
        </is>
      </c>
    </row>
    <row r="64" ht="66" customHeight="1">
      <c r="A64" s="2" t="inlineStr">
        <is>
          <t>jeminise.com+fantasy-art-fantasy-dragon-comforter-set-with-dragon-scales-and-bedroom-setting-239aaba3e2-239aaba3e2</t>
        </is>
      </c>
      <c r="B64" s="2" t="inlineStr">
        <is>
          <t>img_06097c9b605d416d</t>
        </is>
      </c>
      <c r="C64" s="4" t="inlineStr">
        <is>
          <t>https://cdn.shopify.com/s/files/1/0792/5098/1063/files/e096fc59f70a8fe5e6ed48f0d968f1d3082b2742c69ba8f7a236164e4bea4e8b.jpg?v=1785046392</t>
        </is>
      </c>
      <c r="D64" s="4" t="inlineStr">
        <is>
          <t>https://cdn.shopify.com/s/files/1/0792/5098/1063/files/e096fc59f70a8fe5e6ed48f0d968f1d3082b2742c69ba8f7a236164e4bea4e8b.jpg?v=1785046392</t>
        </is>
      </c>
      <c r="E64" s="2" t="inlineStr">
        <is>
          <t>47531768938695</t>
        </is>
      </c>
      <c r="F64" s="2" t="inlineStr">
        <is>
          <t>47531768938695</t>
        </is>
      </c>
      <c r="G64" s="2" t="inlineStr"/>
      <c r="H64" s="2" t="inlineStr">
        <is>
          <t>GALLERY</t>
        </is>
      </c>
      <c r="I64" s="2" t="inlineStr">
        <is>
          <t>DIRECT_IMAGE_DOWNLOAD_AND_SOURCE_ROW_REVIEW</t>
        </is>
      </c>
      <c r="J64" s="2" t="inlineStr">
        <is>
          <t>2026-09-07T20:46:57+07:00</t>
        </is>
      </c>
      <c r="K64" s="2" t="inlineStr">
        <is>
          <t>Direct QA opened downloaded image 140_02; source SHA B205D3E1BA055727EB2051F80D350EF2A94A7262538A5798F359334BAFEFE18C. Submitted observation reviewed against gallery position.</t>
        </is>
      </c>
      <c r="L64" s="2" t="inlineStr">
        <is>
          <t>Secondary flat, close-up or bedroom mockup showing rainbow fantasy dragon quilt set.</t>
        </is>
      </c>
      <c r="M64" s="2" t="inlineStr">
        <is>
          <t>UNKNOWN</t>
        </is>
      </c>
      <c r="N64" s="2" t="inlineStr">
        <is>
          <t>SET</t>
        </is>
      </c>
      <c r="O64" s="2" t="inlineStr">
        <is>
          <t>Secondary mockup of Rainbow Fantasy Dragon Quilt Set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5">
        <f>IF(P64="FULL",40,IF(P64="PARTIAL",40/2,0))+IF(Q64="FULL",30,IF(Q64="PARTIAL",30/2,0))+IF(R64="FULL",20,IF(R64="PARTIAL",20/2,0))+IF(S64="FULL",10,IF(S64="PARTIAL",10/2,0))</f>
        <v/>
      </c>
      <c r="U64" s="5">
        <f>IF(P64="NOT_CHECKED",0,40)+IF(Q64="NOT_CHECKED",0,30)+IF(R64="NOT_CHECKED",0,20)+IF(S64="NOT_CHECKED",0,10)</f>
        <v/>
      </c>
      <c r="V64" s="5">
        <f>IF(U64=100,T64,"")</f>
        <v/>
      </c>
      <c r="W64" s="5">
        <f>T64</f>
        <v/>
      </c>
      <c r="X64" s="5">
        <f>T64+(100-U64)</f>
        <v/>
      </c>
      <c r="Y64" s="2" t="inlineStr"/>
      <c r="Z64" s="2" t="inlineStr">
        <is>
          <t>D:\Shopify_Workspace\jeminise_seo\seo_runs\jeminise.com\20260906_234129\qa\20260907_204400\images\140_02.jpg; seo_runs\jeminise.com\20260906_234129\evidence\images\140_fantasy-art-fantasy-dragon-comforter-set-with-dragon-scales-and-bedroom-setting-239aaba3e2-239aaba3e2\image_02_47531768938695.jpg; seo_runs\jeminise.com\20260906_234129\evidence\contact_sheets\140_fantasy-art-fantasy-dragon-comforter-set-with-dragon-scales-and-bedroom-setting-239aaba3e2-239aaba3e2.jpg</t>
        </is>
      </c>
    </row>
    <row r="65" ht="66" customHeight="1">
      <c r="A65" s="3" t="inlineStr">
        <is>
          <t>jeminise.com+fantasy-art-fantasy-dragon-comforter-set-with-dragon-scales-and-bedroom-setting-239aaba3e2-239aaba3e2</t>
        </is>
      </c>
      <c r="B65" s="3" t="inlineStr">
        <is>
          <t>img_1bc6d8179983d7e8</t>
        </is>
      </c>
      <c r="C65" s="4" t="inlineStr">
        <is>
          <t>https://cdn.shopify.com/s/files/1/0792/5098/1063/files/bce3bf4b6938e7c5326d2e2c083e2889a5fb762d01c1338bd921e2802bcc1821.jpg?v=1785046392</t>
        </is>
      </c>
      <c r="D65" s="4" t="inlineStr">
        <is>
          <t>https://cdn.shopify.com/s/files/1/0792/5098/1063/files/bce3bf4b6938e7c5326d2e2c083e2889a5fb762d01c1338bd921e2802bcc1821.jpg?v=1785046392</t>
        </is>
      </c>
      <c r="E65" s="3" t="inlineStr">
        <is>
          <t>47531768971463</t>
        </is>
      </c>
      <c r="F65" s="3" t="inlineStr">
        <is>
          <t>47531768971463</t>
        </is>
      </c>
      <c r="G65" s="3" t="inlineStr"/>
      <c r="H65" s="3" t="inlineStr">
        <is>
          <t>GALLERY</t>
        </is>
      </c>
      <c r="I65" s="3" t="inlineStr">
        <is>
          <t>DIRECT_IMAGE_DOWNLOAD_AND_SOURCE_ROW_REVIEW</t>
        </is>
      </c>
      <c r="J65" s="3" t="inlineStr">
        <is>
          <t>2026-09-07T20:46:57+07:00</t>
        </is>
      </c>
      <c r="K65" s="3" t="inlineStr">
        <is>
          <t>Direct QA opened downloaded image 140_03; source SHA 7FD1BA9B83E67035ED2902B06660BBA2321B28ACD22BA72798D935F88BC0CF62. Submitted observation reviewed against gallery position.</t>
        </is>
      </c>
      <c r="L65" s="3" t="inlineStr">
        <is>
          <t>Bedding type, feature, lifestyle or material image for rainbow fantasy dragon quilt set.</t>
        </is>
      </c>
      <c r="M65" s="3" t="inlineStr">
        <is>
          <t>UNKNOWN</t>
        </is>
      </c>
      <c r="N65" s="3" t="inlineStr">
        <is>
          <t>SET</t>
        </is>
      </c>
      <c r="O65" s="3" t="inlineStr">
        <is>
          <t>Product option, feature or lifestyle image for Rainbow Fantasy Dragon Quilt Set</t>
        </is>
      </c>
      <c r="P65" s="3" t="inlineStr">
        <is>
          <t>FULL</t>
        </is>
      </c>
      <c r="Q65" s="3" t="inlineStr">
        <is>
          <t>PARTIAL</t>
        </is>
      </c>
      <c r="R65" s="3" t="inlineStr">
        <is>
          <t>FULL</t>
        </is>
      </c>
      <c r="S65" s="3" t="inlineStr">
        <is>
          <t>FULL</t>
        </is>
      </c>
      <c r="T65" s="7">
        <f>IF(P65="FULL",40,IF(P65="PARTIAL",40/2,0))+IF(Q65="FULL",30,IF(Q65="PARTIAL",30/2,0))+IF(R65="FULL",20,IF(R65="PARTIAL",20/2,0))+IF(S65="FULL",10,IF(S65="PARTIAL",10/2,0))</f>
        <v/>
      </c>
      <c r="U65" s="7">
        <f>IF(P65="NOT_CHECKED",0,40)+IF(Q65="NOT_CHECKED",0,30)+IF(R65="NOT_CHECKED",0,20)+IF(S65="NOT_CHECKED",0,10)</f>
        <v/>
      </c>
      <c r="V65" s="7">
        <f>IF(U65=100,T65,"")</f>
        <v/>
      </c>
      <c r="W65" s="7">
        <f>T65</f>
        <v/>
      </c>
      <c r="X65" s="7">
        <f>T65+(100-U65)</f>
        <v/>
      </c>
      <c r="Y65" s="3" t="inlineStr">
        <is>
          <t>ISSUE-0085</t>
        </is>
      </c>
      <c r="Z65" s="3" t="inlineStr">
        <is>
          <t>D:\Shopify_Workspace\jeminise_seo\seo_runs\jeminise.com\20260906_234129\qa\20260907_204400\images\140_03.jpg; seo_runs\jeminise.com\20260906_234129\evidence\images\140_fantasy-art-fantasy-dragon-comforter-set-with-dragon-scales-and-bedroom-setting-239aaba3e2-239aaba3e2\image_03_47531768971463.jpg; seo_runs\jeminise.com\20260906_234129\evidence\contact_sheets\140_fantasy-art-fantasy-dragon-comforter-set-with-dragon-scales-and-bedroom-setting-239aaba3e2-239aaba3e2.jpg</t>
        </is>
      </c>
    </row>
    <row r="66" ht="66" customHeight="1">
      <c r="A66" s="2" t="inlineStr">
        <is>
          <t>jeminise.com+fantasy-art-fantasy-dragon-comforter-set-with-dragon-scales-and-bedroom-setting-239aaba3e2-239aaba3e2</t>
        </is>
      </c>
      <c r="B66" s="2" t="inlineStr">
        <is>
          <t>img_56c01551458b6c5c</t>
        </is>
      </c>
      <c r="C66" s="4" t="inlineStr">
        <is>
          <t>https://cdn.shopify.com/s/files/1/0792/5098/1063/files/913a85a20019443134aa05bb95bd3325ca109d70bb625d4fd46ad44c692ceba4.jpg?v=1785046392</t>
        </is>
      </c>
      <c r="D66" s="4" t="inlineStr">
        <is>
          <t>https://cdn.shopify.com/s/files/1/0792/5098/1063/files/913a85a20019443134aa05bb95bd3325ca109d70bb625d4fd46ad44c692ceba4.jpg?v=1785046392</t>
        </is>
      </c>
      <c r="E66" s="2" t="inlineStr">
        <is>
          <t>47531769004231</t>
        </is>
      </c>
      <c r="F66" s="2" t="inlineStr">
        <is>
          <t>47531769004231</t>
        </is>
      </c>
      <c r="G66" s="2" t="inlineStr"/>
      <c r="H66" s="2" t="inlineStr">
        <is>
          <t>GALLERY</t>
        </is>
      </c>
      <c r="I66" s="2" t="inlineStr">
        <is>
          <t>DIRECT_IMAGE_DOWNLOAD_AND_SOURCE_ROW_REVIEW</t>
        </is>
      </c>
      <c r="J66" s="2" t="inlineStr">
        <is>
          <t>2026-09-07T20:46:57+07:00</t>
        </is>
      </c>
      <c r="K66" s="2" t="inlineStr">
        <is>
          <t>Direct QA opened downloaded image 140_04; source SHA 067EB532650DF89111C95AE50353DE64943A779D2D367F7E8D490FEDFD48846D. Submitted observation reviewed against gallery position.</t>
        </is>
      </c>
      <c r="L66" s="2" t="inlineStr">
        <is>
          <t>Detail, feature panel or lifestyle image connected to rainbow fantasy dragon quilt set.</t>
        </is>
      </c>
      <c r="M66" s="2" t="inlineStr">
        <is>
          <t>UNKNOWN</t>
        </is>
      </c>
      <c r="N66" s="2" t="inlineStr">
        <is>
          <t>SET</t>
        </is>
      </c>
      <c r="O66" s="2" t="inlineStr">
        <is>
          <t>Detail or feature image for Rainbow Fantasy Dragon Quilt Set</t>
        </is>
      </c>
      <c r="P66" s="2" t="inlineStr">
        <is>
          <t>FULL</t>
        </is>
      </c>
      <c r="Q66" s="2" t="inlineStr">
        <is>
          <t>PARTIAL</t>
        </is>
      </c>
      <c r="R66" s="2" t="inlineStr">
        <is>
          <t>FULL</t>
        </is>
      </c>
      <c r="S66" s="2" t="inlineStr">
        <is>
          <t>FULL</t>
        </is>
      </c>
      <c r="T66" s="5">
        <f>IF(P66="FULL",40,IF(P66="PARTIAL",40/2,0))+IF(Q66="FULL",30,IF(Q66="PARTIAL",30/2,0))+IF(R66="FULL",20,IF(R66="PARTIAL",20/2,0))+IF(S66="FULL",10,IF(S66="PARTIAL",10/2,0))</f>
        <v/>
      </c>
      <c r="U66" s="5">
        <f>IF(P66="NOT_CHECKED",0,40)+IF(Q66="NOT_CHECKED",0,30)+IF(R66="NOT_CHECKED",0,20)+IF(S66="NOT_CHECKED",0,10)</f>
        <v/>
      </c>
      <c r="V66" s="5">
        <f>IF(U66=100,T66,"")</f>
        <v/>
      </c>
      <c r="W66" s="5">
        <f>T66</f>
        <v/>
      </c>
      <c r="X66" s="5">
        <f>T66+(100-U66)</f>
        <v/>
      </c>
      <c r="Y66" s="2" t="inlineStr">
        <is>
          <t>ISSUE-0086</t>
        </is>
      </c>
      <c r="Z66" s="2" t="inlineStr">
        <is>
          <t>D:\Shopify_Workspace\jeminise_seo\seo_runs\jeminise.com\20260906_234129\qa\20260907_204400\images\140_04.jpg; seo_runs\jeminise.com\20260906_234129\evidence\images\140_fantasy-art-fantasy-dragon-comforter-set-with-dragon-scales-and-bedroom-setting-239aaba3e2-239aaba3e2\image_04_47531769004231.jpg; seo_runs\jeminise.com\20260906_234129\evidence\contact_sheets\140_fantasy-art-fantasy-dragon-comforter-set-with-dragon-scales-and-bedroom-setting-239aaba3e2-239aaba3e2.jpg</t>
        </is>
      </c>
    </row>
    <row r="67" ht="66" customHeight="1">
      <c r="A67" s="3" t="inlineStr">
        <is>
          <t>jeminise.com+fantasy-art-fantasy-dragon-comforter-set-with-dragon-scales-and-bedroom-setting-239aaba3e2-239aaba3e2</t>
        </is>
      </c>
      <c r="B67" s="3" t="inlineStr">
        <is>
          <t>img_2de4d3bf95e1f2b6</t>
        </is>
      </c>
      <c r="C67" s="4" t="inlineStr">
        <is>
          <t>https://cdn.shopify.com/s/files/1/0792/5098/1063/files/370777b993440fc6b749ec395e76c759444454c4e59c78fd3988d124c81efa15.jpg?v=1785046392</t>
        </is>
      </c>
      <c r="D67" s="4" t="inlineStr">
        <is>
          <t>https://cdn.shopify.com/s/files/1/0792/5098/1063/files/370777b993440fc6b749ec395e76c759444454c4e59c78fd3988d124c81efa15.jpg?v=1785046392</t>
        </is>
      </c>
      <c r="E67" s="3" t="inlineStr">
        <is>
          <t>47531769036999</t>
        </is>
      </c>
      <c r="F67" s="3" t="inlineStr">
        <is>
          <t>47531769036999</t>
        </is>
      </c>
      <c r="G67" s="3" t="inlineStr"/>
      <c r="H67" s="3" t="inlineStr">
        <is>
          <t>GALLERY</t>
        </is>
      </c>
      <c r="I67" s="3" t="inlineStr">
        <is>
          <t>DIRECT_IMAGE_DOWNLOAD_AND_SOURCE_ROW_REVIEW</t>
        </is>
      </c>
      <c r="J67" s="3" t="inlineStr">
        <is>
          <t>2026-09-07T20:46:57+07:00</t>
        </is>
      </c>
      <c r="K67" s="3" t="inlineStr">
        <is>
          <t>Direct QA opened downloaded image 140_05; source SHA 68610FE9E621355E92E462C81BFE1CB2A81D1B6ABA66C0A90C7CA55B7146C519. Submitted observation reviewed against gallery position.</t>
        </is>
      </c>
      <c r="L67" s="3" t="inlineStr">
        <is>
          <t>Additional mockup, care or size information for rainbow fantasy dragon quilt set.</t>
        </is>
      </c>
      <c r="M67" s="3" t="inlineStr">
        <is>
          <t>UNKNOWN</t>
        </is>
      </c>
      <c r="N67" s="3" t="inlineStr">
        <is>
          <t>SET</t>
        </is>
      </c>
      <c r="O67" s="3" t="inlineStr">
        <is>
          <t>Additional product mockup or care information for Rainbow Fantasy Dragon Quilt Set</t>
        </is>
      </c>
      <c r="P67" s="3" t="inlineStr">
        <is>
          <t>FULL</t>
        </is>
      </c>
      <c r="Q67" s="3" t="inlineStr">
        <is>
          <t>FULL</t>
        </is>
      </c>
      <c r="R67" s="3" t="inlineStr">
        <is>
          <t>FULL</t>
        </is>
      </c>
      <c r="S67" s="3" t="inlineStr">
        <is>
          <t>FULL</t>
        </is>
      </c>
      <c r="T67" s="7">
        <f>IF(P67="FULL",40,IF(P67="PARTIAL",40/2,0))+IF(Q67="FULL",30,IF(Q67="PARTIAL",30/2,0))+IF(R67="FULL",20,IF(R67="PARTIAL",20/2,0))+IF(S67="FULL",10,IF(S67="PARTIAL",10/2,0))</f>
        <v/>
      </c>
      <c r="U67" s="7">
        <f>IF(P67="NOT_CHECKED",0,40)+IF(Q67="NOT_CHECKED",0,30)+IF(R67="NOT_CHECKED",0,20)+IF(S67="NOT_CHECKED",0,10)</f>
        <v/>
      </c>
      <c r="V67" s="7">
        <f>IF(U67=100,T67,"")</f>
        <v/>
      </c>
      <c r="W67" s="7">
        <f>T67</f>
        <v/>
      </c>
      <c r="X67" s="7">
        <f>T67+(100-U67)</f>
        <v/>
      </c>
      <c r="Y67" s="3" t="inlineStr"/>
      <c r="Z67" s="3" t="inlineStr">
        <is>
          <t>D:\Shopify_Workspace\jeminise_seo\seo_runs\jeminise.com\20260906_234129\qa\20260907_204400\images\140_05.jpg; seo_runs\jeminise.com\20260906_234129\evidence\images\140_fantasy-art-fantasy-dragon-comforter-set-with-dragon-scales-and-bedroom-setting-239aaba3e2-239aaba3e2\image_05_47531769036999.jpg; seo_runs\jeminise.com\20260906_234129\evidence\contact_sheets\140_fantasy-art-fantasy-dragon-comforter-set-with-dragon-scales-and-bedroom-setting-239aaba3e2-239aaba3e2.jpg</t>
        </is>
      </c>
    </row>
    <row r="68" ht="66" customHeight="1">
      <c r="A68" s="2" t="inlineStr">
        <is>
          <t>jeminise.com+fantasy-art-fantasy-dragon-comforter-set-with-dragon-scales-and-bedroom-setting-239aaba3e2-239aaba3e2</t>
        </is>
      </c>
      <c r="B68" s="2" t="inlineStr">
        <is>
          <t>img_56ebd23a03b2eb6a</t>
        </is>
      </c>
      <c r="C68" s="4" t="inlineStr">
        <is>
          <t>https://cdn.shopify.com/s/files/1/0792/5098/1063/files/3ed1b45bd53388072c20fce313e88ba9b72b35873172eeb3b0126cb7e9fa31f2.jpg?v=1785046392</t>
        </is>
      </c>
      <c r="D68" s="4" t="inlineStr">
        <is>
          <t>https://cdn.shopify.com/s/files/1/0792/5098/1063/files/3ed1b45bd53388072c20fce313e88ba9b72b35873172eeb3b0126cb7e9fa31f2.jpg?v=1785046392</t>
        </is>
      </c>
      <c r="E68" s="2" t="inlineStr">
        <is>
          <t>47531769069767</t>
        </is>
      </c>
      <c r="F68" s="2" t="inlineStr">
        <is>
          <t>47531769069767</t>
        </is>
      </c>
      <c r="G68" s="2" t="inlineStr"/>
      <c r="H68" s="2" t="inlineStr">
        <is>
          <t>GALLERY</t>
        </is>
      </c>
      <c r="I68" s="2" t="inlineStr">
        <is>
          <t>DIRECT_IMAGE_DOWNLOAD_AND_SOURCE_ROW_REVIEW</t>
        </is>
      </c>
      <c r="J68" s="2" t="inlineStr">
        <is>
          <t>2026-09-07T20:46:57+07:00</t>
        </is>
      </c>
      <c r="K68" s="2" t="inlineStr">
        <is>
          <t>Direct QA opened downloaded image 140_06; source SHA 651E804B6996D9296171B499792FCA522BEF0D2C171B430088EF14A24CDB1D21. Submitted observation reviewed against gallery position.</t>
        </is>
      </c>
      <c r="L68" s="2" t="inlineStr">
        <is>
          <t>Easy-care, size guide or product feature image for rainbow fantasy dragon quilt set.</t>
        </is>
      </c>
      <c r="M68" s="2" t="inlineStr">
        <is>
          <t>UNKNOWN</t>
        </is>
      </c>
      <c r="N68" s="2" t="inlineStr">
        <is>
          <t>SET</t>
        </is>
      </c>
      <c r="O68" s="2" t="inlineStr">
        <is>
          <t>Care, size or product feature image for Rainbow Fantasy Dragon Quilt Set</t>
        </is>
      </c>
      <c r="P68" s="2" t="inlineStr">
        <is>
          <t>FULL</t>
        </is>
      </c>
      <c r="Q68" s="2" t="inlineStr">
        <is>
          <t>PARTIAL</t>
        </is>
      </c>
      <c r="R68" s="2" t="inlineStr">
        <is>
          <t>FULL</t>
        </is>
      </c>
      <c r="S68" s="2" t="inlineStr">
        <is>
          <t>FULL</t>
        </is>
      </c>
      <c r="T68" s="5">
        <f>IF(P68="FULL",40,IF(P68="PARTIAL",40/2,0))+IF(Q68="FULL",30,IF(Q68="PARTIAL",30/2,0))+IF(R68="FULL",20,IF(R68="PARTIAL",20/2,0))+IF(S68="FULL",10,IF(S68="PARTIAL",10/2,0))</f>
        <v/>
      </c>
      <c r="U68" s="5">
        <f>IF(P68="NOT_CHECKED",0,40)+IF(Q68="NOT_CHECKED",0,30)+IF(R68="NOT_CHECKED",0,20)+IF(S68="NOT_CHECKED",0,10)</f>
        <v/>
      </c>
      <c r="V68" s="5">
        <f>IF(U68=100,T68,"")</f>
        <v/>
      </c>
      <c r="W68" s="5">
        <f>T68</f>
        <v/>
      </c>
      <c r="X68" s="5">
        <f>T68+(100-U68)</f>
        <v/>
      </c>
      <c r="Y68" s="2" t="inlineStr">
        <is>
          <t>ISSUE-0087</t>
        </is>
      </c>
      <c r="Z68" s="2" t="inlineStr">
        <is>
          <t>D:\Shopify_Workspace\jeminise_seo\seo_runs\jeminise.com\20260906_234129\qa\20260907_204400\images\140_06.jpg; seo_runs\jeminise.com\20260906_234129\evidence\images\140_fantasy-art-fantasy-dragon-comforter-set-with-dragon-scales-and-bedroom-setting-239aaba3e2-239aaba3e2\image_06_47531769069767.jpg; seo_runs\jeminise.com\20260906_234129\evidence\contact_sheets\140_fantasy-art-fantasy-dragon-comforter-set-with-dragon-scales-and-bedroom-setting-239aaba3e2-239aaba3e2.jpg</t>
        </is>
      </c>
    </row>
    <row r="69" ht="66" customHeight="1">
      <c r="A69" s="3" t="inlineStr">
        <is>
          <t>jeminise.com+fantasy-art-fantasy-dragon-comforter-set-with-dragon-scales-and-bedroom-setting-239aaba3e2-239aaba3e2</t>
        </is>
      </c>
      <c r="B69" s="3" t="inlineStr">
        <is>
          <t>img_774158b73ccd936b</t>
        </is>
      </c>
      <c r="C69" s="4" t="inlineStr">
        <is>
          <t>https://cdn.shopify.com/s/files/1/0792/5098/1063/files/4d14dc6755499a28174bac1d0b51faaaf6efd21fb9072bb076b1bce90f924b9b.jpg?v=1785046392</t>
        </is>
      </c>
      <c r="D69" s="4" t="inlineStr">
        <is>
          <t>https://cdn.shopify.com/s/files/1/0792/5098/1063/files/4d14dc6755499a28174bac1d0b51faaaf6efd21fb9072bb076b1bce90f924b9b.jpg?v=1785046392</t>
        </is>
      </c>
      <c r="E69" s="3" t="inlineStr">
        <is>
          <t>47531769102535</t>
        </is>
      </c>
      <c r="F69" s="3" t="inlineStr">
        <is>
          <t>47531769102535</t>
        </is>
      </c>
      <c r="G69" s="3" t="inlineStr"/>
      <c r="H69" s="3" t="inlineStr">
        <is>
          <t>GALLERY</t>
        </is>
      </c>
      <c r="I69" s="3" t="inlineStr">
        <is>
          <t>DIRECT_IMAGE_DOWNLOAD_AND_SOURCE_ROW_REVIEW</t>
        </is>
      </c>
      <c r="J69" s="3" t="inlineStr">
        <is>
          <t>2026-09-07T20:46:57+07:00</t>
        </is>
      </c>
      <c r="K69" s="3" t="inlineStr">
        <is>
          <t>Direct QA opened downloaded image 140_07; source SHA 6563DFC0741DF13D6E6B33FC982E86BD00C4D77194D24F79AE405F8A4D7B6C3E. Submitted observation reviewed against gallery position.</t>
        </is>
      </c>
      <c r="L69" s="3" t="inlineStr">
        <is>
          <t>Additional lifestyle, feature or product detail image showing rainbow fantasy dragon quilt set.</t>
        </is>
      </c>
      <c r="M69" s="3" t="inlineStr">
        <is>
          <t>UNKNOWN</t>
        </is>
      </c>
      <c r="N69" s="3" t="inlineStr">
        <is>
          <t>SET</t>
        </is>
      </c>
      <c r="O69" s="3" t="inlineStr">
        <is>
          <t>Additional product mockup of Rainbow Fantasy Dragon Quilt Set</t>
        </is>
      </c>
      <c r="P69" s="3" t="inlineStr">
        <is>
          <t>FULL</t>
        </is>
      </c>
      <c r="Q69" s="3" t="inlineStr">
        <is>
          <t>PARTIAL</t>
        </is>
      </c>
      <c r="R69" s="3" t="inlineStr">
        <is>
          <t>FULL</t>
        </is>
      </c>
      <c r="S69" s="3" t="inlineStr">
        <is>
          <t>FULL</t>
        </is>
      </c>
      <c r="T69" s="7">
        <f>IF(P69="FULL",40,IF(P69="PARTIAL",40/2,0))+IF(Q69="FULL",30,IF(Q69="PARTIAL",30/2,0))+IF(R69="FULL",20,IF(R69="PARTIAL",20/2,0))+IF(S69="FULL",10,IF(S69="PARTIAL",10/2,0))</f>
        <v/>
      </c>
      <c r="U69" s="7">
        <f>IF(P69="NOT_CHECKED",0,40)+IF(Q69="NOT_CHECKED",0,30)+IF(R69="NOT_CHECKED",0,20)+IF(S69="NOT_CHECKED",0,10)</f>
        <v/>
      </c>
      <c r="V69" s="7">
        <f>IF(U69=100,T69,"")</f>
        <v/>
      </c>
      <c r="W69" s="7">
        <f>T69</f>
        <v/>
      </c>
      <c r="X69" s="7">
        <f>T69+(100-U69)</f>
        <v/>
      </c>
      <c r="Y69" s="3" t="inlineStr">
        <is>
          <t>ISSUE-0088</t>
        </is>
      </c>
      <c r="Z69" s="3" t="inlineStr">
        <is>
          <t>D:\Shopify_Workspace\jeminise_seo\seo_runs\jeminise.com\20260906_234129\qa\20260907_204400\images\140_07.jpg; seo_runs\jeminise.com\20260906_234129\evidence\images\140_fantasy-art-fantasy-dragon-comforter-set-with-dragon-scales-and-bedroom-setting-239aaba3e2-239aaba3e2\image_07_47531769102535.jpg; seo_runs\jeminise.com\20260906_234129\evidence\contact_sheets\140_fantasy-art-fantasy-dragon-comforter-set-with-dragon-scales-and-bedroom-setting-239aaba3e2-239aaba3e2.jpg</t>
        </is>
      </c>
    </row>
  </sheetData>
  <autoFilter ref="A1:Z6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jeminise.com+custom-wolf-wearing-headdress-centered-close-up-comforter-with-wolf-head-2d14ed690a-2d14ed690a</t>
        </is>
      </c>
      <c r="C2" s="2" t="inlineStr"/>
      <c r="D2" s="2" t="inlineStr">
        <is>
          <t>MAJOR</t>
        </is>
      </c>
      <c r="E2" s="2" t="inlineStr">
        <is>
          <t>description_proposed_html</t>
        </is>
      </c>
      <c r="F2" s="2" t="inlineStr">
        <is>
          <t>&lt;p&gt;This Jeminise quilt set features close-up wolf head wearing a headdress-inspired design on a tan quilt with matching shams, making it suited for themed decor, sports rooms, garden-inspired spaces or fantasy bedrooms.&lt;/p&gt;&lt;h3&gt;Design Details&lt;/h3&gt;&lt;ul&gt;&lt;li&gt;Visible artwork: close-up wolf head wearing a headdress-inspired design on a tan quilt with matching shams.&lt;/li&gt;&lt;li&gt;Source product details include: Brand: Jeminise; Product Type: Quilt Set; Mater…</t>
        </is>
      </c>
      <c r="G2" s="2" t="inlineStr">
        <is>
          <t>Draft contains SEO Use / QA approval wording.</t>
        </is>
      </c>
      <c r="H2" s="2" t="inlineStr">
        <is>
          <t>Internal workflow language is not publish-ready storefront copy.</t>
        </is>
      </c>
      <c r="I2" s="2" t="inlineStr">
        <is>
          <t>Remove internal QA/import block and replace with customer-facing verified copy.</t>
        </is>
      </c>
      <c r="J2" s="2" t="inlineStr">
        <is>
          <t>Draft contains SEO Use / QA approval wording.</t>
        </is>
      </c>
      <c r="K2" s="2" t="inlineStr">
        <is>
          <t>Description HTML no longer contains SEO Use, QA, approval, import or draft language.</t>
        </is>
      </c>
    </row>
    <row r="3" ht="84" customHeight="1">
      <c r="A3" s="3" t="inlineStr">
        <is>
          <t>ISSUE-0002</t>
        </is>
      </c>
      <c r="B3" s="3" t="inlineStr">
        <is>
          <t>jeminise.com+custom-wolf-wearing-headdress-centered-close-up-comforter-with-wolf-head-2d14ed690a-2d14ed690a</t>
        </is>
      </c>
      <c r="C3" s="3" t="inlineStr"/>
      <c r="D3" s="3" t="inlineStr">
        <is>
          <t>MINOR</t>
        </is>
      </c>
      <c r="E3" s="3" t="inlineStr">
        <is>
          <t>meta_description_seo</t>
        </is>
      </c>
      <c r="F3" s="3" t="inlineStr">
        <is>
          <t>Shop a quilt set featuring close-up wolf head wearing a headdress-inspired design on a tan quilt with matching shams. Review size and personalization options before checkout.</t>
        </is>
      </c>
      <c r="G3" s="3" t="inlineStr">
        <is>
          <t>Meta description length is 174 characters.</t>
        </is>
      </c>
      <c r="H3" s="3" t="inlineStr">
        <is>
          <t>Likely to truncate in search results and repeats review/personality wording in several rows.</t>
        </is>
      </c>
      <c r="I3" s="3" t="inlineStr">
        <is>
          <t>Rewrite to roughly 145-155 characters while preserving verified design and product type.</t>
        </is>
      </c>
      <c r="J3" s="3" t="inlineStr">
        <is>
          <t>Meta description length is 174 characters.</t>
        </is>
      </c>
      <c r="K3" s="3" t="inlineStr">
        <is>
          <t>Length check &lt;=160 characters and no unsupported claim remains.</t>
        </is>
      </c>
    </row>
    <row r="4" ht="84" customHeight="1">
      <c r="A4" s="2" t="inlineStr">
        <is>
          <t>ISSUE-0003</t>
        </is>
      </c>
      <c r="B4" s="2" t="inlineStr">
        <is>
          <t>jeminise.com+custom-wolf-wearing-headdress-centered-close-up-comforter-with-wolf-head-2d14ed690a-2d14ed690a</t>
        </is>
      </c>
      <c r="C4" s="2" t="inlineStr"/>
      <c r="D4" s="2" t="inlineStr">
        <is>
          <t>MAJOR</t>
        </is>
      </c>
      <c r="E4" s="2" t="inlineStr">
        <is>
          <t>keyword_map</t>
        </is>
      </c>
      <c r="F4" s="2" t="inlineStr">
        <is>
          <t>wolf headdress quilt</t>
        </is>
      </c>
      <c r="G4" s="2" t="inlineStr">
        <is>
          <t>https://www.ebay.com/b/Wolf-Quilt-In-Duvet-Covers-Bedding-Sets/37644/bn_7022238087; https://www.wayfair.com/keyword.php?keyword=wolf+bedding; https://www.amazon.com/wolf-comforter-set/s?k=wolf+comforter+set; https://www.ebay.com/b/Wolf-Quilt-In-Duvet-Covers-Bedding-Sets/37644/bn_7022238087; https://www.wayfair.com/keyword.php?keyword=wolf+bedding; https://www.amazon.com/wolf-comforter-set/s?k=wolf+comforter+set</t>
        </is>
      </c>
      <c r="H4" s="2" t="inlineStr">
        <is>
          <t>Batch cluster contains several very similar products, so keyword/intent differentiation must be sharper.</t>
        </is>
      </c>
      <c r="I4" s="2" t="inlineStr">
        <is>
          <t>Add unique visible motif modifiers and avoid assigning the same generic product keyword to multiple URLs.</t>
        </is>
      </c>
      <c r="J4" s="2" t="inlineStr">
        <is>
          <t>https://www.ebay.com/b/Wolf-Quilt-In-Duvet-Covers-Bedding-Sets/37644/bn_7022238087; https://www.wayfair.com/keyword.php?keyword=wolf+bedding; https://www.amazon.com/wolf-comforter-set/s?k=wolf+comforter+set; https://www.ebay.com/b/Wolf-Quilt-In-Duvet-Covers-Bedding-Sets/37644/bn_7022238087; https://www.wayfair.com/keyword.php?keyword=wolf+bedding; https://www.amazon.com/wolf-comforter-set/s?k=wolf+comforter+set</t>
        </is>
      </c>
      <c r="K4" s="2" t="inlineStr">
        <is>
          <t>SERP notes and title/meta show a distinct product-level query for this exact design.</t>
        </is>
      </c>
    </row>
    <row r="5" ht="84" customHeight="1">
      <c r="A5" s="3" t="inlineStr">
        <is>
          <t>ISSUE-0004</t>
        </is>
      </c>
      <c r="B5" s="3" t="inlineStr">
        <is>
          <t>jeminise.com+custom-wolf-wearing-headdress-centered-close-up-comforter-with-wolf-head-2d14ed690a-2d14ed690a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Only public SERP comparables are available.</t>
        </is>
      </c>
      <c r="H5" s="3" t="inlineStr">
        <is>
          <t>No Search Console, paid keyword volume or internal site search export was supplied.</t>
        </is>
      </c>
      <c r="I5" s="3" t="inlineStr">
        <is>
          <t>Keep demand statements qualitative; do not claim volume or ranking potential.</t>
        </is>
      </c>
      <c r="J5" s="3" t="inlineStr">
        <is>
          <t>Only public SERP comparables are available.</t>
        </is>
      </c>
      <c r="K5" s="3" t="inlineStr">
        <is>
          <t>Additional first-party or paid keyword evidence is attached, or limitation remains documented.</t>
        </is>
      </c>
    </row>
    <row r="6" ht="84" customHeight="1">
      <c r="A6" s="2" t="inlineStr">
        <is>
          <t>ISSUE-0005</t>
        </is>
      </c>
      <c r="B6" s="2" t="inlineStr">
        <is>
          <t>jeminise.com+custom-wolf-wearing-headdress-centered-close-up-comforter-with-wolf-head-2d14ed690a-2d14ed690a</t>
        </is>
      </c>
      <c r="C6" s="2" t="inlineStr">
        <is>
          <t>img_acd443c408b7091e</t>
        </is>
      </c>
      <c r="D6" s="2" t="inlineStr">
        <is>
          <t>MINOR</t>
        </is>
      </c>
      <c r="E6" s="2" t="inlineStr">
        <is>
          <t>alt text</t>
        </is>
      </c>
      <c r="F6" s="2" t="inlineStr">
        <is>
          <t>Wolf Wearing Headdress Quilt Set displayed in a main product mockup</t>
        </is>
      </c>
      <c r="G6" s="2" t="inlineStr">
        <is>
          <t>Fresh image file: D:\Shopify_Workspace\jeminise_seo\seo_runs\jeminise.com\20260906_234129\qa\20260907_204400\images\131_01.jpg; source URL: https://cdn.shopify.com/s/files/1/0792/5098/1063/files/92889ae2e14818c2ed38210a813cef7474bdb31334189e1106e1b8056cb8d48a.jpg?v=1785181780</t>
        </is>
      </c>
      <c r="H6" s="2" t="inlineStr">
        <is>
          <t>Alt text is too generic or describes placement more than visible content.</t>
        </is>
      </c>
      <c r="I6" s="2" t="inlineStr">
        <is>
          <t>Rewrite observation/alt from the directly opened image, naming the visible motif and use context.</t>
        </is>
      </c>
      <c r="J6" s="2" t="inlineStr">
        <is>
          <t>Fresh image file: D:\Shopify_Workspace\jeminise_seo\seo_runs\jeminise.com\20260906_234129\qa\20260907_204400\images\131_01.jpg; source URL: https://cdn.shopify.com/s/files/1/0792/5098/1063/files/92889ae2e14818c2ed38210a813cef7474bdb31334189e1106e1b8056cb8d48a.jpg?v=1785181780</t>
        </is>
      </c>
      <c r="K6" s="2" t="inlineStr">
        <is>
          <t>The image row accurately describes the actual media at this gallery position.</t>
        </is>
      </c>
    </row>
    <row r="7" ht="84" customHeight="1">
      <c r="A7" s="3" t="inlineStr">
        <is>
          <t>ISSUE-0006</t>
        </is>
      </c>
      <c r="B7" s="3" t="inlineStr">
        <is>
          <t>jeminise.com+custom-wolf-wearing-headdress-centered-close-up-comforter-with-wolf-head-2d14ed690a-2d14ed690a</t>
        </is>
      </c>
      <c r="C7" s="3" t="inlineStr">
        <is>
          <t>img_d61b8eea044b8c89</t>
        </is>
      </c>
      <c r="D7" s="3" t="inlineStr">
        <is>
          <t>MINOR</t>
        </is>
      </c>
      <c r="E7" s="3" t="inlineStr">
        <is>
          <t>image observation</t>
        </is>
      </c>
      <c r="F7" s="3" t="inlineStr">
        <is>
          <t>Bedding type, feature, lifestyle or material image for wolf wearing headdress close up quilt.</t>
        </is>
      </c>
      <c r="G7" s="3" t="inlineStr">
        <is>
          <t>Fresh image file: D:\Shopify_Workspace\jeminise_seo\seo_runs\jeminise.com\20260906_234129\qa\20260907_204400\images\131_03.jpg; source URL: https://cdn.shopify.com/s/files/1/0792/5098/1063/files/c5f1e9f26e5f5d1ba252fdde92d03d6e58741e2af050efdb42c25140eed476f0.jpg?v=1785181780</t>
        </is>
      </c>
      <c r="H7" s="3" t="inlineStr">
        <is>
          <t>Observation is generic or position-based; rewrite from the actual image content.</t>
        </is>
      </c>
      <c r="I7" s="3" t="inlineStr">
        <is>
          <t>Rewrite observation/alt from the directly opened image, naming the visible motif and use context.</t>
        </is>
      </c>
      <c r="J7" s="3" t="inlineStr">
        <is>
          <t>Fresh image file: D:\Shopify_Workspace\jeminise_seo\seo_runs\jeminise.com\20260906_234129\qa\20260907_204400\images\131_03.jpg; source URL: https://cdn.shopify.com/s/files/1/0792/5098/1063/files/c5f1e9f26e5f5d1ba252fdde92d03d6e58741e2af050efdb42c25140eed476f0.jpg?v=1785181780</t>
        </is>
      </c>
      <c r="K7" s="3" t="inlineStr">
        <is>
          <t>The image row accurately describes the actual media at this gallery position.</t>
        </is>
      </c>
    </row>
    <row r="8" ht="84" customHeight="1">
      <c r="A8" s="2" t="inlineStr">
        <is>
          <t>ISSUE-0007</t>
        </is>
      </c>
      <c r="B8" s="2" t="inlineStr">
        <is>
          <t>jeminise.com+custom-wolf-wearing-headdress-centered-close-up-comforter-with-wolf-head-2d14ed690a-2d14ed690a</t>
        </is>
      </c>
      <c r="C8" s="2" t="inlineStr">
        <is>
          <t>img_b8a794cf2046bd1d</t>
        </is>
      </c>
      <c r="D8" s="2" t="inlineStr">
        <is>
          <t>MINOR</t>
        </is>
      </c>
      <c r="E8" s="2" t="inlineStr">
        <is>
          <t>image observation</t>
        </is>
      </c>
      <c r="F8" s="2" t="inlineStr">
        <is>
          <t>Detail, feature panel or lifestyle image connected to wolf wearing headdress close up quilt.</t>
        </is>
      </c>
      <c r="G8" s="2" t="inlineStr">
        <is>
          <t>Fresh image file: D:\Shopify_Workspace\jeminise_seo\seo_runs\jeminise.com\20260906_234129\qa\20260907_204400\images\131_04.jpg; source URL: https://cdn.shopify.com/s/files/1/0792/5098/1063/files/14aaabea2124b54051697a823a42ef1f82eec7c15afe73fbe828a4abe59c4de9.jpg?v=1785181780</t>
        </is>
      </c>
      <c r="H8" s="2" t="inlineStr">
        <is>
          <t>Observation is generic or position-based; rewrite from the actual image content.</t>
        </is>
      </c>
      <c r="I8" s="2" t="inlineStr">
        <is>
          <t>Rewrite observation/alt from the directly opened image, naming the visible motif and use context.</t>
        </is>
      </c>
      <c r="J8" s="2" t="inlineStr">
        <is>
          <t>Fresh image file: D:\Shopify_Workspace\jeminise_seo\seo_runs\jeminise.com\20260906_234129\qa\20260907_204400\images\131_04.jpg; source URL: https://cdn.shopify.com/s/files/1/0792/5098/1063/files/14aaabea2124b54051697a823a42ef1f82eec7c15afe73fbe828a4abe59c4de9.jpg?v=1785181780</t>
        </is>
      </c>
      <c r="K8" s="2" t="inlineStr">
        <is>
          <t>The image row accurately describes the actual media at this gallery position.</t>
        </is>
      </c>
    </row>
    <row r="9" ht="84" customHeight="1">
      <c r="A9" s="3" t="inlineStr">
        <is>
          <t>ISSUE-0008</t>
        </is>
      </c>
      <c r="B9" s="3" t="inlineStr">
        <is>
          <t>jeminise.com+decorative-softball-bedding-set-bright-teal-yellow-sports-comforter</t>
        </is>
      </c>
      <c r="C9" s="3" t="inlineStr"/>
      <c r="D9" s="3" t="inlineStr">
        <is>
          <t>MAJOR</t>
        </is>
      </c>
      <c r="E9" s="3" t="inlineStr">
        <is>
          <t>description_proposed_html</t>
        </is>
      </c>
      <c r="F9" s="3" t="inlineStr">
        <is>
          <t>&lt;p&gt;This Jeminise comforter set features bright purple and yellow softball artwork with Olivia name and matching softball-player pillowcases, making it suited for themed decor, sports rooms, garden-inspired spaces or fantasy bedrooms.&lt;/p&gt;&lt;h3&gt;Design Details&lt;/h3&gt;&lt;ul&gt;&lt;li&gt;Visible artwork: bright purple and yellow softball artwork with Olivia name and matching softball-player pillowcases.&lt;/li&gt;&lt;li&gt;Source product details include: Brand: Jeminise; Produc…</t>
        </is>
      </c>
      <c r="G9" s="3" t="inlineStr">
        <is>
          <t>Draft contains SEO Use / QA approval wording.</t>
        </is>
      </c>
      <c r="H9" s="3" t="inlineStr">
        <is>
          <t>Internal workflow language is not publish-ready storefront copy.</t>
        </is>
      </c>
      <c r="I9" s="3" t="inlineStr">
        <is>
          <t>Remove internal QA/import block and replace with customer-facing verified copy.</t>
        </is>
      </c>
      <c r="J9" s="3" t="inlineStr">
        <is>
          <t>Draft contains SEO Use / QA approval wording.</t>
        </is>
      </c>
      <c r="K9" s="3" t="inlineStr">
        <is>
          <t>Description HTML no longer contains SEO Use, QA, approval, import or draft language.</t>
        </is>
      </c>
    </row>
    <row r="10" ht="84" customHeight="1">
      <c r="A10" s="2" t="inlineStr">
        <is>
          <t>ISSUE-0009</t>
        </is>
      </c>
      <c r="B10" s="2" t="inlineStr">
        <is>
          <t>jeminise.com+decorative-softball-bedding-set-bright-teal-yellow-sports-comforter</t>
        </is>
      </c>
      <c r="C10" s="2" t="inlineStr"/>
      <c r="D10" s="2" t="inlineStr">
        <is>
          <t>MINOR</t>
        </is>
      </c>
      <c r="E10" s="2" t="inlineStr">
        <is>
          <t>meta_description_seo</t>
        </is>
      </c>
      <c r="F10" s="2" t="inlineStr">
        <is>
          <t>Shop a comforter set featuring bright purple and yellow softball artwork with Olivia name and matching softball-player pillowcases. Review size and personalization options before checkout.</t>
        </is>
      </c>
      <c r="G10" s="2" t="inlineStr">
        <is>
          <t>Meta description length is 188 characters.</t>
        </is>
      </c>
      <c r="H10" s="2" t="inlineStr">
        <is>
          <t>Likely to truncate in search results and repeats review/personality wording in several rows.</t>
        </is>
      </c>
      <c r="I10" s="2" t="inlineStr">
        <is>
          <t>Rewrite to roughly 145-155 characters while preserving verified design and product type.</t>
        </is>
      </c>
      <c r="J10" s="2" t="inlineStr">
        <is>
          <t>Meta description length is 188 characters.</t>
        </is>
      </c>
      <c r="K10" s="2" t="inlineStr">
        <is>
          <t>Length check &lt;=160 characters and no unsupported claim remains.</t>
        </is>
      </c>
    </row>
    <row r="11" ht="84" customHeight="1">
      <c r="A11" s="3" t="inlineStr">
        <is>
          <t>ISSUE-0010</t>
        </is>
      </c>
      <c r="B11" s="3" t="inlineStr">
        <is>
          <t>jeminise.com+decorative-softball-bedding-set-bright-teal-yellow-sports-comforter</t>
        </is>
      </c>
      <c r="C11" s="3" t="inlineStr"/>
      <c r="D11" s="3" t="inlineStr">
        <is>
          <t>MAJOR</t>
        </is>
      </c>
      <c r="E11" s="3" t="inlineStr">
        <is>
          <t>keyword_map</t>
        </is>
      </c>
      <c r="F11" s="3" t="inlineStr">
        <is>
          <t>softball comforter with name</t>
        </is>
      </c>
      <c r="G11" s="3" t="inlineStr">
        <is>
          <t>https://www.amazon.com/Beautiful-Softball-Comforter-Blankets-Lightweight/dp/B0DC6QXB1T; https://www.etsy.com/listing/556448324/girls-softball-bedding-for-girls; https://www.youcustomizeit.com/p/Softball-Comforters-Personalized/353832; https://www.amazon.com/Beautiful-Softball-Comforter-Blankets-Lightweight/dp/B0DC6QXB1T; https://www.etsy.com/listing/556448324/girls-softball-bedding-for-girls; https://www.youcustomizeit.com/p/Softball-Comforters-…</t>
        </is>
      </c>
      <c r="H11" s="3" t="inlineStr">
        <is>
          <t>Batch cluster contains several very similar products, so keyword/intent differentiation must be sharper.</t>
        </is>
      </c>
      <c r="I11" s="3" t="inlineStr">
        <is>
          <t>Add unique visible motif modifiers and avoid assigning the same generic product keyword to multiple URLs.</t>
        </is>
      </c>
      <c r="J11" s="3" t="inlineStr">
        <is>
          <t>https://www.amazon.com/Beautiful-Softball-Comforter-Blankets-Lightweight/dp/B0DC6QXB1T; https://www.etsy.com/listing/556448324/girls-softball-bedding-for-girls; https://www.youcustomizeit.com/p/Softball-Comforters-Personalized/353832; https://www.amazon.com/Beautiful-Softball-Comforter-Blankets-Lightweight/dp/B0DC6QXB1T; https://www.etsy.com/listing/556448324/girls-softball-bedding-for-girls; https://www.youcustomizeit.com/p/Softball-Comforters-…</t>
        </is>
      </c>
      <c r="K11" s="3" t="inlineStr">
        <is>
          <t>SERP notes and title/meta show a distinct product-level query for this exact design.</t>
        </is>
      </c>
    </row>
    <row r="12" ht="84" customHeight="1">
      <c r="A12" s="2" t="inlineStr">
        <is>
          <t>ISSUE-0011</t>
        </is>
      </c>
      <c r="B12" s="2" t="inlineStr">
        <is>
          <t>jeminise.com+decorative-softball-bedding-set-bright-teal-yellow-sports-comforter</t>
        </is>
      </c>
      <c r="C12" s="2" t="inlineStr"/>
      <c r="D12" s="2" t="inlineStr">
        <is>
          <t>LIMITATION</t>
        </is>
      </c>
      <c r="E12" s="2" t="inlineStr">
        <is>
          <t>keyword_evidence_level</t>
        </is>
      </c>
      <c r="F12" s="2" t="inlineStr">
        <is>
          <t>SERP_ONLY</t>
        </is>
      </c>
      <c r="G12" s="2" t="inlineStr">
        <is>
          <t>Only public SERP comparables are available.</t>
        </is>
      </c>
      <c r="H12" s="2" t="inlineStr">
        <is>
          <t>No Search Console, paid keyword volume or internal site search export was supplied.</t>
        </is>
      </c>
      <c r="I12" s="2" t="inlineStr">
        <is>
          <t>Keep demand statements qualitative; do not claim volume or ranking potential.</t>
        </is>
      </c>
      <c r="J12" s="2" t="inlineStr">
        <is>
          <t>Only public SERP comparables are available.</t>
        </is>
      </c>
      <c r="K12" s="2" t="inlineStr">
        <is>
          <t>Additional first-party or paid keyword evidence is attached, or limitation remains documented.</t>
        </is>
      </c>
    </row>
    <row r="13" ht="84" customHeight="1">
      <c r="A13" s="3" t="inlineStr">
        <is>
          <t>ISSUE-0012</t>
        </is>
      </c>
      <c r="B13" s="3" t="inlineStr">
        <is>
          <t>jeminise.com+decorative-softball-bedding-set-bright-teal-yellow-sports-comforter</t>
        </is>
      </c>
      <c r="C13" s="3" t="inlineStr">
        <is>
          <t>img_988c21c267ec388d</t>
        </is>
      </c>
      <c r="D13" s="3" t="inlineStr">
        <is>
          <t>MINOR</t>
        </is>
      </c>
      <c r="E13" s="3" t="inlineStr">
        <is>
          <t>alt text</t>
        </is>
      </c>
      <c r="F13" s="3" t="inlineStr">
        <is>
          <t>Purple Yellow Softball Comforter with Name displayed in a main product mockup</t>
        </is>
      </c>
      <c r="G13" s="3" t="inlineStr">
        <is>
          <t>Fresh image file: D:\Shopify_Workspace\jeminise_seo\seo_runs\jeminise.com\20260906_234129\qa\20260907_204400\images\132_01.jpg; source URL: https://cdn.shopify.com/s/files/1/0792/5098/1063/files/ec97adcabc8efa3e254940c29049d3f991d3a9337b05911f84ea8ee1e4dc827f.jpg?v=1787245095</t>
        </is>
      </c>
      <c r="H13" s="3" t="inlineStr">
        <is>
          <t>Alt text is too generic or describes placement more than visible content.</t>
        </is>
      </c>
      <c r="I13" s="3" t="inlineStr">
        <is>
          <t>Rewrite observation/alt from the directly opened image, naming the visible motif and use context.</t>
        </is>
      </c>
      <c r="J13" s="3" t="inlineStr">
        <is>
          <t>Fresh image file: D:\Shopify_Workspace\jeminise_seo\seo_runs\jeminise.com\20260906_234129\qa\20260907_204400\images\132_01.jpg; source URL: https://cdn.shopify.com/s/files/1/0792/5098/1063/files/ec97adcabc8efa3e254940c29049d3f991d3a9337b05911f84ea8ee1e4dc827f.jpg?v=1787245095</t>
        </is>
      </c>
      <c r="K13" s="3" t="inlineStr">
        <is>
          <t>The image row accurately describes the actual media at this gallery position.</t>
        </is>
      </c>
    </row>
    <row r="14" ht="84" customHeight="1">
      <c r="A14" s="2" t="inlineStr">
        <is>
          <t>ISSUE-0013</t>
        </is>
      </c>
      <c r="B14" s="2" t="inlineStr">
        <is>
          <t>jeminise.com+decorative-softball-bedding-set-bright-teal-yellow-sports-comforter</t>
        </is>
      </c>
      <c r="C14" s="2" t="inlineStr">
        <is>
          <t>img_da01f75c65cb98df</t>
        </is>
      </c>
      <c r="D14" s="2" t="inlineStr">
        <is>
          <t>MINOR</t>
        </is>
      </c>
      <c r="E14" s="2" t="inlineStr">
        <is>
          <t>image observation</t>
        </is>
      </c>
      <c r="F14" s="2" t="inlineStr">
        <is>
          <t>Bedding type, feature, lifestyle or material image for purple and yellow softball comforter with Olivia name.</t>
        </is>
      </c>
      <c r="G14" s="2" t="inlineStr">
        <is>
          <t>Fresh image file: D:\Shopify_Workspace\jeminise_seo\seo_runs\jeminise.com\20260906_234129\qa\20260907_204400\images\132_03.jpg; source URL: https://cdn.shopify.com/s/files/1/0792/5098/1063/files/cffe01e1a1e7bed1e6043f6e14c2100a75aca18cc91d024dbdcecb4a7afc1610.jpg?v=1787245095</t>
        </is>
      </c>
      <c r="H14" s="2" t="inlineStr">
        <is>
          <t>Observation is generic or position-based; rewrite from the actual image content.</t>
        </is>
      </c>
      <c r="I14" s="2" t="inlineStr">
        <is>
          <t>Rewrite observation/alt from the directly opened image, naming the visible motif and use context.</t>
        </is>
      </c>
      <c r="J14" s="2" t="inlineStr">
        <is>
          <t>Fresh image file: D:\Shopify_Workspace\jeminise_seo\seo_runs\jeminise.com\20260906_234129\qa\20260907_204400\images\132_03.jpg; source URL: https://cdn.shopify.com/s/files/1/0792/5098/1063/files/cffe01e1a1e7bed1e6043f6e14c2100a75aca18cc91d024dbdcecb4a7afc1610.jpg?v=1787245095</t>
        </is>
      </c>
      <c r="K14" s="2" t="inlineStr">
        <is>
          <t>The image row accurately describes the actual media at this gallery position.</t>
        </is>
      </c>
    </row>
    <row r="15" ht="84" customHeight="1">
      <c r="A15" s="3" t="inlineStr">
        <is>
          <t>ISSUE-0014</t>
        </is>
      </c>
      <c r="B15" s="3" t="inlineStr">
        <is>
          <t>jeminise.com+decorative-softball-bedding-set-bright-teal-yellow-sports-comforter</t>
        </is>
      </c>
      <c r="C15" s="3" t="inlineStr">
        <is>
          <t>img_bc66dbd43ec27382</t>
        </is>
      </c>
      <c r="D15" s="3" t="inlineStr">
        <is>
          <t>MINOR</t>
        </is>
      </c>
      <c r="E15" s="3" t="inlineStr">
        <is>
          <t>image observation</t>
        </is>
      </c>
      <c r="F15" s="3" t="inlineStr">
        <is>
          <t>Detail, feature panel or lifestyle image connected to purple and yellow softball comforter with Olivia name.</t>
        </is>
      </c>
      <c r="G15" s="3" t="inlineStr">
        <is>
          <t>Fresh image file: D:\Shopify_Workspace\jeminise_seo\seo_runs\jeminise.com\20260906_234129\qa\20260907_204400\images\132_04.jpg; source URL: https://cdn.shopify.com/s/files/1/0792/5098/1063/files/db47f0f7b6817858384f030ea739319624c4056d400311d5807f651e82dc7728.jpg?v=1787245095</t>
        </is>
      </c>
      <c r="H15" s="3" t="inlineStr">
        <is>
          <t>Observation is generic or position-based; rewrite from the actual image content.</t>
        </is>
      </c>
      <c r="I15" s="3" t="inlineStr">
        <is>
          <t>Rewrite observation/alt from the directly opened image, naming the visible motif and use context.</t>
        </is>
      </c>
      <c r="J15" s="3" t="inlineStr">
        <is>
          <t>Fresh image file: D:\Shopify_Workspace\jeminise_seo\seo_runs\jeminise.com\20260906_234129\qa\20260907_204400\images\132_04.jpg; source URL: https://cdn.shopify.com/s/files/1/0792/5098/1063/files/db47f0f7b6817858384f030ea739319624c4056d400311d5807f651e82dc7728.jpg?v=1787245095</t>
        </is>
      </c>
      <c r="K15" s="3" t="inlineStr">
        <is>
          <t>The image row accurately describes the actual media at this gallery position.</t>
        </is>
      </c>
    </row>
    <row r="16" ht="84" customHeight="1">
      <c r="A16" s="2" t="inlineStr">
        <is>
          <t>ISSUE-0015</t>
        </is>
      </c>
      <c r="B16" s="2" t="inlineStr">
        <is>
          <t>jeminise.com+decorative-softball-bedding-set-bright-teal-yellow-sports-comforter</t>
        </is>
      </c>
      <c r="C16" s="2" t="inlineStr">
        <is>
          <t>img_0a2ad3fabde9daf2</t>
        </is>
      </c>
      <c r="D16" s="2" t="inlineStr">
        <is>
          <t>MINOR</t>
        </is>
      </c>
      <c r="E16" s="2" t="inlineStr">
        <is>
          <t>image observation</t>
        </is>
      </c>
      <c r="F16" s="2" t="inlineStr">
        <is>
          <t>Easy-care, size guide or product feature image for purple and yellow softball comforter with Olivia name.</t>
        </is>
      </c>
      <c r="G16" s="2" t="inlineStr">
        <is>
          <t>Fresh image file: D:\Shopify_Workspace\jeminise_seo\seo_runs\jeminise.com\20260906_234129\qa\20260907_204400\images\132_06.jpg; source URL: https://cdn.shopify.com/s/files/1/0792/5098/1063/files/b5c74b68d1b4eff2209b7123e3fbe61d1e31afd73aa5ba647e17c194e2e66c44_e2d41659-6c8c-419e-86d5-a85ddbe5da64.jpg?v=1787245095</t>
        </is>
      </c>
      <c r="H16" s="2" t="inlineStr">
        <is>
          <t>Observation is generic or position-based; rewrite from the actual image content.</t>
        </is>
      </c>
      <c r="I16" s="2" t="inlineStr">
        <is>
          <t>Rewrite observation/alt from the directly opened image, naming the visible motif and use context.</t>
        </is>
      </c>
      <c r="J16" s="2" t="inlineStr">
        <is>
          <t>Fresh image file: D:\Shopify_Workspace\jeminise_seo\seo_runs\jeminise.com\20260906_234129\qa\20260907_204400\images\132_06.jpg; source URL: https://cdn.shopify.com/s/files/1/0792/5098/1063/files/b5c74b68d1b4eff2209b7123e3fbe61d1e31afd73aa5ba647e17c194e2e66c44_e2d41659-6c8c-419e-86d5-a85ddbe5da64.jpg?v=1787245095</t>
        </is>
      </c>
      <c r="K16" s="2" t="inlineStr">
        <is>
          <t>The image row accurately describes the actual media at this gallery position.</t>
        </is>
      </c>
    </row>
    <row r="17" ht="84" customHeight="1">
      <c r="A17" s="3" t="inlineStr">
        <is>
          <t>ISSUE-0016</t>
        </is>
      </c>
      <c r="B17" s="3" t="inlineStr">
        <is>
          <t>jeminise.com+decorative-softball-bedding-set-bright-teal-yellow-sports-comforter</t>
        </is>
      </c>
      <c r="C17" s="3" t="inlineStr">
        <is>
          <t>img_3f8c0fb3de23ddf1</t>
        </is>
      </c>
      <c r="D17" s="3" t="inlineStr">
        <is>
          <t>MINOR</t>
        </is>
      </c>
      <c r="E17" s="3" t="inlineStr">
        <is>
          <t>image observation</t>
        </is>
      </c>
      <c r="F17" s="3" t="inlineStr">
        <is>
          <t>Additional lifestyle, feature or product detail image showing purple and yellow softball comforter with Olivia name.</t>
        </is>
      </c>
      <c r="G17" s="3" t="inlineStr">
        <is>
          <t>Fresh image file: D:\Shopify_Workspace\jeminise_seo\seo_runs\jeminise.com\20260906_234129\qa\20260907_204400\images\132_07.jpg; source URL: https://cdn.shopify.com/s/files/1/0792/5098/1063/files/a0ebf0c8e5cb1f2c8f924529805ea1d20494460dd41a740514b8862f5d5a2f4f_3a7b01aa-57a9-43ee-87d3-d5e21d88e02d.jpg?v=1787245095</t>
        </is>
      </c>
      <c r="H17" s="3" t="inlineStr">
        <is>
          <t>Observation is generic or position-based; rewrite from the actual image content.</t>
        </is>
      </c>
      <c r="I17" s="3" t="inlineStr">
        <is>
          <t>Rewrite observation/alt from the directly opened image, naming the visible motif and use context.</t>
        </is>
      </c>
      <c r="J17" s="3" t="inlineStr">
        <is>
          <t>Fresh image file: D:\Shopify_Workspace\jeminise_seo\seo_runs\jeminise.com\20260906_234129\qa\20260907_204400\images\132_07.jpg; source URL: https://cdn.shopify.com/s/files/1/0792/5098/1063/files/a0ebf0c8e5cb1f2c8f924529805ea1d20494460dd41a740514b8862f5d5a2f4f_3a7b01aa-57a9-43ee-87d3-d5e21d88e02d.jpg?v=1787245095</t>
        </is>
      </c>
      <c r="K17" s="3" t="inlineStr">
        <is>
          <t>The image row accurately describes the actual media at this gallery position.</t>
        </is>
      </c>
    </row>
    <row r="18" ht="84" customHeight="1">
      <c r="A18" s="2" t="inlineStr">
        <is>
          <t>ISSUE-0017</t>
        </is>
      </c>
      <c r="B18" s="2" t="inlineStr">
        <is>
          <t>jeminise.com+desert-cactus-printed-quilt-set-vibrant-cactus-flower-quilt</t>
        </is>
      </c>
      <c r="C18" s="2" t="inlineStr"/>
      <c r="D18" s="2" t="inlineStr">
        <is>
          <t>MAJOR</t>
        </is>
      </c>
      <c r="E18" s="2" t="inlineStr">
        <is>
          <t>description_proposed_html</t>
        </is>
      </c>
      <c r="F18" s="2" t="inlineStr">
        <is>
          <t>&lt;p&gt;This Jeminise quilt set features desert cactus and flower patchwork artwork with potted cacti, daisies and green quilt blocks, making it suited for themed decor, sports rooms, garden-inspired spaces or fantasy bedrooms.&lt;/p&gt;&lt;h3&gt;Design Details&lt;/h3&gt;&lt;ul&gt;&lt;li&gt;Visible artwork: desert cactus and flower patchwork artwork with potted cacti, daisies and green quilt blocks.&lt;/li&gt;&lt;li&gt;Source product details include: Brand: Jeminise; Product Type: Quilt Set;…</t>
        </is>
      </c>
      <c r="G18" s="2" t="inlineStr">
        <is>
          <t>Draft contains SEO Use / QA approval wording.</t>
        </is>
      </c>
      <c r="H18" s="2" t="inlineStr">
        <is>
          <t>Internal workflow language is not publish-ready storefront copy.</t>
        </is>
      </c>
      <c r="I18" s="2" t="inlineStr">
        <is>
          <t>Remove internal QA/import block and replace with customer-facing verified copy.</t>
        </is>
      </c>
      <c r="J18" s="2" t="inlineStr">
        <is>
          <t>Draft contains SEO Use / QA approval wording.</t>
        </is>
      </c>
      <c r="K18" s="2" t="inlineStr">
        <is>
          <t>Description HTML no longer contains SEO Use, QA, approval, import or draft language.</t>
        </is>
      </c>
    </row>
    <row r="19" ht="84" customHeight="1">
      <c r="A19" s="3" t="inlineStr">
        <is>
          <t>ISSUE-0018</t>
        </is>
      </c>
      <c r="B19" s="3" t="inlineStr">
        <is>
          <t>jeminise.com+desert-cactus-printed-quilt-set-vibrant-cactus-flower-quilt</t>
        </is>
      </c>
      <c r="C19" s="3" t="inlineStr"/>
      <c r="D19" s="3" t="inlineStr">
        <is>
          <t>MINOR</t>
        </is>
      </c>
      <c r="E19" s="3" t="inlineStr">
        <is>
          <t>meta_description_seo</t>
        </is>
      </c>
      <c r="F19" s="3" t="inlineStr">
        <is>
          <t>Shop a quilt set featuring desert cactus and flower patchwork artwork with potted cacti, daisies and green quilt blocks. Review size and personalization options before checkout.</t>
        </is>
      </c>
      <c r="G19" s="3" t="inlineStr">
        <is>
          <t>Meta description length is 177 characters.</t>
        </is>
      </c>
      <c r="H19" s="3" t="inlineStr">
        <is>
          <t>Likely to truncate in search results and repeats review/personality wording in several rows.</t>
        </is>
      </c>
      <c r="I19" s="3" t="inlineStr">
        <is>
          <t>Rewrite to roughly 145-155 characters while preserving verified design and product type.</t>
        </is>
      </c>
      <c r="J19" s="3" t="inlineStr">
        <is>
          <t>Meta description length is 177 characters.</t>
        </is>
      </c>
      <c r="K19" s="3" t="inlineStr">
        <is>
          <t>Length check &lt;=160 characters and no unsupported claim remains.</t>
        </is>
      </c>
    </row>
    <row r="20" ht="84" customHeight="1">
      <c r="A20" s="2" t="inlineStr">
        <is>
          <t>ISSUE-0019</t>
        </is>
      </c>
      <c r="B20" s="2" t="inlineStr">
        <is>
          <t>jeminise.com+desert-cactus-printed-quilt-set-vibrant-cactus-flower-quilt</t>
        </is>
      </c>
      <c r="C20" s="2" t="inlineStr"/>
      <c r="D20" s="2" t="inlineStr">
        <is>
          <t>MAJOR</t>
        </is>
      </c>
      <c r="E20" s="2" t="inlineStr">
        <is>
          <t>keyword_map</t>
        </is>
      </c>
      <c r="F20" s="2" t="inlineStr">
        <is>
          <t>cactus quilt set</t>
        </is>
      </c>
      <c r="G20" s="2" t="inlineStr">
        <is>
          <t>https://www.amazon.com/cactus-quilt-set/s?k=cactus+quilt+set; https://www.wayfair.com/keyword.php?keyword=cactus+bedding; https://www.etsy.com/market/king_cactus_quilt_set; https://www.amazon.com/cactus-quilt-set/s?k=cactus+quilt+set; https://www.wayfair.com/keyword.php?keyword=cactus+bedding; https://www.etsy.com/market/king_cactus_quilt_set</t>
        </is>
      </c>
      <c r="H20" s="2" t="inlineStr">
        <is>
          <t>Batch cluster contains several very similar products, so keyword/intent differentiation must be sharper.</t>
        </is>
      </c>
      <c r="I20" s="2" t="inlineStr">
        <is>
          <t>Add unique visible motif modifiers and avoid assigning the same generic product keyword to multiple URLs.</t>
        </is>
      </c>
      <c r="J20" s="2" t="inlineStr">
        <is>
          <t>https://www.amazon.com/cactus-quilt-set/s?k=cactus+quilt+set; https://www.wayfair.com/keyword.php?keyword=cactus+bedding; https://www.etsy.com/market/king_cactus_quilt_set; https://www.amazon.com/cactus-quilt-set/s?k=cactus+quilt+set; https://www.wayfair.com/keyword.php?keyword=cactus+bedding; https://www.etsy.com/market/king_cactus_quilt_set</t>
        </is>
      </c>
      <c r="K20" s="2" t="inlineStr">
        <is>
          <t>SERP notes and title/meta show a distinct product-level query for this exact design.</t>
        </is>
      </c>
    </row>
    <row r="21" ht="84" customHeight="1">
      <c r="A21" s="3" t="inlineStr">
        <is>
          <t>ISSUE-0020</t>
        </is>
      </c>
      <c r="B21" s="3" t="inlineStr">
        <is>
          <t>jeminise.com+desert-cactus-printed-quilt-set-vibrant-cactus-flower-quilt</t>
        </is>
      </c>
      <c r="C21" s="3" t="inlineStr"/>
      <c r="D21" s="3" t="inlineStr">
        <is>
          <t>LIMITATION</t>
        </is>
      </c>
      <c r="E21" s="3" t="inlineStr">
        <is>
          <t>keyword_evidence_level</t>
        </is>
      </c>
      <c r="F21" s="3" t="inlineStr">
        <is>
          <t>SERP_ONLY</t>
        </is>
      </c>
      <c r="G21" s="3" t="inlineStr">
        <is>
          <t>Only public SERP comparables are available.</t>
        </is>
      </c>
      <c r="H21" s="3" t="inlineStr">
        <is>
          <t>No Search Console, paid keyword volume or internal site search export was supplied.</t>
        </is>
      </c>
      <c r="I21" s="3" t="inlineStr">
        <is>
          <t>Keep demand statements qualitative; do not claim volume or ranking potential.</t>
        </is>
      </c>
      <c r="J21" s="3" t="inlineStr">
        <is>
          <t>Only public SERP comparables are available.</t>
        </is>
      </c>
      <c r="K21" s="3" t="inlineStr">
        <is>
          <t>Additional first-party or paid keyword evidence is attached, or limitation remains documented.</t>
        </is>
      </c>
    </row>
    <row r="22" ht="84" customHeight="1">
      <c r="A22" s="2" t="inlineStr">
        <is>
          <t>ISSUE-0021</t>
        </is>
      </c>
      <c r="B22" s="2" t="inlineStr">
        <is>
          <t>jeminise.com+desert-cactus-printed-quilt-set-vibrant-cactus-flower-quilt</t>
        </is>
      </c>
      <c r="C22" s="2" t="inlineStr">
        <is>
          <t>img_1eb6635e1fa9db26</t>
        </is>
      </c>
      <c r="D22" s="2" t="inlineStr">
        <is>
          <t>MINOR</t>
        </is>
      </c>
      <c r="E22" s="2" t="inlineStr">
        <is>
          <t>alt text</t>
        </is>
      </c>
      <c r="F22" s="2" t="inlineStr">
        <is>
          <t>Desert Cactus Flower Patchwork Quilt displayed in a main product mockup</t>
        </is>
      </c>
      <c r="G22" s="2" t="inlineStr">
        <is>
          <t>Fresh image file: D:\Shopify_Workspace\jeminise_seo\seo_runs\jeminise.com\20260906_234129\qa\20260907_204400\images\133_01.jpg; source URL: https://cdn.shopify.com/s/files/1/0792/5098/1063/files/18de86df55ee2186c85090364933216593d0955584ba88ec7dd6634f2a6788a1.jpg?v=1786561918</t>
        </is>
      </c>
      <c r="H22" s="2" t="inlineStr">
        <is>
          <t>Alt text is too generic or describes placement more than visible content.</t>
        </is>
      </c>
      <c r="I22" s="2" t="inlineStr">
        <is>
          <t>Rewrite observation/alt from the directly opened image, naming the visible motif and use context.</t>
        </is>
      </c>
      <c r="J22" s="2" t="inlineStr">
        <is>
          <t>Fresh image file: D:\Shopify_Workspace\jeminise_seo\seo_runs\jeminise.com\20260906_234129\qa\20260907_204400\images\133_01.jpg; source URL: https://cdn.shopify.com/s/files/1/0792/5098/1063/files/18de86df55ee2186c85090364933216593d0955584ba88ec7dd6634f2a6788a1.jpg?v=1786561918</t>
        </is>
      </c>
      <c r="K22" s="2" t="inlineStr">
        <is>
          <t>The image row accurately describes the actual media at this gallery position.</t>
        </is>
      </c>
    </row>
    <row r="23" ht="84" customHeight="1">
      <c r="A23" s="3" t="inlineStr">
        <is>
          <t>ISSUE-0022</t>
        </is>
      </c>
      <c r="B23" s="3" t="inlineStr">
        <is>
          <t>jeminise.com+desert-cactus-printed-quilt-set-vibrant-cactus-flower-quilt</t>
        </is>
      </c>
      <c r="C23" s="3" t="inlineStr">
        <is>
          <t>img_2c87b516ab39b8b8</t>
        </is>
      </c>
      <c r="D23" s="3" t="inlineStr">
        <is>
          <t>MINOR</t>
        </is>
      </c>
      <c r="E23" s="3" t="inlineStr">
        <is>
          <t>image observation</t>
        </is>
      </c>
      <c r="F23" s="3" t="inlineStr">
        <is>
          <t>Bedding type, feature, lifestyle or material image for desert cactus flower patchwork quilt.</t>
        </is>
      </c>
      <c r="G23" s="3" t="inlineStr">
        <is>
          <t>Fresh image file: D:\Shopify_Workspace\jeminise_seo\seo_runs\jeminise.com\20260906_234129\qa\20260907_204400\images\133_03.jpg; source URL: https://cdn.shopify.com/s/files/1/0792/5098/1063/files/718839a9f2c1f01c8943003b18af6794c1cb3cc2135dcf804f2d741f1de6762b.jpg?v=1786561918</t>
        </is>
      </c>
      <c r="H23" s="3" t="inlineStr">
        <is>
          <t>Observation is generic or position-based; rewrite from the actual image content.</t>
        </is>
      </c>
      <c r="I23" s="3" t="inlineStr">
        <is>
          <t>Rewrite observation/alt from the directly opened image, naming the visible motif and use context.</t>
        </is>
      </c>
      <c r="J23" s="3" t="inlineStr">
        <is>
          <t>Fresh image file: D:\Shopify_Workspace\jeminise_seo\seo_runs\jeminise.com\20260906_234129\qa\20260907_204400\images\133_03.jpg; source URL: https://cdn.shopify.com/s/files/1/0792/5098/1063/files/718839a9f2c1f01c8943003b18af6794c1cb3cc2135dcf804f2d741f1de6762b.jpg?v=1786561918</t>
        </is>
      </c>
      <c r="K23" s="3" t="inlineStr">
        <is>
          <t>The image row accurately describes the actual media at this gallery position.</t>
        </is>
      </c>
    </row>
    <row r="24" ht="84" customHeight="1">
      <c r="A24" s="2" t="inlineStr">
        <is>
          <t>ISSUE-0023</t>
        </is>
      </c>
      <c r="B24" s="2" t="inlineStr">
        <is>
          <t>jeminise.com+desert-cactus-printed-quilt-set-vibrant-cactus-flower-quilt</t>
        </is>
      </c>
      <c r="C24" s="2" t="inlineStr">
        <is>
          <t>img_2a89eab97336c263</t>
        </is>
      </c>
      <c r="D24" s="2" t="inlineStr">
        <is>
          <t>MINOR</t>
        </is>
      </c>
      <c r="E24" s="2" t="inlineStr">
        <is>
          <t>image observation</t>
        </is>
      </c>
      <c r="F24" s="2" t="inlineStr">
        <is>
          <t>Detail, feature panel or lifestyle image connected to desert cactus flower patchwork quilt.</t>
        </is>
      </c>
      <c r="G24" s="2" t="inlineStr">
        <is>
          <t>Fresh image file: D:\Shopify_Workspace\jeminise_seo\seo_runs\jeminise.com\20260906_234129\qa\20260907_204400\images\133_04.jpg; source URL: https://cdn.shopify.com/s/files/1/0792/5098/1063/files/3fa47aa2ae55dd1aa457a1efd1dd6525b3ace70928e329b2a0a942dde4ef4e6b.jpg?v=1786561918</t>
        </is>
      </c>
      <c r="H24" s="2" t="inlineStr">
        <is>
          <t>Observation is generic or position-based; rewrite from the actual image content.</t>
        </is>
      </c>
      <c r="I24" s="2" t="inlineStr">
        <is>
          <t>Rewrite observation/alt from the directly opened image, naming the visible motif and use context.</t>
        </is>
      </c>
      <c r="J24" s="2" t="inlineStr">
        <is>
          <t>Fresh image file: D:\Shopify_Workspace\jeminise_seo\seo_runs\jeminise.com\20260906_234129\qa\20260907_204400\images\133_04.jpg; source URL: https://cdn.shopify.com/s/files/1/0792/5098/1063/files/3fa47aa2ae55dd1aa457a1efd1dd6525b3ace70928e329b2a0a942dde4ef4e6b.jpg?v=1786561918</t>
        </is>
      </c>
      <c r="K24" s="2" t="inlineStr">
        <is>
          <t>The image row accurately describes the actual media at this gallery position.</t>
        </is>
      </c>
    </row>
    <row r="25" ht="84" customHeight="1">
      <c r="A25" s="3" t="inlineStr">
        <is>
          <t>ISSUE-0024</t>
        </is>
      </c>
      <c r="B25" s="3" t="inlineStr">
        <is>
          <t>jeminise.com+desert-cactus-printed-quilt-set-vibrant-cactus-flower-quilt</t>
        </is>
      </c>
      <c r="C25" s="3" t="inlineStr">
        <is>
          <t>img_7e617d332bdef5fd</t>
        </is>
      </c>
      <c r="D25" s="3" t="inlineStr">
        <is>
          <t>MINOR</t>
        </is>
      </c>
      <c r="E25" s="3" t="inlineStr">
        <is>
          <t>image observation</t>
        </is>
      </c>
      <c r="F25" s="3" t="inlineStr">
        <is>
          <t>Easy-care, size guide or product feature image for desert cactus flower patchwork quilt.</t>
        </is>
      </c>
      <c r="G25" s="3" t="inlineStr">
        <is>
          <t>Fresh image file: D:\Shopify_Workspace\jeminise_seo\seo_runs\jeminise.com\20260906_234129\qa\20260907_204400\images\133_06.jpg; source URL: https://cdn.shopify.com/s/files/1/0792/5098/1063/files/4e936d01e2a40f16f9a5fdb20f94f6da9bfb953ae1087ee05f4c11b00e93e373.jpg?v=1786561918</t>
        </is>
      </c>
      <c r="H25" s="3" t="inlineStr">
        <is>
          <t>Observation is generic or position-based; rewrite from the actual image content.</t>
        </is>
      </c>
      <c r="I25" s="3" t="inlineStr">
        <is>
          <t>Rewrite observation/alt from the directly opened image, naming the visible motif and use context.</t>
        </is>
      </c>
      <c r="J25" s="3" t="inlineStr">
        <is>
          <t>Fresh image file: D:\Shopify_Workspace\jeminise_seo\seo_runs\jeminise.com\20260906_234129\qa\20260907_204400\images\133_06.jpg; source URL: https://cdn.shopify.com/s/files/1/0792/5098/1063/files/4e936d01e2a40f16f9a5fdb20f94f6da9bfb953ae1087ee05f4c11b00e93e373.jpg?v=1786561918</t>
        </is>
      </c>
      <c r="K25" s="3" t="inlineStr">
        <is>
          <t>The image row accurately describes the actual media at this gallery position.</t>
        </is>
      </c>
    </row>
    <row r="26" ht="84" customHeight="1">
      <c r="A26" s="2" t="inlineStr">
        <is>
          <t>ISSUE-0025</t>
        </is>
      </c>
      <c r="B26" s="2" t="inlineStr">
        <is>
          <t>jeminise.com+desert-cactus-printed-quilt-set-vibrant-cactus-flower-quilt</t>
        </is>
      </c>
      <c r="C26" s="2" t="inlineStr">
        <is>
          <t>img_55738cbc87f53e76</t>
        </is>
      </c>
      <c r="D26" s="2" t="inlineStr">
        <is>
          <t>MINOR</t>
        </is>
      </c>
      <c r="E26" s="2" t="inlineStr">
        <is>
          <t>image observation</t>
        </is>
      </c>
      <c r="F26" s="2" t="inlineStr">
        <is>
          <t>Additional lifestyle, feature or product detail image showing desert cactus flower patchwork quilt.</t>
        </is>
      </c>
      <c r="G26" s="2" t="inlineStr">
        <is>
          <t>Fresh image file: D:\Shopify_Workspace\jeminise_seo\seo_runs\jeminise.com\20260906_234129\qa\20260907_204400\images\133_07.jpg; source URL: https://cdn.shopify.com/s/files/1/0792/5098/1063/files/5543644914bca33c40a05890a0699223f8c959e37ebf0cdfce48d84372b70230.jpg?v=1786561918</t>
        </is>
      </c>
      <c r="H26" s="2" t="inlineStr">
        <is>
          <t>Observation is generic or position-based; rewrite from the actual image content.</t>
        </is>
      </c>
      <c r="I26" s="2" t="inlineStr">
        <is>
          <t>Rewrite observation/alt from the directly opened image, naming the visible motif and use context.</t>
        </is>
      </c>
      <c r="J26" s="2" t="inlineStr">
        <is>
          <t>Fresh image file: D:\Shopify_Workspace\jeminise_seo\seo_runs\jeminise.com\20260906_234129\qa\20260907_204400\images\133_07.jpg; source URL: https://cdn.shopify.com/s/files/1/0792/5098/1063/files/5543644914bca33c40a05890a0699223f8c959e37ebf0cdfce48d84372b70230.jpg?v=1786561918</t>
        </is>
      </c>
      <c r="K26" s="2" t="inlineStr">
        <is>
          <t>The image row accurately describes the actual media at this gallery position.</t>
        </is>
      </c>
    </row>
    <row r="27" ht="84" customHeight="1">
      <c r="A27" s="3" t="inlineStr">
        <is>
          <t>ISSUE-0026</t>
        </is>
      </c>
      <c r="B27" s="3" t="inlineStr">
        <is>
          <t>jeminise.com+dragonfly-couple-quilt-set-dragonflies-patchwork-style-quilt-set</t>
        </is>
      </c>
      <c r="C27" s="3" t="inlineStr"/>
      <c r="D27" s="3" t="inlineStr">
        <is>
          <t>MAJOR</t>
        </is>
      </c>
      <c r="E27" s="3" t="inlineStr">
        <is>
          <t>description_proposed_html</t>
        </is>
      </c>
      <c r="F27" s="3" t="inlineStr">
        <is>
          <t>&lt;p&gt;This Jeminise quilt set features purple floral stained-glass style artwork with multiple dragonflies and matching shams, making it suited for themed decor, sports rooms, garden-inspired spaces or fantasy bedrooms.&lt;/p&gt;&lt;h3&gt;Design Details&lt;/h3&gt;&lt;ul&gt;&lt;li&gt;Visible artwork: purple floral stained-glass style artwork with multiple dragonflies and matching shams.&lt;/li&gt;&lt;li&gt;Source product details include: Brand: Jeminise; Product Type: Quilt Sets; Material:…</t>
        </is>
      </c>
      <c r="G27" s="3" t="inlineStr">
        <is>
          <t>Draft contains SEO Use / QA approval wording.</t>
        </is>
      </c>
      <c r="H27" s="3" t="inlineStr">
        <is>
          <t>Internal workflow language is not publish-ready storefront copy.</t>
        </is>
      </c>
      <c r="I27" s="3" t="inlineStr">
        <is>
          <t>Remove internal QA/import block and replace with customer-facing verified copy.</t>
        </is>
      </c>
      <c r="J27" s="3" t="inlineStr">
        <is>
          <t>Draft contains SEO Use / QA approval wording.</t>
        </is>
      </c>
      <c r="K27" s="3" t="inlineStr">
        <is>
          <t>Description HTML no longer contains SEO Use, QA, approval, import or draft language.</t>
        </is>
      </c>
    </row>
    <row r="28" ht="84" customHeight="1">
      <c r="A28" s="2" t="inlineStr">
        <is>
          <t>ISSUE-0027</t>
        </is>
      </c>
      <c r="B28" s="2" t="inlineStr">
        <is>
          <t>jeminise.com+dragonfly-couple-quilt-set-dragonflies-patchwork-style-quilt-set</t>
        </is>
      </c>
      <c r="C28" s="2" t="inlineStr"/>
      <c r="D28" s="2" t="inlineStr">
        <is>
          <t>MINOR</t>
        </is>
      </c>
      <c r="E28" s="2" t="inlineStr">
        <is>
          <t>meta_description_seo</t>
        </is>
      </c>
      <c r="F28" s="2" t="inlineStr">
        <is>
          <t>Shop a quilt set featuring purple floral stained-glass style artwork with multiple dragonflies and matching shams. Review size and personalization options before checkout.</t>
        </is>
      </c>
      <c r="G28" s="2" t="inlineStr">
        <is>
          <t>Meta description length is 171 characters.</t>
        </is>
      </c>
      <c r="H28" s="2" t="inlineStr">
        <is>
          <t>Likely to truncate in search results and repeats review/personality wording in several rows.</t>
        </is>
      </c>
      <c r="I28" s="2" t="inlineStr">
        <is>
          <t>Rewrite to roughly 145-155 characters while preserving verified design and product type.</t>
        </is>
      </c>
      <c r="J28" s="2" t="inlineStr">
        <is>
          <t>Meta description length is 171 characters.</t>
        </is>
      </c>
      <c r="K28" s="2" t="inlineStr">
        <is>
          <t>Length check &lt;=160 characters and no unsupported claim remains.</t>
        </is>
      </c>
    </row>
    <row r="29" ht="84" customHeight="1">
      <c r="A29" s="3" t="inlineStr">
        <is>
          <t>ISSUE-0028</t>
        </is>
      </c>
      <c r="B29" s="3" t="inlineStr">
        <is>
          <t>jeminise.com+dragonfly-couple-quilt-set-dragonflies-patchwork-style-quilt-set</t>
        </is>
      </c>
      <c r="C29" s="3" t="inlineStr"/>
      <c r="D29" s="3" t="inlineStr">
        <is>
          <t>MAJOR</t>
        </is>
      </c>
      <c r="E29" s="3" t="inlineStr">
        <is>
          <t>keyword_map</t>
        </is>
      </c>
      <c r="F29" s="3" t="inlineStr">
        <is>
          <t>dragonfly stained glass quilt</t>
        </is>
      </c>
      <c r="G29" s="3" t="inlineStr">
        <is>
          <t>https://www.etsy.com/; https://www.walmart.com/; https://www.pinterest.com/; https://www.etsy.com/; https://www.walmart.com/; https://www.pinterest.com/</t>
        </is>
      </c>
      <c r="H29" s="3" t="inlineStr">
        <is>
          <t>Batch cluster contains several very similar products, so keyword/intent differentiation must be sharper.</t>
        </is>
      </c>
      <c r="I29" s="3" t="inlineStr">
        <is>
          <t>Add unique visible motif modifiers and avoid assigning the same generic product keyword to multiple URLs.</t>
        </is>
      </c>
      <c r="J29" s="3" t="inlineStr">
        <is>
          <t>https://www.etsy.com/; https://www.walmart.com/; https://www.pinterest.com/; https://www.etsy.com/; https://www.walmart.com/; https://www.pinterest.com/</t>
        </is>
      </c>
      <c r="K29" s="3" t="inlineStr">
        <is>
          <t>SERP notes and title/meta show a distinct product-level query for this exact design.</t>
        </is>
      </c>
    </row>
    <row r="30" ht="84" customHeight="1">
      <c r="A30" s="2" t="inlineStr">
        <is>
          <t>ISSUE-0029</t>
        </is>
      </c>
      <c r="B30" s="2" t="inlineStr">
        <is>
          <t>jeminise.com+dragonfly-couple-quilt-set-dragonflies-patchwork-style-quilt-set</t>
        </is>
      </c>
      <c r="C30" s="2" t="inlineStr"/>
      <c r="D30" s="2" t="inlineStr">
        <is>
          <t>LIMITATION</t>
        </is>
      </c>
      <c r="E30" s="2" t="inlineStr">
        <is>
          <t>keyword_evidence_level</t>
        </is>
      </c>
      <c r="F30" s="2" t="inlineStr">
        <is>
          <t>SERP_ONLY</t>
        </is>
      </c>
      <c r="G30" s="2" t="inlineStr">
        <is>
          <t>Only public SERP comparables are available.</t>
        </is>
      </c>
      <c r="H30" s="2" t="inlineStr">
        <is>
          <t>No Search Console, paid keyword volume or internal site search export was supplied.</t>
        </is>
      </c>
      <c r="I30" s="2" t="inlineStr">
        <is>
          <t>Keep demand statements qualitative; do not claim volume or ranking potential.</t>
        </is>
      </c>
      <c r="J30" s="2" t="inlineStr">
        <is>
          <t>Only public SERP comparables are available.</t>
        </is>
      </c>
      <c r="K30" s="2" t="inlineStr">
        <is>
          <t>Additional first-party or paid keyword evidence is attached, or limitation remains documented.</t>
        </is>
      </c>
    </row>
    <row r="31" ht="84" customHeight="1">
      <c r="A31" s="3" t="inlineStr">
        <is>
          <t>ISSUE-0030</t>
        </is>
      </c>
      <c r="B31" s="3" t="inlineStr">
        <is>
          <t>jeminise.com+dragonfly-couple-quilt-set-dragonflies-patchwork-style-quilt-set</t>
        </is>
      </c>
      <c r="C31" s="3" t="inlineStr">
        <is>
          <t>img_171afeff95b2bb76</t>
        </is>
      </c>
      <c r="D31" s="3" t="inlineStr">
        <is>
          <t>MINOR</t>
        </is>
      </c>
      <c r="E31" s="3" t="inlineStr">
        <is>
          <t>alt text</t>
        </is>
      </c>
      <c r="F31" s="3" t="inlineStr">
        <is>
          <t>Purple Floral Dragonfly Stained Glass Quilt displayed in a main product mockup</t>
        </is>
      </c>
      <c r="G31" s="3" t="inlineStr">
        <is>
          <t>Fresh image file: D:\Shopify_Workspace\jeminise_seo\seo_runs\jeminise.com\20260906_234129\qa\20260907_204400\images\134_01.jpg; source URL: https://cdn.shopify.com/s/files/1/0792/5098/1063/files/47c6483ee1ab65c91b228997718a0cc0a8da1a6a6088e37b690c9477e05a9ae2.jpg?v=1787233856</t>
        </is>
      </c>
      <c r="H31" s="3" t="inlineStr">
        <is>
          <t>Alt text is too generic or describes placement more than visible content.</t>
        </is>
      </c>
      <c r="I31" s="3" t="inlineStr">
        <is>
          <t>Rewrite observation/alt from the directly opened image, naming the visible motif and use context.</t>
        </is>
      </c>
      <c r="J31" s="3" t="inlineStr">
        <is>
          <t>Fresh image file: D:\Shopify_Workspace\jeminise_seo\seo_runs\jeminise.com\20260906_234129\qa\20260907_204400\images\134_01.jpg; source URL: https://cdn.shopify.com/s/files/1/0792/5098/1063/files/47c6483ee1ab65c91b228997718a0cc0a8da1a6a6088e37b690c9477e05a9ae2.jpg?v=1787233856</t>
        </is>
      </c>
      <c r="K31" s="3" t="inlineStr">
        <is>
          <t>The image row accurately describes the actual media at this gallery position.</t>
        </is>
      </c>
    </row>
    <row r="32" ht="84" customHeight="1">
      <c r="A32" s="2" t="inlineStr">
        <is>
          <t>ISSUE-0031</t>
        </is>
      </c>
      <c r="B32" s="2" t="inlineStr">
        <is>
          <t>jeminise.com+dragonfly-couple-quilt-set-dragonflies-patchwork-style-quilt-set</t>
        </is>
      </c>
      <c r="C32" s="2" t="inlineStr">
        <is>
          <t>img_fc487659c17dede3</t>
        </is>
      </c>
      <c r="D32" s="2" t="inlineStr">
        <is>
          <t>MINOR</t>
        </is>
      </c>
      <c r="E32" s="2" t="inlineStr">
        <is>
          <t>image observation</t>
        </is>
      </c>
      <c r="F32" s="2" t="inlineStr">
        <is>
          <t>Bedding type, feature, lifestyle or material image for purple floral dragonfly stained glass quilt.</t>
        </is>
      </c>
      <c r="G32" s="2" t="inlineStr">
        <is>
          <t>Fresh image file: D:\Shopify_Workspace\jeminise_seo\seo_runs\jeminise.com\20260906_234129\qa\20260907_204400\images\134_03.jpg; source URL: https://cdn.shopify.com/s/files/1/0792/5098/1063/files/bf06e1f47640ab41f6349ea23cfc1c3bae238992330f5e4c262c972e44347eac.jpg?v=1787233855</t>
        </is>
      </c>
      <c r="H32" s="2" t="inlineStr">
        <is>
          <t>Observation is generic or position-based; rewrite from the actual image content.</t>
        </is>
      </c>
      <c r="I32" s="2" t="inlineStr">
        <is>
          <t>Rewrite observation/alt from the directly opened image, naming the visible motif and use context.</t>
        </is>
      </c>
      <c r="J32" s="2" t="inlineStr">
        <is>
          <t>Fresh image file: D:\Shopify_Workspace\jeminise_seo\seo_runs\jeminise.com\20260906_234129\qa\20260907_204400\images\134_03.jpg; source URL: https://cdn.shopify.com/s/files/1/0792/5098/1063/files/bf06e1f47640ab41f6349ea23cfc1c3bae238992330f5e4c262c972e44347eac.jpg?v=1787233855</t>
        </is>
      </c>
      <c r="K32" s="2" t="inlineStr">
        <is>
          <t>The image row accurately describes the actual media at this gallery position.</t>
        </is>
      </c>
    </row>
    <row r="33" ht="84" customHeight="1">
      <c r="A33" s="3" t="inlineStr">
        <is>
          <t>ISSUE-0032</t>
        </is>
      </c>
      <c r="B33" s="3" t="inlineStr">
        <is>
          <t>jeminise.com+dragonfly-couple-quilt-set-dragonflies-patchwork-style-quilt-set</t>
        </is>
      </c>
      <c r="C33" s="3" t="inlineStr">
        <is>
          <t>img_1bf16ccc8f8c2a0a</t>
        </is>
      </c>
      <c r="D33" s="3" t="inlineStr">
        <is>
          <t>MINOR</t>
        </is>
      </c>
      <c r="E33" s="3" t="inlineStr">
        <is>
          <t>image observation</t>
        </is>
      </c>
      <c r="F33" s="3" t="inlineStr">
        <is>
          <t>Detail, feature panel or lifestyle image connected to purple floral dragonfly stained glass quilt.</t>
        </is>
      </c>
      <c r="G33" s="3" t="inlineStr">
        <is>
          <t>Fresh image file: D:\Shopify_Workspace\jeminise_seo\seo_runs\jeminise.com\20260906_234129\qa\20260907_204400\images\134_04.jpg; source URL: https://cdn.shopify.com/s/files/1/0792/5098/1063/files/715de32d7afbcdbcdccd59fdb7334d2bab5db33086e0e81085bac9eba261c296.jpg?v=1787233855</t>
        </is>
      </c>
      <c r="H33" s="3" t="inlineStr">
        <is>
          <t>Observation is generic or position-based; rewrite from the actual image content.</t>
        </is>
      </c>
      <c r="I33" s="3" t="inlineStr">
        <is>
          <t>Rewrite observation/alt from the directly opened image, naming the visible motif and use context.</t>
        </is>
      </c>
      <c r="J33" s="3" t="inlineStr">
        <is>
          <t>Fresh image file: D:\Shopify_Workspace\jeminise_seo\seo_runs\jeminise.com\20260906_234129\qa\20260907_204400\images\134_04.jpg; source URL: https://cdn.shopify.com/s/files/1/0792/5098/1063/files/715de32d7afbcdbcdccd59fdb7334d2bab5db33086e0e81085bac9eba261c296.jpg?v=1787233855</t>
        </is>
      </c>
      <c r="K33" s="3" t="inlineStr">
        <is>
          <t>The image row accurately describes the actual media at this gallery position.</t>
        </is>
      </c>
    </row>
    <row r="34" ht="84" customHeight="1">
      <c r="A34" s="2" t="inlineStr">
        <is>
          <t>ISSUE-0033</t>
        </is>
      </c>
      <c r="B34" s="2" t="inlineStr">
        <is>
          <t>jeminise.com+dragonfly-couple-quilt-set-dragonflies-patchwork-style-quilt-set</t>
        </is>
      </c>
      <c r="C34" s="2" t="inlineStr">
        <is>
          <t>img_baa766d4d297a4a0</t>
        </is>
      </c>
      <c r="D34" s="2" t="inlineStr">
        <is>
          <t>MINOR</t>
        </is>
      </c>
      <c r="E34" s="2" t="inlineStr">
        <is>
          <t>image observation</t>
        </is>
      </c>
      <c r="F34" s="2" t="inlineStr">
        <is>
          <t>Easy-care, size guide or product feature image for purple floral dragonfly stained glass quilt.</t>
        </is>
      </c>
      <c r="G34" s="2" t="inlineStr">
        <is>
          <t>Fresh image file: D:\Shopify_Workspace\jeminise_seo\seo_runs\jeminise.com\20260906_234129\qa\20260907_204400\images\134_06.jpg; source URL: https://cdn.shopify.com/s/files/1/0792/5098/1063/files/9404919a01bcbd7e3a5ae5257a7d2e63c57ce78db2ed1cfa3f97866785ab25b6.jpg?v=1787233856</t>
        </is>
      </c>
      <c r="H34" s="2" t="inlineStr">
        <is>
          <t>Observation is generic or position-based; rewrite from the actual image content.</t>
        </is>
      </c>
      <c r="I34" s="2" t="inlineStr">
        <is>
          <t>Rewrite observation/alt from the directly opened image, naming the visible motif and use context.</t>
        </is>
      </c>
      <c r="J34" s="2" t="inlineStr">
        <is>
          <t>Fresh image file: D:\Shopify_Workspace\jeminise_seo\seo_runs\jeminise.com\20260906_234129\qa\20260907_204400\images\134_06.jpg; source URL: https://cdn.shopify.com/s/files/1/0792/5098/1063/files/9404919a01bcbd7e3a5ae5257a7d2e63c57ce78db2ed1cfa3f97866785ab25b6.jpg?v=1787233856</t>
        </is>
      </c>
      <c r="K34" s="2" t="inlineStr">
        <is>
          <t>The image row accurately describes the actual media at this gallery position.</t>
        </is>
      </c>
    </row>
    <row r="35" ht="84" customHeight="1">
      <c r="A35" s="3" t="inlineStr">
        <is>
          <t>ISSUE-0034</t>
        </is>
      </c>
      <c r="B35" s="3" t="inlineStr">
        <is>
          <t>jeminise.com+dragonfly-couple-quilt-set-dragonflies-patchwork-style-quilt-set</t>
        </is>
      </c>
      <c r="C35" s="3" t="inlineStr">
        <is>
          <t>img_885477fce429e4c5</t>
        </is>
      </c>
      <c r="D35" s="3" t="inlineStr">
        <is>
          <t>MINOR</t>
        </is>
      </c>
      <c r="E35" s="3" t="inlineStr">
        <is>
          <t>image observation</t>
        </is>
      </c>
      <c r="F35" s="3" t="inlineStr">
        <is>
          <t>Additional lifestyle, feature or product detail image showing purple floral dragonfly stained glass quilt.</t>
        </is>
      </c>
      <c r="G35" s="3" t="inlineStr">
        <is>
          <t>Fresh image file: D:\Shopify_Workspace\jeminise_seo\seo_runs\jeminise.com\20260906_234129\qa\20260907_204400\images\134_07.jpg; source URL: https://cdn.shopify.com/s/files/1/0792/5098/1063/files/9438bd0b254e39afefe0691fc5b9204b7fa60c973f6629008d8a6fcb54ef273c.jpg?v=1787233856</t>
        </is>
      </c>
      <c r="H35" s="3" t="inlineStr">
        <is>
          <t>Observation is generic or position-based; rewrite from the actual image content.</t>
        </is>
      </c>
      <c r="I35" s="3" t="inlineStr">
        <is>
          <t>Rewrite observation/alt from the directly opened image, naming the visible motif and use context.</t>
        </is>
      </c>
      <c r="J35" s="3" t="inlineStr">
        <is>
          <t>Fresh image file: D:\Shopify_Workspace\jeminise_seo\seo_runs\jeminise.com\20260906_234129\qa\20260907_204400\images\134_07.jpg; source URL: https://cdn.shopify.com/s/files/1/0792/5098/1063/files/9438bd0b254e39afefe0691fc5b9204b7fa60c973f6629008d8a6fcb54ef273c.jpg?v=1787233856</t>
        </is>
      </c>
      <c r="K35" s="3" t="inlineStr">
        <is>
          <t>The image row accurately describes the actual media at this gallery position.</t>
        </is>
      </c>
    </row>
    <row r="36" ht="84" customHeight="1">
      <c r="A36" s="2" t="inlineStr">
        <is>
          <t>ISSUE-0035</t>
        </is>
      </c>
      <c r="B36" s="2" t="inlineStr">
        <is>
          <t>jeminise.com+dragonfly-patchwork-pattern-quilt-set-animal-style-dragonfly-quilt</t>
        </is>
      </c>
      <c r="C36" s="2" t="inlineStr"/>
      <c r="D36" s="2" t="inlineStr">
        <is>
          <t>MAJOR</t>
        </is>
      </c>
      <c r="E36" s="2" t="inlineStr">
        <is>
          <t>description_proposed_html</t>
        </is>
      </c>
      <c r="F36" s="2" t="inlineStr">
        <is>
          <t>&lt;p&gt;This Jeminise quilt set features large dragonfly above a yellow water lily and pond grass in a blue and gold patchwork frame, making it suited for themed decor, sports rooms, garden-inspired spaces or fantasy bedrooms.&lt;/p&gt;&lt;h3&gt;Design Details&lt;/h3&gt;&lt;ul&gt;&lt;li&gt;Visible artwork: large dragonfly above a yellow water lily and pond grass in a blue and gold patchwork frame.&lt;/li&gt;&lt;li&gt;Source product details include: Brand: Jeminise; Product Type: Quilt Set; M…</t>
        </is>
      </c>
      <c r="G36" s="2" t="inlineStr">
        <is>
          <t>Draft contains SEO Use / QA approval wording.</t>
        </is>
      </c>
      <c r="H36" s="2" t="inlineStr">
        <is>
          <t>Internal workflow language is not publish-ready storefront copy.</t>
        </is>
      </c>
      <c r="I36" s="2" t="inlineStr">
        <is>
          <t>Remove internal QA/import block and replace with customer-facing verified copy.</t>
        </is>
      </c>
      <c r="J36" s="2" t="inlineStr">
        <is>
          <t>Draft contains SEO Use / QA approval wording.</t>
        </is>
      </c>
      <c r="K36" s="2" t="inlineStr">
        <is>
          <t>Description HTML no longer contains SEO Use, QA, approval, import or draft language.</t>
        </is>
      </c>
    </row>
    <row r="37" ht="84" customHeight="1">
      <c r="A37" s="3" t="inlineStr">
        <is>
          <t>ISSUE-0036</t>
        </is>
      </c>
      <c r="B37" s="3" t="inlineStr">
        <is>
          <t>jeminise.com+dragonfly-patchwork-pattern-quilt-set-animal-style-dragonfly-quilt</t>
        </is>
      </c>
      <c r="C37" s="3" t="inlineStr"/>
      <c r="D37" s="3" t="inlineStr">
        <is>
          <t>MINOR</t>
        </is>
      </c>
      <c r="E37" s="3" t="inlineStr">
        <is>
          <t>meta_description_seo</t>
        </is>
      </c>
      <c r="F37" s="3" t="inlineStr">
        <is>
          <t>Shop a quilt set featuring large dragonfly above a yellow water lily and pond grass in a blue and gold patchwork frame. Review size and personalization options before checkout.</t>
        </is>
      </c>
      <c r="G37" s="3" t="inlineStr">
        <is>
          <t>Meta description length is 176 characters.</t>
        </is>
      </c>
      <c r="H37" s="3" t="inlineStr">
        <is>
          <t>Likely to truncate in search results and repeats review/personality wording in several rows.</t>
        </is>
      </c>
      <c r="I37" s="3" t="inlineStr">
        <is>
          <t>Rewrite to roughly 145-155 characters while preserving verified design and product type.</t>
        </is>
      </c>
      <c r="J37" s="3" t="inlineStr">
        <is>
          <t>Meta description length is 176 characters.</t>
        </is>
      </c>
      <c r="K37" s="3" t="inlineStr">
        <is>
          <t>Length check &lt;=160 characters and no unsupported claim remains.</t>
        </is>
      </c>
    </row>
    <row r="38" ht="84" customHeight="1">
      <c r="A38" s="2" t="inlineStr">
        <is>
          <t>ISSUE-0037</t>
        </is>
      </c>
      <c r="B38" s="2" t="inlineStr">
        <is>
          <t>jeminise.com+dragonfly-patchwork-pattern-quilt-set-animal-style-dragonfly-quilt</t>
        </is>
      </c>
      <c r="C38" s="2" t="inlineStr"/>
      <c r="D38" s="2" t="inlineStr">
        <is>
          <t>MAJOR</t>
        </is>
      </c>
      <c r="E38" s="2" t="inlineStr">
        <is>
          <t>keyword_map</t>
        </is>
      </c>
      <c r="F38" s="2" t="inlineStr">
        <is>
          <t>dragonfly patchwork quilt</t>
        </is>
      </c>
      <c r="G38" s="2" t="inlineStr">
        <is>
          <t>https://www.etsy.com/; https://www.walmart.com/; https://www.pinterest.com/; https://www.etsy.com/; https://www.walmart.com/; https://www.pinterest.com/</t>
        </is>
      </c>
      <c r="H38" s="2" t="inlineStr">
        <is>
          <t>Batch cluster contains several very similar products, so keyword/intent differentiation must be sharper.</t>
        </is>
      </c>
      <c r="I38" s="2" t="inlineStr">
        <is>
          <t>Add unique visible motif modifiers and avoid assigning the same generic product keyword to multiple URLs.</t>
        </is>
      </c>
      <c r="J38" s="2" t="inlineStr">
        <is>
          <t>https://www.etsy.com/; https://www.walmart.com/; https://www.pinterest.com/; https://www.etsy.com/; https://www.walmart.com/; https://www.pinterest.com/</t>
        </is>
      </c>
      <c r="K38" s="2" t="inlineStr">
        <is>
          <t>SERP notes and title/meta show a distinct product-level query for this exact design.</t>
        </is>
      </c>
    </row>
    <row r="39" ht="84" customHeight="1">
      <c r="A39" s="3" t="inlineStr">
        <is>
          <t>ISSUE-0038</t>
        </is>
      </c>
      <c r="B39" s="3" t="inlineStr">
        <is>
          <t>jeminise.com+dragonfly-patchwork-pattern-quilt-set-animal-style-dragonfly-quilt</t>
        </is>
      </c>
      <c r="C39" s="3" t="inlineStr"/>
      <c r="D39" s="3" t="inlineStr">
        <is>
          <t>LIMITATION</t>
        </is>
      </c>
      <c r="E39" s="3" t="inlineStr">
        <is>
          <t>keyword_evidence_level</t>
        </is>
      </c>
      <c r="F39" s="3" t="inlineStr">
        <is>
          <t>SERP_ONLY</t>
        </is>
      </c>
      <c r="G39" s="3" t="inlineStr">
        <is>
          <t>Only public SERP comparables are available.</t>
        </is>
      </c>
      <c r="H39" s="3" t="inlineStr">
        <is>
          <t>No Search Console, paid keyword volume or internal site search export was supplied.</t>
        </is>
      </c>
      <c r="I39" s="3" t="inlineStr">
        <is>
          <t>Keep demand statements qualitative; do not claim volume or ranking potential.</t>
        </is>
      </c>
      <c r="J39" s="3" t="inlineStr">
        <is>
          <t>Only public SERP comparables are available.</t>
        </is>
      </c>
      <c r="K39" s="3" t="inlineStr">
        <is>
          <t>Additional first-party or paid keyword evidence is attached, or limitation remains documented.</t>
        </is>
      </c>
    </row>
    <row r="40" ht="84" customHeight="1">
      <c r="A40" s="2" t="inlineStr">
        <is>
          <t>ISSUE-0039</t>
        </is>
      </c>
      <c r="B40" s="2" t="inlineStr">
        <is>
          <t>jeminise.com+dragonfly-patchwork-pattern-quilt-set-animal-style-dragonfly-quilt</t>
        </is>
      </c>
      <c r="C40" s="2" t="inlineStr">
        <is>
          <t>img_84bb7728327464ab</t>
        </is>
      </c>
      <c r="D40" s="2" t="inlineStr">
        <is>
          <t>MINOR</t>
        </is>
      </c>
      <c r="E40" s="2" t="inlineStr">
        <is>
          <t>alt text</t>
        </is>
      </c>
      <c r="F40" s="2" t="inlineStr">
        <is>
          <t>Yellow Pond Dragonfly Patchwork Quilt displayed in a main product mockup</t>
        </is>
      </c>
      <c r="G40" s="2" t="inlineStr">
        <is>
          <t>Fresh image file: D:\Shopify_Workspace\jeminise_seo\seo_runs\jeminise.com\20260906_234129\qa\20260907_204400\images\135_01.jpg; source URL: https://cdn.shopify.com/s/files/1/0792/5098/1063/files/b404a8fba42f9d481701bdd09ae871424aa17c514ee39c8987c4253369610ee9.jpg?v=1787233627</t>
        </is>
      </c>
      <c r="H40" s="2" t="inlineStr">
        <is>
          <t>Alt text is too generic or describes placement more than visible content.</t>
        </is>
      </c>
      <c r="I40" s="2" t="inlineStr">
        <is>
          <t>Rewrite observation/alt from the directly opened image, naming the visible motif and use context.</t>
        </is>
      </c>
      <c r="J40" s="2" t="inlineStr">
        <is>
          <t>Fresh image file: D:\Shopify_Workspace\jeminise_seo\seo_runs\jeminise.com\20260906_234129\qa\20260907_204400\images\135_01.jpg; source URL: https://cdn.shopify.com/s/files/1/0792/5098/1063/files/b404a8fba42f9d481701bdd09ae871424aa17c514ee39c8987c4253369610ee9.jpg?v=1787233627</t>
        </is>
      </c>
      <c r="K40" s="2" t="inlineStr">
        <is>
          <t>The image row accurately describes the actual media at this gallery position.</t>
        </is>
      </c>
    </row>
    <row r="41" ht="84" customHeight="1">
      <c r="A41" s="3" t="inlineStr">
        <is>
          <t>ISSUE-0040</t>
        </is>
      </c>
      <c r="B41" s="3" t="inlineStr">
        <is>
          <t>jeminise.com+dragonfly-patchwork-pattern-quilt-set-animal-style-dragonfly-quilt</t>
        </is>
      </c>
      <c r="C41" s="3" t="inlineStr">
        <is>
          <t>img_36dc89eeb237c8e2</t>
        </is>
      </c>
      <c r="D41" s="3" t="inlineStr">
        <is>
          <t>MINOR</t>
        </is>
      </c>
      <c r="E41" s="3" t="inlineStr">
        <is>
          <t>image observation</t>
        </is>
      </c>
      <c r="F41" s="3" t="inlineStr">
        <is>
          <t>Bedding type, feature, lifestyle or material image for yellow pond dragonfly patchwork quilt.</t>
        </is>
      </c>
      <c r="G41" s="3" t="inlineStr">
        <is>
          <t>Fresh image file: D:\Shopify_Workspace\jeminise_seo\seo_runs\jeminise.com\20260906_234129\qa\20260907_204400\images\135_03.jpg; source URL: https://cdn.shopify.com/s/files/1/0792/5098/1063/files/955e2f8b7dd06bc9a7b584b35192cc1d3ac63df4802ab2407fd2d6b80268fb90.jpg?v=1787233626</t>
        </is>
      </c>
      <c r="H41" s="3" t="inlineStr">
        <is>
          <t>Observation is generic or position-based; rewrite from the actual image content.</t>
        </is>
      </c>
      <c r="I41" s="3" t="inlineStr">
        <is>
          <t>Rewrite observation/alt from the directly opened image, naming the visible motif and use context.</t>
        </is>
      </c>
      <c r="J41" s="3" t="inlineStr">
        <is>
          <t>Fresh image file: D:\Shopify_Workspace\jeminise_seo\seo_runs\jeminise.com\20260906_234129\qa\20260907_204400\images\135_03.jpg; source URL: https://cdn.shopify.com/s/files/1/0792/5098/1063/files/955e2f8b7dd06bc9a7b584b35192cc1d3ac63df4802ab2407fd2d6b80268fb90.jpg?v=1787233626</t>
        </is>
      </c>
      <c r="K41" s="3" t="inlineStr">
        <is>
          <t>The image row accurately describes the actual media at this gallery position.</t>
        </is>
      </c>
    </row>
    <row r="42" ht="84" customHeight="1">
      <c r="A42" s="2" t="inlineStr">
        <is>
          <t>ISSUE-0041</t>
        </is>
      </c>
      <c r="B42" s="2" t="inlineStr">
        <is>
          <t>jeminise.com+dragonfly-patchwork-pattern-quilt-set-animal-style-dragonfly-quilt</t>
        </is>
      </c>
      <c r="C42" s="2" t="inlineStr">
        <is>
          <t>img_ec74b0093089bdf7</t>
        </is>
      </c>
      <c r="D42" s="2" t="inlineStr">
        <is>
          <t>MINOR</t>
        </is>
      </c>
      <c r="E42" s="2" t="inlineStr">
        <is>
          <t>image observation</t>
        </is>
      </c>
      <c r="F42" s="2" t="inlineStr">
        <is>
          <t>Detail, feature panel or lifestyle image connected to yellow pond dragonfly patchwork quilt.</t>
        </is>
      </c>
      <c r="G42" s="2" t="inlineStr">
        <is>
          <t>Fresh image file: D:\Shopify_Workspace\jeminise_seo\seo_runs\jeminise.com\20260906_234129\qa\20260907_204400\images\135_04.jpg; source URL: https://cdn.shopify.com/s/files/1/0792/5098/1063/files/2c6c4b0ec606ff20bc1ac62e5ec98ecaf98928e6c974b93826464554a5fa3ea4.jpg?v=1787233626</t>
        </is>
      </c>
      <c r="H42" s="2" t="inlineStr">
        <is>
          <t>Observation is generic or position-based; rewrite from the actual image content.</t>
        </is>
      </c>
      <c r="I42" s="2" t="inlineStr">
        <is>
          <t>Rewrite observation/alt from the directly opened image, naming the visible motif and use context.</t>
        </is>
      </c>
      <c r="J42" s="2" t="inlineStr">
        <is>
          <t>Fresh image file: D:\Shopify_Workspace\jeminise_seo\seo_runs\jeminise.com\20260906_234129\qa\20260907_204400\images\135_04.jpg; source URL: https://cdn.shopify.com/s/files/1/0792/5098/1063/files/2c6c4b0ec606ff20bc1ac62e5ec98ecaf98928e6c974b93826464554a5fa3ea4.jpg?v=1787233626</t>
        </is>
      </c>
      <c r="K42" s="2" t="inlineStr">
        <is>
          <t>The image row accurately describes the actual media at this gallery position.</t>
        </is>
      </c>
    </row>
    <row r="43" ht="84" customHeight="1">
      <c r="A43" s="3" t="inlineStr">
        <is>
          <t>ISSUE-0042</t>
        </is>
      </c>
      <c r="B43" s="3" t="inlineStr">
        <is>
          <t>jeminise.com+dragonfly-patchwork-pattern-quilt-set-animal-style-dragonfly-quilt</t>
        </is>
      </c>
      <c r="C43" s="3" t="inlineStr">
        <is>
          <t>img_e855a35f1991d3f1</t>
        </is>
      </c>
      <c r="D43" s="3" t="inlineStr">
        <is>
          <t>MINOR</t>
        </is>
      </c>
      <c r="E43" s="3" t="inlineStr">
        <is>
          <t>image observation</t>
        </is>
      </c>
      <c r="F43" s="3" t="inlineStr">
        <is>
          <t>Easy-care, size guide or product feature image for yellow pond dragonfly patchwork quilt.</t>
        </is>
      </c>
      <c r="G43" s="3" t="inlineStr">
        <is>
          <t>Fresh image file: D:\Shopify_Workspace\jeminise_seo\seo_runs\jeminise.com\20260906_234129\qa\20260907_204400\images\135_06.jpg; source URL: https://cdn.shopify.com/s/files/1/0792/5098/1063/files/4e8443121e161c5bd0fecbf38fe373ea881ea13402f9383d59095dd3766bb4a1.jpg?v=1787233626</t>
        </is>
      </c>
      <c r="H43" s="3" t="inlineStr">
        <is>
          <t>Observation is generic or position-based; rewrite from the actual image content.</t>
        </is>
      </c>
      <c r="I43" s="3" t="inlineStr">
        <is>
          <t>Rewrite observation/alt from the directly opened image, naming the visible motif and use context.</t>
        </is>
      </c>
      <c r="J43" s="3" t="inlineStr">
        <is>
          <t>Fresh image file: D:\Shopify_Workspace\jeminise_seo\seo_runs\jeminise.com\20260906_234129\qa\20260907_204400\images\135_06.jpg; source URL: https://cdn.shopify.com/s/files/1/0792/5098/1063/files/4e8443121e161c5bd0fecbf38fe373ea881ea13402f9383d59095dd3766bb4a1.jpg?v=1787233626</t>
        </is>
      </c>
      <c r="K43" s="3" t="inlineStr">
        <is>
          <t>The image row accurately describes the actual media at this gallery position.</t>
        </is>
      </c>
    </row>
    <row r="44" ht="84" customHeight="1">
      <c r="A44" s="2" t="inlineStr">
        <is>
          <t>ISSUE-0043</t>
        </is>
      </c>
      <c r="B44" s="2" t="inlineStr">
        <is>
          <t>jeminise.com+dragonfly-patchwork-pattern-quilt-set-animal-style-dragonfly-quilt</t>
        </is>
      </c>
      <c r="C44" s="2" t="inlineStr">
        <is>
          <t>img_bf17748d389bdacd</t>
        </is>
      </c>
      <c r="D44" s="2" t="inlineStr">
        <is>
          <t>MINOR</t>
        </is>
      </c>
      <c r="E44" s="2" t="inlineStr">
        <is>
          <t>image observation</t>
        </is>
      </c>
      <c r="F44" s="2" t="inlineStr">
        <is>
          <t>Additional lifestyle, feature or product detail image showing yellow pond dragonfly patchwork quilt.</t>
        </is>
      </c>
      <c r="G44" s="2" t="inlineStr">
        <is>
          <t>Fresh image file: D:\Shopify_Workspace\jeminise_seo\seo_runs\jeminise.com\20260906_234129\qa\20260907_204400\images\135_07.jpg; source URL: https://cdn.shopify.com/s/files/1/0792/5098/1063/files/153fd1622891834d0b552c37500d0c9b0a67247d3798040ce2badb1c28d4339f.jpg?v=1787233626</t>
        </is>
      </c>
      <c r="H44" s="2" t="inlineStr">
        <is>
          <t>Observation is generic or position-based; rewrite from the actual image content.</t>
        </is>
      </c>
      <c r="I44" s="2" t="inlineStr">
        <is>
          <t>Rewrite observation/alt from the directly opened image, naming the visible motif and use context.</t>
        </is>
      </c>
      <c r="J44" s="2" t="inlineStr">
        <is>
          <t>Fresh image file: D:\Shopify_Workspace\jeminise_seo\seo_runs\jeminise.com\20260906_234129\qa\20260907_204400\images\135_07.jpg; source URL: https://cdn.shopify.com/s/files/1/0792/5098/1063/files/153fd1622891834d0b552c37500d0c9b0a67247d3798040ce2badb1c28d4339f.jpg?v=1787233626</t>
        </is>
      </c>
      <c r="K44" s="2" t="inlineStr">
        <is>
          <t>The image row accurately describes the actual media at this gallery position.</t>
        </is>
      </c>
    </row>
    <row r="45" ht="84" customHeight="1">
      <c r="A45" s="3" t="inlineStr">
        <is>
          <t>ISSUE-0044</t>
        </is>
      </c>
      <c r="B45" s="3" t="inlineStr">
        <is>
          <t>jeminise.com+dragonfly-patchwork-quilt-set-animal-patchwork-bedset-dragonfly</t>
        </is>
      </c>
      <c r="C45" s="3" t="inlineStr"/>
      <c r="D45" s="3" t="inlineStr">
        <is>
          <t>MAJOR</t>
        </is>
      </c>
      <c r="E45" s="3" t="inlineStr">
        <is>
          <t>description_proposed_html</t>
        </is>
      </c>
      <c r="F45" s="3" t="inlineStr">
        <is>
          <t>&lt;p&gt;This Jeminise quilt set features dragonfly over pond water, yellow lilies and green reeds in a stained-glass circular frame, making it suited for themed decor, sports rooms, garden-inspired spaces or fantasy bedrooms.&lt;/p&gt;&lt;h3&gt;Design Details&lt;/h3&gt;&lt;ul&gt;&lt;li&gt;Visible artwork: dragonfly over pond water, yellow lilies and green reeds in a stained-glass circular frame.&lt;/li&gt;&lt;li&gt;Source product details include: Brand: Jeminise; Product Type: Quilt Sets; Ma…</t>
        </is>
      </c>
      <c r="G45" s="3" t="inlineStr">
        <is>
          <t>Draft contains SEO Use / QA approval wording.</t>
        </is>
      </c>
      <c r="H45" s="3" t="inlineStr">
        <is>
          <t>Internal workflow language is not publish-ready storefront copy.</t>
        </is>
      </c>
      <c r="I45" s="3" t="inlineStr">
        <is>
          <t>Remove internal QA/import block and replace with customer-facing verified copy.</t>
        </is>
      </c>
      <c r="J45" s="3" t="inlineStr">
        <is>
          <t>Draft contains SEO Use / QA approval wording.</t>
        </is>
      </c>
      <c r="K45" s="3" t="inlineStr">
        <is>
          <t>Description HTML no longer contains SEO Use, QA, approval, import or draft language.</t>
        </is>
      </c>
    </row>
    <row r="46" ht="84" customHeight="1">
      <c r="A46" s="2" t="inlineStr">
        <is>
          <t>ISSUE-0045</t>
        </is>
      </c>
      <c r="B46" s="2" t="inlineStr">
        <is>
          <t>jeminise.com+dragonfly-patchwork-quilt-set-animal-patchwork-bedset-dragonfly</t>
        </is>
      </c>
      <c r="C46" s="2" t="inlineStr"/>
      <c r="D46" s="2" t="inlineStr">
        <is>
          <t>MINOR</t>
        </is>
      </c>
      <c r="E46" s="2" t="inlineStr">
        <is>
          <t>meta_description_seo</t>
        </is>
      </c>
      <c r="F46" s="2" t="inlineStr">
        <is>
          <t>Shop a quilt set featuring dragonfly over pond water, yellow lilies and green reeds in a stained-glass circular frame. Review size and personalization options before checkout.</t>
        </is>
      </c>
      <c r="G46" s="2" t="inlineStr">
        <is>
          <t>Meta description length is 175 characters.</t>
        </is>
      </c>
      <c r="H46" s="2" t="inlineStr">
        <is>
          <t>Likely to truncate in search results and repeats review/personality wording in several rows.</t>
        </is>
      </c>
      <c r="I46" s="2" t="inlineStr">
        <is>
          <t>Rewrite to roughly 145-155 characters while preserving verified design and product type.</t>
        </is>
      </c>
      <c r="J46" s="2" t="inlineStr">
        <is>
          <t>Meta description length is 175 characters.</t>
        </is>
      </c>
      <c r="K46" s="2" t="inlineStr">
        <is>
          <t>Length check &lt;=160 characters and no unsupported claim remains.</t>
        </is>
      </c>
    </row>
    <row r="47" ht="84" customHeight="1">
      <c r="A47" s="3" t="inlineStr">
        <is>
          <t>ISSUE-0046</t>
        </is>
      </c>
      <c r="B47" s="3" t="inlineStr">
        <is>
          <t>jeminise.com+dragonfly-patchwork-quilt-set-animal-patchwork-bedset-dragonfly</t>
        </is>
      </c>
      <c r="C47" s="3" t="inlineStr"/>
      <c r="D47" s="3" t="inlineStr">
        <is>
          <t>MAJOR</t>
        </is>
      </c>
      <c r="E47" s="3" t="inlineStr">
        <is>
          <t>keyword_map</t>
        </is>
      </c>
      <c r="F47" s="3" t="inlineStr">
        <is>
          <t>dragonfly pond quilt</t>
        </is>
      </c>
      <c r="G47" s="3" t="inlineStr">
        <is>
          <t>https://www.etsy.com/; https://www.walmart.com/; https://www.pinterest.com/; https://www.etsy.com/; https://www.walmart.com/; https://www.pinterest.com/</t>
        </is>
      </c>
      <c r="H47" s="3" t="inlineStr">
        <is>
          <t>Batch cluster contains several very similar products, so keyword/intent differentiation must be sharper.</t>
        </is>
      </c>
      <c r="I47" s="3" t="inlineStr">
        <is>
          <t>Add unique visible motif modifiers and avoid assigning the same generic product keyword to multiple URLs.</t>
        </is>
      </c>
      <c r="J47" s="3" t="inlineStr">
        <is>
          <t>https://www.etsy.com/; https://www.walmart.com/; https://www.pinterest.com/; https://www.etsy.com/; https://www.walmart.com/; https://www.pinterest.com/</t>
        </is>
      </c>
      <c r="K47" s="3" t="inlineStr">
        <is>
          <t>SERP notes and title/meta show a distinct product-level query for this exact design.</t>
        </is>
      </c>
    </row>
    <row r="48" ht="84" customHeight="1">
      <c r="A48" s="2" t="inlineStr">
        <is>
          <t>ISSUE-0047</t>
        </is>
      </c>
      <c r="B48" s="2" t="inlineStr">
        <is>
          <t>jeminise.com+dragonfly-patchwork-quilt-set-animal-patchwork-bedset-dragonfly</t>
        </is>
      </c>
      <c r="C48" s="2" t="inlineStr"/>
      <c r="D48" s="2" t="inlineStr">
        <is>
          <t>LIMITATION</t>
        </is>
      </c>
      <c r="E48" s="2" t="inlineStr">
        <is>
          <t>keyword_evidence_level</t>
        </is>
      </c>
      <c r="F48" s="2" t="inlineStr">
        <is>
          <t>SERP_ONLY</t>
        </is>
      </c>
      <c r="G48" s="2" t="inlineStr">
        <is>
          <t>Only public SERP comparables are available.</t>
        </is>
      </c>
      <c r="H48" s="2" t="inlineStr">
        <is>
          <t>No Search Console, paid keyword volume or internal site search export was supplied.</t>
        </is>
      </c>
      <c r="I48" s="2" t="inlineStr">
        <is>
          <t>Keep demand statements qualitative; do not claim volume or ranking potential.</t>
        </is>
      </c>
      <c r="J48" s="2" t="inlineStr">
        <is>
          <t>Only public SERP comparables are available.</t>
        </is>
      </c>
      <c r="K48" s="2" t="inlineStr">
        <is>
          <t>Additional first-party or paid keyword evidence is attached, or limitation remains documented.</t>
        </is>
      </c>
    </row>
    <row r="49" ht="84" customHeight="1">
      <c r="A49" s="3" t="inlineStr">
        <is>
          <t>ISSUE-0048</t>
        </is>
      </c>
      <c r="B49" s="3" t="inlineStr">
        <is>
          <t>jeminise.com+dragonfly-patchwork-quilt-set-animal-patchwork-bedset-dragonfly</t>
        </is>
      </c>
      <c r="C49" s="3" t="inlineStr">
        <is>
          <t>img_378676e6b60b2517</t>
        </is>
      </c>
      <c r="D49" s="3" t="inlineStr">
        <is>
          <t>MINOR</t>
        </is>
      </c>
      <c r="E49" s="3" t="inlineStr">
        <is>
          <t>alt text</t>
        </is>
      </c>
      <c r="F49" s="3" t="inlineStr">
        <is>
          <t>Blue Yellow Dragonfly Pond Quilt displayed in a main product mockup</t>
        </is>
      </c>
      <c r="G49" s="3" t="inlineStr">
        <is>
          <t>Fresh image file: D:\Shopify_Workspace\jeminise_seo\seo_runs\jeminise.com\20260906_234129\qa\20260907_204400\images\136_01.jpg; source URL: https://cdn.shopify.com/s/files/1/0792/5098/1063/files/0a3408f9531e3a0c073fefe9e8b45e68486840fbce54d055d8d9bfce089f279b.jpg?v=1787233701</t>
        </is>
      </c>
      <c r="H49" s="3" t="inlineStr">
        <is>
          <t>Alt text is too generic or describes placement more than visible content.</t>
        </is>
      </c>
      <c r="I49" s="3" t="inlineStr">
        <is>
          <t>Rewrite observation/alt from the directly opened image, naming the visible motif and use context.</t>
        </is>
      </c>
      <c r="J49" s="3" t="inlineStr">
        <is>
          <t>Fresh image file: D:\Shopify_Workspace\jeminise_seo\seo_runs\jeminise.com\20260906_234129\qa\20260907_204400\images\136_01.jpg; source URL: https://cdn.shopify.com/s/files/1/0792/5098/1063/files/0a3408f9531e3a0c073fefe9e8b45e68486840fbce54d055d8d9bfce089f279b.jpg?v=1787233701</t>
        </is>
      </c>
      <c r="K49" s="3" t="inlineStr">
        <is>
          <t>The image row accurately describes the actual media at this gallery position.</t>
        </is>
      </c>
    </row>
    <row r="50" ht="84" customHeight="1">
      <c r="A50" s="2" t="inlineStr">
        <is>
          <t>ISSUE-0049</t>
        </is>
      </c>
      <c r="B50" s="2" t="inlineStr">
        <is>
          <t>jeminise.com+dragonfly-patchwork-quilt-set-animal-patchwork-bedset-dragonfly</t>
        </is>
      </c>
      <c r="C50" s="2" t="inlineStr">
        <is>
          <t>img_9e1bf3b06d869293</t>
        </is>
      </c>
      <c r="D50" s="2" t="inlineStr">
        <is>
          <t>MINOR</t>
        </is>
      </c>
      <c r="E50" s="2" t="inlineStr">
        <is>
          <t>image observation</t>
        </is>
      </c>
      <c r="F50" s="2" t="inlineStr">
        <is>
          <t>Bedding type, feature, lifestyle or material image for blue yellow dragonfly pond quilt.</t>
        </is>
      </c>
      <c r="G50" s="2" t="inlineStr">
        <is>
          <t>Fresh image file: D:\Shopify_Workspace\jeminise_seo\seo_runs\jeminise.com\20260906_234129\qa\20260907_204400\images\136_03.jpg; source URL: https://cdn.shopify.com/s/files/1/0792/5098/1063/files/294f29b70762f22df4918e7c94b3b46ebac81578eb1b441cc319e4a6c036e2b5.jpg?v=1787233701</t>
        </is>
      </c>
      <c r="H50" s="2" t="inlineStr">
        <is>
          <t>Observation is generic or position-based; rewrite from the actual image content.</t>
        </is>
      </c>
      <c r="I50" s="2" t="inlineStr">
        <is>
          <t>Rewrite observation/alt from the directly opened image, naming the visible motif and use context.</t>
        </is>
      </c>
      <c r="J50" s="2" t="inlineStr">
        <is>
          <t>Fresh image file: D:\Shopify_Workspace\jeminise_seo\seo_runs\jeminise.com\20260906_234129\qa\20260907_204400\images\136_03.jpg; source URL: https://cdn.shopify.com/s/files/1/0792/5098/1063/files/294f29b70762f22df4918e7c94b3b46ebac81578eb1b441cc319e4a6c036e2b5.jpg?v=1787233701</t>
        </is>
      </c>
      <c r="K50" s="2" t="inlineStr">
        <is>
          <t>The image row accurately describes the actual media at this gallery position.</t>
        </is>
      </c>
    </row>
    <row r="51" ht="84" customHeight="1">
      <c r="A51" s="3" t="inlineStr">
        <is>
          <t>ISSUE-0050</t>
        </is>
      </c>
      <c r="B51" s="3" t="inlineStr">
        <is>
          <t>jeminise.com+dragonfly-patchwork-quilt-set-animal-patchwork-bedset-dragonfly</t>
        </is>
      </c>
      <c r="C51" s="3" t="inlineStr">
        <is>
          <t>img_a2cd34d5bdc406d2</t>
        </is>
      </c>
      <c r="D51" s="3" t="inlineStr">
        <is>
          <t>MINOR</t>
        </is>
      </c>
      <c r="E51" s="3" t="inlineStr">
        <is>
          <t>image observation</t>
        </is>
      </c>
      <c r="F51" s="3" t="inlineStr">
        <is>
          <t>Detail, feature panel or lifestyle image connected to blue yellow dragonfly pond quilt.</t>
        </is>
      </c>
      <c r="G51" s="3" t="inlineStr">
        <is>
          <t>Fresh image file: D:\Shopify_Workspace\jeminise_seo\seo_runs\jeminise.com\20260906_234129\qa\20260907_204400\images\136_04.jpg; source URL: https://cdn.shopify.com/s/files/1/0792/5098/1063/files/4f89396bd5eba76e433e1754c6258bc954124533d44f2a626d3460b551456ac2.jpg?v=1787233701</t>
        </is>
      </c>
      <c r="H51" s="3" t="inlineStr">
        <is>
          <t>Observation is generic or position-based; rewrite from the actual image content.</t>
        </is>
      </c>
      <c r="I51" s="3" t="inlineStr">
        <is>
          <t>Rewrite observation/alt from the directly opened image, naming the visible motif and use context.</t>
        </is>
      </c>
      <c r="J51" s="3" t="inlineStr">
        <is>
          <t>Fresh image file: D:\Shopify_Workspace\jeminise_seo\seo_runs\jeminise.com\20260906_234129\qa\20260907_204400\images\136_04.jpg; source URL: https://cdn.shopify.com/s/files/1/0792/5098/1063/files/4f89396bd5eba76e433e1754c6258bc954124533d44f2a626d3460b551456ac2.jpg?v=1787233701</t>
        </is>
      </c>
      <c r="K51" s="3" t="inlineStr">
        <is>
          <t>The image row accurately describes the actual media at this gallery position.</t>
        </is>
      </c>
    </row>
    <row r="52" ht="84" customHeight="1">
      <c r="A52" s="2" t="inlineStr">
        <is>
          <t>ISSUE-0051</t>
        </is>
      </c>
      <c r="B52" s="2" t="inlineStr">
        <is>
          <t>jeminise.com+dragonfly-patchwork-quilt-set-animal-patchwork-bedset-dragonfly</t>
        </is>
      </c>
      <c r="C52" s="2" t="inlineStr">
        <is>
          <t>img_446d47335c7dbb14</t>
        </is>
      </c>
      <c r="D52" s="2" t="inlineStr">
        <is>
          <t>MINOR</t>
        </is>
      </c>
      <c r="E52" s="2" t="inlineStr">
        <is>
          <t>image observation</t>
        </is>
      </c>
      <c r="F52" s="2" t="inlineStr">
        <is>
          <t>Easy-care, size guide or product feature image for blue yellow dragonfly pond quilt.</t>
        </is>
      </c>
      <c r="G52" s="2" t="inlineStr">
        <is>
          <t>Fresh image file: D:\Shopify_Workspace\jeminise_seo\seo_runs\jeminise.com\20260906_234129\qa\20260907_204400\images\136_06.jpg; source URL: https://cdn.shopify.com/s/files/1/0792/5098/1063/files/4afff5bd1108a84e934e1e4f25eafcbe926a65ce790598d12db0393917520582.jpg?v=1787233701</t>
        </is>
      </c>
      <c r="H52" s="2" t="inlineStr">
        <is>
          <t>Observation is generic or position-based; rewrite from the actual image content.</t>
        </is>
      </c>
      <c r="I52" s="2" t="inlineStr">
        <is>
          <t>Rewrite observation/alt from the directly opened image, naming the visible motif and use context.</t>
        </is>
      </c>
      <c r="J52" s="2" t="inlineStr">
        <is>
          <t>Fresh image file: D:\Shopify_Workspace\jeminise_seo\seo_runs\jeminise.com\20260906_234129\qa\20260907_204400\images\136_06.jpg; source URL: https://cdn.shopify.com/s/files/1/0792/5098/1063/files/4afff5bd1108a84e934e1e4f25eafcbe926a65ce790598d12db0393917520582.jpg?v=1787233701</t>
        </is>
      </c>
      <c r="K52" s="2" t="inlineStr">
        <is>
          <t>The image row accurately describes the actual media at this gallery position.</t>
        </is>
      </c>
    </row>
    <row r="53" ht="84" customHeight="1">
      <c r="A53" s="3" t="inlineStr">
        <is>
          <t>ISSUE-0052</t>
        </is>
      </c>
      <c r="B53" s="3" t="inlineStr">
        <is>
          <t>jeminise.com+dragonfly-patchwork-quilt-set-animal-patchwork-bedset-dragonfly</t>
        </is>
      </c>
      <c r="C53" s="3" t="inlineStr">
        <is>
          <t>img_75d0541140ad279b</t>
        </is>
      </c>
      <c r="D53" s="3" t="inlineStr">
        <is>
          <t>MINOR</t>
        </is>
      </c>
      <c r="E53" s="3" t="inlineStr">
        <is>
          <t>image observation</t>
        </is>
      </c>
      <c r="F53" s="3" t="inlineStr">
        <is>
          <t>Additional lifestyle, feature or product detail image showing blue yellow dragonfly pond quilt.</t>
        </is>
      </c>
      <c r="G53" s="3" t="inlineStr">
        <is>
          <t>Fresh image file: D:\Shopify_Workspace\jeminise_seo\seo_runs\jeminise.com\20260906_234129\qa\20260907_204400\images\136_07.jpg; source URL: https://cdn.shopify.com/s/files/1/0792/5098/1063/files/3c6b81c89c93cc1a2b36e7c9c961611600af5ce82faf4937ed7c98dabff514eb.jpg?v=1787233701</t>
        </is>
      </c>
      <c r="H53" s="3" t="inlineStr">
        <is>
          <t>Observation is generic or position-based; rewrite from the actual image content.</t>
        </is>
      </c>
      <c r="I53" s="3" t="inlineStr">
        <is>
          <t>Rewrite observation/alt from the directly opened image, naming the visible motif and use context.</t>
        </is>
      </c>
      <c r="J53" s="3" t="inlineStr">
        <is>
          <t>Fresh image file: D:\Shopify_Workspace\jeminise_seo\seo_runs\jeminise.com\20260906_234129\qa\20260907_204400\images\136_07.jpg; source URL: https://cdn.shopify.com/s/files/1/0792/5098/1063/files/3c6b81c89c93cc1a2b36e7c9c961611600af5ce82faf4937ed7c98dabff514eb.jpg?v=1787233701</t>
        </is>
      </c>
      <c r="K53" s="3" t="inlineStr">
        <is>
          <t>The image row accurately describes the actual media at this gallery position.</t>
        </is>
      </c>
    </row>
    <row r="54" ht="84" customHeight="1">
      <c r="A54" s="2" t="inlineStr">
        <is>
          <t>ISSUE-0053</t>
        </is>
      </c>
      <c r="B54" s="2" t="inlineStr">
        <is>
          <t>jeminise.com+dragonfly-pattern-quilt-set-dragonflies-vintage-quilt-set-patchwork</t>
        </is>
      </c>
      <c r="C54" s="2" t="inlineStr"/>
      <c r="D54" s="2" t="inlineStr">
        <is>
          <t>MAJOR</t>
        </is>
      </c>
      <c r="E54" s="2" t="inlineStr">
        <is>
          <t>description_proposed_html</t>
        </is>
      </c>
      <c r="F54" s="2" t="inlineStr">
        <is>
          <t>&lt;p&gt;This Jeminise quilt set features large colorful dragonfly with flowers on a purple stained-glass patchwork background, making it suited for themed decor, sports rooms, garden-inspired spaces or fantasy bedrooms.&lt;/p&gt;&lt;h3&gt;Design Details&lt;/h3&gt;&lt;ul&gt;&lt;li&gt;Visible artwork: large colorful dragonfly with flowers on a purple stained-glass patchwork background.&lt;/li&gt;&lt;li&gt;Source product details include: Brand: Jeminise; Product Type: Quilt Set; Material: Polyc…</t>
        </is>
      </c>
      <c r="G54" s="2" t="inlineStr">
        <is>
          <t>Draft contains SEO Use / QA approval wording.</t>
        </is>
      </c>
      <c r="H54" s="2" t="inlineStr">
        <is>
          <t>Internal workflow language is not publish-ready storefront copy.</t>
        </is>
      </c>
      <c r="I54" s="2" t="inlineStr">
        <is>
          <t>Remove internal QA/import block and replace with customer-facing verified copy.</t>
        </is>
      </c>
      <c r="J54" s="2" t="inlineStr">
        <is>
          <t>Draft contains SEO Use / QA approval wording.</t>
        </is>
      </c>
      <c r="K54" s="2" t="inlineStr">
        <is>
          <t>Description HTML no longer contains SEO Use, QA, approval, import or draft language.</t>
        </is>
      </c>
    </row>
    <row r="55" ht="84" customHeight="1">
      <c r="A55" s="3" t="inlineStr">
        <is>
          <t>ISSUE-0054</t>
        </is>
      </c>
      <c r="B55" s="3" t="inlineStr">
        <is>
          <t>jeminise.com+dragonfly-pattern-quilt-set-dragonflies-vintage-quilt-set-patchwork</t>
        </is>
      </c>
      <c r="C55" s="3" t="inlineStr"/>
      <c r="D55" s="3" t="inlineStr">
        <is>
          <t>MINOR</t>
        </is>
      </c>
      <c r="E55" s="3" t="inlineStr">
        <is>
          <t>meta_description_seo</t>
        </is>
      </c>
      <c r="F55" s="3" t="inlineStr">
        <is>
          <t>Shop a quilt set featuring large colorful dragonfly with flowers on a purple stained-glass patchwork background. Review size and personalization options before checkout.</t>
        </is>
      </c>
      <c r="G55" s="3" t="inlineStr">
        <is>
          <t>Meta description length is 169 characters.</t>
        </is>
      </c>
      <c r="H55" s="3" t="inlineStr">
        <is>
          <t>Likely to truncate in search results and repeats review/personality wording in several rows.</t>
        </is>
      </c>
      <c r="I55" s="3" t="inlineStr">
        <is>
          <t>Rewrite to roughly 145-155 characters while preserving verified design and product type.</t>
        </is>
      </c>
      <c r="J55" s="3" t="inlineStr">
        <is>
          <t>Meta description length is 169 characters.</t>
        </is>
      </c>
      <c r="K55" s="3" t="inlineStr">
        <is>
          <t>Length check &lt;=160 characters and no unsupported claim remains.</t>
        </is>
      </c>
    </row>
    <row r="56" ht="84" customHeight="1">
      <c r="A56" s="2" t="inlineStr">
        <is>
          <t>ISSUE-0055</t>
        </is>
      </c>
      <c r="B56" s="2" t="inlineStr">
        <is>
          <t>jeminise.com+dragonfly-pattern-quilt-set-dragonflies-vintage-quilt-set-patchwork</t>
        </is>
      </c>
      <c r="C56" s="2" t="inlineStr"/>
      <c r="D56" s="2" t="inlineStr">
        <is>
          <t>MAJOR</t>
        </is>
      </c>
      <c r="E56" s="2" t="inlineStr">
        <is>
          <t>keyword_map</t>
        </is>
      </c>
      <c r="F56" s="2" t="inlineStr">
        <is>
          <t>purple dragonfly quilt</t>
        </is>
      </c>
      <c r="G56" s="2" t="inlineStr">
        <is>
          <t>https://www.etsy.com/; https://www.walmart.com/; https://www.pinterest.com/; https://www.etsy.com/; https://www.walmart.com/; https://www.pinterest.com/</t>
        </is>
      </c>
      <c r="H56" s="2" t="inlineStr">
        <is>
          <t>Batch cluster contains several very similar products, so keyword/intent differentiation must be sharper.</t>
        </is>
      </c>
      <c r="I56" s="2" t="inlineStr">
        <is>
          <t>Add unique visible motif modifiers and avoid assigning the same generic product keyword to multiple URLs.</t>
        </is>
      </c>
      <c r="J56" s="2" t="inlineStr">
        <is>
          <t>https://www.etsy.com/; https://www.walmart.com/; https://www.pinterest.com/; https://www.etsy.com/; https://www.walmart.com/; https://www.pinterest.com/</t>
        </is>
      </c>
      <c r="K56" s="2" t="inlineStr">
        <is>
          <t>SERP notes and title/meta show a distinct product-level query for this exact design.</t>
        </is>
      </c>
    </row>
    <row r="57" ht="84" customHeight="1">
      <c r="A57" s="3" t="inlineStr">
        <is>
          <t>ISSUE-0056</t>
        </is>
      </c>
      <c r="B57" s="3" t="inlineStr">
        <is>
          <t>jeminise.com+dragonfly-pattern-quilt-set-dragonflies-vintage-quilt-set-patchwork</t>
        </is>
      </c>
      <c r="C57" s="3" t="inlineStr"/>
      <c r="D57" s="3" t="inlineStr">
        <is>
          <t>LIMITATION</t>
        </is>
      </c>
      <c r="E57" s="3" t="inlineStr">
        <is>
          <t>keyword_evidence_level</t>
        </is>
      </c>
      <c r="F57" s="3" t="inlineStr">
        <is>
          <t>SERP_ONLY</t>
        </is>
      </c>
      <c r="G57" s="3" t="inlineStr">
        <is>
          <t>Only public SERP comparables are available.</t>
        </is>
      </c>
      <c r="H57" s="3" t="inlineStr">
        <is>
          <t>No Search Console, paid keyword volume or internal site search export was supplied.</t>
        </is>
      </c>
      <c r="I57" s="3" t="inlineStr">
        <is>
          <t>Keep demand statements qualitative; do not claim volume or ranking potential.</t>
        </is>
      </c>
      <c r="J57" s="3" t="inlineStr">
        <is>
          <t>Only public SERP comparables are available.</t>
        </is>
      </c>
      <c r="K57" s="3" t="inlineStr">
        <is>
          <t>Additional first-party or paid keyword evidence is attached, or limitation remains documented.</t>
        </is>
      </c>
    </row>
    <row r="58" ht="84" customHeight="1">
      <c r="A58" s="2" t="inlineStr">
        <is>
          <t>ISSUE-0057</t>
        </is>
      </c>
      <c r="B58" s="2" t="inlineStr">
        <is>
          <t>jeminise.com+dragonfly-pattern-quilt-set-dragonflies-vintage-quilt-set-patchwork</t>
        </is>
      </c>
      <c r="C58" s="2" t="inlineStr">
        <is>
          <t>img_ddf17826f3b89887</t>
        </is>
      </c>
      <c r="D58" s="2" t="inlineStr">
        <is>
          <t>MINOR</t>
        </is>
      </c>
      <c r="E58" s="2" t="inlineStr">
        <is>
          <t>alt text</t>
        </is>
      </c>
      <c r="F58" s="2" t="inlineStr">
        <is>
          <t>Purple Vintage Dragonfly Quilt Set displayed in a main product mockup</t>
        </is>
      </c>
      <c r="G58" s="2" t="inlineStr">
        <is>
          <t>Fresh image file: D:\Shopify_Workspace\jeminise_seo\seo_runs\jeminise.com\20260906_234129\qa\20260907_204400\images\137_01.jpg; source URL: https://cdn.shopify.com/s/files/1/0792/5098/1063/files/d42c647b4b706bfbd5848e9a710dc0ab52b9128d5478ff315a703f27f50d0183.jpg?v=1787233586</t>
        </is>
      </c>
      <c r="H58" s="2" t="inlineStr">
        <is>
          <t>Alt text is too generic or describes placement more than visible content.</t>
        </is>
      </c>
      <c r="I58" s="2" t="inlineStr">
        <is>
          <t>Rewrite observation/alt from the directly opened image, naming the visible motif and use context.</t>
        </is>
      </c>
      <c r="J58" s="2" t="inlineStr">
        <is>
          <t>Fresh image file: D:\Shopify_Workspace\jeminise_seo\seo_runs\jeminise.com\20260906_234129\qa\20260907_204400\images\137_01.jpg; source URL: https://cdn.shopify.com/s/files/1/0792/5098/1063/files/d42c647b4b706bfbd5848e9a710dc0ab52b9128d5478ff315a703f27f50d0183.jpg?v=1787233586</t>
        </is>
      </c>
      <c r="K58" s="2" t="inlineStr">
        <is>
          <t>The image row accurately describes the actual media at this gallery position.</t>
        </is>
      </c>
    </row>
    <row r="59" ht="84" customHeight="1">
      <c r="A59" s="3" t="inlineStr">
        <is>
          <t>ISSUE-0058</t>
        </is>
      </c>
      <c r="B59" s="3" t="inlineStr">
        <is>
          <t>jeminise.com+dragonfly-pattern-quilt-set-dragonflies-vintage-quilt-set-patchwork</t>
        </is>
      </c>
      <c r="C59" s="3" t="inlineStr">
        <is>
          <t>img_e16a4a42a58d2ad3</t>
        </is>
      </c>
      <c r="D59" s="3" t="inlineStr">
        <is>
          <t>MINOR</t>
        </is>
      </c>
      <c r="E59" s="3" t="inlineStr">
        <is>
          <t>image observation</t>
        </is>
      </c>
      <c r="F59" s="3" t="inlineStr">
        <is>
          <t>Bedding type, feature, lifestyle or material image for purple vintage dragonfly quilt set.</t>
        </is>
      </c>
      <c r="G59" s="3" t="inlineStr">
        <is>
          <t>Fresh image file: D:\Shopify_Workspace\jeminise_seo\seo_runs\jeminise.com\20260906_234129\qa\20260907_204400\images\137_03.jpg; source URL: https://cdn.shopify.com/s/files/1/0792/5098/1063/files/ac2d2eb5d06502bcefbdde305518d81e55f752d7c3af6ea61e31704d009421e6.jpg?v=1787233582</t>
        </is>
      </c>
      <c r="H59" s="3" t="inlineStr">
        <is>
          <t>Observation is generic or position-based; rewrite from the actual image content.</t>
        </is>
      </c>
      <c r="I59" s="3" t="inlineStr">
        <is>
          <t>Rewrite observation/alt from the directly opened image, naming the visible motif and use context.</t>
        </is>
      </c>
      <c r="J59" s="3" t="inlineStr">
        <is>
          <t>Fresh image file: D:\Shopify_Workspace\jeminise_seo\seo_runs\jeminise.com\20260906_234129\qa\20260907_204400\images\137_03.jpg; source URL: https://cdn.shopify.com/s/files/1/0792/5098/1063/files/ac2d2eb5d06502bcefbdde305518d81e55f752d7c3af6ea61e31704d009421e6.jpg?v=1787233582</t>
        </is>
      </c>
      <c r="K59" s="3" t="inlineStr">
        <is>
          <t>The image row accurately describes the actual media at this gallery position.</t>
        </is>
      </c>
    </row>
    <row r="60" ht="84" customHeight="1">
      <c r="A60" s="2" t="inlineStr">
        <is>
          <t>ISSUE-0059</t>
        </is>
      </c>
      <c r="B60" s="2" t="inlineStr">
        <is>
          <t>jeminise.com+dragonfly-pattern-quilt-set-dragonflies-vintage-quilt-set-patchwork</t>
        </is>
      </c>
      <c r="C60" s="2" t="inlineStr">
        <is>
          <t>img_7e0ce13fddf9a041</t>
        </is>
      </c>
      <c r="D60" s="2" t="inlineStr">
        <is>
          <t>MINOR</t>
        </is>
      </c>
      <c r="E60" s="2" t="inlineStr">
        <is>
          <t>image observation</t>
        </is>
      </c>
      <c r="F60" s="2" t="inlineStr">
        <is>
          <t>Detail, feature panel or lifestyle image connected to purple vintage dragonfly quilt set.</t>
        </is>
      </c>
      <c r="G60" s="2" t="inlineStr">
        <is>
          <t>Fresh image file: D:\Shopify_Workspace\jeminise_seo\seo_runs\jeminise.com\20260906_234129\qa\20260907_204400\images\137_04.jpg; source URL: https://cdn.shopify.com/s/files/1/0792/5098/1063/files/808ae5fe90da050444c4e3612490d96973cad27c2bdd67ad6d7cf5c5b81ca06b.jpg?v=1787233581</t>
        </is>
      </c>
      <c r="H60" s="2" t="inlineStr">
        <is>
          <t>Observation is generic or position-based; rewrite from the actual image content.</t>
        </is>
      </c>
      <c r="I60" s="2" t="inlineStr">
        <is>
          <t>Rewrite observation/alt from the directly opened image, naming the visible motif and use context.</t>
        </is>
      </c>
      <c r="J60" s="2" t="inlineStr">
        <is>
          <t>Fresh image file: D:\Shopify_Workspace\jeminise_seo\seo_runs\jeminise.com\20260906_234129\qa\20260907_204400\images\137_04.jpg; source URL: https://cdn.shopify.com/s/files/1/0792/5098/1063/files/808ae5fe90da050444c4e3612490d96973cad27c2bdd67ad6d7cf5c5b81ca06b.jpg?v=1787233581</t>
        </is>
      </c>
      <c r="K60" s="2" t="inlineStr">
        <is>
          <t>The image row accurately describes the actual media at this gallery position.</t>
        </is>
      </c>
    </row>
    <row r="61" ht="84" customHeight="1">
      <c r="A61" s="3" t="inlineStr">
        <is>
          <t>ISSUE-0060</t>
        </is>
      </c>
      <c r="B61" s="3" t="inlineStr">
        <is>
          <t>jeminise.com+dragonfly-pattern-quilt-set-dragonflies-vintage-quilt-set-patchwork</t>
        </is>
      </c>
      <c r="C61" s="3" t="inlineStr">
        <is>
          <t>img_8f42261d499d0d75</t>
        </is>
      </c>
      <c r="D61" s="3" t="inlineStr">
        <is>
          <t>MINOR</t>
        </is>
      </c>
      <c r="E61" s="3" t="inlineStr">
        <is>
          <t>image observation</t>
        </is>
      </c>
      <c r="F61" s="3" t="inlineStr">
        <is>
          <t>Easy-care, size guide or product feature image for purple vintage dragonfly quilt set.</t>
        </is>
      </c>
      <c r="G61" s="3" t="inlineStr">
        <is>
          <t>Fresh image file: D:\Shopify_Workspace\jeminise_seo\seo_runs\jeminise.com\20260906_234129\qa\20260907_204400\images\137_06.jpg; source URL: https://cdn.shopify.com/s/files/1/0792/5098/1063/files/3179bba8368b480a48e602947287ddb7c4c1df7b24c318ee48e0ccdd734c67c3.jpg?v=1787233581</t>
        </is>
      </c>
      <c r="H61" s="3" t="inlineStr">
        <is>
          <t>Observation is generic or position-based; rewrite from the actual image content.</t>
        </is>
      </c>
      <c r="I61" s="3" t="inlineStr">
        <is>
          <t>Rewrite observation/alt from the directly opened image, naming the visible motif and use context.</t>
        </is>
      </c>
      <c r="J61" s="3" t="inlineStr">
        <is>
          <t>Fresh image file: D:\Shopify_Workspace\jeminise_seo\seo_runs\jeminise.com\20260906_234129\qa\20260907_204400\images\137_06.jpg; source URL: https://cdn.shopify.com/s/files/1/0792/5098/1063/files/3179bba8368b480a48e602947287ddb7c4c1df7b24c318ee48e0ccdd734c67c3.jpg?v=1787233581</t>
        </is>
      </c>
      <c r="K61" s="3" t="inlineStr">
        <is>
          <t>The image row accurately describes the actual media at this gallery position.</t>
        </is>
      </c>
    </row>
    <row r="62" ht="84" customHeight="1">
      <c r="A62" s="2" t="inlineStr">
        <is>
          <t>ISSUE-0061</t>
        </is>
      </c>
      <c r="B62" s="2" t="inlineStr">
        <is>
          <t>jeminise.com+dragonfly-pattern-quilt-set-dragonflies-vintage-quilt-set-patchwork</t>
        </is>
      </c>
      <c r="C62" s="2" t="inlineStr">
        <is>
          <t>img_210163cb0ba8c9b7</t>
        </is>
      </c>
      <c r="D62" s="2" t="inlineStr">
        <is>
          <t>MINOR</t>
        </is>
      </c>
      <c r="E62" s="2" t="inlineStr">
        <is>
          <t>image observation</t>
        </is>
      </c>
      <c r="F62" s="2" t="inlineStr">
        <is>
          <t>Additional lifestyle, feature or product detail image showing purple vintage dragonfly quilt set.</t>
        </is>
      </c>
      <c r="G62" s="2" t="inlineStr">
        <is>
          <t>Fresh image file: D:\Shopify_Workspace\jeminise_seo\seo_runs\jeminise.com\20260906_234129\qa\20260907_204400\images\137_07.jpg; source URL: https://cdn.shopify.com/s/files/1/0792/5098/1063/files/f2119da92c18377a071250b1e3091eade713b0484db4a7666659028e0b87eab8.jpg?v=1787233581</t>
        </is>
      </c>
      <c r="H62" s="2" t="inlineStr">
        <is>
          <t>Observation is generic or position-based; rewrite from the actual image content.</t>
        </is>
      </c>
      <c r="I62" s="2" t="inlineStr">
        <is>
          <t>Rewrite observation/alt from the directly opened image, naming the visible motif and use context.</t>
        </is>
      </c>
      <c r="J62" s="2" t="inlineStr">
        <is>
          <t>Fresh image file: D:\Shopify_Workspace\jeminise_seo\seo_runs\jeminise.com\20260906_234129\qa\20260907_204400\images\137_07.jpg; source URL: https://cdn.shopify.com/s/files/1/0792/5098/1063/files/f2119da92c18377a071250b1e3091eade713b0484db4a7666659028e0b87eab8.jpg?v=1787233581</t>
        </is>
      </c>
      <c r="K62" s="2" t="inlineStr">
        <is>
          <t>The image row accurately describes the actual media at this gallery position.</t>
        </is>
      </c>
    </row>
    <row r="63" ht="84" customHeight="1">
      <c r="A63" s="3" t="inlineStr">
        <is>
          <t>ISSUE-0062</t>
        </is>
      </c>
      <c r="B63" s="3" t="inlineStr">
        <is>
          <t>jeminise.com+elephant-patchwork-pattern-quilt-set-animal-farmhouse-quilt-set</t>
        </is>
      </c>
      <c r="C63" s="3" t="inlineStr"/>
      <c r="D63" s="3" t="inlineStr">
        <is>
          <t>MAJOR</t>
        </is>
      </c>
      <c r="E63" s="3" t="inlineStr">
        <is>
          <t>description_proposed_html</t>
        </is>
      </c>
      <c r="F63" s="3" t="inlineStr">
        <is>
          <t>&lt;p&gt;This Jeminise quilt set features colorful patchwork elephant on a pale blue quilt with multicolor border and matching shams, making it suited for themed decor, sports rooms, garden-inspired spaces or fantasy bedrooms.&lt;/p&gt;&lt;h3&gt;Design Details&lt;/h3&gt;&lt;ul&gt;&lt;li&gt;Visible artwork: colorful patchwork elephant on a pale blue quilt with multicolor border and matching shams.&lt;/li&gt;&lt;li&gt;Source product details include: Brand: Jeminise; Product Type: Quilt Sets; Ma…</t>
        </is>
      </c>
      <c r="G63" s="3" t="inlineStr">
        <is>
          <t>Draft contains SEO Use / QA approval wording.</t>
        </is>
      </c>
      <c r="H63" s="3" t="inlineStr">
        <is>
          <t>Internal workflow language is not publish-ready storefront copy.</t>
        </is>
      </c>
      <c r="I63" s="3" t="inlineStr">
        <is>
          <t>Remove internal QA/import block and replace with customer-facing verified copy.</t>
        </is>
      </c>
      <c r="J63" s="3" t="inlineStr">
        <is>
          <t>Draft contains SEO Use / QA approval wording.</t>
        </is>
      </c>
      <c r="K63" s="3" t="inlineStr">
        <is>
          <t>Description HTML no longer contains SEO Use, QA, approval, import or draft language.</t>
        </is>
      </c>
    </row>
    <row r="64" ht="84" customHeight="1">
      <c r="A64" s="2" t="inlineStr">
        <is>
          <t>ISSUE-0063</t>
        </is>
      </c>
      <c r="B64" s="2" t="inlineStr">
        <is>
          <t>jeminise.com+elephant-patchwork-pattern-quilt-set-animal-farmhouse-quilt-set</t>
        </is>
      </c>
      <c r="C64" s="2" t="inlineStr"/>
      <c r="D64" s="2" t="inlineStr">
        <is>
          <t>MINOR</t>
        </is>
      </c>
      <c r="E64" s="2" t="inlineStr">
        <is>
          <t>meta_description_seo</t>
        </is>
      </c>
      <c r="F64" s="2" t="inlineStr">
        <is>
          <t>Shop a quilt set featuring colorful patchwork elephant on a pale blue quilt with multicolor border and matching shams. Review size and personalization options before checkout.</t>
        </is>
      </c>
      <c r="G64" s="2" t="inlineStr">
        <is>
          <t>Meta description length is 175 characters.</t>
        </is>
      </c>
      <c r="H64" s="2" t="inlineStr">
        <is>
          <t>Likely to truncate in search results and repeats review/personality wording in several rows.</t>
        </is>
      </c>
      <c r="I64" s="2" t="inlineStr">
        <is>
          <t>Rewrite to roughly 145-155 characters while preserving verified design and product type.</t>
        </is>
      </c>
      <c r="J64" s="2" t="inlineStr">
        <is>
          <t>Meta description length is 175 characters.</t>
        </is>
      </c>
      <c r="K64" s="2" t="inlineStr">
        <is>
          <t>Length check &lt;=160 characters and no unsupported claim remains.</t>
        </is>
      </c>
    </row>
    <row r="65" ht="84" customHeight="1">
      <c r="A65" s="3" t="inlineStr">
        <is>
          <t>ISSUE-0064</t>
        </is>
      </c>
      <c r="B65" s="3" t="inlineStr">
        <is>
          <t>jeminise.com+elephant-patchwork-pattern-quilt-set-animal-farmhouse-quilt-set</t>
        </is>
      </c>
      <c r="C65" s="3" t="inlineStr"/>
      <c r="D65" s="3" t="inlineStr">
        <is>
          <t>MAJOR</t>
        </is>
      </c>
      <c r="E65" s="3" t="inlineStr">
        <is>
          <t>keyword_map</t>
        </is>
      </c>
      <c r="F65" s="3" t="inlineStr">
        <is>
          <t>elephant patchwork quilt</t>
        </is>
      </c>
      <c r="G65" s="3" t="inlineStr">
        <is>
          <t>https://www.amazon.com/elephant-quilts-queen-size/s?k=elephant+quilts+queen+size; https://ohaprints.com/products/ohaprints-quilt-bed-set-pillowcase-cute-elephant-frame-patchwork-floral-pattern-unique-gift-for-animal-lover-blanket-bedspread-bedding-241; https://www.etsy.com/market/indian_patchwork_elephant_quilt; https://www.amazon.com/elephant-quilts-queen-size/s?k=elephant+quilts+queen+size; https://ohaprints.com/products/ohaprints-quilt-bed-se…</t>
        </is>
      </c>
      <c r="H65" s="3" t="inlineStr">
        <is>
          <t>Batch cluster contains several very similar products, so keyword/intent differentiation must be sharper.</t>
        </is>
      </c>
      <c r="I65" s="3" t="inlineStr">
        <is>
          <t>Add unique visible motif modifiers and avoid assigning the same generic product keyword to multiple URLs.</t>
        </is>
      </c>
      <c r="J65" s="3" t="inlineStr">
        <is>
          <t>https://www.amazon.com/elephant-quilts-queen-size/s?k=elephant+quilts+queen+size; https://ohaprints.com/products/ohaprints-quilt-bed-set-pillowcase-cute-elephant-frame-patchwork-floral-pattern-unique-gift-for-animal-lover-blanket-bedspread-bedding-241; https://www.etsy.com/market/indian_patchwork_elephant_quilt; https://www.amazon.com/elephant-quilts-queen-size/s?k=elephant+quilts+queen+size; https://ohaprints.com/products/ohaprints-quilt-bed-se…</t>
        </is>
      </c>
      <c r="K65" s="3" t="inlineStr">
        <is>
          <t>SERP notes and title/meta show a distinct product-level query for this exact design.</t>
        </is>
      </c>
    </row>
    <row r="66" ht="84" customHeight="1">
      <c r="A66" s="2" t="inlineStr">
        <is>
          <t>ISSUE-0065</t>
        </is>
      </c>
      <c r="B66" s="2" t="inlineStr">
        <is>
          <t>jeminise.com+elephant-patchwork-pattern-quilt-set-animal-farmhouse-quilt-set</t>
        </is>
      </c>
      <c r="C66" s="2" t="inlineStr"/>
      <c r="D66" s="2" t="inlineStr">
        <is>
          <t>LIMITATION</t>
        </is>
      </c>
      <c r="E66" s="2" t="inlineStr">
        <is>
          <t>keyword_evidence_level</t>
        </is>
      </c>
      <c r="F66" s="2" t="inlineStr">
        <is>
          <t>SERP_ONLY</t>
        </is>
      </c>
      <c r="G66" s="2" t="inlineStr">
        <is>
          <t>Only public SERP comparables are available.</t>
        </is>
      </c>
      <c r="H66" s="2" t="inlineStr">
        <is>
          <t>No Search Console, paid keyword volume or internal site search export was supplied.</t>
        </is>
      </c>
      <c r="I66" s="2" t="inlineStr">
        <is>
          <t>Keep demand statements qualitative; do not claim volume or ranking potential.</t>
        </is>
      </c>
      <c r="J66" s="2" t="inlineStr">
        <is>
          <t>Only public SERP comparables are available.</t>
        </is>
      </c>
      <c r="K66" s="2" t="inlineStr">
        <is>
          <t>Additional first-party or paid keyword evidence is attached, or limitation remains documented.</t>
        </is>
      </c>
    </row>
    <row r="67" ht="84" customHeight="1">
      <c r="A67" s="3" t="inlineStr">
        <is>
          <t>ISSUE-0066</t>
        </is>
      </c>
      <c r="B67" s="3" t="inlineStr">
        <is>
          <t>jeminise.com+elephant-patchwork-pattern-quilt-set-animal-farmhouse-quilt-set</t>
        </is>
      </c>
      <c r="C67" s="3" t="inlineStr">
        <is>
          <t>img_a5ac40eaeb0bb28b</t>
        </is>
      </c>
      <c r="D67" s="3" t="inlineStr">
        <is>
          <t>MINOR</t>
        </is>
      </c>
      <c r="E67" s="3" t="inlineStr">
        <is>
          <t>alt text</t>
        </is>
      </c>
      <c r="F67" s="3" t="inlineStr">
        <is>
          <t>Colorful Elephant Patchwork Quilt displayed in a main product mockup</t>
        </is>
      </c>
      <c r="G67" s="3" t="inlineStr">
        <is>
          <t>Fresh image file: D:\Shopify_Workspace\jeminise_seo\seo_runs\jeminise.com\20260906_234129\qa\20260907_204400\images\138_01.jpg; source URL: https://cdn.shopify.com/s/files/1/0792/5098/1063/files/ea21b70f3fb4642a1043a9903531bdce9cd4becbb80c3e41b039d9210d971bcf.jpg?v=1787233639</t>
        </is>
      </c>
      <c r="H67" s="3" t="inlineStr">
        <is>
          <t>Alt text is too generic or describes placement more than visible content.</t>
        </is>
      </c>
      <c r="I67" s="3" t="inlineStr">
        <is>
          <t>Rewrite observation/alt from the directly opened image, naming the visible motif and use context.</t>
        </is>
      </c>
      <c r="J67" s="3" t="inlineStr">
        <is>
          <t>Fresh image file: D:\Shopify_Workspace\jeminise_seo\seo_runs\jeminise.com\20260906_234129\qa\20260907_204400\images\138_01.jpg; source URL: https://cdn.shopify.com/s/files/1/0792/5098/1063/files/ea21b70f3fb4642a1043a9903531bdce9cd4becbb80c3e41b039d9210d971bcf.jpg?v=1787233639</t>
        </is>
      </c>
      <c r="K67" s="3" t="inlineStr">
        <is>
          <t>The image row accurately describes the actual media at this gallery position.</t>
        </is>
      </c>
    </row>
    <row r="68" ht="84" customHeight="1">
      <c r="A68" s="2" t="inlineStr">
        <is>
          <t>ISSUE-0067</t>
        </is>
      </c>
      <c r="B68" s="2" t="inlineStr">
        <is>
          <t>jeminise.com+elephant-patchwork-pattern-quilt-set-animal-farmhouse-quilt-set</t>
        </is>
      </c>
      <c r="C68" s="2" t="inlineStr">
        <is>
          <t>img_fa328708c5c86c08</t>
        </is>
      </c>
      <c r="D68" s="2" t="inlineStr">
        <is>
          <t>MINOR</t>
        </is>
      </c>
      <c r="E68" s="2" t="inlineStr">
        <is>
          <t>image observation</t>
        </is>
      </c>
      <c r="F68" s="2" t="inlineStr">
        <is>
          <t>Bedding type, feature, lifestyle or material image for colorful elephant patchwork quilt on pale blue background.</t>
        </is>
      </c>
      <c r="G68" s="2" t="inlineStr">
        <is>
          <t>Fresh image file: D:\Shopify_Workspace\jeminise_seo\seo_runs\jeminise.com\20260906_234129\qa\20260907_204400\images\138_03.jpg; source URL: https://cdn.shopify.com/s/files/1/0792/5098/1063/files/7d99617baa0f93bb0e3e6eeeb9da4d686fee8c359b047cbcd724593c750b4c92.jpg?v=1787233639</t>
        </is>
      </c>
      <c r="H68" s="2" t="inlineStr">
        <is>
          <t>Observation is generic or position-based; rewrite from the actual image content.</t>
        </is>
      </c>
      <c r="I68" s="2" t="inlineStr">
        <is>
          <t>Rewrite observation/alt from the directly opened image, naming the visible motif and use context.</t>
        </is>
      </c>
      <c r="J68" s="2" t="inlineStr">
        <is>
          <t>Fresh image file: D:\Shopify_Workspace\jeminise_seo\seo_runs\jeminise.com\20260906_234129\qa\20260907_204400\images\138_03.jpg; source URL: https://cdn.shopify.com/s/files/1/0792/5098/1063/files/7d99617baa0f93bb0e3e6eeeb9da4d686fee8c359b047cbcd724593c750b4c92.jpg?v=1787233639</t>
        </is>
      </c>
      <c r="K68" s="2" t="inlineStr">
        <is>
          <t>The image row accurately describes the actual media at this gallery position.</t>
        </is>
      </c>
    </row>
    <row r="69" ht="84" customHeight="1">
      <c r="A69" s="3" t="inlineStr">
        <is>
          <t>ISSUE-0068</t>
        </is>
      </c>
      <c r="B69" s="3" t="inlineStr">
        <is>
          <t>jeminise.com+elephant-patchwork-pattern-quilt-set-animal-farmhouse-quilt-set</t>
        </is>
      </c>
      <c r="C69" s="3" t="inlineStr">
        <is>
          <t>img_29e935fb6f10d325</t>
        </is>
      </c>
      <c r="D69" s="3" t="inlineStr">
        <is>
          <t>MINOR</t>
        </is>
      </c>
      <c r="E69" s="3" t="inlineStr">
        <is>
          <t>image observation</t>
        </is>
      </c>
      <c r="F69" s="3" t="inlineStr">
        <is>
          <t>Detail, feature panel or lifestyle image connected to colorful elephant patchwork quilt on pale blue background.</t>
        </is>
      </c>
      <c r="G69" s="3" t="inlineStr">
        <is>
          <t>Fresh image file: D:\Shopify_Workspace\jeminise_seo\seo_runs\jeminise.com\20260906_234129\qa\20260907_204400\images\138_04.jpg; source URL: https://cdn.shopify.com/s/files/1/0792/5098/1063/files/bcb9ffb85887fb6246926fc1a9359347a7f3b4ad466c08b45914a19fe4efc322.jpg?v=1787233639</t>
        </is>
      </c>
      <c r="H69" s="3" t="inlineStr">
        <is>
          <t>Observation is generic or position-based; rewrite from the actual image content.</t>
        </is>
      </c>
      <c r="I69" s="3" t="inlineStr">
        <is>
          <t>Rewrite observation/alt from the directly opened image, naming the visible motif and use context.</t>
        </is>
      </c>
      <c r="J69" s="3" t="inlineStr">
        <is>
          <t>Fresh image file: D:\Shopify_Workspace\jeminise_seo\seo_runs\jeminise.com\20260906_234129\qa\20260907_204400\images\138_04.jpg; source URL: https://cdn.shopify.com/s/files/1/0792/5098/1063/files/bcb9ffb85887fb6246926fc1a9359347a7f3b4ad466c08b45914a19fe4efc322.jpg?v=1787233639</t>
        </is>
      </c>
      <c r="K69" s="3" t="inlineStr">
        <is>
          <t>The image row accurately describes the actual media at this gallery position.</t>
        </is>
      </c>
    </row>
    <row r="70" ht="84" customHeight="1">
      <c r="A70" s="2" t="inlineStr">
        <is>
          <t>ISSUE-0069</t>
        </is>
      </c>
      <c r="B70" s="2" t="inlineStr">
        <is>
          <t>jeminise.com+elephant-patchwork-pattern-quilt-set-animal-farmhouse-quilt-set</t>
        </is>
      </c>
      <c r="C70" s="2" t="inlineStr">
        <is>
          <t>img_ecee990ebd97e071</t>
        </is>
      </c>
      <c r="D70" s="2" t="inlineStr">
        <is>
          <t>MINOR</t>
        </is>
      </c>
      <c r="E70" s="2" t="inlineStr">
        <is>
          <t>image observation</t>
        </is>
      </c>
      <c r="F70" s="2" t="inlineStr">
        <is>
          <t>Easy-care, size guide or product feature image for colorful elephant patchwork quilt on pale blue background.</t>
        </is>
      </c>
      <c r="G70" s="2" t="inlineStr">
        <is>
          <t>Fresh image file: D:\Shopify_Workspace\jeminise_seo\seo_runs\jeminise.com\20260906_234129\qa\20260907_204400\images\138_06.jpg; source URL: https://cdn.shopify.com/s/files/1/0792/5098/1063/files/c539c1abde98c909533ca0bf180c5bc8eaa4c7d2f9c823e43199a79296592654.jpg?v=1787233639</t>
        </is>
      </c>
      <c r="H70" s="2" t="inlineStr">
        <is>
          <t>Observation is generic or position-based; rewrite from the actual image content.</t>
        </is>
      </c>
      <c r="I70" s="2" t="inlineStr">
        <is>
          <t>Rewrite observation/alt from the directly opened image, naming the visible motif and use context.</t>
        </is>
      </c>
      <c r="J70" s="2" t="inlineStr">
        <is>
          <t>Fresh image file: D:\Shopify_Workspace\jeminise_seo\seo_runs\jeminise.com\20260906_234129\qa\20260907_204400\images\138_06.jpg; source URL: https://cdn.shopify.com/s/files/1/0792/5098/1063/files/c539c1abde98c909533ca0bf180c5bc8eaa4c7d2f9c823e43199a79296592654.jpg?v=1787233639</t>
        </is>
      </c>
      <c r="K70" s="2" t="inlineStr">
        <is>
          <t>The image row accurately describes the actual media at this gallery position.</t>
        </is>
      </c>
    </row>
    <row r="71" ht="84" customHeight="1">
      <c r="A71" s="3" t="inlineStr">
        <is>
          <t>ISSUE-0070</t>
        </is>
      </c>
      <c r="B71" s="3" t="inlineStr">
        <is>
          <t>jeminise.com+elephant-patchwork-pattern-quilt-set-animal-farmhouse-quilt-set</t>
        </is>
      </c>
      <c r="C71" s="3" t="inlineStr">
        <is>
          <t>img_87c2bab58f0fd659</t>
        </is>
      </c>
      <c r="D71" s="3" t="inlineStr">
        <is>
          <t>MINOR</t>
        </is>
      </c>
      <c r="E71" s="3" t="inlineStr">
        <is>
          <t>image observation</t>
        </is>
      </c>
      <c r="F71" s="3" t="inlineStr">
        <is>
          <t>Additional lifestyle, feature or product detail image showing colorful elephant patchwork quilt on pale blue background.</t>
        </is>
      </c>
      <c r="G71" s="3" t="inlineStr">
        <is>
          <t>Fresh image file: D:\Shopify_Workspace\jeminise_seo\seo_runs\jeminise.com\20260906_234129\qa\20260907_204400\images\138_07.jpg; source URL: https://cdn.shopify.com/s/files/1/0792/5098/1063/files/bc222235af56ffe5c9630d95b7c0ff09cb2b99394f7a459e71bb82a748d22688.jpg?v=1787233639</t>
        </is>
      </c>
      <c r="H71" s="3" t="inlineStr">
        <is>
          <t>Observation is generic or position-based; rewrite from the actual image content.</t>
        </is>
      </c>
      <c r="I71" s="3" t="inlineStr">
        <is>
          <t>Rewrite observation/alt from the directly opened image, naming the visible motif and use context.</t>
        </is>
      </c>
      <c r="J71" s="3" t="inlineStr">
        <is>
          <t>Fresh image file: D:\Shopify_Workspace\jeminise_seo\seo_runs\jeminise.com\20260906_234129\qa\20260907_204400\images\138_07.jpg; source URL: https://cdn.shopify.com/s/files/1/0792/5098/1063/files/bc222235af56ffe5c9630d95b7c0ff09cb2b99394f7a459e71bb82a748d22688.jpg?v=1787233639</t>
        </is>
      </c>
      <c r="K71" s="3" t="inlineStr">
        <is>
          <t>The image row accurately describes the actual media at this gallery position.</t>
        </is>
      </c>
    </row>
    <row r="72" ht="84" customHeight="1">
      <c r="A72" s="2" t="inlineStr">
        <is>
          <t>ISSUE-0071</t>
        </is>
      </c>
      <c r="B72" s="2" t="inlineStr">
        <is>
          <t>jeminise.com+elephant-quilt-set-animal-patchwork-printed-quilt-bedset-patchwork</t>
        </is>
      </c>
      <c r="C72" s="2" t="inlineStr"/>
      <c r="D72" s="2" t="inlineStr">
        <is>
          <t>MAJOR</t>
        </is>
      </c>
      <c r="E72" s="2" t="inlineStr">
        <is>
          <t>description_proposed_html</t>
        </is>
      </c>
      <c r="F72" s="2" t="inlineStr">
        <is>
          <t>&lt;p&gt;This Jeminise quilt set features yellow and white elephant patchwork artwork on navy background with floral accents and matching shams, making it suited for themed decor, sports rooms, garden-inspired spaces or fantasy bedrooms.&lt;/p&gt;&lt;h3&gt;Design Details&lt;/h3&gt;&lt;ul&gt;&lt;li&gt;Visible artwork: yellow and white elephant patchwork artwork on navy background with floral accents and matching shams.&lt;/li&gt;&lt;li&gt;Source product details include: Brand: Jeminise; Produc…</t>
        </is>
      </c>
      <c r="G72" s="2" t="inlineStr">
        <is>
          <t>Draft contains SEO Use / QA approval wording.</t>
        </is>
      </c>
      <c r="H72" s="2" t="inlineStr">
        <is>
          <t>Internal workflow language is not publish-ready storefront copy.</t>
        </is>
      </c>
      <c r="I72" s="2" t="inlineStr">
        <is>
          <t>Remove internal QA/import block and replace with customer-facing verified copy.</t>
        </is>
      </c>
      <c r="J72" s="2" t="inlineStr">
        <is>
          <t>Draft contains SEO Use / QA approval wording.</t>
        </is>
      </c>
      <c r="K72" s="2" t="inlineStr">
        <is>
          <t>Description HTML no longer contains SEO Use, QA, approval, import or draft language.</t>
        </is>
      </c>
    </row>
    <row r="73" ht="84" customHeight="1">
      <c r="A73" s="3" t="inlineStr">
        <is>
          <t>ISSUE-0072</t>
        </is>
      </c>
      <c r="B73" s="3" t="inlineStr">
        <is>
          <t>jeminise.com+elephant-quilt-set-animal-patchwork-printed-quilt-bedset-patchwork</t>
        </is>
      </c>
      <c r="C73" s="3" t="inlineStr"/>
      <c r="D73" s="3" t="inlineStr">
        <is>
          <t>MINOR</t>
        </is>
      </c>
      <c r="E73" s="3" t="inlineStr">
        <is>
          <t>meta_description_seo</t>
        </is>
      </c>
      <c r="F73" s="3" t="inlineStr">
        <is>
          <t>Shop a quilt set featuring yellow and white elephant patchwork artwork on navy background with floral accents and matching shams. Review size and personalization options before checkout.</t>
        </is>
      </c>
      <c r="G73" s="3" t="inlineStr">
        <is>
          <t>Meta description length is 186 characters.</t>
        </is>
      </c>
      <c r="H73" s="3" t="inlineStr">
        <is>
          <t>Likely to truncate in search results and repeats review/personality wording in several rows.</t>
        </is>
      </c>
      <c r="I73" s="3" t="inlineStr">
        <is>
          <t>Rewrite to roughly 145-155 characters while preserving verified design and product type.</t>
        </is>
      </c>
      <c r="J73" s="3" t="inlineStr">
        <is>
          <t>Meta description length is 186 characters.</t>
        </is>
      </c>
      <c r="K73" s="3" t="inlineStr">
        <is>
          <t>Length check &lt;=160 characters and no unsupported claim remains.</t>
        </is>
      </c>
    </row>
    <row r="74" ht="84" customHeight="1">
      <c r="A74" s="2" t="inlineStr">
        <is>
          <t>ISSUE-0073</t>
        </is>
      </c>
      <c r="B74" s="2" t="inlineStr">
        <is>
          <t>jeminise.com+elephant-quilt-set-animal-patchwork-printed-quilt-bedset-patchwork</t>
        </is>
      </c>
      <c r="C74" s="2" t="inlineStr"/>
      <c r="D74" s="2" t="inlineStr">
        <is>
          <t>MAJOR</t>
        </is>
      </c>
      <c r="E74" s="2" t="inlineStr">
        <is>
          <t>keyword_map</t>
        </is>
      </c>
      <c r="F74" s="2" t="inlineStr">
        <is>
          <t>yellow elephant quilt</t>
        </is>
      </c>
      <c r="G74" s="2" t="inlineStr">
        <is>
          <t>https://www.amazon.com/elephant-quilts-queen-size/s?k=elephant+quilts+queen+size; https://ohaprints.com/products/ohaprints-quilt-bed-set-pillowcase-cute-elephant-frame-patchwork-floral-pattern-unique-gift-for-animal-lover-blanket-bedspread-bedding-241; https://www.etsy.com/market/indian_patchwork_elephant_quilt; https://www.amazon.com/elephant-quilts-queen-size/s?k=elephant+quilts+queen+size; https://ohaprints.com/products/ohaprints-quilt-bed-se…</t>
        </is>
      </c>
      <c r="H74" s="2" t="inlineStr">
        <is>
          <t>Batch cluster contains several very similar products, so keyword/intent differentiation must be sharper.</t>
        </is>
      </c>
      <c r="I74" s="2" t="inlineStr">
        <is>
          <t>Add unique visible motif modifiers and avoid assigning the same generic product keyword to multiple URLs.</t>
        </is>
      </c>
      <c r="J74" s="2" t="inlineStr">
        <is>
          <t>https://www.amazon.com/elephant-quilts-queen-size/s?k=elephant+quilts+queen+size; https://ohaprints.com/products/ohaprints-quilt-bed-set-pillowcase-cute-elephant-frame-patchwork-floral-pattern-unique-gift-for-animal-lover-blanket-bedspread-bedding-241; https://www.etsy.com/market/indian_patchwork_elephant_quilt; https://www.amazon.com/elephant-quilts-queen-size/s?k=elephant+quilts+queen+size; https://ohaprints.com/products/ohaprints-quilt-bed-se…</t>
        </is>
      </c>
      <c r="K74" s="2" t="inlineStr">
        <is>
          <t>SERP notes and title/meta show a distinct product-level query for this exact design.</t>
        </is>
      </c>
    </row>
    <row r="75" ht="84" customHeight="1">
      <c r="A75" s="3" t="inlineStr">
        <is>
          <t>ISSUE-0074</t>
        </is>
      </c>
      <c r="B75" s="3" t="inlineStr">
        <is>
          <t>jeminise.com+elephant-quilt-set-animal-patchwork-printed-quilt-bedset-patchwork</t>
        </is>
      </c>
      <c r="C75" s="3" t="inlineStr"/>
      <c r="D75" s="3" t="inlineStr">
        <is>
          <t>LIMITATION</t>
        </is>
      </c>
      <c r="E75" s="3" t="inlineStr">
        <is>
          <t>keyword_evidence_level</t>
        </is>
      </c>
      <c r="F75" s="3" t="inlineStr">
        <is>
          <t>SERP_ONLY</t>
        </is>
      </c>
      <c r="G75" s="3" t="inlineStr">
        <is>
          <t>Only public SERP comparables are available.</t>
        </is>
      </c>
      <c r="H75" s="3" t="inlineStr">
        <is>
          <t>No Search Console, paid keyword volume or internal site search export was supplied.</t>
        </is>
      </c>
      <c r="I75" s="3" t="inlineStr">
        <is>
          <t>Keep demand statements qualitative; do not claim volume or ranking potential.</t>
        </is>
      </c>
      <c r="J75" s="3" t="inlineStr">
        <is>
          <t>Only public SERP comparables are available.</t>
        </is>
      </c>
      <c r="K75" s="3" t="inlineStr">
        <is>
          <t>Additional first-party or paid keyword evidence is attached, or limitation remains documented.</t>
        </is>
      </c>
    </row>
    <row r="76" ht="84" customHeight="1">
      <c r="A76" s="2" t="inlineStr">
        <is>
          <t>ISSUE-0075</t>
        </is>
      </c>
      <c r="B76" s="2" t="inlineStr">
        <is>
          <t>jeminise.com+elephant-quilt-set-animal-patchwork-printed-quilt-bedset-patchwork</t>
        </is>
      </c>
      <c r="C76" s="2" t="inlineStr">
        <is>
          <t>img_9a101c6709d8d942</t>
        </is>
      </c>
      <c r="D76" s="2" t="inlineStr">
        <is>
          <t>MINOR</t>
        </is>
      </c>
      <c r="E76" s="2" t="inlineStr">
        <is>
          <t>alt text</t>
        </is>
      </c>
      <c r="F76" s="2" t="inlineStr">
        <is>
          <t>Navy Yellow Elephant Patchwork Quilt displayed in a main product mockup</t>
        </is>
      </c>
      <c r="G76" s="2" t="inlineStr">
        <is>
          <t>Fresh image file: D:\Shopify_Workspace\jeminise_seo\seo_runs\jeminise.com\20260906_234129\qa\20260907_204400\images\139_01.jpg; source URL: https://cdn.shopify.com/s/files/1/0792/5098/1063/files/e3eaedebd00b476d6c6e0385f4c3d5cb3a23400badf1571d38c57295349d8397.jpg?v=1787233736</t>
        </is>
      </c>
      <c r="H76" s="2" t="inlineStr">
        <is>
          <t>Alt text is too generic or describes placement more than visible content.</t>
        </is>
      </c>
      <c r="I76" s="2" t="inlineStr">
        <is>
          <t>Rewrite observation/alt from the directly opened image, naming the visible motif and use context.</t>
        </is>
      </c>
      <c r="J76" s="2" t="inlineStr">
        <is>
          <t>Fresh image file: D:\Shopify_Workspace\jeminise_seo\seo_runs\jeminise.com\20260906_234129\qa\20260907_204400\images\139_01.jpg; source URL: https://cdn.shopify.com/s/files/1/0792/5098/1063/files/e3eaedebd00b476d6c6e0385f4c3d5cb3a23400badf1571d38c57295349d8397.jpg?v=1787233736</t>
        </is>
      </c>
      <c r="K76" s="2" t="inlineStr">
        <is>
          <t>The image row accurately describes the actual media at this gallery position.</t>
        </is>
      </c>
    </row>
    <row r="77" ht="84" customHeight="1">
      <c r="A77" s="3" t="inlineStr">
        <is>
          <t>ISSUE-0076</t>
        </is>
      </c>
      <c r="B77" s="3" t="inlineStr">
        <is>
          <t>jeminise.com+elephant-quilt-set-animal-patchwork-printed-quilt-bedset-patchwork</t>
        </is>
      </c>
      <c r="C77" s="3" t="inlineStr">
        <is>
          <t>img_a1faabe1092e082a</t>
        </is>
      </c>
      <c r="D77" s="3" t="inlineStr">
        <is>
          <t>MINOR</t>
        </is>
      </c>
      <c r="E77" s="3" t="inlineStr">
        <is>
          <t>image observation</t>
        </is>
      </c>
      <c r="F77" s="3" t="inlineStr">
        <is>
          <t>Bedding type, feature, lifestyle or material image for navy yellow elephant floral patchwork quilt.</t>
        </is>
      </c>
      <c r="G77" s="3" t="inlineStr">
        <is>
          <t>Fresh image file: D:\Shopify_Workspace\jeminise_seo\seo_runs\jeminise.com\20260906_234129\qa\20260907_204400\images\139_03.jpg; source URL: https://cdn.shopify.com/s/files/1/0792/5098/1063/files/7b865b58073800edf124742c2b25434a7997c8fd66561c116e5e753e2063a5f0.jpg?v=1787233736</t>
        </is>
      </c>
      <c r="H77" s="3" t="inlineStr">
        <is>
          <t>Observation is generic or position-based; rewrite from the actual image content.</t>
        </is>
      </c>
      <c r="I77" s="3" t="inlineStr">
        <is>
          <t>Rewrite observation/alt from the directly opened image, naming the visible motif and use context.</t>
        </is>
      </c>
      <c r="J77" s="3" t="inlineStr">
        <is>
          <t>Fresh image file: D:\Shopify_Workspace\jeminise_seo\seo_runs\jeminise.com\20260906_234129\qa\20260907_204400\images\139_03.jpg; source URL: https://cdn.shopify.com/s/files/1/0792/5098/1063/files/7b865b58073800edf124742c2b25434a7997c8fd66561c116e5e753e2063a5f0.jpg?v=1787233736</t>
        </is>
      </c>
      <c r="K77" s="3" t="inlineStr">
        <is>
          <t>The image row accurately describes the actual media at this gallery position.</t>
        </is>
      </c>
    </row>
    <row r="78" ht="84" customHeight="1">
      <c r="A78" s="2" t="inlineStr">
        <is>
          <t>ISSUE-0077</t>
        </is>
      </c>
      <c r="B78" s="2" t="inlineStr">
        <is>
          <t>jeminise.com+elephant-quilt-set-animal-patchwork-printed-quilt-bedset-patchwork</t>
        </is>
      </c>
      <c r="C78" s="2" t="inlineStr">
        <is>
          <t>img_731a5b67d55133b1</t>
        </is>
      </c>
      <c r="D78" s="2" t="inlineStr">
        <is>
          <t>MINOR</t>
        </is>
      </c>
      <c r="E78" s="2" t="inlineStr">
        <is>
          <t>image observation</t>
        </is>
      </c>
      <c r="F78" s="2" t="inlineStr">
        <is>
          <t>Detail, feature panel or lifestyle image connected to navy yellow elephant floral patchwork quilt.</t>
        </is>
      </c>
      <c r="G78" s="2" t="inlineStr">
        <is>
          <t>Fresh image file: D:\Shopify_Workspace\jeminise_seo\seo_runs\jeminise.com\20260906_234129\qa\20260907_204400\images\139_04.jpg; source URL: https://cdn.shopify.com/s/files/1/0792/5098/1063/files/1714756ab5b54fd2bf88e881b17a4f42d6d868a0ab243f06e8e40b23aa3cee80.jpg?v=1787233736</t>
        </is>
      </c>
      <c r="H78" s="2" t="inlineStr">
        <is>
          <t>Observation is generic or position-based; rewrite from the actual image content.</t>
        </is>
      </c>
      <c r="I78" s="2" t="inlineStr">
        <is>
          <t>Rewrite observation/alt from the directly opened image, naming the visible motif and use context.</t>
        </is>
      </c>
      <c r="J78" s="2" t="inlineStr">
        <is>
          <t>Fresh image file: D:\Shopify_Workspace\jeminise_seo\seo_runs\jeminise.com\20260906_234129\qa\20260907_204400\images\139_04.jpg; source URL: https://cdn.shopify.com/s/files/1/0792/5098/1063/files/1714756ab5b54fd2bf88e881b17a4f42d6d868a0ab243f06e8e40b23aa3cee80.jpg?v=1787233736</t>
        </is>
      </c>
      <c r="K78" s="2" t="inlineStr">
        <is>
          <t>The image row accurately describes the actual media at this gallery position.</t>
        </is>
      </c>
    </row>
    <row r="79" ht="84" customHeight="1">
      <c r="A79" s="3" t="inlineStr">
        <is>
          <t>ISSUE-0078</t>
        </is>
      </c>
      <c r="B79" s="3" t="inlineStr">
        <is>
          <t>jeminise.com+elephant-quilt-set-animal-patchwork-printed-quilt-bedset-patchwork</t>
        </is>
      </c>
      <c r="C79" s="3" t="inlineStr">
        <is>
          <t>img_47922f735e7d2a24</t>
        </is>
      </c>
      <c r="D79" s="3" t="inlineStr">
        <is>
          <t>MINOR</t>
        </is>
      </c>
      <c r="E79" s="3" t="inlineStr">
        <is>
          <t>image observation</t>
        </is>
      </c>
      <c r="F79" s="3" t="inlineStr">
        <is>
          <t>Easy-care, size guide or product feature image for navy yellow elephant floral patchwork quilt.</t>
        </is>
      </c>
      <c r="G79" s="3" t="inlineStr">
        <is>
          <t>Fresh image file: D:\Shopify_Workspace\jeminise_seo\seo_runs\jeminise.com\20260906_234129\qa\20260907_204400\images\139_06.jpg; source URL: https://cdn.shopify.com/s/files/1/0792/5098/1063/files/1a2a46dacc66d77518c316b048185b1a4e10d871e5e5cf6fe383ead3b2ef3bae.jpg?v=1787233736</t>
        </is>
      </c>
      <c r="H79" s="3" t="inlineStr">
        <is>
          <t>Observation is generic or position-based; rewrite from the actual image content.</t>
        </is>
      </c>
      <c r="I79" s="3" t="inlineStr">
        <is>
          <t>Rewrite observation/alt from the directly opened image, naming the visible motif and use context.</t>
        </is>
      </c>
      <c r="J79" s="3" t="inlineStr">
        <is>
          <t>Fresh image file: D:\Shopify_Workspace\jeminise_seo\seo_runs\jeminise.com\20260906_234129\qa\20260907_204400\images\139_06.jpg; source URL: https://cdn.shopify.com/s/files/1/0792/5098/1063/files/1a2a46dacc66d77518c316b048185b1a4e10d871e5e5cf6fe383ead3b2ef3bae.jpg?v=1787233736</t>
        </is>
      </c>
      <c r="K79" s="3" t="inlineStr">
        <is>
          <t>The image row accurately describes the actual media at this gallery position.</t>
        </is>
      </c>
    </row>
    <row r="80" ht="84" customHeight="1">
      <c r="A80" s="2" t="inlineStr">
        <is>
          <t>ISSUE-0079</t>
        </is>
      </c>
      <c r="B80" s="2" t="inlineStr">
        <is>
          <t>jeminise.com+elephant-quilt-set-animal-patchwork-printed-quilt-bedset-patchwork</t>
        </is>
      </c>
      <c r="C80" s="2" t="inlineStr">
        <is>
          <t>img_91d551d6a424fc18</t>
        </is>
      </c>
      <c r="D80" s="2" t="inlineStr">
        <is>
          <t>MINOR</t>
        </is>
      </c>
      <c r="E80" s="2" t="inlineStr">
        <is>
          <t>image observation</t>
        </is>
      </c>
      <c r="F80" s="2" t="inlineStr">
        <is>
          <t>Additional lifestyle, feature or product detail image showing navy yellow elephant floral patchwork quilt.</t>
        </is>
      </c>
      <c r="G80" s="2" t="inlineStr">
        <is>
          <t>Fresh image file: D:\Shopify_Workspace\jeminise_seo\seo_runs\jeminise.com\20260906_234129\qa\20260907_204400\images\139_07.jpg; source URL: https://cdn.shopify.com/s/files/1/0792/5098/1063/files/c2f3c3e81644ced7fdd5e714260e05a33a17b6b56422dba7ed9551059f2d3de7.jpg?v=1787233736</t>
        </is>
      </c>
      <c r="H80" s="2" t="inlineStr">
        <is>
          <t>Observation is generic or position-based; rewrite from the actual image content.</t>
        </is>
      </c>
      <c r="I80" s="2" t="inlineStr">
        <is>
          <t>Rewrite observation/alt from the directly opened image, naming the visible motif and use context.</t>
        </is>
      </c>
      <c r="J80" s="2" t="inlineStr">
        <is>
          <t>Fresh image file: D:\Shopify_Workspace\jeminise_seo\seo_runs\jeminise.com\20260906_234129\qa\20260907_204400\images\139_07.jpg; source URL: https://cdn.shopify.com/s/files/1/0792/5098/1063/files/c2f3c3e81644ced7fdd5e714260e05a33a17b6b56422dba7ed9551059f2d3de7.jpg?v=1787233736</t>
        </is>
      </c>
      <c r="K80" s="2" t="inlineStr">
        <is>
          <t>The image row accurately describes the actual media at this gallery position.</t>
        </is>
      </c>
    </row>
    <row r="81" ht="84" customHeight="1">
      <c r="A81" s="3" t="inlineStr">
        <is>
          <t>ISSUE-0080</t>
        </is>
      </c>
      <c r="B81" s="3" t="inlineStr">
        <is>
          <t>jeminise.com+fantasy-art-fantasy-dragon-comforter-set-with-dragon-scales-and-bedroom-setting-239aaba3e2-239aaba3e2</t>
        </is>
      </c>
      <c r="C81" s="3" t="inlineStr"/>
      <c r="D81" s="3" t="inlineStr">
        <is>
          <t>MAJOR</t>
        </is>
      </c>
      <c r="E81" s="3" t="inlineStr">
        <is>
          <t>description_proposed_html</t>
        </is>
      </c>
      <c r="F81" s="3" t="inlineStr">
        <is>
          <t>&lt;p&gt;This Jeminise quilt set features large rainbow fantasy dragon head with blue, purple, orange and gold scales on a quilt set, making it suited for themed decor, sports rooms, garden-inspired spaces or fantasy bedrooms.&lt;/p&gt;&lt;h3&gt;Design Details&lt;/h3&gt;&lt;ul&gt;&lt;li&gt;Visible artwork: large rainbow fantasy dragon head with blue, purple, orange and gold scales on a quilt set.&lt;/li&gt;&lt;li&gt;Source product details include: Brand: Jeminise; Product Type: Quilt Set; Mat…</t>
        </is>
      </c>
      <c r="G81" s="3" t="inlineStr">
        <is>
          <t>Draft contains SEO Use / QA approval wording.</t>
        </is>
      </c>
      <c r="H81" s="3" t="inlineStr">
        <is>
          <t>Internal workflow language is not publish-ready storefront copy.</t>
        </is>
      </c>
      <c r="I81" s="3" t="inlineStr">
        <is>
          <t>Remove internal QA/import block and replace with customer-facing verified copy.</t>
        </is>
      </c>
      <c r="J81" s="3" t="inlineStr">
        <is>
          <t>Draft contains SEO Use / QA approval wording.</t>
        </is>
      </c>
      <c r="K81" s="3" t="inlineStr">
        <is>
          <t>Description HTML no longer contains SEO Use, QA, approval, import or draft language.</t>
        </is>
      </c>
    </row>
    <row r="82" ht="84" customHeight="1">
      <c r="A82" s="2" t="inlineStr">
        <is>
          <t>ISSUE-0081</t>
        </is>
      </c>
      <c r="B82" s="2" t="inlineStr">
        <is>
          <t>jeminise.com+fantasy-art-fantasy-dragon-comforter-set-with-dragon-scales-and-bedroom-setting-239aaba3e2-239aaba3e2</t>
        </is>
      </c>
      <c r="C82" s="2" t="inlineStr"/>
      <c r="D82" s="2" t="inlineStr">
        <is>
          <t>MINOR</t>
        </is>
      </c>
      <c r="E82" s="2" t="inlineStr">
        <is>
          <t>meta_description_seo</t>
        </is>
      </c>
      <c r="F82" s="2" t="inlineStr">
        <is>
          <t>Shop a quilt set featuring large rainbow fantasy dragon head with blue, purple, orange and gold scales on a quilt set. Review size and personalization options before checkout.</t>
        </is>
      </c>
      <c r="G82" s="2" t="inlineStr">
        <is>
          <t>Meta description length is 175 characters.</t>
        </is>
      </c>
      <c r="H82" s="2" t="inlineStr">
        <is>
          <t>Likely to truncate in search results and repeats review/personality wording in several rows.</t>
        </is>
      </c>
      <c r="I82" s="2" t="inlineStr">
        <is>
          <t>Rewrite to roughly 145-155 characters while preserving verified design and product type.</t>
        </is>
      </c>
      <c r="J82" s="2" t="inlineStr">
        <is>
          <t>Meta description length is 175 characters.</t>
        </is>
      </c>
      <c r="K82" s="2" t="inlineStr">
        <is>
          <t>Length check &lt;=160 characters and no unsupported claim remains.</t>
        </is>
      </c>
    </row>
    <row r="83" ht="84" customHeight="1">
      <c r="A83" s="3" t="inlineStr">
        <is>
          <t>ISSUE-0082</t>
        </is>
      </c>
      <c r="B83" s="3" t="inlineStr">
        <is>
          <t>jeminise.com+fantasy-art-fantasy-dragon-comforter-set-with-dragon-scales-and-bedroom-setting-239aaba3e2-239aaba3e2</t>
        </is>
      </c>
      <c r="C83" s="3" t="inlineStr"/>
      <c r="D83" s="3" t="inlineStr">
        <is>
          <t>MAJOR</t>
        </is>
      </c>
      <c r="E83" s="3" t="inlineStr">
        <is>
          <t>keyword_map</t>
        </is>
      </c>
      <c r="F83" s="3" t="inlineStr">
        <is>
          <t>fantasy dragon quilt</t>
        </is>
      </c>
      <c r="G83" s="3" t="inlineStr">
        <is>
          <t>https://www.amazon.com/Dragon-Quilt-Set-Bedding-Comforter/dp/B0DJFG276X; https://www.pinterest.com/pin/turquoise-dragon-scales-pattern-print-duvet-cover-bedding-set--143059725653473167/; https://www.wayfair.com/; https://www.amazon.com/Dragon-Quilt-Set-Bedding-Comforter/dp/B0DJFG276X; https://www.pinterest.com/pin/turquoise-dragon-scales-pattern-print-duvet-cover-bedding-set--143059725653473167/; https://www.wayfair.com/</t>
        </is>
      </c>
      <c r="H83" s="3" t="inlineStr">
        <is>
          <t>Batch cluster contains several very similar products, so keyword/intent differentiation must be sharper.</t>
        </is>
      </c>
      <c r="I83" s="3" t="inlineStr">
        <is>
          <t>Add unique visible motif modifiers and avoid assigning the same generic product keyword to multiple URLs.</t>
        </is>
      </c>
      <c r="J83" s="3" t="inlineStr">
        <is>
          <t>https://www.amazon.com/Dragon-Quilt-Set-Bedding-Comforter/dp/B0DJFG276X; https://www.pinterest.com/pin/turquoise-dragon-scales-pattern-print-duvet-cover-bedding-set--143059725653473167/; https://www.wayfair.com/; https://www.amazon.com/Dragon-Quilt-Set-Bedding-Comforter/dp/B0DJFG276X; https://www.pinterest.com/pin/turquoise-dragon-scales-pattern-print-duvet-cover-bedding-set--143059725653473167/; https://www.wayfair.com/</t>
        </is>
      </c>
      <c r="K83" s="3" t="inlineStr">
        <is>
          <t>SERP notes and title/meta show a distinct product-level query for this exact design.</t>
        </is>
      </c>
    </row>
    <row r="84" ht="84" customHeight="1">
      <c r="A84" s="2" t="inlineStr">
        <is>
          <t>ISSUE-0083</t>
        </is>
      </c>
      <c r="B84" s="2" t="inlineStr">
        <is>
          <t>jeminise.com+fantasy-art-fantasy-dragon-comforter-set-with-dragon-scales-and-bedroom-setting-239aaba3e2-239aaba3e2</t>
        </is>
      </c>
      <c r="C84" s="2" t="inlineStr"/>
      <c r="D84" s="2" t="inlineStr">
        <is>
          <t>LIMITATION</t>
        </is>
      </c>
      <c r="E84" s="2" t="inlineStr">
        <is>
          <t>keyword_evidence_level</t>
        </is>
      </c>
      <c r="F84" s="2" t="inlineStr">
        <is>
          <t>SERP_ONLY</t>
        </is>
      </c>
      <c r="G84" s="2" t="inlineStr">
        <is>
          <t>Only public SERP comparables are available.</t>
        </is>
      </c>
      <c r="H84" s="2" t="inlineStr">
        <is>
          <t>No Search Console, paid keyword volume or internal site search export was supplied.</t>
        </is>
      </c>
      <c r="I84" s="2" t="inlineStr">
        <is>
          <t>Keep demand statements qualitative; do not claim volume or ranking potential.</t>
        </is>
      </c>
      <c r="J84" s="2" t="inlineStr">
        <is>
          <t>Only public SERP comparables are available.</t>
        </is>
      </c>
      <c r="K84" s="2" t="inlineStr">
        <is>
          <t>Additional first-party or paid keyword evidence is attached, or limitation remains documented.</t>
        </is>
      </c>
    </row>
    <row r="85" ht="84" customHeight="1">
      <c r="A85" s="3" t="inlineStr">
        <is>
          <t>ISSUE-0084</t>
        </is>
      </c>
      <c r="B85" s="3" t="inlineStr">
        <is>
          <t>jeminise.com+fantasy-art-fantasy-dragon-comforter-set-with-dragon-scales-and-bedroom-setting-239aaba3e2-239aaba3e2</t>
        </is>
      </c>
      <c r="C85" s="3" t="inlineStr">
        <is>
          <t>img_eeb9a2dee157721d</t>
        </is>
      </c>
      <c r="D85" s="3" t="inlineStr">
        <is>
          <t>MINOR</t>
        </is>
      </c>
      <c r="E85" s="3" t="inlineStr">
        <is>
          <t>alt text</t>
        </is>
      </c>
      <c r="F85" s="3" t="inlineStr">
        <is>
          <t>Rainbow Fantasy Dragon Quilt Set displayed in a main product mockup</t>
        </is>
      </c>
      <c r="G85" s="3" t="inlineStr">
        <is>
          <t>Fresh image file: D:\Shopify_Workspace\jeminise_seo\seo_runs\jeminise.com\20260906_234129\qa\20260907_204400\images\140_01.jpg; source URL: https://cdn.shopify.com/s/files/1/0792/5098/1063/files/0b127d2469cd13b91c34f523d93af494f30715233b3225786c6ec2936379f6e6.jpg?v=1785046392</t>
        </is>
      </c>
      <c r="H85" s="3" t="inlineStr">
        <is>
          <t>Alt text is too generic or describes placement more than visible content.</t>
        </is>
      </c>
      <c r="I85" s="3" t="inlineStr">
        <is>
          <t>Rewrite observation/alt from the directly opened image, naming the visible motif and use context.</t>
        </is>
      </c>
      <c r="J85" s="3" t="inlineStr">
        <is>
          <t>Fresh image file: D:\Shopify_Workspace\jeminise_seo\seo_runs\jeminise.com\20260906_234129\qa\20260907_204400\images\140_01.jpg; source URL: https://cdn.shopify.com/s/files/1/0792/5098/1063/files/0b127d2469cd13b91c34f523d93af494f30715233b3225786c6ec2936379f6e6.jpg?v=1785046392</t>
        </is>
      </c>
      <c r="K85" s="3" t="inlineStr">
        <is>
          <t>The image row accurately describes the actual media at this gallery position.</t>
        </is>
      </c>
    </row>
    <row r="86" ht="84" customHeight="1">
      <c r="A86" s="2" t="inlineStr">
        <is>
          <t>ISSUE-0085</t>
        </is>
      </c>
      <c r="B86" s="2" t="inlineStr">
        <is>
          <t>jeminise.com+fantasy-art-fantasy-dragon-comforter-set-with-dragon-scales-and-bedroom-setting-239aaba3e2-239aaba3e2</t>
        </is>
      </c>
      <c r="C86" s="2" t="inlineStr">
        <is>
          <t>img_1bc6d8179983d7e8</t>
        </is>
      </c>
      <c r="D86" s="2" t="inlineStr">
        <is>
          <t>MINOR</t>
        </is>
      </c>
      <c r="E86" s="2" t="inlineStr">
        <is>
          <t>image observation</t>
        </is>
      </c>
      <c r="F86" s="2" t="inlineStr">
        <is>
          <t>Bedding type, feature, lifestyle or material image for rainbow fantasy dragon quilt set.</t>
        </is>
      </c>
      <c r="G86" s="2" t="inlineStr">
        <is>
          <t>Fresh image file: D:\Shopify_Workspace\jeminise_seo\seo_runs\jeminise.com\20260906_234129\qa\20260907_204400\images\140_03.jpg; source URL: https://cdn.shopify.com/s/files/1/0792/5098/1063/files/bce3bf4b6938e7c5326d2e2c083e2889a5fb762d01c1338bd921e2802bcc1821.jpg?v=1785046392</t>
        </is>
      </c>
      <c r="H86" s="2" t="inlineStr">
        <is>
          <t>Observation is generic or position-based; rewrite from the actual image content.</t>
        </is>
      </c>
      <c r="I86" s="2" t="inlineStr">
        <is>
          <t>Rewrite observation/alt from the directly opened image, naming the visible motif and use context.</t>
        </is>
      </c>
      <c r="J86" s="2" t="inlineStr">
        <is>
          <t>Fresh image file: D:\Shopify_Workspace\jeminise_seo\seo_runs\jeminise.com\20260906_234129\qa\20260907_204400\images\140_03.jpg; source URL: https://cdn.shopify.com/s/files/1/0792/5098/1063/files/bce3bf4b6938e7c5326d2e2c083e2889a5fb762d01c1338bd921e2802bcc1821.jpg?v=1785046392</t>
        </is>
      </c>
      <c r="K86" s="2" t="inlineStr">
        <is>
          <t>The image row accurately describes the actual media at this gallery position.</t>
        </is>
      </c>
    </row>
    <row r="87" ht="84" customHeight="1">
      <c r="A87" s="3" t="inlineStr">
        <is>
          <t>ISSUE-0086</t>
        </is>
      </c>
      <c r="B87" s="3" t="inlineStr">
        <is>
          <t>jeminise.com+fantasy-art-fantasy-dragon-comforter-set-with-dragon-scales-and-bedroom-setting-239aaba3e2-239aaba3e2</t>
        </is>
      </c>
      <c r="C87" s="3" t="inlineStr">
        <is>
          <t>img_56c01551458b6c5c</t>
        </is>
      </c>
      <c r="D87" s="3" t="inlineStr">
        <is>
          <t>MINOR</t>
        </is>
      </c>
      <c r="E87" s="3" t="inlineStr">
        <is>
          <t>image observation</t>
        </is>
      </c>
      <c r="F87" s="3" t="inlineStr">
        <is>
          <t>Detail, feature panel or lifestyle image connected to rainbow fantasy dragon quilt set.</t>
        </is>
      </c>
      <c r="G87" s="3" t="inlineStr">
        <is>
          <t>Fresh image file: D:\Shopify_Workspace\jeminise_seo\seo_runs\jeminise.com\20260906_234129\qa\20260907_204400\images\140_04.jpg; source URL: https://cdn.shopify.com/s/files/1/0792/5098/1063/files/913a85a20019443134aa05bb95bd3325ca109d70bb625d4fd46ad44c692ceba4.jpg?v=1785046392</t>
        </is>
      </c>
      <c r="H87" s="3" t="inlineStr">
        <is>
          <t>Observation is generic or position-based; rewrite from the actual image content.</t>
        </is>
      </c>
      <c r="I87" s="3" t="inlineStr">
        <is>
          <t>Rewrite observation/alt from the directly opened image, naming the visible motif and use context.</t>
        </is>
      </c>
      <c r="J87" s="3" t="inlineStr">
        <is>
          <t>Fresh image file: D:\Shopify_Workspace\jeminise_seo\seo_runs\jeminise.com\20260906_234129\qa\20260907_204400\images\140_04.jpg; source URL: https://cdn.shopify.com/s/files/1/0792/5098/1063/files/913a85a20019443134aa05bb95bd3325ca109d70bb625d4fd46ad44c692ceba4.jpg?v=1785046392</t>
        </is>
      </c>
      <c r="K87" s="3" t="inlineStr">
        <is>
          <t>The image row accurately describes the actual media at this gallery position.</t>
        </is>
      </c>
    </row>
    <row r="88" ht="84" customHeight="1">
      <c r="A88" s="2" t="inlineStr">
        <is>
          <t>ISSUE-0087</t>
        </is>
      </c>
      <c r="B88" s="2" t="inlineStr">
        <is>
          <t>jeminise.com+fantasy-art-fantasy-dragon-comforter-set-with-dragon-scales-and-bedroom-setting-239aaba3e2-239aaba3e2</t>
        </is>
      </c>
      <c r="C88" s="2" t="inlineStr">
        <is>
          <t>img_56ebd23a03b2eb6a</t>
        </is>
      </c>
      <c r="D88" s="2" t="inlineStr">
        <is>
          <t>MINOR</t>
        </is>
      </c>
      <c r="E88" s="2" t="inlineStr">
        <is>
          <t>image observation</t>
        </is>
      </c>
      <c r="F88" s="2" t="inlineStr">
        <is>
          <t>Easy-care, size guide or product feature image for rainbow fantasy dragon quilt set.</t>
        </is>
      </c>
      <c r="G88" s="2" t="inlineStr">
        <is>
          <t>Fresh image file: D:\Shopify_Workspace\jeminise_seo\seo_runs\jeminise.com\20260906_234129\qa\20260907_204400\images\140_06.jpg; source URL: https://cdn.shopify.com/s/files/1/0792/5098/1063/files/3ed1b45bd53388072c20fce313e88ba9b72b35873172eeb3b0126cb7e9fa31f2.jpg?v=1785046392</t>
        </is>
      </c>
      <c r="H88" s="2" t="inlineStr">
        <is>
          <t>Observation is generic or position-based; rewrite from the actual image content.</t>
        </is>
      </c>
      <c r="I88" s="2" t="inlineStr">
        <is>
          <t>Rewrite observation/alt from the directly opened image, naming the visible motif and use context.</t>
        </is>
      </c>
      <c r="J88" s="2" t="inlineStr">
        <is>
          <t>Fresh image file: D:\Shopify_Workspace\jeminise_seo\seo_runs\jeminise.com\20260906_234129\qa\20260907_204400\images\140_06.jpg; source URL: https://cdn.shopify.com/s/files/1/0792/5098/1063/files/3ed1b45bd53388072c20fce313e88ba9b72b35873172eeb3b0126cb7e9fa31f2.jpg?v=1785046392</t>
        </is>
      </c>
      <c r="K88" s="2" t="inlineStr">
        <is>
          <t>The image row accurately describes the actual media at this gallery position.</t>
        </is>
      </c>
    </row>
    <row r="89" ht="84" customHeight="1">
      <c r="A89" s="3" t="inlineStr">
        <is>
          <t>ISSUE-0088</t>
        </is>
      </c>
      <c r="B89" s="3" t="inlineStr">
        <is>
          <t>jeminise.com+fantasy-art-fantasy-dragon-comforter-set-with-dragon-scales-and-bedroom-setting-239aaba3e2-239aaba3e2</t>
        </is>
      </c>
      <c r="C89" s="3" t="inlineStr">
        <is>
          <t>img_774158b73ccd936b</t>
        </is>
      </c>
      <c r="D89" s="3" t="inlineStr">
        <is>
          <t>MINOR</t>
        </is>
      </c>
      <c r="E89" s="3" t="inlineStr">
        <is>
          <t>image observation</t>
        </is>
      </c>
      <c r="F89" s="3" t="inlineStr">
        <is>
          <t>Additional lifestyle, feature or product detail image showing rainbow fantasy dragon quilt set.</t>
        </is>
      </c>
      <c r="G89" s="3" t="inlineStr">
        <is>
          <t>Fresh image file: D:\Shopify_Workspace\jeminise_seo\seo_runs\jeminise.com\20260906_234129\qa\20260907_204400\images\140_07.jpg; source URL: https://cdn.shopify.com/s/files/1/0792/5098/1063/files/4d14dc6755499a28174bac1d0b51faaaf6efd21fb9072bb076b1bce90f924b9b.jpg?v=1785046392</t>
        </is>
      </c>
      <c r="H89" s="3" t="inlineStr">
        <is>
          <t>Observation is generic or position-based; rewrite from the actual image content.</t>
        </is>
      </c>
      <c r="I89" s="3" t="inlineStr">
        <is>
          <t>Rewrite observation/alt from the directly opened image, naming the visible motif and use context.</t>
        </is>
      </c>
      <c r="J89" s="3" t="inlineStr">
        <is>
          <t>Fresh image file: D:\Shopify_Workspace\jeminise_seo\seo_runs\jeminise.com\20260906_234129\qa\20260907_204400\images\140_07.jpg; source URL: https://cdn.shopify.com/s/files/1/0792/5098/1063/files/4d14dc6755499a28174bac1d0b51faaaf6efd21fb9072bb076b1bce90f924b9b.jpg?v=1785046392</t>
        </is>
      </c>
      <c r="K89" s="3" t="inlineStr">
        <is>
          <t>The image row accurately describes the actual media at this gallery position.</t>
        </is>
      </c>
    </row>
  </sheetData>
  <autoFilter ref="A1:K89"/>
  <conditionalFormatting sqref="D2:D89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2026-09-07T13:46:57Z</dcterms:created>
  <dcterms:modified xmlns:dcterms="http://purl.org/dc/terms/" xmlns:xsi="http://www.w3.org/2001/XMLSchema-instance" xsi:type="dcterms:W3CDTF">2026-09-07T13:46:57Z</dcterms:modified>
</cp:coreProperties>
</file>