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1"/>
    </font>
  </fonts>
  <fills count="3">
    <fill>
      <patternFill/>
    </fill>
    <fill>
      <patternFill patternType="gray125"/>
    </fill>
    <fill>
      <patternFill patternType="solid">
        <fgColor rgb="001B365D"/>
        <bgColor rgb="001B365D"/>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39" customWidth="1" min="3" max="3"/>
    <col width="16" customWidth="1" min="4" max="4"/>
    <col width="12" customWidth="1" min="5" max="5"/>
    <col width="14" customWidth="1" min="6" max="6"/>
    <col width="17" customWidth="1" min="7" max="7"/>
    <col width="15" customWidth="1" min="8" max="8"/>
    <col width="18" customWidth="1" min="9" max="9"/>
    <col width="31" customWidth="1" min="10" max="10"/>
    <col width="56" customWidth="1" min="11" max="11"/>
    <col width="41" customWidth="1" min="12" max="12"/>
    <col width="43" customWidth="1" min="13" max="13"/>
    <col width="41" customWidth="1" min="14" max="14"/>
    <col width="47" customWidth="1" min="15" max="15"/>
  </cols>
  <sheetData>
    <row r="1">
      <c r="A1" s="1" t="inlineStr">
        <is>
          <t>qa_run_id</t>
        </is>
      </c>
      <c r="B1" s="1" t="inlineStr">
        <is>
          <t>batch_name</t>
        </is>
      </c>
      <c r="C1" s="1" t="inlineStr">
        <is>
          <t>auditor</t>
        </is>
      </c>
      <c r="D1" s="1" t="inlineStr">
        <is>
          <t>market</t>
        </is>
      </c>
      <c r="E1" s="1" t="inlineStr">
        <is>
          <t>language</t>
        </is>
      </c>
      <c r="F1" s="1" t="inlineStr">
        <is>
          <t>review_date</t>
        </is>
      </c>
      <c r="G1" s="1" t="inlineStr">
        <is>
          <t>total_products</t>
        </is>
      </c>
      <c r="H1" s="1" t="inlineStr">
        <is>
          <t>total_images</t>
        </is>
      </c>
      <c r="I1" s="1" t="inlineStr">
        <is>
          <t>assessed_weight</t>
        </is>
      </c>
      <c r="J1" s="1" t="inlineStr">
        <is>
          <t>average_score</t>
        </is>
      </c>
      <c r="K1" s="1" t="inlineStr">
        <is>
          <t>overall_status</t>
        </is>
      </c>
      <c r="L1" s="1" t="inlineStr">
        <is>
          <t>qa_pass_count</t>
        </is>
      </c>
      <c r="M1" s="1" t="inlineStr">
        <is>
          <t>qa_revise_count</t>
        </is>
      </c>
      <c r="N1" s="1" t="inlineStr">
        <is>
          <t>qa_fail_count</t>
        </is>
      </c>
      <c r="O1" s="1" t="inlineStr">
        <is>
          <t>qa_incomplete_count</t>
        </is>
      </c>
    </row>
    <row r="2">
      <c r="A2" s="2" t="inlineStr">
        <is>
          <t>20260908_143500</t>
        </is>
      </c>
      <c r="B2" s="2" t="inlineStr">
        <is>
          <t>qa_batch_023_r2</t>
        </is>
      </c>
      <c r="C2" s="2" t="inlineStr">
        <is>
          <t>Antigravity Independent QA Assistant</t>
        </is>
      </c>
      <c r="D2" s="2" t="inlineStr">
        <is>
          <t>United States</t>
        </is>
      </c>
      <c r="E2" s="2" t="inlineStr">
        <is>
          <t>English</t>
        </is>
      </c>
      <c r="F2" s="2" t="inlineStr">
        <is>
          <t>2026-09-08</t>
        </is>
      </c>
      <c r="G2" s="2" t="n">
        <v>10</v>
      </c>
      <c r="H2" s="2" t="n">
        <v>70</v>
      </c>
      <c r="I2" s="2" t="n">
        <v>100</v>
      </c>
      <c r="J2" s="2">
        <f>AVERAGE(QA_Products!V2:V11)</f>
        <v/>
      </c>
      <c r="K2" s="2">
        <f>IF(QA_Products!X2="QA_REVISE","QA_REVISE","QA_PASS")</f>
        <v/>
      </c>
      <c r="L2" s="2">
        <f>COUNTIF(QA_Products!X2:X11,"QA_PASS")</f>
        <v/>
      </c>
      <c r="M2" s="2">
        <f>COUNTIF(QA_Products!X2:X11,"QA_REVISE")</f>
        <v/>
      </c>
      <c r="N2" s="2">
        <f>COUNTIF(QA_Products!X2:X11,"QA_FAIL")</f>
        <v/>
      </c>
      <c r="O2" s="2">
        <f>COUNTIF(QA_Products!X2:X11,"QA_INCOMPLETE")</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1"/>
  <sheetViews>
    <sheetView showGridLines="1" workbookViewId="0">
      <pane ySplit="1" topLeftCell="A2" activePane="bottomLeft" state="frozen"/>
      <selection pane="bottomLeft" activeCell="A1" sqref="A1"/>
    </sheetView>
  </sheetViews>
  <sheetFormatPr baseColWidth="8" defaultRowHeight="15"/>
  <cols>
    <col width="16" customWidth="1" min="1" max="1"/>
    <col width="60" customWidth="1" min="2" max="2"/>
    <col width="21" customWidth="1" min="3" max="3"/>
    <col width="60" customWidth="1" min="4" max="4"/>
    <col width="49" customWidth="1" min="5" max="5"/>
    <col width="49" customWidth="1" min="6" max="6"/>
    <col width="15" customWidth="1" min="7" max="7"/>
    <col width="12" customWidth="1" min="8" max="8"/>
    <col width="14"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8" customWidth="1" min="21" max="21"/>
    <col width="16" customWidth="1" min="22" max="22"/>
    <col width="14" customWidth="1" min="23" max="23"/>
    <col width="60" customWidth="1" min="24" max="24"/>
    <col width="60" customWidth="1" min="25" max="25"/>
  </cols>
  <sheetData>
    <row r="1">
      <c r="A1" s="1" t="inlineStr">
        <is>
          <t>qa_product_id</t>
        </is>
      </c>
      <c r="B1" s="1" t="inlineStr">
        <is>
          <t>product_key</t>
        </is>
      </c>
      <c r="C1" s="1" t="inlineStr">
        <is>
          <t>inventory_position</t>
        </is>
      </c>
      <c r="D1" s="1" t="inlineStr">
        <is>
          <t>Handle</t>
        </is>
      </c>
      <c r="E1" s="1" t="inlineStr">
        <is>
          <t>title_proposed</t>
        </is>
      </c>
      <c r="F1" s="1" t="inlineStr">
        <is>
          <t>primary_keyword</t>
        </is>
      </c>
      <c r="G1" s="1" t="inlineStr">
        <is>
          <t>product_type</t>
        </is>
      </c>
      <c r="H1" s="1" t="inlineStr">
        <is>
          <t>page_read</t>
        </is>
      </c>
      <c r="I1" s="1" t="inlineStr">
        <is>
          <t>image_count</t>
        </is>
      </c>
      <c r="J1" s="1" t="inlineStr">
        <is>
          <t>P1_score</t>
        </is>
      </c>
      <c r="K1" s="1" t="inlineStr">
        <is>
          <t>P2_score</t>
        </is>
      </c>
      <c r="L1" s="1" t="inlineStr">
        <is>
          <t>K1_score</t>
        </is>
      </c>
      <c r="M1" s="1" t="inlineStr">
        <is>
          <t>K2_score</t>
        </is>
      </c>
      <c r="N1" s="1" t="inlineStr">
        <is>
          <t>K3_score</t>
        </is>
      </c>
      <c r="O1" s="1" t="inlineStr">
        <is>
          <t>T1_score</t>
        </is>
      </c>
      <c r="P1" s="1" t="inlineStr">
        <is>
          <t>T2_score</t>
        </is>
      </c>
      <c r="Q1" s="1" t="inlineStr">
        <is>
          <t>D1_score</t>
        </is>
      </c>
      <c r="R1" s="1" t="inlineStr">
        <is>
          <t>D2_score</t>
        </is>
      </c>
      <c r="S1" s="1" t="inlineStr">
        <is>
          <t>I1_score</t>
        </is>
      </c>
      <c r="T1" s="1" t="inlineStr">
        <is>
          <t>E1_score</t>
        </is>
      </c>
      <c r="U1" s="1" t="inlineStr">
        <is>
          <t>assessed_weight</t>
        </is>
      </c>
      <c r="V1" s="1" t="inlineStr">
        <is>
          <t>final_score</t>
        </is>
      </c>
      <c r="W1" s="1" t="inlineStr">
        <is>
          <t>lower_bound</t>
        </is>
      </c>
      <c r="X1" s="1" t="inlineStr">
        <is>
          <t>qa_status</t>
        </is>
      </c>
      <c r="Y1" s="1" t="inlineStr">
        <is>
          <t>defect_summary</t>
        </is>
      </c>
    </row>
    <row r="2">
      <c r="A2" s="2" t="inlineStr">
        <is>
          <t>PRODQA-0001</t>
        </is>
      </c>
      <c r="B2" s="3" t="inlineStr">
        <is>
          <t>jeminise.com+personalized-basketball-hoop-with-net-close-up-blanket-with-name-and-number-cc637164fc-cc637164fc</t>
        </is>
      </c>
      <c r="C2" s="2" t="n">
        <v>221</v>
      </c>
      <c r="D2" s="3" t="inlineStr">
        <is>
          <t>personalized-basketball-hoop-with-net-close-up-blanket-with-name-and-number-cc637164fc-cc637164fc</t>
        </is>
      </c>
      <c r="E2" s="3" t="inlineStr">
        <is>
          <t>Custom Basketball Hoop Blanket</t>
        </is>
      </c>
      <c r="F2" s="3" t="inlineStr">
        <is>
          <t>custom basketball hoop blanket</t>
        </is>
      </c>
      <c r="G2" s="2" t="inlineStr">
        <is>
          <t>Blanket</t>
        </is>
      </c>
      <c r="H2" s="2" t="b">
        <v>1</v>
      </c>
      <c r="I2" s="2" t="n">
        <v>8</v>
      </c>
      <c r="J2" s="2" t="n">
        <v>15</v>
      </c>
      <c r="K2" s="2" t="n">
        <v>10</v>
      </c>
      <c r="L2" s="2" t="n">
        <v>10</v>
      </c>
      <c r="M2" s="2" t="n">
        <v>5</v>
      </c>
      <c r="N2" s="2" t="n">
        <v>5</v>
      </c>
      <c r="O2" s="2" t="n">
        <v>10</v>
      </c>
      <c r="P2" s="2" t="n">
        <v>5</v>
      </c>
      <c r="Q2" s="2" t="n">
        <v>3</v>
      </c>
      <c r="R2" s="2" t="n">
        <v>7</v>
      </c>
      <c r="S2" s="2" t="n">
        <v>20</v>
      </c>
      <c r="T2" s="2" t="n">
        <v>5</v>
      </c>
      <c r="U2" s="2" t="n">
        <v>100</v>
      </c>
      <c r="V2" s="2">
        <f>SUM(J2:T2)</f>
        <v/>
      </c>
      <c r="W2" s="2">
        <f>U2</f>
        <v/>
      </c>
      <c r="X2" s="2">
        <f>IF(V2&gt;=85,"QA_REVISE",IF(V2&gt;=70,"QA_REVISE","QA_FAIL"))</f>
        <v/>
      </c>
      <c r="Y2" s="3" t="inlineStr">
        <is>
          <t>D1: Meta description hard-truncated at 155 chars (MINOR). D2: Description contains boilerplate leakage and lacks detailed material/care/options specs (MAJOR). D2 incorrectly mentions product type selection for single-option blanket.</t>
        </is>
      </c>
    </row>
    <row r="3">
      <c r="A3" s="2" t="inlineStr">
        <is>
          <t>PRODQA-0002</t>
        </is>
      </c>
      <c r="B3" s="3" t="inlineStr">
        <is>
          <t>jeminise.com+personalized-basketball-next-to-athletic-shoes-blanket-with-name-and-number-dfbf4fde2f-dfbf4fde2f</t>
        </is>
      </c>
      <c r="C3" s="2" t="n">
        <v>222</v>
      </c>
      <c r="D3" s="3" t="inlineStr">
        <is>
          <t>personalized-basketball-next-to-athletic-shoes-blanket-with-name-and-number-dfbf4fde2f-dfbf4fde2f</t>
        </is>
      </c>
      <c r="E3" s="3" t="inlineStr">
        <is>
          <t>Custom Basketball Shoes Blanket</t>
        </is>
      </c>
      <c r="F3" s="3" t="inlineStr">
        <is>
          <t>custom basketball shoes blanket</t>
        </is>
      </c>
      <c r="G3" s="2" t="inlineStr">
        <is>
          <t>Blanket</t>
        </is>
      </c>
      <c r="H3" s="2" t="b">
        <v>1</v>
      </c>
      <c r="I3" s="2" t="n">
        <v>8</v>
      </c>
      <c r="J3" s="2" t="n">
        <v>15</v>
      </c>
      <c r="K3" s="2" t="n">
        <v>10</v>
      </c>
      <c r="L3" s="2" t="n">
        <v>10</v>
      </c>
      <c r="M3" s="2" t="n">
        <v>5</v>
      </c>
      <c r="N3" s="2" t="n">
        <v>5</v>
      </c>
      <c r="O3" s="2" t="n">
        <v>10</v>
      </c>
      <c r="P3" s="2" t="n">
        <v>5</v>
      </c>
      <c r="Q3" s="2" t="n">
        <v>3</v>
      </c>
      <c r="R3" s="2" t="n">
        <v>7</v>
      </c>
      <c r="S3" s="2" t="n">
        <v>20</v>
      </c>
      <c r="T3" s="2" t="n">
        <v>5</v>
      </c>
      <c r="U3" s="2" t="n">
        <v>100</v>
      </c>
      <c r="V3" s="2">
        <f>SUM(J3:T3)</f>
        <v/>
      </c>
      <c r="W3" s="2">
        <f>U3</f>
        <v/>
      </c>
      <c r="X3" s="2">
        <f>IF(V3&gt;=85,"QA_REVISE",IF(V3&gt;=70,"QA_REVISE","QA_FAIL"))</f>
        <v/>
      </c>
      <c r="Y3" s="3" t="inlineStr">
        <is>
          <t>D1: Meta description hard-truncated at 155 chars (MINOR). D2: Description contains boilerplate leakage and lacks detailed material/care/options specs (MAJOR). D2 incorrectly mentions product type selection for single-option blanket.</t>
        </is>
      </c>
    </row>
    <row r="4">
      <c r="A4" s="2" t="inlineStr">
        <is>
          <t>PRODQA-0003</t>
        </is>
      </c>
      <c r="B4" s="3" t="inlineStr">
        <is>
          <t>jeminise.com+personalized-basketball-on-court-lines-comforter-name-number-303fbd50f6-303fbd50f6</t>
        </is>
      </c>
      <c r="C4" s="2" t="n">
        <v>223</v>
      </c>
      <c r="D4" s="3" t="inlineStr">
        <is>
          <t>personalized-basketball-on-court-lines-comforter-name-number-303fbd50f6-303fbd50f6</t>
        </is>
      </c>
      <c r="E4" s="3" t="inlineStr">
        <is>
          <t>Custom Court Lines Basketball Comforter</t>
        </is>
      </c>
      <c r="F4" s="3" t="inlineStr">
        <is>
          <t>custom court lines basketball comforter</t>
        </is>
      </c>
      <c r="G4" s="2" t="inlineStr">
        <is>
          <t>Comforter</t>
        </is>
      </c>
      <c r="H4" s="2" t="b">
        <v>1</v>
      </c>
      <c r="I4" s="2" t="n">
        <v>7</v>
      </c>
      <c r="J4" s="2" t="n">
        <v>15</v>
      </c>
      <c r="K4" s="2" t="n">
        <v>10</v>
      </c>
      <c r="L4" s="2" t="n">
        <v>10</v>
      </c>
      <c r="M4" s="2" t="n">
        <v>5</v>
      </c>
      <c r="N4" s="2" t="n">
        <v>5</v>
      </c>
      <c r="O4" s="2" t="n">
        <v>10</v>
      </c>
      <c r="P4" s="2" t="n">
        <v>5</v>
      </c>
      <c r="Q4" s="2" t="n">
        <v>3</v>
      </c>
      <c r="R4" s="2" t="n">
        <v>7</v>
      </c>
      <c r="S4" s="2" t="n">
        <v>20</v>
      </c>
      <c r="T4" s="2" t="n">
        <v>5</v>
      </c>
      <c r="U4" s="2" t="n">
        <v>100</v>
      </c>
      <c r="V4" s="2">
        <f>SUM(J4:T4)</f>
        <v/>
      </c>
      <c r="W4" s="2">
        <f>U4</f>
        <v/>
      </c>
      <c r="X4" s="2">
        <f>IF(V4&gt;=85,"QA_REVISE",IF(V4&gt;=70,"QA_REVISE","QA_FAIL"))</f>
        <v/>
      </c>
      <c r="Y4" s="3" t="inlineStr">
        <is>
          <t>D1: Meta description hard-truncated at 155 chars (MINOR). D2: Description contains boilerplate leakage and lacks detailed material/care/options specs (MAJOR).</t>
        </is>
      </c>
    </row>
    <row r="5">
      <c r="A5" s="2" t="inlineStr">
        <is>
          <t>PRODQA-0004</t>
        </is>
      </c>
      <c r="B5" s="3" t="inlineStr">
        <is>
          <t>jeminise.com+personalized-basketball-on-court-perspective-comforter-with-name-and-number-1acfbe4260-1acfbe4260</t>
        </is>
      </c>
      <c r="C5" s="2" t="n">
        <v>224</v>
      </c>
      <c r="D5" s="3" t="inlineStr">
        <is>
          <t>personalized-basketball-on-court-perspective-comforter-with-name-and-number-1acfbe4260-1acfbe4260</t>
        </is>
      </c>
      <c r="E5" s="3" t="inlineStr">
        <is>
          <t>Custom Basketball Court Perspective Comforter</t>
        </is>
      </c>
      <c r="F5" s="3" t="inlineStr">
        <is>
          <t>custom basketball court perspective comforter</t>
        </is>
      </c>
      <c r="G5" s="2" t="inlineStr">
        <is>
          <t>Comforter</t>
        </is>
      </c>
      <c r="H5" s="2" t="b">
        <v>1</v>
      </c>
      <c r="I5" s="2" t="n">
        <v>5</v>
      </c>
      <c r="J5" s="2" t="n">
        <v>15</v>
      </c>
      <c r="K5" s="2" t="n">
        <v>10</v>
      </c>
      <c r="L5" s="2" t="n">
        <v>10</v>
      </c>
      <c r="M5" s="2" t="n">
        <v>5</v>
      </c>
      <c r="N5" s="2" t="n">
        <v>5</v>
      </c>
      <c r="O5" s="2" t="n">
        <v>10</v>
      </c>
      <c r="P5" s="2" t="n">
        <v>5</v>
      </c>
      <c r="Q5" s="2" t="n">
        <v>3</v>
      </c>
      <c r="R5" s="2" t="n">
        <v>7</v>
      </c>
      <c r="S5" s="2" t="n">
        <v>20</v>
      </c>
      <c r="T5" s="2" t="n">
        <v>5</v>
      </c>
      <c r="U5" s="2" t="n">
        <v>100</v>
      </c>
      <c r="V5" s="2">
        <f>SUM(J5:T5)</f>
        <v/>
      </c>
      <c r="W5" s="2">
        <f>U5</f>
        <v/>
      </c>
      <c r="X5" s="2">
        <f>IF(V5&gt;=85,"QA_REVISE",IF(V5&gt;=70,"QA_REVISE","QA_FAIL"))</f>
        <v/>
      </c>
      <c r="Y5" s="3" t="inlineStr">
        <is>
          <t>D1: Meta description hard-truncated at 155 chars (MINOR). D2: Description contains boilerplate leakage and lacks detailed material/care/options specs (MAJOR).</t>
        </is>
      </c>
    </row>
    <row r="6">
      <c r="A6" s="2" t="inlineStr">
        <is>
          <t>PRODQA-0005</t>
        </is>
      </c>
      <c r="B6" s="3" t="inlineStr">
        <is>
          <t>jeminise.com+personalized-basketball-on-hardwood-court-comforter-with-name-and-number-8aee799947-8aee799947</t>
        </is>
      </c>
      <c r="C6" s="2" t="n">
        <v>225</v>
      </c>
      <c r="D6" s="3" t="inlineStr">
        <is>
          <t>personalized-basketball-on-hardwood-court-comforter-with-name-and-number-8aee799947-8aee799947</t>
        </is>
      </c>
      <c r="E6" s="3" t="inlineStr">
        <is>
          <t>Custom Hardwood Court Basketball Comforter</t>
        </is>
      </c>
      <c r="F6" s="3" t="inlineStr">
        <is>
          <t>custom hardwood court basketball comforter</t>
        </is>
      </c>
      <c r="G6" s="2" t="inlineStr">
        <is>
          <t>Comforter</t>
        </is>
      </c>
      <c r="H6" s="2" t="b">
        <v>1</v>
      </c>
      <c r="I6" s="2" t="n">
        <v>5</v>
      </c>
      <c r="J6" s="2" t="n">
        <v>15</v>
      </c>
      <c r="K6" s="2" t="n">
        <v>10</v>
      </c>
      <c r="L6" s="2" t="n">
        <v>10</v>
      </c>
      <c r="M6" s="2" t="n">
        <v>5</v>
      </c>
      <c r="N6" s="2" t="n">
        <v>5</v>
      </c>
      <c r="O6" s="2" t="n">
        <v>10</v>
      </c>
      <c r="P6" s="2" t="n">
        <v>5</v>
      </c>
      <c r="Q6" s="2" t="n">
        <v>3</v>
      </c>
      <c r="R6" s="2" t="n">
        <v>7</v>
      </c>
      <c r="S6" s="2" t="n">
        <v>20</v>
      </c>
      <c r="T6" s="2" t="n">
        <v>5</v>
      </c>
      <c r="U6" s="2" t="n">
        <v>100</v>
      </c>
      <c r="V6" s="2">
        <f>SUM(J6:T6)</f>
        <v/>
      </c>
      <c r="W6" s="2">
        <f>U6</f>
        <v/>
      </c>
      <c r="X6" s="2">
        <f>IF(V6&gt;=85,"QA_REVISE",IF(V6&gt;=70,"QA_REVISE","QA_FAIL"))</f>
        <v/>
      </c>
      <c r="Y6" s="3" t="inlineStr">
        <is>
          <t>D1: Meta description hard-truncated at 155 chars (MINOR). D2: Description contains boilerplate leakage and lacks detailed material/care/options specs (MAJOR).</t>
        </is>
      </c>
    </row>
    <row r="7">
      <c r="A7" s="2" t="inlineStr">
        <is>
          <t>PRODQA-0006</t>
        </is>
      </c>
      <c r="B7" s="3" t="inlineStr">
        <is>
          <t>jeminise.com+personalized-neon-basketball-player-blanket-788fb6ae63-788fb6ae63</t>
        </is>
      </c>
      <c r="C7" s="2" t="n">
        <v>226</v>
      </c>
      <c r="D7" s="3" t="inlineStr">
        <is>
          <t>personalized-neon-basketball-player-blanket-788fb6ae63-788fb6ae63</t>
        </is>
      </c>
      <c r="E7" s="3" t="inlineStr">
        <is>
          <t>Custom Neon Basketball Player Blanket</t>
        </is>
      </c>
      <c r="F7" s="3" t="inlineStr">
        <is>
          <t>custom neon basketball player blanket</t>
        </is>
      </c>
      <c r="G7" s="2" t="inlineStr">
        <is>
          <t>Blanket</t>
        </is>
      </c>
      <c r="H7" s="2" t="b">
        <v>1</v>
      </c>
      <c r="I7" s="2" t="n">
        <v>8</v>
      </c>
      <c r="J7" s="2" t="n">
        <v>15</v>
      </c>
      <c r="K7" s="2" t="n">
        <v>10</v>
      </c>
      <c r="L7" s="2" t="n">
        <v>10</v>
      </c>
      <c r="M7" s="2" t="n">
        <v>5</v>
      </c>
      <c r="N7" s="2" t="n">
        <v>5</v>
      </c>
      <c r="O7" s="2" t="n">
        <v>10</v>
      </c>
      <c r="P7" s="2" t="n">
        <v>5</v>
      </c>
      <c r="Q7" s="2" t="n">
        <v>3</v>
      </c>
      <c r="R7" s="2" t="n">
        <v>7</v>
      </c>
      <c r="S7" s="2" t="n">
        <v>20</v>
      </c>
      <c r="T7" s="2" t="n">
        <v>5</v>
      </c>
      <c r="U7" s="2" t="n">
        <v>100</v>
      </c>
      <c r="V7" s="2">
        <f>SUM(J7:T7)</f>
        <v/>
      </c>
      <c r="W7" s="2">
        <f>U7</f>
        <v/>
      </c>
      <c r="X7" s="2">
        <f>IF(V7&gt;=85,"QA_REVISE",IF(V7&gt;=70,"QA_REVISE","QA_FAIL"))</f>
        <v/>
      </c>
      <c r="Y7" s="3" t="inlineStr">
        <is>
          <t>D1: Meta description hard-truncated at 155 chars (MINOR). D2: Description contains boilerplate leakage and lacks detailed material/care/options specs (MAJOR). D2 incorrectly mentions product type selection for single-option blanket.</t>
        </is>
      </c>
    </row>
    <row r="8">
      <c r="A8" s="2" t="inlineStr">
        <is>
          <t>PRODQA-0007</t>
        </is>
      </c>
      <c r="B8" s="3" t="inlineStr">
        <is>
          <t>jeminise.com+personalized-basketball-player-front-blanket-with-name-and-number-258e7f9e2e-258e7f9e2e</t>
        </is>
      </c>
      <c r="C8" s="2" t="n">
        <v>227</v>
      </c>
      <c r="D8" s="3" t="inlineStr">
        <is>
          <t>personalized-basketball-player-front-blanket-with-name-and-number-258e7f9e2e-258e7f9e2e</t>
        </is>
      </c>
      <c r="E8" s="3" t="inlineStr">
        <is>
          <t>Custom Flaming Basketball Player Blanket</t>
        </is>
      </c>
      <c r="F8" s="3" t="inlineStr">
        <is>
          <t>custom flaming basketball player blanket</t>
        </is>
      </c>
      <c r="G8" s="2" t="inlineStr">
        <is>
          <t>Blanket</t>
        </is>
      </c>
      <c r="H8" s="2" t="b">
        <v>1</v>
      </c>
      <c r="I8" s="2" t="n">
        <v>8</v>
      </c>
      <c r="J8" s="2" t="n">
        <v>15</v>
      </c>
      <c r="K8" s="2" t="n">
        <v>10</v>
      </c>
      <c r="L8" s="2" t="n">
        <v>10</v>
      </c>
      <c r="M8" s="2" t="n">
        <v>5</v>
      </c>
      <c r="N8" s="2" t="n">
        <v>5</v>
      </c>
      <c r="O8" s="2" t="n">
        <v>10</v>
      </c>
      <c r="P8" s="2" t="n">
        <v>5</v>
      </c>
      <c r="Q8" s="2" t="n">
        <v>3</v>
      </c>
      <c r="R8" s="2" t="n">
        <v>7</v>
      </c>
      <c r="S8" s="2" t="n">
        <v>20</v>
      </c>
      <c r="T8" s="2" t="n">
        <v>5</v>
      </c>
      <c r="U8" s="2" t="n">
        <v>100</v>
      </c>
      <c r="V8" s="2">
        <f>SUM(J8:T8)</f>
        <v/>
      </c>
      <c r="W8" s="2">
        <f>U8</f>
        <v/>
      </c>
      <c r="X8" s="2">
        <f>IF(V8&gt;=85,"QA_REVISE",IF(V8&gt;=70,"QA_REVISE","QA_FAIL"))</f>
        <v/>
      </c>
      <c r="Y8" s="3" t="inlineStr">
        <is>
          <t>D1: Meta description hard-truncated at 155 chars (MINOR). D2: Description contains boilerplate leakage and lacks detailed material/care/options specs (MAJOR). D2 incorrectly mentions product type selection for single-option blanket.</t>
        </is>
      </c>
    </row>
    <row r="9">
      <c r="A9" s="2" t="inlineStr">
        <is>
          <t>PRODQA-0008</t>
        </is>
      </c>
      <c r="B9" s="3" t="inlineStr">
        <is>
          <t>jeminise.com+personalized-basketball-player-silhouette-blanket-with-name-and-number-35f8822fba-35f8822fba</t>
        </is>
      </c>
      <c r="C9" s="2" t="n">
        <v>228</v>
      </c>
      <c r="D9" s="3" t="inlineStr">
        <is>
          <t>personalized-basketball-player-silhouette-blanket-with-name-and-number-35f8822fba-35f8822fba</t>
        </is>
      </c>
      <c r="E9" s="3" t="inlineStr">
        <is>
          <t>Custom Dribbling Silhouette Basketball Blanket</t>
        </is>
      </c>
      <c r="F9" s="3" t="inlineStr">
        <is>
          <t>custom dribbling silhouette basketball blanket</t>
        </is>
      </c>
      <c r="G9" s="2" t="inlineStr">
        <is>
          <t>Blanket</t>
        </is>
      </c>
      <c r="H9" s="2" t="b">
        <v>1</v>
      </c>
      <c r="I9" s="2" t="n">
        <v>8</v>
      </c>
      <c r="J9" s="2" t="n">
        <v>15</v>
      </c>
      <c r="K9" s="2" t="n">
        <v>10</v>
      </c>
      <c r="L9" s="2" t="n">
        <v>10</v>
      </c>
      <c r="M9" s="2" t="n">
        <v>5</v>
      </c>
      <c r="N9" s="2" t="n">
        <v>5</v>
      </c>
      <c r="O9" s="2" t="n">
        <v>10</v>
      </c>
      <c r="P9" s="2" t="n">
        <v>5</v>
      </c>
      <c r="Q9" s="2" t="n">
        <v>3</v>
      </c>
      <c r="R9" s="2" t="n">
        <v>7</v>
      </c>
      <c r="S9" s="2" t="n">
        <v>20</v>
      </c>
      <c r="T9" s="2" t="n">
        <v>5</v>
      </c>
      <c r="U9" s="2" t="n">
        <v>100</v>
      </c>
      <c r="V9" s="2">
        <f>SUM(J9:T9)</f>
        <v/>
      </c>
      <c r="W9" s="2">
        <f>U9</f>
        <v/>
      </c>
      <c r="X9" s="2">
        <f>IF(V9&gt;=85,"QA_REVISE",IF(V9&gt;=70,"QA_REVISE","QA_FAIL"))</f>
        <v/>
      </c>
      <c r="Y9" s="3" t="inlineStr">
        <is>
          <t>D1: Meta description hard-truncated at 155 chars (MINOR). D2: Description contains boilerplate leakage and lacks detailed material/care/options specs (MAJOR). D2 incorrectly mentions product type selection for single-option blanket.</t>
        </is>
      </c>
    </row>
    <row r="10">
      <c r="A10" s="2" t="inlineStr">
        <is>
          <t>PRODQA-0009</t>
        </is>
      </c>
      <c r="B10" s="3" t="inlineStr">
        <is>
          <t>jeminise.com+personalized-basketball-players-and-hoops-comforter-with-name-and-number-ff13bad888-ff13bad888</t>
        </is>
      </c>
      <c r="C10" s="2" t="n">
        <v>229</v>
      </c>
      <c r="D10" s="3" t="inlineStr">
        <is>
          <t>personalized-basketball-players-and-hoops-comforter-with-name-and-number-ff13bad888-ff13bad888</t>
        </is>
      </c>
      <c r="E10" s="3" t="inlineStr">
        <is>
          <t>Custom Basketball Collage Comforter</t>
        </is>
      </c>
      <c r="F10" s="3" t="inlineStr">
        <is>
          <t>custom basketball collage comforter</t>
        </is>
      </c>
      <c r="G10" s="2" t="inlineStr">
        <is>
          <t>Comforter</t>
        </is>
      </c>
      <c r="H10" s="2" t="b">
        <v>1</v>
      </c>
      <c r="I10" s="2" t="n">
        <v>7</v>
      </c>
      <c r="J10" s="2" t="n">
        <v>15</v>
      </c>
      <c r="K10" s="2" t="n">
        <v>10</v>
      </c>
      <c r="L10" s="2" t="n">
        <v>10</v>
      </c>
      <c r="M10" s="2" t="n">
        <v>5</v>
      </c>
      <c r="N10" s="2" t="n">
        <v>5</v>
      </c>
      <c r="O10" s="2" t="n">
        <v>10</v>
      </c>
      <c r="P10" s="2" t="n">
        <v>5</v>
      </c>
      <c r="Q10" s="2" t="n">
        <v>3</v>
      </c>
      <c r="R10" s="2" t="n">
        <v>7</v>
      </c>
      <c r="S10" s="2" t="n">
        <v>20</v>
      </c>
      <c r="T10" s="2" t="n">
        <v>5</v>
      </c>
      <c r="U10" s="2" t="n">
        <v>100</v>
      </c>
      <c r="V10" s="2">
        <f>SUM(J10:T10)</f>
        <v/>
      </c>
      <c r="W10" s="2">
        <f>U10</f>
        <v/>
      </c>
      <c r="X10" s="2">
        <f>IF(V10&gt;=85,"QA_REVISE",IF(V10&gt;=70,"QA_REVISE","QA_FAIL"))</f>
        <v/>
      </c>
      <c r="Y10" s="3" t="inlineStr">
        <is>
          <t>D1: Meta description hard-truncated at 155 chars (MINOR). D2: Description contains boilerplate leakage and lacks detailed material/care/options specs (MAJOR).</t>
        </is>
      </c>
    </row>
    <row r="11">
      <c r="A11" s="2" t="inlineStr">
        <is>
          <t>PRODQA-0010</t>
        </is>
      </c>
      <c r="B11" s="3" t="inlineStr">
        <is>
          <t>jeminise.com+personalized-basketball-shattered-glass-comforter-with-name-and-number-353fc0c17e-353fc0c17e</t>
        </is>
      </c>
      <c r="C11" s="2" t="n">
        <v>230</v>
      </c>
      <c r="D11" s="3" t="inlineStr">
        <is>
          <t>personalized-basketball-shattered-glass-comforter-with-name-and-number-353fc0c17e-353fc0c17e</t>
        </is>
      </c>
      <c r="E11" s="3" t="inlineStr">
        <is>
          <t>Custom Shattered Glass Basketball Comforter</t>
        </is>
      </c>
      <c r="F11" s="3" t="inlineStr">
        <is>
          <t>custom shattered glass basketball comforter</t>
        </is>
      </c>
      <c r="G11" s="2" t="inlineStr">
        <is>
          <t>Comforter</t>
        </is>
      </c>
      <c r="H11" s="2" t="b">
        <v>1</v>
      </c>
      <c r="I11" s="2" t="n">
        <v>6</v>
      </c>
      <c r="J11" s="2" t="n">
        <v>15</v>
      </c>
      <c r="K11" s="2" t="n">
        <v>10</v>
      </c>
      <c r="L11" s="2" t="n">
        <v>10</v>
      </c>
      <c r="M11" s="2" t="n">
        <v>5</v>
      </c>
      <c r="N11" s="2" t="n">
        <v>5</v>
      </c>
      <c r="O11" s="2" t="n">
        <v>10</v>
      </c>
      <c r="P11" s="2" t="n">
        <v>5</v>
      </c>
      <c r="Q11" s="2" t="n">
        <v>3</v>
      </c>
      <c r="R11" s="2" t="n">
        <v>7</v>
      </c>
      <c r="S11" s="2" t="n">
        <v>20</v>
      </c>
      <c r="T11" s="2" t="n">
        <v>5</v>
      </c>
      <c r="U11" s="2" t="n">
        <v>100</v>
      </c>
      <c r="V11" s="2">
        <f>SUM(J11:T11)</f>
        <v/>
      </c>
      <c r="W11" s="2">
        <f>U11</f>
        <v/>
      </c>
      <c r="X11" s="2">
        <f>IF(V11&gt;=85,"QA_REVISE",IF(V11&gt;=70,"QA_REVISE","QA_FAIL"))</f>
        <v/>
      </c>
      <c r="Y11" s="3" t="inlineStr">
        <is>
          <t>D1: Meta description hard-truncated at 155 chars (MINOR). D2: Description contains boilerplate leakage and lacks detailed material/care/options specs (MAJOR). D2 lacks clarification that pillow shams are optional add-ons.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1"/>
  <sheetViews>
    <sheetView showGridLines="1" workbookViewId="0">
      <pane ySplit="1" topLeftCell="A2" activePane="bottomLeft" state="frozen"/>
      <selection pane="bottomLeft" activeCell="A1" sqref="A1"/>
    </sheetView>
  </sheetViews>
  <sheetFormatPr baseColWidth="8" defaultRowHeight="15"/>
  <cols>
    <col width="19" customWidth="1" min="1" max="1"/>
    <col width="60" customWidth="1" min="2" max="2"/>
    <col width="15" customWidth="1" min="3" max="3"/>
    <col width="27" customWidth="1" min="4" max="4"/>
    <col width="13" customWidth="1" min="5" max="5"/>
    <col width="16" customWidth="1" min="6" max="6"/>
    <col width="12" customWidth="1" min="7" max="7"/>
    <col width="60" customWidth="1" min="8" max="8"/>
    <col width="60" customWidth="1" min="9" max="9"/>
  </cols>
  <sheetData>
    <row r="1">
      <c r="A1" s="1" t="inlineStr">
        <is>
          <t>criteria_eval_id</t>
        </is>
      </c>
      <c r="B1" s="1" t="inlineStr">
        <is>
          <t>product_key</t>
        </is>
      </c>
      <c r="C1" s="1" t="inlineStr">
        <is>
          <t>criterion_id</t>
        </is>
      </c>
      <c r="D1" s="1" t="inlineStr">
        <is>
          <t>criterion_name</t>
        </is>
      </c>
      <c r="E1" s="1" t="inlineStr">
        <is>
          <t>max_weight</t>
        </is>
      </c>
      <c r="F1" s="1" t="inlineStr">
        <is>
          <t>awarded_score</t>
        </is>
      </c>
      <c r="G1" s="1" t="inlineStr">
        <is>
          <t>status</t>
        </is>
      </c>
      <c r="H1" s="1" t="inlineStr">
        <is>
          <t>observation</t>
        </is>
      </c>
      <c r="I1" s="1" t="inlineStr">
        <is>
          <t>evidence_reference</t>
        </is>
      </c>
    </row>
    <row r="2">
      <c r="A2" s="2" t="inlineStr">
        <is>
          <t>CRIT-0001</t>
        </is>
      </c>
      <c r="B2" s="3" t="inlineStr">
        <is>
          <t>jeminise.com+personalized-basketball-hoop-with-net-close-up-blanket-with-name-and-number-cc637164fc-cc637164fc</t>
        </is>
      </c>
      <c r="C2" s="2" t="inlineStr">
        <is>
          <t>P1</t>
        </is>
      </c>
      <c r="D2" s="3" t="inlineStr">
        <is>
          <t>Product Identification</t>
        </is>
      </c>
      <c r="E2" s="2" t="n">
        <v>15</v>
      </c>
      <c r="F2" s="2" t="n">
        <v>15</v>
      </c>
      <c r="G2" s="2" t="inlineStr">
        <is>
          <t>PASS</t>
        </is>
      </c>
      <c r="H2" s="3" t="inlineStr">
        <is>
          <t>Identified exact product form factor, material texture, and sports artwork motif.</t>
        </is>
      </c>
      <c r="I2" s="3" t="inlineStr">
        <is>
          <t>Direct live storefront and image audit</t>
        </is>
      </c>
    </row>
    <row r="3">
      <c r="A3" s="2" t="inlineStr">
        <is>
          <t>CRIT-0002</t>
        </is>
      </c>
      <c r="B3" s="3" t="inlineStr">
        <is>
          <t>jeminise.com+personalized-basketball-hoop-with-net-close-up-blanket-with-name-and-number-cc637164fc-cc637164fc</t>
        </is>
      </c>
      <c r="C3" s="2" t="inlineStr">
        <is>
          <t>P2</t>
        </is>
      </c>
      <c r="D3" s="3" t="inlineStr">
        <is>
          <t>Taxonomy &amp; Configuration</t>
        </is>
      </c>
      <c r="E3" s="2" t="n">
        <v>10</v>
      </c>
      <c r="F3" s="2" t="n">
        <v>10</v>
      </c>
      <c r="G3" s="2" t="inlineStr">
        <is>
          <t>PASS</t>
        </is>
      </c>
      <c r="H3" s="3" t="inlineStr">
        <is>
          <t>Matches Shopify collection taxonomy and variants configuration structure.</t>
        </is>
      </c>
      <c r="I3" s="3" t="inlineStr">
        <is>
          <t>Shopify product type and options audit</t>
        </is>
      </c>
    </row>
    <row r="4">
      <c r="A4" s="2" t="inlineStr">
        <is>
          <t>CRIT-0003</t>
        </is>
      </c>
      <c r="B4" s="3" t="inlineStr">
        <is>
          <t>jeminise.com+personalized-basketball-hoop-with-net-close-up-blanket-with-name-and-number-cc637164fc-cc637164fc</t>
        </is>
      </c>
      <c r="C4" s="2" t="inlineStr">
        <is>
          <t>K1</t>
        </is>
      </c>
      <c r="D4" s="3" t="inlineStr">
        <is>
          <t>Primary Keyword Intent</t>
        </is>
      </c>
      <c r="E4" s="2" t="n">
        <v>10</v>
      </c>
      <c r="F4" s="2" t="n">
        <v>10</v>
      </c>
      <c r="G4" s="2" t="inlineStr">
        <is>
          <t>PASS</t>
        </is>
      </c>
      <c r="H4" s="3" t="inlineStr">
        <is>
          <t>Primary keyword aligns with US commercial intent for personalized sports gifts.</t>
        </is>
      </c>
      <c r="I4" s="3" t="inlineStr">
        <is>
          <t>US Google SERP queries and search demand</t>
        </is>
      </c>
    </row>
    <row r="5">
      <c r="A5" s="2" t="inlineStr">
        <is>
          <t>CRIT-0004</t>
        </is>
      </c>
      <c r="B5" s="3" t="inlineStr">
        <is>
          <t>jeminise.com+personalized-basketball-hoop-with-net-close-up-blanket-with-name-and-number-cc637164fc-cc637164fc</t>
        </is>
      </c>
      <c r="C5" s="2" t="inlineStr">
        <is>
          <t>K2</t>
        </is>
      </c>
      <c r="D5" s="3" t="inlineStr">
        <is>
          <t>Secondary Keyword Depth</t>
        </is>
      </c>
      <c r="E5" s="2" t="n">
        <v>5</v>
      </c>
      <c r="F5" s="2" t="n">
        <v>5</v>
      </c>
      <c r="G5" s="2" t="inlineStr">
        <is>
          <t>PASS</t>
        </is>
      </c>
      <c r="H5" s="3" t="inlineStr">
        <is>
          <t>Comprehensive coverage of natural long-tail search variations without keyword stuffing.</t>
        </is>
      </c>
      <c r="I5" s="3" t="inlineStr">
        <is>
          <t>Keyword_Map audit and SERP verification</t>
        </is>
      </c>
    </row>
    <row r="6">
      <c r="A6" s="2" t="inlineStr">
        <is>
          <t>CRIT-0005</t>
        </is>
      </c>
      <c r="B6" s="3" t="inlineStr">
        <is>
          <t>jeminise.com+personalized-basketball-hoop-with-net-close-up-blanket-with-name-and-number-cc637164fc-cc637164fc</t>
        </is>
      </c>
      <c r="C6" s="2" t="inlineStr">
        <is>
          <t>K3</t>
        </is>
      </c>
      <c r="D6" s="3" t="inlineStr">
        <is>
          <t>Search Intent Alignment</t>
        </is>
      </c>
      <c r="E6" s="2" t="n">
        <v>5</v>
      </c>
      <c r="F6" s="2" t="n">
        <v>5</v>
      </c>
      <c r="G6" s="2" t="inlineStr">
        <is>
          <t>PASS</t>
        </is>
      </c>
      <c r="H6" s="3" t="inlineStr">
        <is>
          <t>Intent matches youth and sports decor gift purchases; limitations explicitly stated.</t>
        </is>
      </c>
      <c r="I6" s="3" t="inlineStr">
        <is>
          <t>Buyer_Search_Research analysis</t>
        </is>
      </c>
    </row>
    <row r="7">
      <c r="A7" s="2" t="inlineStr">
        <is>
          <t>CRIT-0006</t>
        </is>
      </c>
      <c r="B7" s="3" t="inlineStr">
        <is>
          <t>jeminise.com+personalized-basketball-hoop-with-net-close-up-blanket-with-name-and-number-cc637164fc-cc637164fc</t>
        </is>
      </c>
      <c r="C7" s="2" t="inlineStr">
        <is>
          <t>T1</t>
        </is>
      </c>
      <c r="D7" s="3" t="inlineStr">
        <is>
          <t>SEO Title Quality</t>
        </is>
      </c>
      <c r="E7" s="2" t="n">
        <v>10</v>
      </c>
      <c r="F7" s="2" t="n">
        <v>10</v>
      </c>
      <c r="G7" s="2" t="inlineStr">
        <is>
          <t>PASS</t>
        </is>
      </c>
      <c r="H7" s="3" t="inlineStr">
        <is>
          <t>Concise, descriptive title with primary keyword in leading position.</t>
        </is>
      </c>
      <c r="I7" s="3" t="inlineStr">
        <is>
          <t>Title audit and character count check</t>
        </is>
      </c>
    </row>
    <row r="8">
      <c r="A8" s="2" t="inlineStr">
        <is>
          <t>CRIT-0007</t>
        </is>
      </c>
      <c r="B8" s="3" t="inlineStr">
        <is>
          <t>jeminise.com+personalized-basketball-hoop-with-net-close-up-blanket-with-name-and-number-cc637164fc-cc637164fc</t>
        </is>
      </c>
      <c r="C8" s="2" t="inlineStr">
        <is>
          <t>T2</t>
        </is>
      </c>
      <c r="D8" s="3" t="inlineStr">
        <is>
          <t>Meta Title &amp; Branding</t>
        </is>
      </c>
      <c r="E8" s="2" t="n">
        <v>5</v>
      </c>
      <c r="F8" s="2" t="n">
        <v>5</v>
      </c>
      <c r="G8" s="2" t="inlineStr">
        <is>
          <t>PASS</t>
        </is>
      </c>
      <c r="H8" s="3" t="inlineStr">
        <is>
          <t>Under 60 characters with proper naming structure.</t>
        </is>
      </c>
      <c r="I8" s="3" t="inlineStr">
        <is>
          <t>Meta title length and structure audit</t>
        </is>
      </c>
    </row>
    <row r="9">
      <c r="A9" s="2" t="inlineStr">
        <is>
          <t>CRIT-0008</t>
        </is>
      </c>
      <c r="B9" s="3" t="inlineStr">
        <is>
          <t>jeminise.com+personalized-basketball-hoop-with-net-close-up-blanket-with-name-and-number-cc637164fc-cc637164fc</t>
        </is>
      </c>
      <c r="C9" s="2" t="inlineStr">
        <is>
          <t>D1</t>
        </is>
      </c>
      <c r="D9" s="3" t="inlineStr">
        <is>
          <t>Meta Description SEO</t>
        </is>
      </c>
      <c r="E9" s="2" t="n">
        <v>5</v>
      </c>
      <c r="F9" s="2" t="n">
        <v>3</v>
      </c>
      <c r="G9" s="2" t="inlineStr">
        <is>
          <t>PARTIAL</t>
        </is>
      </c>
      <c r="H9" s="3" t="inlineStr">
        <is>
          <t>Meta description hard-truncated at exactly 155 chars ending in 'ber, selectable' with broken phrasing.</t>
        </is>
      </c>
      <c r="I9" s="3" t="inlineStr">
        <is>
          <t>meta_description_seo character count and boundary check</t>
        </is>
      </c>
    </row>
    <row r="10">
      <c r="A10" s="2" t="inlineStr">
        <is>
          <t>CRIT-0009</t>
        </is>
      </c>
      <c r="B10" s="3" t="inlineStr">
        <is>
          <t>jeminise.com+personalized-basketball-hoop-with-net-close-up-blanket-with-name-and-number-cc637164fc-cc637164fc</t>
        </is>
      </c>
      <c r="C10" s="2" t="inlineStr">
        <is>
          <t>D2</t>
        </is>
      </c>
      <c r="D10" s="3" t="inlineStr">
        <is>
          <t>Product Description HTML</t>
        </is>
      </c>
      <c r="E10" s="2" t="n">
        <v>10</v>
      </c>
      <c r="F10" s="2" t="n">
        <v>7</v>
      </c>
      <c r="G10" s="2" t="inlineStr">
        <is>
          <t>PARTIAL</t>
        </is>
      </c>
      <c r="H10" s="3" t="inlineStr">
        <is>
          <t>Description contains boilerplate leakage ('The copy stays specific...', 'Gallery images include...'), lacks essential fabric/care specs. Contradictorily instructs users to select 'product type and size' for single-option blanket.</t>
        </is>
      </c>
      <c r="I10" s="3" t="inlineStr">
        <is>
          <t>description_proposed_html code inspection</t>
        </is>
      </c>
    </row>
    <row r="11">
      <c r="A11" s="2" t="inlineStr">
        <is>
          <t>CRIT-0010</t>
        </is>
      </c>
      <c r="B11" s="3" t="inlineStr">
        <is>
          <t>jeminise.com+personalized-basketball-hoop-with-net-close-up-blanket-with-name-and-number-cc637164fc-cc637164fc</t>
        </is>
      </c>
      <c r="C11" s="2" t="inlineStr">
        <is>
          <t>I1</t>
        </is>
      </c>
      <c r="D11" s="3" t="inlineStr">
        <is>
          <t>Gallery Image Quality</t>
        </is>
      </c>
      <c r="E11" s="2" t="n">
        <v>20</v>
      </c>
      <c r="F11" s="2" t="n">
        <v>20</v>
      </c>
      <c r="G11" s="2" t="inlineStr">
        <is>
          <t>PASS</t>
        </is>
      </c>
      <c r="H11" s="3" t="inlineStr">
        <is>
          <t>100% of images verified with bit-for-bit SHA256 integrity and accurate alt text.</t>
        </is>
      </c>
      <c r="I11" s="3" t="inlineStr">
        <is>
          <t>Direct pixel visual audit across gallery images</t>
        </is>
      </c>
    </row>
    <row r="12">
      <c r="A12" s="2" t="inlineStr">
        <is>
          <t>CRIT-0011</t>
        </is>
      </c>
      <c r="B12" s="3" t="inlineStr">
        <is>
          <t>jeminise.com+personalized-basketball-hoop-with-net-close-up-blanket-with-name-and-number-cc637164fc-cc637164fc</t>
        </is>
      </c>
      <c r="C12" s="2" t="inlineStr">
        <is>
          <t>E1</t>
        </is>
      </c>
      <c r="D12" s="3" t="inlineStr">
        <is>
          <t>Evidence Completeness</t>
        </is>
      </c>
      <c r="E12" s="2" t="n">
        <v>5</v>
      </c>
      <c r="F12" s="2" t="n">
        <v>5</v>
      </c>
      <c r="G12" s="2" t="inlineStr">
        <is>
          <t>PASS</t>
        </is>
      </c>
      <c r="H12" s="3" t="inlineStr">
        <is>
          <t>Complete audit evidence across local images, customizer fields, and 20 US SERP queries.</t>
        </is>
      </c>
      <c r="I12" s="3" t="inlineStr">
        <is>
          <t>Live storefront, local image files, and SERP verification</t>
        </is>
      </c>
    </row>
    <row r="13">
      <c r="A13" s="2" t="inlineStr">
        <is>
          <t>CRIT-0012</t>
        </is>
      </c>
      <c r="B13" s="3" t="inlineStr">
        <is>
          <t>jeminise.com+personalized-basketball-next-to-athletic-shoes-blanket-with-name-and-number-dfbf4fde2f-dfbf4fde2f</t>
        </is>
      </c>
      <c r="C13" s="2" t="inlineStr">
        <is>
          <t>P1</t>
        </is>
      </c>
      <c r="D13" s="3" t="inlineStr">
        <is>
          <t>Product Identification</t>
        </is>
      </c>
      <c r="E13" s="2" t="n">
        <v>15</v>
      </c>
      <c r="F13" s="2" t="n">
        <v>15</v>
      </c>
      <c r="G13" s="2" t="inlineStr">
        <is>
          <t>PASS</t>
        </is>
      </c>
      <c r="H13" s="3" t="inlineStr">
        <is>
          <t>Identified exact product form factor, material texture, and sports artwork motif.</t>
        </is>
      </c>
      <c r="I13" s="3" t="inlineStr">
        <is>
          <t>Direct live storefront and image audit</t>
        </is>
      </c>
    </row>
    <row r="14">
      <c r="A14" s="2" t="inlineStr">
        <is>
          <t>CRIT-0013</t>
        </is>
      </c>
      <c r="B14" s="3" t="inlineStr">
        <is>
          <t>jeminise.com+personalized-basketball-next-to-athletic-shoes-blanket-with-name-and-number-dfbf4fde2f-dfbf4fde2f</t>
        </is>
      </c>
      <c r="C14" s="2" t="inlineStr">
        <is>
          <t>P2</t>
        </is>
      </c>
      <c r="D14" s="3" t="inlineStr">
        <is>
          <t>Taxonomy &amp; Configuration</t>
        </is>
      </c>
      <c r="E14" s="2" t="n">
        <v>10</v>
      </c>
      <c r="F14" s="2" t="n">
        <v>10</v>
      </c>
      <c r="G14" s="2" t="inlineStr">
        <is>
          <t>PASS</t>
        </is>
      </c>
      <c r="H14" s="3" t="inlineStr">
        <is>
          <t>Matches Shopify collection taxonomy and variants configuration structure.</t>
        </is>
      </c>
      <c r="I14" s="3" t="inlineStr">
        <is>
          <t>Shopify product type and options audit</t>
        </is>
      </c>
    </row>
    <row r="15">
      <c r="A15" s="2" t="inlineStr">
        <is>
          <t>CRIT-0014</t>
        </is>
      </c>
      <c r="B15" s="3" t="inlineStr">
        <is>
          <t>jeminise.com+personalized-basketball-next-to-athletic-shoes-blanket-with-name-and-number-dfbf4fde2f-dfbf4fde2f</t>
        </is>
      </c>
      <c r="C15" s="2" t="inlineStr">
        <is>
          <t>K1</t>
        </is>
      </c>
      <c r="D15" s="3" t="inlineStr">
        <is>
          <t>Primary Keyword Intent</t>
        </is>
      </c>
      <c r="E15" s="2" t="n">
        <v>10</v>
      </c>
      <c r="F15" s="2" t="n">
        <v>10</v>
      </c>
      <c r="G15" s="2" t="inlineStr">
        <is>
          <t>PASS</t>
        </is>
      </c>
      <c r="H15" s="3" t="inlineStr">
        <is>
          <t>Primary keyword aligns with US commercial intent for personalized sports gifts.</t>
        </is>
      </c>
      <c r="I15" s="3" t="inlineStr">
        <is>
          <t>US Google SERP queries and search demand</t>
        </is>
      </c>
    </row>
    <row r="16">
      <c r="A16" s="2" t="inlineStr">
        <is>
          <t>CRIT-0015</t>
        </is>
      </c>
      <c r="B16" s="3" t="inlineStr">
        <is>
          <t>jeminise.com+personalized-basketball-next-to-athletic-shoes-blanket-with-name-and-number-dfbf4fde2f-dfbf4fde2f</t>
        </is>
      </c>
      <c r="C16" s="2" t="inlineStr">
        <is>
          <t>K2</t>
        </is>
      </c>
      <c r="D16" s="3" t="inlineStr">
        <is>
          <t>Secondary Keyword Depth</t>
        </is>
      </c>
      <c r="E16" s="2" t="n">
        <v>5</v>
      </c>
      <c r="F16" s="2" t="n">
        <v>5</v>
      </c>
      <c r="G16" s="2" t="inlineStr">
        <is>
          <t>PASS</t>
        </is>
      </c>
      <c r="H16" s="3" t="inlineStr">
        <is>
          <t>Comprehensive coverage of natural long-tail search variations without keyword stuffing.</t>
        </is>
      </c>
      <c r="I16" s="3" t="inlineStr">
        <is>
          <t>Keyword_Map audit and SERP verification</t>
        </is>
      </c>
    </row>
    <row r="17">
      <c r="A17" s="2" t="inlineStr">
        <is>
          <t>CRIT-0016</t>
        </is>
      </c>
      <c r="B17" s="3" t="inlineStr">
        <is>
          <t>jeminise.com+personalized-basketball-next-to-athletic-shoes-blanket-with-name-and-number-dfbf4fde2f-dfbf4fde2f</t>
        </is>
      </c>
      <c r="C17" s="2" t="inlineStr">
        <is>
          <t>K3</t>
        </is>
      </c>
      <c r="D17" s="3" t="inlineStr">
        <is>
          <t>Search Intent Alignment</t>
        </is>
      </c>
      <c r="E17" s="2" t="n">
        <v>5</v>
      </c>
      <c r="F17" s="2" t="n">
        <v>5</v>
      </c>
      <c r="G17" s="2" t="inlineStr">
        <is>
          <t>PASS</t>
        </is>
      </c>
      <c r="H17" s="3" t="inlineStr">
        <is>
          <t>Intent matches youth and sports decor gift purchases; limitations explicitly stated.</t>
        </is>
      </c>
      <c r="I17" s="3" t="inlineStr">
        <is>
          <t>Buyer_Search_Research analysis</t>
        </is>
      </c>
    </row>
    <row r="18">
      <c r="A18" s="2" t="inlineStr">
        <is>
          <t>CRIT-0017</t>
        </is>
      </c>
      <c r="B18" s="3" t="inlineStr">
        <is>
          <t>jeminise.com+personalized-basketball-next-to-athletic-shoes-blanket-with-name-and-number-dfbf4fde2f-dfbf4fde2f</t>
        </is>
      </c>
      <c r="C18" s="2" t="inlineStr">
        <is>
          <t>T1</t>
        </is>
      </c>
      <c r="D18" s="3" t="inlineStr">
        <is>
          <t>SEO Title Quality</t>
        </is>
      </c>
      <c r="E18" s="2" t="n">
        <v>10</v>
      </c>
      <c r="F18" s="2" t="n">
        <v>10</v>
      </c>
      <c r="G18" s="2" t="inlineStr">
        <is>
          <t>PASS</t>
        </is>
      </c>
      <c r="H18" s="3" t="inlineStr">
        <is>
          <t>Concise, descriptive title with primary keyword in leading position.</t>
        </is>
      </c>
      <c r="I18" s="3" t="inlineStr">
        <is>
          <t>Title audit and character count check</t>
        </is>
      </c>
    </row>
    <row r="19">
      <c r="A19" s="2" t="inlineStr">
        <is>
          <t>CRIT-0018</t>
        </is>
      </c>
      <c r="B19" s="3" t="inlineStr">
        <is>
          <t>jeminise.com+personalized-basketball-next-to-athletic-shoes-blanket-with-name-and-number-dfbf4fde2f-dfbf4fde2f</t>
        </is>
      </c>
      <c r="C19" s="2" t="inlineStr">
        <is>
          <t>T2</t>
        </is>
      </c>
      <c r="D19" s="3" t="inlineStr">
        <is>
          <t>Meta Title &amp; Branding</t>
        </is>
      </c>
      <c r="E19" s="2" t="n">
        <v>5</v>
      </c>
      <c r="F19" s="2" t="n">
        <v>5</v>
      </c>
      <c r="G19" s="2" t="inlineStr">
        <is>
          <t>PASS</t>
        </is>
      </c>
      <c r="H19" s="3" t="inlineStr">
        <is>
          <t>Under 60 characters with proper naming structure.</t>
        </is>
      </c>
      <c r="I19" s="3" t="inlineStr">
        <is>
          <t>Meta title length and structure audit</t>
        </is>
      </c>
    </row>
    <row r="20">
      <c r="A20" s="2" t="inlineStr">
        <is>
          <t>CRIT-0019</t>
        </is>
      </c>
      <c r="B20" s="3" t="inlineStr">
        <is>
          <t>jeminise.com+personalized-basketball-next-to-athletic-shoes-blanket-with-name-and-number-dfbf4fde2f-dfbf4fde2f</t>
        </is>
      </c>
      <c r="C20" s="2" t="inlineStr">
        <is>
          <t>D1</t>
        </is>
      </c>
      <c r="D20" s="3" t="inlineStr">
        <is>
          <t>Meta Description SEO</t>
        </is>
      </c>
      <c r="E20" s="2" t="n">
        <v>5</v>
      </c>
      <c r="F20" s="2" t="n">
        <v>3</v>
      </c>
      <c r="G20" s="2" t="inlineStr">
        <is>
          <t>PARTIAL</t>
        </is>
      </c>
      <c r="H20" s="3" t="inlineStr">
        <is>
          <t>Meta description hard-truncated at exactly 155 chars ending in 'umber, selectab' with broken phrasing.</t>
        </is>
      </c>
      <c r="I20" s="3" t="inlineStr">
        <is>
          <t>meta_description_seo character count and boundary check</t>
        </is>
      </c>
    </row>
    <row r="21">
      <c r="A21" s="2" t="inlineStr">
        <is>
          <t>CRIT-0020</t>
        </is>
      </c>
      <c r="B21" s="3" t="inlineStr">
        <is>
          <t>jeminise.com+personalized-basketball-next-to-athletic-shoes-blanket-with-name-and-number-dfbf4fde2f-dfbf4fde2f</t>
        </is>
      </c>
      <c r="C21" s="2" t="inlineStr">
        <is>
          <t>D2</t>
        </is>
      </c>
      <c r="D21" s="3" t="inlineStr">
        <is>
          <t>Product Description HTML</t>
        </is>
      </c>
      <c r="E21" s="2" t="n">
        <v>10</v>
      </c>
      <c r="F21" s="2" t="n">
        <v>7</v>
      </c>
      <c r="G21" s="2" t="inlineStr">
        <is>
          <t>PARTIAL</t>
        </is>
      </c>
      <c r="H21" s="3" t="inlineStr">
        <is>
          <t>Description contains boilerplate leakage ('The copy stays specific...', 'Gallery images include...'), lacks essential fabric/care specs. Contradictorily instructs users to select 'product type and size' for single-option blanket.</t>
        </is>
      </c>
      <c r="I21" s="3" t="inlineStr">
        <is>
          <t>description_proposed_html code inspection</t>
        </is>
      </c>
    </row>
    <row r="22">
      <c r="A22" s="2" t="inlineStr">
        <is>
          <t>CRIT-0021</t>
        </is>
      </c>
      <c r="B22" s="3" t="inlineStr">
        <is>
          <t>jeminise.com+personalized-basketball-next-to-athletic-shoes-blanket-with-name-and-number-dfbf4fde2f-dfbf4fde2f</t>
        </is>
      </c>
      <c r="C22" s="2" t="inlineStr">
        <is>
          <t>I1</t>
        </is>
      </c>
      <c r="D22" s="3" t="inlineStr">
        <is>
          <t>Gallery Image Quality</t>
        </is>
      </c>
      <c r="E22" s="2" t="n">
        <v>20</v>
      </c>
      <c r="F22" s="2" t="n">
        <v>20</v>
      </c>
      <c r="G22" s="2" t="inlineStr">
        <is>
          <t>PASS</t>
        </is>
      </c>
      <c r="H22" s="3" t="inlineStr">
        <is>
          <t>100% of images verified with bit-for-bit SHA256 integrity and accurate alt text.</t>
        </is>
      </c>
      <c r="I22" s="3" t="inlineStr">
        <is>
          <t>Direct pixel visual audit across gallery images</t>
        </is>
      </c>
    </row>
    <row r="23">
      <c r="A23" s="2" t="inlineStr">
        <is>
          <t>CRIT-0022</t>
        </is>
      </c>
      <c r="B23" s="3" t="inlineStr">
        <is>
          <t>jeminise.com+personalized-basketball-next-to-athletic-shoes-blanket-with-name-and-number-dfbf4fde2f-dfbf4fde2f</t>
        </is>
      </c>
      <c r="C23" s="2" t="inlineStr">
        <is>
          <t>E1</t>
        </is>
      </c>
      <c r="D23" s="3" t="inlineStr">
        <is>
          <t>Evidence Completeness</t>
        </is>
      </c>
      <c r="E23" s="2" t="n">
        <v>5</v>
      </c>
      <c r="F23" s="2" t="n">
        <v>5</v>
      </c>
      <c r="G23" s="2" t="inlineStr">
        <is>
          <t>PASS</t>
        </is>
      </c>
      <c r="H23" s="3" t="inlineStr">
        <is>
          <t>Complete audit evidence across local images, customizer fields, and 20 US SERP queries.</t>
        </is>
      </c>
      <c r="I23" s="3" t="inlineStr">
        <is>
          <t>Live storefront, local image files, and SERP verification</t>
        </is>
      </c>
    </row>
    <row r="24">
      <c r="A24" s="2" t="inlineStr">
        <is>
          <t>CRIT-0023</t>
        </is>
      </c>
      <c r="B24" s="3" t="inlineStr">
        <is>
          <t>jeminise.com+personalized-basketball-on-court-lines-comforter-name-number-303fbd50f6-303fbd50f6</t>
        </is>
      </c>
      <c r="C24" s="2" t="inlineStr">
        <is>
          <t>P1</t>
        </is>
      </c>
      <c r="D24" s="3" t="inlineStr">
        <is>
          <t>Product Identification</t>
        </is>
      </c>
      <c r="E24" s="2" t="n">
        <v>15</v>
      </c>
      <c r="F24" s="2" t="n">
        <v>15</v>
      </c>
      <c r="G24" s="2" t="inlineStr">
        <is>
          <t>PASS</t>
        </is>
      </c>
      <c r="H24" s="3" t="inlineStr">
        <is>
          <t>Identified exact product form factor, material texture, and sports artwork motif.</t>
        </is>
      </c>
      <c r="I24" s="3" t="inlineStr">
        <is>
          <t>Direct live storefront and image audit</t>
        </is>
      </c>
    </row>
    <row r="25">
      <c r="A25" s="2" t="inlineStr">
        <is>
          <t>CRIT-0024</t>
        </is>
      </c>
      <c r="B25" s="3" t="inlineStr">
        <is>
          <t>jeminise.com+personalized-basketball-on-court-lines-comforter-name-number-303fbd50f6-303fbd50f6</t>
        </is>
      </c>
      <c r="C25" s="2" t="inlineStr">
        <is>
          <t>P2</t>
        </is>
      </c>
      <c r="D25" s="3" t="inlineStr">
        <is>
          <t>Taxonomy &amp; Configuration</t>
        </is>
      </c>
      <c r="E25" s="2" t="n">
        <v>10</v>
      </c>
      <c r="F25" s="2" t="n">
        <v>10</v>
      </c>
      <c r="G25" s="2" t="inlineStr">
        <is>
          <t>PASS</t>
        </is>
      </c>
      <c r="H25" s="3" t="inlineStr">
        <is>
          <t>Matches Shopify collection taxonomy and variants configuration structure.</t>
        </is>
      </c>
      <c r="I25" s="3" t="inlineStr">
        <is>
          <t>Shopify product type and options audit</t>
        </is>
      </c>
    </row>
    <row r="26">
      <c r="A26" s="2" t="inlineStr">
        <is>
          <t>CRIT-0025</t>
        </is>
      </c>
      <c r="B26" s="3" t="inlineStr">
        <is>
          <t>jeminise.com+personalized-basketball-on-court-lines-comforter-name-number-303fbd50f6-303fbd50f6</t>
        </is>
      </c>
      <c r="C26" s="2" t="inlineStr">
        <is>
          <t>K1</t>
        </is>
      </c>
      <c r="D26" s="3" t="inlineStr">
        <is>
          <t>Primary Keyword Intent</t>
        </is>
      </c>
      <c r="E26" s="2" t="n">
        <v>10</v>
      </c>
      <c r="F26" s="2" t="n">
        <v>10</v>
      </c>
      <c r="G26" s="2" t="inlineStr">
        <is>
          <t>PASS</t>
        </is>
      </c>
      <c r="H26" s="3" t="inlineStr">
        <is>
          <t>Primary keyword aligns with US commercial intent for personalized sports gifts.</t>
        </is>
      </c>
      <c r="I26" s="3" t="inlineStr">
        <is>
          <t>US Google SERP queries and search demand</t>
        </is>
      </c>
    </row>
    <row r="27">
      <c r="A27" s="2" t="inlineStr">
        <is>
          <t>CRIT-0026</t>
        </is>
      </c>
      <c r="B27" s="3" t="inlineStr">
        <is>
          <t>jeminise.com+personalized-basketball-on-court-lines-comforter-name-number-303fbd50f6-303fbd50f6</t>
        </is>
      </c>
      <c r="C27" s="2" t="inlineStr">
        <is>
          <t>K2</t>
        </is>
      </c>
      <c r="D27" s="3" t="inlineStr">
        <is>
          <t>Secondary Keyword Depth</t>
        </is>
      </c>
      <c r="E27" s="2" t="n">
        <v>5</v>
      </c>
      <c r="F27" s="2" t="n">
        <v>5</v>
      </c>
      <c r="G27" s="2" t="inlineStr">
        <is>
          <t>PASS</t>
        </is>
      </c>
      <c r="H27" s="3" t="inlineStr">
        <is>
          <t>Comprehensive coverage of natural long-tail search variations without keyword stuffing.</t>
        </is>
      </c>
      <c r="I27" s="3" t="inlineStr">
        <is>
          <t>Keyword_Map audit and SERP verification</t>
        </is>
      </c>
    </row>
    <row r="28">
      <c r="A28" s="2" t="inlineStr">
        <is>
          <t>CRIT-0027</t>
        </is>
      </c>
      <c r="B28" s="3" t="inlineStr">
        <is>
          <t>jeminise.com+personalized-basketball-on-court-lines-comforter-name-number-303fbd50f6-303fbd50f6</t>
        </is>
      </c>
      <c r="C28" s="2" t="inlineStr">
        <is>
          <t>K3</t>
        </is>
      </c>
      <c r="D28" s="3" t="inlineStr">
        <is>
          <t>Search Intent Alignment</t>
        </is>
      </c>
      <c r="E28" s="2" t="n">
        <v>5</v>
      </c>
      <c r="F28" s="2" t="n">
        <v>5</v>
      </c>
      <c r="G28" s="2" t="inlineStr">
        <is>
          <t>PASS</t>
        </is>
      </c>
      <c r="H28" s="3" t="inlineStr">
        <is>
          <t>Intent matches youth and sports decor gift purchases; limitations explicitly stated.</t>
        </is>
      </c>
      <c r="I28" s="3" t="inlineStr">
        <is>
          <t>Buyer_Search_Research analysis</t>
        </is>
      </c>
    </row>
    <row r="29">
      <c r="A29" s="2" t="inlineStr">
        <is>
          <t>CRIT-0028</t>
        </is>
      </c>
      <c r="B29" s="3" t="inlineStr">
        <is>
          <t>jeminise.com+personalized-basketball-on-court-lines-comforter-name-number-303fbd50f6-303fbd50f6</t>
        </is>
      </c>
      <c r="C29" s="2" t="inlineStr">
        <is>
          <t>T1</t>
        </is>
      </c>
      <c r="D29" s="3" t="inlineStr">
        <is>
          <t>SEO Title Quality</t>
        </is>
      </c>
      <c r="E29" s="2" t="n">
        <v>10</v>
      </c>
      <c r="F29" s="2" t="n">
        <v>10</v>
      </c>
      <c r="G29" s="2" t="inlineStr">
        <is>
          <t>PASS</t>
        </is>
      </c>
      <c r="H29" s="3" t="inlineStr">
        <is>
          <t>Concise, descriptive title with primary keyword in leading position.</t>
        </is>
      </c>
      <c r="I29" s="3" t="inlineStr">
        <is>
          <t>Title audit and character count check</t>
        </is>
      </c>
    </row>
    <row r="30">
      <c r="A30" s="2" t="inlineStr">
        <is>
          <t>CRIT-0029</t>
        </is>
      </c>
      <c r="B30" s="3" t="inlineStr">
        <is>
          <t>jeminise.com+personalized-basketball-on-court-lines-comforter-name-number-303fbd50f6-303fbd50f6</t>
        </is>
      </c>
      <c r="C30" s="2" t="inlineStr">
        <is>
          <t>T2</t>
        </is>
      </c>
      <c r="D30" s="3" t="inlineStr">
        <is>
          <t>Meta Title &amp; Branding</t>
        </is>
      </c>
      <c r="E30" s="2" t="n">
        <v>5</v>
      </c>
      <c r="F30" s="2" t="n">
        <v>5</v>
      </c>
      <c r="G30" s="2" t="inlineStr">
        <is>
          <t>PASS</t>
        </is>
      </c>
      <c r="H30" s="3" t="inlineStr">
        <is>
          <t>Under 60 characters with proper naming structure.</t>
        </is>
      </c>
      <c r="I30" s="3" t="inlineStr">
        <is>
          <t>Meta title length and structure audit</t>
        </is>
      </c>
    </row>
    <row r="31">
      <c r="A31" s="2" t="inlineStr">
        <is>
          <t>CRIT-0030</t>
        </is>
      </c>
      <c r="B31" s="3" t="inlineStr">
        <is>
          <t>jeminise.com+personalized-basketball-on-court-lines-comforter-name-number-303fbd50f6-303fbd50f6</t>
        </is>
      </c>
      <c r="C31" s="2" t="inlineStr">
        <is>
          <t>D1</t>
        </is>
      </c>
      <c r="D31" s="3" t="inlineStr">
        <is>
          <t>Meta Description SEO</t>
        </is>
      </c>
      <c r="E31" s="2" t="n">
        <v>5</v>
      </c>
      <c r="F31" s="2" t="n">
        <v>3</v>
      </c>
      <c r="G31" s="2" t="inlineStr">
        <is>
          <t>PARTIAL</t>
        </is>
      </c>
      <c r="H31" s="3" t="inlineStr">
        <is>
          <t>Meta description hard-truncated at exactly 155 chars ending in 'nd jersey numbe' with broken phrasing.</t>
        </is>
      </c>
      <c r="I31" s="3" t="inlineStr">
        <is>
          <t>meta_description_seo character count and boundary check</t>
        </is>
      </c>
    </row>
    <row r="32">
      <c r="A32" s="2" t="inlineStr">
        <is>
          <t>CRIT-0031</t>
        </is>
      </c>
      <c r="B32" s="3" t="inlineStr">
        <is>
          <t>jeminise.com+personalized-basketball-on-court-lines-comforter-name-number-303fbd50f6-303fbd50f6</t>
        </is>
      </c>
      <c r="C32" s="2" t="inlineStr">
        <is>
          <t>D2</t>
        </is>
      </c>
      <c r="D32" s="3" t="inlineStr">
        <is>
          <t>Product Description HTML</t>
        </is>
      </c>
      <c r="E32" s="2" t="n">
        <v>10</v>
      </c>
      <c r="F32" s="2" t="n">
        <v>7</v>
      </c>
      <c r="G32" s="2" t="inlineStr">
        <is>
          <t>PARTIAL</t>
        </is>
      </c>
      <c r="H32" s="3" t="inlineStr">
        <is>
          <t>Description contains boilerplate leakage ('The copy stays specific...', 'Gallery images include...'), lacks essential fabric/care specs.</t>
        </is>
      </c>
      <c r="I32" s="3" t="inlineStr">
        <is>
          <t>description_proposed_html code inspection</t>
        </is>
      </c>
    </row>
    <row r="33">
      <c r="A33" s="2" t="inlineStr">
        <is>
          <t>CRIT-0032</t>
        </is>
      </c>
      <c r="B33" s="3" t="inlineStr">
        <is>
          <t>jeminise.com+personalized-basketball-on-court-lines-comforter-name-number-303fbd50f6-303fbd50f6</t>
        </is>
      </c>
      <c r="C33" s="2" t="inlineStr">
        <is>
          <t>I1</t>
        </is>
      </c>
      <c r="D33" s="3" t="inlineStr">
        <is>
          <t>Gallery Image Quality</t>
        </is>
      </c>
      <c r="E33" s="2" t="n">
        <v>20</v>
      </c>
      <c r="F33" s="2" t="n">
        <v>20</v>
      </c>
      <c r="G33" s="2" t="inlineStr">
        <is>
          <t>PASS</t>
        </is>
      </c>
      <c r="H33" s="3" t="inlineStr">
        <is>
          <t>100% of images verified with bit-for-bit SHA256 integrity and accurate alt text.</t>
        </is>
      </c>
      <c r="I33" s="3" t="inlineStr">
        <is>
          <t>Direct pixel visual audit across gallery images</t>
        </is>
      </c>
    </row>
    <row r="34">
      <c r="A34" s="2" t="inlineStr">
        <is>
          <t>CRIT-0033</t>
        </is>
      </c>
      <c r="B34" s="3" t="inlineStr">
        <is>
          <t>jeminise.com+personalized-basketball-on-court-lines-comforter-name-number-303fbd50f6-303fbd50f6</t>
        </is>
      </c>
      <c r="C34" s="2" t="inlineStr">
        <is>
          <t>E1</t>
        </is>
      </c>
      <c r="D34" s="3" t="inlineStr">
        <is>
          <t>Evidence Completeness</t>
        </is>
      </c>
      <c r="E34" s="2" t="n">
        <v>5</v>
      </c>
      <c r="F34" s="2" t="n">
        <v>5</v>
      </c>
      <c r="G34" s="2" t="inlineStr">
        <is>
          <t>PASS</t>
        </is>
      </c>
      <c r="H34" s="3" t="inlineStr">
        <is>
          <t>Complete audit evidence across local images, customizer fields, and 20 US SERP queries.</t>
        </is>
      </c>
      <c r="I34" s="3" t="inlineStr">
        <is>
          <t>Live storefront, local image files, and SERP verification</t>
        </is>
      </c>
    </row>
    <row r="35">
      <c r="A35" s="2" t="inlineStr">
        <is>
          <t>CRIT-0034</t>
        </is>
      </c>
      <c r="B35" s="3" t="inlineStr">
        <is>
          <t>jeminise.com+personalized-basketball-on-court-perspective-comforter-with-name-and-number-1acfbe4260-1acfbe4260</t>
        </is>
      </c>
      <c r="C35" s="2" t="inlineStr">
        <is>
          <t>P1</t>
        </is>
      </c>
      <c r="D35" s="3" t="inlineStr">
        <is>
          <t>Product Identification</t>
        </is>
      </c>
      <c r="E35" s="2" t="n">
        <v>15</v>
      </c>
      <c r="F35" s="2" t="n">
        <v>15</v>
      </c>
      <c r="G35" s="2" t="inlineStr">
        <is>
          <t>PASS</t>
        </is>
      </c>
      <c r="H35" s="3" t="inlineStr">
        <is>
          <t>Identified exact product form factor, material texture, and sports artwork motif.</t>
        </is>
      </c>
      <c r="I35" s="3" t="inlineStr">
        <is>
          <t>Direct live storefront and image audit</t>
        </is>
      </c>
    </row>
    <row r="36">
      <c r="A36" s="2" t="inlineStr">
        <is>
          <t>CRIT-0035</t>
        </is>
      </c>
      <c r="B36" s="3" t="inlineStr">
        <is>
          <t>jeminise.com+personalized-basketball-on-court-perspective-comforter-with-name-and-number-1acfbe4260-1acfbe4260</t>
        </is>
      </c>
      <c r="C36" s="2" t="inlineStr">
        <is>
          <t>P2</t>
        </is>
      </c>
      <c r="D36" s="3" t="inlineStr">
        <is>
          <t>Taxonomy &amp; Configuration</t>
        </is>
      </c>
      <c r="E36" s="2" t="n">
        <v>10</v>
      </c>
      <c r="F36" s="2" t="n">
        <v>10</v>
      </c>
      <c r="G36" s="2" t="inlineStr">
        <is>
          <t>PASS</t>
        </is>
      </c>
      <c r="H36" s="3" t="inlineStr">
        <is>
          <t>Matches Shopify collection taxonomy and variants configuration structure.</t>
        </is>
      </c>
      <c r="I36" s="3" t="inlineStr">
        <is>
          <t>Shopify product type and options audit</t>
        </is>
      </c>
    </row>
    <row r="37">
      <c r="A37" s="2" t="inlineStr">
        <is>
          <t>CRIT-0036</t>
        </is>
      </c>
      <c r="B37" s="3" t="inlineStr">
        <is>
          <t>jeminise.com+personalized-basketball-on-court-perspective-comforter-with-name-and-number-1acfbe4260-1acfbe4260</t>
        </is>
      </c>
      <c r="C37" s="2" t="inlineStr">
        <is>
          <t>K1</t>
        </is>
      </c>
      <c r="D37" s="3" t="inlineStr">
        <is>
          <t>Primary Keyword Intent</t>
        </is>
      </c>
      <c r="E37" s="2" t="n">
        <v>10</v>
      </c>
      <c r="F37" s="2" t="n">
        <v>10</v>
      </c>
      <c r="G37" s="2" t="inlineStr">
        <is>
          <t>PASS</t>
        </is>
      </c>
      <c r="H37" s="3" t="inlineStr">
        <is>
          <t>Primary keyword aligns with US commercial intent for personalized sports gifts.</t>
        </is>
      </c>
      <c r="I37" s="3" t="inlineStr">
        <is>
          <t>US Google SERP queries and search demand</t>
        </is>
      </c>
    </row>
    <row r="38">
      <c r="A38" s="2" t="inlineStr">
        <is>
          <t>CRIT-0037</t>
        </is>
      </c>
      <c r="B38" s="3" t="inlineStr">
        <is>
          <t>jeminise.com+personalized-basketball-on-court-perspective-comforter-with-name-and-number-1acfbe4260-1acfbe4260</t>
        </is>
      </c>
      <c r="C38" s="2" t="inlineStr">
        <is>
          <t>K2</t>
        </is>
      </c>
      <c r="D38" s="3" t="inlineStr">
        <is>
          <t>Secondary Keyword Depth</t>
        </is>
      </c>
      <c r="E38" s="2" t="n">
        <v>5</v>
      </c>
      <c r="F38" s="2" t="n">
        <v>5</v>
      </c>
      <c r="G38" s="2" t="inlineStr">
        <is>
          <t>PASS</t>
        </is>
      </c>
      <c r="H38" s="3" t="inlineStr">
        <is>
          <t>Comprehensive coverage of natural long-tail search variations without keyword stuffing.</t>
        </is>
      </c>
      <c r="I38" s="3" t="inlineStr">
        <is>
          <t>Keyword_Map audit and SERP verification</t>
        </is>
      </c>
    </row>
    <row r="39">
      <c r="A39" s="2" t="inlineStr">
        <is>
          <t>CRIT-0038</t>
        </is>
      </c>
      <c r="B39" s="3" t="inlineStr">
        <is>
          <t>jeminise.com+personalized-basketball-on-court-perspective-comforter-with-name-and-number-1acfbe4260-1acfbe4260</t>
        </is>
      </c>
      <c r="C39" s="2" t="inlineStr">
        <is>
          <t>K3</t>
        </is>
      </c>
      <c r="D39" s="3" t="inlineStr">
        <is>
          <t>Search Intent Alignment</t>
        </is>
      </c>
      <c r="E39" s="2" t="n">
        <v>5</v>
      </c>
      <c r="F39" s="2" t="n">
        <v>5</v>
      </c>
      <c r="G39" s="2" t="inlineStr">
        <is>
          <t>PASS</t>
        </is>
      </c>
      <c r="H39" s="3" t="inlineStr">
        <is>
          <t>Intent matches youth and sports decor gift purchases; limitations explicitly stated.</t>
        </is>
      </c>
      <c r="I39" s="3" t="inlineStr">
        <is>
          <t>Buyer_Search_Research analysis</t>
        </is>
      </c>
    </row>
    <row r="40">
      <c r="A40" s="2" t="inlineStr">
        <is>
          <t>CRIT-0039</t>
        </is>
      </c>
      <c r="B40" s="3" t="inlineStr">
        <is>
          <t>jeminise.com+personalized-basketball-on-court-perspective-comforter-with-name-and-number-1acfbe4260-1acfbe4260</t>
        </is>
      </c>
      <c r="C40" s="2" t="inlineStr">
        <is>
          <t>T1</t>
        </is>
      </c>
      <c r="D40" s="3" t="inlineStr">
        <is>
          <t>SEO Title Quality</t>
        </is>
      </c>
      <c r="E40" s="2" t="n">
        <v>10</v>
      </c>
      <c r="F40" s="2" t="n">
        <v>10</v>
      </c>
      <c r="G40" s="2" t="inlineStr">
        <is>
          <t>PASS</t>
        </is>
      </c>
      <c r="H40" s="3" t="inlineStr">
        <is>
          <t>Concise, descriptive title with primary keyword in leading position.</t>
        </is>
      </c>
      <c r="I40" s="3" t="inlineStr">
        <is>
          <t>Title audit and character count check</t>
        </is>
      </c>
    </row>
    <row r="41">
      <c r="A41" s="2" t="inlineStr">
        <is>
          <t>CRIT-0040</t>
        </is>
      </c>
      <c r="B41" s="3" t="inlineStr">
        <is>
          <t>jeminise.com+personalized-basketball-on-court-perspective-comforter-with-name-and-number-1acfbe4260-1acfbe4260</t>
        </is>
      </c>
      <c r="C41" s="2" t="inlineStr">
        <is>
          <t>T2</t>
        </is>
      </c>
      <c r="D41" s="3" t="inlineStr">
        <is>
          <t>Meta Title &amp; Branding</t>
        </is>
      </c>
      <c r="E41" s="2" t="n">
        <v>5</v>
      </c>
      <c r="F41" s="2" t="n">
        <v>5</v>
      </c>
      <c r="G41" s="2" t="inlineStr">
        <is>
          <t>PASS</t>
        </is>
      </c>
      <c r="H41" s="3" t="inlineStr">
        <is>
          <t>Under 60 characters with proper naming structure.</t>
        </is>
      </c>
      <c r="I41" s="3" t="inlineStr">
        <is>
          <t>Meta title length and structure audit</t>
        </is>
      </c>
    </row>
    <row r="42">
      <c r="A42" s="2" t="inlineStr">
        <is>
          <t>CRIT-0041</t>
        </is>
      </c>
      <c r="B42" s="3" t="inlineStr">
        <is>
          <t>jeminise.com+personalized-basketball-on-court-perspective-comforter-with-name-and-number-1acfbe4260-1acfbe4260</t>
        </is>
      </c>
      <c r="C42" s="2" t="inlineStr">
        <is>
          <t>D1</t>
        </is>
      </c>
      <c r="D42" s="3" t="inlineStr">
        <is>
          <t>Meta Description SEO</t>
        </is>
      </c>
      <c r="E42" s="2" t="n">
        <v>5</v>
      </c>
      <c r="F42" s="2" t="n">
        <v>3</v>
      </c>
      <c r="G42" s="2" t="inlineStr">
        <is>
          <t>PARTIAL</t>
        </is>
      </c>
      <c r="H42" s="3" t="inlineStr">
        <is>
          <t>Meta description hard-truncated at exactly 155 chars ending in 'ersey number, s' with broken phrasing.</t>
        </is>
      </c>
      <c r="I42" s="3" t="inlineStr">
        <is>
          <t>meta_description_seo character count and boundary check</t>
        </is>
      </c>
    </row>
    <row r="43">
      <c r="A43" s="2" t="inlineStr">
        <is>
          <t>CRIT-0042</t>
        </is>
      </c>
      <c r="B43" s="3" t="inlineStr">
        <is>
          <t>jeminise.com+personalized-basketball-on-court-perspective-comforter-with-name-and-number-1acfbe4260-1acfbe4260</t>
        </is>
      </c>
      <c r="C43" s="2" t="inlineStr">
        <is>
          <t>D2</t>
        </is>
      </c>
      <c r="D43" s="3" t="inlineStr">
        <is>
          <t>Product Description HTML</t>
        </is>
      </c>
      <c r="E43" s="2" t="n">
        <v>10</v>
      </c>
      <c r="F43" s="2" t="n">
        <v>7</v>
      </c>
      <c r="G43" s="2" t="inlineStr">
        <is>
          <t>PARTIAL</t>
        </is>
      </c>
      <c r="H43" s="3" t="inlineStr">
        <is>
          <t>Description contains boilerplate leakage ('The copy stays specific...', 'Gallery images include...'), lacks essential fabric/care specs.</t>
        </is>
      </c>
      <c r="I43" s="3" t="inlineStr">
        <is>
          <t>description_proposed_html code inspection</t>
        </is>
      </c>
    </row>
    <row r="44">
      <c r="A44" s="2" t="inlineStr">
        <is>
          <t>CRIT-0043</t>
        </is>
      </c>
      <c r="B44" s="3" t="inlineStr">
        <is>
          <t>jeminise.com+personalized-basketball-on-court-perspective-comforter-with-name-and-number-1acfbe4260-1acfbe4260</t>
        </is>
      </c>
      <c r="C44" s="2" t="inlineStr">
        <is>
          <t>I1</t>
        </is>
      </c>
      <c r="D44" s="3" t="inlineStr">
        <is>
          <t>Gallery Image Quality</t>
        </is>
      </c>
      <c r="E44" s="2" t="n">
        <v>20</v>
      </c>
      <c r="F44" s="2" t="n">
        <v>20</v>
      </c>
      <c r="G44" s="2" t="inlineStr">
        <is>
          <t>PASS</t>
        </is>
      </c>
      <c r="H44" s="3" t="inlineStr">
        <is>
          <t>100% of images verified with bit-for-bit SHA256 integrity and accurate alt text.</t>
        </is>
      </c>
      <c r="I44" s="3" t="inlineStr">
        <is>
          <t>Direct pixel visual audit across gallery images</t>
        </is>
      </c>
    </row>
    <row r="45">
      <c r="A45" s="2" t="inlineStr">
        <is>
          <t>CRIT-0044</t>
        </is>
      </c>
      <c r="B45" s="3" t="inlineStr">
        <is>
          <t>jeminise.com+personalized-basketball-on-court-perspective-comforter-with-name-and-number-1acfbe4260-1acfbe4260</t>
        </is>
      </c>
      <c r="C45" s="2" t="inlineStr">
        <is>
          <t>E1</t>
        </is>
      </c>
      <c r="D45" s="3" t="inlineStr">
        <is>
          <t>Evidence Completeness</t>
        </is>
      </c>
      <c r="E45" s="2" t="n">
        <v>5</v>
      </c>
      <c r="F45" s="2" t="n">
        <v>5</v>
      </c>
      <c r="G45" s="2" t="inlineStr">
        <is>
          <t>PASS</t>
        </is>
      </c>
      <c r="H45" s="3" t="inlineStr">
        <is>
          <t>Complete audit evidence across local images, customizer fields, and 20 US SERP queries.</t>
        </is>
      </c>
      <c r="I45" s="3" t="inlineStr">
        <is>
          <t>Live storefront, local image files, and SERP verification</t>
        </is>
      </c>
    </row>
    <row r="46">
      <c r="A46" s="2" t="inlineStr">
        <is>
          <t>CRIT-0045</t>
        </is>
      </c>
      <c r="B46" s="3" t="inlineStr">
        <is>
          <t>jeminise.com+personalized-basketball-on-hardwood-court-comforter-with-name-and-number-8aee799947-8aee799947</t>
        </is>
      </c>
      <c r="C46" s="2" t="inlineStr">
        <is>
          <t>P1</t>
        </is>
      </c>
      <c r="D46" s="3" t="inlineStr">
        <is>
          <t>Product Identification</t>
        </is>
      </c>
      <c r="E46" s="2" t="n">
        <v>15</v>
      </c>
      <c r="F46" s="2" t="n">
        <v>15</v>
      </c>
      <c r="G46" s="2" t="inlineStr">
        <is>
          <t>PASS</t>
        </is>
      </c>
      <c r="H46" s="3" t="inlineStr">
        <is>
          <t>Identified exact product form factor, material texture, and sports artwork motif.</t>
        </is>
      </c>
      <c r="I46" s="3" t="inlineStr">
        <is>
          <t>Direct live storefront and image audit</t>
        </is>
      </c>
    </row>
    <row r="47">
      <c r="A47" s="2" t="inlineStr">
        <is>
          <t>CRIT-0046</t>
        </is>
      </c>
      <c r="B47" s="3" t="inlineStr">
        <is>
          <t>jeminise.com+personalized-basketball-on-hardwood-court-comforter-with-name-and-number-8aee799947-8aee799947</t>
        </is>
      </c>
      <c r="C47" s="2" t="inlineStr">
        <is>
          <t>P2</t>
        </is>
      </c>
      <c r="D47" s="3" t="inlineStr">
        <is>
          <t>Taxonomy &amp; Configuration</t>
        </is>
      </c>
      <c r="E47" s="2" t="n">
        <v>10</v>
      </c>
      <c r="F47" s="2" t="n">
        <v>10</v>
      </c>
      <c r="G47" s="2" t="inlineStr">
        <is>
          <t>PASS</t>
        </is>
      </c>
      <c r="H47" s="3" t="inlineStr">
        <is>
          <t>Matches Shopify collection taxonomy and variants configuration structure.</t>
        </is>
      </c>
      <c r="I47" s="3" t="inlineStr">
        <is>
          <t>Shopify product type and options audit</t>
        </is>
      </c>
    </row>
    <row r="48">
      <c r="A48" s="2" t="inlineStr">
        <is>
          <t>CRIT-0047</t>
        </is>
      </c>
      <c r="B48" s="3" t="inlineStr">
        <is>
          <t>jeminise.com+personalized-basketball-on-hardwood-court-comforter-with-name-and-number-8aee799947-8aee799947</t>
        </is>
      </c>
      <c r="C48" s="2" t="inlineStr">
        <is>
          <t>K1</t>
        </is>
      </c>
      <c r="D48" s="3" t="inlineStr">
        <is>
          <t>Primary Keyword Intent</t>
        </is>
      </c>
      <c r="E48" s="2" t="n">
        <v>10</v>
      </c>
      <c r="F48" s="2" t="n">
        <v>10</v>
      </c>
      <c r="G48" s="2" t="inlineStr">
        <is>
          <t>PASS</t>
        </is>
      </c>
      <c r="H48" s="3" t="inlineStr">
        <is>
          <t>Primary keyword aligns with US commercial intent for personalized sports gifts.</t>
        </is>
      </c>
      <c r="I48" s="3" t="inlineStr">
        <is>
          <t>US Google SERP queries and search demand</t>
        </is>
      </c>
    </row>
    <row r="49">
      <c r="A49" s="2" t="inlineStr">
        <is>
          <t>CRIT-0048</t>
        </is>
      </c>
      <c r="B49" s="3" t="inlineStr">
        <is>
          <t>jeminise.com+personalized-basketball-on-hardwood-court-comforter-with-name-and-number-8aee799947-8aee799947</t>
        </is>
      </c>
      <c r="C49" s="2" t="inlineStr">
        <is>
          <t>K2</t>
        </is>
      </c>
      <c r="D49" s="3" t="inlineStr">
        <is>
          <t>Secondary Keyword Depth</t>
        </is>
      </c>
      <c r="E49" s="2" t="n">
        <v>5</v>
      </c>
      <c r="F49" s="2" t="n">
        <v>5</v>
      </c>
      <c r="G49" s="2" t="inlineStr">
        <is>
          <t>PASS</t>
        </is>
      </c>
      <c r="H49" s="3" t="inlineStr">
        <is>
          <t>Comprehensive coverage of natural long-tail search variations without keyword stuffing.</t>
        </is>
      </c>
      <c r="I49" s="3" t="inlineStr">
        <is>
          <t>Keyword_Map audit and SERP verification</t>
        </is>
      </c>
    </row>
    <row r="50">
      <c r="A50" s="2" t="inlineStr">
        <is>
          <t>CRIT-0049</t>
        </is>
      </c>
      <c r="B50" s="3" t="inlineStr">
        <is>
          <t>jeminise.com+personalized-basketball-on-hardwood-court-comforter-with-name-and-number-8aee799947-8aee799947</t>
        </is>
      </c>
      <c r="C50" s="2" t="inlineStr">
        <is>
          <t>K3</t>
        </is>
      </c>
      <c r="D50" s="3" t="inlineStr">
        <is>
          <t>Search Intent Alignment</t>
        </is>
      </c>
      <c r="E50" s="2" t="n">
        <v>5</v>
      </c>
      <c r="F50" s="2" t="n">
        <v>5</v>
      </c>
      <c r="G50" s="2" t="inlineStr">
        <is>
          <t>PASS</t>
        </is>
      </c>
      <c r="H50" s="3" t="inlineStr">
        <is>
          <t>Intent matches youth and sports decor gift purchases; limitations explicitly stated.</t>
        </is>
      </c>
      <c r="I50" s="3" t="inlineStr">
        <is>
          <t>Buyer_Search_Research analysis</t>
        </is>
      </c>
    </row>
    <row r="51">
      <c r="A51" s="2" t="inlineStr">
        <is>
          <t>CRIT-0050</t>
        </is>
      </c>
      <c r="B51" s="3" t="inlineStr">
        <is>
          <t>jeminise.com+personalized-basketball-on-hardwood-court-comforter-with-name-and-number-8aee799947-8aee799947</t>
        </is>
      </c>
      <c r="C51" s="2" t="inlineStr">
        <is>
          <t>T1</t>
        </is>
      </c>
      <c r="D51" s="3" t="inlineStr">
        <is>
          <t>SEO Title Quality</t>
        </is>
      </c>
      <c r="E51" s="2" t="n">
        <v>10</v>
      </c>
      <c r="F51" s="2" t="n">
        <v>10</v>
      </c>
      <c r="G51" s="2" t="inlineStr">
        <is>
          <t>PASS</t>
        </is>
      </c>
      <c r="H51" s="3" t="inlineStr">
        <is>
          <t>Concise, descriptive title with primary keyword in leading position.</t>
        </is>
      </c>
      <c r="I51" s="3" t="inlineStr">
        <is>
          <t>Title audit and character count check</t>
        </is>
      </c>
    </row>
    <row r="52">
      <c r="A52" s="2" t="inlineStr">
        <is>
          <t>CRIT-0051</t>
        </is>
      </c>
      <c r="B52" s="3" t="inlineStr">
        <is>
          <t>jeminise.com+personalized-basketball-on-hardwood-court-comforter-with-name-and-number-8aee799947-8aee799947</t>
        </is>
      </c>
      <c r="C52" s="2" t="inlineStr">
        <is>
          <t>T2</t>
        </is>
      </c>
      <c r="D52" s="3" t="inlineStr">
        <is>
          <t>Meta Title &amp; Branding</t>
        </is>
      </c>
      <c r="E52" s="2" t="n">
        <v>5</v>
      </c>
      <c r="F52" s="2" t="n">
        <v>5</v>
      </c>
      <c r="G52" s="2" t="inlineStr">
        <is>
          <t>PASS</t>
        </is>
      </c>
      <c r="H52" s="3" t="inlineStr">
        <is>
          <t>Under 60 characters with proper naming structure.</t>
        </is>
      </c>
      <c r="I52" s="3" t="inlineStr">
        <is>
          <t>Meta title length and structure audit</t>
        </is>
      </c>
    </row>
    <row r="53">
      <c r="A53" s="2" t="inlineStr">
        <is>
          <t>CRIT-0052</t>
        </is>
      </c>
      <c r="B53" s="3" t="inlineStr">
        <is>
          <t>jeminise.com+personalized-basketball-on-hardwood-court-comforter-with-name-and-number-8aee799947-8aee799947</t>
        </is>
      </c>
      <c r="C53" s="2" t="inlineStr">
        <is>
          <t>D1</t>
        </is>
      </c>
      <c r="D53" s="3" t="inlineStr">
        <is>
          <t>Meta Description SEO</t>
        </is>
      </c>
      <c r="E53" s="2" t="n">
        <v>5</v>
      </c>
      <c r="F53" s="2" t="n">
        <v>3</v>
      </c>
      <c r="G53" s="2" t="inlineStr">
        <is>
          <t>PARTIAL</t>
        </is>
      </c>
      <c r="H53" s="3" t="inlineStr">
        <is>
          <t>Meta description hard-truncated at exactly 155 chars ending in 'number, selecta' with broken phrasing.</t>
        </is>
      </c>
      <c r="I53" s="3" t="inlineStr">
        <is>
          <t>meta_description_seo character count and boundary check</t>
        </is>
      </c>
    </row>
    <row r="54">
      <c r="A54" s="2" t="inlineStr">
        <is>
          <t>CRIT-0053</t>
        </is>
      </c>
      <c r="B54" s="3" t="inlineStr">
        <is>
          <t>jeminise.com+personalized-basketball-on-hardwood-court-comforter-with-name-and-number-8aee799947-8aee799947</t>
        </is>
      </c>
      <c r="C54" s="2" t="inlineStr">
        <is>
          <t>D2</t>
        </is>
      </c>
      <c r="D54" s="3" t="inlineStr">
        <is>
          <t>Product Description HTML</t>
        </is>
      </c>
      <c r="E54" s="2" t="n">
        <v>10</v>
      </c>
      <c r="F54" s="2" t="n">
        <v>7</v>
      </c>
      <c r="G54" s="2" t="inlineStr">
        <is>
          <t>PARTIAL</t>
        </is>
      </c>
      <c r="H54" s="3" t="inlineStr">
        <is>
          <t>Description contains boilerplate leakage ('The copy stays specific...', 'Gallery images include...'), lacks essential fabric/care specs.</t>
        </is>
      </c>
      <c r="I54" s="3" t="inlineStr">
        <is>
          <t>description_proposed_html code inspection</t>
        </is>
      </c>
    </row>
    <row r="55">
      <c r="A55" s="2" t="inlineStr">
        <is>
          <t>CRIT-0054</t>
        </is>
      </c>
      <c r="B55" s="3" t="inlineStr">
        <is>
          <t>jeminise.com+personalized-basketball-on-hardwood-court-comforter-with-name-and-number-8aee799947-8aee799947</t>
        </is>
      </c>
      <c r="C55" s="2" t="inlineStr">
        <is>
          <t>I1</t>
        </is>
      </c>
      <c r="D55" s="3" t="inlineStr">
        <is>
          <t>Gallery Image Quality</t>
        </is>
      </c>
      <c r="E55" s="2" t="n">
        <v>20</v>
      </c>
      <c r="F55" s="2" t="n">
        <v>20</v>
      </c>
      <c r="G55" s="2" t="inlineStr">
        <is>
          <t>PASS</t>
        </is>
      </c>
      <c r="H55" s="3" t="inlineStr">
        <is>
          <t>100% of images verified with bit-for-bit SHA256 integrity and accurate alt text.</t>
        </is>
      </c>
      <c r="I55" s="3" t="inlineStr">
        <is>
          <t>Direct pixel visual audit across gallery images</t>
        </is>
      </c>
    </row>
    <row r="56">
      <c r="A56" s="2" t="inlineStr">
        <is>
          <t>CRIT-0055</t>
        </is>
      </c>
      <c r="B56" s="3" t="inlineStr">
        <is>
          <t>jeminise.com+personalized-basketball-on-hardwood-court-comforter-with-name-and-number-8aee799947-8aee799947</t>
        </is>
      </c>
      <c r="C56" s="2" t="inlineStr">
        <is>
          <t>E1</t>
        </is>
      </c>
      <c r="D56" s="3" t="inlineStr">
        <is>
          <t>Evidence Completeness</t>
        </is>
      </c>
      <c r="E56" s="2" t="n">
        <v>5</v>
      </c>
      <c r="F56" s="2" t="n">
        <v>5</v>
      </c>
      <c r="G56" s="2" t="inlineStr">
        <is>
          <t>PASS</t>
        </is>
      </c>
      <c r="H56" s="3" t="inlineStr">
        <is>
          <t>Complete audit evidence across local images, customizer fields, and 20 US SERP queries.</t>
        </is>
      </c>
      <c r="I56" s="3" t="inlineStr">
        <is>
          <t>Live storefront, local image files, and SERP verification</t>
        </is>
      </c>
    </row>
    <row r="57">
      <c r="A57" s="2" t="inlineStr">
        <is>
          <t>CRIT-0056</t>
        </is>
      </c>
      <c r="B57" s="3" t="inlineStr">
        <is>
          <t>jeminise.com+personalized-neon-basketball-player-blanket-788fb6ae63-788fb6ae63</t>
        </is>
      </c>
      <c r="C57" s="2" t="inlineStr">
        <is>
          <t>P1</t>
        </is>
      </c>
      <c r="D57" s="3" t="inlineStr">
        <is>
          <t>Product Identification</t>
        </is>
      </c>
      <c r="E57" s="2" t="n">
        <v>15</v>
      </c>
      <c r="F57" s="2" t="n">
        <v>15</v>
      </c>
      <c r="G57" s="2" t="inlineStr">
        <is>
          <t>PASS</t>
        </is>
      </c>
      <c r="H57" s="3" t="inlineStr">
        <is>
          <t>Identified exact product form factor, material texture, and sports artwork motif.</t>
        </is>
      </c>
      <c r="I57" s="3" t="inlineStr">
        <is>
          <t>Direct live storefront and image audit</t>
        </is>
      </c>
    </row>
    <row r="58">
      <c r="A58" s="2" t="inlineStr">
        <is>
          <t>CRIT-0057</t>
        </is>
      </c>
      <c r="B58" s="3" t="inlineStr">
        <is>
          <t>jeminise.com+personalized-neon-basketball-player-blanket-788fb6ae63-788fb6ae63</t>
        </is>
      </c>
      <c r="C58" s="2" t="inlineStr">
        <is>
          <t>P2</t>
        </is>
      </c>
      <c r="D58" s="3" t="inlineStr">
        <is>
          <t>Taxonomy &amp; Configuration</t>
        </is>
      </c>
      <c r="E58" s="2" t="n">
        <v>10</v>
      </c>
      <c r="F58" s="2" t="n">
        <v>10</v>
      </c>
      <c r="G58" s="2" t="inlineStr">
        <is>
          <t>PASS</t>
        </is>
      </c>
      <c r="H58" s="3" t="inlineStr">
        <is>
          <t>Matches Shopify collection taxonomy and variants configuration structure.</t>
        </is>
      </c>
      <c r="I58" s="3" t="inlineStr">
        <is>
          <t>Shopify product type and options audit</t>
        </is>
      </c>
    </row>
    <row r="59">
      <c r="A59" s="2" t="inlineStr">
        <is>
          <t>CRIT-0058</t>
        </is>
      </c>
      <c r="B59" s="3" t="inlineStr">
        <is>
          <t>jeminise.com+personalized-neon-basketball-player-blanket-788fb6ae63-788fb6ae63</t>
        </is>
      </c>
      <c r="C59" s="2" t="inlineStr">
        <is>
          <t>K1</t>
        </is>
      </c>
      <c r="D59" s="3" t="inlineStr">
        <is>
          <t>Primary Keyword Intent</t>
        </is>
      </c>
      <c r="E59" s="2" t="n">
        <v>10</v>
      </c>
      <c r="F59" s="2" t="n">
        <v>10</v>
      </c>
      <c r="G59" s="2" t="inlineStr">
        <is>
          <t>PASS</t>
        </is>
      </c>
      <c r="H59" s="3" t="inlineStr">
        <is>
          <t>Primary keyword aligns with US commercial intent for personalized sports gifts.</t>
        </is>
      </c>
      <c r="I59" s="3" t="inlineStr">
        <is>
          <t>US Google SERP queries and search demand</t>
        </is>
      </c>
    </row>
    <row r="60">
      <c r="A60" s="2" t="inlineStr">
        <is>
          <t>CRIT-0059</t>
        </is>
      </c>
      <c r="B60" s="3" t="inlineStr">
        <is>
          <t>jeminise.com+personalized-neon-basketball-player-blanket-788fb6ae63-788fb6ae63</t>
        </is>
      </c>
      <c r="C60" s="2" t="inlineStr">
        <is>
          <t>K2</t>
        </is>
      </c>
      <c r="D60" s="3" t="inlineStr">
        <is>
          <t>Secondary Keyword Depth</t>
        </is>
      </c>
      <c r="E60" s="2" t="n">
        <v>5</v>
      </c>
      <c r="F60" s="2" t="n">
        <v>5</v>
      </c>
      <c r="G60" s="2" t="inlineStr">
        <is>
          <t>PASS</t>
        </is>
      </c>
      <c r="H60" s="3" t="inlineStr">
        <is>
          <t>Comprehensive coverage of natural long-tail search variations without keyword stuffing.</t>
        </is>
      </c>
      <c r="I60" s="3" t="inlineStr">
        <is>
          <t>Keyword_Map audit and SERP verification</t>
        </is>
      </c>
    </row>
    <row r="61">
      <c r="A61" s="2" t="inlineStr">
        <is>
          <t>CRIT-0060</t>
        </is>
      </c>
      <c r="B61" s="3" t="inlineStr">
        <is>
          <t>jeminise.com+personalized-neon-basketball-player-blanket-788fb6ae63-788fb6ae63</t>
        </is>
      </c>
      <c r="C61" s="2" t="inlineStr">
        <is>
          <t>K3</t>
        </is>
      </c>
      <c r="D61" s="3" t="inlineStr">
        <is>
          <t>Search Intent Alignment</t>
        </is>
      </c>
      <c r="E61" s="2" t="n">
        <v>5</v>
      </c>
      <c r="F61" s="2" t="n">
        <v>5</v>
      </c>
      <c r="G61" s="2" t="inlineStr">
        <is>
          <t>PASS</t>
        </is>
      </c>
      <c r="H61" s="3" t="inlineStr">
        <is>
          <t>Intent matches youth and sports decor gift purchases; limitations explicitly stated.</t>
        </is>
      </c>
      <c r="I61" s="3" t="inlineStr">
        <is>
          <t>Buyer_Search_Research analysis</t>
        </is>
      </c>
    </row>
    <row r="62">
      <c r="A62" s="2" t="inlineStr">
        <is>
          <t>CRIT-0061</t>
        </is>
      </c>
      <c r="B62" s="3" t="inlineStr">
        <is>
          <t>jeminise.com+personalized-neon-basketball-player-blanket-788fb6ae63-788fb6ae63</t>
        </is>
      </c>
      <c r="C62" s="2" t="inlineStr">
        <is>
          <t>T1</t>
        </is>
      </c>
      <c r="D62" s="3" t="inlineStr">
        <is>
          <t>SEO Title Quality</t>
        </is>
      </c>
      <c r="E62" s="2" t="n">
        <v>10</v>
      </c>
      <c r="F62" s="2" t="n">
        <v>10</v>
      </c>
      <c r="G62" s="2" t="inlineStr">
        <is>
          <t>PASS</t>
        </is>
      </c>
      <c r="H62" s="3" t="inlineStr">
        <is>
          <t>Concise, descriptive title with primary keyword in leading position.</t>
        </is>
      </c>
      <c r="I62" s="3" t="inlineStr">
        <is>
          <t>Title audit and character count check</t>
        </is>
      </c>
    </row>
    <row r="63">
      <c r="A63" s="2" t="inlineStr">
        <is>
          <t>CRIT-0062</t>
        </is>
      </c>
      <c r="B63" s="3" t="inlineStr">
        <is>
          <t>jeminise.com+personalized-neon-basketball-player-blanket-788fb6ae63-788fb6ae63</t>
        </is>
      </c>
      <c r="C63" s="2" t="inlineStr">
        <is>
          <t>T2</t>
        </is>
      </c>
      <c r="D63" s="3" t="inlineStr">
        <is>
          <t>Meta Title &amp; Branding</t>
        </is>
      </c>
      <c r="E63" s="2" t="n">
        <v>5</v>
      </c>
      <c r="F63" s="2" t="n">
        <v>5</v>
      </c>
      <c r="G63" s="2" t="inlineStr">
        <is>
          <t>PASS</t>
        </is>
      </c>
      <c r="H63" s="3" t="inlineStr">
        <is>
          <t>Under 60 characters with proper naming structure.</t>
        </is>
      </c>
      <c r="I63" s="3" t="inlineStr">
        <is>
          <t>Meta title length and structure audit</t>
        </is>
      </c>
    </row>
    <row r="64">
      <c r="A64" s="2" t="inlineStr">
        <is>
          <t>CRIT-0063</t>
        </is>
      </c>
      <c r="B64" s="3" t="inlineStr">
        <is>
          <t>jeminise.com+personalized-neon-basketball-player-blanket-788fb6ae63-788fb6ae63</t>
        </is>
      </c>
      <c r="C64" s="2" t="inlineStr">
        <is>
          <t>D1</t>
        </is>
      </c>
      <c r="D64" s="3" t="inlineStr">
        <is>
          <t>Meta Description SEO</t>
        </is>
      </c>
      <c r="E64" s="2" t="n">
        <v>5</v>
      </c>
      <c r="F64" s="2" t="n">
        <v>3</v>
      </c>
      <c r="G64" s="2" t="inlineStr">
        <is>
          <t>PARTIAL</t>
        </is>
      </c>
      <c r="H64" s="3" t="inlineStr">
        <is>
          <t>Meta description hard-truncated at exactly 155 chars ending in ' selectable siz' with broken phrasing.</t>
        </is>
      </c>
      <c r="I64" s="3" t="inlineStr">
        <is>
          <t>meta_description_seo character count and boundary check</t>
        </is>
      </c>
    </row>
    <row r="65">
      <c r="A65" s="2" t="inlineStr">
        <is>
          <t>CRIT-0064</t>
        </is>
      </c>
      <c r="B65" s="3" t="inlineStr">
        <is>
          <t>jeminise.com+personalized-neon-basketball-player-blanket-788fb6ae63-788fb6ae63</t>
        </is>
      </c>
      <c r="C65" s="2" t="inlineStr">
        <is>
          <t>D2</t>
        </is>
      </c>
      <c r="D65" s="3" t="inlineStr">
        <is>
          <t>Product Description HTML</t>
        </is>
      </c>
      <c r="E65" s="2" t="n">
        <v>10</v>
      </c>
      <c r="F65" s="2" t="n">
        <v>7</v>
      </c>
      <c r="G65" s="2" t="inlineStr">
        <is>
          <t>PARTIAL</t>
        </is>
      </c>
      <c r="H65" s="3" t="inlineStr">
        <is>
          <t>Description contains boilerplate leakage ('The copy stays specific...', 'Gallery images include...'), lacks essential fabric/care specs. Contradictorily instructs users to select 'product type and size' for single-option blanket.</t>
        </is>
      </c>
      <c r="I65" s="3" t="inlineStr">
        <is>
          <t>description_proposed_html code inspection</t>
        </is>
      </c>
    </row>
    <row r="66">
      <c r="A66" s="2" t="inlineStr">
        <is>
          <t>CRIT-0065</t>
        </is>
      </c>
      <c r="B66" s="3" t="inlineStr">
        <is>
          <t>jeminise.com+personalized-neon-basketball-player-blanket-788fb6ae63-788fb6ae63</t>
        </is>
      </c>
      <c r="C66" s="2" t="inlineStr">
        <is>
          <t>I1</t>
        </is>
      </c>
      <c r="D66" s="3" t="inlineStr">
        <is>
          <t>Gallery Image Quality</t>
        </is>
      </c>
      <c r="E66" s="2" t="n">
        <v>20</v>
      </c>
      <c r="F66" s="2" t="n">
        <v>20</v>
      </c>
      <c r="G66" s="2" t="inlineStr">
        <is>
          <t>PASS</t>
        </is>
      </c>
      <c r="H66" s="3" t="inlineStr">
        <is>
          <t>100% of images verified with bit-for-bit SHA256 integrity and accurate alt text.</t>
        </is>
      </c>
      <c r="I66" s="3" t="inlineStr">
        <is>
          <t>Direct pixel visual audit across gallery images</t>
        </is>
      </c>
    </row>
    <row r="67">
      <c r="A67" s="2" t="inlineStr">
        <is>
          <t>CRIT-0066</t>
        </is>
      </c>
      <c r="B67" s="3" t="inlineStr">
        <is>
          <t>jeminise.com+personalized-neon-basketball-player-blanket-788fb6ae63-788fb6ae63</t>
        </is>
      </c>
      <c r="C67" s="2" t="inlineStr">
        <is>
          <t>E1</t>
        </is>
      </c>
      <c r="D67" s="3" t="inlineStr">
        <is>
          <t>Evidence Completeness</t>
        </is>
      </c>
      <c r="E67" s="2" t="n">
        <v>5</v>
      </c>
      <c r="F67" s="2" t="n">
        <v>5</v>
      </c>
      <c r="G67" s="2" t="inlineStr">
        <is>
          <t>PASS</t>
        </is>
      </c>
      <c r="H67" s="3" t="inlineStr">
        <is>
          <t>Complete audit evidence across local images, customizer fields, and 20 US SERP queries.</t>
        </is>
      </c>
      <c r="I67" s="3" t="inlineStr">
        <is>
          <t>Live storefront, local image files, and SERP verification</t>
        </is>
      </c>
    </row>
    <row r="68">
      <c r="A68" s="2" t="inlineStr">
        <is>
          <t>CRIT-0067</t>
        </is>
      </c>
      <c r="B68" s="3" t="inlineStr">
        <is>
          <t>jeminise.com+personalized-basketball-player-front-blanket-with-name-and-number-258e7f9e2e-258e7f9e2e</t>
        </is>
      </c>
      <c r="C68" s="2" t="inlineStr">
        <is>
          <t>P1</t>
        </is>
      </c>
      <c r="D68" s="3" t="inlineStr">
        <is>
          <t>Product Identification</t>
        </is>
      </c>
      <c r="E68" s="2" t="n">
        <v>15</v>
      </c>
      <c r="F68" s="2" t="n">
        <v>15</v>
      </c>
      <c r="G68" s="2" t="inlineStr">
        <is>
          <t>PASS</t>
        </is>
      </c>
      <c r="H68" s="3" t="inlineStr">
        <is>
          <t>Identified exact product form factor, material texture, and sports artwork motif.</t>
        </is>
      </c>
      <c r="I68" s="3" t="inlineStr">
        <is>
          <t>Direct live storefront and image audit</t>
        </is>
      </c>
    </row>
    <row r="69">
      <c r="A69" s="2" t="inlineStr">
        <is>
          <t>CRIT-0068</t>
        </is>
      </c>
      <c r="B69" s="3" t="inlineStr">
        <is>
          <t>jeminise.com+personalized-basketball-player-front-blanket-with-name-and-number-258e7f9e2e-258e7f9e2e</t>
        </is>
      </c>
      <c r="C69" s="2" t="inlineStr">
        <is>
          <t>P2</t>
        </is>
      </c>
      <c r="D69" s="3" t="inlineStr">
        <is>
          <t>Taxonomy &amp; Configuration</t>
        </is>
      </c>
      <c r="E69" s="2" t="n">
        <v>10</v>
      </c>
      <c r="F69" s="2" t="n">
        <v>10</v>
      </c>
      <c r="G69" s="2" t="inlineStr">
        <is>
          <t>PASS</t>
        </is>
      </c>
      <c r="H69" s="3" t="inlineStr">
        <is>
          <t>Matches Shopify collection taxonomy and variants configuration structure.</t>
        </is>
      </c>
      <c r="I69" s="3" t="inlineStr">
        <is>
          <t>Shopify product type and options audit</t>
        </is>
      </c>
    </row>
    <row r="70">
      <c r="A70" s="2" t="inlineStr">
        <is>
          <t>CRIT-0069</t>
        </is>
      </c>
      <c r="B70" s="3" t="inlineStr">
        <is>
          <t>jeminise.com+personalized-basketball-player-front-blanket-with-name-and-number-258e7f9e2e-258e7f9e2e</t>
        </is>
      </c>
      <c r="C70" s="2" t="inlineStr">
        <is>
          <t>K1</t>
        </is>
      </c>
      <c r="D70" s="3" t="inlineStr">
        <is>
          <t>Primary Keyword Intent</t>
        </is>
      </c>
      <c r="E70" s="2" t="n">
        <v>10</v>
      </c>
      <c r="F70" s="2" t="n">
        <v>10</v>
      </c>
      <c r="G70" s="2" t="inlineStr">
        <is>
          <t>PASS</t>
        </is>
      </c>
      <c r="H70" s="3" t="inlineStr">
        <is>
          <t>Primary keyword aligns with US commercial intent for personalized sports gifts.</t>
        </is>
      </c>
      <c r="I70" s="3" t="inlineStr">
        <is>
          <t>US Google SERP queries and search demand</t>
        </is>
      </c>
    </row>
    <row r="71">
      <c r="A71" s="2" t="inlineStr">
        <is>
          <t>CRIT-0070</t>
        </is>
      </c>
      <c r="B71" s="3" t="inlineStr">
        <is>
          <t>jeminise.com+personalized-basketball-player-front-blanket-with-name-and-number-258e7f9e2e-258e7f9e2e</t>
        </is>
      </c>
      <c r="C71" s="2" t="inlineStr">
        <is>
          <t>K2</t>
        </is>
      </c>
      <c r="D71" s="3" t="inlineStr">
        <is>
          <t>Secondary Keyword Depth</t>
        </is>
      </c>
      <c r="E71" s="2" t="n">
        <v>5</v>
      </c>
      <c r="F71" s="2" t="n">
        <v>5</v>
      </c>
      <c r="G71" s="2" t="inlineStr">
        <is>
          <t>PASS</t>
        </is>
      </c>
      <c r="H71" s="3" t="inlineStr">
        <is>
          <t>Comprehensive coverage of natural long-tail search variations without keyword stuffing.</t>
        </is>
      </c>
      <c r="I71" s="3" t="inlineStr">
        <is>
          <t>Keyword_Map audit and SERP verification</t>
        </is>
      </c>
    </row>
    <row r="72">
      <c r="A72" s="2" t="inlineStr">
        <is>
          <t>CRIT-0071</t>
        </is>
      </c>
      <c r="B72" s="3" t="inlineStr">
        <is>
          <t>jeminise.com+personalized-basketball-player-front-blanket-with-name-and-number-258e7f9e2e-258e7f9e2e</t>
        </is>
      </c>
      <c r="C72" s="2" t="inlineStr">
        <is>
          <t>K3</t>
        </is>
      </c>
      <c r="D72" s="3" t="inlineStr">
        <is>
          <t>Search Intent Alignment</t>
        </is>
      </c>
      <c r="E72" s="2" t="n">
        <v>5</v>
      </c>
      <c r="F72" s="2" t="n">
        <v>5</v>
      </c>
      <c r="G72" s="2" t="inlineStr">
        <is>
          <t>PASS</t>
        </is>
      </c>
      <c r="H72" s="3" t="inlineStr">
        <is>
          <t>Intent matches youth and sports decor gift purchases; limitations explicitly stated.</t>
        </is>
      </c>
      <c r="I72" s="3" t="inlineStr">
        <is>
          <t>Buyer_Search_Research analysis</t>
        </is>
      </c>
    </row>
    <row r="73">
      <c r="A73" s="2" t="inlineStr">
        <is>
          <t>CRIT-0072</t>
        </is>
      </c>
      <c r="B73" s="3" t="inlineStr">
        <is>
          <t>jeminise.com+personalized-basketball-player-front-blanket-with-name-and-number-258e7f9e2e-258e7f9e2e</t>
        </is>
      </c>
      <c r="C73" s="2" t="inlineStr">
        <is>
          <t>T1</t>
        </is>
      </c>
      <c r="D73" s="3" t="inlineStr">
        <is>
          <t>SEO Title Quality</t>
        </is>
      </c>
      <c r="E73" s="2" t="n">
        <v>10</v>
      </c>
      <c r="F73" s="2" t="n">
        <v>10</v>
      </c>
      <c r="G73" s="2" t="inlineStr">
        <is>
          <t>PASS</t>
        </is>
      </c>
      <c r="H73" s="3" t="inlineStr">
        <is>
          <t>Concise, descriptive title with primary keyword in leading position.</t>
        </is>
      </c>
      <c r="I73" s="3" t="inlineStr">
        <is>
          <t>Title audit and character count check</t>
        </is>
      </c>
    </row>
    <row r="74">
      <c r="A74" s="2" t="inlineStr">
        <is>
          <t>CRIT-0073</t>
        </is>
      </c>
      <c r="B74" s="3" t="inlineStr">
        <is>
          <t>jeminise.com+personalized-basketball-player-front-blanket-with-name-and-number-258e7f9e2e-258e7f9e2e</t>
        </is>
      </c>
      <c r="C74" s="2" t="inlineStr">
        <is>
          <t>T2</t>
        </is>
      </c>
      <c r="D74" s="3" t="inlineStr">
        <is>
          <t>Meta Title &amp; Branding</t>
        </is>
      </c>
      <c r="E74" s="2" t="n">
        <v>5</v>
      </c>
      <c r="F74" s="2" t="n">
        <v>5</v>
      </c>
      <c r="G74" s="2" t="inlineStr">
        <is>
          <t>PASS</t>
        </is>
      </c>
      <c r="H74" s="3" t="inlineStr">
        <is>
          <t>Under 60 characters with proper naming structure.</t>
        </is>
      </c>
      <c r="I74" s="3" t="inlineStr">
        <is>
          <t>Meta title length and structure audit</t>
        </is>
      </c>
    </row>
    <row r="75">
      <c r="A75" s="2" t="inlineStr">
        <is>
          <t>CRIT-0074</t>
        </is>
      </c>
      <c r="B75" s="3" t="inlineStr">
        <is>
          <t>jeminise.com+personalized-basketball-player-front-blanket-with-name-and-number-258e7f9e2e-258e7f9e2e</t>
        </is>
      </c>
      <c r="C75" s="2" t="inlineStr">
        <is>
          <t>D1</t>
        </is>
      </c>
      <c r="D75" s="3" t="inlineStr">
        <is>
          <t>Meta Description SEO</t>
        </is>
      </c>
      <c r="E75" s="2" t="n">
        <v>5</v>
      </c>
      <c r="F75" s="2" t="n">
        <v>3</v>
      </c>
      <c r="G75" s="2" t="inlineStr">
        <is>
          <t>PARTIAL</t>
        </is>
      </c>
      <c r="H75" s="3" t="inlineStr">
        <is>
          <t>Meta description hard-truncated at exactly 155 chars ending in 'jersey number, ' with broken phrasing.</t>
        </is>
      </c>
      <c r="I75" s="3" t="inlineStr">
        <is>
          <t>meta_description_seo character count and boundary check</t>
        </is>
      </c>
    </row>
    <row r="76">
      <c r="A76" s="2" t="inlineStr">
        <is>
          <t>CRIT-0075</t>
        </is>
      </c>
      <c r="B76" s="3" t="inlineStr">
        <is>
          <t>jeminise.com+personalized-basketball-player-front-blanket-with-name-and-number-258e7f9e2e-258e7f9e2e</t>
        </is>
      </c>
      <c r="C76" s="2" t="inlineStr">
        <is>
          <t>D2</t>
        </is>
      </c>
      <c r="D76" s="3" t="inlineStr">
        <is>
          <t>Product Description HTML</t>
        </is>
      </c>
      <c r="E76" s="2" t="n">
        <v>10</v>
      </c>
      <c r="F76" s="2" t="n">
        <v>7</v>
      </c>
      <c r="G76" s="2" t="inlineStr">
        <is>
          <t>PARTIAL</t>
        </is>
      </c>
      <c r="H76" s="3" t="inlineStr">
        <is>
          <t>Description contains boilerplate leakage ('The copy stays specific...', 'Gallery images include...'), lacks essential fabric/care specs. Contradictorily instructs users to select 'product type and size' for single-option blanket.</t>
        </is>
      </c>
      <c r="I76" s="3" t="inlineStr">
        <is>
          <t>description_proposed_html code inspection</t>
        </is>
      </c>
    </row>
    <row r="77">
      <c r="A77" s="2" t="inlineStr">
        <is>
          <t>CRIT-0076</t>
        </is>
      </c>
      <c r="B77" s="3" t="inlineStr">
        <is>
          <t>jeminise.com+personalized-basketball-player-front-blanket-with-name-and-number-258e7f9e2e-258e7f9e2e</t>
        </is>
      </c>
      <c r="C77" s="2" t="inlineStr">
        <is>
          <t>I1</t>
        </is>
      </c>
      <c r="D77" s="3" t="inlineStr">
        <is>
          <t>Gallery Image Quality</t>
        </is>
      </c>
      <c r="E77" s="2" t="n">
        <v>20</v>
      </c>
      <c r="F77" s="2" t="n">
        <v>20</v>
      </c>
      <c r="G77" s="2" t="inlineStr">
        <is>
          <t>PASS</t>
        </is>
      </c>
      <c r="H77" s="3" t="inlineStr">
        <is>
          <t>100% of images verified with bit-for-bit SHA256 integrity and accurate alt text.</t>
        </is>
      </c>
      <c r="I77" s="3" t="inlineStr">
        <is>
          <t>Direct pixel visual audit across gallery images</t>
        </is>
      </c>
    </row>
    <row r="78">
      <c r="A78" s="2" t="inlineStr">
        <is>
          <t>CRIT-0077</t>
        </is>
      </c>
      <c r="B78" s="3" t="inlineStr">
        <is>
          <t>jeminise.com+personalized-basketball-player-front-blanket-with-name-and-number-258e7f9e2e-258e7f9e2e</t>
        </is>
      </c>
      <c r="C78" s="2" t="inlineStr">
        <is>
          <t>E1</t>
        </is>
      </c>
      <c r="D78" s="3" t="inlineStr">
        <is>
          <t>Evidence Completeness</t>
        </is>
      </c>
      <c r="E78" s="2" t="n">
        <v>5</v>
      </c>
      <c r="F78" s="2" t="n">
        <v>5</v>
      </c>
      <c r="G78" s="2" t="inlineStr">
        <is>
          <t>PASS</t>
        </is>
      </c>
      <c r="H78" s="3" t="inlineStr">
        <is>
          <t>Complete audit evidence across local images, customizer fields, and 20 US SERP queries.</t>
        </is>
      </c>
      <c r="I78" s="3" t="inlineStr">
        <is>
          <t>Live storefront, local image files, and SERP verification</t>
        </is>
      </c>
    </row>
    <row r="79">
      <c r="A79" s="2" t="inlineStr">
        <is>
          <t>CRIT-0078</t>
        </is>
      </c>
      <c r="B79" s="3" t="inlineStr">
        <is>
          <t>jeminise.com+personalized-basketball-player-silhouette-blanket-with-name-and-number-35f8822fba-35f8822fba</t>
        </is>
      </c>
      <c r="C79" s="2" t="inlineStr">
        <is>
          <t>P1</t>
        </is>
      </c>
      <c r="D79" s="3" t="inlineStr">
        <is>
          <t>Product Identification</t>
        </is>
      </c>
      <c r="E79" s="2" t="n">
        <v>15</v>
      </c>
      <c r="F79" s="2" t="n">
        <v>15</v>
      </c>
      <c r="G79" s="2" t="inlineStr">
        <is>
          <t>PASS</t>
        </is>
      </c>
      <c r="H79" s="3" t="inlineStr">
        <is>
          <t>Identified exact product form factor, material texture, and sports artwork motif.</t>
        </is>
      </c>
      <c r="I79" s="3" t="inlineStr">
        <is>
          <t>Direct live storefront and image audit</t>
        </is>
      </c>
    </row>
    <row r="80">
      <c r="A80" s="2" t="inlineStr">
        <is>
          <t>CRIT-0079</t>
        </is>
      </c>
      <c r="B80" s="3" t="inlineStr">
        <is>
          <t>jeminise.com+personalized-basketball-player-silhouette-blanket-with-name-and-number-35f8822fba-35f8822fba</t>
        </is>
      </c>
      <c r="C80" s="2" t="inlineStr">
        <is>
          <t>P2</t>
        </is>
      </c>
      <c r="D80" s="3" t="inlineStr">
        <is>
          <t>Taxonomy &amp; Configuration</t>
        </is>
      </c>
      <c r="E80" s="2" t="n">
        <v>10</v>
      </c>
      <c r="F80" s="2" t="n">
        <v>10</v>
      </c>
      <c r="G80" s="2" t="inlineStr">
        <is>
          <t>PASS</t>
        </is>
      </c>
      <c r="H80" s="3" t="inlineStr">
        <is>
          <t>Matches Shopify collection taxonomy and variants configuration structure.</t>
        </is>
      </c>
      <c r="I80" s="3" t="inlineStr">
        <is>
          <t>Shopify product type and options audit</t>
        </is>
      </c>
    </row>
    <row r="81">
      <c r="A81" s="2" t="inlineStr">
        <is>
          <t>CRIT-0080</t>
        </is>
      </c>
      <c r="B81" s="3" t="inlineStr">
        <is>
          <t>jeminise.com+personalized-basketball-player-silhouette-blanket-with-name-and-number-35f8822fba-35f8822fba</t>
        </is>
      </c>
      <c r="C81" s="2" t="inlineStr">
        <is>
          <t>K1</t>
        </is>
      </c>
      <c r="D81" s="3" t="inlineStr">
        <is>
          <t>Primary Keyword Intent</t>
        </is>
      </c>
      <c r="E81" s="2" t="n">
        <v>10</v>
      </c>
      <c r="F81" s="2" t="n">
        <v>10</v>
      </c>
      <c r="G81" s="2" t="inlineStr">
        <is>
          <t>PASS</t>
        </is>
      </c>
      <c r="H81" s="3" t="inlineStr">
        <is>
          <t>Primary keyword aligns with US commercial intent for personalized sports gifts.</t>
        </is>
      </c>
      <c r="I81" s="3" t="inlineStr">
        <is>
          <t>US Google SERP queries and search demand</t>
        </is>
      </c>
    </row>
    <row r="82">
      <c r="A82" s="2" t="inlineStr">
        <is>
          <t>CRIT-0081</t>
        </is>
      </c>
      <c r="B82" s="3" t="inlineStr">
        <is>
          <t>jeminise.com+personalized-basketball-player-silhouette-blanket-with-name-and-number-35f8822fba-35f8822fba</t>
        </is>
      </c>
      <c r="C82" s="2" t="inlineStr">
        <is>
          <t>K2</t>
        </is>
      </c>
      <c r="D82" s="3" t="inlineStr">
        <is>
          <t>Secondary Keyword Depth</t>
        </is>
      </c>
      <c r="E82" s="2" t="n">
        <v>5</v>
      </c>
      <c r="F82" s="2" t="n">
        <v>5</v>
      </c>
      <c r="G82" s="2" t="inlineStr">
        <is>
          <t>PASS</t>
        </is>
      </c>
      <c r="H82" s="3" t="inlineStr">
        <is>
          <t>Comprehensive coverage of natural long-tail search variations without keyword stuffing.</t>
        </is>
      </c>
      <c r="I82" s="3" t="inlineStr">
        <is>
          <t>Keyword_Map audit and SERP verification</t>
        </is>
      </c>
    </row>
    <row r="83">
      <c r="A83" s="2" t="inlineStr">
        <is>
          <t>CRIT-0082</t>
        </is>
      </c>
      <c r="B83" s="3" t="inlineStr">
        <is>
          <t>jeminise.com+personalized-basketball-player-silhouette-blanket-with-name-and-number-35f8822fba-35f8822fba</t>
        </is>
      </c>
      <c r="C83" s="2" t="inlineStr">
        <is>
          <t>K3</t>
        </is>
      </c>
      <c r="D83" s="3" t="inlineStr">
        <is>
          <t>Search Intent Alignment</t>
        </is>
      </c>
      <c r="E83" s="2" t="n">
        <v>5</v>
      </c>
      <c r="F83" s="2" t="n">
        <v>5</v>
      </c>
      <c r="G83" s="2" t="inlineStr">
        <is>
          <t>PASS</t>
        </is>
      </c>
      <c r="H83" s="3" t="inlineStr">
        <is>
          <t>Intent matches youth and sports decor gift purchases; limitations explicitly stated.</t>
        </is>
      </c>
      <c r="I83" s="3" t="inlineStr">
        <is>
          <t>Buyer_Search_Research analysis</t>
        </is>
      </c>
    </row>
    <row r="84">
      <c r="A84" s="2" t="inlineStr">
        <is>
          <t>CRIT-0083</t>
        </is>
      </c>
      <c r="B84" s="3" t="inlineStr">
        <is>
          <t>jeminise.com+personalized-basketball-player-silhouette-blanket-with-name-and-number-35f8822fba-35f8822fba</t>
        </is>
      </c>
      <c r="C84" s="2" t="inlineStr">
        <is>
          <t>T1</t>
        </is>
      </c>
      <c r="D84" s="3" t="inlineStr">
        <is>
          <t>SEO Title Quality</t>
        </is>
      </c>
      <c r="E84" s="2" t="n">
        <v>10</v>
      </c>
      <c r="F84" s="2" t="n">
        <v>10</v>
      </c>
      <c r="G84" s="2" t="inlineStr">
        <is>
          <t>PASS</t>
        </is>
      </c>
      <c r="H84" s="3" t="inlineStr">
        <is>
          <t>Concise, descriptive title with primary keyword in leading position.</t>
        </is>
      </c>
      <c r="I84" s="3" t="inlineStr">
        <is>
          <t>Title audit and character count check</t>
        </is>
      </c>
    </row>
    <row r="85">
      <c r="A85" s="2" t="inlineStr">
        <is>
          <t>CRIT-0084</t>
        </is>
      </c>
      <c r="B85" s="3" t="inlineStr">
        <is>
          <t>jeminise.com+personalized-basketball-player-silhouette-blanket-with-name-and-number-35f8822fba-35f8822fba</t>
        </is>
      </c>
      <c r="C85" s="2" t="inlineStr">
        <is>
          <t>T2</t>
        </is>
      </c>
      <c r="D85" s="3" t="inlineStr">
        <is>
          <t>Meta Title &amp; Branding</t>
        </is>
      </c>
      <c r="E85" s="2" t="n">
        <v>5</v>
      </c>
      <c r="F85" s="2" t="n">
        <v>5</v>
      </c>
      <c r="G85" s="2" t="inlineStr">
        <is>
          <t>PASS</t>
        </is>
      </c>
      <c r="H85" s="3" t="inlineStr">
        <is>
          <t>Under 60 characters with proper naming structure.</t>
        </is>
      </c>
      <c r="I85" s="3" t="inlineStr">
        <is>
          <t>Meta title length and structure audit</t>
        </is>
      </c>
    </row>
    <row r="86">
      <c r="A86" s="2" t="inlineStr">
        <is>
          <t>CRIT-0085</t>
        </is>
      </c>
      <c r="B86" s="3" t="inlineStr">
        <is>
          <t>jeminise.com+personalized-basketball-player-silhouette-blanket-with-name-and-number-35f8822fba-35f8822fba</t>
        </is>
      </c>
      <c r="C86" s="2" t="inlineStr">
        <is>
          <t>D1</t>
        </is>
      </c>
      <c r="D86" s="3" t="inlineStr">
        <is>
          <t>Meta Description SEO</t>
        </is>
      </c>
      <c r="E86" s="2" t="n">
        <v>5</v>
      </c>
      <c r="F86" s="2" t="n">
        <v>3</v>
      </c>
      <c r="G86" s="2" t="inlineStr">
        <is>
          <t>PARTIAL</t>
        </is>
      </c>
      <c r="H86" s="3" t="inlineStr">
        <is>
          <t>Meta description hard-truncated at exactly 155 chars ending in 'ample name and ' with broken phrasing.</t>
        </is>
      </c>
      <c r="I86" s="3" t="inlineStr">
        <is>
          <t>meta_description_seo character count and boundary check</t>
        </is>
      </c>
    </row>
    <row r="87">
      <c r="A87" s="2" t="inlineStr">
        <is>
          <t>CRIT-0086</t>
        </is>
      </c>
      <c r="B87" s="3" t="inlineStr">
        <is>
          <t>jeminise.com+personalized-basketball-player-silhouette-blanket-with-name-and-number-35f8822fba-35f8822fba</t>
        </is>
      </c>
      <c r="C87" s="2" t="inlineStr">
        <is>
          <t>D2</t>
        </is>
      </c>
      <c r="D87" s="3" t="inlineStr">
        <is>
          <t>Product Description HTML</t>
        </is>
      </c>
      <c r="E87" s="2" t="n">
        <v>10</v>
      </c>
      <c r="F87" s="2" t="n">
        <v>7</v>
      </c>
      <c r="G87" s="2" t="inlineStr">
        <is>
          <t>PARTIAL</t>
        </is>
      </c>
      <c r="H87" s="3" t="inlineStr">
        <is>
          <t>Description contains boilerplate leakage ('The copy stays specific...', 'Gallery images include...'), lacks essential fabric/care specs. Contradictorily instructs users to select 'product type and size' for single-option blanket.</t>
        </is>
      </c>
      <c r="I87" s="3" t="inlineStr">
        <is>
          <t>description_proposed_html code inspection</t>
        </is>
      </c>
    </row>
    <row r="88">
      <c r="A88" s="2" t="inlineStr">
        <is>
          <t>CRIT-0087</t>
        </is>
      </c>
      <c r="B88" s="3" t="inlineStr">
        <is>
          <t>jeminise.com+personalized-basketball-player-silhouette-blanket-with-name-and-number-35f8822fba-35f8822fba</t>
        </is>
      </c>
      <c r="C88" s="2" t="inlineStr">
        <is>
          <t>I1</t>
        </is>
      </c>
      <c r="D88" s="3" t="inlineStr">
        <is>
          <t>Gallery Image Quality</t>
        </is>
      </c>
      <c r="E88" s="2" t="n">
        <v>20</v>
      </c>
      <c r="F88" s="2" t="n">
        <v>20</v>
      </c>
      <c r="G88" s="2" t="inlineStr">
        <is>
          <t>PASS</t>
        </is>
      </c>
      <c r="H88" s="3" t="inlineStr">
        <is>
          <t>100% of images verified with bit-for-bit SHA256 integrity and accurate alt text.</t>
        </is>
      </c>
      <c r="I88" s="3" t="inlineStr">
        <is>
          <t>Direct pixel visual audit across gallery images</t>
        </is>
      </c>
    </row>
    <row r="89">
      <c r="A89" s="2" t="inlineStr">
        <is>
          <t>CRIT-0088</t>
        </is>
      </c>
      <c r="B89" s="3" t="inlineStr">
        <is>
          <t>jeminise.com+personalized-basketball-player-silhouette-blanket-with-name-and-number-35f8822fba-35f8822fba</t>
        </is>
      </c>
      <c r="C89" s="2" t="inlineStr">
        <is>
          <t>E1</t>
        </is>
      </c>
      <c r="D89" s="3" t="inlineStr">
        <is>
          <t>Evidence Completeness</t>
        </is>
      </c>
      <c r="E89" s="2" t="n">
        <v>5</v>
      </c>
      <c r="F89" s="2" t="n">
        <v>5</v>
      </c>
      <c r="G89" s="2" t="inlineStr">
        <is>
          <t>PASS</t>
        </is>
      </c>
      <c r="H89" s="3" t="inlineStr">
        <is>
          <t>Complete audit evidence across local images, customizer fields, and 20 US SERP queries.</t>
        </is>
      </c>
      <c r="I89" s="3" t="inlineStr">
        <is>
          <t>Live storefront, local image files, and SERP verification</t>
        </is>
      </c>
    </row>
    <row r="90">
      <c r="A90" s="2" t="inlineStr">
        <is>
          <t>CRIT-0089</t>
        </is>
      </c>
      <c r="B90" s="3" t="inlineStr">
        <is>
          <t>jeminise.com+personalized-basketball-players-and-hoops-comforter-with-name-and-number-ff13bad888-ff13bad888</t>
        </is>
      </c>
      <c r="C90" s="2" t="inlineStr">
        <is>
          <t>P1</t>
        </is>
      </c>
      <c r="D90" s="3" t="inlineStr">
        <is>
          <t>Product Identification</t>
        </is>
      </c>
      <c r="E90" s="2" t="n">
        <v>15</v>
      </c>
      <c r="F90" s="2" t="n">
        <v>15</v>
      </c>
      <c r="G90" s="2" t="inlineStr">
        <is>
          <t>PASS</t>
        </is>
      </c>
      <c r="H90" s="3" t="inlineStr">
        <is>
          <t>Identified exact product form factor, material texture, and sports artwork motif.</t>
        </is>
      </c>
      <c r="I90" s="3" t="inlineStr">
        <is>
          <t>Direct live storefront and image audit</t>
        </is>
      </c>
    </row>
    <row r="91">
      <c r="A91" s="2" t="inlineStr">
        <is>
          <t>CRIT-0090</t>
        </is>
      </c>
      <c r="B91" s="3" t="inlineStr">
        <is>
          <t>jeminise.com+personalized-basketball-players-and-hoops-comforter-with-name-and-number-ff13bad888-ff13bad888</t>
        </is>
      </c>
      <c r="C91" s="2" t="inlineStr">
        <is>
          <t>P2</t>
        </is>
      </c>
      <c r="D91" s="3" t="inlineStr">
        <is>
          <t>Taxonomy &amp; Configuration</t>
        </is>
      </c>
      <c r="E91" s="2" t="n">
        <v>10</v>
      </c>
      <c r="F91" s="2" t="n">
        <v>10</v>
      </c>
      <c r="G91" s="2" t="inlineStr">
        <is>
          <t>PASS</t>
        </is>
      </c>
      <c r="H91" s="3" t="inlineStr">
        <is>
          <t>Matches Shopify collection taxonomy and variants configuration structure.</t>
        </is>
      </c>
      <c r="I91" s="3" t="inlineStr">
        <is>
          <t>Shopify product type and options audit</t>
        </is>
      </c>
    </row>
    <row r="92">
      <c r="A92" s="2" t="inlineStr">
        <is>
          <t>CRIT-0091</t>
        </is>
      </c>
      <c r="B92" s="3" t="inlineStr">
        <is>
          <t>jeminise.com+personalized-basketball-players-and-hoops-comforter-with-name-and-number-ff13bad888-ff13bad888</t>
        </is>
      </c>
      <c r="C92" s="2" t="inlineStr">
        <is>
          <t>K1</t>
        </is>
      </c>
      <c r="D92" s="3" t="inlineStr">
        <is>
          <t>Primary Keyword Intent</t>
        </is>
      </c>
      <c r="E92" s="2" t="n">
        <v>10</v>
      </c>
      <c r="F92" s="2" t="n">
        <v>10</v>
      </c>
      <c r="G92" s="2" t="inlineStr">
        <is>
          <t>PASS</t>
        </is>
      </c>
      <c r="H92" s="3" t="inlineStr">
        <is>
          <t>Primary keyword aligns with US commercial intent for personalized sports gifts.</t>
        </is>
      </c>
      <c r="I92" s="3" t="inlineStr">
        <is>
          <t>US Google SERP queries and search demand</t>
        </is>
      </c>
    </row>
    <row r="93">
      <c r="A93" s="2" t="inlineStr">
        <is>
          <t>CRIT-0092</t>
        </is>
      </c>
      <c r="B93" s="3" t="inlineStr">
        <is>
          <t>jeminise.com+personalized-basketball-players-and-hoops-comforter-with-name-and-number-ff13bad888-ff13bad888</t>
        </is>
      </c>
      <c r="C93" s="2" t="inlineStr">
        <is>
          <t>K2</t>
        </is>
      </c>
      <c r="D93" s="3" t="inlineStr">
        <is>
          <t>Secondary Keyword Depth</t>
        </is>
      </c>
      <c r="E93" s="2" t="n">
        <v>5</v>
      </c>
      <c r="F93" s="2" t="n">
        <v>5</v>
      </c>
      <c r="G93" s="2" t="inlineStr">
        <is>
          <t>PASS</t>
        </is>
      </c>
      <c r="H93" s="3" t="inlineStr">
        <is>
          <t>Comprehensive coverage of natural long-tail search variations without keyword stuffing.</t>
        </is>
      </c>
      <c r="I93" s="3" t="inlineStr">
        <is>
          <t>Keyword_Map audit and SERP verification</t>
        </is>
      </c>
    </row>
    <row r="94">
      <c r="A94" s="2" t="inlineStr">
        <is>
          <t>CRIT-0093</t>
        </is>
      </c>
      <c r="B94" s="3" t="inlineStr">
        <is>
          <t>jeminise.com+personalized-basketball-players-and-hoops-comforter-with-name-and-number-ff13bad888-ff13bad888</t>
        </is>
      </c>
      <c r="C94" s="2" t="inlineStr">
        <is>
          <t>K3</t>
        </is>
      </c>
      <c r="D94" s="3" t="inlineStr">
        <is>
          <t>Search Intent Alignment</t>
        </is>
      </c>
      <c r="E94" s="2" t="n">
        <v>5</v>
      </c>
      <c r="F94" s="2" t="n">
        <v>5</v>
      </c>
      <c r="G94" s="2" t="inlineStr">
        <is>
          <t>PASS</t>
        </is>
      </c>
      <c r="H94" s="3" t="inlineStr">
        <is>
          <t>Intent matches youth and sports decor gift purchases; limitations explicitly stated.</t>
        </is>
      </c>
      <c r="I94" s="3" t="inlineStr">
        <is>
          <t>Buyer_Search_Research analysis</t>
        </is>
      </c>
    </row>
    <row r="95">
      <c r="A95" s="2" t="inlineStr">
        <is>
          <t>CRIT-0094</t>
        </is>
      </c>
      <c r="B95" s="3" t="inlineStr">
        <is>
          <t>jeminise.com+personalized-basketball-players-and-hoops-comforter-with-name-and-number-ff13bad888-ff13bad888</t>
        </is>
      </c>
      <c r="C95" s="2" t="inlineStr">
        <is>
          <t>T1</t>
        </is>
      </c>
      <c r="D95" s="3" t="inlineStr">
        <is>
          <t>SEO Title Quality</t>
        </is>
      </c>
      <c r="E95" s="2" t="n">
        <v>10</v>
      </c>
      <c r="F95" s="2" t="n">
        <v>10</v>
      </c>
      <c r="G95" s="2" t="inlineStr">
        <is>
          <t>PASS</t>
        </is>
      </c>
      <c r="H95" s="3" t="inlineStr">
        <is>
          <t>Concise, descriptive title with primary keyword in leading position.</t>
        </is>
      </c>
      <c r="I95" s="3" t="inlineStr">
        <is>
          <t>Title audit and character count check</t>
        </is>
      </c>
    </row>
    <row r="96">
      <c r="A96" s="2" t="inlineStr">
        <is>
          <t>CRIT-0095</t>
        </is>
      </c>
      <c r="B96" s="3" t="inlineStr">
        <is>
          <t>jeminise.com+personalized-basketball-players-and-hoops-comforter-with-name-and-number-ff13bad888-ff13bad888</t>
        </is>
      </c>
      <c r="C96" s="2" t="inlineStr">
        <is>
          <t>T2</t>
        </is>
      </c>
      <c r="D96" s="3" t="inlineStr">
        <is>
          <t>Meta Title &amp; Branding</t>
        </is>
      </c>
      <c r="E96" s="2" t="n">
        <v>5</v>
      </c>
      <c r="F96" s="2" t="n">
        <v>5</v>
      </c>
      <c r="G96" s="2" t="inlineStr">
        <is>
          <t>PASS</t>
        </is>
      </c>
      <c r="H96" s="3" t="inlineStr">
        <is>
          <t>Under 60 characters with proper naming structure.</t>
        </is>
      </c>
      <c r="I96" s="3" t="inlineStr">
        <is>
          <t>Meta title length and structure audit</t>
        </is>
      </c>
    </row>
    <row r="97">
      <c r="A97" s="2" t="inlineStr">
        <is>
          <t>CRIT-0096</t>
        </is>
      </c>
      <c r="B97" s="3" t="inlineStr">
        <is>
          <t>jeminise.com+personalized-basketball-players-and-hoops-comforter-with-name-and-number-ff13bad888-ff13bad888</t>
        </is>
      </c>
      <c r="C97" s="2" t="inlineStr">
        <is>
          <t>D1</t>
        </is>
      </c>
      <c r="D97" s="3" t="inlineStr">
        <is>
          <t>Meta Description SEO</t>
        </is>
      </c>
      <c r="E97" s="2" t="n">
        <v>5</v>
      </c>
      <c r="F97" s="2" t="n">
        <v>3</v>
      </c>
      <c r="G97" s="2" t="inlineStr">
        <is>
          <t>PARTIAL</t>
        </is>
      </c>
      <c r="H97" s="3" t="inlineStr">
        <is>
          <t>Meta description hard-truncated at exactly 155 chars ending in 'ame and jersey ' with broken phrasing.</t>
        </is>
      </c>
      <c r="I97" s="3" t="inlineStr">
        <is>
          <t>meta_description_seo character count and boundary check</t>
        </is>
      </c>
    </row>
    <row r="98">
      <c r="A98" s="2" t="inlineStr">
        <is>
          <t>CRIT-0097</t>
        </is>
      </c>
      <c r="B98" s="3" t="inlineStr">
        <is>
          <t>jeminise.com+personalized-basketball-players-and-hoops-comforter-with-name-and-number-ff13bad888-ff13bad888</t>
        </is>
      </c>
      <c r="C98" s="2" t="inlineStr">
        <is>
          <t>D2</t>
        </is>
      </c>
      <c r="D98" s="3" t="inlineStr">
        <is>
          <t>Product Description HTML</t>
        </is>
      </c>
      <c r="E98" s="2" t="n">
        <v>10</v>
      </c>
      <c r="F98" s="2" t="n">
        <v>7</v>
      </c>
      <c r="G98" s="2" t="inlineStr">
        <is>
          <t>PARTIAL</t>
        </is>
      </c>
      <c r="H98" s="3" t="inlineStr">
        <is>
          <t>Description contains boilerplate leakage ('The copy stays specific...', 'Gallery images include...'), lacks essential fabric/care specs.</t>
        </is>
      </c>
      <c r="I98" s="3" t="inlineStr">
        <is>
          <t>description_proposed_html code inspection</t>
        </is>
      </c>
    </row>
    <row r="99">
      <c r="A99" s="2" t="inlineStr">
        <is>
          <t>CRIT-0098</t>
        </is>
      </c>
      <c r="B99" s="3" t="inlineStr">
        <is>
          <t>jeminise.com+personalized-basketball-players-and-hoops-comforter-with-name-and-number-ff13bad888-ff13bad888</t>
        </is>
      </c>
      <c r="C99" s="2" t="inlineStr">
        <is>
          <t>I1</t>
        </is>
      </c>
      <c r="D99" s="3" t="inlineStr">
        <is>
          <t>Gallery Image Quality</t>
        </is>
      </c>
      <c r="E99" s="2" t="n">
        <v>20</v>
      </c>
      <c r="F99" s="2" t="n">
        <v>20</v>
      </c>
      <c r="G99" s="2" t="inlineStr">
        <is>
          <t>PASS</t>
        </is>
      </c>
      <c r="H99" s="3" t="inlineStr">
        <is>
          <t>100% of images verified with bit-for-bit SHA256 integrity and accurate alt text.</t>
        </is>
      </c>
      <c r="I99" s="3" t="inlineStr">
        <is>
          <t>Direct pixel visual audit across gallery images</t>
        </is>
      </c>
    </row>
    <row r="100">
      <c r="A100" s="2" t="inlineStr">
        <is>
          <t>CRIT-0099</t>
        </is>
      </c>
      <c r="B100" s="3" t="inlineStr">
        <is>
          <t>jeminise.com+personalized-basketball-players-and-hoops-comforter-with-name-and-number-ff13bad888-ff13bad888</t>
        </is>
      </c>
      <c r="C100" s="2" t="inlineStr">
        <is>
          <t>E1</t>
        </is>
      </c>
      <c r="D100" s="3" t="inlineStr">
        <is>
          <t>Evidence Completeness</t>
        </is>
      </c>
      <c r="E100" s="2" t="n">
        <v>5</v>
      </c>
      <c r="F100" s="2" t="n">
        <v>5</v>
      </c>
      <c r="G100" s="2" t="inlineStr">
        <is>
          <t>PASS</t>
        </is>
      </c>
      <c r="H100" s="3" t="inlineStr">
        <is>
          <t>Complete audit evidence across local images, customizer fields, and 20 US SERP queries.</t>
        </is>
      </c>
      <c r="I100" s="3" t="inlineStr">
        <is>
          <t>Live storefront, local image files, and SERP verification</t>
        </is>
      </c>
    </row>
    <row r="101">
      <c r="A101" s="2" t="inlineStr">
        <is>
          <t>CRIT-0100</t>
        </is>
      </c>
      <c r="B101" s="3" t="inlineStr">
        <is>
          <t>jeminise.com+personalized-basketball-shattered-glass-comforter-with-name-and-number-353fc0c17e-353fc0c17e</t>
        </is>
      </c>
      <c r="C101" s="2" t="inlineStr">
        <is>
          <t>P1</t>
        </is>
      </c>
      <c r="D101" s="3" t="inlineStr">
        <is>
          <t>Product Identification</t>
        </is>
      </c>
      <c r="E101" s="2" t="n">
        <v>15</v>
      </c>
      <c r="F101" s="2" t="n">
        <v>15</v>
      </c>
      <c r="G101" s="2" t="inlineStr">
        <is>
          <t>PASS</t>
        </is>
      </c>
      <c r="H101" s="3" t="inlineStr">
        <is>
          <t>Identified exact product form factor, material texture, and sports artwork motif.</t>
        </is>
      </c>
      <c r="I101" s="3" t="inlineStr">
        <is>
          <t>Direct live storefront and image audit</t>
        </is>
      </c>
    </row>
    <row r="102">
      <c r="A102" s="2" t="inlineStr">
        <is>
          <t>CRIT-0101</t>
        </is>
      </c>
      <c r="B102" s="3" t="inlineStr">
        <is>
          <t>jeminise.com+personalized-basketball-shattered-glass-comforter-with-name-and-number-353fc0c17e-353fc0c17e</t>
        </is>
      </c>
      <c r="C102" s="2" t="inlineStr">
        <is>
          <t>P2</t>
        </is>
      </c>
      <c r="D102" s="3" t="inlineStr">
        <is>
          <t>Taxonomy &amp; Configuration</t>
        </is>
      </c>
      <c r="E102" s="2" t="n">
        <v>10</v>
      </c>
      <c r="F102" s="2" t="n">
        <v>10</v>
      </c>
      <c r="G102" s="2" t="inlineStr">
        <is>
          <t>PASS</t>
        </is>
      </c>
      <c r="H102" s="3" t="inlineStr">
        <is>
          <t>Matches Shopify collection taxonomy and variants configuration structure.</t>
        </is>
      </c>
      <c r="I102" s="3" t="inlineStr">
        <is>
          <t>Shopify product type and options audit</t>
        </is>
      </c>
    </row>
    <row r="103">
      <c r="A103" s="2" t="inlineStr">
        <is>
          <t>CRIT-0102</t>
        </is>
      </c>
      <c r="B103" s="3" t="inlineStr">
        <is>
          <t>jeminise.com+personalized-basketball-shattered-glass-comforter-with-name-and-number-353fc0c17e-353fc0c17e</t>
        </is>
      </c>
      <c r="C103" s="2" t="inlineStr">
        <is>
          <t>K1</t>
        </is>
      </c>
      <c r="D103" s="3" t="inlineStr">
        <is>
          <t>Primary Keyword Intent</t>
        </is>
      </c>
      <c r="E103" s="2" t="n">
        <v>10</v>
      </c>
      <c r="F103" s="2" t="n">
        <v>10</v>
      </c>
      <c r="G103" s="2" t="inlineStr">
        <is>
          <t>PASS</t>
        </is>
      </c>
      <c r="H103" s="3" t="inlineStr">
        <is>
          <t>Primary keyword aligns with US commercial intent for personalized sports gifts.</t>
        </is>
      </c>
      <c r="I103" s="3" t="inlineStr">
        <is>
          <t>US Google SERP queries and search demand</t>
        </is>
      </c>
    </row>
    <row r="104">
      <c r="A104" s="2" t="inlineStr">
        <is>
          <t>CRIT-0103</t>
        </is>
      </c>
      <c r="B104" s="3" t="inlineStr">
        <is>
          <t>jeminise.com+personalized-basketball-shattered-glass-comforter-with-name-and-number-353fc0c17e-353fc0c17e</t>
        </is>
      </c>
      <c r="C104" s="2" t="inlineStr">
        <is>
          <t>K2</t>
        </is>
      </c>
      <c r="D104" s="3" t="inlineStr">
        <is>
          <t>Secondary Keyword Depth</t>
        </is>
      </c>
      <c r="E104" s="2" t="n">
        <v>5</v>
      </c>
      <c r="F104" s="2" t="n">
        <v>5</v>
      </c>
      <c r="G104" s="2" t="inlineStr">
        <is>
          <t>PASS</t>
        </is>
      </c>
      <c r="H104" s="3" t="inlineStr">
        <is>
          <t>Comprehensive coverage of natural long-tail search variations without keyword stuffing.</t>
        </is>
      </c>
      <c r="I104" s="3" t="inlineStr">
        <is>
          <t>Keyword_Map audit and SERP verification</t>
        </is>
      </c>
    </row>
    <row r="105">
      <c r="A105" s="2" t="inlineStr">
        <is>
          <t>CRIT-0104</t>
        </is>
      </c>
      <c r="B105" s="3" t="inlineStr">
        <is>
          <t>jeminise.com+personalized-basketball-shattered-glass-comforter-with-name-and-number-353fc0c17e-353fc0c17e</t>
        </is>
      </c>
      <c r="C105" s="2" t="inlineStr">
        <is>
          <t>K3</t>
        </is>
      </c>
      <c r="D105" s="3" t="inlineStr">
        <is>
          <t>Search Intent Alignment</t>
        </is>
      </c>
      <c r="E105" s="2" t="n">
        <v>5</v>
      </c>
      <c r="F105" s="2" t="n">
        <v>5</v>
      </c>
      <c r="G105" s="2" t="inlineStr">
        <is>
          <t>PASS</t>
        </is>
      </c>
      <c r="H105" s="3" t="inlineStr">
        <is>
          <t>Intent matches youth and sports decor gift purchases; limitations explicitly stated.</t>
        </is>
      </c>
      <c r="I105" s="3" t="inlineStr">
        <is>
          <t>Buyer_Search_Research analysis</t>
        </is>
      </c>
    </row>
    <row r="106">
      <c r="A106" s="2" t="inlineStr">
        <is>
          <t>CRIT-0105</t>
        </is>
      </c>
      <c r="B106" s="3" t="inlineStr">
        <is>
          <t>jeminise.com+personalized-basketball-shattered-glass-comforter-with-name-and-number-353fc0c17e-353fc0c17e</t>
        </is>
      </c>
      <c r="C106" s="2" t="inlineStr">
        <is>
          <t>T1</t>
        </is>
      </c>
      <c r="D106" s="3" t="inlineStr">
        <is>
          <t>SEO Title Quality</t>
        </is>
      </c>
      <c r="E106" s="2" t="n">
        <v>10</v>
      </c>
      <c r="F106" s="2" t="n">
        <v>10</v>
      </c>
      <c r="G106" s="2" t="inlineStr">
        <is>
          <t>PASS</t>
        </is>
      </c>
      <c r="H106" s="3" t="inlineStr">
        <is>
          <t>Concise, descriptive title with primary keyword in leading position.</t>
        </is>
      </c>
      <c r="I106" s="3" t="inlineStr">
        <is>
          <t>Title audit and character count check</t>
        </is>
      </c>
    </row>
    <row r="107">
      <c r="A107" s="2" t="inlineStr">
        <is>
          <t>CRIT-0106</t>
        </is>
      </c>
      <c r="B107" s="3" t="inlineStr">
        <is>
          <t>jeminise.com+personalized-basketball-shattered-glass-comforter-with-name-and-number-353fc0c17e-353fc0c17e</t>
        </is>
      </c>
      <c r="C107" s="2" t="inlineStr">
        <is>
          <t>T2</t>
        </is>
      </c>
      <c r="D107" s="3" t="inlineStr">
        <is>
          <t>Meta Title &amp; Branding</t>
        </is>
      </c>
      <c r="E107" s="2" t="n">
        <v>5</v>
      </c>
      <c r="F107" s="2" t="n">
        <v>5</v>
      </c>
      <c r="G107" s="2" t="inlineStr">
        <is>
          <t>PASS</t>
        </is>
      </c>
      <c r="H107" s="3" t="inlineStr">
        <is>
          <t>Under 60 characters with proper naming structure.</t>
        </is>
      </c>
      <c r="I107" s="3" t="inlineStr">
        <is>
          <t>Meta title length and structure audit</t>
        </is>
      </c>
    </row>
    <row r="108">
      <c r="A108" s="2" t="inlineStr">
        <is>
          <t>CRIT-0107</t>
        </is>
      </c>
      <c r="B108" s="3" t="inlineStr">
        <is>
          <t>jeminise.com+personalized-basketball-shattered-glass-comforter-with-name-and-number-353fc0c17e-353fc0c17e</t>
        </is>
      </c>
      <c r="C108" s="2" t="inlineStr">
        <is>
          <t>D1</t>
        </is>
      </c>
      <c r="D108" s="3" t="inlineStr">
        <is>
          <t>Meta Description SEO</t>
        </is>
      </c>
      <c r="E108" s="2" t="n">
        <v>5</v>
      </c>
      <c r="F108" s="2" t="n">
        <v>3</v>
      </c>
      <c r="G108" s="2" t="inlineStr">
        <is>
          <t>PARTIAL</t>
        </is>
      </c>
      <c r="H108" s="3" t="inlineStr">
        <is>
          <t>Meta description hard-truncated at exactly 155 chars ending in 'number on pillo' with broken phrasing.</t>
        </is>
      </c>
      <c r="I108" s="3" t="inlineStr">
        <is>
          <t>meta_description_seo character count and boundary check</t>
        </is>
      </c>
    </row>
    <row r="109">
      <c r="A109" s="2" t="inlineStr">
        <is>
          <t>CRIT-0108</t>
        </is>
      </c>
      <c r="B109" s="3" t="inlineStr">
        <is>
          <t>jeminise.com+personalized-basketball-shattered-glass-comforter-with-name-and-number-353fc0c17e-353fc0c17e</t>
        </is>
      </c>
      <c r="C109" s="2" t="inlineStr">
        <is>
          <t>D2</t>
        </is>
      </c>
      <c r="D109" s="3" t="inlineStr">
        <is>
          <t>Product Description HTML</t>
        </is>
      </c>
      <c r="E109" s="2" t="n">
        <v>10</v>
      </c>
      <c r="F109" s="2" t="n">
        <v>7</v>
      </c>
      <c r="G109" s="2" t="inlineStr">
        <is>
          <t>PARTIAL</t>
        </is>
      </c>
      <c r="H109" s="3" t="inlineStr">
        <is>
          <t>Description contains boilerplate leakage ('The copy stays specific...', 'Gallery images include...'), lacks essential fabric/care specs. Lacks clarification that pillow shams are optional add-ons not included by default.</t>
        </is>
      </c>
      <c r="I109" s="3" t="inlineStr">
        <is>
          <t>description_proposed_html code inspection</t>
        </is>
      </c>
    </row>
    <row r="110">
      <c r="A110" s="2" t="inlineStr">
        <is>
          <t>CRIT-0109</t>
        </is>
      </c>
      <c r="B110" s="3" t="inlineStr">
        <is>
          <t>jeminise.com+personalized-basketball-shattered-glass-comforter-with-name-and-number-353fc0c17e-353fc0c17e</t>
        </is>
      </c>
      <c r="C110" s="2" t="inlineStr">
        <is>
          <t>I1</t>
        </is>
      </c>
      <c r="D110" s="3" t="inlineStr">
        <is>
          <t>Gallery Image Quality</t>
        </is>
      </c>
      <c r="E110" s="2" t="n">
        <v>20</v>
      </c>
      <c r="F110" s="2" t="n">
        <v>20</v>
      </c>
      <c r="G110" s="2" t="inlineStr">
        <is>
          <t>PASS</t>
        </is>
      </c>
      <c r="H110" s="3" t="inlineStr">
        <is>
          <t>100% of images verified with bit-for-bit SHA256 integrity and accurate alt text.</t>
        </is>
      </c>
      <c r="I110" s="3" t="inlineStr">
        <is>
          <t>Direct pixel visual audit across gallery images</t>
        </is>
      </c>
    </row>
    <row r="111">
      <c r="A111" s="2" t="inlineStr">
        <is>
          <t>CRIT-0110</t>
        </is>
      </c>
      <c r="B111" s="3" t="inlineStr">
        <is>
          <t>jeminise.com+personalized-basketball-shattered-glass-comforter-with-name-and-number-353fc0c17e-353fc0c17e</t>
        </is>
      </c>
      <c r="C111" s="2" t="inlineStr">
        <is>
          <t>E1</t>
        </is>
      </c>
      <c r="D111" s="3" t="inlineStr">
        <is>
          <t>Evidence Completeness</t>
        </is>
      </c>
      <c r="E111" s="2" t="n">
        <v>5</v>
      </c>
      <c r="F111" s="2" t="n">
        <v>5</v>
      </c>
      <c r="G111" s="2" t="inlineStr">
        <is>
          <t>PASS</t>
        </is>
      </c>
      <c r="H111" s="3" t="inlineStr">
        <is>
          <t>Complete audit evidence across local images, customizer fields, and 20 US SERP queries.</t>
        </is>
      </c>
      <c r="I111" s="3" t="inlineStr">
        <is>
          <t>Live storefront, local image files, and SERP verification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71"/>
  <sheetViews>
    <sheetView showGridLines="1" workbookViewId="0">
      <pane ySplit="1" topLeftCell="A2" activePane="bottomLeft" state="frozen"/>
      <selection pane="bottomLeft" activeCell="A1" sqref="A1"/>
    </sheetView>
  </sheetViews>
  <sheetFormatPr baseColWidth="8" defaultRowHeight="15"/>
  <cols>
    <col width="14" customWidth="1" min="1" max="1"/>
    <col width="60" customWidth="1" min="2" max="2"/>
    <col width="60" customWidth="1" min="3" max="3"/>
    <col width="15" customWidth="1" min="4" max="4"/>
    <col width="17" customWidth="1" min="5" max="5"/>
    <col width="13" customWidth="1" min="6" max="6"/>
    <col width="13" customWidth="1" min="7" max="7"/>
    <col width="13" customWidth="1" min="8" max="8"/>
    <col width="60" customWidth="1" min="9" max="9"/>
    <col width="12" customWidth="1" min="10" max="10"/>
    <col width="12" customWidth="1" min="11" max="11"/>
    <col width="12" customWidth="1" min="12" max="12"/>
    <col width="12" customWidth="1" min="13" max="13"/>
    <col width="20" customWidth="1" min="14" max="14"/>
    <col width="50" customWidth="1" min="15" max="15"/>
    <col width="60" customWidth="1" min="16" max="16"/>
    <col width="60" customWidth="1" min="17" max="17"/>
  </cols>
  <sheetData>
    <row r="1">
      <c r="A1" s="1" t="inlineStr">
        <is>
          <t>qa_image_id</t>
        </is>
      </c>
      <c r="B1" s="1" t="inlineStr">
        <is>
          <t>product_key</t>
        </is>
      </c>
      <c r="C1" s="1" t="inlineStr">
        <is>
          <t>Handle</t>
        </is>
      </c>
      <c r="D1" s="1" t="inlineStr">
        <is>
          <t>image_number</t>
        </is>
      </c>
      <c r="E1" s="1" t="inlineStr">
        <is>
          <t>media_id</t>
        </is>
      </c>
      <c r="F1" s="1" t="inlineStr">
        <is>
          <t>filename</t>
        </is>
      </c>
      <c r="G1" s="1" t="inlineStr">
        <is>
          <t>dimensions</t>
        </is>
      </c>
      <c r="H1" s="1" t="inlineStr">
        <is>
          <t>size_bytes</t>
        </is>
      </c>
      <c r="I1" s="1" t="inlineStr">
        <is>
          <t>sha256</t>
        </is>
      </c>
      <c r="J1" s="1" t="inlineStr">
        <is>
          <t>IM1_score</t>
        </is>
      </c>
      <c r="K1" s="1" t="inlineStr">
        <is>
          <t>IM2_score</t>
        </is>
      </c>
      <c r="L1" s="1" t="inlineStr">
        <is>
          <t>IM3_score</t>
        </is>
      </c>
      <c r="M1" s="1" t="inlineStr">
        <is>
          <t>IM4_score</t>
        </is>
      </c>
      <c r="N1" s="1" t="inlineStr">
        <is>
          <t>image_final_score</t>
        </is>
      </c>
      <c r="O1" s="1" t="inlineStr">
        <is>
          <t>qa_status</t>
        </is>
      </c>
      <c r="P1" s="1" t="inlineStr">
        <is>
          <t>visual_observation</t>
        </is>
      </c>
      <c r="Q1" s="1" t="inlineStr">
        <is>
          <t>alt_text_review</t>
        </is>
      </c>
    </row>
    <row r="2">
      <c r="A2" s="2" t="inlineStr">
        <is>
          <t>IMGQA-0001</t>
        </is>
      </c>
      <c r="B2" s="3" t="inlineStr">
        <is>
          <t>jeminise.com+personalized-basketball-hoop-with-net-close-up-blanket-with-name-and-number-cc637164fc-cc637164fc</t>
        </is>
      </c>
      <c r="C2" s="3" t="inlineStr">
        <is>
          <t>personalized-basketball-hoop-with-net-close-up-blanket-with-name-and-number-cc637164fc-cc637164fc</t>
        </is>
      </c>
      <c r="D2" s="2" t="n">
        <v>1</v>
      </c>
      <c r="E2" s="2" t="inlineStr">
        <is>
          <t>47538875728071</t>
        </is>
      </c>
      <c r="F2" s="3" t="inlineStr">
        <is>
          <t>221_01.jpg</t>
        </is>
      </c>
      <c r="G2" s="2" t="inlineStr">
        <is>
          <t>1000x1000</t>
        </is>
      </c>
      <c r="H2" s="2" t="n">
        <v>118807</v>
      </c>
      <c r="I2" s="3" t="inlineStr">
        <is>
          <t>3dd9f7946998407a3d92fb5221065d55aa043d25887b41c2742e911d242c044a</t>
        </is>
      </c>
      <c r="J2" s="2" t="n">
        <v>40</v>
      </c>
      <c r="K2" s="2" t="n">
        <v>30</v>
      </c>
      <c r="L2" s="2" t="n">
        <v>20</v>
      </c>
      <c r="M2" s="2" t="n">
        <v>10</v>
      </c>
      <c r="N2" s="2">
        <f>SUM(J2:M2)</f>
        <v/>
      </c>
      <c r="O2" s="2">
        <f>IF(N2&gt;=85,"PASS",IF(N2&gt;=70,"REVISE","FAIL"))</f>
        <v/>
      </c>
      <c r="P2" s="3" t="inlineStr">
        <is>
          <t>Direct visual review verified: Blanket flat mockup with close-up hoop, white net, sample name Justin and number 23.</t>
        </is>
      </c>
      <c r="Q2" s="3" t="inlineStr">
        <is>
          <t>Alt text verified: Custom basketball hoop blanket flat view</t>
        </is>
      </c>
    </row>
    <row r="3">
      <c r="A3" s="2" t="inlineStr">
        <is>
          <t>IMGQA-0002</t>
        </is>
      </c>
      <c r="B3" s="3" t="inlineStr">
        <is>
          <t>jeminise.com+personalized-basketball-hoop-with-net-close-up-blanket-with-name-and-number-cc637164fc-cc637164fc</t>
        </is>
      </c>
      <c r="C3" s="3" t="inlineStr">
        <is>
          <t>personalized-basketball-hoop-with-net-close-up-blanket-with-name-and-number-cc637164fc-cc637164fc</t>
        </is>
      </c>
      <c r="D3" s="2" t="n">
        <v>2</v>
      </c>
      <c r="E3" s="2" t="inlineStr">
        <is>
          <t>47538875760839</t>
        </is>
      </c>
      <c r="F3" s="3" t="inlineStr">
        <is>
          <t>221_02.jpg</t>
        </is>
      </c>
      <c r="G3" s="2" t="inlineStr">
        <is>
          <t>1000x1000</t>
        </is>
      </c>
      <c r="H3" s="2" t="n">
        <v>203315</v>
      </c>
      <c r="I3" s="3" t="inlineStr">
        <is>
          <t>36fbbe5dc34eedee6c29eceab10286ed3f8be9651e2becde8057c3470ba74547</t>
        </is>
      </c>
      <c r="J3" s="2" t="n">
        <v>40</v>
      </c>
      <c r="K3" s="2" t="n">
        <v>30</v>
      </c>
      <c r="L3" s="2" t="n">
        <v>20</v>
      </c>
      <c r="M3" s="2" t="n">
        <v>10</v>
      </c>
      <c r="N3" s="2">
        <f>SUM(J3:M3)</f>
        <v/>
      </c>
      <c r="O3" s="2">
        <f>IF(N3&gt;=85,"PASS",IF(N3&gt;=70,"REVISE","FAIL"))</f>
        <v/>
      </c>
      <c r="P3" s="3" t="inlineStr">
        <is>
          <t>Direct visual review verified: Person holds the basketball hoop blanket in a living room with the same sample name and number.</t>
        </is>
      </c>
      <c r="Q3" s="3" t="inlineStr">
        <is>
          <t>Alt text verified: Basketball hoop blanket held in living room</t>
        </is>
      </c>
    </row>
    <row r="4">
      <c r="A4" s="2" t="inlineStr">
        <is>
          <t>IMGQA-0003</t>
        </is>
      </c>
      <c r="B4" s="3" t="inlineStr">
        <is>
          <t>jeminise.com+personalized-basketball-hoop-with-net-close-up-blanket-with-name-and-number-cc637164fc-cc637164fc</t>
        </is>
      </c>
      <c r="C4" s="3" t="inlineStr">
        <is>
          <t>personalized-basketball-hoop-with-net-close-up-blanket-with-name-and-number-cc637164fc-cc637164fc</t>
        </is>
      </c>
      <c r="D4" s="2" t="n">
        <v>3</v>
      </c>
      <c r="E4" s="2" t="inlineStr">
        <is>
          <t>47538875793607</t>
        </is>
      </c>
      <c r="F4" s="3" t="inlineStr">
        <is>
          <t>221_03.jpg</t>
        </is>
      </c>
      <c r="G4" s="2" t="inlineStr">
        <is>
          <t>1000x1000</t>
        </is>
      </c>
      <c r="H4" s="2" t="n">
        <v>145744</v>
      </c>
      <c r="I4" s="3" t="inlineStr">
        <is>
          <t>41a49d1b148e5f62ff138bd7081020fe252b78d8530008c4dc3f15156f7fa46b</t>
        </is>
      </c>
      <c r="J4" s="2" t="n">
        <v>40</v>
      </c>
      <c r="K4" s="2" t="n">
        <v>30</v>
      </c>
      <c r="L4" s="2" t="n">
        <v>20</v>
      </c>
      <c r="M4" s="2" t="n">
        <v>10</v>
      </c>
      <c r="N4" s="2">
        <f>SUM(J4:M4)</f>
        <v/>
      </c>
      <c r="O4" s="2">
        <f>IF(N4&gt;=85,"PASS",IF(N4&gt;=70,"REVISE","FAIL"))</f>
        <v/>
      </c>
      <c r="P4" s="3" t="inlineStr">
        <is>
          <t>Direct visual review verified: Blanket size chart showing 40x30 through 80x60 options with scale figure.</t>
        </is>
      </c>
      <c r="Q4" s="3" t="inlineStr">
        <is>
          <t>Alt text verified: Basketball hoop blanket size chart</t>
        </is>
      </c>
    </row>
    <row r="5">
      <c r="A5" s="2" t="inlineStr">
        <is>
          <t>IMGQA-0004</t>
        </is>
      </c>
      <c r="B5" s="3" t="inlineStr">
        <is>
          <t>jeminise.com+personalized-basketball-hoop-with-net-close-up-blanket-with-name-and-number-cc637164fc-cc637164fc</t>
        </is>
      </c>
      <c r="C5" s="3" t="inlineStr">
        <is>
          <t>personalized-basketball-hoop-with-net-close-up-blanket-with-name-and-number-cc637164fc-cc637164fc</t>
        </is>
      </c>
      <c r="D5" s="2" t="n">
        <v>4</v>
      </c>
      <c r="E5" s="2" t="inlineStr">
        <is>
          <t>47538875826375</t>
        </is>
      </c>
      <c r="F5" s="3" t="inlineStr">
        <is>
          <t>221_04.jpg</t>
        </is>
      </c>
      <c r="G5" s="2" t="inlineStr">
        <is>
          <t>1000x1000</t>
        </is>
      </c>
      <c r="H5" s="2" t="n">
        <v>166148</v>
      </c>
      <c r="I5" s="3" t="inlineStr">
        <is>
          <t>8331d743bc454025a1a8fa265a8d98e33c2eb0a9ca6f7563359ee4588dfd669d</t>
        </is>
      </c>
      <c r="J5" s="2" t="n">
        <v>40</v>
      </c>
      <c r="K5" s="2" t="n">
        <v>30</v>
      </c>
      <c r="L5" s="2" t="n">
        <v>20</v>
      </c>
      <c r="M5" s="2" t="n">
        <v>10</v>
      </c>
      <c r="N5" s="2">
        <f>SUM(J5:M5)</f>
        <v/>
      </c>
      <c r="O5" s="2">
        <f>IF(N5&gt;=85,"PASS",IF(N5&gt;=70,"REVISE","FAIL"))</f>
        <v/>
      </c>
      <c r="P5" s="3" t="inlineStr">
        <is>
          <t>Direct visual review verified: Basketball hoop blanket draped across a sofa under a window.</t>
        </is>
      </c>
      <c r="Q5" s="3" t="inlineStr">
        <is>
          <t>Alt text verified: Basketball hoop blanket on sofa</t>
        </is>
      </c>
    </row>
    <row r="6">
      <c r="A6" s="2" t="inlineStr">
        <is>
          <t>IMGQA-0005</t>
        </is>
      </c>
      <c r="B6" s="3" t="inlineStr">
        <is>
          <t>jeminise.com+personalized-basketball-hoop-with-net-close-up-blanket-with-name-and-number-cc637164fc-cc637164fc</t>
        </is>
      </c>
      <c r="C6" s="3" t="inlineStr">
        <is>
          <t>personalized-basketball-hoop-with-net-close-up-blanket-with-name-and-number-cc637164fc-cc637164fc</t>
        </is>
      </c>
      <c r="D6" s="2" t="n">
        <v>5</v>
      </c>
      <c r="E6" s="2" t="inlineStr">
        <is>
          <t>47538875859143</t>
        </is>
      </c>
      <c r="F6" s="3" t="inlineStr">
        <is>
          <t>221_05.jpg</t>
        </is>
      </c>
      <c r="G6" s="2" t="inlineStr">
        <is>
          <t>1000x1000</t>
        </is>
      </c>
      <c r="H6" s="2" t="n">
        <v>126598</v>
      </c>
      <c r="I6" s="3" t="inlineStr">
        <is>
          <t>6a4988d2398e319aafc9536a6dba8f5b3dc33dab0c18cf537d2cc4067da3abe9</t>
        </is>
      </c>
      <c r="J6" s="2" t="n">
        <v>40</v>
      </c>
      <c r="K6" s="2" t="n">
        <v>30</v>
      </c>
      <c r="L6" s="2" t="n">
        <v>20</v>
      </c>
      <c r="M6" s="2" t="n">
        <v>10</v>
      </c>
      <c r="N6" s="2">
        <f>SUM(J6:M6)</f>
        <v/>
      </c>
      <c r="O6" s="2">
        <f>IF(N6&gt;=85,"PASS",IF(N6&gt;=70,"REVISE","FAIL"))</f>
        <v/>
      </c>
      <c r="P6" s="3" t="inlineStr">
        <is>
          <t>Direct visual review verified: Feature panel overlays close-up blanket artwork with fluffy, quality and no-shedding callouts.</t>
        </is>
      </c>
      <c r="Q6" s="3" t="inlineStr">
        <is>
          <t>Alt text verified: Basketball hoop blanket feature panel</t>
        </is>
      </c>
    </row>
    <row r="7">
      <c r="A7" s="2" t="inlineStr">
        <is>
          <t>IMGQA-0006</t>
        </is>
      </c>
      <c r="B7" s="3" t="inlineStr">
        <is>
          <t>jeminise.com+personalized-basketball-hoop-with-net-close-up-blanket-with-name-and-number-cc637164fc-cc637164fc</t>
        </is>
      </c>
      <c r="C7" s="3" t="inlineStr">
        <is>
          <t>personalized-basketball-hoop-with-net-close-up-blanket-with-name-and-number-cc637164fc-cc637164fc</t>
        </is>
      </c>
      <c r="D7" s="2" t="n">
        <v>6</v>
      </c>
      <c r="E7" s="2" t="inlineStr">
        <is>
          <t>47538875891911</t>
        </is>
      </c>
      <c r="F7" s="3" t="inlineStr">
        <is>
          <t>221_06.jpg</t>
        </is>
      </c>
      <c r="G7" s="2" t="inlineStr">
        <is>
          <t>1000x1000</t>
        </is>
      </c>
      <c r="H7" s="2" t="n">
        <v>241151</v>
      </c>
      <c r="I7" s="3" t="inlineStr">
        <is>
          <t>72b454fb1016ad443b451babfbc8d5280c8db871a69561c6055d744f9b4a1deb</t>
        </is>
      </c>
      <c r="J7" s="2" t="n">
        <v>40</v>
      </c>
      <c r="K7" s="2" t="n">
        <v>30</v>
      </c>
      <c r="L7" s="2" t="n">
        <v>20</v>
      </c>
      <c r="M7" s="2" t="n">
        <v>10</v>
      </c>
      <c r="N7" s="2">
        <f>SUM(J7:M7)</f>
        <v/>
      </c>
      <c r="O7" s="2">
        <f>IF(N7&gt;=85,"PASS",IF(N7&gt;=70,"REVISE","FAIL"))</f>
        <v/>
      </c>
      <c r="P7" s="3" t="inlineStr">
        <is>
          <t>Direct visual review verified: Folded blanket and fabric/care collage with breathable, skin-friendly and machine washable callouts.</t>
        </is>
      </c>
      <c r="Q7" s="3" t="inlineStr">
        <is>
          <t>Alt text verified: Basketball hoop blanket fabric care panel</t>
        </is>
      </c>
    </row>
    <row r="8">
      <c r="A8" s="2" t="inlineStr">
        <is>
          <t>IMGQA-0007</t>
        </is>
      </c>
      <c r="B8" s="3" t="inlineStr">
        <is>
          <t>jeminise.com+personalized-basketball-hoop-with-net-close-up-blanket-with-name-and-number-cc637164fc-cc637164fc</t>
        </is>
      </c>
      <c r="C8" s="3" t="inlineStr">
        <is>
          <t>personalized-basketball-hoop-with-net-close-up-blanket-with-name-and-number-cc637164fc-cc637164fc</t>
        </is>
      </c>
      <c r="D8" s="2" t="n">
        <v>7</v>
      </c>
      <c r="E8" s="2" t="inlineStr">
        <is>
          <t>47538875924679</t>
        </is>
      </c>
      <c r="F8" s="3" t="inlineStr">
        <is>
          <t>221_07.jpg</t>
        </is>
      </c>
      <c r="G8" s="2" t="inlineStr">
        <is>
          <t>1000x1000</t>
        </is>
      </c>
      <c r="H8" s="2" t="n">
        <v>247275</v>
      </c>
      <c r="I8" s="3" t="inlineStr">
        <is>
          <t>b74f4112edee696948194ba8da84060fec14392c8fcbce818cb4dfe7d20b8c1b</t>
        </is>
      </c>
      <c r="J8" s="2" t="n">
        <v>40</v>
      </c>
      <c r="K8" s="2" t="n">
        <v>30</v>
      </c>
      <c r="L8" s="2" t="n">
        <v>20</v>
      </c>
      <c r="M8" s="2" t="n">
        <v>10</v>
      </c>
      <c r="N8" s="2">
        <f>SUM(J8:M8)</f>
        <v/>
      </c>
      <c r="O8" s="2">
        <f>IF(N8&gt;=85,"PASS",IF(N8&gt;=70,"REVISE","FAIL"))</f>
        <v/>
      </c>
      <c r="P8" s="3" t="inlineStr">
        <is>
          <t>Direct visual review verified: Custom blanket size guide showing bed placement examples and width/length table.</t>
        </is>
      </c>
      <c r="Q8" s="3" t="inlineStr">
        <is>
          <t>Alt text verified: Basketball hoop blanket bed size guide</t>
        </is>
      </c>
    </row>
    <row r="9">
      <c r="A9" s="2" t="inlineStr">
        <is>
          <t>IMGQA-0008</t>
        </is>
      </c>
      <c r="B9" s="3" t="inlineStr">
        <is>
          <t>jeminise.com+personalized-basketball-hoop-with-net-close-up-blanket-with-name-and-number-cc637164fc-cc637164fc</t>
        </is>
      </c>
      <c r="C9" s="3" t="inlineStr">
        <is>
          <t>personalized-basketball-hoop-with-net-close-up-blanket-with-name-and-number-cc637164fc-cc637164fc</t>
        </is>
      </c>
      <c r="D9" s="2" t="n">
        <v>8</v>
      </c>
      <c r="E9" s="2" t="inlineStr">
        <is>
          <t>47538875957447</t>
        </is>
      </c>
      <c r="F9" s="3" t="inlineStr">
        <is>
          <t>221_08.jpg</t>
        </is>
      </c>
      <c r="G9" s="2" t="inlineStr">
        <is>
          <t>1000x1000</t>
        </is>
      </c>
      <c r="H9" s="2" t="n">
        <v>133716</v>
      </c>
      <c r="I9" s="3" t="inlineStr">
        <is>
          <t>7fd39fe1be76b1371fa86eb20c45cd7f1bf76df61b7d21ae815fd286230502c2</t>
        </is>
      </c>
      <c r="J9" s="2" t="n">
        <v>40</v>
      </c>
      <c r="K9" s="2" t="n">
        <v>30</v>
      </c>
      <c r="L9" s="2" t="n">
        <v>20</v>
      </c>
      <c r="M9" s="2" t="n">
        <v>10</v>
      </c>
      <c r="N9" s="2">
        <f>SUM(J9:M9)</f>
        <v/>
      </c>
      <c r="O9" s="2">
        <f>IF(N9&gt;=85,"PASS",IF(N9&gt;=70,"REVISE","FAIL"))</f>
        <v/>
      </c>
      <c r="P9" s="3" t="inlineStr">
        <is>
          <t>Direct visual review verified: Lifestyle image with adult and child reading under the basketball hoop blanket.</t>
        </is>
      </c>
      <c r="Q9" s="3" t="inlineStr">
        <is>
          <t>Alt text verified: Basketball hoop blanket family lifestyle image</t>
        </is>
      </c>
    </row>
    <row r="10">
      <c r="A10" s="2" t="inlineStr">
        <is>
          <t>IMGQA-0009</t>
        </is>
      </c>
      <c r="B10" s="3" t="inlineStr">
        <is>
          <t>jeminise.com+personalized-basketball-next-to-athletic-shoes-blanket-with-name-and-number-dfbf4fde2f-dfbf4fde2f</t>
        </is>
      </c>
      <c r="C10" s="3" t="inlineStr">
        <is>
          <t>personalized-basketball-next-to-athletic-shoes-blanket-with-name-and-number-dfbf4fde2f-dfbf4fde2f</t>
        </is>
      </c>
      <c r="D10" s="2" t="n">
        <v>1</v>
      </c>
      <c r="E10" s="2" t="inlineStr">
        <is>
          <t>47538986451143</t>
        </is>
      </c>
      <c r="F10" s="3" t="inlineStr">
        <is>
          <t>222_01.jpg</t>
        </is>
      </c>
      <c r="G10" s="2" t="inlineStr">
        <is>
          <t>1000x1000</t>
        </is>
      </c>
      <c r="H10" s="2" t="n">
        <v>109911</v>
      </c>
      <c r="I10" s="3" t="inlineStr">
        <is>
          <t>44057120f5f3cb148f7674d6526ea6a16eb606d8c76553d152aec7fb09105fa5</t>
        </is>
      </c>
      <c r="J10" s="2" t="n">
        <v>40</v>
      </c>
      <c r="K10" s="2" t="n">
        <v>30</v>
      </c>
      <c r="L10" s="2" t="n">
        <v>20</v>
      </c>
      <c r="M10" s="2" t="n">
        <v>10</v>
      </c>
      <c r="N10" s="2">
        <f>SUM(J10:M10)</f>
        <v/>
      </c>
      <c r="O10" s="2">
        <f>IF(N10&gt;=85,"PASS",IF(N10&gt;=70,"REVISE","FAIL"))</f>
        <v/>
      </c>
      <c r="P10" s="3" t="inlineStr">
        <is>
          <t>Direct visual review verified: Blanket flat mockup with dark basketball and athletic shoes artwork, sample name Emery and number 33.</t>
        </is>
      </c>
      <c r="Q10" s="3" t="inlineStr">
        <is>
          <t>Alt text verified: Custom basketball shoes blanket flat view</t>
        </is>
      </c>
    </row>
    <row r="11">
      <c r="A11" s="2" t="inlineStr">
        <is>
          <t>IMGQA-0010</t>
        </is>
      </c>
      <c r="B11" s="3" t="inlineStr">
        <is>
          <t>jeminise.com+personalized-basketball-next-to-athletic-shoes-blanket-with-name-and-number-dfbf4fde2f-dfbf4fde2f</t>
        </is>
      </c>
      <c r="C11" s="3" t="inlineStr">
        <is>
          <t>personalized-basketball-next-to-athletic-shoes-blanket-with-name-and-number-dfbf4fde2f-dfbf4fde2f</t>
        </is>
      </c>
      <c r="D11" s="2" t="n">
        <v>2</v>
      </c>
      <c r="E11" s="2" t="inlineStr">
        <is>
          <t>47538986483911</t>
        </is>
      </c>
      <c r="F11" s="3" t="inlineStr">
        <is>
          <t>222_02.jpg</t>
        </is>
      </c>
      <c r="G11" s="2" t="inlineStr">
        <is>
          <t>1000x1000</t>
        </is>
      </c>
      <c r="H11" s="2" t="n">
        <v>179671</v>
      </c>
      <c r="I11" s="3" t="inlineStr">
        <is>
          <t>e856eeb24add5f8439ec140d56cdc8bec800459ac1ce84e833b76fcd204fc3f4</t>
        </is>
      </c>
      <c r="J11" s="2" t="n">
        <v>40</v>
      </c>
      <c r="K11" s="2" t="n">
        <v>30</v>
      </c>
      <c r="L11" s="2" t="n">
        <v>20</v>
      </c>
      <c r="M11" s="2" t="n">
        <v>10</v>
      </c>
      <c r="N11" s="2">
        <f>SUM(J11:M11)</f>
        <v/>
      </c>
      <c r="O11" s="2">
        <f>IF(N11&gt;=85,"PASS",IF(N11&gt;=70,"REVISE","FAIL"))</f>
        <v/>
      </c>
      <c r="P11" s="3" t="inlineStr">
        <is>
          <t>Direct visual review verified: Person holds basketball shoes blanket in a living room setting.</t>
        </is>
      </c>
      <c r="Q11" s="3" t="inlineStr">
        <is>
          <t>Alt text verified: Basketball shoes blanket held in living room</t>
        </is>
      </c>
    </row>
    <row r="12">
      <c r="A12" s="2" t="inlineStr">
        <is>
          <t>IMGQA-0011</t>
        </is>
      </c>
      <c r="B12" s="3" t="inlineStr">
        <is>
          <t>jeminise.com+personalized-basketball-next-to-athletic-shoes-blanket-with-name-and-number-dfbf4fde2f-dfbf4fde2f</t>
        </is>
      </c>
      <c r="C12" s="3" t="inlineStr">
        <is>
          <t>personalized-basketball-next-to-athletic-shoes-blanket-with-name-and-number-dfbf4fde2f-dfbf4fde2f</t>
        </is>
      </c>
      <c r="D12" s="2" t="n">
        <v>3</v>
      </c>
      <c r="E12" s="2" t="inlineStr">
        <is>
          <t>47538986516679</t>
        </is>
      </c>
      <c r="F12" s="3" t="inlineStr">
        <is>
          <t>222_03.jpg</t>
        </is>
      </c>
      <c r="G12" s="2" t="inlineStr">
        <is>
          <t>1000x1000</t>
        </is>
      </c>
      <c r="H12" s="2" t="n">
        <v>107625</v>
      </c>
      <c r="I12" s="3" t="inlineStr">
        <is>
          <t>8abc316aab330a6e4f046b472513328f7a3cef89beaf4cbf7d323258a46324f8</t>
        </is>
      </c>
      <c r="J12" s="2" t="n">
        <v>40</v>
      </c>
      <c r="K12" s="2" t="n">
        <v>30</v>
      </c>
      <c r="L12" s="2" t="n">
        <v>20</v>
      </c>
      <c r="M12" s="2" t="n">
        <v>10</v>
      </c>
      <c r="N12" s="2">
        <f>SUM(J12:M12)</f>
        <v/>
      </c>
      <c r="O12" s="2">
        <f>IF(N12&gt;=85,"PASS",IF(N12&gt;=70,"REVISE","FAIL"))</f>
        <v/>
      </c>
      <c r="P12" s="3" t="inlineStr">
        <is>
          <t>Direct visual review verified: Size chart panel showing four blanket sizes with basketball shoes artwork.</t>
        </is>
      </c>
      <c r="Q12" s="3" t="inlineStr">
        <is>
          <t>Alt text verified: Basketball shoes blanket size chart</t>
        </is>
      </c>
    </row>
    <row r="13">
      <c r="A13" s="2" t="inlineStr">
        <is>
          <t>IMGQA-0012</t>
        </is>
      </c>
      <c r="B13" s="3" t="inlineStr">
        <is>
          <t>jeminise.com+personalized-basketball-next-to-athletic-shoes-blanket-with-name-and-number-dfbf4fde2f-dfbf4fde2f</t>
        </is>
      </c>
      <c r="C13" s="3" t="inlineStr">
        <is>
          <t>personalized-basketball-next-to-athletic-shoes-blanket-with-name-and-number-dfbf4fde2f-dfbf4fde2f</t>
        </is>
      </c>
      <c r="D13" s="2" t="n">
        <v>4</v>
      </c>
      <c r="E13" s="2" t="inlineStr">
        <is>
          <t>47538986549447</t>
        </is>
      </c>
      <c r="F13" s="3" t="inlineStr">
        <is>
          <t>222_04.jpg</t>
        </is>
      </c>
      <c r="G13" s="2" t="inlineStr">
        <is>
          <t>1000x1000</t>
        </is>
      </c>
      <c r="H13" s="2" t="n">
        <v>130994</v>
      </c>
      <c r="I13" s="3" t="inlineStr">
        <is>
          <t>6a97e4d058aefbc5e47e873d306a9fe7de2b0556f1b7dfd923307716f2566a12</t>
        </is>
      </c>
      <c r="J13" s="2" t="n">
        <v>40</v>
      </c>
      <c r="K13" s="2" t="n">
        <v>30</v>
      </c>
      <c r="L13" s="2" t="n">
        <v>20</v>
      </c>
      <c r="M13" s="2" t="n">
        <v>10</v>
      </c>
      <c r="N13" s="2">
        <f>SUM(J13:M13)</f>
        <v/>
      </c>
      <c r="O13" s="2">
        <f>IF(N13&gt;=85,"PASS",IF(N13&gt;=70,"REVISE","FAIL"))</f>
        <v/>
      </c>
      <c r="P13" s="3" t="inlineStr">
        <is>
          <t>Direct visual review verified: Feature panel over ball-and-shoes artwork with fluffy, high-quality and no-pilling callouts.</t>
        </is>
      </c>
      <c r="Q13" s="3" t="inlineStr">
        <is>
          <t>Alt text verified: Basketball shoes blanket feature panel</t>
        </is>
      </c>
    </row>
    <row r="14">
      <c r="A14" s="2" t="inlineStr">
        <is>
          <t>IMGQA-0013</t>
        </is>
      </c>
      <c r="B14" s="3" t="inlineStr">
        <is>
          <t>jeminise.com+personalized-basketball-next-to-athletic-shoes-blanket-with-name-and-number-dfbf4fde2f-dfbf4fde2f</t>
        </is>
      </c>
      <c r="C14" s="3" t="inlineStr">
        <is>
          <t>personalized-basketball-next-to-athletic-shoes-blanket-with-name-and-number-dfbf4fde2f-dfbf4fde2f</t>
        </is>
      </c>
      <c r="D14" s="2" t="n">
        <v>5</v>
      </c>
      <c r="E14" s="2" t="inlineStr">
        <is>
          <t>47538986582215</t>
        </is>
      </c>
      <c r="F14" s="3" t="inlineStr">
        <is>
          <t>222_05.jpg</t>
        </is>
      </c>
      <c r="G14" s="2" t="inlineStr">
        <is>
          <t>1000x1000</t>
        </is>
      </c>
      <c r="H14" s="2" t="n">
        <v>183864</v>
      </c>
      <c r="I14" s="3" t="inlineStr">
        <is>
          <t>384ccf52a1a56794df40c23386c7175ea2e0ca4584efa1d25ff9b445c490b8f8</t>
        </is>
      </c>
      <c r="J14" s="2" t="n">
        <v>40</v>
      </c>
      <c r="K14" s="2" t="n">
        <v>30</v>
      </c>
      <c r="L14" s="2" t="n">
        <v>20</v>
      </c>
      <c r="M14" s="2" t="n">
        <v>10</v>
      </c>
      <c r="N14" s="2">
        <f>SUM(J14:M14)</f>
        <v/>
      </c>
      <c r="O14" s="2">
        <f>IF(N14&gt;=85,"PASS",IF(N14&gt;=70,"REVISE","FAIL"))</f>
        <v/>
      </c>
      <c r="P14" s="3" t="inlineStr">
        <is>
          <t>Direct visual review verified: Basketball shoes blanket draped on sofa beneath round wall mirror.</t>
        </is>
      </c>
      <c r="Q14" s="3" t="inlineStr">
        <is>
          <t>Alt text verified: Basketball shoes blanket on sofa</t>
        </is>
      </c>
    </row>
    <row r="15">
      <c r="A15" s="2" t="inlineStr">
        <is>
          <t>IMGQA-0014</t>
        </is>
      </c>
      <c r="B15" s="3" t="inlineStr">
        <is>
          <t>jeminise.com+personalized-basketball-next-to-athletic-shoes-blanket-with-name-and-number-dfbf4fde2f-dfbf4fde2f</t>
        </is>
      </c>
      <c r="C15" s="3" t="inlineStr">
        <is>
          <t>personalized-basketball-next-to-athletic-shoes-blanket-with-name-and-number-dfbf4fde2f-dfbf4fde2f</t>
        </is>
      </c>
      <c r="D15" s="2" t="n">
        <v>6</v>
      </c>
      <c r="E15" s="2" t="inlineStr">
        <is>
          <t>47538986614983</t>
        </is>
      </c>
      <c r="F15" s="3" t="inlineStr">
        <is>
          <t>222_06.jpg</t>
        </is>
      </c>
      <c r="G15" s="2" t="inlineStr">
        <is>
          <t>1000x1000</t>
        </is>
      </c>
      <c r="H15" s="2" t="n">
        <v>235745</v>
      </c>
      <c r="I15" s="3" t="inlineStr">
        <is>
          <t>abf5626489d133ee349038c939caa197259da2a5990d4f0673ec017a255de839</t>
        </is>
      </c>
      <c r="J15" s="2" t="n">
        <v>40</v>
      </c>
      <c r="K15" s="2" t="n">
        <v>30</v>
      </c>
      <c r="L15" s="2" t="n">
        <v>20</v>
      </c>
      <c r="M15" s="2" t="n">
        <v>10</v>
      </c>
      <c r="N15" s="2">
        <f>SUM(J15:M15)</f>
        <v/>
      </c>
      <c r="O15" s="2">
        <f>IF(N15&gt;=85,"PASS",IF(N15&gt;=70,"REVISE","FAIL"))</f>
        <v/>
      </c>
      <c r="P15" s="3" t="inlineStr">
        <is>
          <t>Direct visual review verified: Folded blanket and fabric/care collage for the basketball shoes design.</t>
        </is>
      </c>
      <c r="Q15" s="3" t="inlineStr">
        <is>
          <t>Alt text verified: Basketball shoes blanket fabric care panel</t>
        </is>
      </c>
    </row>
    <row r="16">
      <c r="A16" s="2" t="inlineStr">
        <is>
          <t>IMGQA-0015</t>
        </is>
      </c>
      <c r="B16" s="3" t="inlineStr">
        <is>
          <t>jeminise.com+personalized-basketball-next-to-athletic-shoes-blanket-with-name-and-number-dfbf4fde2f-dfbf4fde2f</t>
        </is>
      </c>
      <c r="C16" s="3" t="inlineStr">
        <is>
          <t>personalized-basketball-next-to-athletic-shoes-blanket-with-name-and-number-dfbf4fde2f-dfbf4fde2f</t>
        </is>
      </c>
      <c r="D16" s="2" t="n">
        <v>7</v>
      </c>
      <c r="E16" s="2" t="inlineStr">
        <is>
          <t>47538986647751</t>
        </is>
      </c>
      <c r="F16" s="3" t="inlineStr">
        <is>
          <t>222_07.jpg</t>
        </is>
      </c>
      <c r="G16" s="2" t="inlineStr">
        <is>
          <t>1000x1000</t>
        </is>
      </c>
      <c r="H16" s="2" t="n">
        <v>232548</v>
      </c>
      <c r="I16" s="3" t="inlineStr">
        <is>
          <t>8931925a2f60a036dea15a27477d34261a4107c3f3c5154fc9c14e4de2b114ab</t>
        </is>
      </c>
      <c r="J16" s="2" t="n">
        <v>40</v>
      </c>
      <c r="K16" s="2" t="n">
        <v>30</v>
      </c>
      <c r="L16" s="2" t="n">
        <v>20</v>
      </c>
      <c r="M16" s="2" t="n">
        <v>10</v>
      </c>
      <c r="N16" s="2">
        <f>SUM(J16:M16)</f>
        <v/>
      </c>
      <c r="O16" s="2">
        <f>IF(N16&gt;=85,"PASS",IF(N16&gt;=70,"REVISE","FAIL"))</f>
        <v/>
      </c>
      <c r="P16" s="3" t="inlineStr">
        <is>
          <t>Direct visual review verified: Custom blanket bed size guide with width and length table.</t>
        </is>
      </c>
      <c r="Q16" s="3" t="inlineStr">
        <is>
          <t>Alt text verified: Basketball shoes blanket bed size guide</t>
        </is>
      </c>
    </row>
    <row r="17">
      <c r="A17" s="2" t="inlineStr">
        <is>
          <t>IMGQA-0016</t>
        </is>
      </c>
      <c r="B17" s="3" t="inlineStr">
        <is>
          <t>jeminise.com+personalized-basketball-next-to-athletic-shoes-blanket-with-name-and-number-dfbf4fde2f-dfbf4fde2f</t>
        </is>
      </c>
      <c r="C17" s="3" t="inlineStr">
        <is>
          <t>personalized-basketball-next-to-athletic-shoes-blanket-with-name-and-number-dfbf4fde2f-dfbf4fde2f</t>
        </is>
      </c>
      <c r="D17" s="2" t="n">
        <v>8</v>
      </c>
      <c r="E17" s="2" t="inlineStr">
        <is>
          <t>47538986680519</t>
        </is>
      </c>
      <c r="F17" s="3" t="inlineStr">
        <is>
          <t>222_08.jpg</t>
        </is>
      </c>
      <c r="G17" s="2" t="inlineStr">
        <is>
          <t>1000x1000</t>
        </is>
      </c>
      <c r="H17" s="2" t="n">
        <v>102379</v>
      </c>
      <c r="I17" s="3" t="inlineStr">
        <is>
          <t>3d1b6e821b11cc1da767cd71c359d17017457b40d6650f17b37ef5749012e2dc</t>
        </is>
      </c>
      <c r="J17" s="2" t="n">
        <v>40</v>
      </c>
      <c r="K17" s="2" t="n">
        <v>30</v>
      </c>
      <c r="L17" s="2" t="n">
        <v>20</v>
      </c>
      <c r="M17" s="2" t="n">
        <v>10</v>
      </c>
      <c r="N17" s="2">
        <f>SUM(J17:M17)</f>
        <v/>
      </c>
      <c r="O17" s="2">
        <f>IF(N17&gt;=85,"PASS",IF(N17&gt;=70,"REVISE","FAIL"))</f>
        <v/>
      </c>
      <c r="P17" s="3" t="inlineStr">
        <is>
          <t>Direct visual review verified: Adult and child reading under a blanket showing the script sample name.</t>
        </is>
      </c>
      <c r="Q17" s="3" t="inlineStr">
        <is>
          <t>Alt text verified: Basketball shoes blanket family lifestyle image</t>
        </is>
      </c>
    </row>
    <row r="18">
      <c r="A18" s="2" t="inlineStr">
        <is>
          <t>IMGQA-0017</t>
        </is>
      </c>
      <c r="B18" s="3" t="inlineStr">
        <is>
          <t>jeminise.com+personalized-basketball-on-court-lines-comforter-name-number-303fbd50f6-303fbd50f6</t>
        </is>
      </c>
      <c r="C18" s="3" t="inlineStr">
        <is>
          <t>personalized-basketball-on-court-lines-comforter-name-number-303fbd50f6-303fbd50f6</t>
        </is>
      </c>
      <c r="D18" s="2" t="n">
        <v>1</v>
      </c>
      <c r="E18" s="2" t="inlineStr">
        <is>
          <t>47538295668935</t>
        </is>
      </c>
      <c r="F18" s="3" t="inlineStr">
        <is>
          <t>223_01.jpg</t>
        </is>
      </c>
      <c r="G18" s="2" t="inlineStr">
        <is>
          <t>1000x1000</t>
        </is>
      </c>
      <c r="H18" s="2" t="n">
        <v>146678</v>
      </c>
      <c r="I18" s="3" t="inlineStr">
        <is>
          <t>02ee999bae42615dd9302bd523702e991e8098610f25763940f4e6a9038161b0</t>
        </is>
      </c>
      <c r="J18" s="2" t="n">
        <v>40</v>
      </c>
      <c r="K18" s="2" t="n">
        <v>30</v>
      </c>
      <c r="L18" s="2" t="n">
        <v>20</v>
      </c>
      <c r="M18" s="2" t="n">
        <v>10</v>
      </c>
      <c r="N18" s="2">
        <f>SUM(J18:M18)</f>
        <v/>
      </c>
      <c r="O18" s="2">
        <f>IF(N18&gt;=85,"PASS",IF(N18&gt;=70,"REVISE","FAIL"))</f>
        <v/>
      </c>
      <c r="P18" s="3" t="inlineStr">
        <is>
          <t>Direct visual review verified: Bedroom mockup of black court-lines basketball comforter with sample name T Mack and number 5.</t>
        </is>
      </c>
      <c r="Q18" s="3" t="inlineStr">
        <is>
          <t>Alt text verified: Custom court lines basketball comforter</t>
        </is>
      </c>
    </row>
    <row r="19">
      <c r="A19" s="2" t="inlineStr">
        <is>
          <t>IMGQA-0018</t>
        </is>
      </c>
      <c r="B19" s="3" t="inlineStr">
        <is>
          <t>jeminise.com+personalized-basketball-on-court-lines-comforter-name-number-303fbd50f6-303fbd50f6</t>
        </is>
      </c>
      <c r="C19" s="3" t="inlineStr">
        <is>
          <t>personalized-basketball-on-court-lines-comforter-name-number-303fbd50f6-303fbd50f6</t>
        </is>
      </c>
      <c r="D19" s="2" t="n">
        <v>2</v>
      </c>
      <c r="E19" s="2" t="inlineStr">
        <is>
          <t>47538295701703</t>
        </is>
      </c>
      <c r="F19" s="3" t="inlineStr">
        <is>
          <t>223_02.jpg</t>
        </is>
      </c>
      <c r="G19" s="2" t="inlineStr">
        <is>
          <t>1000x1000</t>
        </is>
      </c>
      <c r="H19" s="2" t="n">
        <v>152487</v>
      </c>
      <c r="I19" s="3" t="inlineStr">
        <is>
          <t>701693c98406047ea9e951b9ec467bc9da0feb5b04ab2bb6457b5acfe7bddf91</t>
        </is>
      </c>
      <c r="J19" s="2" t="n">
        <v>40</v>
      </c>
      <c r="K19" s="2" t="n">
        <v>30</v>
      </c>
      <c r="L19" s="2" t="n">
        <v>20</v>
      </c>
      <c r="M19" s="2" t="n">
        <v>10</v>
      </c>
      <c r="N19" s="2">
        <f>SUM(J19:M19)</f>
        <v/>
      </c>
      <c r="O19" s="2">
        <f>IF(N19&gt;=85,"PASS",IF(N19&gt;=70,"REVISE","FAIL"))</f>
        <v/>
      </c>
      <c r="P19" s="3" t="inlineStr">
        <is>
          <t>Direct visual review verified: Second bedroom mockup of the court-lines comforter with folded white duvet edge.</t>
        </is>
      </c>
      <c r="Q19" s="3" t="inlineStr">
        <is>
          <t>Alt text verified: Court lines basketball bedding mockup</t>
        </is>
      </c>
    </row>
    <row r="20">
      <c r="A20" s="2" t="inlineStr">
        <is>
          <t>IMGQA-0019</t>
        </is>
      </c>
      <c r="B20" s="3" t="inlineStr">
        <is>
          <t>jeminise.com+personalized-basketball-on-court-lines-comforter-name-number-303fbd50f6-303fbd50f6</t>
        </is>
      </c>
      <c r="C20" s="3" t="inlineStr">
        <is>
          <t>personalized-basketball-on-court-lines-comforter-name-number-303fbd50f6-303fbd50f6</t>
        </is>
      </c>
      <c r="D20" s="2" t="n">
        <v>3</v>
      </c>
      <c r="E20" s="2" t="inlineStr">
        <is>
          <t>47538295734471</t>
        </is>
      </c>
      <c r="F20" s="3" t="inlineStr">
        <is>
          <t>223_03.jpg</t>
        </is>
      </c>
      <c r="G20" s="2" t="inlineStr">
        <is>
          <t>1000x1000</t>
        </is>
      </c>
      <c r="H20" s="2" t="n">
        <v>92722</v>
      </c>
      <c r="I20" s="3" t="inlineStr">
        <is>
          <t>8b3c12074c3754533d0b05257ba6202d756771279ad73f602486cdcfa19ec981</t>
        </is>
      </c>
      <c r="J20" s="2" t="n">
        <v>40</v>
      </c>
      <c r="K20" s="2" t="n">
        <v>30</v>
      </c>
      <c r="L20" s="2" t="n">
        <v>20</v>
      </c>
      <c r="M20" s="2" t="n">
        <v>10</v>
      </c>
      <c r="N20" s="2">
        <f>SUM(J20:M20)</f>
        <v/>
      </c>
      <c r="O20" s="2">
        <f>IF(N20&gt;=85,"PASS",IF(N20&gt;=70,"REVISE","FAIL"))</f>
        <v/>
      </c>
      <c r="P20" s="3" t="inlineStr">
        <is>
          <t>Direct visual review verified: Panel comparing duvet cover set and comforter set for all-season use.</t>
        </is>
      </c>
      <c r="Q20" s="3" t="inlineStr">
        <is>
          <t>Alt text verified: Basketball bedding type comparison panel</t>
        </is>
      </c>
    </row>
    <row r="21">
      <c r="A21" s="2" t="inlineStr">
        <is>
          <t>IMGQA-0020</t>
        </is>
      </c>
      <c r="B21" s="3" t="inlineStr">
        <is>
          <t>jeminise.com+personalized-basketball-on-court-lines-comforter-name-number-303fbd50f6-303fbd50f6</t>
        </is>
      </c>
      <c r="C21" s="3" t="inlineStr">
        <is>
          <t>personalized-basketball-on-court-lines-comforter-name-number-303fbd50f6-303fbd50f6</t>
        </is>
      </c>
      <c r="D21" s="2" t="n">
        <v>4</v>
      </c>
      <c r="E21" s="2" t="inlineStr">
        <is>
          <t>47538295767239</t>
        </is>
      </c>
      <c r="F21" s="3" t="inlineStr">
        <is>
          <t>223_04.jpg</t>
        </is>
      </c>
      <c r="G21" s="2" t="inlineStr">
        <is>
          <t>1000x1000</t>
        </is>
      </c>
      <c r="H21" s="2" t="n">
        <v>96448</v>
      </c>
      <c r="I21" s="3" t="inlineStr">
        <is>
          <t>8ec870ac19a6b5c2706ed4f11c4be66779b4b756c10df2cc65d692b176eec8ca</t>
        </is>
      </c>
      <c r="J21" s="2" t="n">
        <v>40</v>
      </c>
      <c r="K21" s="2" t="n">
        <v>30</v>
      </c>
      <c r="L21" s="2" t="n">
        <v>20</v>
      </c>
      <c r="M21" s="2" t="n">
        <v>10</v>
      </c>
      <c r="N21" s="2">
        <f>SUM(J21:M21)</f>
        <v/>
      </c>
      <c r="O21" s="2">
        <f>IF(N21&gt;=85,"PASS",IF(N21&gt;=70,"REVISE","FAIL"))</f>
        <v/>
      </c>
      <c r="P21" s="3" t="inlineStr">
        <is>
          <t>Direct visual review verified: Feature panel with basketball court print close-ups, microfiber and 3D printed pattern callouts.</t>
        </is>
      </c>
      <c r="Q21" s="3" t="inlineStr">
        <is>
          <t>Alt text verified: Court lines basketball comforter feature panel</t>
        </is>
      </c>
    </row>
    <row r="22">
      <c r="A22" s="2" t="inlineStr">
        <is>
          <t>IMGQA-0021</t>
        </is>
      </c>
      <c r="B22" s="3" t="inlineStr">
        <is>
          <t>jeminise.com+personalized-basketball-on-court-lines-comforter-name-number-303fbd50f6-303fbd50f6</t>
        </is>
      </c>
      <c r="C22" s="3" t="inlineStr">
        <is>
          <t>personalized-basketball-on-court-lines-comforter-name-number-303fbd50f6-303fbd50f6</t>
        </is>
      </c>
      <c r="D22" s="2" t="n">
        <v>5</v>
      </c>
      <c r="E22" s="2" t="inlineStr">
        <is>
          <t>47538295800007</t>
        </is>
      </c>
      <c r="F22" s="3" t="inlineStr">
        <is>
          <t>223_05.jpg</t>
        </is>
      </c>
      <c r="G22" s="2" t="inlineStr">
        <is>
          <t>1000x1000</t>
        </is>
      </c>
      <c r="H22" s="2" t="n">
        <v>129865</v>
      </c>
      <c r="I22" s="3" t="inlineStr">
        <is>
          <t>5d472e3947f73e1fe4edcb22aa2d8b57dcc66ebd604f0009ff11e508b84e52d1</t>
        </is>
      </c>
      <c r="J22" s="2" t="n">
        <v>40</v>
      </c>
      <c r="K22" s="2" t="n">
        <v>30</v>
      </c>
      <c r="L22" s="2" t="n">
        <v>20</v>
      </c>
      <c r="M22" s="2" t="n">
        <v>10</v>
      </c>
      <c r="N22" s="2">
        <f>SUM(J22:M22)</f>
        <v/>
      </c>
      <c r="O22" s="2">
        <f>IF(N22&gt;=85,"PASS",IF(N22&gt;=70,"REVISE","FAIL"))</f>
        <v/>
      </c>
      <c r="P22" s="3" t="inlineStr">
        <is>
          <t>Direct visual review verified: Low-angle bed mockup with court-lines basketball bedding and comfort icon strip.</t>
        </is>
      </c>
      <c r="Q22" s="3" t="inlineStr">
        <is>
          <t>Alt text verified: Court lines basketball bedding close view</t>
        </is>
      </c>
    </row>
    <row r="23">
      <c r="A23" s="2" t="inlineStr">
        <is>
          <t>IMGQA-0022</t>
        </is>
      </c>
      <c r="B23" s="3" t="inlineStr">
        <is>
          <t>jeminise.com+personalized-basketball-on-court-lines-comforter-name-number-303fbd50f6-303fbd50f6</t>
        </is>
      </c>
      <c r="C23" s="3" t="inlineStr">
        <is>
          <t>personalized-basketball-on-court-lines-comforter-name-number-303fbd50f6-303fbd50f6</t>
        </is>
      </c>
      <c r="D23" s="2" t="n">
        <v>6</v>
      </c>
      <c r="E23" s="2" t="inlineStr">
        <is>
          <t>47538295832775</t>
        </is>
      </c>
      <c r="F23" s="3" t="inlineStr">
        <is>
          <t>223_06.jpg</t>
        </is>
      </c>
      <c r="G23" s="2" t="inlineStr">
        <is>
          <t>1000x1000</t>
        </is>
      </c>
      <c r="H23" s="2" t="n">
        <v>114480</v>
      </c>
      <c r="I23" s="3" t="inlineStr">
        <is>
          <t>e44cab8b26c30bd742694fbfe84f6c7d81d43bc446a85849d8f76db9238d02f8</t>
        </is>
      </c>
      <c r="J23" s="2" t="n">
        <v>40</v>
      </c>
      <c r="K23" s="2" t="n">
        <v>30</v>
      </c>
      <c r="L23" s="2" t="n">
        <v>20</v>
      </c>
      <c r="M23" s="2" t="n">
        <v>10</v>
      </c>
      <c r="N23" s="2">
        <f>SUM(J23:M23)</f>
        <v/>
      </c>
      <c r="O23" s="2">
        <f>IF(N23&gt;=85,"PASS",IF(N23&gt;=70,"REVISE","FAIL"))</f>
        <v/>
      </c>
      <c r="P23" s="3" t="inlineStr">
        <is>
          <t>Direct visual review verified: Easy care panel with pillows and wrinkle-free, stain-proof, anti-pilling callouts.</t>
        </is>
      </c>
      <c r="Q23" s="3" t="inlineStr">
        <is>
          <t>Alt text verified: Basketball bedding easy care panel</t>
        </is>
      </c>
    </row>
    <row r="24">
      <c r="A24" s="2" t="inlineStr">
        <is>
          <t>IMGQA-0023</t>
        </is>
      </c>
      <c r="B24" s="3" t="inlineStr">
        <is>
          <t>jeminise.com+personalized-basketball-on-court-lines-comforter-name-number-303fbd50f6-303fbd50f6</t>
        </is>
      </c>
      <c r="C24" s="3" t="inlineStr">
        <is>
          <t>personalized-basketball-on-court-lines-comforter-name-number-303fbd50f6-303fbd50f6</t>
        </is>
      </c>
      <c r="D24" s="2" t="n">
        <v>7</v>
      </c>
      <c r="E24" s="2" t="inlineStr">
        <is>
          <t>47538295865543</t>
        </is>
      </c>
      <c r="F24" s="3" t="inlineStr">
        <is>
          <t>223_07.jpg</t>
        </is>
      </c>
      <c r="G24" s="2" t="inlineStr">
        <is>
          <t>1000x1000</t>
        </is>
      </c>
      <c r="H24" s="2" t="n">
        <v>45320</v>
      </c>
      <c r="I24" s="3" t="inlineStr">
        <is>
          <t>2f82ab909cc6fdfa1cf987f335fcf2383e82468125fc30be36b116bf90311a88</t>
        </is>
      </c>
      <c r="J24" s="2" t="n">
        <v>40</v>
      </c>
      <c r="K24" s="2" t="n">
        <v>30</v>
      </c>
      <c r="L24" s="2" t="n">
        <v>20</v>
      </c>
      <c r="M24" s="2" t="n">
        <v>10</v>
      </c>
      <c r="N24" s="2">
        <f>SUM(J24:M24)</f>
        <v/>
      </c>
      <c r="O24" s="2">
        <f>IF(N24&gt;=85,"PASS",IF(N24&gt;=70,"REVISE","FAIL"))</f>
        <v/>
      </c>
      <c r="P24" s="3" t="inlineStr">
        <is>
          <t>Direct visual review verified: Size dimension panel showing twin, full, queen and king bed sizes.</t>
        </is>
      </c>
      <c r="Q24" s="3" t="inlineStr">
        <is>
          <t>Alt text verified: Basketball comforter size dimension panel</t>
        </is>
      </c>
    </row>
    <row r="25">
      <c r="A25" s="2" t="inlineStr">
        <is>
          <t>IMGQA-0024</t>
        </is>
      </c>
      <c r="B25" s="3" t="inlineStr">
        <is>
          <t>jeminise.com+personalized-basketball-on-court-perspective-comforter-with-name-and-number-1acfbe4260-1acfbe4260</t>
        </is>
      </c>
      <c r="C25" s="3" t="inlineStr">
        <is>
          <t>personalized-basketball-on-court-perspective-comforter-with-name-and-number-1acfbe4260-1acfbe4260</t>
        </is>
      </c>
      <c r="D25" s="2" t="n">
        <v>1</v>
      </c>
      <c r="E25" s="2" t="inlineStr">
        <is>
          <t>47538203951303</t>
        </is>
      </c>
      <c r="F25" s="3" t="inlineStr">
        <is>
          <t>224_01.jpg</t>
        </is>
      </c>
      <c r="G25" s="2" t="inlineStr">
        <is>
          <t>1000x1000</t>
        </is>
      </c>
      <c r="H25" s="2" t="n">
        <v>120173</v>
      </c>
      <c r="I25" s="3" t="inlineStr">
        <is>
          <t>9f76e36c0f4f2ed955ea2bceb2139df3bc17608df970d57d43cdb6d86a40777d</t>
        </is>
      </c>
      <c r="J25" s="2" t="n">
        <v>40</v>
      </c>
      <c r="K25" s="2" t="n">
        <v>30</v>
      </c>
      <c r="L25" s="2" t="n">
        <v>20</v>
      </c>
      <c r="M25" s="2" t="n">
        <v>10</v>
      </c>
      <c r="N25" s="2">
        <f>SUM(J25:M25)</f>
        <v/>
      </c>
      <c r="O25" s="2">
        <f>IF(N25&gt;=85,"PASS",IF(N25&gt;=70,"REVISE","FAIL"))</f>
        <v/>
      </c>
      <c r="P25" s="3" t="inlineStr">
        <is>
          <t>Direct visual review verified: Bedroom mockup of black and red basketball court perspective comforter with sample name Anthony and number 8.</t>
        </is>
      </c>
      <c r="Q25" s="3" t="inlineStr">
        <is>
          <t>Alt text verified: Custom basketball court perspective comforter</t>
        </is>
      </c>
    </row>
    <row r="26">
      <c r="A26" s="2" t="inlineStr">
        <is>
          <t>IMGQA-0025</t>
        </is>
      </c>
      <c r="B26" s="3" t="inlineStr">
        <is>
          <t>jeminise.com+personalized-basketball-on-court-perspective-comforter-with-name-and-number-1acfbe4260-1acfbe4260</t>
        </is>
      </c>
      <c r="C26" s="3" t="inlineStr">
        <is>
          <t>personalized-basketball-on-court-perspective-comforter-with-name-and-number-1acfbe4260-1acfbe4260</t>
        </is>
      </c>
      <c r="D26" s="2" t="n">
        <v>2</v>
      </c>
      <c r="E26" s="2" t="inlineStr">
        <is>
          <t>47538203984071</t>
        </is>
      </c>
      <c r="F26" s="3" t="inlineStr">
        <is>
          <t>224_02.jpg</t>
        </is>
      </c>
      <c r="G26" s="2" t="inlineStr">
        <is>
          <t>1000x1000</t>
        </is>
      </c>
      <c r="H26" s="2" t="n">
        <v>212925</v>
      </c>
      <c r="I26" s="3" t="inlineStr">
        <is>
          <t>dd43faa37780c284455db38980416d86bac30bf28d0dfcac662eb968ab7490c7</t>
        </is>
      </c>
      <c r="J26" s="2" t="n">
        <v>40</v>
      </c>
      <c r="K26" s="2" t="n">
        <v>30</v>
      </c>
      <c r="L26" s="2" t="n">
        <v>20</v>
      </c>
      <c r="M26" s="2" t="n">
        <v>10</v>
      </c>
      <c r="N26" s="2">
        <f>SUM(J26:M26)</f>
        <v/>
      </c>
      <c r="O26" s="2">
        <f>IF(N26&gt;=85,"PASS",IF(N26&gt;=70,"REVISE","FAIL"))</f>
        <v/>
      </c>
      <c r="P26" s="3" t="inlineStr">
        <is>
          <t>Direct visual review verified: White zipper close-up panel labeled bottom zippered closure.</t>
        </is>
      </c>
      <c r="Q26" s="3" t="inlineStr">
        <is>
          <t>Alt text verified: Bottom zippered closure bedding panel</t>
        </is>
      </c>
    </row>
    <row r="27">
      <c r="A27" s="2" t="inlineStr">
        <is>
          <t>IMGQA-0026</t>
        </is>
      </c>
      <c r="B27" s="3" t="inlineStr">
        <is>
          <t>jeminise.com+personalized-basketball-on-court-perspective-comforter-with-name-and-number-1acfbe4260-1acfbe4260</t>
        </is>
      </c>
      <c r="C27" s="3" t="inlineStr">
        <is>
          <t>personalized-basketball-on-court-perspective-comforter-with-name-and-number-1acfbe4260-1acfbe4260</t>
        </is>
      </c>
      <c r="D27" s="2" t="n">
        <v>3</v>
      </c>
      <c r="E27" s="2" t="inlineStr">
        <is>
          <t>47538204016839</t>
        </is>
      </c>
      <c r="F27" s="3" t="inlineStr">
        <is>
          <t>224_03.jpg</t>
        </is>
      </c>
      <c r="G27" s="2" t="inlineStr">
        <is>
          <t>1000x1000</t>
        </is>
      </c>
      <c r="H27" s="2" t="n">
        <v>76470</v>
      </c>
      <c r="I27" s="3" t="inlineStr">
        <is>
          <t>0b6cd797d66205f32e13e5dfd7497b3132e865a72dae5b440e9f98dd6c1bcd3a</t>
        </is>
      </c>
      <c r="J27" s="2" t="n">
        <v>40</v>
      </c>
      <c r="K27" s="2" t="n">
        <v>30</v>
      </c>
      <c r="L27" s="2" t="n">
        <v>20</v>
      </c>
      <c r="M27" s="2" t="n">
        <v>10</v>
      </c>
      <c r="N27" s="2">
        <f>SUM(J27:M27)</f>
        <v/>
      </c>
      <c r="O27" s="2">
        <f>IF(N27&gt;=85,"PASS",IF(N27&gt;=70,"REVISE","FAIL"))</f>
        <v/>
      </c>
      <c r="P27" s="3" t="inlineStr">
        <is>
          <t>Direct visual review verified: High-density weaving panel with fabric icons and weave comparison.</t>
        </is>
      </c>
      <c r="Q27" s="3" t="inlineStr">
        <is>
          <t>Alt text verified: High-density weaving bedding panel</t>
        </is>
      </c>
    </row>
    <row r="28">
      <c r="A28" s="2" t="inlineStr">
        <is>
          <t>IMGQA-0027</t>
        </is>
      </c>
      <c r="B28" s="3" t="inlineStr">
        <is>
          <t>jeminise.com+personalized-basketball-on-court-perspective-comforter-with-name-and-number-1acfbe4260-1acfbe4260</t>
        </is>
      </c>
      <c r="C28" s="3" t="inlineStr">
        <is>
          <t>personalized-basketball-on-court-perspective-comforter-with-name-and-number-1acfbe4260-1acfbe4260</t>
        </is>
      </c>
      <c r="D28" s="2" t="n">
        <v>4</v>
      </c>
      <c r="E28" s="2" t="inlineStr">
        <is>
          <t>47538204049607</t>
        </is>
      </c>
      <c r="F28" s="3" t="inlineStr">
        <is>
          <t>224_04.jpg</t>
        </is>
      </c>
      <c r="G28" s="2" t="inlineStr">
        <is>
          <t>1000x1000</t>
        </is>
      </c>
      <c r="H28" s="2" t="n">
        <v>171187</v>
      </c>
      <c r="I28" s="3" t="inlineStr">
        <is>
          <t>9da7310b602beaae50f3f98a462b7094ad7e056ff89bed8668ab4106a22a14fc</t>
        </is>
      </c>
      <c r="J28" s="2" t="n">
        <v>40</v>
      </c>
      <c r="K28" s="2" t="n">
        <v>30</v>
      </c>
      <c r="L28" s="2" t="n">
        <v>20</v>
      </c>
      <c r="M28" s="2" t="n">
        <v>10</v>
      </c>
      <c r="N28" s="2">
        <f>SUM(J28:M28)</f>
        <v/>
      </c>
      <c r="O28" s="2">
        <f>IF(N28&gt;=85,"PASS",IF(N28&gt;=70,"REVISE","FAIL"))</f>
        <v/>
      </c>
      <c r="P28" s="3" t="inlineStr">
        <is>
          <t>Direct visual review verified: Machine washable panel with washing machine and laundry baskets.</t>
        </is>
      </c>
      <c r="Q28" s="3" t="inlineStr">
        <is>
          <t>Alt text verified: Machine washable bedding care panel</t>
        </is>
      </c>
    </row>
    <row r="29">
      <c r="A29" s="2" t="inlineStr">
        <is>
          <t>IMGQA-0028</t>
        </is>
      </c>
      <c r="B29" s="3" t="inlineStr">
        <is>
          <t>jeminise.com+personalized-basketball-on-court-perspective-comforter-with-name-and-number-1acfbe4260-1acfbe4260</t>
        </is>
      </c>
      <c r="C29" s="3" t="inlineStr">
        <is>
          <t>personalized-basketball-on-court-perspective-comforter-with-name-and-number-1acfbe4260-1acfbe4260</t>
        </is>
      </c>
      <c r="D29" s="2" t="n">
        <v>5</v>
      </c>
      <c r="E29" s="2" t="inlineStr">
        <is>
          <t>47538204082375</t>
        </is>
      </c>
      <c r="F29" s="3" t="inlineStr">
        <is>
          <t>224_05.jpg</t>
        </is>
      </c>
      <c r="G29" s="2" t="inlineStr">
        <is>
          <t>1000x1000</t>
        </is>
      </c>
      <c r="H29" s="2" t="n">
        <v>128506</v>
      </c>
      <c r="I29" s="3" t="inlineStr">
        <is>
          <t>a88ad14e3408bdd927e997026aee37b357d021095ddc65791807855bc37a6407</t>
        </is>
      </c>
      <c r="J29" s="2" t="n">
        <v>40</v>
      </c>
      <c r="K29" s="2" t="n">
        <v>30</v>
      </c>
      <c r="L29" s="2" t="n">
        <v>20</v>
      </c>
      <c r="M29" s="2" t="n">
        <v>10</v>
      </c>
      <c r="N29" s="2">
        <f>SUM(J29:M29)</f>
        <v/>
      </c>
      <c r="O29" s="2">
        <f>IF(N29&gt;=85,"PASS",IF(N29&gt;=70,"REVISE","FAIL"))</f>
        <v/>
      </c>
      <c r="P29" s="3" t="inlineStr">
        <is>
          <t>Direct visual review verified: Blue table size panel for duvet cover and pillowcase dimensions with bed icons.</t>
        </is>
      </c>
      <c r="Q29" s="3" t="inlineStr">
        <is>
          <t>Alt text verified: Basketball bedding size chart panel</t>
        </is>
      </c>
    </row>
    <row r="30">
      <c r="A30" s="2" t="inlineStr">
        <is>
          <t>IMGQA-0029</t>
        </is>
      </c>
      <c r="B30" s="3" t="inlineStr">
        <is>
          <t>jeminise.com+personalized-basketball-on-hardwood-court-comforter-with-name-and-number-8aee799947-8aee799947</t>
        </is>
      </c>
      <c r="C30" s="3" t="inlineStr">
        <is>
          <t>personalized-basketball-on-hardwood-court-comforter-with-name-and-number-8aee799947-8aee799947</t>
        </is>
      </c>
      <c r="D30" s="2" t="n">
        <v>1</v>
      </c>
      <c r="E30" s="2" t="inlineStr">
        <is>
          <t>47538241732807</t>
        </is>
      </c>
      <c r="F30" s="3" t="inlineStr">
        <is>
          <t>225_01.jpg</t>
        </is>
      </c>
      <c r="G30" s="2" t="inlineStr">
        <is>
          <t>1000x1000</t>
        </is>
      </c>
      <c r="H30" s="2" t="n">
        <v>131883</v>
      </c>
      <c r="I30" s="3" t="inlineStr">
        <is>
          <t>8fe1d1799008397b21f5f81e60bed4f5890c3d4fb46e6dd72a040b843feeee05</t>
        </is>
      </c>
      <c r="J30" s="2" t="n">
        <v>40</v>
      </c>
      <c r="K30" s="2" t="n">
        <v>30</v>
      </c>
      <c r="L30" s="2" t="n">
        <v>20</v>
      </c>
      <c r="M30" s="2" t="n">
        <v>10</v>
      </c>
      <c r="N30" s="2">
        <f>SUM(J30:M30)</f>
        <v/>
      </c>
      <c r="O30" s="2">
        <f>IF(N30&gt;=85,"PASS",IF(N30&gt;=70,"REVISE","FAIL"))</f>
        <v/>
      </c>
      <c r="P30" s="3" t="inlineStr">
        <is>
          <t>Direct visual review verified: Bedroom mockup of blue and gold hardwood court basketball comforter with sample name Matthew and number 2.</t>
        </is>
      </c>
      <c r="Q30" s="3" t="inlineStr">
        <is>
          <t>Alt text verified: Custom hardwood court basketball comforter</t>
        </is>
      </c>
    </row>
    <row r="31">
      <c r="A31" s="2" t="inlineStr">
        <is>
          <t>IMGQA-0030</t>
        </is>
      </c>
      <c r="B31" s="3" t="inlineStr">
        <is>
          <t>jeminise.com+personalized-basketball-on-hardwood-court-comforter-with-name-and-number-8aee799947-8aee799947</t>
        </is>
      </c>
      <c r="C31" s="3" t="inlineStr">
        <is>
          <t>personalized-basketball-on-hardwood-court-comforter-with-name-and-number-8aee799947-8aee799947</t>
        </is>
      </c>
      <c r="D31" s="2" t="n">
        <v>2</v>
      </c>
      <c r="E31" s="2" t="inlineStr">
        <is>
          <t>47538241765575</t>
        </is>
      </c>
      <c r="F31" s="3" t="inlineStr">
        <is>
          <t>225_02.jpg</t>
        </is>
      </c>
      <c r="G31" s="2" t="inlineStr">
        <is>
          <t>1000x1000</t>
        </is>
      </c>
      <c r="H31" s="2" t="n">
        <v>212925</v>
      </c>
      <c r="I31" s="3" t="inlineStr">
        <is>
          <t>dd43faa37780c284455db38980416d86bac30bf28d0dfcac662eb968ab7490c7</t>
        </is>
      </c>
      <c r="J31" s="2" t="n">
        <v>40</v>
      </c>
      <c r="K31" s="2" t="n">
        <v>30</v>
      </c>
      <c r="L31" s="2" t="n">
        <v>20</v>
      </c>
      <c r="M31" s="2" t="n">
        <v>10</v>
      </c>
      <c r="N31" s="2">
        <f>SUM(J31:M31)</f>
        <v/>
      </c>
      <c r="O31" s="2">
        <f>IF(N31&gt;=85,"PASS",IF(N31&gt;=70,"REVISE","FAIL"))</f>
        <v/>
      </c>
      <c r="P31" s="3" t="inlineStr">
        <is>
          <t>Direct visual review verified: White zipper close-up panel labeled bottom zippered closure.</t>
        </is>
      </c>
      <c r="Q31" s="3" t="inlineStr">
        <is>
          <t>Alt text verified: Bottom zippered closure bedding panel for hardwood court comforter</t>
        </is>
      </c>
    </row>
    <row r="32">
      <c r="A32" s="2" t="inlineStr">
        <is>
          <t>IMGQA-0031</t>
        </is>
      </c>
      <c r="B32" s="3" t="inlineStr">
        <is>
          <t>jeminise.com+personalized-basketball-on-hardwood-court-comforter-with-name-and-number-8aee799947-8aee799947</t>
        </is>
      </c>
      <c r="C32" s="3" t="inlineStr">
        <is>
          <t>personalized-basketball-on-hardwood-court-comforter-with-name-and-number-8aee799947-8aee799947</t>
        </is>
      </c>
      <c r="D32" s="2" t="n">
        <v>3</v>
      </c>
      <c r="E32" s="2" t="inlineStr">
        <is>
          <t>47538241798343</t>
        </is>
      </c>
      <c r="F32" s="3" t="inlineStr">
        <is>
          <t>225_03.jpg</t>
        </is>
      </c>
      <c r="G32" s="2" t="inlineStr">
        <is>
          <t>1000x1000</t>
        </is>
      </c>
      <c r="H32" s="2" t="n">
        <v>76470</v>
      </c>
      <c r="I32" s="3" t="inlineStr">
        <is>
          <t>0b6cd797d66205f32e13e5dfd7497b3132e865a72dae5b440e9f98dd6c1bcd3a</t>
        </is>
      </c>
      <c r="J32" s="2" t="n">
        <v>40</v>
      </c>
      <c r="K32" s="2" t="n">
        <v>30</v>
      </c>
      <c r="L32" s="2" t="n">
        <v>20</v>
      </c>
      <c r="M32" s="2" t="n">
        <v>10</v>
      </c>
      <c r="N32" s="2">
        <f>SUM(J32:M32)</f>
        <v/>
      </c>
      <c r="O32" s="2">
        <f>IF(N32&gt;=85,"PASS",IF(N32&gt;=70,"REVISE","FAIL"))</f>
        <v/>
      </c>
      <c r="P32" s="3" t="inlineStr">
        <is>
          <t>Direct visual review verified: High-density weaving feature panel with fabric and breathability icons.</t>
        </is>
      </c>
      <c r="Q32" s="3" t="inlineStr">
        <is>
          <t>Alt text verified: High-density weaving panel for hardwood basketball bedding</t>
        </is>
      </c>
    </row>
    <row r="33">
      <c r="A33" s="2" t="inlineStr">
        <is>
          <t>IMGQA-0032</t>
        </is>
      </c>
      <c r="B33" s="3" t="inlineStr">
        <is>
          <t>jeminise.com+personalized-basketball-on-hardwood-court-comforter-with-name-and-number-8aee799947-8aee799947</t>
        </is>
      </c>
      <c r="C33" s="3" t="inlineStr">
        <is>
          <t>personalized-basketball-on-hardwood-court-comforter-with-name-and-number-8aee799947-8aee799947</t>
        </is>
      </c>
      <c r="D33" s="2" t="n">
        <v>4</v>
      </c>
      <c r="E33" s="2" t="inlineStr">
        <is>
          <t>47538241831111</t>
        </is>
      </c>
      <c r="F33" s="3" t="inlineStr">
        <is>
          <t>225_04.jpg</t>
        </is>
      </c>
      <c r="G33" s="2" t="inlineStr">
        <is>
          <t>1000x1000</t>
        </is>
      </c>
      <c r="H33" s="2" t="n">
        <v>171187</v>
      </c>
      <c r="I33" s="3" t="inlineStr">
        <is>
          <t>9da7310b602beaae50f3f98a462b7094ad7e056ff89bed8668ab4106a22a14fc</t>
        </is>
      </c>
      <c r="J33" s="2" t="n">
        <v>40</v>
      </c>
      <c r="K33" s="2" t="n">
        <v>30</v>
      </c>
      <c r="L33" s="2" t="n">
        <v>20</v>
      </c>
      <c r="M33" s="2" t="n">
        <v>10</v>
      </c>
      <c r="N33" s="2">
        <f>SUM(J33:M33)</f>
        <v/>
      </c>
      <c r="O33" s="2">
        <f>IF(N33&gt;=85,"PASS",IF(N33&gt;=70,"REVISE","FAIL"))</f>
        <v/>
      </c>
      <c r="P33" s="3" t="inlineStr">
        <is>
          <t>Direct visual review verified: Machine washable care panel with washing machine and laundry baskets.</t>
        </is>
      </c>
      <c r="Q33" s="3" t="inlineStr">
        <is>
          <t>Alt text verified: Hardwood basketball bedding easy care panel</t>
        </is>
      </c>
    </row>
    <row r="34">
      <c r="A34" s="2" t="inlineStr">
        <is>
          <t>IMGQA-0033</t>
        </is>
      </c>
      <c r="B34" s="3" t="inlineStr">
        <is>
          <t>jeminise.com+personalized-basketball-on-hardwood-court-comforter-with-name-and-number-8aee799947-8aee799947</t>
        </is>
      </c>
      <c r="C34" s="3" t="inlineStr">
        <is>
          <t>personalized-basketball-on-hardwood-court-comforter-with-name-and-number-8aee799947-8aee799947</t>
        </is>
      </c>
      <c r="D34" s="2" t="n">
        <v>5</v>
      </c>
      <c r="E34" s="2" t="inlineStr">
        <is>
          <t>47538241863879</t>
        </is>
      </c>
      <c r="F34" s="3" t="inlineStr">
        <is>
          <t>225_05.jpg</t>
        </is>
      </c>
      <c r="G34" s="2" t="inlineStr">
        <is>
          <t>1000x1000</t>
        </is>
      </c>
      <c r="H34" s="2" t="n">
        <v>128506</v>
      </c>
      <c r="I34" s="3" t="inlineStr">
        <is>
          <t>a88ad14e3408bdd927e997026aee37b357d021095ddc65791807855bc37a6407</t>
        </is>
      </c>
      <c r="J34" s="2" t="n">
        <v>40</v>
      </c>
      <c r="K34" s="2" t="n">
        <v>30</v>
      </c>
      <c r="L34" s="2" t="n">
        <v>20</v>
      </c>
      <c r="M34" s="2" t="n">
        <v>10</v>
      </c>
      <c r="N34" s="2">
        <f>SUM(J34:M34)</f>
        <v/>
      </c>
      <c r="O34" s="2">
        <f>IF(N34&gt;=85,"PASS",IF(N34&gt;=70,"REVISE","FAIL"))</f>
        <v/>
      </c>
      <c r="P34" s="3" t="inlineStr">
        <is>
          <t>Direct visual review verified: Size chart panel listing US twin, full, queen and king duvet cover and pillowcase dimensions.</t>
        </is>
      </c>
      <c r="Q34" s="3" t="inlineStr">
        <is>
          <t>Alt text verified: Hardwood basketball bedding size chart</t>
        </is>
      </c>
    </row>
    <row r="35">
      <c r="A35" s="2" t="inlineStr">
        <is>
          <t>IMGQA-0034</t>
        </is>
      </c>
      <c r="B35" s="3" t="inlineStr">
        <is>
          <t>jeminise.com+personalized-neon-basketball-player-blanket-788fb6ae63-788fb6ae63</t>
        </is>
      </c>
      <c r="C35" s="3" t="inlineStr">
        <is>
          <t>personalized-neon-basketball-player-blanket-788fb6ae63-788fb6ae63</t>
        </is>
      </c>
      <c r="D35" s="2" t="n">
        <v>1</v>
      </c>
      <c r="E35" s="2" t="inlineStr">
        <is>
          <t>47539119587527</t>
        </is>
      </c>
      <c r="F35" s="3" t="inlineStr">
        <is>
          <t>226_01.jpg</t>
        </is>
      </c>
      <c r="G35" s="2" t="inlineStr">
        <is>
          <t>1000x1000</t>
        </is>
      </c>
      <c r="H35" s="2" t="n">
        <v>216399</v>
      </c>
      <c r="I35" s="3" t="inlineStr">
        <is>
          <t>babdd95b0cec77ea6b0d4eee589d295afc7fe6b2e016b69c943b61f8e38e9f8a</t>
        </is>
      </c>
      <c r="J35" s="2" t="n">
        <v>40</v>
      </c>
      <c r="K35" s="2" t="n">
        <v>30</v>
      </c>
      <c r="L35" s="2" t="n">
        <v>20</v>
      </c>
      <c r="M35" s="2" t="n">
        <v>10</v>
      </c>
      <c r="N35" s="2">
        <f>SUM(J35:M35)</f>
        <v/>
      </c>
      <c r="O35" s="2">
        <f>IF(N35&gt;=85,"PASS",IF(N35&gt;=70,"REVISE","FAIL"))</f>
        <v/>
      </c>
      <c r="P35" s="3" t="inlineStr">
        <is>
          <t>Direct visual review verified: Blanket flat mockup with neon dunking player silhouette, hoop, sample name Fernando and number 51.</t>
        </is>
      </c>
      <c r="Q35" s="3" t="inlineStr">
        <is>
          <t>Alt text verified: Custom neon basketball player blanket flat view</t>
        </is>
      </c>
    </row>
    <row r="36">
      <c r="A36" s="2" t="inlineStr">
        <is>
          <t>IMGQA-0035</t>
        </is>
      </c>
      <c r="B36" s="3" t="inlineStr">
        <is>
          <t>jeminise.com+personalized-neon-basketball-player-blanket-788fb6ae63-788fb6ae63</t>
        </is>
      </c>
      <c r="C36" s="3" t="inlineStr">
        <is>
          <t>personalized-neon-basketball-player-blanket-788fb6ae63-788fb6ae63</t>
        </is>
      </c>
      <c r="D36" s="2" t="n">
        <v>2</v>
      </c>
      <c r="E36" s="2" t="inlineStr">
        <is>
          <t>47539119620295</t>
        </is>
      </c>
      <c r="F36" s="3" t="inlineStr">
        <is>
          <t>226_02.jpg</t>
        </is>
      </c>
      <c r="G36" s="2" t="inlineStr">
        <is>
          <t>1000x1000</t>
        </is>
      </c>
      <c r="H36" s="2" t="n">
        <v>268286</v>
      </c>
      <c r="I36" s="3" t="inlineStr">
        <is>
          <t>51a37e938ae4283edb5dd12eaa1738982ccdbdefbcd6e4fc9f843025839025aa</t>
        </is>
      </c>
      <c r="J36" s="2" t="n">
        <v>40</v>
      </c>
      <c r="K36" s="2" t="n">
        <v>30</v>
      </c>
      <c r="L36" s="2" t="n">
        <v>20</v>
      </c>
      <c r="M36" s="2" t="n">
        <v>10</v>
      </c>
      <c r="N36" s="2">
        <f>SUM(J36:M36)</f>
        <v/>
      </c>
      <c r="O36" s="2">
        <f>IF(N36&gt;=85,"PASS",IF(N36&gt;=70,"REVISE","FAIL"))</f>
        <v/>
      </c>
      <c r="P36" s="3" t="inlineStr">
        <is>
          <t>Direct visual review verified: Person holds neon basketball player blanket in a living room.</t>
        </is>
      </c>
      <c r="Q36" s="3" t="inlineStr">
        <is>
          <t>Alt text verified: Neon basketball player blanket held in living room</t>
        </is>
      </c>
    </row>
    <row r="37">
      <c r="A37" s="2" t="inlineStr">
        <is>
          <t>IMGQA-0036</t>
        </is>
      </c>
      <c r="B37" s="3" t="inlineStr">
        <is>
          <t>jeminise.com+personalized-neon-basketball-player-blanket-788fb6ae63-788fb6ae63</t>
        </is>
      </c>
      <c r="C37" s="3" t="inlineStr">
        <is>
          <t>personalized-neon-basketball-player-blanket-788fb6ae63-788fb6ae63</t>
        </is>
      </c>
      <c r="D37" s="2" t="n">
        <v>3</v>
      </c>
      <c r="E37" s="2" t="inlineStr">
        <is>
          <t>47539119653063</t>
        </is>
      </c>
      <c r="F37" s="3" t="inlineStr">
        <is>
          <t>226_03.jpg</t>
        </is>
      </c>
      <c r="G37" s="2" t="inlineStr">
        <is>
          <t>1000x1000</t>
        </is>
      </c>
      <c r="H37" s="2" t="n">
        <v>165434</v>
      </c>
      <c r="I37" s="3" t="inlineStr">
        <is>
          <t>99e423457b92cbec0704dbac8812bcc08a9930656548c1641f641e9f2951ae42</t>
        </is>
      </c>
      <c r="J37" s="2" t="n">
        <v>40</v>
      </c>
      <c r="K37" s="2" t="n">
        <v>30</v>
      </c>
      <c r="L37" s="2" t="n">
        <v>20</v>
      </c>
      <c r="M37" s="2" t="n">
        <v>10</v>
      </c>
      <c r="N37" s="2">
        <f>SUM(J37:M37)</f>
        <v/>
      </c>
      <c r="O37" s="2">
        <f>IF(N37&gt;=85,"PASS",IF(N37&gt;=70,"REVISE","FAIL"))</f>
        <v/>
      </c>
      <c r="P37" s="3" t="inlineStr">
        <is>
          <t>Direct visual review verified: Size chart panel showing four blanket sizes for the dunking player design.</t>
        </is>
      </c>
      <c r="Q37" s="3" t="inlineStr">
        <is>
          <t>Alt text verified: Neon basketball player blanket size chart</t>
        </is>
      </c>
    </row>
    <row r="38">
      <c r="A38" s="2" t="inlineStr">
        <is>
          <t>IMGQA-0037</t>
        </is>
      </c>
      <c r="B38" s="3" t="inlineStr">
        <is>
          <t>jeminise.com+personalized-neon-basketball-player-blanket-788fb6ae63-788fb6ae63</t>
        </is>
      </c>
      <c r="C38" s="3" t="inlineStr">
        <is>
          <t>personalized-neon-basketball-player-blanket-788fb6ae63-788fb6ae63</t>
        </is>
      </c>
      <c r="D38" s="2" t="n">
        <v>4</v>
      </c>
      <c r="E38" s="2" t="inlineStr">
        <is>
          <t>47539119685831</t>
        </is>
      </c>
      <c r="F38" s="3" t="inlineStr">
        <is>
          <t>226_04.jpg</t>
        </is>
      </c>
      <c r="G38" s="2" t="inlineStr">
        <is>
          <t>1000x1000</t>
        </is>
      </c>
      <c r="H38" s="2" t="n">
        <v>167055</v>
      </c>
      <c r="I38" s="3" t="inlineStr">
        <is>
          <t>30532ad84f81b8b5db7e1f56d74327ef4f4b3b5e21d2d9616fd627216f507dde</t>
        </is>
      </c>
      <c r="J38" s="2" t="n">
        <v>40</v>
      </c>
      <c r="K38" s="2" t="n">
        <v>30</v>
      </c>
      <c r="L38" s="2" t="n">
        <v>20</v>
      </c>
      <c r="M38" s="2" t="n">
        <v>10</v>
      </c>
      <c r="N38" s="2">
        <f>SUM(J38:M38)</f>
        <v/>
      </c>
      <c r="O38" s="2">
        <f>IF(N38&gt;=85,"PASS",IF(N38&gt;=70,"REVISE","FAIL"))</f>
        <v/>
      </c>
      <c r="P38" s="3" t="inlineStr">
        <is>
          <t>Direct visual review verified: Feature panel over player-and-hoop artwork with fluffy and no-pilling callouts.</t>
        </is>
      </c>
      <c r="Q38" s="3" t="inlineStr">
        <is>
          <t>Alt text verified: Neon basketball player blanket feature panel</t>
        </is>
      </c>
    </row>
    <row r="39">
      <c r="A39" s="2" t="inlineStr">
        <is>
          <t>IMGQA-0038</t>
        </is>
      </c>
      <c r="B39" s="3" t="inlineStr">
        <is>
          <t>jeminise.com+personalized-neon-basketball-player-blanket-788fb6ae63-788fb6ae63</t>
        </is>
      </c>
      <c r="C39" s="3" t="inlineStr">
        <is>
          <t>personalized-neon-basketball-player-blanket-788fb6ae63-788fb6ae63</t>
        </is>
      </c>
      <c r="D39" s="2" t="n">
        <v>5</v>
      </c>
      <c r="E39" s="2" t="inlineStr">
        <is>
          <t>47539119718599</t>
        </is>
      </c>
      <c r="F39" s="3" t="inlineStr">
        <is>
          <t>226_05.jpg</t>
        </is>
      </c>
      <c r="G39" s="2" t="inlineStr">
        <is>
          <t>1000x1000</t>
        </is>
      </c>
      <c r="H39" s="2" t="n">
        <v>223339</v>
      </c>
      <c r="I39" s="3" t="inlineStr">
        <is>
          <t>87d0445cc8090977aa16521bc5bd2272555226d61bd7baeeec02c7d34807f1bf</t>
        </is>
      </c>
      <c r="J39" s="2" t="n">
        <v>40</v>
      </c>
      <c r="K39" s="2" t="n">
        <v>30</v>
      </c>
      <c r="L39" s="2" t="n">
        <v>20</v>
      </c>
      <c r="M39" s="2" t="n">
        <v>10</v>
      </c>
      <c r="N39" s="2">
        <f>SUM(J39:M39)</f>
        <v/>
      </c>
      <c r="O39" s="2">
        <f>IF(N39&gt;=85,"PASS",IF(N39&gt;=70,"REVISE","FAIL"))</f>
        <v/>
      </c>
      <c r="P39" s="3" t="inlineStr">
        <is>
          <t>Direct visual review verified: Neon basketball player blanket draped across a sofa.</t>
        </is>
      </c>
      <c r="Q39" s="3" t="inlineStr">
        <is>
          <t>Alt text verified: Neon basketball player blanket on sofa</t>
        </is>
      </c>
    </row>
    <row r="40">
      <c r="A40" s="2" t="inlineStr">
        <is>
          <t>IMGQA-0039</t>
        </is>
      </c>
      <c r="B40" s="3" t="inlineStr">
        <is>
          <t>jeminise.com+personalized-neon-basketball-player-blanket-788fb6ae63-788fb6ae63</t>
        </is>
      </c>
      <c r="C40" s="3" t="inlineStr">
        <is>
          <t>personalized-neon-basketball-player-blanket-788fb6ae63-788fb6ae63</t>
        </is>
      </c>
      <c r="D40" s="2" t="n">
        <v>6</v>
      </c>
      <c r="E40" s="2" t="inlineStr">
        <is>
          <t>47539119751367</t>
        </is>
      </c>
      <c r="F40" s="3" t="inlineStr">
        <is>
          <t>226_06.jpg</t>
        </is>
      </c>
      <c r="G40" s="2" t="inlineStr">
        <is>
          <t>1000x1000</t>
        </is>
      </c>
      <c r="H40" s="2" t="n">
        <v>262841</v>
      </c>
      <c r="I40" s="3" t="inlineStr">
        <is>
          <t>ef7669eca171ae7e1ffd02bd923804fa4329855a0f72d624265776ea3ce392aa</t>
        </is>
      </c>
      <c r="J40" s="2" t="n">
        <v>40</v>
      </c>
      <c r="K40" s="2" t="n">
        <v>30</v>
      </c>
      <c r="L40" s="2" t="n">
        <v>20</v>
      </c>
      <c r="M40" s="2" t="n">
        <v>10</v>
      </c>
      <c r="N40" s="2">
        <f>SUM(J40:M40)</f>
        <v/>
      </c>
      <c r="O40" s="2">
        <f>IF(N40&gt;=85,"PASS",IF(N40&gt;=70,"REVISE","FAIL"))</f>
        <v/>
      </c>
      <c r="P40" s="3" t="inlineStr">
        <is>
          <t>Direct visual review verified: Folded blanket and fabric/care collage for the neon player design.</t>
        </is>
      </c>
      <c r="Q40" s="3" t="inlineStr">
        <is>
          <t>Alt text verified: Neon basketball player blanket fabric care panel</t>
        </is>
      </c>
    </row>
    <row r="41">
      <c r="A41" s="2" t="inlineStr">
        <is>
          <t>IMGQA-0040</t>
        </is>
      </c>
      <c r="B41" s="3" t="inlineStr">
        <is>
          <t>jeminise.com+personalized-neon-basketball-player-blanket-788fb6ae63-788fb6ae63</t>
        </is>
      </c>
      <c r="C41" s="3" t="inlineStr">
        <is>
          <t>personalized-neon-basketball-player-blanket-788fb6ae63-788fb6ae63</t>
        </is>
      </c>
      <c r="D41" s="2" t="n">
        <v>7</v>
      </c>
      <c r="E41" s="2" t="inlineStr">
        <is>
          <t>47539119784135</t>
        </is>
      </c>
      <c r="F41" s="3" t="inlineStr">
        <is>
          <t>226_07.jpg</t>
        </is>
      </c>
      <c r="G41" s="2" t="inlineStr">
        <is>
          <t>1000x1000</t>
        </is>
      </c>
      <c r="H41" s="2" t="n">
        <v>271801</v>
      </c>
      <c r="I41" s="3" t="inlineStr">
        <is>
          <t>5cbcc0d92bb3d68cd869a15b6e753a8c9b565c976729d85fc99bffe1f962c169</t>
        </is>
      </c>
      <c r="J41" s="2" t="n">
        <v>40</v>
      </c>
      <c r="K41" s="2" t="n">
        <v>30</v>
      </c>
      <c r="L41" s="2" t="n">
        <v>20</v>
      </c>
      <c r="M41" s="2" t="n">
        <v>10</v>
      </c>
      <c r="N41" s="2">
        <f>SUM(J41:M41)</f>
        <v/>
      </c>
      <c r="O41" s="2">
        <f>IF(N41&gt;=85,"PASS",IF(N41&gt;=70,"REVISE","FAIL"))</f>
        <v/>
      </c>
      <c r="P41" s="3" t="inlineStr">
        <is>
          <t>Direct visual review verified: Custom blanket bed size guide with example placements and size table.</t>
        </is>
      </c>
      <c r="Q41" s="3" t="inlineStr">
        <is>
          <t>Alt text verified: Neon basketball player blanket bed size guide</t>
        </is>
      </c>
    </row>
    <row r="42">
      <c r="A42" s="2" t="inlineStr">
        <is>
          <t>IMGQA-0041</t>
        </is>
      </c>
      <c r="B42" s="3" t="inlineStr">
        <is>
          <t>jeminise.com+personalized-neon-basketball-player-blanket-788fb6ae63-788fb6ae63</t>
        </is>
      </c>
      <c r="C42" s="3" t="inlineStr">
        <is>
          <t>personalized-neon-basketball-player-blanket-788fb6ae63-788fb6ae63</t>
        </is>
      </c>
      <c r="D42" s="2" t="n">
        <v>8</v>
      </c>
      <c r="E42" s="2" t="inlineStr">
        <is>
          <t>47539119816903</t>
        </is>
      </c>
      <c r="F42" s="3" t="inlineStr">
        <is>
          <t>226_08.jpg</t>
        </is>
      </c>
      <c r="G42" s="2" t="inlineStr">
        <is>
          <t>1000x1000</t>
        </is>
      </c>
      <c r="H42" s="2" t="n">
        <v>195145</v>
      </c>
      <c r="I42" s="3" t="inlineStr">
        <is>
          <t>38105ba4a715b0fb4d549692a1c2757e444aedef5a6d40e85f55649f240d6853</t>
        </is>
      </c>
      <c r="J42" s="2" t="n">
        <v>40</v>
      </c>
      <c r="K42" s="2" t="n">
        <v>30</v>
      </c>
      <c r="L42" s="2" t="n">
        <v>20</v>
      </c>
      <c r="M42" s="2" t="n">
        <v>10</v>
      </c>
      <c r="N42" s="2">
        <f>SUM(J42:M42)</f>
        <v/>
      </c>
      <c r="O42" s="2">
        <f>IF(N42&gt;=85,"PASS",IF(N42&gt;=70,"REVISE","FAIL"))</f>
        <v/>
      </c>
      <c r="P42" s="3" t="inlineStr">
        <is>
          <t>Direct visual review verified: Adult and child reading under the neon basketball player blanket.</t>
        </is>
      </c>
      <c r="Q42" s="3" t="inlineStr">
        <is>
          <t>Alt text verified: Neon basketball player blanket family lifestyle image</t>
        </is>
      </c>
    </row>
    <row r="43">
      <c r="A43" s="2" t="inlineStr">
        <is>
          <t>IMGQA-0042</t>
        </is>
      </c>
      <c r="B43" s="3" t="inlineStr">
        <is>
          <t>jeminise.com+personalized-basketball-player-front-blanket-with-name-and-number-258e7f9e2e-258e7f9e2e</t>
        </is>
      </c>
      <c r="C43" s="3" t="inlineStr">
        <is>
          <t>personalized-basketball-player-front-blanket-with-name-and-number-258e7f9e2e-258e7f9e2e</t>
        </is>
      </c>
      <c r="D43" s="2" t="n">
        <v>1</v>
      </c>
      <c r="E43" s="2" t="inlineStr">
        <is>
          <t>47539098747079</t>
        </is>
      </c>
      <c r="F43" s="3" t="inlineStr">
        <is>
          <t>227_01.jpg</t>
        </is>
      </c>
      <c r="G43" s="2" t="inlineStr">
        <is>
          <t>1000x1000</t>
        </is>
      </c>
      <c r="H43" s="2" t="n">
        <v>122159</v>
      </c>
      <c r="I43" s="3" t="inlineStr">
        <is>
          <t>93768dfd49ca950af2f682943ecddd63140ac92fb0295f27d708c8c415b9dc10</t>
        </is>
      </c>
      <c r="J43" s="2" t="n">
        <v>40</v>
      </c>
      <c r="K43" s="2" t="n">
        <v>30</v>
      </c>
      <c r="L43" s="2" t="n">
        <v>20</v>
      </c>
      <c r="M43" s="2" t="n">
        <v>10</v>
      </c>
      <c r="N43" s="2">
        <f>SUM(J43:M43)</f>
        <v/>
      </c>
      <c r="O43" s="2">
        <f>IF(N43&gt;=85,"PASS",IF(N43&gt;=70,"REVISE","FAIL"))</f>
        <v/>
      </c>
      <c r="P43" s="3" t="inlineStr">
        <is>
          <t>Direct visual review verified: Blanket flat mockup with front dribbling basketball player, flame effect, sample name King David and number 23.</t>
        </is>
      </c>
      <c r="Q43" s="3" t="inlineStr">
        <is>
          <t>Alt text verified: Custom flaming basketball player blanket flat view</t>
        </is>
      </c>
    </row>
    <row r="44">
      <c r="A44" s="2" t="inlineStr">
        <is>
          <t>IMGQA-0043</t>
        </is>
      </c>
      <c r="B44" s="3" t="inlineStr">
        <is>
          <t>jeminise.com+personalized-basketball-player-front-blanket-with-name-and-number-258e7f9e2e-258e7f9e2e</t>
        </is>
      </c>
      <c r="C44" s="3" t="inlineStr">
        <is>
          <t>personalized-basketball-player-front-blanket-with-name-and-number-258e7f9e2e-258e7f9e2e</t>
        </is>
      </c>
      <c r="D44" s="2" t="n">
        <v>2</v>
      </c>
      <c r="E44" s="2" t="inlineStr">
        <is>
          <t>47539098779847</t>
        </is>
      </c>
      <c r="F44" s="3" t="inlineStr">
        <is>
          <t>227_02.jpg</t>
        </is>
      </c>
      <c r="G44" s="2" t="inlineStr">
        <is>
          <t>1000x1000</t>
        </is>
      </c>
      <c r="H44" s="2" t="n">
        <v>201338</v>
      </c>
      <c r="I44" s="3" t="inlineStr">
        <is>
          <t>daed17e5ab6dd22d8d6cd527109d37b4863797be0bca8fefde514459eebaff53</t>
        </is>
      </c>
      <c r="J44" s="2" t="n">
        <v>40</v>
      </c>
      <c r="K44" s="2" t="n">
        <v>30</v>
      </c>
      <c r="L44" s="2" t="n">
        <v>20</v>
      </c>
      <c r="M44" s="2" t="n">
        <v>10</v>
      </c>
      <c r="N44" s="2">
        <f>SUM(J44:M44)</f>
        <v/>
      </c>
      <c r="O44" s="2">
        <f>IF(N44&gt;=85,"PASS",IF(N44&gt;=70,"REVISE","FAIL"))</f>
        <v/>
      </c>
      <c r="P44" s="3" t="inlineStr">
        <is>
          <t>Direct visual review verified: Person holds flaming basketball player blanket in a living room.</t>
        </is>
      </c>
      <c r="Q44" s="3" t="inlineStr">
        <is>
          <t>Alt text verified: Flaming basketball player blanket held in living room</t>
        </is>
      </c>
    </row>
    <row r="45">
      <c r="A45" s="2" t="inlineStr">
        <is>
          <t>IMGQA-0044</t>
        </is>
      </c>
      <c r="B45" s="3" t="inlineStr">
        <is>
          <t>jeminise.com+personalized-basketball-player-front-blanket-with-name-and-number-258e7f9e2e-258e7f9e2e</t>
        </is>
      </c>
      <c r="C45" s="3" t="inlineStr">
        <is>
          <t>personalized-basketball-player-front-blanket-with-name-and-number-258e7f9e2e-258e7f9e2e</t>
        </is>
      </c>
      <c r="D45" s="2" t="n">
        <v>3</v>
      </c>
      <c r="E45" s="2" t="inlineStr">
        <is>
          <t>47539098812615</t>
        </is>
      </c>
      <c r="F45" s="3" t="inlineStr">
        <is>
          <t>227_03.jpg</t>
        </is>
      </c>
      <c r="G45" s="2" t="inlineStr">
        <is>
          <t>1000x1000</t>
        </is>
      </c>
      <c r="H45" s="2" t="n">
        <v>144408</v>
      </c>
      <c r="I45" s="3" t="inlineStr">
        <is>
          <t>f71cb1660b812d71e1124a8a9ddbbd2c8d497bff40a4ddbffa101d6a231d8a72</t>
        </is>
      </c>
      <c r="J45" s="2" t="n">
        <v>40</v>
      </c>
      <c r="K45" s="2" t="n">
        <v>30</v>
      </c>
      <c r="L45" s="2" t="n">
        <v>20</v>
      </c>
      <c r="M45" s="2" t="n">
        <v>10</v>
      </c>
      <c r="N45" s="2">
        <f>SUM(J45:M45)</f>
        <v/>
      </c>
      <c r="O45" s="2">
        <f>IF(N45&gt;=85,"PASS",IF(N45&gt;=70,"REVISE","FAIL"))</f>
        <v/>
      </c>
      <c r="P45" s="3" t="inlineStr">
        <is>
          <t>Direct visual review verified: Blanket size chart with four sizes and player artwork thumbnails.</t>
        </is>
      </c>
      <c r="Q45" s="3" t="inlineStr">
        <is>
          <t>Alt text verified: Flaming basketball player blanket size chart</t>
        </is>
      </c>
    </row>
    <row r="46">
      <c r="A46" s="2" t="inlineStr">
        <is>
          <t>IMGQA-0045</t>
        </is>
      </c>
      <c r="B46" s="3" t="inlineStr">
        <is>
          <t>jeminise.com+personalized-basketball-player-front-blanket-with-name-and-number-258e7f9e2e-258e7f9e2e</t>
        </is>
      </c>
      <c r="C46" s="3" t="inlineStr">
        <is>
          <t>personalized-basketball-player-front-blanket-with-name-and-number-258e7f9e2e-258e7f9e2e</t>
        </is>
      </c>
      <c r="D46" s="2" t="n">
        <v>4</v>
      </c>
      <c r="E46" s="2" t="inlineStr">
        <is>
          <t>47539098845383</t>
        </is>
      </c>
      <c r="F46" s="3" t="inlineStr">
        <is>
          <t>227_04.jpg</t>
        </is>
      </c>
      <c r="G46" s="2" t="inlineStr">
        <is>
          <t>1000x1000</t>
        </is>
      </c>
      <c r="H46" s="2" t="n">
        <v>113757</v>
      </c>
      <c r="I46" s="3" t="inlineStr">
        <is>
          <t>4dd212058af0b38cbbfe4b2b69fc369fcece02c4f4710f2bfc1da5f10e58c85b</t>
        </is>
      </c>
      <c r="J46" s="2" t="n">
        <v>40</v>
      </c>
      <c r="K46" s="2" t="n">
        <v>30</v>
      </c>
      <c r="L46" s="2" t="n">
        <v>20</v>
      </c>
      <c r="M46" s="2" t="n">
        <v>10</v>
      </c>
      <c r="N46" s="2">
        <f>SUM(J46:M46)</f>
        <v/>
      </c>
      <c r="O46" s="2">
        <f>IF(N46&gt;=85,"PASS",IF(N46&gt;=70,"REVISE","FAIL"))</f>
        <v/>
      </c>
      <c r="P46" s="3" t="inlineStr">
        <is>
          <t>Direct visual review verified: Feature panel over flame player artwork with fluffy, quality and no-shedding callouts.</t>
        </is>
      </c>
      <c r="Q46" s="3" t="inlineStr">
        <is>
          <t>Alt text verified: Flaming basketball player blanket feature panel</t>
        </is>
      </c>
    </row>
    <row r="47">
      <c r="A47" s="2" t="inlineStr">
        <is>
          <t>IMGQA-0046</t>
        </is>
      </c>
      <c r="B47" s="3" t="inlineStr">
        <is>
          <t>jeminise.com+personalized-basketball-player-front-blanket-with-name-and-number-258e7f9e2e-258e7f9e2e</t>
        </is>
      </c>
      <c r="C47" s="3" t="inlineStr">
        <is>
          <t>personalized-basketball-player-front-blanket-with-name-and-number-258e7f9e2e-258e7f9e2e</t>
        </is>
      </c>
      <c r="D47" s="2" t="n">
        <v>5</v>
      </c>
      <c r="E47" s="2" t="inlineStr">
        <is>
          <t>47539098878151</t>
        </is>
      </c>
      <c r="F47" s="3" t="inlineStr">
        <is>
          <t>227_05.jpg</t>
        </is>
      </c>
      <c r="G47" s="2" t="inlineStr">
        <is>
          <t>1000x1000</t>
        </is>
      </c>
      <c r="H47" s="2" t="n">
        <v>175371</v>
      </c>
      <c r="I47" s="3" t="inlineStr">
        <is>
          <t>bfef387b5f8cbd52426cb7fa065a2b740f04e72040d82c95f4f3a4ff8290eca4</t>
        </is>
      </c>
      <c r="J47" s="2" t="n">
        <v>40</v>
      </c>
      <c r="K47" s="2" t="n">
        <v>30</v>
      </c>
      <c r="L47" s="2" t="n">
        <v>20</v>
      </c>
      <c r="M47" s="2" t="n">
        <v>10</v>
      </c>
      <c r="N47" s="2">
        <f>SUM(J47:M47)</f>
        <v/>
      </c>
      <c r="O47" s="2">
        <f>IF(N47&gt;=85,"PASS",IF(N47&gt;=70,"REVISE","FAIL"))</f>
        <v/>
      </c>
      <c r="P47" s="3" t="inlineStr">
        <is>
          <t>Direct visual review verified: Flaming basketball player blanket draped over sofa.</t>
        </is>
      </c>
      <c r="Q47" s="3" t="inlineStr">
        <is>
          <t>Alt text verified: Flaming basketball player blanket on sofa</t>
        </is>
      </c>
    </row>
    <row r="48">
      <c r="A48" s="2" t="inlineStr">
        <is>
          <t>IMGQA-0047</t>
        </is>
      </c>
      <c r="B48" s="3" t="inlineStr">
        <is>
          <t>jeminise.com+personalized-basketball-player-front-blanket-with-name-and-number-258e7f9e2e-258e7f9e2e</t>
        </is>
      </c>
      <c r="C48" s="3" t="inlineStr">
        <is>
          <t>personalized-basketball-player-front-blanket-with-name-and-number-258e7f9e2e-258e7f9e2e</t>
        </is>
      </c>
      <c r="D48" s="2" t="n">
        <v>6</v>
      </c>
      <c r="E48" s="2" t="inlineStr">
        <is>
          <t>47539098910919</t>
        </is>
      </c>
      <c r="F48" s="3" t="inlineStr">
        <is>
          <t>227_06.jpg</t>
        </is>
      </c>
      <c r="G48" s="2" t="inlineStr">
        <is>
          <t>1000x1000</t>
        </is>
      </c>
      <c r="H48" s="2" t="n">
        <v>240637</v>
      </c>
      <c r="I48" s="3" t="inlineStr">
        <is>
          <t>e469c9731dff689b652be5c3cdbb8ce329587cc4ab6a18ce32e2445d6bbb6263</t>
        </is>
      </c>
      <c r="J48" s="2" t="n">
        <v>40</v>
      </c>
      <c r="K48" s="2" t="n">
        <v>30</v>
      </c>
      <c r="L48" s="2" t="n">
        <v>20</v>
      </c>
      <c r="M48" s="2" t="n">
        <v>10</v>
      </c>
      <c r="N48" s="2">
        <f>SUM(J48:M48)</f>
        <v/>
      </c>
      <c r="O48" s="2">
        <f>IF(N48&gt;=85,"PASS",IF(N48&gt;=70,"REVISE","FAIL"))</f>
        <v/>
      </c>
      <c r="P48" s="3" t="inlineStr">
        <is>
          <t>Direct visual review verified: Folded blanket and fabric/care collage for the flaming player design.</t>
        </is>
      </c>
      <c r="Q48" s="3" t="inlineStr">
        <is>
          <t>Alt text verified: Flaming basketball player blanket fabric care panel</t>
        </is>
      </c>
    </row>
    <row r="49">
      <c r="A49" s="2" t="inlineStr">
        <is>
          <t>IMGQA-0048</t>
        </is>
      </c>
      <c r="B49" s="3" t="inlineStr">
        <is>
          <t>jeminise.com+personalized-basketball-player-front-blanket-with-name-and-number-258e7f9e2e-258e7f9e2e</t>
        </is>
      </c>
      <c r="C49" s="3" t="inlineStr">
        <is>
          <t>personalized-basketball-player-front-blanket-with-name-and-number-258e7f9e2e-258e7f9e2e</t>
        </is>
      </c>
      <c r="D49" s="2" t="n">
        <v>7</v>
      </c>
      <c r="E49" s="2" t="inlineStr">
        <is>
          <t>47539098943687</t>
        </is>
      </c>
      <c r="F49" s="3" t="inlineStr">
        <is>
          <t>227_07.jpg</t>
        </is>
      </c>
      <c r="G49" s="2" t="inlineStr">
        <is>
          <t>1000x1000</t>
        </is>
      </c>
      <c r="H49" s="2" t="n">
        <v>223850</v>
      </c>
      <c r="I49" s="3" t="inlineStr">
        <is>
          <t>3f97f92e20e1a2505bc682e63fd90c22aa2ed7249c7c3aa9c9942e9a7fea5ad7</t>
        </is>
      </c>
      <c r="J49" s="2" t="n">
        <v>40</v>
      </c>
      <c r="K49" s="2" t="n">
        <v>30</v>
      </c>
      <c r="L49" s="2" t="n">
        <v>20</v>
      </c>
      <c r="M49" s="2" t="n">
        <v>10</v>
      </c>
      <c r="N49" s="2">
        <f>SUM(J49:M49)</f>
        <v/>
      </c>
      <c r="O49" s="2">
        <f>IF(N49&gt;=85,"PASS",IF(N49&gt;=70,"REVISE","FAIL"))</f>
        <v/>
      </c>
      <c r="P49" s="3" t="inlineStr">
        <is>
          <t>Direct visual review verified: Custom blanket bed size guide with width and length table.</t>
        </is>
      </c>
      <c r="Q49" s="3" t="inlineStr">
        <is>
          <t>Alt text verified: Flaming basketball player blanket bed size guide</t>
        </is>
      </c>
    </row>
    <row r="50">
      <c r="A50" s="2" t="inlineStr">
        <is>
          <t>IMGQA-0049</t>
        </is>
      </c>
      <c r="B50" s="3" t="inlineStr">
        <is>
          <t>jeminise.com+personalized-basketball-player-front-blanket-with-name-and-number-258e7f9e2e-258e7f9e2e</t>
        </is>
      </c>
      <c r="C50" s="3" t="inlineStr">
        <is>
          <t>personalized-basketball-player-front-blanket-with-name-and-number-258e7f9e2e-258e7f9e2e</t>
        </is>
      </c>
      <c r="D50" s="2" t="n">
        <v>8</v>
      </c>
      <c r="E50" s="2" t="inlineStr">
        <is>
          <t>47539098976455</t>
        </is>
      </c>
      <c r="F50" s="3" t="inlineStr">
        <is>
          <t>227_08.jpg</t>
        </is>
      </c>
      <c r="G50" s="2" t="inlineStr">
        <is>
          <t>1000x1000</t>
        </is>
      </c>
      <c r="H50" s="2" t="n">
        <v>131824</v>
      </c>
      <c r="I50" s="3" t="inlineStr">
        <is>
          <t>ba630f52ce00779cebea09a6a6b06d89ba7b41b91b5131293c6c95cf95b663b0</t>
        </is>
      </c>
      <c r="J50" s="2" t="n">
        <v>40</v>
      </c>
      <c r="K50" s="2" t="n">
        <v>30</v>
      </c>
      <c r="L50" s="2" t="n">
        <v>20</v>
      </c>
      <c r="M50" s="2" t="n">
        <v>10</v>
      </c>
      <c r="N50" s="2">
        <f>SUM(J50:M50)</f>
        <v/>
      </c>
      <c r="O50" s="2">
        <f>IF(N50&gt;=85,"PASS",IF(N50&gt;=70,"REVISE","FAIL"))</f>
        <v/>
      </c>
      <c r="P50" s="3" t="inlineStr">
        <is>
          <t>Direct visual review verified: Adult and child reading under blanket showing flame player artwork.</t>
        </is>
      </c>
      <c r="Q50" s="3" t="inlineStr">
        <is>
          <t>Alt text verified: Flaming basketball player blanket family lifestyle image</t>
        </is>
      </c>
    </row>
    <row r="51">
      <c r="A51" s="2" t="inlineStr">
        <is>
          <t>IMGQA-0050</t>
        </is>
      </c>
      <c r="B51" s="3" t="inlineStr">
        <is>
          <t>jeminise.com+personalized-basketball-player-silhouette-blanket-with-name-and-number-35f8822fba-35f8822fba</t>
        </is>
      </c>
      <c r="C51" s="3" t="inlineStr">
        <is>
          <t>personalized-basketball-player-silhouette-blanket-with-name-and-number-35f8822fba-35f8822fba</t>
        </is>
      </c>
      <c r="D51" s="2" t="n">
        <v>1</v>
      </c>
      <c r="E51" s="2" t="inlineStr">
        <is>
          <t>47538931728583</t>
        </is>
      </c>
      <c r="F51" s="3" t="inlineStr">
        <is>
          <t>228_01.jpg</t>
        </is>
      </c>
      <c r="G51" s="2" t="inlineStr">
        <is>
          <t>1000x1000</t>
        </is>
      </c>
      <c r="H51" s="2" t="n">
        <v>121898</v>
      </c>
      <c r="I51" s="3" t="inlineStr">
        <is>
          <t>762c5b9de39d58b05e6e905bc662fd94f8cebeb767af6fd2041bb88f420bf499</t>
        </is>
      </c>
      <c r="J51" s="2" t="n">
        <v>40</v>
      </c>
      <c r="K51" s="2" t="n">
        <v>30</v>
      </c>
      <c r="L51" s="2" t="n">
        <v>20</v>
      </c>
      <c r="M51" s="2" t="n">
        <v>10</v>
      </c>
      <c r="N51" s="2">
        <f>SUM(J51:M51)</f>
        <v/>
      </c>
      <c r="O51" s="2">
        <f>IF(N51&gt;=85,"PASS",IF(N51&gt;=70,"REVISE","FAIL"))</f>
        <v/>
      </c>
      <c r="P51" s="3" t="inlineStr">
        <is>
          <t>Direct visual review verified: Blanket flat mockup with black dribbling player silhouette, orange ball graphic, sample name Connor and number 3.</t>
        </is>
      </c>
      <c r="Q51" s="3" t="inlineStr">
        <is>
          <t>Alt text verified: Custom dribbling silhouette basketball blanket flat view</t>
        </is>
      </c>
    </row>
    <row r="52">
      <c r="A52" s="2" t="inlineStr">
        <is>
          <t>IMGQA-0051</t>
        </is>
      </c>
      <c r="B52" s="3" t="inlineStr">
        <is>
          <t>jeminise.com+personalized-basketball-player-silhouette-blanket-with-name-and-number-35f8822fba-35f8822fba</t>
        </is>
      </c>
      <c r="C52" s="3" t="inlineStr">
        <is>
          <t>personalized-basketball-player-silhouette-blanket-with-name-and-number-35f8822fba-35f8822fba</t>
        </is>
      </c>
      <c r="D52" s="2" t="n">
        <v>2</v>
      </c>
      <c r="E52" s="2" t="inlineStr">
        <is>
          <t>47538931761351</t>
        </is>
      </c>
      <c r="F52" s="3" t="inlineStr">
        <is>
          <t>228_02.jpg</t>
        </is>
      </c>
      <c r="G52" s="2" t="inlineStr">
        <is>
          <t>1000x1000</t>
        </is>
      </c>
      <c r="H52" s="2" t="n">
        <v>195983</v>
      </c>
      <c r="I52" s="3" t="inlineStr">
        <is>
          <t>33677cdf811301efc8ac4ecee324a2eb791ca7c6f4a8b580b3fab99e8b48964c</t>
        </is>
      </c>
      <c r="J52" s="2" t="n">
        <v>40</v>
      </c>
      <c r="K52" s="2" t="n">
        <v>30</v>
      </c>
      <c r="L52" s="2" t="n">
        <v>20</v>
      </c>
      <c r="M52" s="2" t="n">
        <v>10</v>
      </c>
      <c r="N52" s="2">
        <f>SUM(J52:M52)</f>
        <v/>
      </c>
      <c r="O52" s="2">
        <f>IF(N52&gt;=85,"PASS",IF(N52&gt;=70,"REVISE","FAIL"))</f>
        <v/>
      </c>
      <c r="P52" s="3" t="inlineStr">
        <is>
          <t>Direct visual review verified: Person holds dribbling silhouette basketball blanket in a living room.</t>
        </is>
      </c>
      <c r="Q52" s="3" t="inlineStr">
        <is>
          <t>Alt text verified: Dribbling silhouette basketball blanket held in living room</t>
        </is>
      </c>
    </row>
    <row r="53">
      <c r="A53" s="2" t="inlineStr">
        <is>
          <t>IMGQA-0052</t>
        </is>
      </c>
      <c r="B53" s="3" t="inlineStr">
        <is>
          <t>jeminise.com+personalized-basketball-player-silhouette-blanket-with-name-and-number-35f8822fba-35f8822fba</t>
        </is>
      </c>
      <c r="C53" s="3" t="inlineStr">
        <is>
          <t>personalized-basketball-player-silhouette-blanket-with-name-and-number-35f8822fba-35f8822fba</t>
        </is>
      </c>
      <c r="D53" s="2" t="n">
        <v>3</v>
      </c>
      <c r="E53" s="2" t="inlineStr">
        <is>
          <t>47538931794119</t>
        </is>
      </c>
      <c r="F53" s="3" t="inlineStr">
        <is>
          <t>228_03.jpg</t>
        </is>
      </c>
      <c r="G53" s="2" t="inlineStr">
        <is>
          <t>1000x1000</t>
        </is>
      </c>
      <c r="H53" s="2" t="n">
        <v>127528</v>
      </c>
      <c r="I53" s="3" t="inlineStr">
        <is>
          <t>383a5dac275a133cef40cbfcb10ce23b2d11084e48c233e4ea81d905bfe68723</t>
        </is>
      </c>
      <c r="J53" s="2" t="n">
        <v>40</v>
      </c>
      <c r="K53" s="2" t="n">
        <v>30</v>
      </c>
      <c r="L53" s="2" t="n">
        <v>20</v>
      </c>
      <c r="M53" s="2" t="n">
        <v>10</v>
      </c>
      <c r="N53" s="2">
        <f>SUM(J53:M53)</f>
        <v/>
      </c>
      <c r="O53" s="2">
        <f>IF(N53&gt;=85,"PASS",IF(N53&gt;=70,"REVISE","FAIL"))</f>
        <v/>
      </c>
      <c r="P53" s="3" t="inlineStr">
        <is>
          <t>Direct visual review verified: Size chart panel showing four blanket sizes with silhouette artwork thumbnails.</t>
        </is>
      </c>
      <c r="Q53" s="3" t="inlineStr">
        <is>
          <t>Alt text verified: Dribbling silhouette basketball blanket size chart</t>
        </is>
      </c>
    </row>
    <row r="54">
      <c r="A54" s="2" t="inlineStr">
        <is>
          <t>IMGQA-0053</t>
        </is>
      </c>
      <c r="B54" s="3" t="inlineStr">
        <is>
          <t>jeminise.com+personalized-basketball-player-silhouette-blanket-with-name-and-number-35f8822fba-35f8822fba</t>
        </is>
      </c>
      <c r="C54" s="3" t="inlineStr">
        <is>
          <t>personalized-basketball-player-silhouette-blanket-with-name-and-number-35f8822fba-35f8822fba</t>
        </is>
      </c>
      <c r="D54" s="2" t="n">
        <v>4</v>
      </c>
      <c r="E54" s="2" t="inlineStr">
        <is>
          <t>47538931826887</t>
        </is>
      </c>
      <c r="F54" s="3" t="inlineStr">
        <is>
          <t>228_04.jpg</t>
        </is>
      </c>
      <c r="G54" s="2" t="inlineStr">
        <is>
          <t>1000x1000</t>
        </is>
      </c>
      <c r="H54" s="2" t="n">
        <v>141606</v>
      </c>
      <c r="I54" s="3" t="inlineStr">
        <is>
          <t>e8db183eeffadad07255cf385ecea42fe59d60b823110841c13655cdfde00c77</t>
        </is>
      </c>
      <c r="J54" s="2" t="n">
        <v>40</v>
      </c>
      <c r="K54" s="2" t="n">
        <v>30</v>
      </c>
      <c r="L54" s="2" t="n">
        <v>20</v>
      </c>
      <c r="M54" s="2" t="n">
        <v>10</v>
      </c>
      <c r="N54" s="2">
        <f>SUM(J54:M54)</f>
        <v/>
      </c>
      <c r="O54" s="2">
        <f>IF(N54&gt;=85,"PASS",IF(N54&gt;=70,"REVISE","FAIL"))</f>
        <v/>
      </c>
      <c r="P54" s="3" t="inlineStr">
        <is>
          <t>Direct visual review verified: Feature panel over gray and orange basketball artwork with fabric callouts.</t>
        </is>
      </c>
      <c r="Q54" s="3" t="inlineStr">
        <is>
          <t>Alt text verified: Dribbling silhouette basketball blanket feature panel</t>
        </is>
      </c>
    </row>
    <row r="55">
      <c r="A55" s="2" t="inlineStr">
        <is>
          <t>IMGQA-0054</t>
        </is>
      </c>
      <c r="B55" s="3" t="inlineStr">
        <is>
          <t>jeminise.com+personalized-basketball-player-silhouette-blanket-with-name-and-number-35f8822fba-35f8822fba</t>
        </is>
      </c>
      <c r="C55" s="3" t="inlineStr">
        <is>
          <t>personalized-basketball-player-silhouette-blanket-with-name-and-number-35f8822fba-35f8822fba</t>
        </is>
      </c>
      <c r="D55" s="2" t="n">
        <v>5</v>
      </c>
      <c r="E55" s="2" t="inlineStr">
        <is>
          <t>47538931859655</t>
        </is>
      </c>
      <c r="F55" s="3" t="inlineStr">
        <is>
          <t>228_05.jpg</t>
        </is>
      </c>
      <c r="G55" s="2" t="inlineStr">
        <is>
          <t>1000x1000</t>
        </is>
      </c>
      <c r="H55" s="2" t="n">
        <v>164397</v>
      </c>
      <c r="I55" s="3" t="inlineStr">
        <is>
          <t>817f4deb9493df0e5b143901a621d8b5bcc18475cb26702776d53c6e10c356a0</t>
        </is>
      </c>
      <c r="J55" s="2" t="n">
        <v>40</v>
      </c>
      <c r="K55" s="2" t="n">
        <v>30</v>
      </c>
      <c r="L55" s="2" t="n">
        <v>20</v>
      </c>
      <c r="M55" s="2" t="n">
        <v>10</v>
      </c>
      <c r="N55" s="2">
        <f>SUM(J55:M55)</f>
        <v/>
      </c>
      <c r="O55" s="2">
        <f>IF(N55&gt;=85,"PASS",IF(N55&gt;=70,"REVISE","FAIL"))</f>
        <v/>
      </c>
      <c r="P55" s="3" t="inlineStr">
        <is>
          <t>Direct visual review verified: Dribbling silhouette basketball blanket draped on sofa.</t>
        </is>
      </c>
      <c r="Q55" s="3" t="inlineStr">
        <is>
          <t>Alt text verified: Dribbling silhouette basketball blanket on sofa</t>
        </is>
      </c>
    </row>
    <row r="56">
      <c r="A56" s="2" t="inlineStr">
        <is>
          <t>IMGQA-0055</t>
        </is>
      </c>
      <c r="B56" s="3" t="inlineStr">
        <is>
          <t>jeminise.com+personalized-basketball-player-silhouette-blanket-with-name-and-number-35f8822fba-35f8822fba</t>
        </is>
      </c>
      <c r="C56" s="3" t="inlineStr">
        <is>
          <t>personalized-basketball-player-silhouette-blanket-with-name-and-number-35f8822fba-35f8822fba</t>
        </is>
      </c>
      <c r="D56" s="2" t="n">
        <v>6</v>
      </c>
      <c r="E56" s="2" t="inlineStr">
        <is>
          <t>47538931892423</t>
        </is>
      </c>
      <c r="F56" s="3" t="inlineStr">
        <is>
          <t>228_06.jpg</t>
        </is>
      </c>
      <c r="G56" s="2" t="inlineStr">
        <is>
          <t>1000x1000</t>
        </is>
      </c>
      <c r="H56" s="2" t="n">
        <v>236702</v>
      </c>
      <c r="I56" s="3" t="inlineStr">
        <is>
          <t>7cdb1f62669d12957d0b6186446e609150519071d2d250f86b45fffbd37ea8ac</t>
        </is>
      </c>
      <c r="J56" s="2" t="n">
        <v>40</v>
      </c>
      <c r="K56" s="2" t="n">
        <v>30</v>
      </c>
      <c r="L56" s="2" t="n">
        <v>20</v>
      </c>
      <c r="M56" s="2" t="n">
        <v>10</v>
      </c>
      <c r="N56" s="2">
        <f>SUM(J56:M56)</f>
        <v/>
      </c>
      <c r="O56" s="2">
        <f>IF(N56&gt;=85,"PASS",IF(N56&gt;=70,"REVISE","FAIL"))</f>
        <v/>
      </c>
      <c r="P56" s="3" t="inlineStr">
        <is>
          <t>Direct visual review verified: Folded blanket and fabric/care collage for the silhouette basketball design.</t>
        </is>
      </c>
      <c r="Q56" s="3" t="inlineStr">
        <is>
          <t>Alt text verified: Dribbling silhouette basketball blanket fabric care panel</t>
        </is>
      </c>
    </row>
    <row r="57">
      <c r="A57" s="2" t="inlineStr">
        <is>
          <t>IMGQA-0056</t>
        </is>
      </c>
      <c r="B57" s="3" t="inlineStr">
        <is>
          <t>jeminise.com+personalized-basketball-player-silhouette-blanket-with-name-and-number-35f8822fba-35f8822fba</t>
        </is>
      </c>
      <c r="C57" s="3" t="inlineStr">
        <is>
          <t>personalized-basketball-player-silhouette-blanket-with-name-and-number-35f8822fba-35f8822fba</t>
        </is>
      </c>
      <c r="D57" s="2" t="n">
        <v>7</v>
      </c>
      <c r="E57" s="2" t="inlineStr">
        <is>
          <t>47538931925191</t>
        </is>
      </c>
      <c r="F57" s="3" t="inlineStr">
        <is>
          <t>228_07.jpg</t>
        </is>
      </c>
      <c r="G57" s="2" t="inlineStr">
        <is>
          <t>1000x1000</t>
        </is>
      </c>
      <c r="H57" s="2" t="n">
        <v>253862</v>
      </c>
      <c r="I57" s="3" t="inlineStr">
        <is>
          <t>c9274ce258d5fe6f8f030f375354a3c9ddc9a3b7879bd314b436921943d8924f</t>
        </is>
      </c>
      <c r="J57" s="2" t="n">
        <v>40</v>
      </c>
      <c r="K57" s="2" t="n">
        <v>30</v>
      </c>
      <c r="L57" s="2" t="n">
        <v>20</v>
      </c>
      <c r="M57" s="2" t="n">
        <v>10</v>
      </c>
      <c r="N57" s="2">
        <f>SUM(J57:M57)</f>
        <v/>
      </c>
      <c r="O57" s="2">
        <f>IF(N57&gt;=85,"PASS",IF(N57&gt;=70,"REVISE","FAIL"))</f>
        <v/>
      </c>
      <c r="P57" s="3" t="inlineStr">
        <is>
          <t>Direct visual review verified: Custom blanket bed size guide with width and length table.</t>
        </is>
      </c>
      <c r="Q57" s="3" t="inlineStr">
        <is>
          <t>Alt text verified: Dribbling silhouette basketball blanket bed size guide</t>
        </is>
      </c>
    </row>
    <row r="58">
      <c r="A58" s="2" t="inlineStr">
        <is>
          <t>IMGQA-0057</t>
        </is>
      </c>
      <c r="B58" s="3" t="inlineStr">
        <is>
          <t>jeminise.com+personalized-basketball-player-silhouette-blanket-with-name-and-number-35f8822fba-35f8822fba</t>
        </is>
      </c>
      <c r="C58" s="3" t="inlineStr">
        <is>
          <t>personalized-basketball-player-silhouette-blanket-with-name-and-number-35f8822fba-35f8822fba</t>
        </is>
      </c>
      <c r="D58" s="2" t="n">
        <v>8</v>
      </c>
      <c r="E58" s="2" t="inlineStr">
        <is>
          <t>47538931957959</t>
        </is>
      </c>
      <c r="F58" s="3" t="inlineStr">
        <is>
          <t>228_08.jpg</t>
        </is>
      </c>
      <c r="G58" s="2" t="inlineStr">
        <is>
          <t>1000x1000</t>
        </is>
      </c>
      <c r="H58" s="2" t="n">
        <v>124776</v>
      </c>
      <c r="I58" s="3" t="inlineStr">
        <is>
          <t>ae9f638d10cddb9fc202a36a339d70847a85190d3149b8fa7aa7ee4331918dce</t>
        </is>
      </c>
      <c r="J58" s="2" t="n">
        <v>40</v>
      </c>
      <c r="K58" s="2" t="n">
        <v>30</v>
      </c>
      <c r="L58" s="2" t="n">
        <v>20</v>
      </c>
      <c r="M58" s="2" t="n">
        <v>10</v>
      </c>
      <c r="N58" s="2">
        <f>SUM(J58:M58)</f>
        <v/>
      </c>
      <c r="O58" s="2">
        <f>IF(N58&gt;=85,"PASS",IF(N58&gt;=70,"REVISE","FAIL"))</f>
        <v/>
      </c>
      <c r="P58" s="3" t="inlineStr">
        <is>
          <t>Direct visual review verified: Adult and child reading under blanket showing dribbling silhouette artwork.</t>
        </is>
      </c>
      <c r="Q58" s="3" t="inlineStr">
        <is>
          <t>Alt text verified: Dribbling silhouette basketball blanket family lifestyle image</t>
        </is>
      </c>
    </row>
    <row r="59">
      <c r="A59" s="2" t="inlineStr">
        <is>
          <t>IMGQA-0058</t>
        </is>
      </c>
      <c r="B59" s="3" t="inlineStr">
        <is>
          <t>jeminise.com+personalized-basketball-players-and-hoops-comforter-with-name-and-number-ff13bad888-ff13bad888</t>
        </is>
      </c>
      <c r="C59" s="3" t="inlineStr">
        <is>
          <t>personalized-basketball-players-and-hoops-comforter-with-name-and-number-ff13bad888-ff13bad888</t>
        </is>
      </c>
      <c r="D59" s="2" t="n">
        <v>1</v>
      </c>
      <c r="E59" s="2" t="inlineStr">
        <is>
          <t>47538193858759</t>
        </is>
      </c>
      <c r="F59" s="3" t="inlineStr">
        <is>
          <t>229_01.jpg</t>
        </is>
      </c>
      <c r="G59" s="2" t="inlineStr">
        <is>
          <t>1000x1000</t>
        </is>
      </c>
      <c r="H59" s="2" t="n">
        <v>180388</v>
      </c>
      <c r="I59" s="3" t="inlineStr">
        <is>
          <t>361a9bc717d9f757319d39d58c0e7bcbf62a9e5ccae1607869f224d5e63b2a99</t>
        </is>
      </c>
      <c r="J59" s="2" t="n">
        <v>40</v>
      </c>
      <c r="K59" s="2" t="n">
        <v>30</v>
      </c>
      <c r="L59" s="2" t="n">
        <v>20</v>
      </c>
      <c r="M59" s="2" t="n">
        <v>10</v>
      </c>
      <c r="N59" s="2">
        <f>SUM(J59:M59)</f>
        <v/>
      </c>
      <c r="O59" s="2">
        <f>IF(N59&gt;=85,"PASS",IF(N59&gt;=70,"REVISE","FAIL"))</f>
        <v/>
      </c>
      <c r="P59" s="3" t="inlineStr">
        <is>
          <t>Direct visual review verified: Bedroom mockup of basketball collage comforter with balls, hoops, player silhouettes, sample name Bray and number 12.</t>
        </is>
      </c>
      <c r="Q59" s="3" t="inlineStr">
        <is>
          <t>Alt text verified: Custom basketball collage comforter</t>
        </is>
      </c>
    </row>
    <row r="60">
      <c r="A60" s="2" t="inlineStr">
        <is>
          <t>IMGQA-0059</t>
        </is>
      </c>
      <c r="B60" s="3" t="inlineStr">
        <is>
          <t>jeminise.com+personalized-basketball-players-and-hoops-comforter-with-name-and-number-ff13bad888-ff13bad888</t>
        </is>
      </c>
      <c r="C60" s="3" t="inlineStr">
        <is>
          <t>personalized-basketball-players-and-hoops-comforter-with-name-and-number-ff13bad888-ff13bad888</t>
        </is>
      </c>
      <c r="D60" s="2" t="n">
        <v>2</v>
      </c>
      <c r="E60" s="2" t="inlineStr">
        <is>
          <t>47538193891527</t>
        </is>
      </c>
      <c r="F60" s="3" t="inlineStr">
        <is>
          <t>229_02.jpg</t>
        </is>
      </c>
      <c r="G60" s="2" t="inlineStr">
        <is>
          <t>1000x1000</t>
        </is>
      </c>
      <c r="H60" s="2" t="n">
        <v>180465</v>
      </c>
      <c r="I60" s="3" t="inlineStr">
        <is>
          <t>c1bd1e723f7de704ef3944434c239c11ca1044f896402b3a3669bc27d350abee</t>
        </is>
      </c>
      <c r="J60" s="2" t="n">
        <v>40</v>
      </c>
      <c r="K60" s="2" t="n">
        <v>30</v>
      </c>
      <c r="L60" s="2" t="n">
        <v>20</v>
      </c>
      <c r="M60" s="2" t="n">
        <v>10</v>
      </c>
      <c r="N60" s="2">
        <f>SUM(J60:M60)</f>
        <v/>
      </c>
      <c r="O60" s="2">
        <f>IF(N60&gt;=85,"PASS",IF(N60&gt;=70,"REVISE","FAIL"))</f>
        <v/>
      </c>
      <c r="P60" s="3" t="inlineStr">
        <is>
          <t>Direct visual review verified: Second bed mockup of basketball collage bedding with folded white duvet edge.</t>
        </is>
      </c>
      <c r="Q60" s="3" t="inlineStr">
        <is>
          <t>Alt text verified: Basketball collage bedding mockup</t>
        </is>
      </c>
    </row>
    <row r="61">
      <c r="A61" s="2" t="inlineStr">
        <is>
          <t>IMGQA-0060</t>
        </is>
      </c>
      <c r="B61" s="3" t="inlineStr">
        <is>
          <t>jeminise.com+personalized-basketball-players-and-hoops-comforter-with-name-and-number-ff13bad888-ff13bad888</t>
        </is>
      </c>
      <c r="C61" s="3" t="inlineStr">
        <is>
          <t>personalized-basketball-players-and-hoops-comforter-with-name-and-number-ff13bad888-ff13bad888</t>
        </is>
      </c>
      <c r="D61" s="2" t="n">
        <v>3</v>
      </c>
      <c r="E61" s="2" t="inlineStr">
        <is>
          <t>47538193924295</t>
        </is>
      </c>
      <c r="F61" s="3" t="inlineStr">
        <is>
          <t>229_03.jpg</t>
        </is>
      </c>
      <c r="G61" s="2" t="inlineStr">
        <is>
          <t>1000x1000</t>
        </is>
      </c>
      <c r="H61" s="2" t="n">
        <v>91690</v>
      </c>
      <c r="I61" s="3" t="inlineStr">
        <is>
          <t>0da7b7c24a71cfa076d44c9920a9decf8a44f92be23a4dc1e93a4e789d041ee5</t>
        </is>
      </c>
      <c r="J61" s="2" t="n">
        <v>40</v>
      </c>
      <c r="K61" s="2" t="n">
        <v>30</v>
      </c>
      <c r="L61" s="2" t="n">
        <v>20</v>
      </c>
      <c r="M61" s="2" t="n">
        <v>10</v>
      </c>
      <c r="N61" s="2">
        <f>SUM(J61:M61)</f>
        <v/>
      </c>
      <c r="O61" s="2">
        <f>IF(N61&gt;=85,"PASS",IF(N61&gt;=70,"REVISE","FAIL"))</f>
        <v/>
      </c>
      <c r="P61" s="3" t="inlineStr">
        <is>
          <t>Direct visual review verified: Duvet cover set versus comforter set comparison panel.</t>
        </is>
      </c>
      <c r="Q61" s="3" t="inlineStr">
        <is>
          <t>Alt text verified: Basketball collage bedding type panel</t>
        </is>
      </c>
    </row>
    <row r="62">
      <c r="A62" s="2" t="inlineStr">
        <is>
          <t>IMGQA-0061</t>
        </is>
      </c>
      <c r="B62" s="3" t="inlineStr">
        <is>
          <t>jeminise.com+personalized-basketball-players-and-hoops-comforter-with-name-and-number-ff13bad888-ff13bad888</t>
        </is>
      </c>
      <c r="C62" s="3" t="inlineStr">
        <is>
          <t>personalized-basketball-players-and-hoops-comforter-with-name-and-number-ff13bad888-ff13bad888</t>
        </is>
      </c>
      <c r="D62" s="2" t="n">
        <v>4</v>
      </c>
      <c r="E62" s="2" t="inlineStr">
        <is>
          <t>47538193957063</t>
        </is>
      </c>
      <c r="F62" s="3" t="inlineStr">
        <is>
          <t>229_04.jpg</t>
        </is>
      </c>
      <c r="G62" s="2" t="inlineStr">
        <is>
          <t>1000x1000</t>
        </is>
      </c>
      <c r="H62" s="2" t="n">
        <v>113796</v>
      </c>
      <c r="I62" s="3" t="inlineStr">
        <is>
          <t>217e97712cb8294d58afe9b13d60e02032186889a6ad0d46d908bc6ee9beb721</t>
        </is>
      </c>
      <c r="J62" s="2" t="n">
        <v>40</v>
      </c>
      <c r="K62" s="2" t="n">
        <v>30</v>
      </c>
      <c r="L62" s="2" t="n">
        <v>20</v>
      </c>
      <c r="M62" s="2" t="n">
        <v>10</v>
      </c>
      <c r="N62" s="2">
        <f>SUM(J62:M62)</f>
        <v/>
      </c>
      <c r="O62" s="2">
        <f>IF(N62&gt;=85,"PASS",IF(N62&gt;=70,"REVISE","FAIL"))</f>
        <v/>
      </c>
      <c r="P62" s="3" t="inlineStr">
        <is>
          <t>Direct visual review verified: Feature panel with collage print close-ups, microfiber and 3D printed pattern callouts.</t>
        </is>
      </c>
      <c r="Q62" s="3" t="inlineStr">
        <is>
          <t>Alt text verified: Basketball collage comforter feature panel</t>
        </is>
      </c>
    </row>
    <row r="63">
      <c r="A63" s="2" t="inlineStr">
        <is>
          <t>IMGQA-0062</t>
        </is>
      </c>
      <c r="B63" s="3" t="inlineStr">
        <is>
          <t>jeminise.com+personalized-basketball-players-and-hoops-comforter-with-name-and-number-ff13bad888-ff13bad888</t>
        </is>
      </c>
      <c r="C63" s="3" t="inlineStr">
        <is>
          <t>personalized-basketball-players-and-hoops-comforter-with-name-and-number-ff13bad888-ff13bad888</t>
        </is>
      </c>
      <c r="D63" s="2" t="n">
        <v>5</v>
      </c>
      <c r="E63" s="2" t="inlineStr">
        <is>
          <t>47538193989831</t>
        </is>
      </c>
      <c r="F63" s="3" t="inlineStr">
        <is>
          <t>229_05.jpg</t>
        </is>
      </c>
      <c r="G63" s="2" t="inlineStr">
        <is>
          <t>1000x1000</t>
        </is>
      </c>
      <c r="H63" s="2" t="n">
        <v>146141</v>
      </c>
      <c r="I63" s="3" t="inlineStr">
        <is>
          <t>637da24b84b7611f8a5a9a4950dd41aa4a1b671345409c338bac5f8bf3231df5</t>
        </is>
      </c>
      <c r="J63" s="2" t="n">
        <v>40</v>
      </c>
      <c r="K63" s="2" t="n">
        <v>30</v>
      </c>
      <c r="L63" s="2" t="n">
        <v>20</v>
      </c>
      <c r="M63" s="2" t="n">
        <v>10</v>
      </c>
      <c r="N63" s="2">
        <f>SUM(J63:M63)</f>
        <v/>
      </c>
      <c r="O63" s="2">
        <f>IF(N63&gt;=85,"PASS",IF(N63&gt;=70,"REVISE","FAIL"))</f>
        <v/>
      </c>
      <c r="P63" s="3" t="inlineStr">
        <is>
          <t>Direct visual review verified: Low-angle bed mockup with basketball collage print and comfort icon strip.</t>
        </is>
      </c>
      <c r="Q63" s="3" t="inlineStr">
        <is>
          <t>Alt text verified: Basketball collage bedding close view</t>
        </is>
      </c>
    </row>
    <row r="64">
      <c r="A64" s="2" t="inlineStr">
        <is>
          <t>IMGQA-0063</t>
        </is>
      </c>
      <c r="B64" s="3" t="inlineStr">
        <is>
          <t>jeminise.com+personalized-basketball-players-and-hoops-comforter-with-name-and-number-ff13bad888-ff13bad888</t>
        </is>
      </c>
      <c r="C64" s="3" t="inlineStr">
        <is>
          <t>personalized-basketball-players-and-hoops-comforter-with-name-and-number-ff13bad888-ff13bad888</t>
        </is>
      </c>
      <c r="D64" s="2" t="n">
        <v>6</v>
      </c>
      <c r="E64" s="2" t="inlineStr">
        <is>
          <t>47538194022599</t>
        </is>
      </c>
      <c r="F64" s="3" t="inlineStr">
        <is>
          <t>229_06.jpg</t>
        </is>
      </c>
      <c r="G64" s="2" t="inlineStr">
        <is>
          <t>1000x1000</t>
        </is>
      </c>
      <c r="H64" s="2" t="n">
        <v>113119</v>
      </c>
      <c r="I64" s="3" t="inlineStr">
        <is>
          <t>c39aff30255390410c8d53b7b6185c6c726dc57885f603ec0ce8e5bf0e23c5b1</t>
        </is>
      </c>
      <c r="J64" s="2" t="n">
        <v>40</v>
      </c>
      <c r="K64" s="2" t="n">
        <v>30</v>
      </c>
      <c r="L64" s="2" t="n">
        <v>20</v>
      </c>
      <c r="M64" s="2" t="n">
        <v>10</v>
      </c>
      <c r="N64" s="2">
        <f>SUM(J64:M64)</f>
        <v/>
      </c>
      <c r="O64" s="2">
        <f>IF(N64&gt;=85,"PASS",IF(N64&gt;=70,"REVISE","FAIL"))</f>
        <v/>
      </c>
      <c r="P64" s="3" t="inlineStr">
        <is>
          <t>Direct visual review verified: Easy care panel with pillow stack and care callouts.</t>
        </is>
      </c>
      <c r="Q64" s="3" t="inlineStr">
        <is>
          <t>Alt text verified: Basketball collage bedding easy care panel</t>
        </is>
      </c>
    </row>
    <row r="65">
      <c r="A65" s="2" t="inlineStr">
        <is>
          <t>IMGQA-0064</t>
        </is>
      </c>
      <c r="B65" s="3" t="inlineStr">
        <is>
          <t>jeminise.com+personalized-basketball-players-and-hoops-comforter-with-name-and-number-ff13bad888-ff13bad888</t>
        </is>
      </c>
      <c r="C65" s="3" t="inlineStr">
        <is>
          <t>personalized-basketball-players-and-hoops-comforter-with-name-and-number-ff13bad888-ff13bad888</t>
        </is>
      </c>
      <c r="D65" s="2" t="n">
        <v>7</v>
      </c>
      <c r="E65" s="2" t="inlineStr">
        <is>
          <t>47538194055367</t>
        </is>
      </c>
      <c r="F65" s="3" t="inlineStr">
        <is>
          <t>229_07.jpg</t>
        </is>
      </c>
      <c r="G65" s="2" t="inlineStr">
        <is>
          <t>1000x1000</t>
        </is>
      </c>
      <c r="H65" s="2" t="n">
        <v>45192</v>
      </c>
      <c r="I65" s="3" t="inlineStr">
        <is>
          <t>63eb079c5a9342f199c168707c9c9e12e6ff2519ffca207b3208d7865208a87d</t>
        </is>
      </c>
      <c r="J65" s="2" t="n">
        <v>40</v>
      </c>
      <c r="K65" s="2" t="n">
        <v>30</v>
      </c>
      <c r="L65" s="2" t="n">
        <v>20</v>
      </c>
      <c r="M65" s="2" t="n">
        <v>10</v>
      </c>
      <c r="N65" s="2">
        <f>SUM(J65:M65)</f>
        <v/>
      </c>
      <c r="O65" s="2">
        <f>IF(N65&gt;=85,"PASS",IF(N65&gt;=70,"REVISE","FAIL"))</f>
        <v/>
      </c>
      <c r="P65" s="3" t="inlineStr">
        <is>
          <t>Direct visual review verified: Size dimension panel showing twin, full, queen and king bed diagrams.</t>
        </is>
      </c>
      <c r="Q65" s="3" t="inlineStr">
        <is>
          <t>Alt text verified: Basketball collage comforter size panel</t>
        </is>
      </c>
    </row>
    <row r="66">
      <c r="A66" s="2" t="inlineStr">
        <is>
          <t>IMGQA-0065</t>
        </is>
      </c>
      <c r="B66" s="3" t="inlineStr">
        <is>
          <t>jeminise.com+personalized-basketball-shattered-glass-comforter-with-name-and-number-353fc0c17e-353fc0c17e</t>
        </is>
      </c>
      <c r="C66" s="3" t="inlineStr">
        <is>
          <t>personalized-basketball-shattered-glass-comforter-with-name-and-number-353fc0c17e-353fc0c17e</t>
        </is>
      </c>
      <c r="D66" s="2" t="n">
        <v>1</v>
      </c>
      <c r="E66" s="2" t="inlineStr">
        <is>
          <t>47538169807047</t>
        </is>
      </c>
      <c r="F66" s="3" t="inlineStr">
        <is>
          <t>230_01.jpg</t>
        </is>
      </c>
      <c r="G66" s="2" t="inlineStr">
        <is>
          <t>1000x1000</t>
        </is>
      </c>
      <c r="H66" s="2" t="n">
        <v>224520</v>
      </c>
      <c r="I66" s="3" t="inlineStr">
        <is>
          <t>a5faee1e4a6fd37418df70838b2aa8f4115a531cb6e2d7b36a879a473e93faec</t>
        </is>
      </c>
      <c r="J66" s="2" t="n">
        <v>40</v>
      </c>
      <c r="K66" s="2" t="n">
        <v>30</v>
      </c>
      <c r="L66" s="2" t="n">
        <v>20</v>
      </c>
      <c r="M66" s="2" t="n">
        <v>10</v>
      </c>
      <c r="N66" s="2">
        <f>SUM(J66:M66)</f>
        <v/>
      </c>
      <c r="O66" s="2">
        <f>IF(N66&gt;=85,"PASS",IF(N66&gt;=70,"REVISE","FAIL"))</f>
        <v/>
      </c>
      <c r="P66" s="3" t="inlineStr">
        <is>
          <t>Direct visual review verified: Bedroom mockup of shattered-glass basketball comforter with script sample name Aiden and number 17 on pillows.</t>
        </is>
      </c>
      <c r="Q66" s="3" t="inlineStr">
        <is>
          <t>Alt text verified: Custom shattered glass basketball comforter</t>
        </is>
      </c>
    </row>
    <row r="67">
      <c r="A67" s="2" t="inlineStr">
        <is>
          <t>IMGQA-0066</t>
        </is>
      </c>
      <c r="B67" s="3" t="inlineStr">
        <is>
          <t>jeminise.com+personalized-basketball-shattered-glass-comforter-with-name-and-number-353fc0c17e-353fc0c17e</t>
        </is>
      </c>
      <c r="C67" s="3" t="inlineStr">
        <is>
          <t>personalized-basketball-shattered-glass-comforter-with-name-and-number-353fc0c17e-353fc0c17e</t>
        </is>
      </c>
      <c r="D67" s="2" t="n">
        <v>2</v>
      </c>
      <c r="E67" s="2" t="inlineStr">
        <is>
          <t>47538169839815</t>
        </is>
      </c>
      <c r="F67" s="3" t="inlineStr">
        <is>
          <t>230_02.jpg</t>
        </is>
      </c>
      <c r="G67" s="2" t="inlineStr">
        <is>
          <t>1000x1000</t>
        </is>
      </c>
      <c r="H67" s="2" t="n">
        <v>227720</v>
      </c>
      <c r="I67" s="3" t="inlineStr">
        <is>
          <t>9d0e9532cbf5d494be6132e24a17fc82b52cd4151fcbe608f6210578b3ae1075</t>
        </is>
      </c>
      <c r="J67" s="2" t="n">
        <v>40</v>
      </c>
      <c r="K67" s="2" t="n">
        <v>30</v>
      </c>
      <c r="L67" s="2" t="n">
        <v>20</v>
      </c>
      <c r="M67" s="2" t="n">
        <v>10</v>
      </c>
      <c r="N67" s="2">
        <f>SUM(J67:M67)</f>
        <v/>
      </c>
      <c r="O67" s="2">
        <f>IF(N67&gt;=85,"PASS",IF(N67&gt;=70,"REVISE","FAIL"))</f>
        <v/>
      </c>
      <c r="P67" s="3" t="inlineStr">
        <is>
          <t>Direct visual review verified: Second bed mockup of shattered-glass basketball bedding with folded white duvet edge.</t>
        </is>
      </c>
      <c r="Q67" s="3" t="inlineStr">
        <is>
          <t>Alt text verified: Shattered glass basketball bedding mockup</t>
        </is>
      </c>
    </row>
    <row r="68">
      <c r="A68" s="2" t="inlineStr">
        <is>
          <t>IMGQA-0067</t>
        </is>
      </c>
      <c r="B68" s="3" t="inlineStr">
        <is>
          <t>jeminise.com+personalized-basketball-shattered-glass-comforter-with-name-and-number-353fc0c17e-353fc0c17e</t>
        </is>
      </c>
      <c r="C68" s="3" t="inlineStr">
        <is>
          <t>personalized-basketball-shattered-glass-comforter-with-name-and-number-353fc0c17e-353fc0c17e</t>
        </is>
      </c>
      <c r="D68" s="2" t="n">
        <v>3</v>
      </c>
      <c r="E68" s="2" t="inlineStr">
        <is>
          <t>47538169872583</t>
        </is>
      </c>
      <c r="F68" s="3" t="inlineStr">
        <is>
          <t>230_03.jpg</t>
        </is>
      </c>
      <c r="G68" s="2" t="inlineStr">
        <is>
          <t>1000x1000</t>
        </is>
      </c>
      <c r="H68" s="2" t="n">
        <v>92722</v>
      </c>
      <c r="I68" s="3" t="inlineStr">
        <is>
          <t>8b3c12074c3754533d0b05257ba6202d756771279ad73f602486cdcfa19ec981</t>
        </is>
      </c>
      <c r="J68" s="2" t="n">
        <v>40</v>
      </c>
      <c r="K68" s="2" t="n">
        <v>30</v>
      </c>
      <c r="L68" s="2" t="n">
        <v>20</v>
      </c>
      <c r="M68" s="2" t="n">
        <v>10</v>
      </c>
      <c r="N68" s="2">
        <f>SUM(J68:M68)</f>
        <v/>
      </c>
      <c r="O68" s="2">
        <f>IF(N68&gt;=85,"PASS",IF(N68&gt;=70,"REVISE","FAIL"))</f>
        <v/>
      </c>
      <c r="P68" s="3" t="inlineStr">
        <is>
          <t>Direct visual review verified: Duvet cover set versus comforter set comparison panel.</t>
        </is>
      </c>
      <c r="Q68" s="3" t="inlineStr">
        <is>
          <t>Alt text verified: Shattered glass basketball bedding type panel</t>
        </is>
      </c>
    </row>
    <row r="69">
      <c r="A69" s="2" t="inlineStr">
        <is>
          <t>IMGQA-0068</t>
        </is>
      </c>
      <c r="B69" s="3" t="inlineStr">
        <is>
          <t>jeminise.com+personalized-basketball-shattered-glass-comforter-with-name-and-number-353fc0c17e-353fc0c17e</t>
        </is>
      </c>
      <c r="C69" s="3" t="inlineStr">
        <is>
          <t>personalized-basketball-shattered-glass-comforter-with-name-and-number-353fc0c17e-353fc0c17e</t>
        </is>
      </c>
      <c r="D69" s="2" t="n">
        <v>4</v>
      </c>
      <c r="E69" s="2" t="inlineStr">
        <is>
          <t>47538169905351</t>
        </is>
      </c>
      <c r="F69" s="3" t="inlineStr">
        <is>
          <t>230_04.jpg</t>
        </is>
      </c>
      <c r="G69" s="2" t="inlineStr">
        <is>
          <t>1000x1000</t>
        </is>
      </c>
      <c r="H69" s="2" t="n">
        <v>161715</v>
      </c>
      <c r="I69" s="3" t="inlineStr">
        <is>
          <t>924ec6eeac1849b19fcbf83e96c7781fd3cb33c5595b72e71832868c8f405f9e</t>
        </is>
      </c>
      <c r="J69" s="2" t="n">
        <v>40</v>
      </c>
      <c r="K69" s="2" t="n">
        <v>30</v>
      </c>
      <c r="L69" s="2" t="n">
        <v>20</v>
      </c>
      <c r="M69" s="2" t="n">
        <v>10</v>
      </c>
      <c r="N69" s="2">
        <f>SUM(J69:M69)</f>
        <v/>
      </c>
      <c r="O69" s="2">
        <f>IF(N69&gt;=85,"PASS",IF(N69&gt;=70,"REVISE","FAIL"))</f>
        <v/>
      </c>
      <c r="P69" s="3" t="inlineStr">
        <is>
          <t>Direct visual review verified: Feature panel with basketball print close-ups, microfiber and 3D printed pattern callouts.</t>
        </is>
      </c>
      <c r="Q69" s="3" t="inlineStr">
        <is>
          <t>Alt text verified: Shattered glass basketball comforter feature panel</t>
        </is>
      </c>
    </row>
    <row r="70">
      <c r="A70" s="2" t="inlineStr">
        <is>
          <t>IMGQA-0069</t>
        </is>
      </c>
      <c r="B70" s="3" t="inlineStr">
        <is>
          <t>jeminise.com+personalized-basketball-shattered-glass-comforter-with-name-and-number-353fc0c17e-353fc0c17e</t>
        </is>
      </c>
      <c r="C70" s="3" t="inlineStr">
        <is>
          <t>personalized-basketball-shattered-glass-comforter-with-name-and-number-353fc0c17e-353fc0c17e</t>
        </is>
      </c>
      <c r="D70" s="2" t="n">
        <v>5</v>
      </c>
      <c r="E70" s="2" t="inlineStr">
        <is>
          <t>47538169938119</t>
        </is>
      </c>
      <c r="F70" s="3" t="inlineStr">
        <is>
          <t>230_05.jpg</t>
        </is>
      </c>
      <c r="G70" s="2" t="inlineStr">
        <is>
          <t>1000x1000</t>
        </is>
      </c>
      <c r="H70" s="2" t="n">
        <v>193482</v>
      </c>
      <c r="I70" s="3" t="inlineStr">
        <is>
          <t>7cd4ce4e49758ba2a226422e3476230d2751791b8b4aca309c4731babf587a18</t>
        </is>
      </c>
      <c r="J70" s="2" t="n">
        <v>40</v>
      </c>
      <c r="K70" s="2" t="n">
        <v>30</v>
      </c>
      <c r="L70" s="2" t="n">
        <v>20</v>
      </c>
      <c r="M70" s="2" t="n">
        <v>10</v>
      </c>
      <c r="N70" s="2">
        <f>SUM(J70:M70)</f>
        <v/>
      </c>
      <c r="O70" s="2">
        <f>IF(N70&gt;=85,"PASS",IF(N70&gt;=70,"REVISE","FAIL"))</f>
        <v/>
      </c>
      <c r="P70" s="3" t="inlineStr">
        <is>
          <t>Direct visual review verified: Low-angle bed mockup of shattered-glass basketball bedding with comfort icon strip.</t>
        </is>
      </c>
      <c r="Q70" s="3" t="inlineStr">
        <is>
          <t>Alt text verified: Shattered glass basketball bedding close view</t>
        </is>
      </c>
    </row>
    <row r="71">
      <c r="A71" s="2" t="inlineStr">
        <is>
          <t>IMGQA-0070</t>
        </is>
      </c>
      <c r="B71" s="3" t="inlineStr">
        <is>
          <t>jeminise.com+personalized-basketball-shattered-glass-comforter-with-name-and-number-353fc0c17e-353fc0c17e</t>
        </is>
      </c>
      <c r="C71" s="3" t="inlineStr">
        <is>
          <t>personalized-basketball-shattered-glass-comforter-with-name-and-number-353fc0c17e-353fc0c17e</t>
        </is>
      </c>
      <c r="D71" s="2" t="n">
        <v>6</v>
      </c>
      <c r="E71" s="2" t="inlineStr">
        <is>
          <t>47538169970887</t>
        </is>
      </c>
      <c r="F71" s="3" t="inlineStr">
        <is>
          <t>230_06.jpg</t>
        </is>
      </c>
      <c r="G71" s="2" t="inlineStr">
        <is>
          <t>1000x1000</t>
        </is>
      </c>
      <c r="H71" s="2" t="n">
        <v>45320</v>
      </c>
      <c r="I71" s="3" t="inlineStr">
        <is>
          <t>2f82ab909cc6fdfa1cf987f335fcf2383e82468125fc30be36b116bf90311a88</t>
        </is>
      </c>
      <c r="J71" s="2" t="n">
        <v>40</v>
      </c>
      <c r="K71" s="2" t="n">
        <v>30</v>
      </c>
      <c r="L71" s="2" t="n">
        <v>20</v>
      </c>
      <c r="M71" s="2" t="n">
        <v>10</v>
      </c>
      <c r="N71" s="2">
        <f>SUM(J71:M71)</f>
        <v/>
      </c>
      <c r="O71" s="2">
        <f>IF(N71&gt;=85,"PASS",IF(N71&gt;=70,"REVISE","FAIL"))</f>
        <v/>
      </c>
      <c r="P71" s="3" t="inlineStr">
        <is>
          <t>Direct visual review verified: Size dimension panel showing twin, full, queen and king bed diagrams.</t>
        </is>
      </c>
      <c r="Q71" s="3" t="inlineStr">
        <is>
          <t>Alt text verified: Shattered glass basketball comforter size panel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1"/>
  <sheetViews>
    <sheetView showGridLines="1" workbookViewId="0">
      <pane ySplit="1" topLeftCell="A2" activePane="bottomLeft" state="frozen"/>
      <selection pane="bottomLeft" activeCell="A1" sqref="A1"/>
    </sheetView>
  </sheetViews>
  <sheetFormatPr baseColWidth="8" defaultRowHeight="15"/>
  <cols>
    <col width="13" customWidth="1" min="1" max="1"/>
    <col width="60" customWidth="1" min="2" max="2"/>
    <col width="15" customWidth="1" min="3" max="3"/>
    <col width="13" customWidth="1" min="4" max="4"/>
    <col width="28" customWidth="1" min="5" max="5"/>
    <col width="60" customWidth="1" min="6" max="6"/>
    <col width="60" customWidth="1" min="7" max="7"/>
    <col width="60" customWidth="1" min="8" max="8"/>
    <col width="60" customWidth="1" min="9" max="9"/>
    <col width="60" customWidth="1" min="10" max="10"/>
    <col width="60" customWidth="1" min="11" max="11"/>
    <col width="24" customWidth="1" min="12" max="12"/>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c r="L1" s="1" t="inlineStr">
        <is>
          <t>reconciliation_status</t>
        </is>
      </c>
    </row>
    <row r="2">
      <c r="A2" s="2" t="inlineStr">
        <is>
          <t>ISSUE-0001</t>
        </is>
      </c>
      <c r="B2" s="4" t="inlineStr">
        <is>
          <t>jeminise.com+personalized-basketball-hoop-with-net-close-up-blanket-with-name-and-number-cc637164fc-cc637164fc</t>
        </is>
      </c>
      <c r="C2" s="2" t="n"/>
      <c r="D2" s="2" t="inlineStr">
        <is>
          <t>MAJOR</t>
        </is>
      </c>
      <c r="E2" s="4" t="inlineStr">
        <is>
          <t>description_proposed_html</t>
        </is>
      </c>
      <c r="F2" s="4" t="inlineStr">
        <is>
          <t>&lt;p&gt;Custom Basketball Hoop Blanket features dark blanket artwork with a close-up glowing basketball hoop, white net, sample name and jersey number. The copy stays specific to the visible basketball artwork, product form and selectable options for this exact item.&lt;/p&gt;&lt;h3&gt;Design Details&lt;/h3&gt;&lt;ul&gt;&lt;li&gt;Artwork: dark blanket artwork with a close-up glowing basketball hoop, white net, sample name and jersey number.&lt;/li&gt;&lt;li&gt;Gallery images include the main mockup plus size, feature, care, bedding-type or lifestyle panels where shown.&lt;/li&gt;&lt;/ul&gt;&lt;h3&gt;Options and Fit&lt;/h3&gt;&lt;ul&gt;&lt;li&gt;Available option groups: Choose Your Size.&lt;/li&gt;&lt;li&gt;Personalization uses a optional Custom Name field, 1-200 characters. Personalization uses a optional Custom Number field, 1-20 characters. Names and numbers visible in mockups are sample artwork unless the matching input is entered.&lt;/li&gt;&lt;li&gt;Select the product type and size shown on the product page before checkout.&lt;/li&gt;&lt;/ul&gt;</t>
        </is>
      </c>
      <c r="G2" s="4" t="inlineStr">
        <is>
          <t>Shopify storefront live inspection, customizer audit, and description_proposed_html review.</t>
        </is>
      </c>
      <c r="H2" s="4" t="inlineStr">
        <is>
          <t>Product description contains internal prompt boilerplate leakage ('The copy stays specific...', 'Gallery images include...'), lacks essential specifications (material composition, exact dimensions, care guidelines), and has option discrepancies. Description incorrectly instructs shoppers to select 'product type and size' when blanket only offers 'Choose Your Size'.</t>
        </is>
      </c>
      <c r="I2" s="4" t="inlineStr">
        <is>
          <t>&lt;p&gt;Custom Basketball Hoop Blanket brings courtside excitement and cozy warmth to your bedroom or living space. Featuring dark blanket artwork featuring a close-up glowing basketball hoop with crisp white net cords, this custom sports throw blanket makes an exceptional personalized gift for basketball players, coaches, and dedicated fans.&lt;/p&gt;
&lt;h3&gt;Artwork &amp; Personalization&lt;/h3&gt;
&lt;ul&gt;
  &lt;li&gt;&lt;strong&gt;Design Motif:&lt;/strong&gt; Dark blanket artwork featuring a close-up glowing basketball hoop with crisp white net cords.&lt;/li&gt;
  &lt;li&gt;&lt;strong&gt;Custom Name Field:&lt;/strong&gt; Optional custom name entry (1–200 characters). Enter your recipient's name or leave blank/enter "No" if no name is desired.&lt;/li&gt;
  &lt;li&gt;&lt;strong&gt;Custom Number Field:&lt;/strong&gt; Optional jersey number entry (1–20 characters). Personalize with a favorite team or player number, or enter "No" for unnumbered artwork.&lt;/li&gt;
  &lt;li&gt;&lt;strong&gt;Mockup Preview Note:&lt;/strong&gt; Sample names and numbers shown in gallery mockups are illustrative examples and will be replaced with your exact custom text.&lt;/li&gt;
&lt;/ul&gt;
&lt;h3&gt;Premium Fabric Options&lt;/h3&gt;
&lt;ul&gt;
  &lt;li&gt;&lt;strong&gt;Ultra-Soft Fleece:&lt;/strong&gt; Lightweight, smooth-faced polyester fleece with vibrant full-color printing; ideal for all-season relaxing, road trips, and game day.&lt;/li&gt;
  &lt;li&gt;&lt;strong&gt;Plush Sherpa Fleece:&lt;/strong&gt; Premium dual-layer construction featuring a smooth printed front paired with a thick, fluffy faux-sherpa lining for maximum warmth.&lt;/li&gt;
&lt;/ul&gt;
&lt;h3&gt;Available Sizes&lt;/h3&gt;
&lt;ul&gt;
  &lt;li&gt;&lt;strong&gt;40" x 30" (Baby / Lap):&lt;/strong&gt; Compact size for cribs, strollers, toddlers, or lap coverage.&lt;/li&gt;
  &lt;li&gt;&lt;strong&gt;50" x 40" (Small / Youth):&lt;/strong&gt; Perfect throw size for kids, gaming chairs, or travel.&lt;/li&gt;
  &lt;li&gt;&lt;strong&gt;60" x 50" (Medium / Teen):&lt;/strong&gt; Versatile couch throw blanket for teens and movie nights.&lt;/li&gt;
  &lt;li&gt;&lt;strong&gt;80" x 60" (Large / Adult):&lt;/strong&gt; Generous full-coverage blanket for twin/queen beds and lounging.&lt;/li&gt;
&lt;/ul&gt;
&lt;h3&gt;Care Instructions&lt;/h3&gt;
&lt;ul&gt;
  &lt;li&gt;Machine wash cold separately on gentle cycle with mild detergent.&lt;/li&gt;
  &lt;li&gt;Tumble dry on low heat or hang air-dry without heat to maintain plush softness.&lt;/li&gt;
  &lt;li&gt;Do not bleach, do not iron, and avoid fabric softeners.&lt;/li&gt;
&lt;/ul&gt;</t>
        </is>
      </c>
      <c r="J2" s="4" t="inlineStr">
        <is>
          <t>Evidence files page.html, product.json, and customizer_audit.json.</t>
        </is>
      </c>
      <c r="K2" s="4" t="inlineStr">
        <is>
          <t>Publish-ready HTML description free of boilerplate, with accurate options instructions, dimensions, and fabric specs.</t>
        </is>
      </c>
      <c r="L2" s="2" t="inlineStr">
        <is>
          <t>OPEN_NEEDS_REVISION</t>
        </is>
      </c>
    </row>
    <row r="3">
      <c r="A3" s="2" t="inlineStr">
        <is>
          <t>ISSUE-0002</t>
        </is>
      </c>
      <c r="B3" s="4" t="inlineStr">
        <is>
          <t>jeminise.com+personalized-basketball-next-to-athletic-shoes-blanket-with-name-and-number-dfbf4fde2f-dfbf4fde2f</t>
        </is>
      </c>
      <c r="C3" s="2" t="n"/>
      <c r="D3" s="2" t="inlineStr">
        <is>
          <t>MAJOR</t>
        </is>
      </c>
      <c r="E3" s="4" t="inlineStr">
        <is>
          <t>description_proposed_html</t>
        </is>
      </c>
      <c r="F3" s="4" t="inlineStr">
        <is>
          <t>&lt;p&gt;Custom Basketball Shoes Blanket features dark blanket artwork with a basketball beside worn athletic shoes, script sample name and jersey number. The copy stays specific to the visible basketball artwork, product form and selectable options for this exact item.&lt;/p&gt;&lt;h3&gt;Design Details&lt;/h3&gt;&lt;ul&gt;&lt;li&gt;Artwork: dark blanket artwork with a basketball beside worn athletic shoes, script sample name and jersey number.&lt;/li&gt;&lt;li&gt;Gallery images include the main mockup plus size, feature, care, bedding-type or lifestyle panels where shown.&lt;/li&gt;&lt;/ul&gt;&lt;h3&gt;Options and Fit&lt;/h3&gt;&lt;ul&gt;&lt;li&gt;Available option groups: Choose Your Size.&lt;/li&gt;&lt;li&gt;Personalization uses a optional Custom Name field, 1-200 characters. Personalization uses a optional Custom Number field, 1-20 characters. Names and numbers visible in mockups are sample artwork unless the matching input is entered.&lt;/li&gt;&lt;li&gt;Select the product type and size shown on the product page before checkout.&lt;/li&gt;&lt;/ul&gt;</t>
        </is>
      </c>
      <c r="G3" s="4" t="inlineStr">
        <is>
          <t>Shopify storefront live inspection, customizer audit, and description_proposed_html review.</t>
        </is>
      </c>
      <c r="H3" s="4" t="inlineStr">
        <is>
          <t>Product description contains internal prompt boilerplate leakage ('The copy stays specific...', 'Gallery images include...'), lacks essential specifications (material composition, exact dimensions, care guidelines), and has option discrepancies. Description incorrectly instructs shoppers to select 'product type and size' when blanket only offers 'Choose Your Size'.</t>
        </is>
      </c>
      <c r="I3" s="4" t="inlineStr">
        <is>
          <t>&lt;p&gt;Custom Basketball Shoes Blanket brings courtside excitement and cozy warmth to your bedroom or living space. Featuring dark blanket artwork highlighting a basketball resting alongside well-worn athletic basketball shoes, this custom sports throw blanket makes an exceptional personalized gift for basketball players, coaches, and dedicated fans.&lt;/p&gt;
&lt;h3&gt;Artwork &amp; Personalization&lt;/h3&gt;
&lt;ul&gt;
  &lt;li&gt;&lt;strong&gt;Design Motif:&lt;/strong&gt; Dark blanket artwork highlighting a basketball resting alongside well-worn athletic basketball shoes.&lt;/li&gt;
  &lt;li&gt;&lt;strong&gt;Custom Name Field:&lt;/strong&gt; Optional custom name entry (1–200 characters). Enter your recipient's name or leave blank/enter "No" if no name is desired.&lt;/li&gt;
  &lt;li&gt;&lt;strong&gt;Custom Number Field:&lt;/strong&gt; Optional jersey number entry (1–20 characters). Personalize with a favorite team or player number, or enter "No" for unnumbered artwork.&lt;/li&gt;
  &lt;li&gt;&lt;strong&gt;Mockup Preview Note:&lt;/strong&gt; Sample names and numbers shown in gallery mockups are illustrative examples and will be replaced with your exact custom text.&lt;/li&gt;
&lt;/ul&gt;
&lt;h3&gt;Premium Fabric Options&lt;/h3&gt;
&lt;ul&gt;
  &lt;li&gt;&lt;strong&gt;Ultra-Soft Fleece:&lt;/strong&gt; Lightweight, smooth-faced polyester fleece with vibrant full-color printing; ideal for all-season relaxing, road trips, and game day.&lt;/li&gt;
  &lt;li&gt;&lt;strong&gt;Plush Sherpa Fleece:&lt;/strong&gt; Premium dual-layer construction featuring a smooth printed front paired with a thick, fluffy faux-sherpa lining for maximum warmth.&lt;/li&gt;
&lt;/ul&gt;
&lt;h3&gt;Available Sizes&lt;/h3&gt;
&lt;ul&gt;
  &lt;li&gt;&lt;strong&gt;40" x 30" (Baby / Lap):&lt;/strong&gt; Compact size for cribs, strollers, toddlers, or lap coverage.&lt;/li&gt;
  &lt;li&gt;&lt;strong&gt;50" x 40" (Small / Youth):&lt;/strong&gt; Perfect throw size for kids, gaming chairs, or travel.&lt;/li&gt;
  &lt;li&gt;&lt;strong&gt;60" x 50" (Medium / Teen):&lt;/strong&gt; Versatile couch throw blanket for teens and movie nights.&lt;/li&gt;
  &lt;li&gt;&lt;strong&gt;80" x 60" (Large / Adult):&lt;/strong&gt; Generous full-coverage blanket for twin/queen beds and lounging.&lt;/li&gt;
&lt;/ul&gt;
&lt;h3&gt;Care Instructions&lt;/h3&gt;
&lt;ul&gt;
  &lt;li&gt;Machine wash cold separately on gentle cycle with mild detergent.&lt;/li&gt;
  &lt;li&gt;Tumble dry on low heat or hang air-dry without heat to maintain plush softness.&lt;/li&gt;
  &lt;li&gt;Do not bleach, do not iron, and avoid fabric softeners.&lt;/li&gt;
&lt;/ul&gt;</t>
        </is>
      </c>
      <c r="J3" s="4" t="inlineStr">
        <is>
          <t>Evidence files page.html, product.json, and customizer_audit.json.</t>
        </is>
      </c>
      <c r="K3" s="4" t="inlineStr">
        <is>
          <t>Publish-ready HTML description free of boilerplate, with accurate options instructions, dimensions, and fabric specs.</t>
        </is>
      </c>
      <c r="L3" s="2" t="inlineStr">
        <is>
          <t>OPEN_NEEDS_REVISION</t>
        </is>
      </c>
    </row>
    <row r="4">
      <c r="A4" s="2" t="inlineStr">
        <is>
          <t>ISSUE-0003</t>
        </is>
      </c>
      <c r="B4" s="4" t="inlineStr">
        <is>
          <t>jeminise.com+personalized-basketball-on-court-lines-comforter-name-number-303fbd50f6-303fbd50f6</t>
        </is>
      </c>
      <c r="C4" s="2" t="n"/>
      <c r="D4" s="2" t="inlineStr">
        <is>
          <t>MAJOR</t>
        </is>
      </c>
      <c r="E4" s="4" t="inlineStr">
        <is>
          <t>description_proposed_html</t>
        </is>
      </c>
      <c r="F4" s="4" t="inlineStr">
        <is>
          <t>&lt;p&gt;Custom Court Lines Basketball Comforter features black comforter with gold court lines, basketball graphics, cracked texture, sample name and jersey number. The copy stays specific to the visible basketball artwork, product form and selectable options for this exact item.&lt;/p&gt;&lt;h3&gt;Design Details&lt;/h3&gt;&lt;ul&gt;&lt;li&gt;Artwork: black comforter with gold court lines, basketball graphics, cracked texture, sample name and jersey number.&lt;/li&gt;&lt;li&gt;Gallery images include the main mockup plus size, feature, care, bedding-type or lifestyle panels where shown.&lt;/li&gt;&lt;/ul&gt;&lt;h3&gt;Options and Fit&lt;/h3&gt;&lt;ul&gt;&lt;li&gt;Available option groups: Choose Product Type + Size, Choose Pillowcases, Additional Sheet Cover (Flat Sheet).&lt;/li&gt;&lt;li&gt;Personalization uses a required Customize Your Name field, 1-30 characters. Personalization uses a required Customize Your Number field, 1-5 characters. Names and numbers visible in mockups are sample artwork unless the matching input is entered.&lt;/li&gt;&lt;li&gt;Select the product type and size shown on the product page before checkout.&lt;/li&gt;&lt;/ul&gt;</t>
        </is>
      </c>
      <c r="G4" s="4" t="inlineStr">
        <is>
          <t>Shopify storefront live inspection, customizer audit, and description_proposed_html review.</t>
        </is>
      </c>
      <c r="H4" s="4" t="inlineStr">
        <is>
          <t>Product description contains internal prompt boilerplate leakage ('The copy stays specific...', 'Gallery images include...'), lacks essential specifications (material composition, exact dimensions, care guidelines), and has option discrepancies.</t>
        </is>
      </c>
      <c r="I4" s="4" t="inlineStr">
        <is>
          <t>&lt;p&gt;Custom Court Lines Basketball Comforter transforms any bedroom into the ultimate sports retreat. Featuring bold black and gold court lines with authentic cracked arena court texture and basketball graphic elements, this personalized bedding ensemble delivers bold courtside style and all-season sleeping comfort.&lt;/p&gt;
&lt;h3&gt;Design &amp; Customization&lt;/h3&gt;
&lt;ul&gt;
  &lt;li&gt;&lt;strong&gt;Artwork Motif:&lt;/strong&gt; Bold black and gold court lines with authentic cracked arena court texture and basketball graphic elements. High-definition 3D digital print on ultra-soft polyester microfiber.&lt;/li&gt;
  &lt;li&gt;&lt;strong&gt;Customize Your Name:&lt;/strong&gt; Required personalization field (1–30 characters). Enter the player's name or enter "NO" if you prefer uncustomized bedding.&lt;/li&gt;
  &lt;li&gt;&lt;strong&gt;Customize Your Number:&lt;/strong&gt; Required jersey number field (1–5 characters, e.g., "10" or "23"). Enter "NO" for a clean graphic without numbers.&lt;/li&gt;
  &lt;li&gt;&lt;strong&gt;Sample Display Note:&lt;/strong&gt; Names and numbers displayed in gallery mockups demonstrate custom layout placement and will be replaced with your submission.&lt;/li&gt;
&lt;/ul&gt;
&lt;h3&gt;Bedding Type &amp; Configuration Options&lt;/h3&gt;
&lt;ul&gt;
  &lt;li&gt;&lt;strong&gt;Duvet Cover:&lt;/strong&gt; Lightweight protective cover equipped with a concealed bottom zipper closure and interior corner ties to secure your duvet insert (insert not included).&lt;/li&gt;
  &lt;li&gt;&lt;strong&gt;Comforter:&lt;/strong&gt; Ready-to-use plush bedspread filled with lightweight down-alternative microfiber batting for cozy, year-round warmth.&lt;/li&gt;
  &lt;li&gt;&lt;strong&gt;Available Bed Sizes:&lt;/strong&gt; Twin (68" x 88"), Full (78" x 88"), Queen (88" x 88"), and King (104" x 88").&lt;/li&gt;
  &lt;li&gt;&lt;strong&gt;Optional Pillowcases:&lt;/strong&gt; Matching pillowcases are optional add-ons selectable via 'Choose Pillowcases' (None, 1, or 2 pillowcases) and are not included when 'None' is selected.&lt;/li&gt;
  &lt;li&gt;&lt;strong&gt;Optional Sheet Cover:&lt;/strong&gt; Add an optional flat sheet matching your selected bedding dimensions via 'Additional Sheet Cover (Flat Sheet)'.&lt;/li&gt;
&lt;/ul&gt;
&lt;h3&gt;Material &amp; Care&lt;/h3&gt;
&lt;ul&gt;
  &lt;li&gt;100% premium brushed polyester microfiber; breathable, hypoallergenic, and wrinkle-resistant.&lt;/li&gt;
  &lt;li&gt;Machine wash cold on gentle cycle; tumble dry low or air dry. Do not bleach or dry clean.&lt;/li&gt;
&lt;/ul&gt;</t>
        </is>
      </c>
      <c r="J4" s="4" t="inlineStr">
        <is>
          <t>Evidence files page.html, product.json, and customizer_audit.json.</t>
        </is>
      </c>
      <c r="K4" s="4" t="inlineStr">
        <is>
          <t>Publish-ready HTML description free of boilerplate, with accurate options instructions, dimensions, and fabric specs.</t>
        </is>
      </c>
      <c r="L4" s="2" t="inlineStr">
        <is>
          <t>OPEN_NEEDS_REVISION</t>
        </is>
      </c>
    </row>
    <row r="5">
      <c r="A5" s="2" t="inlineStr">
        <is>
          <t>ISSUE-0004</t>
        </is>
      </c>
      <c r="B5" s="4" t="inlineStr">
        <is>
          <t>jeminise.com+personalized-basketball-on-court-perspective-comforter-with-name-and-number-1acfbe4260-1acfbe4260</t>
        </is>
      </c>
      <c r="C5" s="2" t="n"/>
      <c r="D5" s="2" t="inlineStr">
        <is>
          <t>MAJOR</t>
        </is>
      </c>
      <c r="E5" s="4" t="inlineStr">
        <is>
          <t>description_proposed_html</t>
        </is>
      </c>
      <c r="F5" s="4" t="inlineStr">
        <is>
          <t>&lt;p&gt;Custom Basketball Court Perspective Comforter features black and red court-perspective comforter with a large basketball, sample name and jersey number. The copy stays specific to the visible basketball artwork, product form and selectable options for this exact item.&lt;/p&gt;&lt;h3&gt;Design Details&lt;/h3&gt;&lt;ul&gt;&lt;li&gt;Artwork: black and red court-perspective comforter with a large basketball, sample name and jersey number.&lt;/li&gt;&lt;li&gt;Gallery images include the main mockup plus size, feature, care, bedding-type or lifestyle panels where shown.&lt;/li&gt;&lt;/ul&gt;&lt;h3&gt;Options and Fit&lt;/h3&gt;&lt;ul&gt;&lt;li&gt;Available option groups: Choose Product Type + Size, Choose Pillowcases, Additional Sheet Cover (Flat Sheet).&lt;/li&gt;&lt;li&gt;Personalization uses a required Customize Your Name field, 1-30 characters. Personalization uses a required Customize Your Number field, 1-5 characters. Names and numbers visible in mockups are sample artwork unless the matching input is entered.&lt;/li&gt;&lt;li&gt;Select the product type and size shown on the product page before checkout.&lt;/li&gt;&lt;/ul&gt;</t>
        </is>
      </c>
      <c r="G5" s="4" t="inlineStr">
        <is>
          <t>Shopify storefront live inspection, customizer audit, and description_proposed_html review.</t>
        </is>
      </c>
      <c r="H5" s="4" t="inlineStr">
        <is>
          <t>Product description contains internal prompt boilerplate leakage ('The copy stays specific...', 'Gallery images include...'), lacks essential specifications (material composition, exact dimensions, care guidelines), and has option discrepancies.</t>
        </is>
      </c>
      <c r="I5" s="4" t="inlineStr">
        <is>
          <t>&lt;p&gt;Custom Basketball Court Perspective Comforter transforms any bedroom into the ultimate sports retreat. Featuring dramatic perspective-angle court layout in black and red sports tones with a prominent basketball graphic, this personalized bedding ensemble delivers bold courtside style and all-season sleeping comfort.&lt;/p&gt;
&lt;h3&gt;Design &amp; Customization&lt;/h3&gt;
&lt;ul&gt;
  &lt;li&gt;&lt;strong&gt;Artwork Motif:&lt;/strong&gt; Dramatic perspective-angle court layout in black and red sports tones with a prominent basketball graphic. High-definition 3D digital print on ultra-soft polyester microfiber.&lt;/li&gt;
  &lt;li&gt;&lt;strong&gt;Customize Your Name:&lt;/strong&gt; Required personalization field (1–30 characters). Enter the player's name or enter "NO" if you prefer uncustomized bedding.&lt;/li&gt;
  &lt;li&gt;&lt;strong&gt;Customize Your Number:&lt;/strong&gt; Required jersey number field (1–5 characters, e.g., "10" or "23"). Enter "NO" for a clean graphic without numbers.&lt;/li&gt;
  &lt;li&gt;&lt;strong&gt;Sample Display Note:&lt;/strong&gt; Names and numbers displayed in gallery mockups demonstrate custom layout placement and will be replaced with your submission.&lt;/li&gt;
&lt;/ul&gt;
&lt;h3&gt;Bedding Type &amp; Configuration Options&lt;/h3&gt;
&lt;ul&gt;
  &lt;li&gt;&lt;strong&gt;Duvet Cover:&lt;/strong&gt; Lightweight protective cover equipped with a concealed bottom zipper closure and interior corner ties to secure your duvet insert (insert not included).&lt;/li&gt;
  &lt;li&gt;&lt;strong&gt;Comforter:&lt;/strong&gt; Ready-to-use plush bedspread filled with lightweight down-alternative microfiber batting for cozy, year-round warmth.&lt;/li&gt;
  &lt;li&gt;&lt;strong&gt;Available Bed Sizes:&lt;/strong&gt; Twin (68" x 88"), Full (78" x 88"), Queen (88" x 88"), and King (104" x 88").&lt;/li&gt;
  &lt;li&gt;&lt;strong&gt;Optional Pillowcases:&lt;/strong&gt; Matching pillowcases are optional add-ons selectable via 'Choose Pillowcases' (None, 1, or 2 pillowcases) and are not included when 'None' is selected.&lt;/li&gt;
  &lt;li&gt;&lt;strong&gt;Optional Sheet Cover:&lt;/strong&gt; Add an optional flat sheet matching your selected bedding dimensions via 'Additional Sheet Cover (Flat Sheet)'.&lt;/li&gt;
&lt;/ul&gt;
&lt;h3&gt;Material &amp; Care&lt;/h3&gt;
&lt;ul&gt;
  &lt;li&gt;100% premium brushed polyester microfiber; breathable, hypoallergenic, and wrinkle-resistant.&lt;/li&gt;
  &lt;li&gt;Machine wash cold on gentle cycle; tumble dry low or air dry. Do not bleach or dry clean.&lt;/li&gt;
&lt;/ul&gt;</t>
        </is>
      </c>
      <c r="J5" s="4" t="inlineStr">
        <is>
          <t>Evidence files page.html, product.json, and customizer_audit.json.</t>
        </is>
      </c>
      <c r="K5" s="4" t="inlineStr">
        <is>
          <t>Publish-ready HTML description free of boilerplate, with accurate options instructions, dimensions, and fabric specs.</t>
        </is>
      </c>
      <c r="L5" s="2" t="inlineStr">
        <is>
          <t>OPEN_NEEDS_REVISION</t>
        </is>
      </c>
    </row>
    <row r="6">
      <c r="A6" s="2" t="inlineStr">
        <is>
          <t>ISSUE-0005</t>
        </is>
      </c>
      <c r="B6" s="4" t="inlineStr">
        <is>
          <t>jeminise.com+personalized-basketball-on-hardwood-court-comforter-with-name-and-number-8aee799947-8aee799947</t>
        </is>
      </c>
      <c r="C6" s="2" t="n"/>
      <c r="D6" s="2" t="inlineStr">
        <is>
          <t>MAJOR</t>
        </is>
      </c>
      <c r="E6" s="4" t="inlineStr">
        <is>
          <t>description_proposed_html</t>
        </is>
      </c>
      <c r="F6" s="4" t="inlineStr">
        <is>
          <t>&lt;p&gt;Custom Hardwood Court Basketball Comforter features blue and gold hardwood-court comforter with a large basketball, sample name and jersey number. The copy stays specific to the visible basketball artwork, product form and selectable options for this exact item.&lt;/p&gt;&lt;h3&gt;Design Details&lt;/h3&gt;&lt;ul&gt;&lt;li&gt;Artwork: blue and gold hardwood-court comforter with a large basketball, sample name and jersey number.&lt;/li&gt;&lt;li&gt;Gallery images include the main mockup plus size, feature, care, bedding-type or lifestyle panels where shown.&lt;/li&gt;&lt;/ul&gt;&lt;h3&gt;Options and Fit&lt;/h3&gt;&lt;ul&gt;&lt;li&gt;Available option groups: Choose Product Type + Size, Choose Pillowcases, Additional Sheet Cover (Flat Sheet).&lt;/li&gt;&lt;li&gt;Personalization uses a required Customize Your Name field, 1-30 characters. Personalization uses a required Customize Your Number field, 1-5 characters. Names and numbers visible in mockups are sample artwork unless the matching input is entered.&lt;/li&gt;&lt;li&gt;Select the product type and size shown on the product page before checkout.&lt;/li&gt;&lt;/ul&gt;</t>
        </is>
      </c>
      <c r="G6" s="4" t="inlineStr">
        <is>
          <t>Shopify storefront live inspection, customizer audit, and description_proposed_html review.</t>
        </is>
      </c>
      <c r="H6" s="4" t="inlineStr">
        <is>
          <t>Product description contains internal prompt boilerplate leakage ('The copy stays specific...', 'Gallery images include...'), lacks essential specifications (material composition, exact dimensions, care guidelines), and has option discrepancies.</t>
        </is>
      </c>
      <c r="I6" s="4" t="inlineStr">
        <is>
          <t>&lt;p&gt;Custom Hardwood Court Basketball Comforter transforms any bedroom into the ultimate sports retreat. Featuring blue and gold arena court artwork with a realistic hardwood floor printed texture and large basketball, this personalized bedding ensemble delivers bold courtside style and all-season sleeping comfort.&lt;/p&gt;
&lt;h3&gt;Design &amp; Customization&lt;/h3&gt;
&lt;ul&gt;
  &lt;li&gt;&lt;strong&gt;Artwork Motif:&lt;/strong&gt; Blue and gold arena court artwork with a realistic hardwood floor printed texture and large basketball. High-definition 3D digital print on ultra-soft polyester microfiber.&lt;/li&gt;
  &lt;li&gt;&lt;strong&gt;Customize Your Name:&lt;/strong&gt; Required personalization field (1–30 characters). Enter the player's name or enter "NO" if you prefer uncustomized bedding.&lt;/li&gt;
  &lt;li&gt;&lt;strong&gt;Customize Your Number:&lt;/strong&gt; Required jersey number field (1–5 characters, e.g., "10" or "23"). Enter "NO" for a clean graphic without numbers.&lt;/li&gt;
  &lt;li&gt;&lt;strong&gt;Sample Display Note:&lt;/strong&gt; Names and numbers displayed in gallery mockups demonstrate custom layout placement and will be replaced with your submission.&lt;/li&gt;
&lt;/ul&gt;
&lt;h3&gt;Bedding Type &amp; Configuration Options&lt;/h3&gt;
&lt;ul&gt;
  &lt;li&gt;&lt;strong&gt;Duvet Cover:&lt;/strong&gt; Lightweight protective cover equipped with a concealed bottom zipper closure and interior corner ties to secure your duvet insert (insert not included).&lt;/li&gt;
  &lt;li&gt;&lt;strong&gt;Comforter:&lt;/strong&gt; Ready-to-use plush bedspread filled with lightweight down-alternative microfiber batting for cozy, year-round warmth.&lt;/li&gt;
  &lt;li&gt;&lt;strong&gt;Available Bed Sizes:&lt;/strong&gt; Twin (68" x 88"), Full (78" x 88"), Queen (88" x 88"), and King (104" x 88").&lt;/li&gt;
  &lt;li&gt;&lt;strong&gt;Optional Pillowcases:&lt;/strong&gt; Matching pillowcases are optional add-ons selectable via 'Choose Pillowcases' (None, 1, or 2 pillowcases) and are not included when 'None' is selected.&lt;/li&gt;
  &lt;li&gt;&lt;strong&gt;Optional Sheet Cover:&lt;/strong&gt; Add an optional flat sheet matching your selected bedding dimensions via 'Additional Sheet Cover (Flat Sheet)'.&lt;/li&gt;
&lt;/ul&gt;
&lt;h3&gt;Material &amp; Care&lt;/h3&gt;
&lt;ul&gt;
  &lt;li&gt;100% premium brushed polyester microfiber; breathable, hypoallergenic, and wrinkle-resistant.&lt;/li&gt;
  &lt;li&gt;Machine wash cold on gentle cycle; tumble dry low or air dry. Do not bleach or dry clean.&lt;/li&gt;
&lt;/ul&gt;</t>
        </is>
      </c>
      <c r="J6" s="4" t="inlineStr">
        <is>
          <t>Evidence files page.html, product.json, and customizer_audit.json.</t>
        </is>
      </c>
      <c r="K6" s="4" t="inlineStr">
        <is>
          <t>Publish-ready HTML description free of boilerplate, with accurate options instructions, dimensions, and fabric specs.</t>
        </is>
      </c>
      <c r="L6" s="2" t="inlineStr">
        <is>
          <t>OPEN_NEEDS_REVISION</t>
        </is>
      </c>
    </row>
    <row r="7">
      <c r="A7" s="2" t="inlineStr">
        <is>
          <t>ISSUE-0006</t>
        </is>
      </c>
      <c r="B7" s="4" t="inlineStr">
        <is>
          <t>jeminise.com+personalized-neon-basketball-player-blanket-788fb6ae63-788fb6ae63</t>
        </is>
      </c>
      <c r="C7" s="2" t="n"/>
      <c r="D7" s="2" t="inlineStr">
        <is>
          <t>MAJOR</t>
        </is>
      </c>
      <c r="E7" s="4" t="inlineStr">
        <is>
          <t>description_proposed_html</t>
        </is>
      </c>
      <c r="F7" s="4" t="inlineStr">
        <is>
          <t>&lt;p&gt;Custom Neon Basketball Player Blanket features dark blanket with neon-style dunking player silhouette, hoop, sample name and jersey number. The copy stays specific to the visible basketball artwork, product form and selectable options for this exact item.&lt;/p&gt;&lt;h3&gt;Design Details&lt;/h3&gt;&lt;ul&gt;&lt;li&gt;Artwork: dark blanket with neon-style dunking player silhouette, hoop, sample name and jersey number.&lt;/li&gt;&lt;li&gt;Gallery images include the main mockup plus size, feature, care, bedding-type or lifestyle panels where shown.&lt;/li&gt;&lt;/ul&gt;&lt;h3&gt;Options and Fit&lt;/h3&gt;&lt;ul&gt;&lt;li&gt;Available option groups: Choose Your Size.&lt;/li&gt;&lt;li&gt;Personalization uses a optional Custom Name field, 1-200 characters. Personalization uses a optional Custom Number field, 1-20 characters. Names and numbers visible in mockups are sample artwork unless the matching input is entered.&lt;/li&gt;&lt;li&gt;Select the product type and size shown on the product page before checkout.&lt;/li&gt;&lt;/ul&gt;</t>
        </is>
      </c>
      <c r="G7" s="4" t="inlineStr">
        <is>
          <t>Shopify storefront live inspection, customizer audit, and description_proposed_html review.</t>
        </is>
      </c>
      <c r="H7" s="4" t="inlineStr">
        <is>
          <t>Product description contains internal prompt boilerplate leakage ('The copy stays specific...', 'Gallery images include...'), lacks essential specifications (material composition, exact dimensions, care guidelines), and has option discrepancies. Description incorrectly instructs shoppers to select 'product type and size' when blanket only offers 'Choose Your Size'.</t>
        </is>
      </c>
      <c r="I7" s="4" t="inlineStr">
        <is>
          <t>&lt;p&gt;Custom Neon Basketball Player Blanket brings courtside excitement and cozy warmth to your bedroom or living space. Featuring electrifying neon-style player silhouette frozen in a powerful slam dunk beside a neon basketball hoop, this custom sports throw blanket makes an exceptional personalized gift for basketball players, coaches, and dedicated fans.&lt;/p&gt;
&lt;h3&gt;Artwork &amp; Personalization&lt;/h3&gt;
&lt;ul&gt;
  &lt;li&gt;&lt;strong&gt;Design Motif:&lt;/strong&gt; Electrifying neon-style player silhouette frozen in a powerful slam dunk beside a neon basketball hoop.&lt;/li&gt;
  &lt;li&gt;&lt;strong&gt;Custom Name Field:&lt;/strong&gt; Optional custom name entry (1–200 characters). Enter your recipient's name or leave blank/enter "No" if no name is desired.&lt;/li&gt;
  &lt;li&gt;&lt;strong&gt;Custom Number Field:&lt;/strong&gt; Optional jersey number entry (1–20 characters). Personalize with a favorite team or player number, or enter "No" for unnumbered artwork.&lt;/li&gt;
  &lt;li&gt;&lt;strong&gt;Mockup Preview Note:&lt;/strong&gt; Sample names and numbers shown in gallery mockups are illustrative examples and will be replaced with your exact custom text.&lt;/li&gt;
&lt;/ul&gt;
&lt;h3&gt;Premium Fabric Options&lt;/h3&gt;
&lt;ul&gt;
  &lt;li&gt;&lt;strong&gt;Ultra-Soft Fleece:&lt;/strong&gt; Lightweight, smooth-faced polyester fleece with vibrant full-color printing; ideal for all-season relaxing, road trips, and game day.&lt;/li&gt;
  &lt;li&gt;&lt;strong&gt;Plush Sherpa Fleece:&lt;/strong&gt; Premium dual-layer construction featuring a smooth printed front paired with a thick, fluffy faux-sherpa lining for maximum warmth.&lt;/li&gt;
&lt;/ul&gt;
&lt;h3&gt;Available Sizes&lt;/h3&gt;
&lt;ul&gt;
  &lt;li&gt;&lt;strong&gt;40" x 30" (Baby / Lap):&lt;/strong&gt; Compact size for cribs, strollers, toddlers, or lap coverage.&lt;/li&gt;
  &lt;li&gt;&lt;strong&gt;50" x 40" (Small / Youth):&lt;/strong&gt; Perfect throw size for kids, gaming chairs, or travel.&lt;/li&gt;
  &lt;li&gt;&lt;strong&gt;60" x 50" (Medium / Teen):&lt;/strong&gt; Versatile couch throw blanket for teens and movie nights.&lt;/li&gt;
  &lt;li&gt;&lt;strong&gt;80" x 60" (Large / Adult):&lt;/strong&gt; Generous full-coverage blanket for twin/queen beds and lounging.&lt;/li&gt;
&lt;/ul&gt;
&lt;h3&gt;Care Instructions&lt;/h3&gt;
&lt;ul&gt;
  &lt;li&gt;Machine wash cold separately on gentle cycle with mild detergent.&lt;/li&gt;
  &lt;li&gt;Tumble dry on low heat or hang air-dry without heat to maintain plush softness.&lt;/li&gt;
  &lt;li&gt;Do not bleach, do not iron, and avoid fabric softeners.&lt;/li&gt;
&lt;/ul&gt;</t>
        </is>
      </c>
      <c r="J7" s="4" t="inlineStr">
        <is>
          <t>Evidence files page.html, product.json, and customizer_audit.json.</t>
        </is>
      </c>
      <c r="K7" s="4" t="inlineStr">
        <is>
          <t>Publish-ready HTML description free of boilerplate, with accurate options instructions, dimensions, and fabric specs.</t>
        </is>
      </c>
      <c r="L7" s="2" t="inlineStr">
        <is>
          <t>OPEN_NEEDS_REVISION</t>
        </is>
      </c>
    </row>
    <row r="8">
      <c r="A8" s="2" t="inlineStr">
        <is>
          <t>ISSUE-0007</t>
        </is>
      </c>
      <c r="B8" s="4" t="inlineStr">
        <is>
          <t>jeminise.com+personalized-basketball-player-front-blanket-with-name-and-number-258e7f9e2e-258e7f9e2e</t>
        </is>
      </c>
      <c r="C8" s="2" t="n"/>
      <c r="D8" s="2" t="inlineStr">
        <is>
          <t>MAJOR</t>
        </is>
      </c>
      <c r="E8" s="4" t="inlineStr">
        <is>
          <t>description_proposed_html</t>
        </is>
      </c>
      <c r="F8" s="4" t="inlineStr">
        <is>
          <t>&lt;p&gt;Custom Flaming Basketball Player Blanket features red and navy blanket with a front-facing dribbling player, flame effect, sample name and jersey number. The copy stays specific to the visible basketball artwork, product form and selectable options for this exact item.&lt;/p&gt;&lt;h3&gt;Design Details&lt;/h3&gt;&lt;ul&gt;&lt;li&gt;Artwork: red and navy blanket with a front-facing dribbling player, flame effect, sample name and jersey number.&lt;/li&gt;&lt;li&gt;Gallery images include the main mockup plus size, feature, care, bedding-type or lifestyle panels where shown.&lt;/li&gt;&lt;/ul&gt;&lt;h3&gt;Options and Fit&lt;/h3&gt;&lt;ul&gt;&lt;li&gt;Available option groups: Choose Your Size.&lt;/li&gt;&lt;li&gt;Personalization uses a optional Custom Name field, 1-200 characters. Personalization uses a optional Custom Number field, 1-20 characters. Names and numbers visible in mockups are sample artwork unless the matching input is entered.&lt;/li&gt;&lt;li&gt;Select the product type and size shown on the product page before checkout.&lt;/li&gt;&lt;/ul&gt;</t>
        </is>
      </c>
      <c r="G8" s="4" t="inlineStr">
        <is>
          <t>Shopify storefront live inspection, customizer audit, and description_proposed_html review.</t>
        </is>
      </c>
      <c r="H8" s="4" t="inlineStr">
        <is>
          <t>Product description contains internal prompt boilerplate leakage ('The copy stays specific...', 'Gallery images include...'), lacks essential specifications (material composition, exact dimensions, care guidelines), and has option discrepancies. Description incorrectly instructs shoppers to select 'product type and size' when blanket only offers 'Choose Your Size'.</t>
        </is>
      </c>
      <c r="I8" s="4" t="inlineStr">
        <is>
          <t>&lt;p&gt;Custom Flaming Basketball Player Blanket brings courtside excitement and cozy warmth to your bedroom or living space. Featuring action-packed front-facing dribbling basketball player engulfed in vibrant flame and fire effects, this custom sports throw blanket makes an exceptional personalized gift for basketball players, coaches, and dedicated fans.&lt;/p&gt;
&lt;h3&gt;Artwork &amp; Personalization&lt;/h3&gt;
&lt;ul&gt;
  &lt;li&gt;&lt;strong&gt;Design Motif:&lt;/strong&gt; Action-packed front-facing dribbling basketball player engulfed in vibrant flame and fire effects.&lt;/li&gt;
  &lt;li&gt;&lt;strong&gt;Custom Name Field:&lt;/strong&gt; Optional custom name entry (1–200 characters). Enter your recipient's name or leave blank/enter "No" if no name is desired.&lt;/li&gt;
  &lt;li&gt;&lt;strong&gt;Custom Number Field:&lt;/strong&gt; Optional jersey number entry (1–20 characters). Personalize with a favorite team or player number, or enter "No" for unnumbered artwork.&lt;/li&gt;
  &lt;li&gt;&lt;strong&gt;Mockup Preview Note:&lt;/strong&gt; Sample names and numbers shown in gallery mockups are illustrative examples and will be replaced with your exact custom text.&lt;/li&gt;
&lt;/ul&gt;
&lt;h3&gt;Premium Fabric Options&lt;/h3&gt;
&lt;ul&gt;
  &lt;li&gt;&lt;strong&gt;Ultra-Soft Fleece:&lt;/strong&gt; Lightweight, smooth-faced polyester fleece with vibrant full-color printing; ideal for all-season relaxing, road trips, and game day.&lt;/li&gt;
  &lt;li&gt;&lt;strong&gt;Plush Sherpa Fleece:&lt;/strong&gt; Premium dual-layer construction featuring a smooth printed front paired with a thick, fluffy faux-sherpa lining for maximum warmth.&lt;/li&gt;
&lt;/ul&gt;
&lt;h3&gt;Available Sizes&lt;/h3&gt;
&lt;ul&gt;
  &lt;li&gt;&lt;strong&gt;40" x 30" (Baby / Lap):&lt;/strong&gt; Compact size for cribs, strollers, toddlers, or lap coverage.&lt;/li&gt;
  &lt;li&gt;&lt;strong&gt;50" x 40" (Small / Youth):&lt;/strong&gt; Perfect throw size for kids, gaming chairs, or travel.&lt;/li&gt;
  &lt;li&gt;&lt;strong&gt;60" x 50" (Medium / Teen):&lt;/strong&gt; Versatile couch throw blanket for teens and movie nights.&lt;/li&gt;
  &lt;li&gt;&lt;strong&gt;80" x 60" (Large / Adult):&lt;/strong&gt; Generous full-coverage blanket for twin/queen beds and lounging.&lt;/li&gt;
&lt;/ul&gt;
&lt;h3&gt;Care Instructions&lt;/h3&gt;
&lt;ul&gt;
  &lt;li&gt;Machine wash cold separately on gentle cycle with mild detergent.&lt;/li&gt;
  &lt;li&gt;Tumble dry on low heat or hang air-dry without heat to maintain plush softness.&lt;/li&gt;
  &lt;li&gt;Do not bleach, do not iron, and avoid fabric softeners.&lt;/li&gt;
&lt;/ul&gt;</t>
        </is>
      </c>
      <c r="J8" s="4" t="inlineStr">
        <is>
          <t>Evidence files page.html, product.json, and customizer_audit.json.</t>
        </is>
      </c>
      <c r="K8" s="4" t="inlineStr">
        <is>
          <t>Publish-ready HTML description free of boilerplate, with accurate options instructions, dimensions, and fabric specs.</t>
        </is>
      </c>
      <c r="L8" s="2" t="inlineStr">
        <is>
          <t>OPEN_NEEDS_REVISION</t>
        </is>
      </c>
    </row>
    <row r="9">
      <c r="A9" s="2" t="inlineStr">
        <is>
          <t>ISSUE-0008</t>
        </is>
      </c>
      <c r="B9" s="4" t="inlineStr">
        <is>
          <t>jeminise.com+personalized-basketball-player-silhouette-blanket-with-name-and-number-35f8822fba-35f8822fba</t>
        </is>
      </c>
      <c r="C9" s="2" t="n"/>
      <c r="D9" s="2" t="inlineStr">
        <is>
          <t>MAJOR</t>
        </is>
      </c>
      <c r="E9" s="4" t="inlineStr">
        <is>
          <t>description_proposed_html</t>
        </is>
      </c>
      <c r="F9" s="4" t="inlineStr">
        <is>
          <t>&lt;p&gt;Custom Dribbling Silhouette Basketball Blanket features gray and orange blanket with a black dribbling player silhouette, oversized ball, sample name and jersey number. The copy stays specific to the visible basketball artwork, product form and selectable options for this exact item.&lt;/p&gt;&lt;h3&gt;Design Details&lt;/h3&gt;&lt;ul&gt;&lt;li&gt;Artwork: gray and orange blanket with a black dribbling player silhouette, oversized ball, sample name and jersey number.&lt;/li&gt;&lt;li&gt;Gallery images include the main mockup plus size, feature, care, bedding-type or lifestyle panels where shown.&lt;/li&gt;&lt;/ul&gt;&lt;h3&gt;Options and Fit&lt;/h3&gt;&lt;ul&gt;&lt;li&gt;Available option groups: Choose Your Size.&lt;/li&gt;&lt;li&gt;Personalization uses a optional Custom Name field, 1-200 characters. Personalization uses a optional Custom Number field, 1-20 characters. Names and numbers visible in mockups are sample artwork unless the matching input is entered.&lt;/li&gt;&lt;li&gt;Select the product type and size shown on the product page before checkout.&lt;/li&gt;&lt;/ul&gt;</t>
        </is>
      </c>
      <c r="G9" s="4" t="inlineStr">
        <is>
          <t>Shopify storefront live inspection, customizer audit, and description_proposed_html review.</t>
        </is>
      </c>
      <c r="H9" s="4" t="inlineStr">
        <is>
          <t>Product description contains internal prompt boilerplate leakage ('The copy stays specific...', 'Gallery images include...'), lacks essential specifications (material composition, exact dimensions, care guidelines), and has option discrepancies. Description incorrectly instructs shoppers to select 'product type and size' when blanket only offers 'Choose Your Size'.</t>
        </is>
      </c>
      <c r="I9" s="4" t="inlineStr">
        <is>
          <t>&lt;p&gt;Custom Dribbling Silhouette Basketball Blanket brings courtside excitement and cozy warmth to your bedroom or living space. Featuring modern minimalist black dribbler silhouette against sleek gray and orange court graphics with an oversized ball, this custom sports throw blanket makes an exceptional personalized gift for basketball players, coaches, and dedicated fans.&lt;/p&gt;
&lt;h3&gt;Artwork &amp; Personalization&lt;/h3&gt;
&lt;ul&gt;
  &lt;li&gt;&lt;strong&gt;Design Motif:&lt;/strong&gt; Modern minimalist black dribbler silhouette against sleek gray and orange court graphics with an oversized ball.&lt;/li&gt;
  &lt;li&gt;&lt;strong&gt;Custom Name Field:&lt;/strong&gt; Optional custom name entry (1–200 characters). Enter your recipient's name or leave blank/enter "No" if no name is desired.&lt;/li&gt;
  &lt;li&gt;&lt;strong&gt;Custom Number Field:&lt;/strong&gt; Optional jersey number entry (1–20 characters). Personalize with a favorite team or player number, or enter "No" for unnumbered artwork.&lt;/li&gt;
  &lt;li&gt;&lt;strong&gt;Mockup Preview Note:&lt;/strong&gt; Sample names and numbers shown in gallery mockups are illustrative examples and will be replaced with your exact custom text.&lt;/li&gt;
&lt;/ul&gt;
&lt;h3&gt;Premium Fabric Options&lt;/h3&gt;
&lt;ul&gt;
  &lt;li&gt;&lt;strong&gt;Ultra-Soft Fleece:&lt;/strong&gt; Lightweight, smooth-faced polyester fleece with vibrant full-color printing; ideal for all-season relaxing, road trips, and game day.&lt;/li&gt;
  &lt;li&gt;&lt;strong&gt;Plush Sherpa Fleece:&lt;/strong&gt; Premium dual-layer construction featuring a smooth printed front paired with a thick, fluffy faux-sherpa lining for maximum warmth.&lt;/li&gt;
&lt;/ul&gt;
&lt;h3&gt;Available Sizes&lt;/h3&gt;
&lt;ul&gt;
  &lt;li&gt;&lt;strong&gt;40" x 30" (Baby / Lap):&lt;/strong&gt; Compact size for cribs, strollers, toddlers, or lap coverage.&lt;/li&gt;
  &lt;li&gt;&lt;strong&gt;50" x 40" (Small / Youth):&lt;/strong&gt; Perfect throw size for kids, gaming chairs, or travel.&lt;/li&gt;
  &lt;li&gt;&lt;strong&gt;60" x 50" (Medium / Teen):&lt;/strong&gt; Versatile couch throw blanket for teens and movie nights.&lt;/li&gt;
  &lt;li&gt;&lt;strong&gt;80" x 60" (Large / Adult):&lt;/strong&gt; Generous full-coverage blanket for twin/queen beds and lounging.&lt;/li&gt;
&lt;/ul&gt;
&lt;h3&gt;Care Instructions&lt;/h3&gt;
&lt;ul&gt;
  &lt;li&gt;Machine wash cold separately on gentle cycle with mild detergent.&lt;/li&gt;
  &lt;li&gt;Tumble dry on low heat or hang air-dry without heat to maintain plush softness.&lt;/li&gt;
  &lt;li&gt;Do not bleach, do not iron, and avoid fabric softeners.&lt;/li&gt;
&lt;/ul&gt;</t>
        </is>
      </c>
      <c r="J9" s="4" t="inlineStr">
        <is>
          <t>Evidence files page.html, product.json, and customizer_audit.json.</t>
        </is>
      </c>
      <c r="K9" s="4" t="inlineStr">
        <is>
          <t>Publish-ready HTML description free of boilerplate, with accurate options instructions, dimensions, and fabric specs.</t>
        </is>
      </c>
      <c r="L9" s="2" t="inlineStr">
        <is>
          <t>OPEN_NEEDS_REVISION</t>
        </is>
      </c>
    </row>
    <row r="10">
      <c r="A10" s="2" t="inlineStr">
        <is>
          <t>ISSUE-0009</t>
        </is>
      </c>
      <c r="B10" s="4" t="inlineStr">
        <is>
          <t>jeminise.com+personalized-basketball-players-and-hoops-comforter-with-name-and-number-ff13bad888-ff13bad888</t>
        </is>
      </c>
      <c r="C10" s="2" t="n"/>
      <c r="D10" s="2" t="inlineStr">
        <is>
          <t>MAJOR</t>
        </is>
      </c>
      <c r="E10" s="4" t="inlineStr">
        <is>
          <t>description_proposed_html</t>
        </is>
      </c>
      <c r="F10" s="4" t="inlineStr">
        <is>
          <t>&lt;p&gt;Custom Basketball Collage Comforter features black, gray and orange comforter collage with basketballs, hoops, player silhouettes, sample name and jersey number. The copy stays specific to the visible basketball artwork, product form and selectable options for this exact item.&lt;/p&gt;&lt;h3&gt;Design Details&lt;/h3&gt;&lt;ul&gt;&lt;li&gt;Artwork: black, gray and orange comforter collage with basketballs, hoops, player silhouettes, sample name and jersey number.&lt;/li&gt;&lt;li&gt;Gallery images include the main mockup plus size, feature, care, bedding-type or lifestyle panels where shown.&lt;/li&gt;&lt;/ul&gt;&lt;h3&gt;Options and Fit&lt;/h3&gt;&lt;ul&gt;&lt;li&gt;Available option groups: Choose Product Type + Size, Choose Pillowcases, Additional Sheet Cover (Flat Sheet).&lt;/li&gt;&lt;li&gt;Personalization uses a required Customize Your Name field, 1-30 characters. Personalization uses a required Customize Your Number field, 1-5 characters. Names and numbers visible in mockups are sample artwork unless the matching input is entered.&lt;/li&gt;&lt;li&gt;Select the product type and size shown on the product page before checkout.&lt;/li&gt;&lt;/ul&gt;</t>
        </is>
      </c>
      <c r="G10" s="4" t="inlineStr">
        <is>
          <t>Shopify storefront live inspection, customizer audit, and description_proposed_html review.</t>
        </is>
      </c>
      <c r="H10" s="4" t="inlineStr">
        <is>
          <t>Product description contains internal prompt boilerplate leakage ('The copy stays specific...', 'Gallery images include...'), lacks essential specifications (material composition, exact dimensions, care guidelines), and has option discrepancies.</t>
        </is>
      </c>
      <c r="I10" s="4" t="inlineStr">
        <is>
          <t>&lt;p&gt;Custom Basketball Collage Comforter transforms any bedroom into the ultimate sports retreat. Featuring dynamic multi-panel basketball collage showcasing basketballs, hoops, backboards, and athletic player silhouettes, this personalized bedding ensemble delivers bold courtside style and all-season sleeping comfort.&lt;/p&gt;
&lt;h3&gt;Design &amp; Customization&lt;/h3&gt;
&lt;ul&gt;
  &lt;li&gt;&lt;strong&gt;Artwork Motif:&lt;/strong&gt; Dynamic multi-panel basketball collage showcasing basketballs, hoops, backboards, and athletic player silhouettes. High-definition 3D digital print on ultra-soft polyester microfiber.&lt;/li&gt;
  &lt;li&gt;&lt;strong&gt;Customize Your Name:&lt;/strong&gt; Required personalization field (1–30 characters). Enter the player's name or enter "NO" if you prefer uncustomized bedding.&lt;/li&gt;
  &lt;li&gt;&lt;strong&gt;Customize Your Number:&lt;/strong&gt; Required jersey number field (1–5 characters, e.g., "10" or "23"). Enter "NO" for a clean graphic without numbers.&lt;/li&gt;
  &lt;li&gt;&lt;strong&gt;Sample Display Note:&lt;/strong&gt; Names and numbers displayed in gallery mockups demonstrate custom layout placement and will be replaced with your submission.&lt;/li&gt;
&lt;/ul&gt;
&lt;h3&gt;Bedding Type &amp; Configuration Options&lt;/h3&gt;
&lt;ul&gt;
  &lt;li&gt;&lt;strong&gt;Duvet Cover:&lt;/strong&gt; Lightweight protective cover equipped with a concealed bottom zipper closure and interior corner ties to secure your duvet insert (insert not included).&lt;/li&gt;
  &lt;li&gt;&lt;strong&gt;Comforter:&lt;/strong&gt; Ready-to-use plush bedspread filled with lightweight down-alternative microfiber batting for cozy, year-round warmth.&lt;/li&gt;
  &lt;li&gt;&lt;strong&gt;Available Bed Sizes:&lt;/strong&gt; Twin (68" x 88"), Full (78" x 88"), Queen (88" x 88"), and King (104" x 88").&lt;/li&gt;
  &lt;li&gt;&lt;strong&gt;Optional Pillowcases:&lt;/strong&gt; Matching pillowcases are optional add-ons selectable via 'Choose Pillowcases' (None, 1, or 2 pillowcases) and are not included when 'None' is selected.&lt;/li&gt;
  &lt;li&gt;&lt;strong&gt;Optional Sheet Cover:&lt;/strong&gt; Add an optional flat sheet matching your selected bedding dimensions via 'Additional Sheet Cover (Flat Sheet)'.&lt;/li&gt;
&lt;/ul&gt;
&lt;h3&gt;Material &amp; Care&lt;/h3&gt;
&lt;ul&gt;
  &lt;li&gt;100% premium brushed polyester microfiber; breathable, hypoallergenic, and wrinkle-resistant.&lt;/li&gt;
  &lt;li&gt;Machine wash cold on gentle cycle; tumble dry low or air dry. Do not bleach or dry clean.&lt;/li&gt;
&lt;/ul&gt;</t>
        </is>
      </c>
      <c r="J10" s="4" t="inlineStr">
        <is>
          <t>Evidence files page.html, product.json, and customizer_audit.json.</t>
        </is>
      </c>
      <c r="K10" s="4" t="inlineStr">
        <is>
          <t>Publish-ready HTML description free of boilerplate, with accurate options instructions, dimensions, and fabric specs.</t>
        </is>
      </c>
      <c r="L10" s="2" t="inlineStr">
        <is>
          <t>OPEN_NEEDS_REVISION</t>
        </is>
      </c>
    </row>
    <row r="11">
      <c r="A11" s="2" t="inlineStr">
        <is>
          <t>ISSUE-0010</t>
        </is>
      </c>
      <c r="B11" s="4" t="inlineStr">
        <is>
          <t>jeminise.com+personalized-basketball-shattered-glass-comforter-with-name-and-number-353fc0c17e-353fc0c17e</t>
        </is>
      </c>
      <c r="C11" s="2" t="n"/>
      <c r="D11" s="2" t="inlineStr">
        <is>
          <t>MAJOR</t>
        </is>
      </c>
      <c r="E11" s="4" t="inlineStr">
        <is>
          <t>description_proposed_html</t>
        </is>
      </c>
      <c r="F11" s="4" t="inlineStr">
        <is>
          <t>&lt;p&gt;Custom Shattered Glass Basketball Comforter features dark shattered-glass comforter with a large basketball, script sample name and jersey number on pillow shams. The copy stays specific to the visible basketball artwork, product form and selectable options for this exact item.&lt;/p&gt;&lt;h3&gt;Design Details&lt;/h3&gt;&lt;ul&gt;&lt;li&gt;Artwork: dark shattered-glass comforter with a large basketball, script sample name and jersey number on pillow shams.&lt;/li&gt;&lt;li&gt;Gallery images include the main mockup plus size, feature, care, bedding-type or lifestyle panels where shown.&lt;/li&gt;&lt;/ul&gt;&lt;h3&gt;Options and Fit&lt;/h3&gt;&lt;ul&gt;&lt;li&gt;Available option groups: Choose Product Type + Size, Choose Pillowcases, Additional Sheet Cover (Flat Sheet).&lt;/li&gt;&lt;li&gt;Personalization uses a required Customize Your Name field, 1-30 characters. Personalization uses a required Customize Your Number field, 1-5 characters. Names and numbers visible in mockups are sample artwork unless the matching input is entered.&lt;/li&gt;&lt;li&gt;Select the product type and size shown on the product page before checkout.&lt;/li&gt;&lt;/ul&gt;</t>
        </is>
      </c>
      <c r="G11" s="4" t="inlineStr">
        <is>
          <t>Shopify storefront live inspection, customizer audit, and description_proposed_html review.</t>
        </is>
      </c>
      <c r="H11" s="4" t="inlineStr">
        <is>
          <t>Product description contains internal prompt boilerplate leakage ('The copy stays specific...', 'Gallery images include...'), lacks essential specifications (material composition, exact dimensions, care guidelines), and has option discrepancies. Description fails to clarify that pillow shams are optional add-ons and not included by default.</t>
        </is>
      </c>
      <c r="I11" s="4" t="inlineStr">
        <is>
          <t>&lt;p&gt;Custom Shattered Glass Basketball Comforter transforms any bedroom into the ultimate sports retreat. Featuring dramatic 3D shattered-glass explosion artwork centered around a basketball bursting through broken glass, this personalized bedding ensemble delivers bold courtside style and all-season sleeping comfort.&lt;/p&gt;
&lt;h3&gt;Design &amp; Customization&lt;/h3&gt;
&lt;ul&gt;
  &lt;li&gt;&lt;strong&gt;Artwork Motif:&lt;/strong&gt; Dramatic 3d shattered-glass explosion artwork centered around a basketball bursting through broken glass. High-definition 3D digital print on ultra-soft polyester microfiber.&lt;/li&gt;
  &lt;li&gt;&lt;strong&gt;Customize Your Name:&lt;/strong&gt; Required personalization field (1–30 characters). Enter the player's name or enter "NO" if you prefer uncustomized bedding.&lt;/li&gt;
  &lt;li&gt;&lt;strong&gt;Customize Your Number:&lt;/strong&gt; Required jersey number field (1–5 characters, e.g., "10" or "23"). Enter "NO" for a clean graphic without numbers.&lt;/li&gt;
  &lt;li&gt;&lt;strong&gt;Sample Display Note:&lt;/strong&gt; Names and numbers displayed in gallery mockups demonstrate custom layout placement and will be replaced with your submission.&lt;/li&gt;
&lt;/ul&gt;
&lt;h3&gt;Bedding Type &amp; Configuration Options&lt;/h3&gt;
&lt;ul&gt;
  &lt;li&gt;&lt;strong&gt;Duvet Cover:&lt;/strong&gt; Lightweight protective cover equipped with a concealed bottom zipper closure and interior corner ties to secure your duvet insert (insert not included).&lt;/li&gt;
  &lt;li&gt;&lt;strong&gt;Comforter:&lt;/strong&gt; Ready-to-use plush bedspread filled with lightweight down-alternative microfiber batting for cozy, year-round warmth.&lt;/li&gt;
  &lt;li&gt;&lt;strong&gt;Available Bed Sizes:&lt;/strong&gt; Twin (68" x 88"), Full (78" x 88"), Queen (88" x 88"), and King (104" x 88").&lt;/li&gt;
  &lt;li&gt;&lt;strong&gt;Optional Pillow Shams:&lt;/strong&gt; Pillow shams with matching artwork and custom personalization are optional add-ons available via the 'Choose Pillowcases' menu (None, 1, or 2 pillowcases). Pillow shams are not included by default.&lt;/li&gt;
  &lt;li&gt;&lt;strong&gt;Optional Sheet Cover:&lt;/strong&gt; Add an optional flat sheet matching your selected bedding dimensions via 'Additional Sheet Cover (Flat Sheet)'.&lt;/li&gt;
&lt;/ul&gt;
&lt;h3&gt;Material &amp; Care&lt;/h3&gt;
&lt;ul&gt;
  &lt;li&gt;100% premium brushed polyester microfiber; breathable, hypoallergenic, and wrinkle-resistant.&lt;/li&gt;
  &lt;li&gt;Machine wash cold on gentle cycle; tumble dry low or air dry. Do not bleach or dry clean.&lt;/li&gt;
&lt;/ul&gt;</t>
        </is>
      </c>
      <c r="J11" s="4" t="inlineStr">
        <is>
          <t>Evidence files page.html, product.json, and customizer_audit.json.</t>
        </is>
      </c>
      <c r="K11" s="4" t="inlineStr">
        <is>
          <t>Publish-ready HTML description free of boilerplate, with accurate options instructions, dimensions, and fabric specs.</t>
        </is>
      </c>
      <c r="L11" s="2" t="inlineStr">
        <is>
          <t>OPEN_NEEDS_REVISION</t>
        </is>
      </c>
    </row>
    <row r="12">
      <c r="A12" s="2" t="inlineStr">
        <is>
          <t>ISSUE-0011</t>
        </is>
      </c>
      <c r="B12" s="4" t="inlineStr">
        <is>
          <t>jeminise.com+personalized-basketball-hoop-with-net-close-up-blanket-with-name-and-number-cc637164fc-cc637164fc</t>
        </is>
      </c>
      <c r="C12" s="2" t="n"/>
      <c r="D12" s="2" t="inlineStr">
        <is>
          <t>MINOR</t>
        </is>
      </c>
      <c r="E12" s="4" t="inlineStr">
        <is>
          <t>meta_description_seo</t>
        </is>
      </c>
      <c r="F12" s="4" t="inlineStr">
        <is>
          <t>Shop custom basketball hoop blanket with dark blanket artwork with a close-up glowing basketball hoop, white net, sample name and jersey number, selectable</t>
        </is>
      </c>
      <c r="G12" s="4" t="inlineStr">
        <is>
          <t>Character length exactly 155; ends abruptly at 'ber, selectable'.</t>
        </is>
      </c>
      <c r="H12" s="4" t="inlineStr">
        <is>
          <t>Meta description hard-truncated at exactly 155 characters ('y number, selectable'), cutting off mid-word or leaving an incomplete clause.</t>
        </is>
      </c>
      <c r="I12" s="4" t="inlineStr">
        <is>
          <t>Custom basketball hoop blanket featuring glowing rim and net artwork. Personalize with your player name and jersey number in cozy fleece or plush sherpa.</t>
        </is>
      </c>
      <c r="J12" s="4" t="inlineStr">
        <is>
          <t>SEO_Products meta_description_seo snapshot character count (155) and string analysis.</t>
        </is>
      </c>
      <c r="K12" s="4" t="inlineStr">
        <is>
          <t>Complete, grammatically sound sentence between 145-165 characters ending with proper punctuation.</t>
        </is>
      </c>
      <c r="L12" s="2" t="inlineStr">
        <is>
          <t>OPEN_NEEDS_REVISION</t>
        </is>
      </c>
    </row>
    <row r="13">
      <c r="A13" s="2" t="inlineStr">
        <is>
          <t>ISSUE-0012</t>
        </is>
      </c>
      <c r="B13" s="4" t="inlineStr">
        <is>
          <t>jeminise.com+personalized-basketball-next-to-athletic-shoes-blanket-with-name-and-number-dfbf4fde2f-dfbf4fde2f</t>
        </is>
      </c>
      <c r="C13" s="2" t="n"/>
      <c r="D13" s="2" t="inlineStr">
        <is>
          <t>MINOR</t>
        </is>
      </c>
      <c r="E13" s="4" t="inlineStr">
        <is>
          <t>meta_description_seo</t>
        </is>
      </c>
      <c r="F13" s="4" t="inlineStr">
        <is>
          <t>Shop custom basketball shoes blanket with dark blanket artwork with a basketball beside worn athletic shoes, script sample name and jersey number, selectab</t>
        </is>
      </c>
      <c r="G13" s="4" t="inlineStr">
        <is>
          <t>Character length exactly 155; ends abruptly at 'umber, selectab'.</t>
        </is>
      </c>
      <c r="H13" s="4" t="inlineStr">
        <is>
          <t>Meta description hard-truncated at exactly 155 characters ('sey number, selectab'), cutting off mid-word or leaving an incomplete clause.</t>
        </is>
      </c>
      <c r="I13" s="4" t="inlineStr">
        <is>
          <t>Personalized basketball shoes blanket showcasing court sneakers and game ball graphics. Add custom name and number in ultra-soft fleece or warm sherpa.</t>
        </is>
      </c>
      <c r="J13" s="4" t="inlineStr">
        <is>
          <t>SEO_Products meta_description_seo snapshot character count (155) and string analysis.</t>
        </is>
      </c>
      <c r="K13" s="4" t="inlineStr">
        <is>
          <t>Complete, grammatically sound sentence between 145-165 characters ending with proper punctuation.</t>
        </is>
      </c>
      <c r="L13" s="2" t="inlineStr">
        <is>
          <t>OPEN_NEEDS_REVISION</t>
        </is>
      </c>
    </row>
    <row r="14">
      <c r="A14" s="2" t="inlineStr">
        <is>
          <t>ISSUE-0013</t>
        </is>
      </c>
      <c r="B14" s="4" t="inlineStr">
        <is>
          <t>jeminise.com+personalized-basketball-on-court-lines-comforter-name-number-303fbd50f6-303fbd50f6</t>
        </is>
      </c>
      <c r="C14" s="2" t="n"/>
      <c r="D14" s="2" t="inlineStr">
        <is>
          <t>MINOR</t>
        </is>
      </c>
      <c r="E14" s="4" t="inlineStr">
        <is>
          <t>meta_description_seo</t>
        </is>
      </c>
      <c r="F14" s="4" t="inlineStr">
        <is>
          <t>Shop custom court lines basketball comforter with black comforter with gold court lines, basketball graphics, cracked texture, sample name and jersey numbe</t>
        </is>
      </c>
      <c r="G14" s="4" t="inlineStr">
        <is>
          <t>Character length exactly 155; ends abruptly at 'nd jersey numbe'.</t>
        </is>
      </c>
      <c r="H14" s="4" t="inlineStr">
        <is>
          <t>Meta description hard-truncated at exactly 155 characters ('ame and jersey numbe'), cutting off mid-word or leaving an incomplete clause.</t>
        </is>
      </c>
      <c r="I14" s="4" t="inlineStr">
        <is>
          <t>Custom basketball comforter featuring gold court lines and cracked texture artwork. Personalize with your name and jersey number on soft microfiber bedding.</t>
        </is>
      </c>
      <c r="J14" s="4" t="inlineStr">
        <is>
          <t>SEO_Products meta_description_seo snapshot character count (155) and string analysis.</t>
        </is>
      </c>
      <c r="K14" s="4" t="inlineStr">
        <is>
          <t>Complete, grammatically sound sentence between 145-165 characters ending with proper punctuation.</t>
        </is>
      </c>
      <c r="L14" s="2" t="inlineStr">
        <is>
          <t>OPEN_NEEDS_REVISION</t>
        </is>
      </c>
    </row>
    <row r="15">
      <c r="A15" s="2" t="inlineStr">
        <is>
          <t>ISSUE-0014</t>
        </is>
      </c>
      <c r="B15" s="4" t="inlineStr">
        <is>
          <t>jeminise.com+personalized-basketball-on-court-perspective-comforter-with-name-and-number-1acfbe4260-1acfbe4260</t>
        </is>
      </c>
      <c r="C15" s="2" t="n"/>
      <c r="D15" s="2" t="inlineStr">
        <is>
          <t>MINOR</t>
        </is>
      </c>
      <c r="E15" s="4" t="inlineStr">
        <is>
          <t>meta_description_seo</t>
        </is>
      </c>
      <c r="F15" s="4" t="inlineStr">
        <is>
          <t>Shop custom basketball court perspective comforter with black and red court-perspective comforter with a large basketball, sample name and jersey number, s</t>
        </is>
      </c>
      <c r="G15" s="4" t="inlineStr">
        <is>
          <t>Character length exactly 155; ends abruptly at 'ersey number, s'.</t>
        </is>
      </c>
      <c r="H15" s="4" t="inlineStr">
        <is>
          <t>Meta description hard-truncated at exactly 155 characters ('and jersey number, s'), cutting off mid-word or leaving an incomplete clause.</t>
        </is>
      </c>
      <c r="I15" s="4" t="inlineStr">
        <is>
          <t>Custom basketball court perspective comforter in vibrant black and red sports styling. Personalize with name and jersey number on premium microfiber bedding.</t>
        </is>
      </c>
      <c r="J15" s="4" t="inlineStr">
        <is>
          <t>SEO_Products meta_description_seo snapshot character count (155) and string analysis.</t>
        </is>
      </c>
      <c r="K15" s="4" t="inlineStr">
        <is>
          <t>Complete, grammatically sound sentence between 145-165 characters ending with proper punctuation.</t>
        </is>
      </c>
      <c r="L15" s="2" t="inlineStr">
        <is>
          <t>OPEN_NEEDS_REVISION</t>
        </is>
      </c>
    </row>
    <row r="16">
      <c r="A16" s="2" t="inlineStr">
        <is>
          <t>ISSUE-0015</t>
        </is>
      </c>
      <c r="B16" s="4" t="inlineStr">
        <is>
          <t>jeminise.com+personalized-basketball-on-hardwood-court-comforter-with-name-and-number-8aee799947-8aee799947</t>
        </is>
      </c>
      <c r="C16" s="2" t="n"/>
      <c r="D16" s="2" t="inlineStr">
        <is>
          <t>MINOR</t>
        </is>
      </c>
      <c r="E16" s="4" t="inlineStr">
        <is>
          <t>meta_description_seo</t>
        </is>
      </c>
      <c r="F16" s="4" t="inlineStr">
        <is>
          <t>Shop custom hardwood court basketball comforter with blue and gold hardwood-court comforter with a large basketball, sample name and jersey number, selecta</t>
        </is>
      </c>
      <c r="G16" s="4" t="inlineStr">
        <is>
          <t>Character length exactly 155; ends abruptly at 'number, selecta'.</t>
        </is>
      </c>
      <c r="H16" s="4" t="inlineStr">
        <is>
          <t>Meta description hard-truncated at exactly 155 characters ('rsey number, selecta'), cutting off mid-word or leaving an incomplete clause.</t>
        </is>
      </c>
      <c r="I16" s="4" t="inlineStr">
        <is>
          <t>Custom hardwood court basketball comforter with blue and gold arena artwork. Personalize with player name and number on ultra-soft polyester microfiber.</t>
        </is>
      </c>
      <c r="J16" s="4" t="inlineStr">
        <is>
          <t>SEO_Products meta_description_seo snapshot character count (155) and string analysis.</t>
        </is>
      </c>
      <c r="K16" s="4" t="inlineStr">
        <is>
          <t>Complete, grammatically sound sentence between 145-165 characters ending with proper punctuation.</t>
        </is>
      </c>
      <c r="L16" s="2" t="inlineStr">
        <is>
          <t>OPEN_NEEDS_REVISION</t>
        </is>
      </c>
    </row>
    <row r="17">
      <c r="A17" s="2" t="inlineStr">
        <is>
          <t>ISSUE-0016</t>
        </is>
      </c>
      <c r="B17" s="4" t="inlineStr">
        <is>
          <t>jeminise.com+personalized-neon-basketball-player-blanket-788fb6ae63-788fb6ae63</t>
        </is>
      </c>
      <c r="C17" s="2" t="n"/>
      <c r="D17" s="2" t="inlineStr">
        <is>
          <t>MINOR</t>
        </is>
      </c>
      <c r="E17" s="4" t="inlineStr">
        <is>
          <t>meta_description_seo</t>
        </is>
      </c>
      <c r="F17" s="4" t="inlineStr">
        <is>
          <t>Shop custom neon basketball player blanket with dark blanket with neon-style dunking player silhouette, hoop, sample name and jersey number, selectable siz</t>
        </is>
      </c>
      <c r="G17" s="4" t="inlineStr">
        <is>
          <t>Character length exactly 155; ends abruptly at ' selectable siz'.</t>
        </is>
      </c>
      <c r="H17" s="4" t="inlineStr">
        <is>
          <t>Meta description hard-truncated at exactly 155 characters ('mber, selectable siz'), cutting off mid-word or leaving an incomplete clause.</t>
        </is>
      </c>
      <c r="I17" s="4" t="inlineStr">
        <is>
          <t>Custom neon basketball player blanket featuring a vibrant dunking silhouette and hoop graphic. Add your personalized name and number in fleece or sherpa.</t>
        </is>
      </c>
      <c r="J17" s="4" t="inlineStr">
        <is>
          <t>SEO_Products meta_description_seo snapshot character count (155) and string analysis.</t>
        </is>
      </c>
      <c r="K17" s="4" t="inlineStr">
        <is>
          <t>Complete, grammatically sound sentence between 145-165 characters ending with proper punctuation.</t>
        </is>
      </c>
      <c r="L17" s="2" t="inlineStr">
        <is>
          <t>OPEN_NEEDS_REVISION</t>
        </is>
      </c>
    </row>
    <row r="18">
      <c r="A18" s="2" t="inlineStr">
        <is>
          <t>ISSUE-0017</t>
        </is>
      </c>
      <c r="B18" s="4" t="inlineStr">
        <is>
          <t>jeminise.com+personalized-basketball-player-front-blanket-with-name-and-number-258e7f9e2e-258e7f9e2e</t>
        </is>
      </c>
      <c r="C18" s="2" t="n"/>
      <c r="D18" s="2" t="inlineStr">
        <is>
          <t>MINOR</t>
        </is>
      </c>
      <c r="E18" s="4" t="inlineStr">
        <is>
          <t>meta_description_seo</t>
        </is>
      </c>
      <c r="F18" s="4" t="inlineStr">
        <is>
          <t xml:space="preserve">Shop custom flaming basketball player blanket with red and navy blanket with a front-facing dribbling player, flame effect, sample name and jersey number, </t>
        </is>
      </c>
      <c r="G18" s="4" t="inlineStr">
        <is>
          <t>Character length exactly 155; ends abruptly at 'jersey number, '.</t>
        </is>
      </c>
      <c r="H18" s="4" t="inlineStr">
        <is>
          <t>Meta description hard-truncated at exactly 155 characters (' and jersey number, '), cutting off mid-word or leaving an incomplete clause.</t>
        </is>
      </c>
      <c r="I18" s="4" t="inlineStr">
        <is>
          <t>Custom flaming basketball player blanket with dynamic dribbler artwork and fire effects. Personalize with your name and number in cozy fleece or sherpa.</t>
        </is>
      </c>
      <c r="J18" s="4" t="inlineStr">
        <is>
          <t>SEO_Products meta_description_seo snapshot character count (155) and string analysis.</t>
        </is>
      </c>
      <c r="K18" s="4" t="inlineStr">
        <is>
          <t>Complete, grammatically sound sentence between 145-165 characters ending with proper punctuation.</t>
        </is>
      </c>
      <c r="L18" s="2" t="inlineStr">
        <is>
          <t>OPEN_NEEDS_REVISION</t>
        </is>
      </c>
    </row>
    <row r="19">
      <c r="A19" s="2" t="inlineStr">
        <is>
          <t>ISSUE-0018</t>
        </is>
      </c>
      <c r="B19" s="4" t="inlineStr">
        <is>
          <t>jeminise.com+personalized-basketball-player-silhouette-blanket-with-name-and-number-35f8822fba-35f8822fba</t>
        </is>
      </c>
      <c r="C19" s="2" t="n"/>
      <c r="D19" s="2" t="inlineStr">
        <is>
          <t>MINOR</t>
        </is>
      </c>
      <c r="E19" s="4" t="inlineStr">
        <is>
          <t>meta_description_seo</t>
        </is>
      </c>
      <c r="F19" s="4" t="inlineStr">
        <is>
          <t xml:space="preserve">Shop custom dribbling silhouette basketball blanket with gray and orange blanket with a black dribbling player silhouette, oversized ball, sample name and </t>
        </is>
      </c>
      <c r="G19" s="4" t="inlineStr">
        <is>
          <t>Character length exactly 155; ends abruptly at 'ample name and '.</t>
        </is>
      </c>
      <c r="H19" s="4" t="inlineStr">
        <is>
          <t>Meta description hard-truncated at exactly 155 characters ('ll, sample name and '), cutting off mid-word or leaving an incomplete clause.</t>
        </is>
      </c>
      <c r="I19" s="4" t="inlineStr">
        <is>
          <t>Custom dribbling silhouette basketball blanket with modern gray and orange graphics. Add player name and number on machine-washable fleece or sherpa throw.</t>
        </is>
      </c>
      <c r="J19" s="4" t="inlineStr">
        <is>
          <t>SEO_Products meta_description_seo snapshot character count (155) and string analysis.</t>
        </is>
      </c>
      <c r="K19" s="4" t="inlineStr">
        <is>
          <t>Complete, grammatically sound sentence between 145-165 characters ending with proper punctuation.</t>
        </is>
      </c>
      <c r="L19" s="2" t="inlineStr">
        <is>
          <t>OPEN_NEEDS_REVISION</t>
        </is>
      </c>
    </row>
    <row r="20">
      <c r="A20" s="2" t="inlineStr">
        <is>
          <t>ISSUE-0019</t>
        </is>
      </c>
      <c r="B20" s="4" t="inlineStr">
        <is>
          <t>jeminise.com+personalized-basketball-players-and-hoops-comforter-with-name-and-number-ff13bad888-ff13bad888</t>
        </is>
      </c>
      <c r="C20" s="2" t="n"/>
      <c r="D20" s="2" t="inlineStr">
        <is>
          <t>MINOR</t>
        </is>
      </c>
      <c r="E20" s="4" t="inlineStr">
        <is>
          <t>meta_description_seo</t>
        </is>
      </c>
      <c r="F20" s="4" t="inlineStr">
        <is>
          <t xml:space="preserve">Shop custom basketball collage comforter with black, gray and orange comforter collage with basketballs, hoops, player silhouettes, sample name and jersey </t>
        </is>
      </c>
      <c r="G20" s="4" t="inlineStr">
        <is>
          <t>Character length exactly 155; ends abruptly at 'ame and jersey '.</t>
        </is>
      </c>
      <c r="H20" s="4" t="inlineStr">
        <is>
          <t>Meta description hard-truncated at exactly 155 characters ('ple name and jersey '), cutting off mid-word or leaving an incomplete clause.</t>
        </is>
      </c>
      <c r="I20" s="4" t="inlineStr">
        <is>
          <t>Custom basketball collage comforter featuring hoops, basketballs, and player silhouettes. Personalize with name and jersey number on soft microfiber bedding.</t>
        </is>
      </c>
      <c r="J20" s="4" t="inlineStr">
        <is>
          <t>SEO_Products meta_description_seo snapshot character count (155) and string analysis.</t>
        </is>
      </c>
      <c r="K20" s="4" t="inlineStr">
        <is>
          <t>Complete, grammatically sound sentence between 145-165 characters ending with proper punctuation.</t>
        </is>
      </c>
      <c r="L20" s="2" t="inlineStr">
        <is>
          <t>OPEN_NEEDS_REVISION</t>
        </is>
      </c>
    </row>
    <row r="21">
      <c r="A21" s="2" t="inlineStr">
        <is>
          <t>ISSUE-0020</t>
        </is>
      </c>
      <c r="B21" s="4" t="inlineStr">
        <is>
          <t>jeminise.com+personalized-basketball-shattered-glass-comforter-with-name-and-number-353fc0c17e-353fc0c17e</t>
        </is>
      </c>
      <c r="C21" s="2" t="n"/>
      <c r="D21" s="2" t="inlineStr">
        <is>
          <t>MINOR</t>
        </is>
      </c>
      <c r="E21" s="4" t="inlineStr">
        <is>
          <t>meta_description_seo</t>
        </is>
      </c>
      <c r="F21" s="4" t="inlineStr">
        <is>
          <t>Shop custom shattered glass basketball comforter with dark shattered-glass comforter with a large basketball, script sample name and jersey number on pillo</t>
        </is>
      </c>
      <c r="G21" s="4" t="inlineStr">
        <is>
          <t>Character length exactly 155; ends abruptly at 'number on pillo'.</t>
        </is>
      </c>
      <c r="H21" s="4" t="inlineStr">
        <is>
          <t>Meta description hard-truncated at exactly 155 characters ('rsey number on pillo'), cutting off mid-word or leaving an incomplete clause.</t>
        </is>
      </c>
      <c r="I21" s="4" t="inlineStr">
        <is>
          <t>Custom shattered glass basketball comforter with 3D cracked artwork. Personalize with name and number; optional matching pillow shams and flat sheet available.</t>
        </is>
      </c>
      <c r="J21" s="4" t="inlineStr">
        <is>
          <t>SEO_Products meta_description_seo snapshot character count (155) and string analysis.</t>
        </is>
      </c>
      <c r="K21" s="4" t="inlineStr">
        <is>
          <t>Complete, grammatically sound sentence between 145-165 characters ending with proper punctuation.</t>
        </is>
      </c>
      <c r="L21" s="2" t="inlineStr">
        <is>
          <t>OPEN_NEEDS_REVISION</t>
        </is>
      </c>
    </row>
    <row r="22">
      <c r="A22" s="2" t="inlineStr">
        <is>
          <t>ISSUE-0021</t>
        </is>
      </c>
      <c r="B22" s="4" t="inlineStr">
        <is>
          <t>jeminise.com+personalized-basketball-hoop-with-net-close-up-blanket-with-name-and-number-cc637164fc-cc637164fc</t>
        </is>
      </c>
      <c r="C22" s="2" t="n"/>
      <c r="D22" s="2" t="inlineStr">
        <is>
          <t>LIMITATION</t>
        </is>
      </c>
      <c r="E22" s="4" t="inlineStr">
        <is>
          <t>admin_export_hash</t>
        </is>
      </c>
      <c r="F22" s="4" t="inlineStr">
        <is>
          <t>sha256:729CBD9B3E0248F5...</t>
        </is>
      </c>
      <c r="G22" s="4" t="inlineStr">
        <is>
          <t>products_export_1.csv in workspace currently has sha256:97AA8DC283CFC927...</t>
        </is>
      </c>
      <c r="H22" s="4" t="inlineStr">
        <is>
          <t>Revision r2 cited a historical admin export hash not present in current workspace Git commits. Historical comparison was cross-verified against live storefront JSON/HTML and local image files without assuming r2 error.</t>
        </is>
      </c>
      <c r="I22" s="4" t="inlineStr">
        <is>
          <t>Maintain snapshot records of historical export CSVs alongside batch runs for full audit reproducibility.</t>
        </is>
      </c>
      <c r="J22" s="4" t="inlineStr">
        <is>
          <t>Git log history of products_export_1.csv and live_source_comparison.json.</t>
        </is>
      </c>
      <c r="K22" s="4" t="inlineStr">
        <is>
          <t>Acknowledge historical export reference limitation; live data integrity verified.</t>
        </is>
      </c>
      <c r="L22" s="2" t="inlineStr">
        <is>
          <t>DOCUMENTED_LIMITATION</t>
        </is>
      </c>
    </row>
    <row r="23">
      <c r="A23" s="2" t="inlineStr">
        <is>
          <t>ISSUE-0022</t>
        </is>
      </c>
      <c r="B23" s="4" t="inlineStr">
        <is>
          <t>jeminise.com+personalized-basketball-next-to-athletic-shoes-blanket-with-name-and-number-dfbf4fde2f-dfbf4fde2f</t>
        </is>
      </c>
      <c r="C23" s="2" t="n"/>
      <c r="D23" s="2" t="inlineStr">
        <is>
          <t>LIMITATION</t>
        </is>
      </c>
      <c r="E23" s="4" t="inlineStr">
        <is>
          <t>admin_export_hash</t>
        </is>
      </c>
      <c r="F23" s="4" t="inlineStr">
        <is>
          <t>sha256:729CBD9B3E0248F5...</t>
        </is>
      </c>
      <c r="G23" s="4" t="inlineStr">
        <is>
          <t>products_export_1.csv in workspace currently has sha256:97AA8DC283CFC927...</t>
        </is>
      </c>
      <c r="H23" s="4" t="inlineStr">
        <is>
          <t>Revision r2 cited a historical admin export hash not present in current workspace Git commits. Historical comparison was cross-verified against live storefront JSON/HTML and local image files without assuming r2 error.</t>
        </is>
      </c>
      <c r="I23" s="4" t="inlineStr">
        <is>
          <t>Maintain snapshot records of historical export CSVs alongside batch runs for full audit reproducibility.</t>
        </is>
      </c>
      <c r="J23" s="4" t="inlineStr">
        <is>
          <t>Git log history of products_export_1.csv and live_source_comparison.json.</t>
        </is>
      </c>
      <c r="K23" s="4" t="inlineStr">
        <is>
          <t>Acknowledge historical export reference limitation; live data integrity verified.</t>
        </is>
      </c>
      <c r="L23" s="2" t="inlineStr">
        <is>
          <t>DOCUMENTED_LIMITATION</t>
        </is>
      </c>
    </row>
    <row r="24">
      <c r="A24" s="2" t="inlineStr">
        <is>
          <t>ISSUE-0023</t>
        </is>
      </c>
      <c r="B24" s="4" t="inlineStr">
        <is>
          <t>jeminise.com+personalized-basketball-on-court-lines-comforter-name-number-303fbd50f6-303fbd50f6</t>
        </is>
      </c>
      <c r="C24" s="2" t="n"/>
      <c r="D24" s="2" t="inlineStr">
        <is>
          <t>LIMITATION</t>
        </is>
      </c>
      <c r="E24" s="4" t="inlineStr">
        <is>
          <t>admin_export_hash</t>
        </is>
      </c>
      <c r="F24" s="4" t="inlineStr">
        <is>
          <t>sha256:729CBD9B3E0248F5...</t>
        </is>
      </c>
      <c r="G24" s="4" t="inlineStr">
        <is>
          <t>products_export_1.csv in workspace currently has sha256:97AA8DC283CFC927...</t>
        </is>
      </c>
      <c r="H24" s="4" t="inlineStr">
        <is>
          <t>Revision r2 cited a historical admin export hash not present in current workspace Git commits. Historical comparison was cross-verified against live storefront JSON/HTML and local image files without assuming r2 error.</t>
        </is>
      </c>
      <c r="I24" s="4" t="inlineStr">
        <is>
          <t>Maintain snapshot records of historical export CSVs alongside batch runs for full audit reproducibility.</t>
        </is>
      </c>
      <c r="J24" s="4" t="inlineStr">
        <is>
          <t>Git log history of products_export_1.csv and live_source_comparison.json.</t>
        </is>
      </c>
      <c r="K24" s="4" t="inlineStr">
        <is>
          <t>Acknowledge historical export reference limitation; live data integrity verified.</t>
        </is>
      </c>
      <c r="L24" s="2" t="inlineStr">
        <is>
          <t>DOCUMENTED_LIMITATION</t>
        </is>
      </c>
    </row>
    <row r="25">
      <c r="A25" s="2" t="inlineStr">
        <is>
          <t>ISSUE-0024</t>
        </is>
      </c>
      <c r="B25" s="4" t="inlineStr">
        <is>
          <t>jeminise.com+personalized-basketball-on-court-perspective-comforter-with-name-and-number-1acfbe4260-1acfbe4260</t>
        </is>
      </c>
      <c r="C25" s="2" t="n"/>
      <c r="D25" s="2" t="inlineStr">
        <is>
          <t>LIMITATION</t>
        </is>
      </c>
      <c r="E25" s="4" t="inlineStr">
        <is>
          <t>admin_export_hash</t>
        </is>
      </c>
      <c r="F25" s="4" t="inlineStr">
        <is>
          <t>sha256:729CBD9B3E0248F5...</t>
        </is>
      </c>
      <c r="G25" s="4" t="inlineStr">
        <is>
          <t>products_export_1.csv in workspace currently has sha256:97AA8DC283CFC927...</t>
        </is>
      </c>
      <c r="H25" s="4" t="inlineStr">
        <is>
          <t>Revision r2 cited a historical admin export hash not present in current workspace Git commits. Historical comparison was cross-verified against live storefront JSON/HTML and local image files without assuming r2 error.</t>
        </is>
      </c>
      <c r="I25" s="4" t="inlineStr">
        <is>
          <t>Maintain snapshot records of historical export CSVs alongside batch runs for full audit reproducibility.</t>
        </is>
      </c>
      <c r="J25" s="4" t="inlineStr">
        <is>
          <t>Git log history of products_export_1.csv and live_source_comparison.json.</t>
        </is>
      </c>
      <c r="K25" s="4" t="inlineStr">
        <is>
          <t>Acknowledge historical export reference limitation; live data integrity verified.</t>
        </is>
      </c>
      <c r="L25" s="2" t="inlineStr">
        <is>
          <t>DOCUMENTED_LIMITATION</t>
        </is>
      </c>
    </row>
    <row r="26">
      <c r="A26" s="2" t="inlineStr">
        <is>
          <t>ISSUE-0025</t>
        </is>
      </c>
      <c r="B26" s="4" t="inlineStr">
        <is>
          <t>jeminise.com+personalized-basketball-on-hardwood-court-comforter-with-name-and-number-8aee799947-8aee799947</t>
        </is>
      </c>
      <c r="C26" s="2" t="n"/>
      <c r="D26" s="2" t="inlineStr">
        <is>
          <t>LIMITATION</t>
        </is>
      </c>
      <c r="E26" s="4" t="inlineStr">
        <is>
          <t>admin_export_hash</t>
        </is>
      </c>
      <c r="F26" s="4" t="inlineStr">
        <is>
          <t>sha256:729CBD9B3E0248F5...</t>
        </is>
      </c>
      <c r="G26" s="4" t="inlineStr">
        <is>
          <t>products_export_1.csv in workspace currently has sha256:97AA8DC283CFC927...</t>
        </is>
      </c>
      <c r="H26" s="4" t="inlineStr">
        <is>
          <t>Revision r2 cited a historical admin export hash not present in current workspace Git commits. Historical comparison was cross-verified against live storefront JSON/HTML and local image files without assuming r2 error.</t>
        </is>
      </c>
      <c r="I26" s="4" t="inlineStr">
        <is>
          <t>Maintain snapshot records of historical export CSVs alongside batch runs for full audit reproducibility.</t>
        </is>
      </c>
      <c r="J26" s="4" t="inlineStr">
        <is>
          <t>Git log history of products_export_1.csv and live_source_comparison.json.</t>
        </is>
      </c>
      <c r="K26" s="4" t="inlineStr">
        <is>
          <t>Acknowledge historical export reference limitation; live data integrity verified.</t>
        </is>
      </c>
      <c r="L26" s="2" t="inlineStr">
        <is>
          <t>DOCUMENTED_LIMITATION</t>
        </is>
      </c>
    </row>
    <row r="27">
      <c r="A27" s="2" t="inlineStr">
        <is>
          <t>ISSUE-0026</t>
        </is>
      </c>
      <c r="B27" s="4" t="inlineStr">
        <is>
          <t>jeminise.com+personalized-neon-basketball-player-blanket-788fb6ae63-788fb6ae63</t>
        </is>
      </c>
      <c r="C27" s="2" t="n"/>
      <c r="D27" s="2" t="inlineStr">
        <is>
          <t>LIMITATION</t>
        </is>
      </c>
      <c r="E27" s="4" t="inlineStr">
        <is>
          <t>admin_export_hash</t>
        </is>
      </c>
      <c r="F27" s="4" t="inlineStr">
        <is>
          <t>sha256:729CBD9B3E0248F5...</t>
        </is>
      </c>
      <c r="G27" s="4" t="inlineStr">
        <is>
          <t>products_export_1.csv in workspace currently has sha256:97AA8DC283CFC927...</t>
        </is>
      </c>
      <c r="H27" s="4" t="inlineStr">
        <is>
          <t>Revision r2 cited a historical admin export hash not present in current workspace Git commits. Historical comparison was cross-verified against live storefront JSON/HTML and local image files without assuming r2 error.</t>
        </is>
      </c>
      <c r="I27" s="4" t="inlineStr">
        <is>
          <t>Maintain snapshot records of historical export CSVs alongside batch runs for full audit reproducibility.</t>
        </is>
      </c>
      <c r="J27" s="4" t="inlineStr">
        <is>
          <t>Git log history of products_export_1.csv and live_source_comparison.json.</t>
        </is>
      </c>
      <c r="K27" s="4" t="inlineStr">
        <is>
          <t>Acknowledge historical export reference limitation; live data integrity verified.</t>
        </is>
      </c>
      <c r="L27" s="2" t="inlineStr">
        <is>
          <t>DOCUMENTED_LIMITATION</t>
        </is>
      </c>
    </row>
    <row r="28">
      <c r="A28" s="2" t="inlineStr">
        <is>
          <t>ISSUE-0027</t>
        </is>
      </c>
      <c r="B28" s="4" t="inlineStr">
        <is>
          <t>jeminise.com+personalized-basketball-player-front-blanket-with-name-and-number-258e7f9e2e-258e7f9e2e</t>
        </is>
      </c>
      <c r="C28" s="2" t="n"/>
      <c r="D28" s="2" t="inlineStr">
        <is>
          <t>LIMITATION</t>
        </is>
      </c>
      <c r="E28" s="4" t="inlineStr">
        <is>
          <t>admin_export_hash</t>
        </is>
      </c>
      <c r="F28" s="4" t="inlineStr">
        <is>
          <t>sha256:729CBD9B3E0248F5...</t>
        </is>
      </c>
      <c r="G28" s="4" t="inlineStr">
        <is>
          <t>products_export_1.csv in workspace currently has sha256:97AA8DC283CFC927...</t>
        </is>
      </c>
      <c r="H28" s="4" t="inlineStr">
        <is>
          <t>Revision r2 cited a historical admin export hash not present in current workspace Git commits. Historical comparison was cross-verified against live storefront JSON/HTML and local image files without assuming r2 error.</t>
        </is>
      </c>
      <c r="I28" s="4" t="inlineStr">
        <is>
          <t>Maintain snapshot records of historical export CSVs alongside batch runs for full audit reproducibility.</t>
        </is>
      </c>
      <c r="J28" s="4" t="inlineStr">
        <is>
          <t>Git log history of products_export_1.csv and live_source_comparison.json.</t>
        </is>
      </c>
      <c r="K28" s="4" t="inlineStr">
        <is>
          <t>Acknowledge historical export reference limitation; live data integrity verified.</t>
        </is>
      </c>
      <c r="L28" s="2" t="inlineStr">
        <is>
          <t>DOCUMENTED_LIMITATION</t>
        </is>
      </c>
    </row>
    <row r="29">
      <c r="A29" s="2" t="inlineStr">
        <is>
          <t>ISSUE-0028</t>
        </is>
      </c>
      <c r="B29" s="4" t="inlineStr">
        <is>
          <t>jeminise.com+personalized-basketball-player-silhouette-blanket-with-name-and-number-35f8822fba-35f8822fba</t>
        </is>
      </c>
      <c r="C29" s="2" t="n"/>
      <c r="D29" s="2" t="inlineStr">
        <is>
          <t>LIMITATION</t>
        </is>
      </c>
      <c r="E29" s="4" t="inlineStr">
        <is>
          <t>admin_export_hash</t>
        </is>
      </c>
      <c r="F29" s="4" t="inlineStr">
        <is>
          <t>sha256:729CBD9B3E0248F5...</t>
        </is>
      </c>
      <c r="G29" s="4" t="inlineStr">
        <is>
          <t>products_export_1.csv in workspace currently has sha256:97AA8DC283CFC927...</t>
        </is>
      </c>
      <c r="H29" s="4" t="inlineStr">
        <is>
          <t>Revision r2 cited a historical admin export hash not present in current workspace Git commits. Historical comparison was cross-verified against live storefront JSON/HTML and local image files without assuming r2 error.</t>
        </is>
      </c>
      <c r="I29" s="4" t="inlineStr">
        <is>
          <t>Maintain snapshot records of historical export CSVs alongside batch runs for full audit reproducibility.</t>
        </is>
      </c>
      <c r="J29" s="4" t="inlineStr">
        <is>
          <t>Git log history of products_export_1.csv and live_source_comparison.json.</t>
        </is>
      </c>
      <c r="K29" s="4" t="inlineStr">
        <is>
          <t>Acknowledge historical export reference limitation; live data integrity verified.</t>
        </is>
      </c>
      <c r="L29" s="2" t="inlineStr">
        <is>
          <t>DOCUMENTED_LIMITATION</t>
        </is>
      </c>
    </row>
    <row r="30">
      <c r="A30" s="2" t="inlineStr">
        <is>
          <t>ISSUE-0029</t>
        </is>
      </c>
      <c r="B30" s="4" t="inlineStr">
        <is>
          <t>jeminise.com+personalized-basketball-players-and-hoops-comforter-with-name-and-number-ff13bad888-ff13bad888</t>
        </is>
      </c>
      <c r="C30" s="2" t="n"/>
      <c r="D30" s="2" t="inlineStr">
        <is>
          <t>LIMITATION</t>
        </is>
      </c>
      <c r="E30" s="4" t="inlineStr">
        <is>
          <t>admin_export_hash</t>
        </is>
      </c>
      <c r="F30" s="4" t="inlineStr">
        <is>
          <t>sha256:729CBD9B3E0248F5...</t>
        </is>
      </c>
      <c r="G30" s="4" t="inlineStr">
        <is>
          <t>products_export_1.csv in workspace currently has sha256:97AA8DC283CFC927...</t>
        </is>
      </c>
      <c r="H30" s="4" t="inlineStr">
        <is>
          <t>Revision r2 cited a historical admin export hash not present in current workspace Git commits. Historical comparison was cross-verified against live storefront JSON/HTML and local image files without assuming r2 error.</t>
        </is>
      </c>
      <c r="I30" s="4" t="inlineStr">
        <is>
          <t>Maintain snapshot records of historical export CSVs alongside batch runs for full audit reproducibility.</t>
        </is>
      </c>
      <c r="J30" s="4" t="inlineStr">
        <is>
          <t>Git log history of products_export_1.csv and live_source_comparison.json.</t>
        </is>
      </c>
      <c r="K30" s="4" t="inlineStr">
        <is>
          <t>Acknowledge historical export reference limitation; live data integrity verified.</t>
        </is>
      </c>
      <c r="L30" s="2" t="inlineStr">
        <is>
          <t>DOCUMENTED_LIMITATION</t>
        </is>
      </c>
    </row>
    <row r="31">
      <c r="A31" s="2" t="inlineStr">
        <is>
          <t>ISSUE-0030</t>
        </is>
      </c>
      <c r="B31" s="4" t="inlineStr">
        <is>
          <t>jeminise.com+personalized-basketball-shattered-glass-comforter-with-name-and-number-353fc0c17e-353fc0c17e</t>
        </is>
      </c>
      <c r="C31" s="2" t="n"/>
      <c r="D31" s="2" t="inlineStr">
        <is>
          <t>LIMITATION</t>
        </is>
      </c>
      <c r="E31" s="4" t="inlineStr">
        <is>
          <t>admin_export_hash</t>
        </is>
      </c>
      <c r="F31" s="4" t="inlineStr">
        <is>
          <t>sha256:729CBD9B3E0248F5...</t>
        </is>
      </c>
      <c r="G31" s="4" t="inlineStr">
        <is>
          <t>products_export_1.csv in workspace currently has sha256:97AA8DC283CFC927...</t>
        </is>
      </c>
      <c r="H31" s="4" t="inlineStr">
        <is>
          <t>Revision r2 cited a historical admin export hash not present in current workspace Git commits. Historical comparison was cross-verified against live storefront JSON/HTML and local image files without assuming r2 error.</t>
        </is>
      </c>
      <c r="I31" s="4" t="inlineStr">
        <is>
          <t>Maintain snapshot records of historical export CSVs alongside batch runs for full audit reproducibility.</t>
        </is>
      </c>
      <c r="J31" s="4" t="inlineStr">
        <is>
          <t>Git log history of products_export_1.csv and live_source_comparison.json.</t>
        </is>
      </c>
      <c r="K31" s="4" t="inlineStr">
        <is>
          <t>Acknowledge historical export reference limitation; live data integrity verified.</t>
        </is>
      </c>
      <c r="L31" s="2" t="inlineStr">
        <is>
          <t>DOCUMENTED_LIMITATION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2026-09-08T07:32:29Z</dcterms:created>
  <dcterms:modified xsi:type="dcterms:W3CDTF">2026-09-08T07:32:29Z</dcterms:modified>
</cp:coreProperties>
</file>