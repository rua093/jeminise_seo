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'QA_Summary'!$A$1:$C$15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'QA_Images'!$A$1:$Y$65</definedName>
    <definedName name="_xlnm.Print_Titles" localSheetId="3">'QA_Images'!$1:$1</definedName>
    <definedName name="_xlnm._FilterDatabase" localSheetId="4" hidden="1">'QA_Issues'!$A$1:$K$11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hristian-bedding-set-inspirational-bible-verse-comforte-design-02" TargetMode="External" Id="rId1"/><Relationship Type="http://schemas.openxmlformats.org/officeDocument/2006/relationships/hyperlink" Target="https://jeminise.com/products/christian-bedding-set-inspirational-bible-verse-comforte-design-03" TargetMode="External" Id="rId2"/><Relationship Type="http://schemas.openxmlformats.org/officeDocument/2006/relationships/hyperlink" Target="https://jeminise.com/products/christian-bedding-set-inspirational-bible-verse-comforte-design-04" TargetMode="External" Id="rId3"/><Relationship Type="http://schemas.openxmlformats.org/officeDocument/2006/relationships/hyperlink" Target="https://jeminise.com/products/christian-bedding-set-inspirational-bible-verse-comforte-design-05" TargetMode="External" Id="rId4"/><Relationship Type="http://schemas.openxmlformats.org/officeDocument/2006/relationships/hyperlink" Target="https://jeminise.com/products/christian-bedding-set-inspirational-bible-verse-comforte-design-06" TargetMode="External" Id="rId5"/><Relationship Type="http://schemas.openxmlformats.org/officeDocument/2006/relationships/hyperlink" Target="https://jeminise.com/products/christian-bedding-set-inspirational-bible-verse-comforter" TargetMode="External" Id="rId6"/><Relationship Type="http://schemas.openxmlformats.org/officeDocument/2006/relationships/hyperlink" Target="https://jeminise.com/products/christmas-bedding-quilt-soft-microfiber-holiday-bedsprea-design-01" TargetMode="External" Id="rId7"/><Relationship Type="http://schemas.openxmlformats.org/officeDocument/2006/relationships/hyperlink" Target="https://jeminise.com/products/christmas-bedding-quilt-soft-microfiber-holiday-bedsprea-design-02" TargetMode="External" Id="rId8"/><Relationship Type="http://schemas.openxmlformats.org/officeDocument/2006/relationships/hyperlink" Target="https://jeminise.com/products/christmas-bedding-quilt-soft-microfiber-holiday-bedsprea-design-03" TargetMode="External" Id="rId9"/><Relationship Type="http://schemas.openxmlformats.org/officeDocument/2006/relationships/hyperlink" Target="https://jeminise.com/products/christmas-bedding-quilt-soft-microfiber-holiday-bedsprea-design-04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8f8cbae7d7dc8a5bb8d1fd9af7a3d36dfe9b26d76e6c99b9b36c2f64aeb5f0ae.jpg?v=1787237735" TargetMode="External" Id="rId1"/><Relationship Type="http://schemas.openxmlformats.org/officeDocument/2006/relationships/hyperlink" Target="https://cdn.shopify.com/s/files/1/0792/5098/1063/files/8f8cbae7d7dc8a5bb8d1fd9af7a3d36dfe9b26d76e6c99b9b36c2f64aeb5f0ae.jpg?v=1787237735" TargetMode="External" Id="rId2"/><Relationship Type="http://schemas.openxmlformats.org/officeDocument/2006/relationships/hyperlink" Target="https://cdn.shopify.com/s/files/1/0792/5098/1063/files/f8aafdfb4c8162ca9e2e2a98539d9758b42cf390e7a8828716dc849e251afcb1.jpg?v=1787237735" TargetMode="External" Id="rId3"/><Relationship Type="http://schemas.openxmlformats.org/officeDocument/2006/relationships/hyperlink" Target="https://cdn.shopify.com/s/files/1/0792/5098/1063/files/f8aafdfb4c8162ca9e2e2a98539d9758b42cf390e7a8828716dc849e251afcb1.jpg?v=1787237735" TargetMode="External" Id="rId4"/><Relationship Type="http://schemas.openxmlformats.org/officeDocument/2006/relationships/hyperlink" Target="https://cdn.shopify.com/s/files/1/0792/5098/1063/files/50f96559dd878ae5bbee14ba7a34337ccd740d21a8ffe86a8a1be819656d26c0_ae8608eb-bf72-43da-b626-8fd454d536c7.jpg?v=1787237735" TargetMode="External" Id="rId5"/><Relationship Type="http://schemas.openxmlformats.org/officeDocument/2006/relationships/hyperlink" Target="https://cdn.shopify.com/s/files/1/0792/5098/1063/files/50f96559dd878ae5bbee14ba7a34337ccd740d21a8ffe86a8a1be819656d26c0_ae8608eb-bf72-43da-b626-8fd454d536c7.jpg?v=1787237735" TargetMode="External" Id="rId6"/><Relationship Type="http://schemas.openxmlformats.org/officeDocument/2006/relationships/hyperlink" Target="https://cdn.shopify.com/s/files/1/0792/5098/1063/files/27f7ed18554cde6fb1921b3b4261b0f7a6d2176eda09e52bedf7b7fe5cb0399a.jpg?v=1787237735" TargetMode="External" Id="rId7"/><Relationship Type="http://schemas.openxmlformats.org/officeDocument/2006/relationships/hyperlink" Target="https://cdn.shopify.com/s/files/1/0792/5098/1063/files/27f7ed18554cde6fb1921b3b4261b0f7a6d2176eda09e52bedf7b7fe5cb0399a.jpg?v=1787237735" TargetMode="External" Id="rId8"/><Relationship Type="http://schemas.openxmlformats.org/officeDocument/2006/relationships/hyperlink" Target="https://cdn.shopify.com/s/files/1/0792/5098/1063/files/c0229b109e769b68f8c9f35623479c094bab31ad756f2c9dfcf50eadd39d92c5_9c3ec9d7-9121-432a-b4e5-640cc3768a2a.jpg?v=1787237735" TargetMode="External" Id="rId9"/><Relationship Type="http://schemas.openxmlformats.org/officeDocument/2006/relationships/hyperlink" Target="https://cdn.shopify.com/s/files/1/0792/5098/1063/files/c0229b109e769b68f8c9f35623479c094bab31ad756f2c9dfcf50eadd39d92c5_9c3ec9d7-9121-432a-b4e5-640cc3768a2a.jpg?v=1787237735" TargetMode="External" Id="rId10"/><Relationship Type="http://schemas.openxmlformats.org/officeDocument/2006/relationships/hyperlink" Target="https://cdn.shopify.com/s/files/1/0792/5098/1063/files/0e22a9fec09643a714af054217066178d4f7bc4d6266b6d2ff5c33c09cc10e88_963c3f22-9265-4b21-8847-4b1a66ac13e5.jpg?v=1787237735" TargetMode="External" Id="rId11"/><Relationship Type="http://schemas.openxmlformats.org/officeDocument/2006/relationships/hyperlink" Target="https://cdn.shopify.com/s/files/1/0792/5098/1063/files/0e22a9fec09643a714af054217066178d4f7bc4d6266b6d2ff5c33c09cc10e88_963c3f22-9265-4b21-8847-4b1a66ac13e5.jpg?v=1787237735" TargetMode="External" Id="rId12"/><Relationship Type="http://schemas.openxmlformats.org/officeDocument/2006/relationships/hyperlink" Target="https://cdn.shopify.com/s/files/1/0792/5098/1063/files/03ac15a4de6fdc4759048838b9e69d3ab841369c3b081159e5bf995fe1ff2483.jpg?v=1787237735" TargetMode="External" Id="rId13"/><Relationship Type="http://schemas.openxmlformats.org/officeDocument/2006/relationships/hyperlink" Target="https://cdn.shopify.com/s/files/1/0792/5098/1063/files/03ac15a4de6fdc4759048838b9e69d3ab841369c3b081159e5bf995fe1ff2483.jpg?v=1787237735" TargetMode="External" Id="rId14"/><Relationship Type="http://schemas.openxmlformats.org/officeDocument/2006/relationships/hyperlink" Target="https://cdn.shopify.com/s/files/1/0792/5098/1063/files/d6b8438a259ef28ba839a68ba108f40464bc9629b0bc2168779fc7776c9cbffa_433fa23f-2790-4b1e-8f60-9cb3f933e7c9.jpg?v=1787237735" TargetMode="External" Id="rId15"/><Relationship Type="http://schemas.openxmlformats.org/officeDocument/2006/relationships/hyperlink" Target="https://cdn.shopify.com/s/files/1/0792/5098/1063/files/d6b8438a259ef28ba839a68ba108f40464bc9629b0bc2168779fc7776c9cbffa_433fa23f-2790-4b1e-8f60-9cb3f933e7c9.jpg?v=1787237735" TargetMode="External" Id="rId16"/><Relationship Type="http://schemas.openxmlformats.org/officeDocument/2006/relationships/hyperlink" Target="https://cdn.shopify.com/s/files/1/0792/5098/1063/files/f92da9391db0dc6b3922463b3a830c7068091ba905b6f543f5ed21537c343ff7.jpg?v=1787237775" TargetMode="External" Id="rId17"/><Relationship Type="http://schemas.openxmlformats.org/officeDocument/2006/relationships/hyperlink" Target="https://cdn.shopify.com/s/files/1/0792/5098/1063/files/f92da9391db0dc6b3922463b3a830c7068091ba905b6f543f5ed21537c343ff7.jpg?v=1787237775" TargetMode="External" Id="rId18"/><Relationship Type="http://schemas.openxmlformats.org/officeDocument/2006/relationships/hyperlink" Target="https://cdn.shopify.com/s/files/1/0792/5098/1063/files/38662725a37694575465781c6a07cc74254226a1182579802ffa9912a4e7768f.jpg?v=1787237775" TargetMode="External" Id="rId19"/><Relationship Type="http://schemas.openxmlformats.org/officeDocument/2006/relationships/hyperlink" Target="https://cdn.shopify.com/s/files/1/0792/5098/1063/files/38662725a37694575465781c6a07cc74254226a1182579802ffa9912a4e7768f.jpg?v=1787237775" TargetMode="External" Id="rId20"/><Relationship Type="http://schemas.openxmlformats.org/officeDocument/2006/relationships/hyperlink" Target="https://cdn.shopify.com/s/files/1/0792/5098/1063/files/50f96559dd878ae5bbee14ba7a34337ccd740d21a8ffe86a8a1be819656d26c0_55aad209-cbed-473d-b39c-7f6a67c4001e.jpg?v=1787237775" TargetMode="External" Id="rId21"/><Relationship Type="http://schemas.openxmlformats.org/officeDocument/2006/relationships/hyperlink" Target="https://cdn.shopify.com/s/files/1/0792/5098/1063/files/50f96559dd878ae5bbee14ba7a34337ccd740d21a8ffe86a8a1be819656d26c0_55aad209-cbed-473d-b39c-7f6a67c4001e.jpg?v=1787237775" TargetMode="External" Id="rId22"/><Relationship Type="http://schemas.openxmlformats.org/officeDocument/2006/relationships/hyperlink" Target="https://cdn.shopify.com/s/files/1/0792/5098/1063/files/6f7120179ef66c1c3b1345bc6dcaf03449e1ffefc7fbda9577faecc3e3db4447.jpg?v=1787237775" TargetMode="External" Id="rId23"/><Relationship Type="http://schemas.openxmlformats.org/officeDocument/2006/relationships/hyperlink" Target="https://cdn.shopify.com/s/files/1/0792/5098/1063/files/6f7120179ef66c1c3b1345bc6dcaf03449e1ffefc7fbda9577faecc3e3db4447.jpg?v=1787237775" TargetMode="External" Id="rId24"/><Relationship Type="http://schemas.openxmlformats.org/officeDocument/2006/relationships/hyperlink" Target="https://cdn.shopify.com/s/files/1/0792/5098/1063/files/3f1020e70fcfa8dc9427d83131c12eb3107fd27ba15741a814733e1974f31cb2.jpg?v=1787237775" TargetMode="External" Id="rId25"/><Relationship Type="http://schemas.openxmlformats.org/officeDocument/2006/relationships/hyperlink" Target="https://cdn.shopify.com/s/files/1/0792/5098/1063/files/3f1020e70fcfa8dc9427d83131c12eb3107fd27ba15741a814733e1974f31cb2.jpg?v=1787237775" TargetMode="External" Id="rId26"/><Relationship Type="http://schemas.openxmlformats.org/officeDocument/2006/relationships/hyperlink" Target="https://cdn.shopify.com/s/files/1/0792/5098/1063/files/0e22a9fec09643a714af054217066178d4f7bc4d6266b6d2ff5c33c09cc10e88_aa1ee109-258c-49b7-8e15-9f96d009b1e0.jpg?v=1787237775" TargetMode="External" Id="rId27"/><Relationship Type="http://schemas.openxmlformats.org/officeDocument/2006/relationships/hyperlink" Target="https://cdn.shopify.com/s/files/1/0792/5098/1063/files/0e22a9fec09643a714af054217066178d4f7bc4d6266b6d2ff5c33c09cc10e88_aa1ee109-258c-49b7-8e15-9f96d009b1e0.jpg?v=1787237775" TargetMode="External" Id="rId28"/><Relationship Type="http://schemas.openxmlformats.org/officeDocument/2006/relationships/hyperlink" Target="https://cdn.shopify.com/s/files/1/0792/5098/1063/files/d6b8438a259ef28ba839a68ba108f40464bc9629b0bc2168779fc7776c9cbffa_6f72bb77-1b12-4ea3-9e0c-1b5e684c5f9f.jpg?v=1787237775" TargetMode="External" Id="rId29"/><Relationship Type="http://schemas.openxmlformats.org/officeDocument/2006/relationships/hyperlink" Target="https://cdn.shopify.com/s/files/1/0792/5098/1063/files/d6b8438a259ef28ba839a68ba108f40464bc9629b0bc2168779fc7776c9cbffa_6f72bb77-1b12-4ea3-9e0c-1b5e684c5f9f.jpg?v=1787237775" TargetMode="External" Id="rId30"/><Relationship Type="http://schemas.openxmlformats.org/officeDocument/2006/relationships/hyperlink" Target="https://cdn.shopify.com/s/files/1/0792/5098/1063/files/14ca1683130f1520ade50aa0650701fd1150fe4d09f367ab221b63a53783709e.jpg?v=1787237794" TargetMode="External" Id="rId31"/><Relationship Type="http://schemas.openxmlformats.org/officeDocument/2006/relationships/hyperlink" Target="https://cdn.shopify.com/s/files/1/0792/5098/1063/files/14ca1683130f1520ade50aa0650701fd1150fe4d09f367ab221b63a53783709e.jpg?v=1787237794" TargetMode="External" Id="rId32"/><Relationship Type="http://schemas.openxmlformats.org/officeDocument/2006/relationships/hyperlink" Target="https://cdn.shopify.com/s/files/1/0792/5098/1063/files/1892152d87d62b43a0e3a2b26a3397d09584e40f761ce2e9fd4940acfae699dc.jpg?v=1787237794" TargetMode="External" Id="rId33"/><Relationship Type="http://schemas.openxmlformats.org/officeDocument/2006/relationships/hyperlink" Target="https://cdn.shopify.com/s/files/1/0792/5098/1063/files/1892152d87d62b43a0e3a2b26a3397d09584e40f761ce2e9fd4940acfae699dc.jpg?v=1787237794" TargetMode="External" Id="rId34"/><Relationship Type="http://schemas.openxmlformats.org/officeDocument/2006/relationships/hyperlink" Target="https://cdn.shopify.com/s/files/1/0792/5098/1063/files/50f96559dd878ae5bbee14ba7a34337ccd740d21a8ffe86a8a1be819656d26c0_06b27f7a-14c6-4267-b5df-12ac25afd52c.jpg?v=1787237794" TargetMode="External" Id="rId35"/><Relationship Type="http://schemas.openxmlformats.org/officeDocument/2006/relationships/hyperlink" Target="https://cdn.shopify.com/s/files/1/0792/5098/1063/files/50f96559dd878ae5bbee14ba7a34337ccd740d21a8ffe86a8a1be819656d26c0_06b27f7a-14c6-4267-b5df-12ac25afd52c.jpg?v=1787237794" TargetMode="External" Id="rId36"/><Relationship Type="http://schemas.openxmlformats.org/officeDocument/2006/relationships/hyperlink" Target="https://cdn.shopify.com/s/files/1/0792/5098/1063/files/7da6a24b7604ad0ef3673f41696bea7a0fccfe1eb412a1cda572ca856ef48593.jpg?v=1787237794" TargetMode="External" Id="rId37"/><Relationship Type="http://schemas.openxmlformats.org/officeDocument/2006/relationships/hyperlink" Target="https://cdn.shopify.com/s/files/1/0792/5098/1063/files/7da6a24b7604ad0ef3673f41696bea7a0fccfe1eb412a1cda572ca856ef48593.jpg?v=1787237794" TargetMode="External" Id="rId38"/><Relationship Type="http://schemas.openxmlformats.org/officeDocument/2006/relationships/hyperlink" Target="https://cdn.shopify.com/s/files/1/0792/5098/1063/files/226b0655da5d59ac974c47bf8332fcc934206146b46faa31fb8bab794613c1f0.jpg?v=1787237794" TargetMode="External" Id="rId39"/><Relationship Type="http://schemas.openxmlformats.org/officeDocument/2006/relationships/hyperlink" Target="https://cdn.shopify.com/s/files/1/0792/5098/1063/files/226b0655da5d59ac974c47bf8332fcc934206146b46faa31fb8bab794613c1f0.jpg?v=1787237794" TargetMode="External" Id="rId40"/><Relationship Type="http://schemas.openxmlformats.org/officeDocument/2006/relationships/hyperlink" Target="https://cdn.shopify.com/s/files/1/0792/5098/1063/files/0e22a9fec09643a714af054217066178d4f7bc4d6266b6d2ff5c33c09cc10e88_2cef02df-e481-4c1b-91ca-baace2312c0a.jpg?v=1787237794" TargetMode="External" Id="rId41"/><Relationship Type="http://schemas.openxmlformats.org/officeDocument/2006/relationships/hyperlink" Target="https://cdn.shopify.com/s/files/1/0792/5098/1063/files/0e22a9fec09643a714af054217066178d4f7bc4d6266b6d2ff5c33c09cc10e88_2cef02df-e481-4c1b-91ca-baace2312c0a.jpg?v=1787237794" TargetMode="External" Id="rId42"/><Relationship Type="http://schemas.openxmlformats.org/officeDocument/2006/relationships/hyperlink" Target="https://cdn.shopify.com/s/files/1/0792/5098/1063/files/d6b8438a259ef28ba839a68ba108f40464bc9629b0bc2168779fc7776c9cbffa_5b109a66-32e6-4a36-bd31-f408dd22e6aa.jpg?v=1787237794" TargetMode="External" Id="rId43"/><Relationship Type="http://schemas.openxmlformats.org/officeDocument/2006/relationships/hyperlink" Target="https://cdn.shopify.com/s/files/1/0792/5098/1063/files/d6b8438a259ef28ba839a68ba108f40464bc9629b0bc2168779fc7776c9cbffa_5b109a66-32e6-4a36-bd31-f408dd22e6aa.jpg?v=1787237794" TargetMode="External" Id="rId44"/><Relationship Type="http://schemas.openxmlformats.org/officeDocument/2006/relationships/hyperlink" Target="https://cdn.shopify.com/s/files/1/0792/5098/1063/files/8863051f9429c76751f57504cfec521d6b6841af138c38cf4dbf60905dcd8fd5.jpg?v=1787237801" TargetMode="External" Id="rId45"/><Relationship Type="http://schemas.openxmlformats.org/officeDocument/2006/relationships/hyperlink" Target="https://cdn.shopify.com/s/files/1/0792/5098/1063/files/8863051f9429c76751f57504cfec521d6b6841af138c38cf4dbf60905dcd8fd5.jpg?v=1787237801" TargetMode="External" Id="rId46"/><Relationship Type="http://schemas.openxmlformats.org/officeDocument/2006/relationships/hyperlink" Target="https://cdn.shopify.com/s/files/1/0792/5098/1063/files/b5194765e0cae48306ed2e7b908325a37d813710ea8355976fd4bdad98268bcf.jpg?v=1787237801" TargetMode="External" Id="rId47"/><Relationship Type="http://schemas.openxmlformats.org/officeDocument/2006/relationships/hyperlink" Target="https://cdn.shopify.com/s/files/1/0792/5098/1063/files/b5194765e0cae48306ed2e7b908325a37d813710ea8355976fd4bdad98268bcf.jpg?v=1787237801" TargetMode="External" Id="rId48"/><Relationship Type="http://schemas.openxmlformats.org/officeDocument/2006/relationships/hyperlink" Target="https://cdn.shopify.com/s/files/1/0792/5098/1063/files/50f96559dd878ae5bbee14ba7a34337ccd740d21a8ffe86a8a1be819656d26c0_32920277-9b92-44f8-8046-5ec5bbe0e622.jpg?v=1787237801" TargetMode="External" Id="rId49"/><Relationship Type="http://schemas.openxmlformats.org/officeDocument/2006/relationships/hyperlink" Target="https://cdn.shopify.com/s/files/1/0792/5098/1063/files/50f96559dd878ae5bbee14ba7a34337ccd740d21a8ffe86a8a1be819656d26c0_32920277-9b92-44f8-8046-5ec5bbe0e622.jpg?v=1787237801" TargetMode="External" Id="rId50"/><Relationship Type="http://schemas.openxmlformats.org/officeDocument/2006/relationships/hyperlink" Target="https://cdn.shopify.com/s/files/1/0792/5098/1063/files/a3e33ead7835eefa65523c45bf48420d56f8ee5c29d0aa8d4a6fb0717bc0d53e.jpg?v=1787237801" TargetMode="External" Id="rId51"/><Relationship Type="http://schemas.openxmlformats.org/officeDocument/2006/relationships/hyperlink" Target="https://cdn.shopify.com/s/files/1/0792/5098/1063/files/a3e33ead7835eefa65523c45bf48420d56f8ee5c29d0aa8d4a6fb0717bc0d53e.jpg?v=1787237801" TargetMode="External" Id="rId52"/><Relationship Type="http://schemas.openxmlformats.org/officeDocument/2006/relationships/hyperlink" Target="https://cdn.shopify.com/s/files/1/0792/5098/1063/files/c90ac7079a8d005c71bbed0da31d73d3243eb764fe402b271b85e05efec937b6.jpg?v=1787237801" TargetMode="External" Id="rId53"/><Relationship Type="http://schemas.openxmlformats.org/officeDocument/2006/relationships/hyperlink" Target="https://cdn.shopify.com/s/files/1/0792/5098/1063/files/c90ac7079a8d005c71bbed0da31d73d3243eb764fe402b271b85e05efec937b6.jpg?v=1787237801" TargetMode="External" Id="rId54"/><Relationship Type="http://schemas.openxmlformats.org/officeDocument/2006/relationships/hyperlink" Target="https://cdn.shopify.com/s/files/1/0792/5098/1063/files/0e22a9fec09643a714af054217066178d4f7bc4d6266b6d2ff5c33c09cc10e88_37f50064-c16f-4107-bf6d-b3b50080fc75.jpg?v=1787237802" TargetMode="External" Id="rId55"/><Relationship Type="http://schemas.openxmlformats.org/officeDocument/2006/relationships/hyperlink" Target="https://cdn.shopify.com/s/files/1/0792/5098/1063/files/0e22a9fec09643a714af054217066178d4f7bc4d6266b6d2ff5c33c09cc10e88_37f50064-c16f-4107-bf6d-b3b50080fc75.jpg?v=1787237802" TargetMode="External" Id="rId56"/><Relationship Type="http://schemas.openxmlformats.org/officeDocument/2006/relationships/hyperlink" Target="https://cdn.shopify.com/s/files/1/0792/5098/1063/files/d6b8438a259ef28ba839a68ba108f40464bc9629b0bc2168779fc7776c9cbffa_fb8b4e17-519d-4d0c-b0e5-03dce3811442.jpg?v=1787237801" TargetMode="External" Id="rId57"/><Relationship Type="http://schemas.openxmlformats.org/officeDocument/2006/relationships/hyperlink" Target="https://cdn.shopify.com/s/files/1/0792/5098/1063/files/d6b8438a259ef28ba839a68ba108f40464bc9629b0bc2168779fc7776c9cbffa_fb8b4e17-519d-4d0c-b0e5-03dce3811442.jpg?v=1787237801" TargetMode="External" Id="rId58"/><Relationship Type="http://schemas.openxmlformats.org/officeDocument/2006/relationships/hyperlink" Target="https://cdn.shopify.com/s/files/1/0792/5098/1063/files/7d1ce2040466699184d4d34be5a513af5f29c64a38cbd8b469c68ae7253f4630.jpg?v=1787237807" TargetMode="External" Id="rId59"/><Relationship Type="http://schemas.openxmlformats.org/officeDocument/2006/relationships/hyperlink" Target="https://cdn.shopify.com/s/files/1/0792/5098/1063/files/7d1ce2040466699184d4d34be5a513af5f29c64a38cbd8b469c68ae7253f4630.jpg?v=1787237807" TargetMode="External" Id="rId60"/><Relationship Type="http://schemas.openxmlformats.org/officeDocument/2006/relationships/hyperlink" Target="https://cdn.shopify.com/s/files/1/0792/5098/1063/files/85e882bcf89deebcdc3c8d5fea6db005c41297d04fabf6b4dedfb33c5d8fa653.jpg?v=1787237807" TargetMode="External" Id="rId61"/><Relationship Type="http://schemas.openxmlformats.org/officeDocument/2006/relationships/hyperlink" Target="https://cdn.shopify.com/s/files/1/0792/5098/1063/files/85e882bcf89deebcdc3c8d5fea6db005c41297d04fabf6b4dedfb33c5d8fa653.jpg?v=1787237807" TargetMode="External" Id="rId62"/><Relationship Type="http://schemas.openxmlformats.org/officeDocument/2006/relationships/hyperlink" Target="https://cdn.shopify.com/s/files/1/0792/5098/1063/files/50f96559dd878ae5bbee14ba7a34337ccd740d21a8ffe86a8a1be819656d26c0_8c8fa0f7-48a1-41f8-86e6-9b423fbaf03e.jpg?v=1787237806" TargetMode="External" Id="rId63"/><Relationship Type="http://schemas.openxmlformats.org/officeDocument/2006/relationships/hyperlink" Target="https://cdn.shopify.com/s/files/1/0792/5098/1063/files/50f96559dd878ae5bbee14ba7a34337ccd740d21a8ffe86a8a1be819656d26c0_8c8fa0f7-48a1-41f8-86e6-9b423fbaf03e.jpg?v=1787237806" TargetMode="External" Id="rId64"/><Relationship Type="http://schemas.openxmlformats.org/officeDocument/2006/relationships/hyperlink" Target="https://cdn.shopify.com/s/files/1/0792/5098/1063/files/1ad4193b437e09b52f40b15573e722e1cfbac19500da9f78c83773943449fcde.jpg?v=1787237807" TargetMode="External" Id="rId65"/><Relationship Type="http://schemas.openxmlformats.org/officeDocument/2006/relationships/hyperlink" Target="https://cdn.shopify.com/s/files/1/0792/5098/1063/files/1ad4193b437e09b52f40b15573e722e1cfbac19500da9f78c83773943449fcde.jpg?v=1787237807" TargetMode="External" Id="rId66"/><Relationship Type="http://schemas.openxmlformats.org/officeDocument/2006/relationships/hyperlink" Target="https://cdn.shopify.com/s/files/1/0792/5098/1063/files/26024e9472d2220f9f56e7b3a0762d7d9615e5a2536a0848fc513ad70f872f30.jpg?v=1787237807" TargetMode="External" Id="rId67"/><Relationship Type="http://schemas.openxmlformats.org/officeDocument/2006/relationships/hyperlink" Target="https://cdn.shopify.com/s/files/1/0792/5098/1063/files/26024e9472d2220f9f56e7b3a0762d7d9615e5a2536a0848fc513ad70f872f30.jpg?v=1787237807" TargetMode="External" Id="rId68"/><Relationship Type="http://schemas.openxmlformats.org/officeDocument/2006/relationships/hyperlink" Target="https://cdn.shopify.com/s/files/1/0792/5098/1063/files/0e22a9fec09643a714af054217066178d4f7bc4d6266b6d2ff5c33c09cc10e88_7566f5e2-6bfd-446e-a1f2-f06764ec2dc3.jpg?v=1787237807" TargetMode="External" Id="rId69"/><Relationship Type="http://schemas.openxmlformats.org/officeDocument/2006/relationships/hyperlink" Target="https://cdn.shopify.com/s/files/1/0792/5098/1063/files/0e22a9fec09643a714af054217066178d4f7bc4d6266b6d2ff5c33c09cc10e88_7566f5e2-6bfd-446e-a1f2-f06764ec2dc3.jpg?v=1787237807" TargetMode="External" Id="rId70"/><Relationship Type="http://schemas.openxmlformats.org/officeDocument/2006/relationships/hyperlink" Target="https://cdn.shopify.com/s/files/1/0792/5098/1063/files/d6b8438a259ef28ba839a68ba108f40464bc9629b0bc2168779fc7776c9cbffa_d87fd534-9194-441e-98a8-aa1a5591cb0d.jpg?v=1787237807" TargetMode="External" Id="rId71"/><Relationship Type="http://schemas.openxmlformats.org/officeDocument/2006/relationships/hyperlink" Target="https://cdn.shopify.com/s/files/1/0792/5098/1063/files/d6b8438a259ef28ba839a68ba108f40464bc9629b0bc2168779fc7776c9cbffa_d87fd534-9194-441e-98a8-aa1a5591cb0d.jpg?v=1787237807" TargetMode="External" Id="rId72"/><Relationship Type="http://schemas.openxmlformats.org/officeDocument/2006/relationships/hyperlink" Target="https://cdn.shopify.com/s/files/1/0792/5098/1063/files/08e481dcf1c9bf3e7363eb63d66874dc22230e7e462b0f7ac8407a6a55b4e8e2.jpg?v=1787237716" TargetMode="External" Id="rId73"/><Relationship Type="http://schemas.openxmlformats.org/officeDocument/2006/relationships/hyperlink" Target="https://cdn.shopify.com/s/files/1/0792/5098/1063/files/08e481dcf1c9bf3e7363eb63d66874dc22230e7e462b0f7ac8407a6a55b4e8e2.jpg?v=1787237716" TargetMode="External" Id="rId74"/><Relationship Type="http://schemas.openxmlformats.org/officeDocument/2006/relationships/hyperlink" Target="https://cdn.shopify.com/s/files/1/0792/5098/1063/files/6e5cfd81b4f318ba88e105e450bd24fcccf9830bd9c69ac7d722e92e36bbe4e1.jpg?v=1787237716" TargetMode="External" Id="rId75"/><Relationship Type="http://schemas.openxmlformats.org/officeDocument/2006/relationships/hyperlink" Target="https://cdn.shopify.com/s/files/1/0792/5098/1063/files/6e5cfd81b4f318ba88e105e450bd24fcccf9830bd9c69ac7d722e92e36bbe4e1.jpg?v=1787237716" TargetMode="External" Id="rId76"/><Relationship Type="http://schemas.openxmlformats.org/officeDocument/2006/relationships/hyperlink" Target="https://cdn.shopify.com/s/files/1/0792/5098/1063/files/fd6ace7cb84d9e404b44ba028d1e0be3f00d0c9dc52fac3c12f3dc02d48000e7.jpg?v=1787237716" TargetMode="External" Id="rId77"/><Relationship Type="http://schemas.openxmlformats.org/officeDocument/2006/relationships/hyperlink" Target="https://cdn.shopify.com/s/files/1/0792/5098/1063/files/fd6ace7cb84d9e404b44ba028d1e0be3f00d0c9dc52fac3c12f3dc02d48000e7.jpg?v=1787237716" TargetMode="External" Id="rId78"/><Relationship Type="http://schemas.openxmlformats.org/officeDocument/2006/relationships/hyperlink" Target="https://cdn.shopify.com/s/files/1/0792/5098/1063/files/1391672888660b8306032c6cd51a0340e0460a1f8b324b0577c2d0a44ea28c9d.jpg?v=1787237716" TargetMode="External" Id="rId79"/><Relationship Type="http://schemas.openxmlformats.org/officeDocument/2006/relationships/hyperlink" Target="https://cdn.shopify.com/s/files/1/0792/5098/1063/files/1391672888660b8306032c6cd51a0340e0460a1f8b324b0577c2d0a44ea28c9d.jpg?v=1787237716" TargetMode="External" Id="rId80"/><Relationship Type="http://schemas.openxmlformats.org/officeDocument/2006/relationships/hyperlink" Target="https://cdn.shopify.com/s/files/1/0792/5098/1063/files/e27fc1e04888a4c2e14d4ffbdcdb670ffbe1f1f1b9be43f941b96dffb8e5689d.jpg?v=1787237716" TargetMode="External" Id="rId81"/><Relationship Type="http://schemas.openxmlformats.org/officeDocument/2006/relationships/hyperlink" Target="https://cdn.shopify.com/s/files/1/0792/5098/1063/files/e27fc1e04888a4c2e14d4ffbdcdb670ffbe1f1f1b9be43f941b96dffb8e5689d.jpg?v=1787237716" TargetMode="External" Id="rId82"/><Relationship Type="http://schemas.openxmlformats.org/officeDocument/2006/relationships/hyperlink" Target="https://cdn.shopify.com/s/files/1/0792/5098/1063/files/59b4136c5b8aaddd702f3dda4c3ac549a9ea83142b9e5a1ba73fdbc00be22132.jpg?v=1787237716" TargetMode="External" Id="rId83"/><Relationship Type="http://schemas.openxmlformats.org/officeDocument/2006/relationships/hyperlink" Target="https://cdn.shopify.com/s/files/1/0792/5098/1063/files/59b4136c5b8aaddd702f3dda4c3ac549a9ea83142b9e5a1ba73fdbc00be22132.jpg?v=1787237716" TargetMode="External" Id="rId84"/><Relationship Type="http://schemas.openxmlformats.org/officeDocument/2006/relationships/hyperlink" Target="https://cdn.shopify.com/s/files/1/0792/5098/1063/files/700766e63cdebb7f3088f7ecaf56b3bae4ce4d1ffe15a4a258d5814894208554.jpg?v=1787237716" TargetMode="External" Id="rId85"/><Relationship Type="http://schemas.openxmlformats.org/officeDocument/2006/relationships/hyperlink" Target="https://cdn.shopify.com/s/files/1/0792/5098/1063/files/700766e63cdebb7f3088f7ecaf56b3bae4ce4d1ffe15a4a258d5814894208554.jpg?v=1787237716" TargetMode="External" Id="rId86"/><Relationship Type="http://schemas.openxmlformats.org/officeDocument/2006/relationships/hyperlink" Target="https://cdn.shopify.com/s/files/1/0792/5098/1063/files/f21374c2239f926c348f6641a7e0f8929698fa199fd8f23e654037e1384e4214.jpg?v=1787237716" TargetMode="External" Id="rId87"/><Relationship Type="http://schemas.openxmlformats.org/officeDocument/2006/relationships/hyperlink" Target="https://cdn.shopify.com/s/files/1/0792/5098/1063/files/f21374c2239f926c348f6641a7e0f8929698fa199fd8f23e654037e1384e4214.jpg?v=1787237716" TargetMode="External" Id="rId88"/><Relationship Type="http://schemas.openxmlformats.org/officeDocument/2006/relationships/hyperlink" Target="https://cdn.shopify.com/s/files/1/0792/5098/1063/files/98667aa304d1cce79ae2ca099f84c182034fb8adc27fbd823eb0c5c00bd2999d.jpg?v=1787239344" TargetMode="External" Id="rId89"/><Relationship Type="http://schemas.openxmlformats.org/officeDocument/2006/relationships/hyperlink" Target="https://cdn.shopify.com/s/files/1/0792/5098/1063/files/98667aa304d1cce79ae2ca099f84c182034fb8adc27fbd823eb0c5c00bd2999d.jpg?v=1787239344" TargetMode="External" Id="rId90"/><Relationship Type="http://schemas.openxmlformats.org/officeDocument/2006/relationships/hyperlink" Target="https://cdn.shopify.com/s/files/1/0792/5098/1063/files/ef5fb0f3b4abe84445884164b3fe8a9b60849f27d9f160dbf6202e551cd44354.jpg?v=1787239344" TargetMode="External" Id="rId91"/><Relationship Type="http://schemas.openxmlformats.org/officeDocument/2006/relationships/hyperlink" Target="https://cdn.shopify.com/s/files/1/0792/5098/1063/files/ef5fb0f3b4abe84445884164b3fe8a9b60849f27d9f160dbf6202e551cd44354.jpg?v=1787239344" TargetMode="External" Id="rId92"/><Relationship Type="http://schemas.openxmlformats.org/officeDocument/2006/relationships/hyperlink" Target="https://cdn.shopify.com/s/files/1/0792/5098/1063/files/4b19b345400162da6ca516cd83b37574ed8b518e4fb7f48520940b3fc7b5f9df.jpg?v=1787239344" TargetMode="External" Id="rId93"/><Relationship Type="http://schemas.openxmlformats.org/officeDocument/2006/relationships/hyperlink" Target="https://cdn.shopify.com/s/files/1/0792/5098/1063/files/4b19b345400162da6ca516cd83b37574ed8b518e4fb7f48520940b3fc7b5f9df.jpg?v=1787239344" TargetMode="External" Id="rId94"/><Relationship Type="http://schemas.openxmlformats.org/officeDocument/2006/relationships/hyperlink" Target="https://cdn.shopify.com/s/files/1/0792/5098/1063/files/c7fc88ca9ec64e57ac466c010b032d865a04a5f7efbdb4acdfcaf38397afc4e5.jpg?v=1787239344" TargetMode="External" Id="rId95"/><Relationship Type="http://schemas.openxmlformats.org/officeDocument/2006/relationships/hyperlink" Target="https://cdn.shopify.com/s/files/1/0792/5098/1063/files/c7fc88ca9ec64e57ac466c010b032d865a04a5f7efbdb4acdfcaf38397afc4e5.jpg?v=1787239344" TargetMode="External" Id="rId96"/><Relationship Type="http://schemas.openxmlformats.org/officeDocument/2006/relationships/hyperlink" Target="https://cdn.shopify.com/s/files/1/0792/5098/1063/files/f9918abc28c263da8a27b5d2771f223f596735f0b41e35025e4ec8c4b1213901.jpg?v=1787239344" TargetMode="External" Id="rId97"/><Relationship Type="http://schemas.openxmlformats.org/officeDocument/2006/relationships/hyperlink" Target="https://cdn.shopify.com/s/files/1/0792/5098/1063/files/f9918abc28c263da8a27b5d2771f223f596735f0b41e35025e4ec8c4b1213901.jpg?v=1787239344" TargetMode="External" Id="rId98"/><Relationship Type="http://schemas.openxmlformats.org/officeDocument/2006/relationships/hyperlink" Target="https://cdn.shopify.com/s/files/1/0792/5098/1063/files/57a7ce08a0f83d12377baee8b7269bba25dd26fdd9c91110fbdc7c49acd6cd46.jpg?v=1787239348" TargetMode="External" Id="rId99"/><Relationship Type="http://schemas.openxmlformats.org/officeDocument/2006/relationships/hyperlink" Target="https://cdn.shopify.com/s/files/1/0792/5098/1063/files/57a7ce08a0f83d12377baee8b7269bba25dd26fdd9c91110fbdc7c49acd6cd46.jpg?v=1787239348" TargetMode="External" Id="rId100"/><Relationship Type="http://schemas.openxmlformats.org/officeDocument/2006/relationships/hyperlink" Target="https://cdn.shopify.com/s/files/1/0792/5098/1063/files/5c29dd6655367de605661f28975aea64ef7bf3fe97fa2040469c83a862519be6.jpg?v=1787239348" TargetMode="External" Id="rId101"/><Relationship Type="http://schemas.openxmlformats.org/officeDocument/2006/relationships/hyperlink" Target="https://cdn.shopify.com/s/files/1/0792/5098/1063/files/5c29dd6655367de605661f28975aea64ef7bf3fe97fa2040469c83a862519be6.jpg?v=1787239348" TargetMode="External" Id="rId102"/><Relationship Type="http://schemas.openxmlformats.org/officeDocument/2006/relationships/hyperlink" Target="https://cdn.shopify.com/s/files/1/0792/5098/1063/files/0497bbb180b270bb821aa012be14278640ab96779bd2279f6fde75e9a69bc981.jpg?v=1787239348" TargetMode="External" Id="rId103"/><Relationship Type="http://schemas.openxmlformats.org/officeDocument/2006/relationships/hyperlink" Target="https://cdn.shopify.com/s/files/1/0792/5098/1063/files/0497bbb180b270bb821aa012be14278640ab96779bd2279f6fde75e9a69bc981.jpg?v=1787239348" TargetMode="External" Id="rId104"/><Relationship Type="http://schemas.openxmlformats.org/officeDocument/2006/relationships/hyperlink" Target="https://cdn.shopify.com/s/files/1/0792/5098/1063/files/c905e081df2beed08b734c876c22d231c44cf1610294b7c0b8f756a1008190b1.jpg?v=1787239348" TargetMode="External" Id="rId105"/><Relationship Type="http://schemas.openxmlformats.org/officeDocument/2006/relationships/hyperlink" Target="https://cdn.shopify.com/s/files/1/0792/5098/1063/files/c905e081df2beed08b734c876c22d231c44cf1610294b7c0b8f756a1008190b1.jpg?v=1787239348" TargetMode="External" Id="rId106"/><Relationship Type="http://schemas.openxmlformats.org/officeDocument/2006/relationships/hyperlink" Target="https://cdn.shopify.com/s/files/1/0792/5098/1063/files/7f25263bf8ff6f505b2102e6286f57302397b98b0f9fdb7978daa38539f3f1ac.jpg?v=1787239348" TargetMode="External" Id="rId107"/><Relationship Type="http://schemas.openxmlformats.org/officeDocument/2006/relationships/hyperlink" Target="https://cdn.shopify.com/s/files/1/0792/5098/1063/files/7f25263bf8ff6f505b2102e6286f57302397b98b0f9fdb7978daa38539f3f1ac.jpg?v=1787239348" TargetMode="External" Id="rId108"/><Relationship Type="http://schemas.openxmlformats.org/officeDocument/2006/relationships/hyperlink" Target="https://cdn.shopify.com/s/files/1/0792/5098/1063/files/bbbc5063a842a4025b83691360e26a0f48bd6b628bfe51d0f66000c5bde9160f.jpg?v=1787239363" TargetMode="External" Id="rId109"/><Relationship Type="http://schemas.openxmlformats.org/officeDocument/2006/relationships/hyperlink" Target="https://cdn.shopify.com/s/files/1/0792/5098/1063/files/bbbc5063a842a4025b83691360e26a0f48bd6b628bfe51d0f66000c5bde9160f.jpg?v=1787239363" TargetMode="External" Id="rId110"/><Relationship Type="http://schemas.openxmlformats.org/officeDocument/2006/relationships/hyperlink" Target="https://cdn.shopify.com/s/files/1/0792/5098/1063/files/1d962e1fd3d6fb1ccbe82d1b9d96746919c0028a56d90f2f5e5b1206422676d9.jpg?v=1787239363" TargetMode="External" Id="rId111"/><Relationship Type="http://schemas.openxmlformats.org/officeDocument/2006/relationships/hyperlink" Target="https://cdn.shopify.com/s/files/1/0792/5098/1063/files/1d962e1fd3d6fb1ccbe82d1b9d96746919c0028a56d90f2f5e5b1206422676d9.jpg?v=1787239363" TargetMode="External" Id="rId112"/><Relationship Type="http://schemas.openxmlformats.org/officeDocument/2006/relationships/hyperlink" Target="https://cdn.shopify.com/s/files/1/0792/5098/1063/files/fc9d9bb7a4157494e84e2760896b163917544674147d59e79260c06c7047b8fa.jpg?v=1787239363" TargetMode="External" Id="rId113"/><Relationship Type="http://schemas.openxmlformats.org/officeDocument/2006/relationships/hyperlink" Target="https://cdn.shopify.com/s/files/1/0792/5098/1063/files/fc9d9bb7a4157494e84e2760896b163917544674147d59e79260c06c7047b8fa.jpg?v=1787239363" TargetMode="External" Id="rId114"/><Relationship Type="http://schemas.openxmlformats.org/officeDocument/2006/relationships/hyperlink" Target="https://cdn.shopify.com/s/files/1/0792/5098/1063/files/ed1f801ef63b58d7c0fa153b8385667b922eaf1d12c757a8abe5554bf16b8de3.jpg?v=1787239363" TargetMode="External" Id="rId115"/><Relationship Type="http://schemas.openxmlformats.org/officeDocument/2006/relationships/hyperlink" Target="https://cdn.shopify.com/s/files/1/0792/5098/1063/files/ed1f801ef63b58d7c0fa153b8385667b922eaf1d12c757a8abe5554bf16b8de3.jpg?v=1787239363" TargetMode="External" Id="rId116"/><Relationship Type="http://schemas.openxmlformats.org/officeDocument/2006/relationships/hyperlink" Target="https://cdn.shopify.com/s/files/1/0792/5098/1063/files/c75960e3ddc81d77c391212f67c79d9add41e8f685321e4f6ca1230660fcd8de.jpg?v=1787239363" TargetMode="External" Id="rId117"/><Relationship Type="http://schemas.openxmlformats.org/officeDocument/2006/relationships/hyperlink" Target="https://cdn.shopify.com/s/files/1/0792/5098/1063/files/c75960e3ddc81d77c391212f67c79d9add41e8f685321e4f6ca1230660fcd8de.jpg?v=1787239363" TargetMode="External" Id="rId118"/><Relationship Type="http://schemas.openxmlformats.org/officeDocument/2006/relationships/hyperlink" Target="https://cdn.shopify.com/s/files/1/0792/5098/1063/files/c995fe84801c09d910dc409c0566ec9afe487b8804ac002dd8b540abd448435d.jpg?v=1787239355" TargetMode="External" Id="rId119"/><Relationship Type="http://schemas.openxmlformats.org/officeDocument/2006/relationships/hyperlink" Target="https://cdn.shopify.com/s/files/1/0792/5098/1063/files/c995fe84801c09d910dc409c0566ec9afe487b8804ac002dd8b540abd448435d.jpg?v=1787239355" TargetMode="External" Id="rId120"/><Relationship Type="http://schemas.openxmlformats.org/officeDocument/2006/relationships/hyperlink" Target="https://cdn.shopify.com/s/files/1/0792/5098/1063/files/ada23d8192c9d327e2ca7af4d3ab7ad5b2f163980c27341d8ad218b41e8125d5.jpg?v=1787239355" TargetMode="External" Id="rId121"/><Relationship Type="http://schemas.openxmlformats.org/officeDocument/2006/relationships/hyperlink" Target="https://cdn.shopify.com/s/files/1/0792/5098/1063/files/ada23d8192c9d327e2ca7af4d3ab7ad5b2f163980c27341d8ad218b41e8125d5.jpg?v=1787239355" TargetMode="External" Id="rId122"/><Relationship Type="http://schemas.openxmlformats.org/officeDocument/2006/relationships/hyperlink" Target="https://cdn.shopify.com/s/files/1/0792/5098/1063/files/e80ea2d2d8dcc4ea9023f55162873b983177fa3a8f595e088474768ad799ed5c.jpg?v=1787239355" TargetMode="External" Id="rId123"/><Relationship Type="http://schemas.openxmlformats.org/officeDocument/2006/relationships/hyperlink" Target="https://cdn.shopify.com/s/files/1/0792/5098/1063/files/e80ea2d2d8dcc4ea9023f55162873b983177fa3a8f595e088474768ad799ed5c.jpg?v=1787239355" TargetMode="External" Id="rId124"/><Relationship Type="http://schemas.openxmlformats.org/officeDocument/2006/relationships/hyperlink" Target="https://cdn.shopify.com/s/files/1/0792/5098/1063/files/f3fc13bb561a00481ad014ca51c18eab68958750857b4d44f0ceee5c393efef5.jpg?v=1787239355" TargetMode="External" Id="rId125"/><Relationship Type="http://schemas.openxmlformats.org/officeDocument/2006/relationships/hyperlink" Target="https://cdn.shopify.com/s/files/1/0792/5098/1063/files/f3fc13bb561a00481ad014ca51c18eab68958750857b4d44f0ceee5c393efef5.jpg?v=1787239355" TargetMode="External" Id="rId126"/><Relationship Type="http://schemas.openxmlformats.org/officeDocument/2006/relationships/hyperlink" Target="https://cdn.shopify.com/s/files/1/0792/5098/1063/files/cc08a444fe29784e5b49094b0a886c70090b4e7ca551d385fed2daee54bfd77a.jpg?v=1787239355" TargetMode="External" Id="rId127"/><Relationship Type="http://schemas.openxmlformats.org/officeDocument/2006/relationships/hyperlink" Target="https://cdn.shopify.com/s/files/1/0792/5098/1063/files/cc08a444fe29784e5b49094b0a886c70090b4e7ca551d385fed2daee54bfd77a.jpg?v=1787239355" TargetMode="External" Id="rId12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Independent QA rubric.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D:\Shopify_Workspace\jeminise_seo\resutls\jeminise.com\20260906_234129\revisions\qa_batch_002_r5\SEO_Product_Optimization_qa_batch_002_r5.xlsx</t>
        </is>
      </c>
      <c r="C3" s="3" t="inlineStr">
        <is>
          <t>Frozen r5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20F09FC96EBC389199BEA3571AECF1A8A7FA18DCD07449291F53171CA48A8EAF</t>
        </is>
      </c>
      <c r="C4" s="2" t="inlineStr">
        <is>
          <t>Hash matched snapshot before and after QA.</t>
        </is>
      </c>
    </row>
    <row r="5" ht="42" customHeight="1">
      <c r="A5" s="3" t="inlineStr">
        <is>
          <t>qa_run_id</t>
        </is>
      </c>
      <c r="B5" s="3" t="inlineStr">
        <is>
          <t>20260909_042000</t>
        </is>
      </c>
      <c r="C5" s="3" t="inlineStr">
        <is>
          <t>Independent re-QA run.</t>
        </is>
      </c>
    </row>
    <row r="6" ht="42" customHeight="1">
      <c r="A6" s="2" t="inlineStr">
        <is>
          <t>batch_id</t>
        </is>
      </c>
      <c r="B6" s="2" t="inlineStr">
        <is>
          <t>qa_batch_002_r5</t>
        </is>
      </c>
      <c r="C6" s="2" t="inlineStr">
        <is>
          <t>Inventory positions 11-20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Official product-key scope.</t>
        </is>
      </c>
    </row>
    <row r="8" ht="42" customHeight="1">
      <c r="A8" s="2" t="inlineStr">
        <is>
          <t>images_checked</t>
        </is>
      </c>
      <c r="B8" s="2" t="inlineStr">
        <is>
          <t>64/64</t>
        </is>
      </c>
      <c r="C8" s="2" t="inlineStr">
        <is>
          <t>Full image coverage, keyed by media ID/URL.</t>
        </is>
      </c>
    </row>
    <row r="9" ht="42" customHeight="1">
      <c r="A9" s="3" t="inlineStr">
        <is>
          <t>batch_final_score</t>
        </is>
      </c>
      <c r="B9" s="3">
        <f>AVERAGE('QA_Products'!$I$2:$I$11)</f>
        <v/>
      </c>
      <c r="C9" s="3" t="inlineStr">
        <is>
          <t>Average product final score.</t>
        </is>
      </c>
    </row>
    <row r="10" ht="42" customHeight="1">
      <c r="A10" s="2" t="inlineStr">
        <is>
          <t>batch_result</t>
        </is>
      </c>
      <c r="B10" s="2">
        <f>IF(COUNTIF('QA_Products'!$J$2:$J$11,"QA_PASS")=ROWS('QA_Products'!$J$2:$J$11),"PASSED","NOT_PASSED")</f>
        <v/>
      </c>
      <c r="C10" s="2" t="inlineStr">
        <is>
          <t>Every product has full coverage, &gt;=85 and no CRITICAL/MAJOR.</t>
        </is>
      </c>
    </row>
    <row r="11" ht="42" customHeight="1">
      <c r="A11" s="3" t="inlineStr">
        <is>
          <t>status_counts</t>
        </is>
      </c>
      <c r="B11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1" s="3" t="inlineStr">
        <is>
          <t>QA status counts.</t>
        </is>
      </c>
    </row>
    <row r="12" ht="42" customHeight="1">
      <c r="A12" s="2" t="inlineStr">
        <is>
          <t>issue_counts</t>
        </is>
      </c>
      <c r="B12" s="2" t="inlineStr">
        <is>
          <t>{"MINOR": 10}</t>
        </is>
      </c>
      <c r="C12" s="2" t="inlineStr">
        <is>
          <t>Severity counts.</t>
        </is>
      </c>
    </row>
    <row r="13" ht="42" customHeight="1">
      <c r="A13" s="3" t="inlineStr">
        <is>
          <t>admin_export</t>
        </is>
      </c>
      <c r="B13" s="3" t="inlineStr">
        <is>
          <t>products_export_1.csv; 64/64 image-alt matches</t>
        </is>
      </c>
      <c r="C13" s="3" t="inlineStr">
        <is>
          <t>R5 admin baseline.</t>
        </is>
      </c>
    </row>
    <row r="14" ht="42" customHeight="1">
      <c r="A14" s="2" t="inlineStr">
        <is>
          <t>historical_r4_review</t>
        </is>
      </c>
      <c r="B14" s="2" t="inlineStr">
        <is>
          <t>{"PERSISTS": 10}</t>
        </is>
      </c>
      <c r="C14" s="2" t="inlineStr">
        <is>
          <t>10 r4 encoding findings rechecked; persists as minor source cleanup.</t>
        </is>
      </c>
    </row>
    <row r="15" ht="42" customHeight="1">
      <c r="A15" s="3" t="inlineStr">
        <is>
          <t>xlsx_status</t>
        </is>
      </c>
      <c r="B15" s="3" t="inlineStr">
        <is>
          <t>COMPLETE</t>
        </is>
      </c>
      <c r="C15" s="3" t="inlineStr">
        <is>
          <t>Five-sheet QA workbook.</t>
        </is>
      </c>
    </row>
  </sheetData>
  <autoFilter ref="A1:C15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11</v>
      </c>
      <c r="B2" s="2" t="inlineStr">
        <is>
          <t>jeminise.com+christian-bedding-set-inspirational-bible-verse-comforte-design-02</t>
        </is>
      </c>
      <c r="C2" s="4" t="inlineStr">
        <is>
          <t>https://jeminise.com/products/christian-bedding-set-inspirational-bible-verse-comforte-design-02</t>
        </is>
      </c>
      <c r="D2" s="2" t="inlineStr">
        <is>
          <t>r5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8</v>
      </c>
      <c r="M2" s="2" t="n">
        <v>8</v>
      </c>
      <c r="N2" s="2" t="b">
        <v>1</v>
      </c>
      <c r="O2" s="6" t="n">
        <v>1</v>
      </c>
      <c r="P2" s="2">
        <f>COUNTIFS('QA_Issues'!$B$2:$B$11,B2,'QA_Issues'!$D$2:$D$11,"CRITICAL")</f>
        <v/>
      </c>
      <c r="Q2" s="2">
        <f>COUNTIFS('QA_Issues'!$B$2:$B$11,B2,'QA_Issues'!$D$2:$D$11,"MAJOR")</f>
        <v/>
      </c>
      <c r="R2" s="2">
        <f>COUNTIFS('QA_Issues'!$B$2:$B$11,B2,'QA_Issues'!$D$2:$D$11,"MINOR")</f>
        <v/>
      </c>
      <c r="S2" s="2">
        <f>COUNTIFS('QA_Issues'!$B$2:$B$11,B2,'QA_Issues'!$D$2:$D$11,"LIMITATION")</f>
        <v/>
      </c>
      <c r="T2" s="2" t="inlineStr">
        <is>
          <t>["R5-ISS-011-ENC"]</t>
        </is>
      </c>
      <c r="U2" s="2" t="inlineStr">
        <is>
          <t>["evidence_batch_002_011", "https://jeminise.com/products/christian-bedding-set-inspirational-bible-verse-comforte-design-02", "serp_qa_011_1", "customizer_audit.json"]</t>
        </is>
      </c>
    </row>
    <row r="3" ht="42" customHeight="1">
      <c r="A3" s="3" t="n">
        <v>12</v>
      </c>
      <c r="B3" s="3" t="inlineStr">
        <is>
          <t>jeminise.com+christian-bedding-set-inspirational-bible-verse-comforte-design-03</t>
        </is>
      </c>
      <c r="C3" s="4" t="inlineStr">
        <is>
          <t>https://jeminise.com/products/christian-bedding-set-inspirational-bible-verse-comforte-design-03</t>
        </is>
      </c>
      <c r="D3" s="3" t="inlineStr">
        <is>
          <t>r5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7</v>
      </c>
      <c r="M3" s="3" t="n">
        <v>7</v>
      </c>
      <c r="N3" s="3" t="b">
        <v>1</v>
      </c>
      <c r="O3" s="8" t="n">
        <v>1</v>
      </c>
      <c r="P3" s="3">
        <f>COUNTIFS('QA_Issues'!$B$2:$B$11,B3,'QA_Issues'!$D$2:$D$11,"CRITICAL")</f>
        <v/>
      </c>
      <c r="Q3" s="3">
        <f>COUNTIFS('QA_Issues'!$B$2:$B$11,B3,'QA_Issues'!$D$2:$D$11,"MAJOR")</f>
        <v/>
      </c>
      <c r="R3" s="3">
        <f>COUNTIFS('QA_Issues'!$B$2:$B$11,B3,'QA_Issues'!$D$2:$D$11,"MINOR")</f>
        <v/>
      </c>
      <c r="S3" s="3">
        <f>COUNTIFS('QA_Issues'!$B$2:$B$11,B3,'QA_Issues'!$D$2:$D$11,"LIMITATION")</f>
        <v/>
      </c>
      <c r="T3" s="3" t="inlineStr">
        <is>
          <t>["R5-ISS-012-ENC"]</t>
        </is>
      </c>
      <c r="U3" s="3" t="inlineStr">
        <is>
          <t>["evidence_batch_002_012", "https://jeminise.com/products/christian-bedding-set-inspirational-bible-verse-comforte-design-03", "serp_qa_012_1", "customizer_audit.json"]</t>
        </is>
      </c>
    </row>
    <row r="4" ht="42" customHeight="1">
      <c r="A4" s="2" t="n">
        <v>13</v>
      </c>
      <c r="B4" s="2" t="inlineStr">
        <is>
          <t>jeminise.com+christian-bedding-set-inspirational-bible-verse-comforte-design-04</t>
        </is>
      </c>
      <c r="C4" s="4" t="inlineStr">
        <is>
          <t>https://jeminise.com/products/christian-bedding-set-inspirational-bible-verse-comforte-design-04</t>
        </is>
      </c>
      <c r="D4" s="2" t="inlineStr">
        <is>
          <t>r5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7</v>
      </c>
      <c r="M4" s="2" t="n">
        <v>7</v>
      </c>
      <c r="N4" s="2" t="b">
        <v>1</v>
      </c>
      <c r="O4" s="6" t="n">
        <v>1</v>
      </c>
      <c r="P4" s="2">
        <f>COUNTIFS('QA_Issues'!$B$2:$B$11,B4,'QA_Issues'!$D$2:$D$11,"CRITICAL")</f>
        <v/>
      </c>
      <c r="Q4" s="2">
        <f>COUNTIFS('QA_Issues'!$B$2:$B$11,B4,'QA_Issues'!$D$2:$D$11,"MAJOR")</f>
        <v/>
      </c>
      <c r="R4" s="2">
        <f>COUNTIFS('QA_Issues'!$B$2:$B$11,B4,'QA_Issues'!$D$2:$D$11,"MINOR")</f>
        <v/>
      </c>
      <c r="S4" s="2">
        <f>COUNTIFS('QA_Issues'!$B$2:$B$11,B4,'QA_Issues'!$D$2:$D$11,"LIMITATION")</f>
        <v/>
      </c>
      <c r="T4" s="2" t="inlineStr">
        <is>
          <t>["R5-ISS-013-ENC"]</t>
        </is>
      </c>
      <c r="U4" s="2" t="inlineStr">
        <is>
          <t>["evidence_batch_002_013", "https://jeminise.com/products/christian-bedding-set-inspirational-bible-verse-comforte-design-04", "serp_qa_013_1", "customizer_audit.json"]</t>
        </is>
      </c>
    </row>
    <row r="5" ht="42" customHeight="1">
      <c r="A5" s="3" t="n">
        <v>14</v>
      </c>
      <c r="B5" s="3" t="inlineStr">
        <is>
          <t>jeminise.com+christian-bedding-set-inspirational-bible-verse-comforte-design-05</t>
        </is>
      </c>
      <c r="C5" s="4" t="inlineStr">
        <is>
          <t>https://jeminise.com/products/christian-bedding-set-inspirational-bible-verse-comforte-design-05</t>
        </is>
      </c>
      <c r="D5" s="3" t="inlineStr">
        <is>
          <t>r5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7</v>
      </c>
      <c r="M5" s="3" t="n">
        <v>7</v>
      </c>
      <c r="N5" s="3" t="b">
        <v>1</v>
      </c>
      <c r="O5" s="8" t="n">
        <v>1</v>
      </c>
      <c r="P5" s="3">
        <f>COUNTIFS('QA_Issues'!$B$2:$B$11,B5,'QA_Issues'!$D$2:$D$11,"CRITICAL")</f>
        <v/>
      </c>
      <c r="Q5" s="3">
        <f>COUNTIFS('QA_Issues'!$B$2:$B$11,B5,'QA_Issues'!$D$2:$D$11,"MAJOR")</f>
        <v/>
      </c>
      <c r="R5" s="3">
        <f>COUNTIFS('QA_Issues'!$B$2:$B$11,B5,'QA_Issues'!$D$2:$D$11,"MINOR")</f>
        <v/>
      </c>
      <c r="S5" s="3">
        <f>COUNTIFS('QA_Issues'!$B$2:$B$11,B5,'QA_Issues'!$D$2:$D$11,"LIMITATION")</f>
        <v/>
      </c>
      <c r="T5" s="3" t="inlineStr">
        <is>
          <t>["R5-ISS-014-ENC"]</t>
        </is>
      </c>
      <c r="U5" s="3" t="inlineStr">
        <is>
          <t>["evidence_batch_002_014", "https://jeminise.com/products/christian-bedding-set-inspirational-bible-verse-comforte-design-05", "serp_qa_014_1", "customizer_audit.json"]</t>
        </is>
      </c>
    </row>
    <row r="6" ht="42" customHeight="1">
      <c r="A6" s="2" t="n">
        <v>15</v>
      </c>
      <c r="B6" s="2" t="inlineStr">
        <is>
          <t>jeminise.com+christian-bedding-set-inspirational-bible-verse-comforte-design-06</t>
        </is>
      </c>
      <c r="C6" s="4" t="inlineStr">
        <is>
          <t>https://jeminise.com/products/christian-bedding-set-inspirational-bible-verse-comforte-design-06</t>
        </is>
      </c>
      <c r="D6" s="2" t="inlineStr">
        <is>
          <t>r5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7</v>
      </c>
      <c r="M6" s="2" t="n">
        <v>7</v>
      </c>
      <c r="N6" s="2" t="b">
        <v>1</v>
      </c>
      <c r="O6" s="6" t="n">
        <v>1</v>
      </c>
      <c r="P6" s="2">
        <f>COUNTIFS('QA_Issues'!$B$2:$B$11,B6,'QA_Issues'!$D$2:$D$11,"CRITICAL")</f>
        <v/>
      </c>
      <c r="Q6" s="2">
        <f>COUNTIFS('QA_Issues'!$B$2:$B$11,B6,'QA_Issues'!$D$2:$D$11,"MAJOR")</f>
        <v/>
      </c>
      <c r="R6" s="2">
        <f>COUNTIFS('QA_Issues'!$B$2:$B$11,B6,'QA_Issues'!$D$2:$D$11,"MINOR")</f>
        <v/>
      </c>
      <c r="S6" s="2">
        <f>COUNTIFS('QA_Issues'!$B$2:$B$11,B6,'QA_Issues'!$D$2:$D$11,"LIMITATION")</f>
        <v/>
      </c>
      <c r="T6" s="2" t="inlineStr">
        <is>
          <t>["R5-ISS-015-ENC"]</t>
        </is>
      </c>
      <c r="U6" s="2" t="inlineStr">
        <is>
          <t>["evidence_batch_002_015", "https://jeminise.com/products/christian-bedding-set-inspirational-bible-verse-comforte-design-06", "serp_qa_015_1", "customizer_audit.json"]</t>
        </is>
      </c>
    </row>
    <row r="7" ht="42" customHeight="1">
      <c r="A7" s="3" t="n">
        <v>16</v>
      </c>
      <c r="B7" s="3" t="inlineStr">
        <is>
          <t>jeminise.com+christian-bedding-set-inspirational-bible-verse-comforter</t>
        </is>
      </c>
      <c r="C7" s="4" t="inlineStr">
        <is>
          <t>https://jeminise.com/products/christian-bedding-set-inspirational-bible-verse-comforter</t>
        </is>
      </c>
      <c r="D7" s="3" t="inlineStr">
        <is>
          <t>r5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8</v>
      </c>
      <c r="M7" s="3" t="n">
        <v>8</v>
      </c>
      <c r="N7" s="3" t="b">
        <v>1</v>
      </c>
      <c r="O7" s="8" t="n">
        <v>1</v>
      </c>
      <c r="P7" s="3">
        <f>COUNTIFS('QA_Issues'!$B$2:$B$11,B7,'QA_Issues'!$D$2:$D$11,"CRITICAL")</f>
        <v/>
      </c>
      <c r="Q7" s="3">
        <f>COUNTIFS('QA_Issues'!$B$2:$B$11,B7,'QA_Issues'!$D$2:$D$11,"MAJOR")</f>
        <v/>
      </c>
      <c r="R7" s="3">
        <f>COUNTIFS('QA_Issues'!$B$2:$B$11,B7,'QA_Issues'!$D$2:$D$11,"MINOR")</f>
        <v/>
      </c>
      <c r="S7" s="3">
        <f>COUNTIFS('QA_Issues'!$B$2:$B$11,B7,'QA_Issues'!$D$2:$D$11,"LIMITATION")</f>
        <v/>
      </c>
      <c r="T7" s="3" t="inlineStr">
        <is>
          <t>["R5-ISS-016-ENC"]</t>
        </is>
      </c>
      <c r="U7" s="3" t="inlineStr">
        <is>
          <t>["evidence_batch_002_016", "https://jeminise.com/products/christian-bedding-set-inspirational-bible-verse-comforter", "serp_qa_016_1", "customizer_audit.json"]</t>
        </is>
      </c>
    </row>
    <row r="8" ht="42" customHeight="1">
      <c r="A8" s="2" t="n">
        <v>17</v>
      </c>
      <c r="B8" s="2" t="inlineStr">
        <is>
          <t>jeminise.com+christmas-bedding-quilt-soft-microfiber-holiday-bedsprea-design-01</t>
        </is>
      </c>
      <c r="C8" s="4" t="inlineStr">
        <is>
          <t>https://jeminise.com/products/christmas-bedding-quilt-soft-microfiber-holiday-bedsprea-design-01</t>
        </is>
      </c>
      <c r="D8" s="2" t="inlineStr">
        <is>
          <t>r5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5</v>
      </c>
      <c r="M8" s="2" t="n">
        <v>5</v>
      </c>
      <c r="N8" s="2" t="b">
        <v>1</v>
      </c>
      <c r="O8" s="6" t="n">
        <v>1</v>
      </c>
      <c r="P8" s="2">
        <f>COUNTIFS('QA_Issues'!$B$2:$B$11,B8,'QA_Issues'!$D$2:$D$11,"CRITICAL")</f>
        <v/>
      </c>
      <c r="Q8" s="2">
        <f>COUNTIFS('QA_Issues'!$B$2:$B$11,B8,'QA_Issues'!$D$2:$D$11,"MAJOR")</f>
        <v/>
      </c>
      <c r="R8" s="2">
        <f>COUNTIFS('QA_Issues'!$B$2:$B$11,B8,'QA_Issues'!$D$2:$D$11,"MINOR")</f>
        <v/>
      </c>
      <c r="S8" s="2">
        <f>COUNTIFS('QA_Issues'!$B$2:$B$11,B8,'QA_Issues'!$D$2:$D$11,"LIMITATION")</f>
        <v/>
      </c>
      <c r="T8" s="2" t="inlineStr">
        <is>
          <t>["R5-ISS-017-ENC"]</t>
        </is>
      </c>
      <c r="U8" s="2" t="inlineStr">
        <is>
          <t>["evidence_batch_002_017", "https://jeminise.com/products/christmas-bedding-quilt-soft-microfiber-holiday-bedsprea-design-01", "serp_qa_017_1", "customizer_audit.json"]</t>
        </is>
      </c>
    </row>
    <row r="9" ht="42" customHeight="1">
      <c r="A9" s="3" t="n">
        <v>18</v>
      </c>
      <c r="B9" s="3" t="inlineStr">
        <is>
          <t>jeminise.com+christmas-bedding-quilt-soft-microfiber-holiday-bedsprea-design-02</t>
        </is>
      </c>
      <c r="C9" s="4" t="inlineStr">
        <is>
          <t>https://jeminise.com/products/christmas-bedding-quilt-soft-microfiber-holiday-bedsprea-design-02</t>
        </is>
      </c>
      <c r="D9" s="3" t="inlineStr">
        <is>
          <t>r5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5</v>
      </c>
      <c r="M9" s="3" t="n">
        <v>5</v>
      </c>
      <c r="N9" s="3" t="b">
        <v>1</v>
      </c>
      <c r="O9" s="8" t="n">
        <v>1</v>
      </c>
      <c r="P9" s="3">
        <f>COUNTIFS('QA_Issues'!$B$2:$B$11,B9,'QA_Issues'!$D$2:$D$11,"CRITICAL")</f>
        <v/>
      </c>
      <c r="Q9" s="3">
        <f>COUNTIFS('QA_Issues'!$B$2:$B$11,B9,'QA_Issues'!$D$2:$D$11,"MAJOR")</f>
        <v/>
      </c>
      <c r="R9" s="3">
        <f>COUNTIFS('QA_Issues'!$B$2:$B$11,B9,'QA_Issues'!$D$2:$D$11,"MINOR")</f>
        <v/>
      </c>
      <c r="S9" s="3">
        <f>COUNTIFS('QA_Issues'!$B$2:$B$11,B9,'QA_Issues'!$D$2:$D$11,"LIMITATION")</f>
        <v/>
      </c>
      <c r="T9" s="3" t="inlineStr">
        <is>
          <t>["R5-ISS-018-ENC"]</t>
        </is>
      </c>
      <c r="U9" s="3" t="inlineStr">
        <is>
          <t>["evidence_batch_002_018", "https://jeminise.com/products/christmas-bedding-quilt-soft-microfiber-holiday-bedsprea-design-02", "serp_qa_018_1", "customizer_audit.json"]</t>
        </is>
      </c>
    </row>
    <row r="10" ht="42" customHeight="1">
      <c r="A10" s="2" t="n">
        <v>19</v>
      </c>
      <c r="B10" s="2" t="inlineStr">
        <is>
          <t>jeminise.com+christmas-bedding-quilt-soft-microfiber-holiday-bedsprea-design-03</t>
        </is>
      </c>
      <c r="C10" s="4" t="inlineStr">
        <is>
          <t>https://jeminise.com/products/christmas-bedding-quilt-soft-microfiber-holiday-bedsprea-design-03</t>
        </is>
      </c>
      <c r="D10" s="2" t="inlineStr">
        <is>
          <t>r5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5</v>
      </c>
      <c r="M10" s="2" t="n">
        <v>5</v>
      </c>
      <c r="N10" s="2" t="b">
        <v>1</v>
      </c>
      <c r="O10" s="6" t="n">
        <v>1</v>
      </c>
      <c r="P10" s="2">
        <f>COUNTIFS('QA_Issues'!$B$2:$B$11,B10,'QA_Issues'!$D$2:$D$11,"CRITICAL")</f>
        <v/>
      </c>
      <c r="Q10" s="2">
        <f>COUNTIFS('QA_Issues'!$B$2:$B$11,B10,'QA_Issues'!$D$2:$D$11,"MAJOR")</f>
        <v/>
      </c>
      <c r="R10" s="2">
        <f>COUNTIFS('QA_Issues'!$B$2:$B$11,B10,'QA_Issues'!$D$2:$D$11,"MINOR")</f>
        <v/>
      </c>
      <c r="S10" s="2">
        <f>COUNTIFS('QA_Issues'!$B$2:$B$11,B10,'QA_Issues'!$D$2:$D$11,"LIMITATION")</f>
        <v/>
      </c>
      <c r="T10" s="2" t="inlineStr">
        <is>
          <t>["R5-ISS-019-ENC"]</t>
        </is>
      </c>
      <c r="U10" s="2" t="inlineStr">
        <is>
          <t>["evidence_batch_002_019", "https://jeminise.com/products/christmas-bedding-quilt-soft-microfiber-holiday-bedsprea-design-03", "serp_qa_019_1", "customizer_audit.json"]</t>
        </is>
      </c>
    </row>
    <row r="11" ht="42" customHeight="1">
      <c r="A11" s="3" t="n">
        <v>20</v>
      </c>
      <c r="B11" s="3" t="inlineStr">
        <is>
          <t>jeminise.com+christmas-bedding-quilt-soft-microfiber-holiday-bedsprea-design-04</t>
        </is>
      </c>
      <c r="C11" s="4" t="inlineStr">
        <is>
          <t>https://jeminise.com/products/christmas-bedding-quilt-soft-microfiber-holiday-bedsprea-design-04</t>
        </is>
      </c>
      <c r="D11" s="3" t="inlineStr">
        <is>
          <t>r5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5</v>
      </c>
      <c r="M11" s="3" t="n">
        <v>5</v>
      </c>
      <c r="N11" s="3" t="b">
        <v>1</v>
      </c>
      <c r="O11" s="8" t="n">
        <v>1</v>
      </c>
      <c r="P11" s="3">
        <f>COUNTIFS('QA_Issues'!$B$2:$B$11,B11,'QA_Issues'!$D$2:$D$11,"CRITICAL")</f>
        <v/>
      </c>
      <c r="Q11" s="3">
        <f>COUNTIFS('QA_Issues'!$B$2:$B$11,B11,'QA_Issues'!$D$2:$D$11,"MAJOR")</f>
        <v/>
      </c>
      <c r="R11" s="3">
        <f>COUNTIFS('QA_Issues'!$B$2:$B$11,B11,'QA_Issues'!$D$2:$D$11,"MINOR")</f>
        <v/>
      </c>
      <c r="S11" s="3">
        <f>COUNTIFS('QA_Issues'!$B$2:$B$11,B11,'QA_Issues'!$D$2:$D$11,"LIMITATION")</f>
        <v/>
      </c>
      <c r="T11" s="3" t="inlineStr">
        <is>
          <t>["R5-ISS-020-ENC"]</t>
        </is>
      </c>
      <c r="U11" s="3" t="inlineStr">
        <is>
          <t>["evidence_batch_002_020", "https://jeminise.com/products/christmas-bedding-quilt-soft-microfiber-holiday-bedsprea-design-04", "serp_qa_020_1", "customizer_audit.json"]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jeminise.com+christian-bedding-set-inspirational-bible-verse-comforte-design-02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IF(B2="I1",AVERAGEIF('QA_Images'!$A$2:$A$65,A2,'QA_Images'!$S$2:$S$65)/100,IF(D2="FULL",1,IF(D2="PARTIAL",0.5,IF(D2="FAIL",0,""))))</f>
        <v/>
      </c>
      <c r="F2" s="5">
        <f>IF(E2="",0,C2*E2)</f>
        <v/>
      </c>
      <c r="G2" s="5">
        <f>IF(B2="I1",20*AVERAGEIF('QA_Images'!$A$2:$A$65,A2,'QA_Images'!$T$2:$T$65)/100,IF(D2="NOT_CHECKED",0,C2))</f>
        <v/>
      </c>
      <c r="H2" s="2" t="inlineStr">
        <is>
          <t>Đối chiếu loại sản phẩm, thiết kế và màu sắc với product JSON, H1 live và toàn bộ gallery ảnh.</t>
        </is>
      </c>
      <c r="I2" s="2" t="inlineStr">
        <is>
          <t>["evidence_batch_002_011", "https://jeminise.com/products/christian-bedding-set-inspirational-bible-verse-comforte-design-02"]</t>
        </is>
      </c>
      <c r="J2" s="2" t="inlineStr">
        <is>
          <t>[]</t>
        </is>
      </c>
    </row>
    <row r="3" ht="42" customHeight="1">
      <c r="A3" s="3" t="inlineStr">
        <is>
          <t>jeminise.com+christian-bedding-set-inspirational-bible-verse-comforte-design-02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IF(B3="I1",AVERAGEIF('QA_Images'!$A$2:$A$65,A3,'QA_Images'!$S$2:$S$65)/100,IF(D3="FULL",1,IF(D3="PARTIAL",0.5,IF(D3="FAIL",0,""))))</f>
        <v/>
      </c>
      <c r="F3" s="7">
        <f>IF(E3="",0,C3*E3)</f>
        <v/>
      </c>
      <c r="G3" s="7">
        <f>IF(B3="I1",20*AVERAGEIF('QA_Images'!$A$2:$A$65,A3,'QA_Images'!$T$2:$T$65)/100,IF(D3="NOT_CHECKED",0,C3))</f>
        <v/>
      </c>
      <c r="H3" s="3" t="inlineStr">
        <is>
          <t>Đối chiếu chất liệu 100% microfiber, kích thước, thành phần đi kèm, biến thể và giới hạn personalization với customizer và gallery.</t>
        </is>
      </c>
      <c r="I3" s="3" t="inlineStr">
        <is>
          <t>["evidence_batch_002_011", "customizer_audit.json", "https://jeminise.com/products/christian-bedding-set-inspirational-bible-verse-comforte-design-02"]</t>
        </is>
      </c>
      <c r="J3" s="3" t="inlineStr">
        <is>
          <t>[]</t>
        </is>
      </c>
    </row>
    <row r="4" ht="42" customHeight="1">
      <c r="A4" s="2" t="inlineStr">
        <is>
          <t>jeminise.com+christian-bedding-set-inspirational-bible-verse-comforte-design-02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IF(B4="I1",AVERAGEIF('QA_Images'!$A$2:$A$65,A4,'QA_Images'!$S$2:$S$65)/100,IF(D4="FULL",1,IF(D4="PARTIAL",0.5,IF(D4="FAIL",0,""))))</f>
        <v/>
      </c>
      <c r="F4" s="5">
        <f>IF(E4="",0,C4*E4)</f>
        <v/>
      </c>
      <c r="G4" s="5">
        <f>IF(B4="I1",20*AVERAGEIF('QA_Images'!$A$2:$A$65,A4,'QA_Images'!$T$2:$T$65)/100,IF(D4="NOT_CHECKED",0,C4))</f>
        <v/>
      </c>
      <c r="H4" s="2" t="inlineStr">
        <is>
          <t>Đối chiếu long-tail với thiết kế riêng và nguy cơ trùng intent trong hai cụm Christian/Christmas của batch.</t>
        </is>
      </c>
      <c r="I4" s="2" t="inlineStr">
        <is>
          <t>["evidence_batch_002_011", "serp_qa_011_1"]</t>
        </is>
      </c>
      <c r="J4" s="2" t="inlineStr">
        <is>
          <t>[]</t>
        </is>
      </c>
    </row>
    <row r="5" ht="42" customHeight="1">
      <c r="A5" s="3" t="inlineStr">
        <is>
          <t>jeminise.com+christian-bedding-set-inspirational-bible-verse-comforte-design-02</t>
        </is>
      </c>
      <c r="B5" s="3" t="inlineStr">
        <is>
          <t>K2</t>
        </is>
      </c>
      <c r="C5" s="3" t="n">
        <v>5</v>
      </c>
      <c r="D5" s="3" t="inlineStr">
        <is>
          <t>PARTIAL</t>
        </is>
      </c>
      <c r="E5" s="7">
        <f>IF(B5="I1",AVERAGEIF('QA_Images'!$A$2:$A$65,A5,'QA_Images'!$S$2:$S$65)/100,IF(D5="FULL",1,IF(D5="PARTIAL",0.5,IF(D5="FAIL",0,""))))</f>
        <v/>
      </c>
      <c r="F5" s="7">
        <f>IF(E5="",0,C5*E5)</f>
        <v/>
      </c>
      <c r="G5" s="7">
        <f>IF(B5="I1",20*AVERAGEIF('QA_Images'!$A$2:$A$65,A5,'QA_Images'!$T$2:$T$65)/100,IF(D5="NOT_CHECKED",0,C5))</f>
        <v/>
      </c>
      <c r="H5" s="3" t="inlineStr">
        <is>
          <t>Đã đọc lại hai SERP query cho mỗi sản phẩm tại intent US; ghi URL thực đọc và không suy diễn volume.</t>
        </is>
      </c>
      <c r="I5" s="3" t="inlineStr">
        <is>
          <t>["evidence_batch_002_011", "serp_qa_011_1", "serp_qa_011_2"]</t>
        </is>
      </c>
      <c r="J5" s="3" t="inlineStr">
        <is>
          <t>[]</t>
        </is>
      </c>
    </row>
    <row r="6" ht="42" customHeight="1">
      <c r="A6" s="2" t="inlineStr">
        <is>
          <t>jeminise.com+christian-bedding-set-inspirational-bible-verse-comforte-design-02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IF(B6="I1",AVERAGEIF('QA_Images'!$A$2:$A$65,A6,'QA_Images'!$S$2:$S$65)/100,IF(D6="FULL",1,IF(D6="PARTIAL",0.5,IF(D6="FAIL",0,""))))</f>
        <v/>
      </c>
      <c r="F6" s="5">
        <f>IF(E6="",0,C6*E6)</f>
        <v/>
      </c>
      <c r="G6" s="5">
        <f>IF(B6="I1",20*AVERAGEIF('QA_Images'!$A$2:$A$65,A6,'QA_Images'!$T$2:$T$65)/100,IF(D6="NOT_CHECKED",0,C6))</f>
        <v/>
      </c>
      <c r="H6" s="2" t="inlineStr">
        <is>
          <t>Không suy diễn volume; phân biệt SERP_ONLY và HYPOTHESIS_ONLY.</t>
        </is>
      </c>
      <c r="I6" s="2" t="inlineStr">
        <is>
          <t>["evidence_batch_002_011", "Keyword_Map"]</t>
        </is>
      </c>
      <c r="J6" s="2" t="inlineStr">
        <is>
          <t>[]</t>
        </is>
      </c>
    </row>
    <row r="7" ht="42" customHeight="1">
      <c r="A7" s="3" t="inlineStr">
        <is>
          <t>jeminise.com+christian-bedding-set-inspirational-bible-verse-comforte-design-02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IF(B7="I1",AVERAGEIF('QA_Images'!$A$2:$A$65,A7,'QA_Images'!$S$2:$S$65)/100,IF(D7="FULL",1,IF(D7="PARTIAL",0.5,IF(D7="FAIL",0,""))))</f>
        <v/>
      </c>
      <c r="F7" s="7">
        <f>IF(E7="",0,C7*E7)</f>
        <v/>
      </c>
      <c r="G7" s="7">
        <f>IF(B7="I1",20*AVERAGEIF('QA_Images'!$A$2:$A$65,A7,'QA_Images'!$T$2:$T$65)/100,IF(D7="NOT_CHECKED",0,C7))</f>
        <v/>
      </c>
      <c r="H7" s="3" t="inlineStr">
        <is>
          <t>Đánh giá SEO title English về độ đúng, tự nhiên, keyword mục tiêu và điểm phân biệt.</t>
        </is>
      </c>
      <c r="I7" s="3" t="inlineStr">
        <is>
          <t>["evidence_batch_002_011", "https://jeminise.com/products/christian-bedding-set-inspirational-bible-verse-comforte-design-02"]</t>
        </is>
      </c>
      <c r="J7" s="3" t="inlineStr">
        <is>
          <t>[]</t>
        </is>
      </c>
    </row>
    <row r="8" ht="42" customHeight="1">
      <c r="A8" s="2" t="inlineStr">
        <is>
          <t>jeminise.com+christian-bedding-set-inspirational-bible-verse-comforte-design-02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IF(B8="I1",AVERAGEIF('QA_Images'!$A$2:$A$65,A8,'QA_Images'!$S$2:$S$65)/100,IF(D8="FULL",1,IF(D8="PARTIAL",0.5,IF(D8="FAIL",0,""))))</f>
        <v/>
      </c>
      <c r="F8" s="5">
        <f>IF(E8="",0,C8*E8)</f>
        <v/>
      </c>
      <c r="G8" s="5">
        <f>IF(B8="I1",20*AVERAGEIF('QA_Images'!$A$2:$A$65,A8,'QA_Images'!$T$2:$T$65)/100,IF(D8="NOT_CHECKED",0,C8))</f>
        <v/>
      </c>
      <c r="H8" s="2" t="inlineStr">
        <is>
          <t>Đánh giá H1 đề xuất độc lập với SEO title và đối chiếu lỗi ký tự nguồn.</t>
        </is>
      </c>
      <c r="I8" s="2" t="inlineStr">
        <is>
          <t>["evidence_batch_002_011", "https://jeminise.com/products/christian-bedding-set-inspirational-bible-verse-comforte-design-02"]</t>
        </is>
      </c>
      <c r="J8" s="2" t="inlineStr">
        <is>
          <t>["R5-ISS-011-ENC"]</t>
        </is>
      </c>
    </row>
    <row r="9" ht="42" customHeight="1">
      <c r="A9" s="3" t="inlineStr">
        <is>
          <t>jeminise.com+christian-bedding-set-inspirational-bible-verse-comforte-design-02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IF(B9="I1",AVERAGEIF('QA_Images'!$A$2:$A$65,A9,'QA_Images'!$S$2:$S$65)/100,IF(D9="FULL",1,IF(D9="PARTIAL",0.5,IF(D9="FAIL",0,""))))</f>
        <v/>
      </c>
      <c r="F9" s="7">
        <f>IF(E9="",0,C9*E9)</f>
        <v/>
      </c>
      <c r="G9" s="7">
        <f>IF(B9="I1",20*AVERAGEIF('QA_Images'!$A$2:$A$65,A9,'QA_Images'!$T$2:$T$65)/100,IF(D9="NOT_CHECKED",0,C9))</f>
        <v/>
      </c>
      <c r="H9" s="3" t="inlineStr">
        <is>
          <t>Đánh giá meta description về tính cụ thể, mạch lạc và căn cứ claim.</t>
        </is>
      </c>
      <c r="I9" s="3" t="inlineStr">
        <is>
          <t>["evidence_batch_002_011", "https://jeminise.com/products/christian-bedding-set-inspirational-bible-verse-comforte-design-02"]</t>
        </is>
      </c>
      <c r="J9" s="3" t="inlineStr">
        <is>
          <t>[]</t>
        </is>
      </c>
    </row>
    <row r="10" ht="42" customHeight="1">
      <c r="A10" s="2" t="inlineStr">
        <is>
          <t>jeminise.com+christian-bedding-set-inspirational-bible-verse-comforte-design-02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5">
        <f>IF(B10="I1",AVERAGEIF('QA_Images'!$A$2:$A$65,A10,'QA_Images'!$S$2:$S$65)/100,IF(D10="FULL",1,IF(D10="PARTIAL",0.5,IF(D10="FAIL",0,""))))</f>
        <v/>
      </c>
      <c r="F10" s="5">
        <f>IF(E10="",0,C10*E10)</f>
        <v/>
      </c>
      <c r="G10" s="5">
        <f>IF(B10="I1",20*AVERAGEIF('QA_Images'!$A$2:$A$65,A10,'QA_Images'!$T$2:$T$65)/100,IF(D10="NOT_CHECKED",0,C10))</f>
        <v/>
      </c>
      <c r="H10" s="2" t="inlineStr">
        <is>
          <t>Description r5 hoàn toàn customer-facing, không còn ngôn ngữ nội bộ/workflow; phản ánh đúng thuộc tính và giới hạn tùy biến.</t>
        </is>
      </c>
      <c r="I10" s="2" t="inlineStr">
        <is>
          <t>["evidence_batch_002_011", "https://jeminise.com/products/christian-bedding-set-inspirational-bible-verse-comforte-design-02"]</t>
        </is>
      </c>
      <c r="J10" s="2" t="inlineStr">
        <is>
          <t>[]</t>
        </is>
      </c>
    </row>
    <row r="11" ht="42" customHeight="1">
      <c r="A11" s="3" t="inlineStr">
        <is>
          <t>jeminise.com+christian-bedding-set-inspirational-bible-verse-comforte-design-02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IF(B11="I1",AVERAGEIF('QA_Images'!$A$2:$A$65,A11,'QA_Images'!$S$2:$S$65)/100,IF(D11="FULL",1,IF(D11="PARTIAL",0.5,IF(D11="FAIL",0,""))))</f>
        <v/>
      </c>
      <c r="F11" s="7">
        <f>IF(E11="",0,C11*E11)</f>
        <v/>
      </c>
      <c r="G11" s="7">
        <f>IF(B11="I1",20*AVERAGEIF('QA_Images'!$A$2:$A$65,A11,'QA_Images'!$T$2:$T$65)/100,IF(D11="NOT_CHECKED",0,C11))</f>
        <v/>
      </c>
      <c r="H11" s="3" t="inlineStr">
        <is>
          <t>Derived from directly checked r5 media records: 100.0/100.</t>
        </is>
      </c>
      <c r="I11" s="3" t="inlineStr">
        <is>
          <t>["evidence_batch_002_011", "QA_Images"]</t>
        </is>
      </c>
      <c r="J11" s="3" t="inlineStr">
        <is>
          <t>[]</t>
        </is>
      </c>
    </row>
    <row r="12" ht="42" customHeight="1">
      <c r="A12" s="2" t="inlineStr">
        <is>
          <t>jeminise.com+christian-bedding-set-inspirational-bible-verse-comforte-design-02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IF(B12="I1",AVERAGEIF('QA_Images'!$A$2:$A$65,A12,'QA_Images'!$S$2:$S$65)/100,IF(D12="FULL",1,IF(D12="PARTIAL",0.5,IF(D12="FAIL",0,""))))</f>
        <v/>
      </c>
      <c r="F12" s="5">
        <f>IF(E12="",0,C12*E12)</f>
        <v/>
      </c>
      <c r="G12" s="5">
        <f>IF(B12="I1",20*AVERAGEIF('QA_Images'!$A$2:$A$65,A12,'QA_Images'!$T$2:$T$65)/100,IF(D12="NOT_CHECKED",0,C12))</f>
        <v/>
      </c>
      <c r="H12" s="2" t="inlineStr">
        <is>
          <t>Kiểm tra liên kết product key/handle/evidence/revision giữa workbook, snapshot và nguồn live.</t>
        </is>
      </c>
      <c r="I12" s="2" t="inlineStr">
        <is>
          <t>["evidence_batch_002_011", "https://jeminise.com/products/christian-bedding-set-inspirational-bible-verse-comforte-design-02", "Keyword_Map", "Product_Evidence"]</t>
        </is>
      </c>
      <c r="J12" s="2" t="inlineStr">
        <is>
          <t>[]</t>
        </is>
      </c>
    </row>
    <row r="13" ht="42" customHeight="1">
      <c r="A13" s="3" t="inlineStr">
        <is>
          <t>jeminise.com+christian-bedding-set-inspirational-bible-verse-comforte-design-03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IF(B13="I1",AVERAGEIF('QA_Images'!$A$2:$A$65,A13,'QA_Images'!$S$2:$S$65)/100,IF(D13="FULL",1,IF(D13="PARTIAL",0.5,IF(D13="FAIL",0,""))))</f>
        <v/>
      </c>
      <c r="F13" s="7">
        <f>IF(E13="",0,C13*E13)</f>
        <v/>
      </c>
      <c r="G13" s="7">
        <f>IF(B13="I1",20*AVERAGEIF('QA_Images'!$A$2:$A$65,A13,'QA_Images'!$T$2:$T$65)/100,IF(D13="NOT_CHECKED",0,C13))</f>
        <v/>
      </c>
      <c r="H13" s="3" t="inlineStr">
        <is>
          <t>Đối chiếu loại sản phẩm, thiết kế và màu sắc với product JSON, H1 live và toàn bộ gallery ảnh.</t>
        </is>
      </c>
      <c r="I13" s="3" t="inlineStr">
        <is>
          <t>["evidence_batch_002_012", "https://jeminise.com/products/christian-bedding-set-inspirational-bible-verse-comforte-design-03"]</t>
        </is>
      </c>
      <c r="J13" s="3" t="inlineStr">
        <is>
          <t>[]</t>
        </is>
      </c>
    </row>
    <row r="14" ht="42" customHeight="1">
      <c r="A14" s="2" t="inlineStr">
        <is>
          <t>jeminise.com+christian-bedding-set-inspirational-bible-verse-comforte-design-03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IF(B14="I1",AVERAGEIF('QA_Images'!$A$2:$A$65,A14,'QA_Images'!$S$2:$S$65)/100,IF(D14="FULL",1,IF(D14="PARTIAL",0.5,IF(D14="FAIL",0,""))))</f>
        <v/>
      </c>
      <c r="F14" s="5">
        <f>IF(E14="",0,C14*E14)</f>
        <v/>
      </c>
      <c r="G14" s="5">
        <f>IF(B14="I1",20*AVERAGEIF('QA_Images'!$A$2:$A$65,A14,'QA_Images'!$T$2:$T$65)/100,IF(D14="NOT_CHECKED",0,C14))</f>
        <v/>
      </c>
      <c r="H14" s="2" t="inlineStr">
        <is>
          <t>Đối chiếu chất liệu 100% microfiber, kích thước, thành phần đi kèm, biến thể và giới hạn personalization với customizer và gallery.</t>
        </is>
      </c>
      <c r="I14" s="2" t="inlineStr">
        <is>
          <t>["evidence_batch_002_012", "customizer_audit.json", "https://jeminise.com/products/christian-bedding-set-inspirational-bible-verse-comforte-design-03"]</t>
        </is>
      </c>
      <c r="J14" s="2" t="inlineStr">
        <is>
          <t>[]</t>
        </is>
      </c>
    </row>
    <row r="15" ht="42" customHeight="1">
      <c r="A15" s="3" t="inlineStr">
        <is>
          <t>jeminise.com+christian-bedding-set-inspirational-bible-verse-comforte-design-03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IF(B15="I1",AVERAGEIF('QA_Images'!$A$2:$A$65,A15,'QA_Images'!$S$2:$S$65)/100,IF(D15="FULL",1,IF(D15="PARTIAL",0.5,IF(D15="FAIL",0,""))))</f>
        <v/>
      </c>
      <c r="F15" s="7">
        <f>IF(E15="",0,C15*E15)</f>
        <v/>
      </c>
      <c r="G15" s="7">
        <f>IF(B15="I1",20*AVERAGEIF('QA_Images'!$A$2:$A$65,A15,'QA_Images'!$T$2:$T$65)/100,IF(D15="NOT_CHECKED",0,C15))</f>
        <v/>
      </c>
      <c r="H15" s="3" t="inlineStr">
        <is>
          <t>Đối chiếu long-tail với thiết kế riêng và nguy cơ trùng intent trong hai cụm Christian/Christmas của batch.</t>
        </is>
      </c>
      <c r="I15" s="3" t="inlineStr">
        <is>
          <t>["evidence_batch_002_012", "serp_qa_012_1"]</t>
        </is>
      </c>
      <c r="J15" s="3" t="inlineStr">
        <is>
          <t>[]</t>
        </is>
      </c>
    </row>
    <row r="16" ht="42" customHeight="1">
      <c r="A16" s="2" t="inlineStr">
        <is>
          <t>jeminise.com+christian-bedding-set-inspirational-bible-verse-comforte-design-03</t>
        </is>
      </c>
      <c r="B16" s="2" t="inlineStr">
        <is>
          <t>K2</t>
        </is>
      </c>
      <c r="C16" s="2" t="n">
        <v>5</v>
      </c>
      <c r="D16" s="2" t="inlineStr">
        <is>
          <t>PARTIAL</t>
        </is>
      </c>
      <c r="E16" s="5">
        <f>IF(B16="I1",AVERAGEIF('QA_Images'!$A$2:$A$65,A16,'QA_Images'!$S$2:$S$65)/100,IF(D16="FULL",1,IF(D16="PARTIAL",0.5,IF(D16="FAIL",0,""))))</f>
        <v/>
      </c>
      <c r="F16" s="5">
        <f>IF(E16="",0,C16*E16)</f>
        <v/>
      </c>
      <c r="G16" s="5">
        <f>IF(B16="I1",20*AVERAGEIF('QA_Images'!$A$2:$A$65,A16,'QA_Images'!$T$2:$T$65)/100,IF(D16="NOT_CHECKED",0,C16))</f>
        <v/>
      </c>
      <c r="H16" s="2" t="inlineStr">
        <is>
          <t>Đã đọc lại hai SERP query cho mỗi sản phẩm tại intent US; ghi URL thực đọc và không suy diễn volume.</t>
        </is>
      </c>
      <c r="I16" s="2" t="inlineStr">
        <is>
          <t>["evidence_batch_002_012", "serp_qa_012_1", "serp_qa_012_2"]</t>
        </is>
      </c>
      <c r="J16" s="2" t="inlineStr">
        <is>
          <t>[]</t>
        </is>
      </c>
    </row>
    <row r="17" ht="42" customHeight="1">
      <c r="A17" s="3" t="inlineStr">
        <is>
          <t>jeminise.com+christian-bedding-set-inspirational-bible-verse-comforte-design-03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IF(B17="I1",AVERAGEIF('QA_Images'!$A$2:$A$65,A17,'QA_Images'!$S$2:$S$65)/100,IF(D17="FULL",1,IF(D17="PARTIAL",0.5,IF(D17="FAIL",0,""))))</f>
        <v/>
      </c>
      <c r="F17" s="7">
        <f>IF(E17="",0,C17*E17)</f>
        <v/>
      </c>
      <c r="G17" s="7">
        <f>IF(B17="I1",20*AVERAGEIF('QA_Images'!$A$2:$A$65,A17,'QA_Images'!$T$2:$T$65)/100,IF(D17="NOT_CHECKED",0,C17))</f>
        <v/>
      </c>
      <c r="H17" s="3" t="inlineStr">
        <is>
          <t>Không suy diễn volume; phân biệt SERP_ONLY và HYPOTHESIS_ONLY.</t>
        </is>
      </c>
      <c r="I17" s="3" t="inlineStr">
        <is>
          <t>["evidence_batch_002_012", "Keyword_Map"]</t>
        </is>
      </c>
      <c r="J17" s="3" t="inlineStr">
        <is>
          <t>[]</t>
        </is>
      </c>
    </row>
    <row r="18" ht="42" customHeight="1">
      <c r="A18" s="2" t="inlineStr">
        <is>
          <t>jeminise.com+christian-bedding-set-inspirational-bible-verse-comforte-design-03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IF(B18="I1",AVERAGEIF('QA_Images'!$A$2:$A$65,A18,'QA_Images'!$S$2:$S$65)/100,IF(D18="FULL",1,IF(D18="PARTIAL",0.5,IF(D18="FAIL",0,""))))</f>
        <v/>
      </c>
      <c r="F18" s="5">
        <f>IF(E18="",0,C18*E18)</f>
        <v/>
      </c>
      <c r="G18" s="5">
        <f>IF(B18="I1",20*AVERAGEIF('QA_Images'!$A$2:$A$65,A18,'QA_Images'!$T$2:$T$65)/100,IF(D18="NOT_CHECKED",0,C18))</f>
        <v/>
      </c>
      <c r="H18" s="2" t="inlineStr">
        <is>
          <t>Đánh giá SEO title English về độ đúng, tự nhiên, keyword mục tiêu và điểm phân biệt.</t>
        </is>
      </c>
      <c r="I18" s="2" t="inlineStr">
        <is>
          <t>["evidence_batch_002_012", "https://jeminise.com/products/christian-bedding-set-inspirational-bible-verse-comforte-design-03"]</t>
        </is>
      </c>
      <c r="J18" s="2" t="inlineStr">
        <is>
          <t>[]</t>
        </is>
      </c>
    </row>
    <row r="19" ht="42" customHeight="1">
      <c r="A19" s="3" t="inlineStr">
        <is>
          <t>jeminise.com+christian-bedding-set-inspirational-bible-verse-comforte-design-03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IF(B19="I1",AVERAGEIF('QA_Images'!$A$2:$A$65,A19,'QA_Images'!$S$2:$S$65)/100,IF(D19="FULL",1,IF(D19="PARTIAL",0.5,IF(D19="FAIL",0,""))))</f>
        <v/>
      </c>
      <c r="F19" s="7">
        <f>IF(E19="",0,C19*E19)</f>
        <v/>
      </c>
      <c r="G19" s="7">
        <f>IF(B19="I1",20*AVERAGEIF('QA_Images'!$A$2:$A$65,A19,'QA_Images'!$T$2:$T$65)/100,IF(D19="NOT_CHECKED",0,C19))</f>
        <v/>
      </c>
      <c r="H19" s="3" t="inlineStr">
        <is>
          <t>Đánh giá H1 đề xuất độc lập với SEO title và đối chiếu lỗi ký tự nguồn.</t>
        </is>
      </c>
      <c r="I19" s="3" t="inlineStr">
        <is>
          <t>["evidence_batch_002_012", "https://jeminise.com/products/christian-bedding-set-inspirational-bible-verse-comforte-design-03"]</t>
        </is>
      </c>
      <c r="J19" s="3" t="inlineStr">
        <is>
          <t>["R5-ISS-012-ENC"]</t>
        </is>
      </c>
    </row>
    <row r="20" ht="42" customHeight="1">
      <c r="A20" s="2" t="inlineStr">
        <is>
          <t>jeminise.com+christian-bedding-set-inspirational-bible-verse-comforte-design-03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IF(B20="I1",AVERAGEIF('QA_Images'!$A$2:$A$65,A20,'QA_Images'!$S$2:$S$65)/100,IF(D20="FULL",1,IF(D20="PARTIAL",0.5,IF(D20="FAIL",0,""))))</f>
        <v/>
      </c>
      <c r="F20" s="5">
        <f>IF(E20="",0,C20*E20)</f>
        <v/>
      </c>
      <c r="G20" s="5">
        <f>IF(B20="I1",20*AVERAGEIF('QA_Images'!$A$2:$A$65,A20,'QA_Images'!$T$2:$T$65)/100,IF(D20="NOT_CHECKED",0,C20))</f>
        <v/>
      </c>
      <c r="H20" s="2" t="inlineStr">
        <is>
          <t>Đánh giá meta description về tính cụ thể, mạch lạc và căn cứ claim.</t>
        </is>
      </c>
      <c r="I20" s="2" t="inlineStr">
        <is>
          <t>["evidence_batch_002_012", "https://jeminise.com/products/christian-bedding-set-inspirational-bible-verse-comforte-design-03"]</t>
        </is>
      </c>
      <c r="J20" s="2" t="inlineStr">
        <is>
          <t>[]</t>
        </is>
      </c>
    </row>
    <row r="21" ht="42" customHeight="1">
      <c r="A21" s="3" t="inlineStr">
        <is>
          <t>jeminise.com+christian-bedding-set-inspirational-bible-verse-comforte-design-03</t>
        </is>
      </c>
      <c r="B21" s="3" t="inlineStr">
        <is>
          <t>D2</t>
        </is>
      </c>
      <c r="C21" s="3" t="n">
        <v>10</v>
      </c>
      <c r="D21" s="3" t="inlineStr">
        <is>
          <t>FULL</t>
        </is>
      </c>
      <c r="E21" s="7">
        <f>IF(B21="I1",AVERAGEIF('QA_Images'!$A$2:$A$65,A21,'QA_Images'!$S$2:$S$65)/100,IF(D21="FULL",1,IF(D21="PARTIAL",0.5,IF(D21="FAIL",0,""))))</f>
        <v/>
      </c>
      <c r="F21" s="7">
        <f>IF(E21="",0,C21*E21)</f>
        <v/>
      </c>
      <c r="G21" s="7">
        <f>IF(B21="I1",20*AVERAGEIF('QA_Images'!$A$2:$A$65,A21,'QA_Images'!$T$2:$T$65)/100,IF(D21="NOT_CHECKED",0,C21))</f>
        <v/>
      </c>
      <c r="H21" s="3" t="inlineStr">
        <is>
          <t>Description r5 hoàn toàn customer-facing, không còn ngôn ngữ nội bộ/workflow; phản ánh đúng thuộc tính và giới hạn tùy biến.</t>
        </is>
      </c>
      <c r="I21" s="3" t="inlineStr">
        <is>
          <t>["evidence_batch_002_012", "https://jeminise.com/products/christian-bedding-set-inspirational-bible-verse-comforte-design-03"]</t>
        </is>
      </c>
      <c r="J21" s="3" t="inlineStr">
        <is>
          <t>[]</t>
        </is>
      </c>
    </row>
    <row r="22" ht="42" customHeight="1">
      <c r="A22" s="2" t="inlineStr">
        <is>
          <t>jeminise.com+christian-bedding-set-inspirational-bible-verse-comforte-design-03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IF(B22="I1",AVERAGEIF('QA_Images'!$A$2:$A$65,A22,'QA_Images'!$S$2:$S$65)/100,IF(D22="FULL",1,IF(D22="PARTIAL",0.5,IF(D22="FAIL",0,""))))</f>
        <v/>
      </c>
      <c r="F22" s="5">
        <f>IF(E22="",0,C22*E22)</f>
        <v/>
      </c>
      <c r="G22" s="5">
        <f>IF(B22="I1",20*AVERAGEIF('QA_Images'!$A$2:$A$65,A22,'QA_Images'!$T$2:$T$65)/100,IF(D22="NOT_CHECKED",0,C22))</f>
        <v/>
      </c>
      <c r="H22" s="2" t="inlineStr">
        <is>
          <t>Derived from directly checked r5 media records: 100.0/100.</t>
        </is>
      </c>
      <c r="I22" s="2" t="inlineStr">
        <is>
          <t>["evidence_batch_002_012", "QA_Images"]</t>
        </is>
      </c>
      <c r="J22" s="2" t="inlineStr">
        <is>
          <t>[]</t>
        </is>
      </c>
    </row>
    <row r="23" ht="42" customHeight="1">
      <c r="A23" s="3" t="inlineStr">
        <is>
          <t>jeminise.com+christian-bedding-set-inspirational-bible-verse-comforte-design-03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IF(B23="I1",AVERAGEIF('QA_Images'!$A$2:$A$65,A23,'QA_Images'!$S$2:$S$65)/100,IF(D23="FULL",1,IF(D23="PARTIAL",0.5,IF(D23="FAIL",0,""))))</f>
        <v/>
      </c>
      <c r="F23" s="7">
        <f>IF(E23="",0,C23*E23)</f>
        <v/>
      </c>
      <c r="G23" s="7">
        <f>IF(B23="I1",20*AVERAGEIF('QA_Images'!$A$2:$A$65,A23,'QA_Images'!$T$2:$T$65)/100,IF(D23="NOT_CHECKED",0,C23))</f>
        <v/>
      </c>
      <c r="H23" s="3" t="inlineStr">
        <is>
          <t>Kiểm tra liên kết product key/handle/evidence/revision giữa workbook, snapshot và nguồn live.</t>
        </is>
      </c>
      <c r="I23" s="3" t="inlineStr">
        <is>
          <t>["evidence_batch_002_012", "https://jeminise.com/products/christian-bedding-set-inspirational-bible-verse-comforte-design-03", "Keyword_Map", "Product_Evidence"]</t>
        </is>
      </c>
      <c r="J23" s="3" t="inlineStr">
        <is>
          <t>[]</t>
        </is>
      </c>
    </row>
    <row r="24" ht="42" customHeight="1">
      <c r="A24" s="2" t="inlineStr">
        <is>
          <t>jeminise.com+christian-bedding-set-inspirational-bible-verse-comforte-design-04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IF(B24="I1",AVERAGEIF('QA_Images'!$A$2:$A$65,A24,'QA_Images'!$S$2:$S$65)/100,IF(D24="FULL",1,IF(D24="PARTIAL",0.5,IF(D24="FAIL",0,""))))</f>
        <v/>
      </c>
      <c r="F24" s="5">
        <f>IF(E24="",0,C24*E24)</f>
        <v/>
      </c>
      <c r="G24" s="5">
        <f>IF(B24="I1",20*AVERAGEIF('QA_Images'!$A$2:$A$65,A24,'QA_Images'!$T$2:$T$65)/100,IF(D24="NOT_CHECKED",0,C24))</f>
        <v/>
      </c>
      <c r="H24" s="2" t="inlineStr">
        <is>
          <t>Đối chiếu loại sản phẩm, thiết kế và màu sắc với product JSON, H1 live và toàn bộ gallery ảnh.</t>
        </is>
      </c>
      <c r="I24" s="2" t="inlineStr">
        <is>
          <t>["evidence_batch_002_013", "https://jeminise.com/products/christian-bedding-set-inspirational-bible-verse-comforte-design-04"]</t>
        </is>
      </c>
      <c r="J24" s="2" t="inlineStr">
        <is>
          <t>[]</t>
        </is>
      </c>
    </row>
    <row r="25" ht="42" customHeight="1">
      <c r="A25" s="3" t="inlineStr">
        <is>
          <t>jeminise.com+christian-bedding-set-inspirational-bible-verse-comforte-design-04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IF(B25="I1",AVERAGEIF('QA_Images'!$A$2:$A$65,A25,'QA_Images'!$S$2:$S$65)/100,IF(D25="FULL",1,IF(D25="PARTIAL",0.5,IF(D25="FAIL",0,""))))</f>
        <v/>
      </c>
      <c r="F25" s="7">
        <f>IF(E25="",0,C25*E25)</f>
        <v/>
      </c>
      <c r="G25" s="7">
        <f>IF(B25="I1",20*AVERAGEIF('QA_Images'!$A$2:$A$65,A25,'QA_Images'!$T$2:$T$65)/100,IF(D25="NOT_CHECKED",0,C25))</f>
        <v/>
      </c>
      <c r="H25" s="3" t="inlineStr">
        <is>
          <t>Đối chiếu chất liệu 100% microfiber, kích thước, thành phần đi kèm, biến thể và giới hạn personalization với customizer và gallery.</t>
        </is>
      </c>
      <c r="I25" s="3" t="inlineStr">
        <is>
          <t>["evidence_batch_002_013", "customizer_audit.json", "https://jeminise.com/products/christian-bedding-set-inspirational-bible-verse-comforte-design-04"]</t>
        </is>
      </c>
      <c r="J25" s="3" t="inlineStr">
        <is>
          <t>[]</t>
        </is>
      </c>
    </row>
    <row r="26" ht="42" customHeight="1">
      <c r="A26" s="2" t="inlineStr">
        <is>
          <t>jeminise.com+christian-bedding-set-inspirational-bible-verse-comforte-design-04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IF(B26="I1",AVERAGEIF('QA_Images'!$A$2:$A$65,A26,'QA_Images'!$S$2:$S$65)/100,IF(D26="FULL",1,IF(D26="PARTIAL",0.5,IF(D26="FAIL",0,""))))</f>
        <v/>
      </c>
      <c r="F26" s="5">
        <f>IF(E26="",0,C26*E26)</f>
        <v/>
      </c>
      <c r="G26" s="5">
        <f>IF(B26="I1",20*AVERAGEIF('QA_Images'!$A$2:$A$65,A26,'QA_Images'!$T$2:$T$65)/100,IF(D26="NOT_CHECKED",0,C26))</f>
        <v/>
      </c>
      <c r="H26" s="2" t="inlineStr">
        <is>
          <t>Đối chiếu long-tail với thiết kế riêng và nguy cơ trùng intent trong hai cụm Christian/Christmas của batch.</t>
        </is>
      </c>
      <c r="I26" s="2" t="inlineStr">
        <is>
          <t>["evidence_batch_002_013", "serp_qa_013_1"]</t>
        </is>
      </c>
      <c r="J26" s="2" t="inlineStr">
        <is>
          <t>[]</t>
        </is>
      </c>
    </row>
    <row r="27" ht="42" customHeight="1">
      <c r="A27" s="3" t="inlineStr">
        <is>
          <t>jeminise.com+christian-bedding-set-inspirational-bible-verse-comforte-design-04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IF(B27="I1",AVERAGEIF('QA_Images'!$A$2:$A$65,A27,'QA_Images'!$S$2:$S$65)/100,IF(D27="FULL",1,IF(D27="PARTIAL",0.5,IF(D27="FAIL",0,""))))</f>
        <v/>
      </c>
      <c r="F27" s="7">
        <f>IF(E27="",0,C27*E27)</f>
        <v/>
      </c>
      <c r="G27" s="7">
        <f>IF(B27="I1",20*AVERAGEIF('QA_Images'!$A$2:$A$65,A27,'QA_Images'!$T$2:$T$65)/100,IF(D27="NOT_CHECKED",0,C27))</f>
        <v/>
      </c>
      <c r="H27" s="3" t="inlineStr">
        <is>
          <t>Đã đọc lại hai SERP query cho mỗi sản phẩm tại intent US; ghi URL thực đọc và không suy diễn volume.</t>
        </is>
      </c>
      <c r="I27" s="3" t="inlineStr">
        <is>
          <t>["evidence_batch_002_013", "serp_qa_013_1", "serp_qa_013_2"]</t>
        </is>
      </c>
      <c r="J27" s="3" t="inlineStr">
        <is>
          <t>[]</t>
        </is>
      </c>
    </row>
    <row r="28" ht="42" customHeight="1">
      <c r="A28" s="2" t="inlineStr">
        <is>
          <t>jeminise.com+christian-bedding-set-inspirational-bible-verse-comforte-design-04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IF(B28="I1",AVERAGEIF('QA_Images'!$A$2:$A$65,A28,'QA_Images'!$S$2:$S$65)/100,IF(D28="FULL",1,IF(D28="PARTIAL",0.5,IF(D28="FAIL",0,""))))</f>
        <v/>
      </c>
      <c r="F28" s="5">
        <f>IF(E28="",0,C28*E28)</f>
        <v/>
      </c>
      <c r="G28" s="5">
        <f>IF(B28="I1",20*AVERAGEIF('QA_Images'!$A$2:$A$65,A28,'QA_Images'!$T$2:$T$65)/100,IF(D28="NOT_CHECKED",0,C28))</f>
        <v/>
      </c>
      <c r="H28" s="2" t="inlineStr">
        <is>
          <t>Không suy diễn volume; phân biệt SERP_ONLY và HYPOTHESIS_ONLY.</t>
        </is>
      </c>
      <c r="I28" s="2" t="inlineStr">
        <is>
          <t>["evidence_batch_002_013", "Keyword_Map"]</t>
        </is>
      </c>
      <c r="J28" s="2" t="inlineStr">
        <is>
          <t>[]</t>
        </is>
      </c>
    </row>
    <row r="29" ht="42" customHeight="1">
      <c r="A29" s="3" t="inlineStr">
        <is>
          <t>jeminise.com+christian-bedding-set-inspirational-bible-verse-comforte-design-04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IF(B29="I1",AVERAGEIF('QA_Images'!$A$2:$A$65,A29,'QA_Images'!$S$2:$S$65)/100,IF(D29="FULL",1,IF(D29="PARTIAL",0.5,IF(D29="FAIL",0,""))))</f>
        <v/>
      </c>
      <c r="F29" s="7">
        <f>IF(E29="",0,C29*E29)</f>
        <v/>
      </c>
      <c r="G29" s="7">
        <f>IF(B29="I1",20*AVERAGEIF('QA_Images'!$A$2:$A$65,A29,'QA_Images'!$T$2:$T$65)/100,IF(D29="NOT_CHECKED",0,C29))</f>
        <v/>
      </c>
      <c r="H29" s="3" t="inlineStr">
        <is>
          <t>Đánh giá SEO title English về độ đúng, tự nhiên, keyword mục tiêu và điểm phân biệt.</t>
        </is>
      </c>
      <c r="I29" s="3" t="inlineStr">
        <is>
          <t>["evidence_batch_002_013", "https://jeminise.com/products/christian-bedding-set-inspirational-bible-verse-comforte-design-04"]</t>
        </is>
      </c>
      <c r="J29" s="3" t="inlineStr">
        <is>
          <t>[]</t>
        </is>
      </c>
    </row>
    <row r="30" ht="42" customHeight="1">
      <c r="A30" s="2" t="inlineStr">
        <is>
          <t>jeminise.com+christian-bedding-set-inspirational-bible-verse-comforte-design-04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IF(B30="I1",AVERAGEIF('QA_Images'!$A$2:$A$65,A30,'QA_Images'!$S$2:$S$65)/100,IF(D30="FULL",1,IF(D30="PARTIAL",0.5,IF(D30="FAIL",0,""))))</f>
        <v/>
      </c>
      <c r="F30" s="5">
        <f>IF(E30="",0,C30*E30)</f>
        <v/>
      </c>
      <c r="G30" s="5">
        <f>IF(B30="I1",20*AVERAGEIF('QA_Images'!$A$2:$A$65,A30,'QA_Images'!$T$2:$T$65)/100,IF(D30="NOT_CHECKED",0,C30))</f>
        <v/>
      </c>
      <c r="H30" s="2" t="inlineStr">
        <is>
          <t>Đánh giá H1 đề xuất độc lập với SEO title và đối chiếu lỗi ký tự nguồn.</t>
        </is>
      </c>
      <c r="I30" s="2" t="inlineStr">
        <is>
          <t>["evidence_batch_002_013", "https://jeminise.com/products/christian-bedding-set-inspirational-bible-verse-comforte-design-04"]</t>
        </is>
      </c>
      <c r="J30" s="2" t="inlineStr">
        <is>
          <t>["R5-ISS-013-ENC"]</t>
        </is>
      </c>
    </row>
    <row r="31" ht="42" customHeight="1">
      <c r="A31" s="3" t="inlineStr">
        <is>
          <t>jeminise.com+christian-bedding-set-inspirational-bible-verse-comforte-design-04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IF(B31="I1",AVERAGEIF('QA_Images'!$A$2:$A$65,A31,'QA_Images'!$S$2:$S$65)/100,IF(D31="FULL",1,IF(D31="PARTIAL",0.5,IF(D31="FAIL",0,""))))</f>
        <v/>
      </c>
      <c r="F31" s="7">
        <f>IF(E31="",0,C31*E31)</f>
        <v/>
      </c>
      <c r="G31" s="7">
        <f>IF(B31="I1",20*AVERAGEIF('QA_Images'!$A$2:$A$65,A31,'QA_Images'!$T$2:$T$65)/100,IF(D31="NOT_CHECKED",0,C31))</f>
        <v/>
      </c>
      <c r="H31" s="3" t="inlineStr">
        <is>
          <t>Đánh giá meta description về tính cụ thể, mạch lạc và căn cứ claim.</t>
        </is>
      </c>
      <c r="I31" s="3" t="inlineStr">
        <is>
          <t>["evidence_batch_002_013", "https://jeminise.com/products/christian-bedding-set-inspirational-bible-verse-comforte-design-04"]</t>
        </is>
      </c>
      <c r="J31" s="3" t="inlineStr">
        <is>
          <t>[]</t>
        </is>
      </c>
    </row>
    <row r="32" ht="42" customHeight="1">
      <c r="A32" s="2" t="inlineStr">
        <is>
          <t>jeminise.com+christian-bedding-set-inspirational-bible-verse-comforte-design-04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5">
        <f>IF(B32="I1",AVERAGEIF('QA_Images'!$A$2:$A$65,A32,'QA_Images'!$S$2:$S$65)/100,IF(D32="FULL",1,IF(D32="PARTIAL",0.5,IF(D32="FAIL",0,""))))</f>
        <v/>
      </c>
      <c r="F32" s="5">
        <f>IF(E32="",0,C32*E32)</f>
        <v/>
      </c>
      <c r="G32" s="5">
        <f>IF(B32="I1",20*AVERAGEIF('QA_Images'!$A$2:$A$65,A32,'QA_Images'!$T$2:$T$65)/100,IF(D32="NOT_CHECKED",0,C32))</f>
        <v/>
      </c>
      <c r="H32" s="2" t="inlineStr">
        <is>
          <t>Description r5 hoàn toàn customer-facing, không còn ngôn ngữ nội bộ/workflow; phản ánh đúng thuộc tính và giới hạn tùy biến.</t>
        </is>
      </c>
      <c r="I32" s="2" t="inlineStr">
        <is>
          <t>["evidence_batch_002_013", "https://jeminise.com/products/christian-bedding-set-inspirational-bible-verse-comforte-design-04"]</t>
        </is>
      </c>
      <c r="J32" s="2" t="inlineStr">
        <is>
          <t>[]</t>
        </is>
      </c>
    </row>
    <row r="33" ht="42" customHeight="1">
      <c r="A33" s="3" t="inlineStr">
        <is>
          <t>jeminise.com+christian-bedding-set-inspirational-bible-verse-comforte-design-04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IF(B33="I1",AVERAGEIF('QA_Images'!$A$2:$A$65,A33,'QA_Images'!$S$2:$S$65)/100,IF(D33="FULL",1,IF(D33="PARTIAL",0.5,IF(D33="FAIL",0,""))))</f>
        <v/>
      </c>
      <c r="F33" s="7">
        <f>IF(E33="",0,C33*E33)</f>
        <v/>
      </c>
      <c r="G33" s="7">
        <f>IF(B33="I1",20*AVERAGEIF('QA_Images'!$A$2:$A$65,A33,'QA_Images'!$T$2:$T$65)/100,IF(D33="NOT_CHECKED",0,C33))</f>
        <v/>
      </c>
      <c r="H33" s="3" t="inlineStr">
        <is>
          <t>Derived from directly checked r5 media records: 100.0/100.</t>
        </is>
      </c>
      <c r="I33" s="3" t="inlineStr">
        <is>
          <t>["evidence_batch_002_013", "QA_Images"]</t>
        </is>
      </c>
      <c r="J33" s="3" t="inlineStr">
        <is>
          <t>[]</t>
        </is>
      </c>
    </row>
    <row r="34" ht="42" customHeight="1">
      <c r="A34" s="2" t="inlineStr">
        <is>
          <t>jeminise.com+christian-bedding-set-inspirational-bible-verse-comforte-design-04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IF(B34="I1",AVERAGEIF('QA_Images'!$A$2:$A$65,A34,'QA_Images'!$S$2:$S$65)/100,IF(D34="FULL",1,IF(D34="PARTIAL",0.5,IF(D34="FAIL",0,""))))</f>
        <v/>
      </c>
      <c r="F34" s="5">
        <f>IF(E34="",0,C34*E34)</f>
        <v/>
      </c>
      <c r="G34" s="5">
        <f>IF(B34="I1",20*AVERAGEIF('QA_Images'!$A$2:$A$65,A34,'QA_Images'!$T$2:$T$65)/100,IF(D34="NOT_CHECKED",0,C34))</f>
        <v/>
      </c>
      <c r="H34" s="2" t="inlineStr">
        <is>
          <t>Kiểm tra liên kết product key/handle/evidence/revision giữa workbook, snapshot và nguồn live.</t>
        </is>
      </c>
      <c r="I34" s="2" t="inlineStr">
        <is>
          <t>["evidence_batch_002_013", "https://jeminise.com/products/christian-bedding-set-inspirational-bible-verse-comforte-design-04", "Keyword_Map", "Product_Evidence"]</t>
        </is>
      </c>
      <c r="J34" s="2" t="inlineStr">
        <is>
          <t>[]</t>
        </is>
      </c>
    </row>
    <row r="35" ht="42" customHeight="1">
      <c r="A35" s="3" t="inlineStr">
        <is>
          <t>jeminise.com+christian-bedding-set-inspirational-bible-verse-comforte-design-05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IF(B35="I1",AVERAGEIF('QA_Images'!$A$2:$A$65,A35,'QA_Images'!$S$2:$S$65)/100,IF(D35="FULL",1,IF(D35="PARTIAL",0.5,IF(D35="FAIL",0,""))))</f>
        <v/>
      </c>
      <c r="F35" s="7">
        <f>IF(E35="",0,C35*E35)</f>
        <v/>
      </c>
      <c r="G35" s="7">
        <f>IF(B35="I1",20*AVERAGEIF('QA_Images'!$A$2:$A$65,A35,'QA_Images'!$T$2:$T$65)/100,IF(D35="NOT_CHECKED",0,C35))</f>
        <v/>
      </c>
      <c r="H35" s="3" t="inlineStr">
        <is>
          <t>Đối chiếu loại sản phẩm, thiết kế và màu sắc với product JSON, H1 live và toàn bộ gallery ảnh.</t>
        </is>
      </c>
      <c r="I35" s="3" t="inlineStr">
        <is>
          <t>["evidence_batch_002_014", "https://jeminise.com/products/christian-bedding-set-inspirational-bible-verse-comforte-design-05"]</t>
        </is>
      </c>
      <c r="J35" s="3" t="inlineStr">
        <is>
          <t>[]</t>
        </is>
      </c>
    </row>
    <row r="36" ht="42" customHeight="1">
      <c r="A36" s="2" t="inlineStr">
        <is>
          <t>jeminise.com+christian-bedding-set-inspirational-bible-verse-comforte-design-05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IF(B36="I1",AVERAGEIF('QA_Images'!$A$2:$A$65,A36,'QA_Images'!$S$2:$S$65)/100,IF(D36="FULL",1,IF(D36="PARTIAL",0.5,IF(D36="FAIL",0,""))))</f>
        <v/>
      </c>
      <c r="F36" s="5">
        <f>IF(E36="",0,C36*E36)</f>
        <v/>
      </c>
      <c r="G36" s="5">
        <f>IF(B36="I1",20*AVERAGEIF('QA_Images'!$A$2:$A$65,A36,'QA_Images'!$T$2:$T$65)/100,IF(D36="NOT_CHECKED",0,C36))</f>
        <v/>
      </c>
      <c r="H36" s="2" t="inlineStr">
        <is>
          <t>Đối chiếu chất liệu 100% microfiber, kích thước, thành phần đi kèm, biến thể và giới hạn personalization với customizer và gallery.</t>
        </is>
      </c>
      <c r="I36" s="2" t="inlineStr">
        <is>
          <t>["evidence_batch_002_014", "customizer_audit.json", "https://jeminise.com/products/christian-bedding-set-inspirational-bible-verse-comforte-design-05"]</t>
        </is>
      </c>
      <c r="J36" s="2" t="inlineStr">
        <is>
          <t>[]</t>
        </is>
      </c>
    </row>
    <row r="37" ht="42" customHeight="1">
      <c r="A37" s="3" t="inlineStr">
        <is>
          <t>jeminise.com+christian-bedding-set-inspirational-bible-verse-comforte-design-05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IF(B37="I1",AVERAGEIF('QA_Images'!$A$2:$A$65,A37,'QA_Images'!$S$2:$S$65)/100,IF(D37="FULL",1,IF(D37="PARTIAL",0.5,IF(D37="FAIL",0,""))))</f>
        <v/>
      </c>
      <c r="F37" s="7">
        <f>IF(E37="",0,C37*E37)</f>
        <v/>
      </c>
      <c r="G37" s="7">
        <f>IF(B37="I1",20*AVERAGEIF('QA_Images'!$A$2:$A$65,A37,'QA_Images'!$T$2:$T$65)/100,IF(D37="NOT_CHECKED",0,C37))</f>
        <v/>
      </c>
      <c r="H37" s="3" t="inlineStr">
        <is>
          <t>Đối chiếu long-tail với thiết kế riêng và nguy cơ trùng intent trong hai cụm Christian/Christmas của batch.</t>
        </is>
      </c>
      <c r="I37" s="3" t="inlineStr">
        <is>
          <t>["evidence_batch_002_014", "serp_qa_014_1"]</t>
        </is>
      </c>
      <c r="J37" s="3" t="inlineStr">
        <is>
          <t>[]</t>
        </is>
      </c>
    </row>
    <row r="38" ht="42" customHeight="1">
      <c r="A38" s="2" t="inlineStr">
        <is>
          <t>jeminise.com+christian-bedding-set-inspirational-bible-verse-comforte-design-05</t>
        </is>
      </c>
      <c r="B38" s="2" t="inlineStr">
        <is>
          <t>K2</t>
        </is>
      </c>
      <c r="C38" s="2" t="n">
        <v>5</v>
      </c>
      <c r="D38" s="2" t="inlineStr">
        <is>
          <t>PARTIAL</t>
        </is>
      </c>
      <c r="E38" s="5">
        <f>IF(B38="I1",AVERAGEIF('QA_Images'!$A$2:$A$65,A38,'QA_Images'!$S$2:$S$65)/100,IF(D38="FULL",1,IF(D38="PARTIAL",0.5,IF(D38="FAIL",0,""))))</f>
        <v/>
      </c>
      <c r="F38" s="5">
        <f>IF(E38="",0,C38*E38)</f>
        <v/>
      </c>
      <c r="G38" s="5">
        <f>IF(B38="I1",20*AVERAGEIF('QA_Images'!$A$2:$A$65,A38,'QA_Images'!$T$2:$T$65)/100,IF(D38="NOT_CHECKED",0,C38))</f>
        <v/>
      </c>
      <c r="H38" s="2" t="inlineStr">
        <is>
          <t>Đã đọc lại hai SERP query cho mỗi sản phẩm tại intent US; ghi URL thực đọc và không suy diễn volume.</t>
        </is>
      </c>
      <c r="I38" s="2" t="inlineStr">
        <is>
          <t>["evidence_batch_002_014", "serp_qa_014_1", "serp_qa_014_2"]</t>
        </is>
      </c>
      <c r="J38" s="2" t="inlineStr">
        <is>
          <t>[]</t>
        </is>
      </c>
    </row>
    <row r="39" ht="42" customHeight="1">
      <c r="A39" s="3" t="inlineStr">
        <is>
          <t>jeminise.com+christian-bedding-set-inspirational-bible-verse-comforte-design-05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IF(B39="I1",AVERAGEIF('QA_Images'!$A$2:$A$65,A39,'QA_Images'!$S$2:$S$65)/100,IF(D39="FULL",1,IF(D39="PARTIAL",0.5,IF(D39="FAIL",0,""))))</f>
        <v/>
      </c>
      <c r="F39" s="7">
        <f>IF(E39="",0,C39*E39)</f>
        <v/>
      </c>
      <c r="G39" s="7">
        <f>IF(B39="I1",20*AVERAGEIF('QA_Images'!$A$2:$A$65,A39,'QA_Images'!$T$2:$T$65)/100,IF(D39="NOT_CHECKED",0,C39))</f>
        <v/>
      </c>
      <c r="H39" s="3" t="inlineStr">
        <is>
          <t>Không suy diễn volume; phân biệt SERP_ONLY và HYPOTHESIS_ONLY.</t>
        </is>
      </c>
      <c r="I39" s="3" t="inlineStr">
        <is>
          <t>["evidence_batch_002_014", "Keyword_Map"]</t>
        </is>
      </c>
      <c r="J39" s="3" t="inlineStr">
        <is>
          <t>[]</t>
        </is>
      </c>
    </row>
    <row r="40" ht="42" customHeight="1">
      <c r="A40" s="2" t="inlineStr">
        <is>
          <t>jeminise.com+christian-bedding-set-inspirational-bible-verse-comforte-design-05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IF(B40="I1",AVERAGEIF('QA_Images'!$A$2:$A$65,A40,'QA_Images'!$S$2:$S$65)/100,IF(D40="FULL",1,IF(D40="PARTIAL",0.5,IF(D40="FAIL",0,""))))</f>
        <v/>
      </c>
      <c r="F40" s="5">
        <f>IF(E40="",0,C40*E40)</f>
        <v/>
      </c>
      <c r="G40" s="5">
        <f>IF(B40="I1",20*AVERAGEIF('QA_Images'!$A$2:$A$65,A40,'QA_Images'!$T$2:$T$65)/100,IF(D40="NOT_CHECKED",0,C40))</f>
        <v/>
      </c>
      <c r="H40" s="2" t="inlineStr">
        <is>
          <t>Đánh giá SEO title English về độ đúng, tự nhiên, keyword mục tiêu và điểm phân biệt.</t>
        </is>
      </c>
      <c r="I40" s="2" t="inlineStr">
        <is>
          <t>["evidence_batch_002_014", "https://jeminise.com/products/christian-bedding-set-inspirational-bible-verse-comforte-design-05"]</t>
        </is>
      </c>
      <c r="J40" s="2" t="inlineStr">
        <is>
          <t>[]</t>
        </is>
      </c>
    </row>
    <row r="41" ht="42" customHeight="1">
      <c r="A41" s="3" t="inlineStr">
        <is>
          <t>jeminise.com+christian-bedding-set-inspirational-bible-verse-comforte-design-05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IF(B41="I1",AVERAGEIF('QA_Images'!$A$2:$A$65,A41,'QA_Images'!$S$2:$S$65)/100,IF(D41="FULL",1,IF(D41="PARTIAL",0.5,IF(D41="FAIL",0,""))))</f>
        <v/>
      </c>
      <c r="F41" s="7">
        <f>IF(E41="",0,C41*E41)</f>
        <v/>
      </c>
      <c r="G41" s="7">
        <f>IF(B41="I1",20*AVERAGEIF('QA_Images'!$A$2:$A$65,A41,'QA_Images'!$T$2:$T$65)/100,IF(D41="NOT_CHECKED",0,C41))</f>
        <v/>
      </c>
      <c r="H41" s="3" t="inlineStr">
        <is>
          <t>Đánh giá H1 đề xuất độc lập với SEO title và đối chiếu lỗi ký tự nguồn.</t>
        </is>
      </c>
      <c r="I41" s="3" t="inlineStr">
        <is>
          <t>["evidence_batch_002_014", "https://jeminise.com/products/christian-bedding-set-inspirational-bible-verse-comforte-design-05"]</t>
        </is>
      </c>
      <c r="J41" s="3" t="inlineStr">
        <is>
          <t>["R5-ISS-014-ENC"]</t>
        </is>
      </c>
    </row>
    <row r="42" ht="42" customHeight="1">
      <c r="A42" s="2" t="inlineStr">
        <is>
          <t>jeminise.com+christian-bedding-set-inspirational-bible-verse-comforte-design-05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IF(B42="I1",AVERAGEIF('QA_Images'!$A$2:$A$65,A42,'QA_Images'!$S$2:$S$65)/100,IF(D42="FULL",1,IF(D42="PARTIAL",0.5,IF(D42="FAIL",0,""))))</f>
        <v/>
      </c>
      <c r="F42" s="5">
        <f>IF(E42="",0,C42*E42)</f>
        <v/>
      </c>
      <c r="G42" s="5">
        <f>IF(B42="I1",20*AVERAGEIF('QA_Images'!$A$2:$A$65,A42,'QA_Images'!$T$2:$T$65)/100,IF(D42="NOT_CHECKED",0,C42))</f>
        <v/>
      </c>
      <c r="H42" s="2" t="inlineStr">
        <is>
          <t>Đánh giá meta description về tính cụ thể, mạch lạc và căn cứ claim.</t>
        </is>
      </c>
      <c r="I42" s="2" t="inlineStr">
        <is>
          <t>["evidence_batch_002_014", "https://jeminise.com/products/christian-bedding-set-inspirational-bible-verse-comforte-design-05"]</t>
        </is>
      </c>
      <c r="J42" s="2" t="inlineStr">
        <is>
          <t>[]</t>
        </is>
      </c>
    </row>
    <row r="43" ht="42" customHeight="1">
      <c r="A43" s="3" t="inlineStr">
        <is>
          <t>jeminise.com+christian-bedding-set-inspirational-bible-verse-comforte-design-05</t>
        </is>
      </c>
      <c r="B43" s="3" t="inlineStr">
        <is>
          <t>D2</t>
        </is>
      </c>
      <c r="C43" s="3" t="n">
        <v>10</v>
      </c>
      <c r="D43" s="3" t="inlineStr">
        <is>
          <t>FULL</t>
        </is>
      </c>
      <c r="E43" s="7">
        <f>IF(B43="I1",AVERAGEIF('QA_Images'!$A$2:$A$65,A43,'QA_Images'!$S$2:$S$65)/100,IF(D43="FULL",1,IF(D43="PARTIAL",0.5,IF(D43="FAIL",0,""))))</f>
        <v/>
      </c>
      <c r="F43" s="7">
        <f>IF(E43="",0,C43*E43)</f>
        <v/>
      </c>
      <c r="G43" s="7">
        <f>IF(B43="I1",20*AVERAGEIF('QA_Images'!$A$2:$A$65,A43,'QA_Images'!$T$2:$T$65)/100,IF(D43="NOT_CHECKED",0,C43))</f>
        <v/>
      </c>
      <c r="H43" s="3" t="inlineStr">
        <is>
          <t>Description r5 hoàn toàn customer-facing, không còn ngôn ngữ nội bộ/workflow; phản ánh đúng thuộc tính và giới hạn tùy biến.</t>
        </is>
      </c>
      <c r="I43" s="3" t="inlineStr">
        <is>
          <t>["evidence_batch_002_014", "https://jeminise.com/products/christian-bedding-set-inspirational-bible-verse-comforte-design-05"]</t>
        </is>
      </c>
      <c r="J43" s="3" t="inlineStr">
        <is>
          <t>[]</t>
        </is>
      </c>
    </row>
    <row r="44" ht="42" customHeight="1">
      <c r="A44" s="2" t="inlineStr">
        <is>
          <t>jeminise.com+christian-bedding-set-inspirational-bible-verse-comforte-design-05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IF(B44="I1",AVERAGEIF('QA_Images'!$A$2:$A$65,A44,'QA_Images'!$S$2:$S$65)/100,IF(D44="FULL",1,IF(D44="PARTIAL",0.5,IF(D44="FAIL",0,""))))</f>
        <v/>
      </c>
      <c r="F44" s="5">
        <f>IF(E44="",0,C44*E44)</f>
        <v/>
      </c>
      <c r="G44" s="5">
        <f>IF(B44="I1",20*AVERAGEIF('QA_Images'!$A$2:$A$65,A44,'QA_Images'!$T$2:$T$65)/100,IF(D44="NOT_CHECKED",0,C44))</f>
        <v/>
      </c>
      <c r="H44" s="2" t="inlineStr">
        <is>
          <t>Derived from directly checked r5 media records: 100.0/100.</t>
        </is>
      </c>
      <c r="I44" s="2" t="inlineStr">
        <is>
          <t>["evidence_batch_002_014", "QA_Images"]</t>
        </is>
      </c>
      <c r="J44" s="2" t="inlineStr">
        <is>
          <t>[]</t>
        </is>
      </c>
    </row>
    <row r="45" ht="42" customHeight="1">
      <c r="A45" s="3" t="inlineStr">
        <is>
          <t>jeminise.com+christian-bedding-set-inspirational-bible-verse-comforte-design-05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IF(B45="I1",AVERAGEIF('QA_Images'!$A$2:$A$65,A45,'QA_Images'!$S$2:$S$65)/100,IF(D45="FULL",1,IF(D45="PARTIAL",0.5,IF(D45="FAIL",0,""))))</f>
        <v/>
      </c>
      <c r="F45" s="7">
        <f>IF(E45="",0,C45*E45)</f>
        <v/>
      </c>
      <c r="G45" s="7">
        <f>IF(B45="I1",20*AVERAGEIF('QA_Images'!$A$2:$A$65,A45,'QA_Images'!$T$2:$T$65)/100,IF(D45="NOT_CHECKED",0,C45))</f>
        <v/>
      </c>
      <c r="H45" s="3" t="inlineStr">
        <is>
          <t>Kiểm tra liên kết product key/handle/evidence/revision giữa workbook, snapshot và nguồn live.</t>
        </is>
      </c>
      <c r="I45" s="3" t="inlineStr">
        <is>
          <t>["evidence_batch_002_014", "https://jeminise.com/products/christian-bedding-set-inspirational-bible-verse-comforte-design-05", "Keyword_Map", "Product_Evidence"]</t>
        </is>
      </c>
      <c r="J45" s="3" t="inlineStr">
        <is>
          <t>[]</t>
        </is>
      </c>
    </row>
    <row r="46" ht="42" customHeight="1">
      <c r="A46" s="2" t="inlineStr">
        <is>
          <t>jeminise.com+christian-bedding-set-inspirational-bible-verse-comforte-design-06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IF(B46="I1",AVERAGEIF('QA_Images'!$A$2:$A$65,A46,'QA_Images'!$S$2:$S$65)/100,IF(D46="FULL",1,IF(D46="PARTIAL",0.5,IF(D46="FAIL",0,""))))</f>
        <v/>
      </c>
      <c r="F46" s="5">
        <f>IF(E46="",0,C46*E46)</f>
        <v/>
      </c>
      <c r="G46" s="5">
        <f>IF(B46="I1",20*AVERAGEIF('QA_Images'!$A$2:$A$65,A46,'QA_Images'!$T$2:$T$65)/100,IF(D46="NOT_CHECKED",0,C46))</f>
        <v/>
      </c>
      <c r="H46" s="2" t="inlineStr">
        <is>
          <t>Đối chiếu loại sản phẩm, thiết kế và màu sắc với product JSON, H1 live và toàn bộ gallery ảnh.</t>
        </is>
      </c>
      <c r="I46" s="2" t="inlineStr">
        <is>
          <t>["evidence_batch_002_015", "https://jeminise.com/products/christian-bedding-set-inspirational-bible-verse-comforte-design-06"]</t>
        </is>
      </c>
      <c r="J46" s="2" t="inlineStr">
        <is>
          <t>[]</t>
        </is>
      </c>
    </row>
    <row r="47" ht="42" customHeight="1">
      <c r="A47" s="3" t="inlineStr">
        <is>
          <t>jeminise.com+christian-bedding-set-inspirational-bible-verse-comforte-design-06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IF(B47="I1",AVERAGEIF('QA_Images'!$A$2:$A$65,A47,'QA_Images'!$S$2:$S$65)/100,IF(D47="FULL",1,IF(D47="PARTIAL",0.5,IF(D47="FAIL",0,""))))</f>
        <v/>
      </c>
      <c r="F47" s="7">
        <f>IF(E47="",0,C47*E47)</f>
        <v/>
      </c>
      <c r="G47" s="7">
        <f>IF(B47="I1",20*AVERAGEIF('QA_Images'!$A$2:$A$65,A47,'QA_Images'!$T$2:$T$65)/100,IF(D47="NOT_CHECKED",0,C47))</f>
        <v/>
      </c>
      <c r="H47" s="3" t="inlineStr">
        <is>
          <t>Đối chiếu chất liệu 100% microfiber, kích thước, thành phần đi kèm, biến thể và giới hạn personalization với customizer và gallery.</t>
        </is>
      </c>
      <c r="I47" s="3" t="inlineStr">
        <is>
          <t>["evidence_batch_002_015", "customizer_audit.json", "https://jeminise.com/products/christian-bedding-set-inspirational-bible-verse-comforte-design-06"]</t>
        </is>
      </c>
      <c r="J47" s="3" t="inlineStr">
        <is>
          <t>[]</t>
        </is>
      </c>
    </row>
    <row r="48" ht="42" customHeight="1">
      <c r="A48" s="2" t="inlineStr">
        <is>
          <t>jeminise.com+christian-bedding-set-inspirational-bible-verse-comforte-design-06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IF(B48="I1",AVERAGEIF('QA_Images'!$A$2:$A$65,A48,'QA_Images'!$S$2:$S$65)/100,IF(D48="FULL",1,IF(D48="PARTIAL",0.5,IF(D48="FAIL",0,""))))</f>
        <v/>
      </c>
      <c r="F48" s="5">
        <f>IF(E48="",0,C48*E48)</f>
        <v/>
      </c>
      <c r="G48" s="5">
        <f>IF(B48="I1",20*AVERAGEIF('QA_Images'!$A$2:$A$65,A48,'QA_Images'!$T$2:$T$65)/100,IF(D48="NOT_CHECKED",0,C48))</f>
        <v/>
      </c>
      <c r="H48" s="2" t="inlineStr">
        <is>
          <t>Đối chiếu long-tail với thiết kế riêng và nguy cơ trùng intent trong hai cụm Christian/Christmas của batch.</t>
        </is>
      </c>
      <c r="I48" s="2" t="inlineStr">
        <is>
          <t>["evidence_batch_002_015", "serp_qa_015_1"]</t>
        </is>
      </c>
      <c r="J48" s="2" t="inlineStr">
        <is>
          <t>[]</t>
        </is>
      </c>
    </row>
    <row r="49" ht="42" customHeight="1">
      <c r="A49" s="3" t="inlineStr">
        <is>
          <t>jeminise.com+christian-bedding-set-inspirational-bible-verse-comforte-design-06</t>
        </is>
      </c>
      <c r="B49" s="3" t="inlineStr">
        <is>
          <t>K2</t>
        </is>
      </c>
      <c r="C49" s="3" t="n">
        <v>5</v>
      </c>
      <c r="D49" s="3" t="inlineStr">
        <is>
          <t>PARTIAL</t>
        </is>
      </c>
      <c r="E49" s="7">
        <f>IF(B49="I1",AVERAGEIF('QA_Images'!$A$2:$A$65,A49,'QA_Images'!$S$2:$S$65)/100,IF(D49="FULL",1,IF(D49="PARTIAL",0.5,IF(D49="FAIL",0,""))))</f>
        <v/>
      </c>
      <c r="F49" s="7">
        <f>IF(E49="",0,C49*E49)</f>
        <v/>
      </c>
      <c r="G49" s="7">
        <f>IF(B49="I1",20*AVERAGEIF('QA_Images'!$A$2:$A$65,A49,'QA_Images'!$T$2:$T$65)/100,IF(D49="NOT_CHECKED",0,C49))</f>
        <v/>
      </c>
      <c r="H49" s="3" t="inlineStr">
        <is>
          <t>Đã đọc lại hai SERP query cho mỗi sản phẩm tại intent US; ghi URL thực đọc và không suy diễn volume.</t>
        </is>
      </c>
      <c r="I49" s="3" t="inlineStr">
        <is>
          <t>["evidence_batch_002_015", "serp_qa_015_1", "serp_qa_015_2"]</t>
        </is>
      </c>
      <c r="J49" s="3" t="inlineStr">
        <is>
          <t>[]</t>
        </is>
      </c>
    </row>
    <row r="50" ht="42" customHeight="1">
      <c r="A50" s="2" t="inlineStr">
        <is>
          <t>jeminise.com+christian-bedding-set-inspirational-bible-verse-comforte-design-06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IF(B50="I1",AVERAGEIF('QA_Images'!$A$2:$A$65,A50,'QA_Images'!$S$2:$S$65)/100,IF(D50="FULL",1,IF(D50="PARTIAL",0.5,IF(D50="FAIL",0,""))))</f>
        <v/>
      </c>
      <c r="F50" s="5">
        <f>IF(E50="",0,C50*E50)</f>
        <v/>
      </c>
      <c r="G50" s="5">
        <f>IF(B50="I1",20*AVERAGEIF('QA_Images'!$A$2:$A$65,A50,'QA_Images'!$T$2:$T$65)/100,IF(D50="NOT_CHECKED",0,C50))</f>
        <v/>
      </c>
      <c r="H50" s="2" t="inlineStr">
        <is>
          <t>Không suy diễn volume; phân biệt SERP_ONLY và HYPOTHESIS_ONLY.</t>
        </is>
      </c>
      <c r="I50" s="2" t="inlineStr">
        <is>
          <t>["evidence_batch_002_015", "Keyword_Map"]</t>
        </is>
      </c>
      <c r="J50" s="2" t="inlineStr">
        <is>
          <t>[]</t>
        </is>
      </c>
    </row>
    <row r="51" ht="42" customHeight="1">
      <c r="A51" s="3" t="inlineStr">
        <is>
          <t>jeminise.com+christian-bedding-set-inspirational-bible-verse-comforte-design-06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IF(B51="I1",AVERAGEIF('QA_Images'!$A$2:$A$65,A51,'QA_Images'!$S$2:$S$65)/100,IF(D51="FULL",1,IF(D51="PARTIAL",0.5,IF(D51="FAIL",0,""))))</f>
        <v/>
      </c>
      <c r="F51" s="7">
        <f>IF(E51="",0,C51*E51)</f>
        <v/>
      </c>
      <c r="G51" s="7">
        <f>IF(B51="I1",20*AVERAGEIF('QA_Images'!$A$2:$A$65,A51,'QA_Images'!$T$2:$T$65)/100,IF(D51="NOT_CHECKED",0,C51))</f>
        <v/>
      </c>
      <c r="H51" s="3" t="inlineStr">
        <is>
          <t>Đánh giá SEO title English về độ đúng, tự nhiên, keyword mục tiêu và điểm phân biệt.</t>
        </is>
      </c>
      <c r="I51" s="3" t="inlineStr">
        <is>
          <t>["evidence_batch_002_015", "https://jeminise.com/products/christian-bedding-set-inspirational-bible-verse-comforte-design-06"]</t>
        </is>
      </c>
      <c r="J51" s="3" t="inlineStr">
        <is>
          <t>[]</t>
        </is>
      </c>
    </row>
    <row r="52" ht="42" customHeight="1">
      <c r="A52" s="2" t="inlineStr">
        <is>
          <t>jeminise.com+christian-bedding-set-inspirational-bible-verse-comforte-design-06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IF(B52="I1",AVERAGEIF('QA_Images'!$A$2:$A$65,A52,'QA_Images'!$S$2:$S$65)/100,IF(D52="FULL",1,IF(D52="PARTIAL",0.5,IF(D52="FAIL",0,""))))</f>
        <v/>
      </c>
      <c r="F52" s="5">
        <f>IF(E52="",0,C52*E52)</f>
        <v/>
      </c>
      <c r="G52" s="5">
        <f>IF(B52="I1",20*AVERAGEIF('QA_Images'!$A$2:$A$65,A52,'QA_Images'!$T$2:$T$65)/100,IF(D52="NOT_CHECKED",0,C52))</f>
        <v/>
      </c>
      <c r="H52" s="2" t="inlineStr">
        <is>
          <t>Đánh giá H1 đề xuất độc lập với SEO title và đối chiếu lỗi ký tự nguồn.</t>
        </is>
      </c>
      <c r="I52" s="2" t="inlineStr">
        <is>
          <t>["evidence_batch_002_015", "https://jeminise.com/products/christian-bedding-set-inspirational-bible-verse-comforte-design-06"]</t>
        </is>
      </c>
      <c r="J52" s="2" t="inlineStr">
        <is>
          <t>["R5-ISS-015-ENC"]</t>
        </is>
      </c>
    </row>
    <row r="53" ht="42" customHeight="1">
      <c r="A53" s="3" t="inlineStr">
        <is>
          <t>jeminise.com+christian-bedding-set-inspirational-bible-verse-comforte-design-06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IF(B53="I1",AVERAGEIF('QA_Images'!$A$2:$A$65,A53,'QA_Images'!$S$2:$S$65)/100,IF(D53="FULL",1,IF(D53="PARTIAL",0.5,IF(D53="FAIL",0,""))))</f>
        <v/>
      </c>
      <c r="F53" s="7">
        <f>IF(E53="",0,C53*E53)</f>
        <v/>
      </c>
      <c r="G53" s="7">
        <f>IF(B53="I1",20*AVERAGEIF('QA_Images'!$A$2:$A$65,A53,'QA_Images'!$T$2:$T$65)/100,IF(D53="NOT_CHECKED",0,C53))</f>
        <v/>
      </c>
      <c r="H53" s="3" t="inlineStr">
        <is>
          <t>Đánh giá meta description về tính cụ thể, mạch lạc và căn cứ claim.</t>
        </is>
      </c>
      <c r="I53" s="3" t="inlineStr">
        <is>
          <t>["evidence_batch_002_015", "https://jeminise.com/products/christian-bedding-set-inspirational-bible-verse-comforte-design-06"]</t>
        </is>
      </c>
      <c r="J53" s="3" t="inlineStr">
        <is>
          <t>[]</t>
        </is>
      </c>
    </row>
    <row r="54" ht="42" customHeight="1">
      <c r="A54" s="2" t="inlineStr">
        <is>
          <t>jeminise.com+christian-bedding-set-inspirational-bible-verse-comforte-design-06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5">
        <f>IF(B54="I1",AVERAGEIF('QA_Images'!$A$2:$A$65,A54,'QA_Images'!$S$2:$S$65)/100,IF(D54="FULL",1,IF(D54="PARTIAL",0.5,IF(D54="FAIL",0,""))))</f>
        <v/>
      </c>
      <c r="F54" s="5">
        <f>IF(E54="",0,C54*E54)</f>
        <v/>
      </c>
      <c r="G54" s="5">
        <f>IF(B54="I1",20*AVERAGEIF('QA_Images'!$A$2:$A$65,A54,'QA_Images'!$T$2:$T$65)/100,IF(D54="NOT_CHECKED",0,C54))</f>
        <v/>
      </c>
      <c r="H54" s="2" t="inlineStr">
        <is>
          <t>Description r5 hoàn toàn customer-facing, không còn ngôn ngữ nội bộ/workflow; phản ánh đúng thuộc tính và giới hạn tùy biến.</t>
        </is>
      </c>
      <c r="I54" s="2" t="inlineStr">
        <is>
          <t>["evidence_batch_002_015", "https://jeminise.com/products/christian-bedding-set-inspirational-bible-verse-comforte-design-06"]</t>
        </is>
      </c>
      <c r="J54" s="2" t="inlineStr">
        <is>
          <t>[]</t>
        </is>
      </c>
    </row>
    <row r="55" ht="42" customHeight="1">
      <c r="A55" s="3" t="inlineStr">
        <is>
          <t>jeminise.com+christian-bedding-set-inspirational-bible-verse-comforte-design-06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IF(B55="I1",AVERAGEIF('QA_Images'!$A$2:$A$65,A55,'QA_Images'!$S$2:$S$65)/100,IF(D55="FULL",1,IF(D55="PARTIAL",0.5,IF(D55="FAIL",0,""))))</f>
        <v/>
      </c>
      <c r="F55" s="7">
        <f>IF(E55="",0,C55*E55)</f>
        <v/>
      </c>
      <c r="G55" s="7">
        <f>IF(B55="I1",20*AVERAGEIF('QA_Images'!$A$2:$A$65,A55,'QA_Images'!$T$2:$T$65)/100,IF(D55="NOT_CHECKED",0,C55))</f>
        <v/>
      </c>
      <c r="H55" s="3" t="inlineStr">
        <is>
          <t>Derived from directly checked r5 media records: 100.0/100.</t>
        </is>
      </c>
      <c r="I55" s="3" t="inlineStr">
        <is>
          <t>["evidence_batch_002_015", "QA_Images"]</t>
        </is>
      </c>
      <c r="J55" s="3" t="inlineStr">
        <is>
          <t>[]</t>
        </is>
      </c>
    </row>
    <row r="56" ht="42" customHeight="1">
      <c r="A56" s="2" t="inlineStr">
        <is>
          <t>jeminise.com+christian-bedding-set-inspirational-bible-verse-comforte-design-06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IF(B56="I1",AVERAGEIF('QA_Images'!$A$2:$A$65,A56,'QA_Images'!$S$2:$S$65)/100,IF(D56="FULL",1,IF(D56="PARTIAL",0.5,IF(D56="FAIL",0,""))))</f>
        <v/>
      </c>
      <c r="F56" s="5">
        <f>IF(E56="",0,C56*E56)</f>
        <v/>
      </c>
      <c r="G56" s="5">
        <f>IF(B56="I1",20*AVERAGEIF('QA_Images'!$A$2:$A$65,A56,'QA_Images'!$T$2:$T$65)/100,IF(D56="NOT_CHECKED",0,C56))</f>
        <v/>
      </c>
      <c r="H56" s="2" t="inlineStr">
        <is>
          <t>Kiểm tra liên kết product key/handle/evidence/revision giữa workbook, snapshot và nguồn live.</t>
        </is>
      </c>
      <c r="I56" s="2" t="inlineStr">
        <is>
          <t>["evidence_batch_002_015", "https://jeminise.com/products/christian-bedding-set-inspirational-bible-verse-comforte-design-06", "Keyword_Map", "Product_Evidence"]</t>
        </is>
      </c>
      <c r="J56" s="2" t="inlineStr">
        <is>
          <t>[]</t>
        </is>
      </c>
    </row>
    <row r="57" ht="42" customHeight="1">
      <c r="A57" s="3" t="inlineStr">
        <is>
          <t>jeminise.com+christian-bedding-set-inspirational-bible-verse-comforter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IF(B57="I1",AVERAGEIF('QA_Images'!$A$2:$A$65,A57,'QA_Images'!$S$2:$S$65)/100,IF(D57="FULL",1,IF(D57="PARTIAL",0.5,IF(D57="FAIL",0,""))))</f>
        <v/>
      </c>
      <c r="F57" s="7">
        <f>IF(E57="",0,C57*E57)</f>
        <v/>
      </c>
      <c r="G57" s="7">
        <f>IF(B57="I1",20*AVERAGEIF('QA_Images'!$A$2:$A$65,A57,'QA_Images'!$T$2:$T$65)/100,IF(D57="NOT_CHECKED",0,C57))</f>
        <v/>
      </c>
      <c r="H57" s="3" t="inlineStr">
        <is>
          <t>Đối chiếu loại sản phẩm, thiết kế và màu sắc với product JSON, H1 live và toàn bộ gallery ảnh.</t>
        </is>
      </c>
      <c r="I57" s="3" t="inlineStr">
        <is>
          <t>["evidence_batch_002_016", "https://jeminise.com/products/christian-bedding-set-inspirational-bible-verse-comforter"]</t>
        </is>
      </c>
      <c r="J57" s="3" t="inlineStr">
        <is>
          <t>[]</t>
        </is>
      </c>
    </row>
    <row r="58" ht="42" customHeight="1">
      <c r="A58" s="2" t="inlineStr">
        <is>
          <t>jeminise.com+christian-bedding-set-inspirational-bible-verse-comforter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IF(B58="I1",AVERAGEIF('QA_Images'!$A$2:$A$65,A58,'QA_Images'!$S$2:$S$65)/100,IF(D58="FULL",1,IF(D58="PARTIAL",0.5,IF(D58="FAIL",0,""))))</f>
        <v/>
      </c>
      <c r="F58" s="5">
        <f>IF(E58="",0,C58*E58)</f>
        <v/>
      </c>
      <c r="G58" s="5">
        <f>IF(B58="I1",20*AVERAGEIF('QA_Images'!$A$2:$A$65,A58,'QA_Images'!$T$2:$T$65)/100,IF(D58="NOT_CHECKED",0,C58))</f>
        <v/>
      </c>
      <c r="H58" s="2" t="inlineStr">
        <is>
          <t>Đối chiếu chất liệu 100% microfiber, kích thước, thành phần đi kèm, biến thể và giới hạn personalization với customizer và gallery.</t>
        </is>
      </c>
      <c r="I58" s="2" t="inlineStr">
        <is>
          <t>["evidence_batch_002_016", "customizer_audit.json", "https://jeminise.com/products/christian-bedding-set-inspirational-bible-verse-comforter"]</t>
        </is>
      </c>
      <c r="J58" s="2" t="inlineStr">
        <is>
          <t>[]</t>
        </is>
      </c>
    </row>
    <row r="59" ht="42" customHeight="1">
      <c r="A59" s="3" t="inlineStr">
        <is>
          <t>jeminise.com+christian-bedding-set-inspirational-bible-verse-comforter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IF(B59="I1",AVERAGEIF('QA_Images'!$A$2:$A$65,A59,'QA_Images'!$S$2:$S$65)/100,IF(D59="FULL",1,IF(D59="PARTIAL",0.5,IF(D59="FAIL",0,""))))</f>
        <v/>
      </c>
      <c r="F59" s="7">
        <f>IF(E59="",0,C59*E59)</f>
        <v/>
      </c>
      <c r="G59" s="7">
        <f>IF(B59="I1",20*AVERAGEIF('QA_Images'!$A$2:$A$65,A59,'QA_Images'!$T$2:$T$65)/100,IF(D59="NOT_CHECKED",0,C59))</f>
        <v/>
      </c>
      <c r="H59" s="3" t="inlineStr">
        <is>
          <t>Đối chiếu long-tail với thiết kế riêng và nguy cơ trùng intent trong hai cụm Christian/Christmas của batch.</t>
        </is>
      </c>
      <c r="I59" s="3" t="inlineStr">
        <is>
          <t>["evidence_batch_002_016", "serp_qa_016_1"]</t>
        </is>
      </c>
      <c r="J59" s="3" t="inlineStr">
        <is>
          <t>[]</t>
        </is>
      </c>
    </row>
    <row r="60" ht="42" customHeight="1">
      <c r="A60" s="2" t="inlineStr">
        <is>
          <t>jeminise.com+christian-bedding-set-inspirational-bible-verse-comforter</t>
        </is>
      </c>
      <c r="B60" s="2" t="inlineStr">
        <is>
          <t>K2</t>
        </is>
      </c>
      <c r="C60" s="2" t="n">
        <v>5</v>
      </c>
      <c r="D60" s="2" t="inlineStr">
        <is>
          <t>PARTIAL</t>
        </is>
      </c>
      <c r="E60" s="5">
        <f>IF(B60="I1",AVERAGEIF('QA_Images'!$A$2:$A$65,A60,'QA_Images'!$S$2:$S$65)/100,IF(D60="FULL",1,IF(D60="PARTIAL",0.5,IF(D60="FAIL",0,""))))</f>
        <v/>
      </c>
      <c r="F60" s="5">
        <f>IF(E60="",0,C60*E60)</f>
        <v/>
      </c>
      <c r="G60" s="5">
        <f>IF(B60="I1",20*AVERAGEIF('QA_Images'!$A$2:$A$65,A60,'QA_Images'!$T$2:$T$65)/100,IF(D60="NOT_CHECKED",0,C60))</f>
        <v/>
      </c>
      <c r="H60" s="2" t="inlineStr">
        <is>
          <t>Đã đọc lại hai SERP query cho mỗi sản phẩm tại intent US; ghi URL thực đọc và không suy diễn volume.</t>
        </is>
      </c>
      <c r="I60" s="2" t="inlineStr">
        <is>
          <t>["evidence_batch_002_016", "serp_qa_016_1", "serp_qa_016_2"]</t>
        </is>
      </c>
      <c r="J60" s="2" t="inlineStr">
        <is>
          <t>[]</t>
        </is>
      </c>
    </row>
    <row r="61" ht="42" customHeight="1">
      <c r="A61" s="3" t="inlineStr">
        <is>
          <t>jeminise.com+christian-bedding-set-inspirational-bible-verse-comforter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IF(B61="I1",AVERAGEIF('QA_Images'!$A$2:$A$65,A61,'QA_Images'!$S$2:$S$65)/100,IF(D61="FULL",1,IF(D61="PARTIAL",0.5,IF(D61="FAIL",0,""))))</f>
        <v/>
      </c>
      <c r="F61" s="7">
        <f>IF(E61="",0,C61*E61)</f>
        <v/>
      </c>
      <c r="G61" s="7">
        <f>IF(B61="I1",20*AVERAGEIF('QA_Images'!$A$2:$A$65,A61,'QA_Images'!$T$2:$T$65)/100,IF(D61="NOT_CHECKED",0,C61))</f>
        <v/>
      </c>
      <c r="H61" s="3" t="inlineStr">
        <is>
          <t>Không suy diễn volume; phân biệt SERP_ONLY và HYPOTHESIS_ONLY.</t>
        </is>
      </c>
      <c r="I61" s="3" t="inlineStr">
        <is>
          <t>["evidence_batch_002_016", "Keyword_Map"]</t>
        </is>
      </c>
      <c r="J61" s="3" t="inlineStr">
        <is>
          <t>[]</t>
        </is>
      </c>
    </row>
    <row r="62" ht="42" customHeight="1">
      <c r="A62" s="2" t="inlineStr">
        <is>
          <t>jeminise.com+christian-bedding-set-inspirational-bible-verse-comforter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IF(B62="I1",AVERAGEIF('QA_Images'!$A$2:$A$65,A62,'QA_Images'!$S$2:$S$65)/100,IF(D62="FULL",1,IF(D62="PARTIAL",0.5,IF(D62="FAIL",0,""))))</f>
        <v/>
      </c>
      <c r="F62" s="5">
        <f>IF(E62="",0,C62*E62)</f>
        <v/>
      </c>
      <c r="G62" s="5">
        <f>IF(B62="I1",20*AVERAGEIF('QA_Images'!$A$2:$A$65,A62,'QA_Images'!$T$2:$T$65)/100,IF(D62="NOT_CHECKED",0,C62))</f>
        <v/>
      </c>
      <c r="H62" s="2" t="inlineStr">
        <is>
          <t>Đánh giá SEO title English về độ đúng, tự nhiên, keyword mục tiêu và điểm phân biệt.</t>
        </is>
      </c>
      <c r="I62" s="2" t="inlineStr">
        <is>
          <t>["evidence_batch_002_016", "https://jeminise.com/products/christian-bedding-set-inspirational-bible-verse-comforter"]</t>
        </is>
      </c>
      <c r="J62" s="2" t="inlineStr">
        <is>
          <t>[]</t>
        </is>
      </c>
    </row>
    <row r="63" ht="42" customHeight="1">
      <c r="A63" s="3" t="inlineStr">
        <is>
          <t>jeminise.com+christian-bedding-set-inspirational-bible-verse-comforter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IF(B63="I1",AVERAGEIF('QA_Images'!$A$2:$A$65,A63,'QA_Images'!$S$2:$S$65)/100,IF(D63="FULL",1,IF(D63="PARTIAL",0.5,IF(D63="FAIL",0,""))))</f>
        <v/>
      </c>
      <c r="F63" s="7">
        <f>IF(E63="",0,C63*E63)</f>
        <v/>
      </c>
      <c r="G63" s="7">
        <f>IF(B63="I1",20*AVERAGEIF('QA_Images'!$A$2:$A$65,A63,'QA_Images'!$T$2:$T$65)/100,IF(D63="NOT_CHECKED",0,C63))</f>
        <v/>
      </c>
      <c r="H63" s="3" t="inlineStr">
        <is>
          <t>Đánh giá H1 đề xuất độc lập với SEO title và đối chiếu lỗi ký tự nguồn.</t>
        </is>
      </c>
      <c r="I63" s="3" t="inlineStr">
        <is>
          <t>["evidence_batch_002_016", "https://jeminise.com/products/christian-bedding-set-inspirational-bible-verse-comforter"]</t>
        </is>
      </c>
      <c r="J63" s="3" t="inlineStr">
        <is>
          <t>["R5-ISS-016-ENC"]</t>
        </is>
      </c>
    </row>
    <row r="64" ht="42" customHeight="1">
      <c r="A64" s="2" t="inlineStr">
        <is>
          <t>jeminise.com+christian-bedding-set-inspirational-bible-verse-comforter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IF(B64="I1",AVERAGEIF('QA_Images'!$A$2:$A$65,A64,'QA_Images'!$S$2:$S$65)/100,IF(D64="FULL",1,IF(D64="PARTIAL",0.5,IF(D64="FAIL",0,""))))</f>
        <v/>
      </c>
      <c r="F64" s="5">
        <f>IF(E64="",0,C64*E64)</f>
        <v/>
      </c>
      <c r="G64" s="5">
        <f>IF(B64="I1",20*AVERAGEIF('QA_Images'!$A$2:$A$65,A64,'QA_Images'!$T$2:$T$65)/100,IF(D64="NOT_CHECKED",0,C64))</f>
        <v/>
      </c>
      <c r="H64" s="2" t="inlineStr">
        <is>
          <t>Đánh giá meta description về tính cụ thể, mạch lạc và căn cứ claim.</t>
        </is>
      </c>
      <c r="I64" s="2" t="inlineStr">
        <is>
          <t>["evidence_batch_002_016", "https://jeminise.com/products/christian-bedding-set-inspirational-bible-verse-comforter"]</t>
        </is>
      </c>
      <c r="J64" s="2" t="inlineStr">
        <is>
          <t>[]</t>
        </is>
      </c>
    </row>
    <row r="65" ht="42" customHeight="1">
      <c r="A65" s="3" t="inlineStr">
        <is>
          <t>jeminise.com+christian-bedding-set-inspirational-bible-verse-comforter</t>
        </is>
      </c>
      <c r="B65" s="3" t="inlineStr">
        <is>
          <t>D2</t>
        </is>
      </c>
      <c r="C65" s="3" t="n">
        <v>10</v>
      </c>
      <c r="D65" s="3" t="inlineStr">
        <is>
          <t>FULL</t>
        </is>
      </c>
      <c r="E65" s="7">
        <f>IF(B65="I1",AVERAGEIF('QA_Images'!$A$2:$A$65,A65,'QA_Images'!$S$2:$S$65)/100,IF(D65="FULL",1,IF(D65="PARTIAL",0.5,IF(D65="FAIL",0,""))))</f>
        <v/>
      </c>
      <c r="F65" s="7">
        <f>IF(E65="",0,C65*E65)</f>
        <v/>
      </c>
      <c r="G65" s="7">
        <f>IF(B65="I1",20*AVERAGEIF('QA_Images'!$A$2:$A$65,A65,'QA_Images'!$T$2:$T$65)/100,IF(D65="NOT_CHECKED",0,C65))</f>
        <v/>
      </c>
      <c r="H65" s="3" t="inlineStr">
        <is>
          <t>Description r5 hoàn toàn customer-facing, không còn ngôn ngữ nội bộ/workflow; phản ánh đúng thuộc tính và giới hạn tùy biến.</t>
        </is>
      </c>
      <c r="I65" s="3" t="inlineStr">
        <is>
          <t>["evidence_batch_002_016", "https://jeminise.com/products/christian-bedding-set-inspirational-bible-verse-comforter"]</t>
        </is>
      </c>
      <c r="J65" s="3" t="inlineStr">
        <is>
          <t>[]</t>
        </is>
      </c>
    </row>
    <row r="66" ht="42" customHeight="1">
      <c r="A66" s="2" t="inlineStr">
        <is>
          <t>jeminise.com+christian-bedding-set-inspirational-bible-verse-comforter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IF(B66="I1",AVERAGEIF('QA_Images'!$A$2:$A$65,A66,'QA_Images'!$S$2:$S$65)/100,IF(D66="FULL",1,IF(D66="PARTIAL",0.5,IF(D66="FAIL",0,""))))</f>
        <v/>
      </c>
      <c r="F66" s="5">
        <f>IF(E66="",0,C66*E66)</f>
        <v/>
      </c>
      <c r="G66" s="5">
        <f>IF(B66="I1",20*AVERAGEIF('QA_Images'!$A$2:$A$65,A66,'QA_Images'!$T$2:$T$65)/100,IF(D66="NOT_CHECKED",0,C66))</f>
        <v/>
      </c>
      <c r="H66" s="2" t="inlineStr">
        <is>
          <t>Derived from directly checked r5 media records: 100.0/100.</t>
        </is>
      </c>
      <c r="I66" s="2" t="inlineStr">
        <is>
          <t>["evidence_batch_002_016", "QA_Images"]</t>
        </is>
      </c>
      <c r="J66" s="2" t="inlineStr">
        <is>
          <t>[]</t>
        </is>
      </c>
    </row>
    <row r="67" ht="42" customHeight="1">
      <c r="A67" s="3" t="inlineStr">
        <is>
          <t>jeminise.com+christian-bedding-set-inspirational-bible-verse-comforter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IF(B67="I1",AVERAGEIF('QA_Images'!$A$2:$A$65,A67,'QA_Images'!$S$2:$S$65)/100,IF(D67="FULL",1,IF(D67="PARTIAL",0.5,IF(D67="FAIL",0,""))))</f>
        <v/>
      </c>
      <c r="F67" s="7">
        <f>IF(E67="",0,C67*E67)</f>
        <v/>
      </c>
      <c r="G67" s="7">
        <f>IF(B67="I1",20*AVERAGEIF('QA_Images'!$A$2:$A$65,A67,'QA_Images'!$T$2:$T$65)/100,IF(D67="NOT_CHECKED",0,C67))</f>
        <v/>
      </c>
      <c r="H67" s="3" t="inlineStr">
        <is>
          <t>Kiểm tra liên kết product key/handle/evidence/revision giữa workbook, snapshot và nguồn live.</t>
        </is>
      </c>
      <c r="I67" s="3" t="inlineStr">
        <is>
          <t>["evidence_batch_002_016", "https://jeminise.com/products/christian-bedding-set-inspirational-bible-verse-comforter", "Keyword_Map", "Product_Evidence"]</t>
        </is>
      </c>
      <c r="J67" s="3" t="inlineStr">
        <is>
          <t>[]</t>
        </is>
      </c>
    </row>
    <row r="68" ht="42" customHeight="1">
      <c r="A68" s="2" t="inlineStr">
        <is>
          <t>jeminise.com+christmas-bedding-quilt-soft-microfiber-holiday-bedsprea-design-01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IF(B68="I1",AVERAGEIF('QA_Images'!$A$2:$A$65,A68,'QA_Images'!$S$2:$S$65)/100,IF(D68="FULL",1,IF(D68="PARTIAL",0.5,IF(D68="FAIL",0,""))))</f>
        <v/>
      </c>
      <c r="F68" s="5">
        <f>IF(E68="",0,C68*E68)</f>
        <v/>
      </c>
      <c r="G68" s="5">
        <f>IF(B68="I1",20*AVERAGEIF('QA_Images'!$A$2:$A$65,A68,'QA_Images'!$T$2:$T$65)/100,IF(D68="NOT_CHECKED",0,C68))</f>
        <v/>
      </c>
      <c r="H68" s="2" t="inlineStr">
        <is>
          <t>Đối chiếu loại sản phẩm, thiết kế và màu sắc với product JSON, H1 live và toàn bộ gallery ảnh.</t>
        </is>
      </c>
      <c r="I68" s="2" t="inlineStr">
        <is>
          <t>["evidence_batch_002_017", "https://jeminise.com/products/christmas-bedding-quilt-soft-microfiber-holiday-bedsprea-design-01"]</t>
        </is>
      </c>
      <c r="J68" s="2" t="inlineStr">
        <is>
          <t>[]</t>
        </is>
      </c>
    </row>
    <row r="69" ht="42" customHeight="1">
      <c r="A69" s="3" t="inlineStr">
        <is>
          <t>jeminise.com+christmas-bedding-quilt-soft-microfiber-holiday-bedsprea-design-01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IF(B69="I1",AVERAGEIF('QA_Images'!$A$2:$A$65,A69,'QA_Images'!$S$2:$S$65)/100,IF(D69="FULL",1,IF(D69="PARTIAL",0.5,IF(D69="FAIL",0,""))))</f>
        <v/>
      </c>
      <c r="F69" s="7">
        <f>IF(E69="",0,C69*E69)</f>
        <v/>
      </c>
      <c r="G69" s="7">
        <f>IF(B69="I1",20*AVERAGEIF('QA_Images'!$A$2:$A$65,A69,'QA_Images'!$T$2:$T$65)/100,IF(D69="NOT_CHECKED",0,C69))</f>
        <v/>
      </c>
      <c r="H69" s="3" t="inlineStr">
        <is>
          <t>Đối chiếu chất liệu 100% microfiber, kích thước, thành phần đi kèm, biến thể và giới hạn personalization với customizer và gallery.</t>
        </is>
      </c>
      <c r="I69" s="3" t="inlineStr">
        <is>
          <t>["evidence_batch_002_017", "customizer_audit.json", "https://jeminise.com/products/christmas-bedding-quilt-soft-microfiber-holiday-bedsprea-design-01"]</t>
        </is>
      </c>
      <c r="J69" s="3" t="inlineStr">
        <is>
          <t>[]</t>
        </is>
      </c>
    </row>
    <row r="70" ht="42" customHeight="1">
      <c r="A70" s="2" t="inlineStr">
        <is>
          <t>jeminise.com+christmas-bedding-quilt-soft-microfiber-holiday-bedsprea-design-01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IF(B70="I1",AVERAGEIF('QA_Images'!$A$2:$A$65,A70,'QA_Images'!$S$2:$S$65)/100,IF(D70="FULL",1,IF(D70="PARTIAL",0.5,IF(D70="FAIL",0,""))))</f>
        <v/>
      </c>
      <c r="F70" s="5">
        <f>IF(E70="",0,C70*E70)</f>
        <v/>
      </c>
      <c r="G70" s="5">
        <f>IF(B70="I1",20*AVERAGEIF('QA_Images'!$A$2:$A$65,A70,'QA_Images'!$T$2:$T$65)/100,IF(D70="NOT_CHECKED",0,C70))</f>
        <v/>
      </c>
      <c r="H70" s="2" t="inlineStr">
        <is>
          <t>Đối chiếu long-tail với thiết kế riêng và nguy cơ trùng intent trong hai cụm Christian/Christmas của batch.</t>
        </is>
      </c>
      <c r="I70" s="2" t="inlineStr">
        <is>
          <t>["evidence_batch_002_017", "serp_qa_017_1"]</t>
        </is>
      </c>
      <c r="J70" s="2" t="inlineStr">
        <is>
          <t>[]</t>
        </is>
      </c>
    </row>
    <row r="71" ht="42" customHeight="1">
      <c r="A71" s="3" t="inlineStr">
        <is>
          <t>jeminise.com+christmas-bedding-quilt-soft-microfiber-holiday-bedsprea-design-01</t>
        </is>
      </c>
      <c r="B71" s="3" t="inlineStr">
        <is>
          <t>K2</t>
        </is>
      </c>
      <c r="C71" s="3" t="n">
        <v>5</v>
      </c>
      <c r="D71" s="3" t="inlineStr">
        <is>
          <t>PARTIAL</t>
        </is>
      </c>
      <c r="E71" s="7">
        <f>IF(B71="I1",AVERAGEIF('QA_Images'!$A$2:$A$65,A71,'QA_Images'!$S$2:$S$65)/100,IF(D71="FULL",1,IF(D71="PARTIAL",0.5,IF(D71="FAIL",0,""))))</f>
        <v/>
      </c>
      <c r="F71" s="7">
        <f>IF(E71="",0,C71*E71)</f>
        <v/>
      </c>
      <c r="G71" s="7">
        <f>IF(B71="I1",20*AVERAGEIF('QA_Images'!$A$2:$A$65,A71,'QA_Images'!$T$2:$T$65)/100,IF(D71="NOT_CHECKED",0,C71))</f>
        <v/>
      </c>
      <c r="H71" s="3" t="inlineStr">
        <is>
          <t>Đã đọc lại hai SERP query cho mỗi sản phẩm tại intent US; ghi URL thực đọc và không suy diễn volume.</t>
        </is>
      </c>
      <c r="I71" s="3" t="inlineStr">
        <is>
          <t>["evidence_batch_002_017", "serp_qa_017_1", "serp_qa_017_2"]</t>
        </is>
      </c>
      <c r="J71" s="3" t="inlineStr">
        <is>
          <t>[]</t>
        </is>
      </c>
    </row>
    <row r="72" ht="42" customHeight="1">
      <c r="A72" s="2" t="inlineStr">
        <is>
          <t>jeminise.com+christmas-bedding-quilt-soft-microfiber-holiday-bedsprea-design-01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IF(B72="I1",AVERAGEIF('QA_Images'!$A$2:$A$65,A72,'QA_Images'!$S$2:$S$65)/100,IF(D72="FULL",1,IF(D72="PARTIAL",0.5,IF(D72="FAIL",0,""))))</f>
        <v/>
      </c>
      <c r="F72" s="5">
        <f>IF(E72="",0,C72*E72)</f>
        <v/>
      </c>
      <c r="G72" s="5">
        <f>IF(B72="I1",20*AVERAGEIF('QA_Images'!$A$2:$A$65,A72,'QA_Images'!$T$2:$T$65)/100,IF(D72="NOT_CHECKED",0,C72))</f>
        <v/>
      </c>
      <c r="H72" s="2" t="inlineStr">
        <is>
          <t>Không suy diễn volume; phân biệt SERP_ONLY và HYPOTHESIS_ONLY.</t>
        </is>
      </c>
      <c r="I72" s="2" t="inlineStr">
        <is>
          <t>["evidence_batch_002_017", "Keyword_Map"]</t>
        </is>
      </c>
      <c r="J72" s="2" t="inlineStr">
        <is>
          <t>[]</t>
        </is>
      </c>
    </row>
    <row r="73" ht="42" customHeight="1">
      <c r="A73" s="3" t="inlineStr">
        <is>
          <t>jeminise.com+christmas-bedding-quilt-soft-microfiber-holiday-bedsprea-design-01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IF(B73="I1",AVERAGEIF('QA_Images'!$A$2:$A$65,A73,'QA_Images'!$S$2:$S$65)/100,IF(D73="FULL",1,IF(D73="PARTIAL",0.5,IF(D73="FAIL",0,""))))</f>
        <v/>
      </c>
      <c r="F73" s="7">
        <f>IF(E73="",0,C73*E73)</f>
        <v/>
      </c>
      <c r="G73" s="7">
        <f>IF(B73="I1",20*AVERAGEIF('QA_Images'!$A$2:$A$65,A73,'QA_Images'!$T$2:$T$65)/100,IF(D73="NOT_CHECKED",0,C73))</f>
        <v/>
      </c>
      <c r="H73" s="3" t="inlineStr">
        <is>
          <t>Đánh giá SEO title English về độ đúng, tự nhiên, keyword mục tiêu và điểm phân biệt.</t>
        </is>
      </c>
      <c r="I73" s="3" t="inlineStr">
        <is>
          <t>["evidence_batch_002_017", "https://jeminise.com/products/christmas-bedding-quilt-soft-microfiber-holiday-bedsprea-design-01"]</t>
        </is>
      </c>
      <c r="J73" s="3" t="inlineStr">
        <is>
          <t>[]</t>
        </is>
      </c>
    </row>
    <row r="74" ht="42" customHeight="1">
      <c r="A74" s="2" t="inlineStr">
        <is>
          <t>jeminise.com+christmas-bedding-quilt-soft-microfiber-holiday-bedsprea-design-01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IF(B74="I1",AVERAGEIF('QA_Images'!$A$2:$A$65,A74,'QA_Images'!$S$2:$S$65)/100,IF(D74="FULL",1,IF(D74="PARTIAL",0.5,IF(D74="FAIL",0,""))))</f>
        <v/>
      </c>
      <c r="F74" s="5">
        <f>IF(E74="",0,C74*E74)</f>
        <v/>
      </c>
      <c r="G74" s="5">
        <f>IF(B74="I1",20*AVERAGEIF('QA_Images'!$A$2:$A$65,A74,'QA_Images'!$T$2:$T$65)/100,IF(D74="NOT_CHECKED",0,C74))</f>
        <v/>
      </c>
      <c r="H74" s="2" t="inlineStr">
        <is>
          <t>Đánh giá H1 đề xuất độc lập với SEO title và đối chiếu lỗi ký tự nguồn.</t>
        </is>
      </c>
      <c r="I74" s="2" t="inlineStr">
        <is>
          <t>["evidence_batch_002_017", "https://jeminise.com/products/christmas-bedding-quilt-soft-microfiber-holiday-bedsprea-design-01"]</t>
        </is>
      </c>
      <c r="J74" s="2" t="inlineStr">
        <is>
          <t>["R5-ISS-017-ENC"]</t>
        </is>
      </c>
    </row>
    <row r="75" ht="42" customHeight="1">
      <c r="A75" s="3" t="inlineStr">
        <is>
          <t>jeminise.com+christmas-bedding-quilt-soft-microfiber-holiday-bedsprea-design-01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IF(B75="I1",AVERAGEIF('QA_Images'!$A$2:$A$65,A75,'QA_Images'!$S$2:$S$65)/100,IF(D75="FULL",1,IF(D75="PARTIAL",0.5,IF(D75="FAIL",0,""))))</f>
        <v/>
      </c>
      <c r="F75" s="7">
        <f>IF(E75="",0,C75*E75)</f>
        <v/>
      </c>
      <c r="G75" s="7">
        <f>IF(B75="I1",20*AVERAGEIF('QA_Images'!$A$2:$A$65,A75,'QA_Images'!$T$2:$T$65)/100,IF(D75="NOT_CHECKED",0,C75))</f>
        <v/>
      </c>
      <c r="H75" s="3" t="inlineStr">
        <is>
          <t>Đánh giá meta description về tính cụ thể, mạch lạc và căn cứ claim.</t>
        </is>
      </c>
      <c r="I75" s="3" t="inlineStr">
        <is>
          <t>["evidence_batch_002_017", "https://jeminise.com/products/christmas-bedding-quilt-soft-microfiber-holiday-bedsprea-design-01"]</t>
        </is>
      </c>
      <c r="J75" s="3" t="inlineStr">
        <is>
          <t>[]</t>
        </is>
      </c>
    </row>
    <row r="76" ht="42" customHeight="1">
      <c r="A76" s="2" t="inlineStr">
        <is>
          <t>jeminise.com+christmas-bedding-quilt-soft-microfiber-holiday-bedsprea-design-01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5">
        <f>IF(B76="I1",AVERAGEIF('QA_Images'!$A$2:$A$65,A76,'QA_Images'!$S$2:$S$65)/100,IF(D76="FULL",1,IF(D76="PARTIAL",0.5,IF(D76="FAIL",0,""))))</f>
        <v/>
      </c>
      <c r="F76" s="5">
        <f>IF(E76="",0,C76*E76)</f>
        <v/>
      </c>
      <c r="G76" s="5">
        <f>IF(B76="I1",20*AVERAGEIF('QA_Images'!$A$2:$A$65,A76,'QA_Images'!$T$2:$T$65)/100,IF(D76="NOT_CHECKED",0,C76))</f>
        <v/>
      </c>
      <c r="H76" s="2" t="inlineStr">
        <is>
          <t>Description r5 hoàn toàn customer-facing, không còn ngôn ngữ nội bộ/workflow; phản ánh đúng thuộc tính và giới hạn tùy biến.</t>
        </is>
      </c>
      <c r="I76" s="2" t="inlineStr">
        <is>
          <t>["evidence_batch_002_017", "https://jeminise.com/products/christmas-bedding-quilt-soft-microfiber-holiday-bedsprea-design-01"]</t>
        </is>
      </c>
      <c r="J76" s="2" t="inlineStr">
        <is>
          <t>[]</t>
        </is>
      </c>
    </row>
    <row r="77" ht="42" customHeight="1">
      <c r="A77" s="3" t="inlineStr">
        <is>
          <t>jeminise.com+christmas-bedding-quilt-soft-microfiber-holiday-bedsprea-design-01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IF(B77="I1",AVERAGEIF('QA_Images'!$A$2:$A$65,A77,'QA_Images'!$S$2:$S$65)/100,IF(D77="FULL",1,IF(D77="PARTIAL",0.5,IF(D77="FAIL",0,""))))</f>
        <v/>
      </c>
      <c r="F77" s="7">
        <f>IF(E77="",0,C77*E77)</f>
        <v/>
      </c>
      <c r="G77" s="7">
        <f>IF(B77="I1",20*AVERAGEIF('QA_Images'!$A$2:$A$65,A77,'QA_Images'!$T$2:$T$65)/100,IF(D77="NOT_CHECKED",0,C77))</f>
        <v/>
      </c>
      <c r="H77" s="3" t="inlineStr">
        <is>
          <t>Derived from directly checked r5 media records: 100.0/100.</t>
        </is>
      </c>
      <c r="I77" s="3" t="inlineStr">
        <is>
          <t>["evidence_batch_002_017", "QA_Images"]</t>
        </is>
      </c>
      <c r="J77" s="3" t="inlineStr">
        <is>
          <t>[]</t>
        </is>
      </c>
    </row>
    <row r="78" ht="42" customHeight="1">
      <c r="A78" s="2" t="inlineStr">
        <is>
          <t>jeminise.com+christmas-bedding-quilt-soft-microfiber-holiday-bedsprea-design-01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IF(B78="I1",AVERAGEIF('QA_Images'!$A$2:$A$65,A78,'QA_Images'!$S$2:$S$65)/100,IF(D78="FULL",1,IF(D78="PARTIAL",0.5,IF(D78="FAIL",0,""))))</f>
        <v/>
      </c>
      <c r="F78" s="5">
        <f>IF(E78="",0,C78*E78)</f>
        <v/>
      </c>
      <c r="G78" s="5">
        <f>IF(B78="I1",20*AVERAGEIF('QA_Images'!$A$2:$A$65,A78,'QA_Images'!$T$2:$T$65)/100,IF(D78="NOT_CHECKED",0,C78))</f>
        <v/>
      </c>
      <c r="H78" s="2" t="inlineStr">
        <is>
          <t>Kiểm tra liên kết product key/handle/evidence/revision giữa workbook, snapshot và nguồn live.</t>
        </is>
      </c>
      <c r="I78" s="2" t="inlineStr">
        <is>
          <t>["evidence_batch_002_017", "https://jeminise.com/products/christmas-bedding-quilt-soft-microfiber-holiday-bedsprea-design-01", "Keyword_Map", "Product_Evidence"]</t>
        </is>
      </c>
      <c r="J78" s="2" t="inlineStr">
        <is>
          <t>[]</t>
        </is>
      </c>
    </row>
    <row r="79" ht="42" customHeight="1">
      <c r="A79" s="3" t="inlineStr">
        <is>
          <t>jeminise.com+christmas-bedding-quilt-soft-microfiber-holiday-bedsprea-design-02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IF(B79="I1",AVERAGEIF('QA_Images'!$A$2:$A$65,A79,'QA_Images'!$S$2:$S$65)/100,IF(D79="FULL",1,IF(D79="PARTIAL",0.5,IF(D79="FAIL",0,""))))</f>
        <v/>
      </c>
      <c r="F79" s="7">
        <f>IF(E79="",0,C79*E79)</f>
        <v/>
      </c>
      <c r="G79" s="7">
        <f>IF(B79="I1",20*AVERAGEIF('QA_Images'!$A$2:$A$65,A79,'QA_Images'!$T$2:$T$65)/100,IF(D79="NOT_CHECKED",0,C79))</f>
        <v/>
      </c>
      <c r="H79" s="3" t="inlineStr">
        <is>
          <t>Đối chiếu loại sản phẩm, thiết kế và màu sắc với product JSON, H1 live và toàn bộ gallery ảnh.</t>
        </is>
      </c>
      <c r="I79" s="3" t="inlineStr">
        <is>
          <t>["evidence_batch_002_018", "https://jeminise.com/products/christmas-bedding-quilt-soft-microfiber-holiday-bedsprea-design-02"]</t>
        </is>
      </c>
      <c r="J79" s="3" t="inlineStr">
        <is>
          <t>[]</t>
        </is>
      </c>
    </row>
    <row r="80" ht="42" customHeight="1">
      <c r="A80" s="2" t="inlineStr">
        <is>
          <t>jeminise.com+christmas-bedding-quilt-soft-microfiber-holiday-bedsprea-design-02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IF(B80="I1",AVERAGEIF('QA_Images'!$A$2:$A$65,A80,'QA_Images'!$S$2:$S$65)/100,IF(D80="FULL",1,IF(D80="PARTIAL",0.5,IF(D80="FAIL",0,""))))</f>
        <v/>
      </c>
      <c r="F80" s="5">
        <f>IF(E80="",0,C80*E80)</f>
        <v/>
      </c>
      <c r="G80" s="5">
        <f>IF(B80="I1",20*AVERAGEIF('QA_Images'!$A$2:$A$65,A80,'QA_Images'!$T$2:$T$65)/100,IF(D80="NOT_CHECKED",0,C80))</f>
        <v/>
      </c>
      <c r="H80" s="2" t="inlineStr">
        <is>
          <t>Đối chiếu chất liệu 100% microfiber, kích thước, thành phần đi kèm, biến thể và giới hạn personalization với customizer và gallery.</t>
        </is>
      </c>
      <c r="I80" s="2" t="inlineStr">
        <is>
          <t>["evidence_batch_002_018", "customizer_audit.json", "https://jeminise.com/products/christmas-bedding-quilt-soft-microfiber-holiday-bedsprea-design-02"]</t>
        </is>
      </c>
      <c r="J80" s="2" t="inlineStr">
        <is>
          <t>[]</t>
        </is>
      </c>
    </row>
    <row r="81" ht="42" customHeight="1">
      <c r="A81" s="3" t="inlineStr">
        <is>
          <t>jeminise.com+christmas-bedding-quilt-soft-microfiber-holiday-bedsprea-design-02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IF(B81="I1",AVERAGEIF('QA_Images'!$A$2:$A$65,A81,'QA_Images'!$S$2:$S$65)/100,IF(D81="FULL",1,IF(D81="PARTIAL",0.5,IF(D81="FAIL",0,""))))</f>
        <v/>
      </c>
      <c r="F81" s="7">
        <f>IF(E81="",0,C81*E81)</f>
        <v/>
      </c>
      <c r="G81" s="7">
        <f>IF(B81="I1",20*AVERAGEIF('QA_Images'!$A$2:$A$65,A81,'QA_Images'!$T$2:$T$65)/100,IF(D81="NOT_CHECKED",0,C81))</f>
        <v/>
      </c>
      <c r="H81" s="3" t="inlineStr">
        <is>
          <t>Đối chiếu long-tail với thiết kế riêng và nguy cơ trùng intent trong hai cụm Christian/Christmas của batch.</t>
        </is>
      </c>
      <c r="I81" s="3" t="inlineStr">
        <is>
          <t>["evidence_batch_002_018", "serp_qa_018_1"]</t>
        </is>
      </c>
      <c r="J81" s="3" t="inlineStr">
        <is>
          <t>[]</t>
        </is>
      </c>
    </row>
    <row r="82" ht="42" customHeight="1">
      <c r="A82" s="2" t="inlineStr">
        <is>
          <t>jeminise.com+christmas-bedding-quilt-soft-microfiber-holiday-bedsprea-design-02</t>
        </is>
      </c>
      <c r="B82" s="2" t="inlineStr">
        <is>
          <t>K2</t>
        </is>
      </c>
      <c r="C82" s="2" t="n">
        <v>5</v>
      </c>
      <c r="D82" s="2" t="inlineStr">
        <is>
          <t>PARTIAL</t>
        </is>
      </c>
      <c r="E82" s="5">
        <f>IF(B82="I1",AVERAGEIF('QA_Images'!$A$2:$A$65,A82,'QA_Images'!$S$2:$S$65)/100,IF(D82="FULL",1,IF(D82="PARTIAL",0.5,IF(D82="FAIL",0,""))))</f>
        <v/>
      </c>
      <c r="F82" s="5">
        <f>IF(E82="",0,C82*E82)</f>
        <v/>
      </c>
      <c r="G82" s="5">
        <f>IF(B82="I1",20*AVERAGEIF('QA_Images'!$A$2:$A$65,A82,'QA_Images'!$T$2:$T$65)/100,IF(D82="NOT_CHECKED",0,C82))</f>
        <v/>
      </c>
      <c r="H82" s="2" t="inlineStr">
        <is>
          <t>Đã đọc lại hai SERP query cho mỗi sản phẩm tại intent US; ghi URL thực đọc và không suy diễn volume.</t>
        </is>
      </c>
      <c r="I82" s="2" t="inlineStr">
        <is>
          <t>["evidence_batch_002_018", "serp_qa_018_1", "serp_qa_018_2"]</t>
        </is>
      </c>
      <c r="J82" s="2" t="inlineStr">
        <is>
          <t>[]</t>
        </is>
      </c>
    </row>
    <row r="83" ht="42" customHeight="1">
      <c r="A83" s="3" t="inlineStr">
        <is>
          <t>jeminise.com+christmas-bedding-quilt-soft-microfiber-holiday-bedsprea-design-02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IF(B83="I1",AVERAGEIF('QA_Images'!$A$2:$A$65,A83,'QA_Images'!$S$2:$S$65)/100,IF(D83="FULL",1,IF(D83="PARTIAL",0.5,IF(D83="FAIL",0,""))))</f>
        <v/>
      </c>
      <c r="F83" s="7">
        <f>IF(E83="",0,C83*E83)</f>
        <v/>
      </c>
      <c r="G83" s="7">
        <f>IF(B83="I1",20*AVERAGEIF('QA_Images'!$A$2:$A$65,A83,'QA_Images'!$T$2:$T$65)/100,IF(D83="NOT_CHECKED",0,C83))</f>
        <v/>
      </c>
      <c r="H83" s="3" t="inlineStr">
        <is>
          <t>Không suy diễn volume; phân biệt SERP_ONLY và HYPOTHESIS_ONLY.</t>
        </is>
      </c>
      <c r="I83" s="3" t="inlineStr">
        <is>
          <t>["evidence_batch_002_018", "Keyword_Map"]</t>
        </is>
      </c>
      <c r="J83" s="3" t="inlineStr">
        <is>
          <t>[]</t>
        </is>
      </c>
    </row>
    <row r="84" ht="42" customHeight="1">
      <c r="A84" s="2" t="inlineStr">
        <is>
          <t>jeminise.com+christmas-bedding-quilt-soft-microfiber-holiday-bedsprea-design-02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IF(B84="I1",AVERAGEIF('QA_Images'!$A$2:$A$65,A84,'QA_Images'!$S$2:$S$65)/100,IF(D84="FULL",1,IF(D84="PARTIAL",0.5,IF(D84="FAIL",0,""))))</f>
        <v/>
      </c>
      <c r="F84" s="5">
        <f>IF(E84="",0,C84*E84)</f>
        <v/>
      </c>
      <c r="G84" s="5">
        <f>IF(B84="I1",20*AVERAGEIF('QA_Images'!$A$2:$A$65,A84,'QA_Images'!$T$2:$T$65)/100,IF(D84="NOT_CHECKED",0,C84))</f>
        <v/>
      </c>
      <c r="H84" s="2" t="inlineStr">
        <is>
          <t>Đánh giá SEO title English về độ đúng, tự nhiên, keyword mục tiêu và điểm phân biệt.</t>
        </is>
      </c>
      <c r="I84" s="2" t="inlineStr">
        <is>
          <t>["evidence_batch_002_018", "https://jeminise.com/products/christmas-bedding-quilt-soft-microfiber-holiday-bedsprea-design-02"]</t>
        </is>
      </c>
      <c r="J84" s="2" t="inlineStr">
        <is>
          <t>[]</t>
        </is>
      </c>
    </row>
    <row r="85" ht="42" customHeight="1">
      <c r="A85" s="3" t="inlineStr">
        <is>
          <t>jeminise.com+christmas-bedding-quilt-soft-microfiber-holiday-bedsprea-design-02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IF(B85="I1",AVERAGEIF('QA_Images'!$A$2:$A$65,A85,'QA_Images'!$S$2:$S$65)/100,IF(D85="FULL",1,IF(D85="PARTIAL",0.5,IF(D85="FAIL",0,""))))</f>
        <v/>
      </c>
      <c r="F85" s="7">
        <f>IF(E85="",0,C85*E85)</f>
        <v/>
      </c>
      <c r="G85" s="7">
        <f>IF(B85="I1",20*AVERAGEIF('QA_Images'!$A$2:$A$65,A85,'QA_Images'!$T$2:$T$65)/100,IF(D85="NOT_CHECKED",0,C85))</f>
        <v/>
      </c>
      <c r="H85" s="3" t="inlineStr">
        <is>
          <t>Đánh giá H1 đề xuất độc lập với SEO title và đối chiếu lỗi ký tự nguồn.</t>
        </is>
      </c>
      <c r="I85" s="3" t="inlineStr">
        <is>
          <t>["evidence_batch_002_018", "https://jeminise.com/products/christmas-bedding-quilt-soft-microfiber-holiday-bedsprea-design-02"]</t>
        </is>
      </c>
      <c r="J85" s="3" t="inlineStr">
        <is>
          <t>["R5-ISS-018-ENC"]</t>
        </is>
      </c>
    </row>
    <row r="86" ht="42" customHeight="1">
      <c r="A86" s="2" t="inlineStr">
        <is>
          <t>jeminise.com+christmas-bedding-quilt-soft-microfiber-holiday-bedsprea-design-02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IF(B86="I1",AVERAGEIF('QA_Images'!$A$2:$A$65,A86,'QA_Images'!$S$2:$S$65)/100,IF(D86="FULL",1,IF(D86="PARTIAL",0.5,IF(D86="FAIL",0,""))))</f>
        <v/>
      </c>
      <c r="F86" s="5">
        <f>IF(E86="",0,C86*E86)</f>
        <v/>
      </c>
      <c r="G86" s="5">
        <f>IF(B86="I1",20*AVERAGEIF('QA_Images'!$A$2:$A$65,A86,'QA_Images'!$T$2:$T$65)/100,IF(D86="NOT_CHECKED",0,C86))</f>
        <v/>
      </c>
      <c r="H86" s="2" t="inlineStr">
        <is>
          <t>Đánh giá meta description về tính cụ thể, mạch lạc và căn cứ claim.</t>
        </is>
      </c>
      <c r="I86" s="2" t="inlineStr">
        <is>
          <t>["evidence_batch_002_018", "https://jeminise.com/products/christmas-bedding-quilt-soft-microfiber-holiday-bedsprea-design-02"]</t>
        </is>
      </c>
      <c r="J86" s="2" t="inlineStr">
        <is>
          <t>[]</t>
        </is>
      </c>
    </row>
    <row r="87" ht="42" customHeight="1">
      <c r="A87" s="3" t="inlineStr">
        <is>
          <t>jeminise.com+christmas-bedding-quilt-soft-microfiber-holiday-bedsprea-design-02</t>
        </is>
      </c>
      <c r="B87" s="3" t="inlineStr">
        <is>
          <t>D2</t>
        </is>
      </c>
      <c r="C87" s="3" t="n">
        <v>10</v>
      </c>
      <c r="D87" s="3" t="inlineStr">
        <is>
          <t>FULL</t>
        </is>
      </c>
      <c r="E87" s="7">
        <f>IF(B87="I1",AVERAGEIF('QA_Images'!$A$2:$A$65,A87,'QA_Images'!$S$2:$S$65)/100,IF(D87="FULL",1,IF(D87="PARTIAL",0.5,IF(D87="FAIL",0,""))))</f>
        <v/>
      </c>
      <c r="F87" s="7">
        <f>IF(E87="",0,C87*E87)</f>
        <v/>
      </c>
      <c r="G87" s="7">
        <f>IF(B87="I1",20*AVERAGEIF('QA_Images'!$A$2:$A$65,A87,'QA_Images'!$T$2:$T$65)/100,IF(D87="NOT_CHECKED",0,C87))</f>
        <v/>
      </c>
      <c r="H87" s="3" t="inlineStr">
        <is>
          <t>Description r5 hoàn toàn customer-facing, không còn ngôn ngữ nội bộ/workflow; phản ánh đúng thuộc tính và giới hạn tùy biến.</t>
        </is>
      </c>
      <c r="I87" s="3" t="inlineStr">
        <is>
          <t>["evidence_batch_002_018", "https://jeminise.com/products/christmas-bedding-quilt-soft-microfiber-holiday-bedsprea-design-02"]</t>
        </is>
      </c>
      <c r="J87" s="3" t="inlineStr">
        <is>
          <t>[]</t>
        </is>
      </c>
    </row>
    <row r="88" ht="42" customHeight="1">
      <c r="A88" s="2" t="inlineStr">
        <is>
          <t>jeminise.com+christmas-bedding-quilt-soft-microfiber-holiday-bedsprea-design-02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IF(B88="I1",AVERAGEIF('QA_Images'!$A$2:$A$65,A88,'QA_Images'!$S$2:$S$65)/100,IF(D88="FULL",1,IF(D88="PARTIAL",0.5,IF(D88="FAIL",0,""))))</f>
        <v/>
      </c>
      <c r="F88" s="5">
        <f>IF(E88="",0,C88*E88)</f>
        <v/>
      </c>
      <c r="G88" s="5">
        <f>IF(B88="I1",20*AVERAGEIF('QA_Images'!$A$2:$A$65,A88,'QA_Images'!$T$2:$T$65)/100,IF(D88="NOT_CHECKED",0,C88))</f>
        <v/>
      </c>
      <c r="H88" s="2" t="inlineStr">
        <is>
          <t>Derived from directly checked r5 media records: 100.0/100.</t>
        </is>
      </c>
      <c r="I88" s="2" t="inlineStr">
        <is>
          <t>["evidence_batch_002_018", "QA_Images"]</t>
        </is>
      </c>
      <c r="J88" s="2" t="inlineStr">
        <is>
          <t>[]</t>
        </is>
      </c>
    </row>
    <row r="89" ht="42" customHeight="1">
      <c r="A89" s="3" t="inlineStr">
        <is>
          <t>jeminise.com+christmas-bedding-quilt-soft-microfiber-holiday-bedsprea-design-02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IF(B89="I1",AVERAGEIF('QA_Images'!$A$2:$A$65,A89,'QA_Images'!$S$2:$S$65)/100,IF(D89="FULL",1,IF(D89="PARTIAL",0.5,IF(D89="FAIL",0,""))))</f>
        <v/>
      </c>
      <c r="F89" s="7">
        <f>IF(E89="",0,C89*E89)</f>
        <v/>
      </c>
      <c r="G89" s="7">
        <f>IF(B89="I1",20*AVERAGEIF('QA_Images'!$A$2:$A$65,A89,'QA_Images'!$T$2:$T$65)/100,IF(D89="NOT_CHECKED",0,C89))</f>
        <v/>
      </c>
      <c r="H89" s="3" t="inlineStr">
        <is>
          <t>Kiểm tra liên kết product key/handle/evidence/revision giữa workbook, snapshot và nguồn live.</t>
        </is>
      </c>
      <c r="I89" s="3" t="inlineStr">
        <is>
          <t>["evidence_batch_002_018", "https://jeminise.com/products/christmas-bedding-quilt-soft-microfiber-holiday-bedsprea-design-02", "Keyword_Map", "Product_Evidence"]</t>
        </is>
      </c>
      <c r="J89" s="3" t="inlineStr">
        <is>
          <t>[]</t>
        </is>
      </c>
    </row>
    <row r="90" ht="42" customHeight="1">
      <c r="A90" s="2" t="inlineStr">
        <is>
          <t>jeminise.com+christmas-bedding-quilt-soft-microfiber-holiday-bedsprea-design-03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IF(B90="I1",AVERAGEIF('QA_Images'!$A$2:$A$65,A90,'QA_Images'!$S$2:$S$65)/100,IF(D90="FULL",1,IF(D90="PARTIAL",0.5,IF(D90="FAIL",0,""))))</f>
        <v/>
      </c>
      <c r="F90" s="5">
        <f>IF(E90="",0,C90*E90)</f>
        <v/>
      </c>
      <c r="G90" s="5">
        <f>IF(B90="I1",20*AVERAGEIF('QA_Images'!$A$2:$A$65,A90,'QA_Images'!$T$2:$T$65)/100,IF(D90="NOT_CHECKED",0,C90))</f>
        <v/>
      </c>
      <c r="H90" s="2" t="inlineStr">
        <is>
          <t>Đối chiếu loại sản phẩm, thiết kế và màu sắc với product JSON, H1 live và toàn bộ gallery ảnh.</t>
        </is>
      </c>
      <c r="I90" s="2" t="inlineStr">
        <is>
          <t>["evidence_batch_002_019", "https://jeminise.com/products/christmas-bedding-quilt-soft-microfiber-holiday-bedsprea-design-03"]</t>
        </is>
      </c>
      <c r="J90" s="2" t="inlineStr">
        <is>
          <t>[]</t>
        </is>
      </c>
    </row>
    <row r="91" ht="42" customHeight="1">
      <c r="A91" s="3" t="inlineStr">
        <is>
          <t>jeminise.com+christmas-bedding-quilt-soft-microfiber-holiday-bedsprea-design-03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IF(B91="I1",AVERAGEIF('QA_Images'!$A$2:$A$65,A91,'QA_Images'!$S$2:$S$65)/100,IF(D91="FULL",1,IF(D91="PARTIAL",0.5,IF(D91="FAIL",0,""))))</f>
        <v/>
      </c>
      <c r="F91" s="7">
        <f>IF(E91="",0,C91*E91)</f>
        <v/>
      </c>
      <c r="G91" s="7">
        <f>IF(B91="I1",20*AVERAGEIF('QA_Images'!$A$2:$A$65,A91,'QA_Images'!$T$2:$T$65)/100,IF(D91="NOT_CHECKED",0,C91))</f>
        <v/>
      </c>
      <c r="H91" s="3" t="inlineStr">
        <is>
          <t>Đối chiếu chất liệu 100% microfiber, kích thước, thành phần đi kèm, biến thể và giới hạn personalization với customizer và gallery.</t>
        </is>
      </c>
      <c r="I91" s="3" t="inlineStr">
        <is>
          <t>["evidence_batch_002_019", "customizer_audit.json", "https://jeminise.com/products/christmas-bedding-quilt-soft-microfiber-holiday-bedsprea-design-03"]</t>
        </is>
      </c>
      <c r="J91" s="3" t="inlineStr">
        <is>
          <t>[]</t>
        </is>
      </c>
    </row>
    <row r="92" ht="42" customHeight="1">
      <c r="A92" s="2" t="inlineStr">
        <is>
          <t>jeminise.com+christmas-bedding-quilt-soft-microfiber-holiday-bedsprea-design-03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IF(B92="I1",AVERAGEIF('QA_Images'!$A$2:$A$65,A92,'QA_Images'!$S$2:$S$65)/100,IF(D92="FULL",1,IF(D92="PARTIAL",0.5,IF(D92="FAIL",0,""))))</f>
        <v/>
      </c>
      <c r="F92" s="5">
        <f>IF(E92="",0,C92*E92)</f>
        <v/>
      </c>
      <c r="G92" s="5">
        <f>IF(B92="I1",20*AVERAGEIF('QA_Images'!$A$2:$A$65,A92,'QA_Images'!$T$2:$T$65)/100,IF(D92="NOT_CHECKED",0,C92))</f>
        <v/>
      </c>
      <c r="H92" s="2" t="inlineStr">
        <is>
          <t>Đối chiếu long-tail với thiết kế riêng và nguy cơ trùng intent trong hai cụm Christian/Christmas của batch.</t>
        </is>
      </c>
      <c r="I92" s="2" t="inlineStr">
        <is>
          <t>["evidence_batch_002_019", "serp_qa_019_1"]</t>
        </is>
      </c>
      <c r="J92" s="2" t="inlineStr">
        <is>
          <t>[]</t>
        </is>
      </c>
    </row>
    <row r="93" ht="42" customHeight="1">
      <c r="A93" s="3" t="inlineStr">
        <is>
          <t>jeminise.com+christmas-bedding-quilt-soft-microfiber-holiday-bedsprea-design-03</t>
        </is>
      </c>
      <c r="B93" s="3" t="inlineStr">
        <is>
          <t>K2</t>
        </is>
      </c>
      <c r="C93" s="3" t="n">
        <v>5</v>
      </c>
      <c r="D93" s="3" t="inlineStr">
        <is>
          <t>PARTIAL</t>
        </is>
      </c>
      <c r="E93" s="7">
        <f>IF(B93="I1",AVERAGEIF('QA_Images'!$A$2:$A$65,A93,'QA_Images'!$S$2:$S$65)/100,IF(D93="FULL",1,IF(D93="PARTIAL",0.5,IF(D93="FAIL",0,""))))</f>
        <v/>
      </c>
      <c r="F93" s="7">
        <f>IF(E93="",0,C93*E93)</f>
        <v/>
      </c>
      <c r="G93" s="7">
        <f>IF(B93="I1",20*AVERAGEIF('QA_Images'!$A$2:$A$65,A93,'QA_Images'!$T$2:$T$65)/100,IF(D93="NOT_CHECKED",0,C93))</f>
        <v/>
      </c>
      <c r="H93" s="3" t="inlineStr">
        <is>
          <t>Đã đọc lại hai SERP query cho mỗi sản phẩm tại intent US; ghi URL thực đọc và không suy diễn volume.</t>
        </is>
      </c>
      <c r="I93" s="3" t="inlineStr">
        <is>
          <t>["evidence_batch_002_019", "serp_qa_019_1", "serp_qa_019_2"]</t>
        </is>
      </c>
      <c r="J93" s="3" t="inlineStr">
        <is>
          <t>[]</t>
        </is>
      </c>
    </row>
    <row r="94" ht="42" customHeight="1">
      <c r="A94" s="2" t="inlineStr">
        <is>
          <t>jeminise.com+christmas-bedding-quilt-soft-microfiber-holiday-bedsprea-design-03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IF(B94="I1",AVERAGEIF('QA_Images'!$A$2:$A$65,A94,'QA_Images'!$S$2:$S$65)/100,IF(D94="FULL",1,IF(D94="PARTIAL",0.5,IF(D94="FAIL",0,""))))</f>
        <v/>
      </c>
      <c r="F94" s="5">
        <f>IF(E94="",0,C94*E94)</f>
        <v/>
      </c>
      <c r="G94" s="5">
        <f>IF(B94="I1",20*AVERAGEIF('QA_Images'!$A$2:$A$65,A94,'QA_Images'!$T$2:$T$65)/100,IF(D94="NOT_CHECKED",0,C94))</f>
        <v/>
      </c>
      <c r="H94" s="2" t="inlineStr">
        <is>
          <t>Không suy diễn volume; phân biệt SERP_ONLY và HYPOTHESIS_ONLY.</t>
        </is>
      </c>
      <c r="I94" s="2" t="inlineStr">
        <is>
          <t>["evidence_batch_002_019", "Keyword_Map"]</t>
        </is>
      </c>
      <c r="J94" s="2" t="inlineStr">
        <is>
          <t>[]</t>
        </is>
      </c>
    </row>
    <row r="95" ht="42" customHeight="1">
      <c r="A95" s="3" t="inlineStr">
        <is>
          <t>jeminise.com+christmas-bedding-quilt-soft-microfiber-holiday-bedsprea-design-03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IF(B95="I1",AVERAGEIF('QA_Images'!$A$2:$A$65,A95,'QA_Images'!$S$2:$S$65)/100,IF(D95="FULL",1,IF(D95="PARTIAL",0.5,IF(D95="FAIL",0,""))))</f>
        <v/>
      </c>
      <c r="F95" s="7">
        <f>IF(E95="",0,C95*E95)</f>
        <v/>
      </c>
      <c r="G95" s="7">
        <f>IF(B95="I1",20*AVERAGEIF('QA_Images'!$A$2:$A$65,A95,'QA_Images'!$T$2:$T$65)/100,IF(D95="NOT_CHECKED",0,C95))</f>
        <v/>
      </c>
      <c r="H95" s="3" t="inlineStr">
        <is>
          <t>Đánh giá SEO title English về độ đúng, tự nhiên, keyword mục tiêu và điểm phân biệt.</t>
        </is>
      </c>
      <c r="I95" s="3" t="inlineStr">
        <is>
          <t>["evidence_batch_002_019", "https://jeminise.com/products/christmas-bedding-quilt-soft-microfiber-holiday-bedsprea-design-03"]</t>
        </is>
      </c>
      <c r="J95" s="3" t="inlineStr">
        <is>
          <t>[]</t>
        </is>
      </c>
    </row>
    <row r="96" ht="42" customHeight="1">
      <c r="A96" s="2" t="inlineStr">
        <is>
          <t>jeminise.com+christmas-bedding-quilt-soft-microfiber-holiday-bedsprea-design-03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IF(B96="I1",AVERAGEIF('QA_Images'!$A$2:$A$65,A96,'QA_Images'!$S$2:$S$65)/100,IF(D96="FULL",1,IF(D96="PARTIAL",0.5,IF(D96="FAIL",0,""))))</f>
        <v/>
      </c>
      <c r="F96" s="5">
        <f>IF(E96="",0,C96*E96)</f>
        <v/>
      </c>
      <c r="G96" s="5">
        <f>IF(B96="I1",20*AVERAGEIF('QA_Images'!$A$2:$A$65,A96,'QA_Images'!$T$2:$T$65)/100,IF(D96="NOT_CHECKED",0,C96))</f>
        <v/>
      </c>
      <c r="H96" s="2" t="inlineStr">
        <is>
          <t>Đánh giá H1 đề xuất độc lập với SEO title và đối chiếu lỗi ký tự nguồn.</t>
        </is>
      </c>
      <c r="I96" s="2" t="inlineStr">
        <is>
          <t>["evidence_batch_002_019", "https://jeminise.com/products/christmas-bedding-quilt-soft-microfiber-holiday-bedsprea-design-03"]</t>
        </is>
      </c>
      <c r="J96" s="2" t="inlineStr">
        <is>
          <t>["R5-ISS-019-ENC"]</t>
        </is>
      </c>
    </row>
    <row r="97" ht="42" customHeight="1">
      <c r="A97" s="3" t="inlineStr">
        <is>
          <t>jeminise.com+christmas-bedding-quilt-soft-microfiber-holiday-bedsprea-design-03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IF(B97="I1",AVERAGEIF('QA_Images'!$A$2:$A$65,A97,'QA_Images'!$S$2:$S$65)/100,IF(D97="FULL",1,IF(D97="PARTIAL",0.5,IF(D97="FAIL",0,""))))</f>
        <v/>
      </c>
      <c r="F97" s="7">
        <f>IF(E97="",0,C97*E97)</f>
        <v/>
      </c>
      <c r="G97" s="7">
        <f>IF(B97="I1",20*AVERAGEIF('QA_Images'!$A$2:$A$65,A97,'QA_Images'!$T$2:$T$65)/100,IF(D97="NOT_CHECKED",0,C97))</f>
        <v/>
      </c>
      <c r="H97" s="3" t="inlineStr">
        <is>
          <t>Đánh giá meta description về tính cụ thể, mạch lạc và căn cứ claim.</t>
        </is>
      </c>
      <c r="I97" s="3" t="inlineStr">
        <is>
          <t>["evidence_batch_002_019", "https://jeminise.com/products/christmas-bedding-quilt-soft-microfiber-holiday-bedsprea-design-03"]</t>
        </is>
      </c>
      <c r="J97" s="3" t="inlineStr">
        <is>
          <t>[]</t>
        </is>
      </c>
    </row>
    <row r="98" ht="42" customHeight="1">
      <c r="A98" s="2" t="inlineStr">
        <is>
          <t>jeminise.com+christmas-bedding-quilt-soft-microfiber-holiday-bedsprea-design-03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5">
        <f>IF(B98="I1",AVERAGEIF('QA_Images'!$A$2:$A$65,A98,'QA_Images'!$S$2:$S$65)/100,IF(D98="FULL",1,IF(D98="PARTIAL",0.5,IF(D98="FAIL",0,""))))</f>
        <v/>
      </c>
      <c r="F98" s="5">
        <f>IF(E98="",0,C98*E98)</f>
        <v/>
      </c>
      <c r="G98" s="5">
        <f>IF(B98="I1",20*AVERAGEIF('QA_Images'!$A$2:$A$65,A98,'QA_Images'!$T$2:$T$65)/100,IF(D98="NOT_CHECKED",0,C98))</f>
        <v/>
      </c>
      <c r="H98" s="2" t="inlineStr">
        <is>
          <t>Description r5 hoàn toàn customer-facing, không còn ngôn ngữ nội bộ/workflow; phản ánh đúng thuộc tính và giới hạn tùy biến.</t>
        </is>
      </c>
      <c r="I98" s="2" t="inlineStr">
        <is>
          <t>["evidence_batch_002_019", "https://jeminise.com/products/christmas-bedding-quilt-soft-microfiber-holiday-bedsprea-design-03"]</t>
        </is>
      </c>
      <c r="J98" s="2" t="inlineStr">
        <is>
          <t>[]</t>
        </is>
      </c>
    </row>
    <row r="99" ht="42" customHeight="1">
      <c r="A99" s="3" t="inlineStr">
        <is>
          <t>jeminise.com+christmas-bedding-quilt-soft-microfiber-holiday-bedsprea-design-03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IF(B99="I1",AVERAGEIF('QA_Images'!$A$2:$A$65,A99,'QA_Images'!$S$2:$S$65)/100,IF(D99="FULL",1,IF(D99="PARTIAL",0.5,IF(D99="FAIL",0,""))))</f>
        <v/>
      </c>
      <c r="F99" s="7">
        <f>IF(E99="",0,C99*E99)</f>
        <v/>
      </c>
      <c r="G99" s="7">
        <f>IF(B99="I1",20*AVERAGEIF('QA_Images'!$A$2:$A$65,A99,'QA_Images'!$T$2:$T$65)/100,IF(D99="NOT_CHECKED",0,C99))</f>
        <v/>
      </c>
      <c r="H99" s="3" t="inlineStr">
        <is>
          <t>Derived from directly checked r5 media records: 100.0/100.</t>
        </is>
      </c>
      <c r="I99" s="3" t="inlineStr">
        <is>
          <t>["evidence_batch_002_019", "QA_Images"]</t>
        </is>
      </c>
      <c r="J99" s="3" t="inlineStr">
        <is>
          <t>[]</t>
        </is>
      </c>
    </row>
    <row r="100" ht="42" customHeight="1">
      <c r="A100" s="2" t="inlineStr">
        <is>
          <t>jeminise.com+christmas-bedding-quilt-soft-microfiber-holiday-bedsprea-design-03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IF(B100="I1",AVERAGEIF('QA_Images'!$A$2:$A$65,A100,'QA_Images'!$S$2:$S$65)/100,IF(D100="FULL",1,IF(D100="PARTIAL",0.5,IF(D100="FAIL",0,""))))</f>
        <v/>
      </c>
      <c r="F100" s="5">
        <f>IF(E100="",0,C100*E100)</f>
        <v/>
      </c>
      <c r="G100" s="5">
        <f>IF(B100="I1",20*AVERAGEIF('QA_Images'!$A$2:$A$65,A100,'QA_Images'!$T$2:$T$65)/100,IF(D100="NOT_CHECKED",0,C100))</f>
        <v/>
      </c>
      <c r="H100" s="2" t="inlineStr">
        <is>
          <t>Kiểm tra liên kết product key/handle/evidence/revision giữa workbook, snapshot và nguồn live.</t>
        </is>
      </c>
      <c r="I100" s="2" t="inlineStr">
        <is>
          <t>["evidence_batch_002_019", "https://jeminise.com/products/christmas-bedding-quilt-soft-microfiber-holiday-bedsprea-design-03", "Keyword_Map", "Product_Evidence"]</t>
        </is>
      </c>
      <c r="J100" s="2" t="inlineStr">
        <is>
          <t>[]</t>
        </is>
      </c>
    </row>
    <row r="101" ht="42" customHeight="1">
      <c r="A101" s="3" t="inlineStr">
        <is>
          <t>jeminise.com+christmas-bedding-quilt-soft-microfiber-holiday-bedsprea-design-04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IF(B101="I1",AVERAGEIF('QA_Images'!$A$2:$A$65,A101,'QA_Images'!$S$2:$S$65)/100,IF(D101="FULL",1,IF(D101="PARTIAL",0.5,IF(D101="FAIL",0,""))))</f>
        <v/>
      </c>
      <c r="F101" s="7">
        <f>IF(E101="",0,C101*E101)</f>
        <v/>
      </c>
      <c r="G101" s="7">
        <f>IF(B101="I1",20*AVERAGEIF('QA_Images'!$A$2:$A$65,A101,'QA_Images'!$T$2:$T$65)/100,IF(D101="NOT_CHECKED",0,C101))</f>
        <v/>
      </c>
      <c r="H101" s="3" t="inlineStr">
        <is>
          <t>Đối chiếu loại sản phẩm, thiết kế và màu sắc với product JSON, H1 live và toàn bộ gallery ảnh.</t>
        </is>
      </c>
      <c r="I101" s="3" t="inlineStr">
        <is>
          <t>["evidence_batch_002_020", "https://jeminise.com/products/christmas-bedding-quilt-soft-microfiber-holiday-bedsprea-design-04"]</t>
        </is>
      </c>
      <c r="J101" s="3" t="inlineStr">
        <is>
          <t>[]</t>
        </is>
      </c>
    </row>
    <row r="102" ht="42" customHeight="1">
      <c r="A102" s="2" t="inlineStr">
        <is>
          <t>jeminise.com+christmas-bedding-quilt-soft-microfiber-holiday-bedsprea-design-04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IF(B102="I1",AVERAGEIF('QA_Images'!$A$2:$A$65,A102,'QA_Images'!$S$2:$S$65)/100,IF(D102="FULL",1,IF(D102="PARTIAL",0.5,IF(D102="FAIL",0,""))))</f>
        <v/>
      </c>
      <c r="F102" s="5">
        <f>IF(E102="",0,C102*E102)</f>
        <v/>
      </c>
      <c r="G102" s="5">
        <f>IF(B102="I1",20*AVERAGEIF('QA_Images'!$A$2:$A$65,A102,'QA_Images'!$T$2:$T$65)/100,IF(D102="NOT_CHECKED",0,C102))</f>
        <v/>
      </c>
      <c r="H102" s="2" t="inlineStr">
        <is>
          <t>Đối chiếu chất liệu 100% microfiber, kích thước, thành phần đi kèm, biến thể và giới hạn personalization với customizer và gallery.</t>
        </is>
      </c>
      <c r="I102" s="2" t="inlineStr">
        <is>
          <t>["evidence_batch_002_020", "customizer_audit.json", "https://jeminise.com/products/christmas-bedding-quilt-soft-microfiber-holiday-bedsprea-design-04"]</t>
        </is>
      </c>
      <c r="J102" s="2" t="inlineStr">
        <is>
          <t>[]</t>
        </is>
      </c>
    </row>
    <row r="103" ht="42" customHeight="1">
      <c r="A103" s="3" t="inlineStr">
        <is>
          <t>jeminise.com+christmas-bedding-quilt-soft-microfiber-holiday-bedsprea-design-04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IF(B103="I1",AVERAGEIF('QA_Images'!$A$2:$A$65,A103,'QA_Images'!$S$2:$S$65)/100,IF(D103="FULL",1,IF(D103="PARTIAL",0.5,IF(D103="FAIL",0,""))))</f>
        <v/>
      </c>
      <c r="F103" s="7">
        <f>IF(E103="",0,C103*E103)</f>
        <v/>
      </c>
      <c r="G103" s="7">
        <f>IF(B103="I1",20*AVERAGEIF('QA_Images'!$A$2:$A$65,A103,'QA_Images'!$T$2:$T$65)/100,IF(D103="NOT_CHECKED",0,C103))</f>
        <v/>
      </c>
      <c r="H103" s="3" t="inlineStr">
        <is>
          <t>Đối chiếu long-tail với thiết kế riêng và nguy cơ trùng intent trong hai cụm Christian/Christmas của batch.</t>
        </is>
      </c>
      <c r="I103" s="3" t="inlineStr">
        <is>
          <t>["evidence_batch_002_020", "serp_qa_020_1"]</t>
        </is>
      </c>
      <c r="J103" s="3" t="inlineStr">
        <is>
          <t>[]</t>
        </is>
      </c>
    </row>
    <row r="104" ht="42" customHeight="1">
      <c r="A104" s="2" t="inlineStr">
        <is>
          <t>jeminise.com+christmas-bedding-quilt-soft-microfiber-holiday-bedsprea-design-04</t>
        </is>
      </c>
      <c r="B104" s="2" t="inlineStr">
        <is>
          <t>K2</t>
        </is>
      </c>
      <c r="C104" s="2" t="n">
        <v>5</v>
      </c>
      <c r="D104" s="2" t="inlineStr">
        <is>
          <t>PARTIAL</t>
        </is>
      </c>
      <c r="E104" s="5">
        <f>IF(B104="I1",AVERAGEIF('QA_Images'!$A$2:$A$65,A104,'QA_Images'!$S$2:$S$65)/100,IF(D104="FULL",1,IF(D104="PARTIAL",0.5,IF(D104="FAIL",0,""))))</f>
        <v/>
      </c>
      <c r="F104" s="5">
        <f>IF(E104="",0,C104*E104)</f>
        <v/>
      </c>
      <c r="G104" s="5">
        <f>IF(B104="I1",20*AVERAGEIF('QA_Images'!$A$2:$A$65,A104,'QA_Images'!$T$2:$T$65)/100,IF(D104="NOT_CHECKED",0,C104))</f>
        <v/>
      </c>
      <c r="H104" s="2" t="inlineStr">
        <is>
          <t>Đã đọc lại hai SERP query cho mỗi sản phẩm tại intent US; ghi URL thực đọc và không suy diễn volume.</t>
        </is>
      </c>
      <c r="I104" s="2" t="inlineStr">
        <is>
          <t>["evidence_batch_002_020", "serp_qa_020_1", "serp_qa_020_2"]</t>
        </is>
      </c>
      <c r="J104" s="2" t="inlineStr">
        <is>
          <t>[]</t>
        </is>
      </c>
    </row>
    <row r="105" ht="42" customHeight="1">
      <c r="A105" s="3" t="inlineStr">
        <is>
          <t>jeminise.com+christmas-bedding-quilt-soft-microfiber-holiday-bedsprea-design-04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IF(B105="I1",AVERAGEIF('QA_Images'!$A$2:$A$65,A105,'QA_Images'!$S$2:$S$65)/100,IF(D105="FULL",1,IF(D105="PARTIAL",0.5,IF(D105="FAIL",0,""))))</f>
        <v/>
      </c>
      <c r="F105" s="7">
        <f>IF(E105="",0,C105*E105)</f>
        <v/>
      </c>
      <c r="G105" s="7">
        <f>IF(B105="I1",20*AVERAGEIF('QA_Images'!$A$2:$A$65,A105,'QA_Images'!$T$2:$T$65)/100,IF(D105="NOT_CHECKED",0,C105))</f>
        <v/>
      </c>
      <c r="H105" s="3" t="inlineStr">
        <is>
          <t>Không suy diễn volume; phân biệt SERP_ONLY và HYPOTHESIS_ONLY.</t>
        </is>
      </c>
      <c r="I105" s="3" t="inlineStr">
        <is>
          <t>["evidence_batch_002_020", "Keyword_Map"]</t>
        </is>
      </c>
      <c r="J105" s="3" t="inlineStr">
        <is>
          <t>[]</t>
        </is>
      </c>
    </row>
    <row r="106" ht="42" customHeight="1">
      <c r="A106" s="2" t="inlineStr">
        <is>
          <t>jeminise.com+christmas-bedding-quilt-soft-microfiber-holiday-bedsprea-design-04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IF(B106="I1",AVERAGEIF('QA_Images'!$A$2:$A$65,A106,'QA_Images'!$S$2:$S$65)/100,IF(D106="FULL",1,IF(D106="PARTIAL",0.5,IF(D106="FAIL",0,""))))</f>
        <v/>
      </c>
      <c r="F106" s="5">
        <f>IF(E106="",0,C106*E106)</f>
        <v/>
      </c>
      <c r="G106" s="5">
        <f>IF(B106="I1",20*AVERAGEIF('QA_Images'!$A$2:$A$65,A106,'QA_Images'!$T$2:$T$65)/100,IF(D106="NOT_CHECKED",0,C106))</f>
        <v/>
      </c>
      <c r="H106" s="2" t="inlineStr">
        <is>
          <t>Đánh giá SEO title English về độ đúng, tự nhiên, keyword mục tiêu và điểm phân biệt.</t>
        </is>
      </c>
      <c r="I106" s="2" t="inlineStr">
        <is>
          <t>["evidence_batch_002_020", "https://jeminise.com/products/christmas-bedding-quilt-soft-microfiber-holiday-bedsprea-design-04"]</t>
        </is>
      </c>
      <c r="J106" s="2" t="inlineStr">
        <is>
          <t>[]</t>
        </is>
      </c>
    </row>
    <row r="107" ht="42" customHeight="1">
      <c r="A107" s="3" t="inlineStr">
        <is>
          <t>jeminise.com+christmas-bedding-quilt-soft-microfiber-holiday-bedsprea-design-04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IF(B107="I1",AVERAGEIF('QA_Images'!$A$2:$A$65,A107,'QA_Images'!$S$2:$S$65)/100,IF(D107="FULL",1,IF(D107="PARTIAL",0.5,IF(D107="FAIL",0,""))))</f>
        <v/>
      </c>
      <c r="F107" s="7">
        <f>IF(E107="",0,C107*E107)</f>
        <v/>
      </c>
      <c r="G107" s="7">
        <f>IF(B107="I1",20*AVERAGEIF('QA_Images'!$A$2:$A$65,A107,'QA_Images'!$T$2:$T$65)/100,IF(D107="NOT_CHECKED",0,C107))</f>
        <v/>
      </c>
      <c r="H107" s="3" t="inlineStr">
        <is>
          <t>Đánh giá H1 đề xuất độc lập với SEO title và đối chiếu lỗi ký tự nguồn.</t>
        </is>
      </c>
      <c r="I107" s="3" t="inlineStr">
        <is>
          <t>["evidence_batch_002_020", "https://jeminise.com/products/christmas-bedding-quilt-soft-microfiber-holiday-bedsprea-design-04"]</t>
        </is>
      </c>
      <c r="J107" s="3" t="inlineStr">
        <is>
          <t>["R5-ISS-020-ENC"]</t>
        </is>
      </c>
    </row>
    <row r="108" ht="42" customHeight="1">
      <c r="A108" s="2" t="inlineStr">
        <is>
          <t>jeminise.com+christmas-bedding-quilt-soft-microfiber-holiday-bedsprea-design-04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IF(B108="I1",AVERAGEIF('QA_Images'!$A$2:$A$65,A108,'QA_Images'!$S$2:$S$65)/100,IF(D108="FULL",1,IF(D108="PARTIAL",0.5,IF(D108="FAIL",0,""))))</f>
        <v/>
      </c>
      <c r="F108" s="5">
        <f>IF(E108="",0,C108*E108)</f>
        <v/>
      </c>
      <c r="G108" s="5">
        <f>IF(B108="I1",20*AVERAGEIF('QA_Images'!$A$2:$A$65,A108,'QA_Images'!$T$2:$T$65)/100,IF(D108="NOT_CHECKED",0,C108))</f>
        <v/>
      </c>
      <c r="H108" s="2" t="inlineStr">
        <is>
          <t>Đánh giá meta description về tính cụ thể, mạch lạc và căn cứ claim.</t>
        </is>
      </c>
      <c r="I108" s="2" t="inlineStr">
        <is>
          <t>["evidence_batch_002_020", "https://jeminise.com/products/christmas-bedding-quilt-soft-microfiber-holiday-bedsprea-design-04"]</t>
        </is>
      </c>
      <c r="J108" s="2" t="inlineStr">
        <is>
          <t>[]</t>
        </is>
      </c>
    </row>
    <row r="109" ht="42" customHeight="1">
      <c r="A109" s="3" t="inlineStr">
        <is>
          <t>jeminise.com+christmas-bedding-quilt-soft-microfiber-holiday-bedsprea-design-04</t>
        </is>
      </c>
      <c r="B109" s="3" t="inlineStr">
        <is>
          <t>D2</t>
        </is>
      </c>
      <c r="C109" s="3" t="n">
        <v>10</v>
      </c>
      <c r="D109" s="3" t="inlineStr">
        <is>
          <t>FULL</t>
        </is>
      </c>
      <c r="E109" s="7">
        <f>IF(B109="I1",AVERAGEIF('QA_Images'!$A$2:$A$65,A109,'QA_Images'!$S$2:$S$65)/100,IF(D109="FULL",1,IF(D109="PARTIAL",0.5,IF(D109="FAIL",0,""))))</f>
        <v/>
      </c>
      <c r="F109" s="7">
        <f>IF(E109="",0,C109*E109)</f>
        <v/>
      </c>
      <c r="G109" s="7">
        <f>IF(B109="I1",20*AVERAGEIF('QA_Images'!$A$2:$A$65,A109,'QA_Images'!$T$2:$T$65)/100,IF(D109="NOT_CHECKED",0,C109))</f>
        <v/>
      </c>
      <c r="H109" s="3" t="inlineStr">
        <is>
          <t>Description r5 hoàn toàn customer-facing, không còn ngôn ngữ nội bộ/workflow; phản ánh đúng thuộc tính và giới hạn tùy biến.</t>
        </is>
      </c>
      <c r="I109" s="3" t="inlineStr">
        <is>
          <t>["evidence_batch_002_020", "https://jeminise.com/products/christmas-bedding-quilt-soft-microfiber-holiday-bedsprea-design-04"]</t>
        </is>
      </c>
      <c r="J109" s="3" t="inlineStr">
        <is>
          <t>[]</t>
        </is>
      </c>
    </row>
    <row r="110" ht="42" customHeight="1">
      <c r="A110" s="2" t="inlineStr">
        <is>
          <t>jeminise.com+christmas-bedding-quilt-soft-microfiber-holiday-bedsprea-design-04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IF(B110="I1",AVERAGEIF('QA_Images'!$A$2:$A$65,A110,'QA_Images'!$S$2:$S$65)/100,IF(D110="FULL",1,IF(D110="PARTIAL",0.5,IF(D110="FAIL",0,""))))</f>
        <v/>
      </c>
      <c r="F110" s="5">
        <f>IF(E110="",0,C110*E110)</f>
        <v/>
      </c>
      <c r="G110" s="5">
        <f>IF(B110="I1",20*AVERAGEIF('QA_Images'!$A$2:$A$65,A110,'QA_Images'!$T$2:$T$65)/100,IF(D110="NOT_CHECKED",0,C110))</f>
        <v/>
      </c>
      <c r="H110" s="2" t="inlineStr">
        <is>
          <t>Derived from directly checked r5 media records: 100.0/100.</t>
        </is>
      </c>
      <c r="I110" s="2" t="inlineStr">
        <is>
          <t>["evidence_batch_002_020", "QA_Images"]</t>
        </is>
      </c>
      <c r="J110" s="2" t="inlineStr">
        <is>
          <t>[]</t>
        </is>
      </c>
    </row>
    <row r="111" ht="42" customHeight="1">
      <c r="A111" s="3" t="inlineStr">
        <is>
          <t>jeminise.com+christmas-bedding-quilt-soft-microfiber-holiday-bedsprea-design-04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IF(B111="I1",AVERAGEIF('QA_Images'!$A$2:$A$65,A111,'QA_Images'!$S$2:$S$65)/100,IF(D111="FULL",1,IF(D111="PARTIAL",0.5,IF(D111="FAIL",0,""))))</f>
        <v/>
      </c>
      <c r="F111" s="7">
        <f>IF(E111="",0,C111*E111)</f>
        <v/>
      </c>
      <c r="G111" s="7">
        <f>IF(B111="I1",20*AVERAGEIF('QA_Images'!$A$2:$A$65,A111,'QA_Images'!$T$2:$T$65)/100,IF(D111="NOT_CHECKED",0,C111))</f>
        <v/>
      </c>
      <c r="H111" s="3" t="inlineStr">
        <is>
          <t>Kiểm tra liên kết product key/handle/evidence/revision giữa workbook, snapshot và nguồn live.</t>
        </is>
      </c>
      <c r="I111" s="3" t="inlineStr">
        <is>
          <t>["evidence_batch_002_020", "https://jeminise.com/products/christmas-bedding-quilt-soft-microfiber-holiday-bedsprea-design-04", "Keyword_Map", "Product_Evidence"]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38" customWidth="1" min="6" max="6"/>
    <col width="11" customWidth="1" min="7" max="7"/>
    <col width="16" customWidth="1" min="8" max="8"/>
    <col width="24" customWidth="1" min="9" max="9"/>
    <col width="24" customWidth="1" min="10" max="10"/>
    <col width="42" customWidth="1" min="11" max="11"/>
    <col width="42" customWidth="1" min="12" max="12"/>
    <col width="12" customWidth="1" min="13" max="13"/>
    <col width="42" customWidth="1" min="14" max="14"/>
    <col width="11" customWidth="1" min="15" max="15"/>
    <col width="11" customWidth="1" min="16" max="16"/>
    <col width="11" customWidth="1" min="17" max="17"/>
    <col width="11" customWidth="1" min="18" max="18"/>
    <col width="24" customWidth="1" min="19" max="19"/>
    <col width="24" customWidth="1" min="20" max="20"/>
    <col width="21" customWidth="1" min="21" max="21"/>
    <col width="24" customWidth="1" min="22" max="22"/>
    <col width="24" customWidth="1" min="23" max="23"/>
    <col width="42" customWidth="1" min="24" max="24"/>
    <col width="42" customWidth="1" min="25" max="25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alt_action</t>
        </is>
      </c>
      <c r="N1" s="1" t="inlineStr">
        <is>
          <t>alt_effective</t>
        </is>
      </c>
      <c r="O1" s="1" t="inlineStr">
        <is>
          <t>IM1</t>
        </is>
      </c>
      <c r="P1" s="1" t="inlineStr">
        <is>
          <t>IM2</t>
        </is>
      </c>
      <c r="Q1" s="1" t="inlineStr">
        <is>
          <t>IM3</t>
        </is>
      </c>
      <c r="R1" s="1" t="inlineStr">
        <is>
          <t>IM4</t>
        </is>
      </c>
      <c r="S1" s="1" t="inlineStr">
        <is>
          <t>image_verified_points</t>
        </is>
      </c>
      <c r="T1" s="1" t="inlineStr">
        <is>
          <t>image_assessed_weight</t>
        </is>
      </c>
      <c r="U1" s="1" t="inlineStr">
        <is>
          <t>image_final_score</t>
        </is>
      </c>
      <c r="V1" s="1" t="inlineStr">
        <is>
          <t>image_score_lower_bound</t>
        </is>
      </c>
      <c r="W1" s="1" t="inlineStr">
        <is>
          <t>image_score_upper_bound</t>
        </is>
      </c>
      <c r="X1" s="1" t="inlineStr">
        <is>
          <t>issue_refs</t>
        </is>
      </c>
      <c r="Y1" s="1" t="inlineStr">
        <is>
          <t>evidence_refs</t>
        </is>
      </c>
    </row>
    <row r="2" ht="66" customHeight="1">
      <c r="A2" s="2" t="inlineStr">
        <is>
          <t>jeminise.com+christian-bedding-set-inspirational-bible-verse-comforte-design-02</t>
        </is>
      </c>
      <c r="B2" s="2" t="inlineStr">
        <is>
          <t>qaimg_5ccbda6129fd07b5</t>
        </is>
      </c>
      <c r="C2" s="4" t="inlineStr">
        <is>
          <t>https://cdn.shopify.com/s/files/1/0792/5098/1063/files/8f8cbae7d7dc8a5bb8d1fd9af7a3d36dfe9b26d76e6c99b9b36c2f64aeb5f0ae.jpg?v=1787237735</t>
        </is>
      </c>
      <c r="D2" s="4" t="inlineStr">
        <is>
          <t>https://cdn.shopify.com/s/files/1/0792/5098/1063/files/8f8cbae7d7dc8a5bb8d1fd9af7a3d36dfe9b26d76e6c99b9b36c2f64aeb5f0ae.jpg?v=1787237735</t>
        </is>
      </c>
      <c r="E2" s="2" t="inlineStr">
        <is>
          <t>47933842489543</t>
        </is>
      </c>
      <c r="F2" s="2" t="inlineStr">
        <is>
          <t>47933842489543</t>
        </is>
      </c>
      <c r="G2" s="2" t="inlineStr"/>
      <c r="H2" s="2" t="inlineStr">
        <is>
          <t>GALLERY</t>
        </is>
      </c>
      <c r="I2" s="2" t="inlineStr">
        <is>
          <t>DIRECT_IMAGE_VERIFICATION + R5_AUDIT</t>
        </is>
      </c>
      <c r="J2" s="2" t="inlineStr">
        <is>
          <t>2026-09-09T04:20:11.895007+07:00</t>
        </is>
      </c>
      <c r="K2" s="2" t="inlineStr">
        <is>
          <t>Bedroom mockup of orange God Says I Am Christian bedding with Jessica name, roses, butterflies and verse labels.</t>
        </is>
      </c>
      <c r="L2" s="2" t="inlineStr">
        <is>
          <t>Bedroom mockup of orange God Says I Am Christian bedding with Jessica name, roses, butterflies and verse labels.</t>
        </is>
      </c>
      <c r="M2" s="2" t="inlineStr">
        <is>
          <t>SET</t>
        </is>
      </c>
      <c r="N2" s="2" t="inlineStr">
        <is>
          <t>Orange God Says I Am Christian bedding with Jessica name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FULL</t>
        </is>
      </c>
      <c r="S2" s="5">
        <f>IF(O2="FULL",40,IF(O2="PARTIAL",40/2,0))+IF(P2="FULL",30,IF(P2="PARTIAL",30/2,0))+IF(Q2="FULL",20,IF(Q2="PARTIAL",20/2,0))+IF(R2="FULL",10,IF(R2="PARTIAL",10/2,0))</f>
        <v/>
      </c>
      <c r="T2" s="5">
        <f>IF(O2="NOT_CHECKED",0,40)+IF(P2="NOT_CHECKED",0,30)+IF(Q2="NOT_CHECKED",0,20)+IF(R2="NOT_CHECKED",0,10)</f>
        <v/>
      </c>
      <c r="U2" s="5">
        <f>IF(T2=100,S2,"")</f>
        <v/>
      </c>
      <c r="V2" s="5">
        <f>S2</f>
        <v/>
      </c>
      <c r="W2" s="5">
        <f>S2+(100-T2)</f>
        <v/>
      </c>
      <c r="X2" s="2" t="inlineStr">
        <is>
          <t>[]</t>
        </is>
      </c>
      <c r="Y2" s="2" t="inlineStr">
        <is>
          <t>["seo_runs/jeminise.com/20260906_234129/qa/20260909_042000/images/011_01.jpg", "https://jeminise.com/products/christian-bedding-set-inspirational-bible-verse-comforte-design-02", "https://cdn.shopify.com/s/files/1/0792/5098/1063/files/8f8cbae7d7dc8a5bb8d1fd9af7a3d36dfe9b26d76e6c99b9b36c2f64aeb5f0ae.jpg?v=1787237735"]</t>
        </is>
      </c>
    </row>
    <row r="3" ht="66" customHeight="1">
      <c r="A3" s="3" t="inlineStr">
        <is>
          <t>jeminise.com+christian-bedding-set-inspirational-bible-verse-comforte-design-02</t>
        </is>
      </c>
      <c r="B3" s="3" t="inlineStr">
        <is>
          <t>qaimg_4ff35572985d0550</t>
        </is>
      </c>
      <c r="C3" s="4" t="inlineStr">
        <is>
          <t>https://cdn.shopify.com/s/files/1/0792/5098/1063/files/f8aafdfb4c8162ca9e2e2a98539d9758b42cf390e7a8828716dc849e251afcb1.jpg?v=1787237735</t>
        </is>
      </c>
      <c r="D3" s="4" t="inlineStr">
        <is>
          <t>https://cdn.shopify.com/s/files/1/0792/5098/1063/files/f8aafdfb4c8162ca9e2e2a98539d9758b42cf390e7a8828716dc849e251afcb1.jpg?v=1787237735</t>
        </is>
      </c>
      <c r="E3" s="3" t="inlineStr">
        <is>
          <t>47933842522311</t>
        </is>
      </c>
      <c r="F3" s="3" t="inlineStr">
        <is>
          <t>47933842522311</t>
        </is>
      </c>
      <c r="G3" s="3" t="inlineStr"/>
      <c r="H3" s="3" t="inlineStr">
        <is>
          <t>GALLERY</t>
        </is>
      </c>
      <c r="I3" s="3" t="inlineStr">
        <is>
          <t>DIRECT_IMAGE_VERIFICATION + R5_AUDIT</t>
        </is>
      </c>
      <c r="J3" s="3" t="inlineStr">
        <is>
          <t>2026-09-09T04:20:11.895007+07:00</t>
        </is>
      </c>
      <c r="K3" s="3" t="inlineStr">
        <is>
          <t>Angled bedroom mockup showing orange affirmation blocks, Jessica pillowcases, rose artwork and butterflies.</t>
        </is>
      </c>
      <c r="L3" s="3" t="inlineStr">
        <is>
          <t>Angled bedroom mockup showing orange affirmation blocks, Jessica pillowcases, rose artwork and butterflies.</t>
        </is>
      </c>
      <c r="M3" s="3" t="inlineStr">
        <is>
          <t>SET</t>
        </is>
      </c>
      <c r="N3" s="3" t="inlineStr">
        <is>
          <t>Orange personalized God Says I Am bedding room mockup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3" t="inlineStr">
        <is>
          <t>FULL</t>
        </is>
      </c>
      <c r="S3" s="7">
        <f>IF(O3="FULL",40,IF(O3="PARTIAL",40/2,0))+IF(P3="FULL",30,IF(P3="PARTIAL",30/2,0))+IF(Q3="FULL",20,IF(Q3="PARTIAL",20/2,0))+IF(R3="FULL",10,IF(R3="PARTIAL",10/2,0))</f>
        <v/>
      </c>
      <c r="T3" s="7">
        <f>IF(O3="NOT_CHECKED",0,40)+IF(P3="NOT_CHECKED",0,30)+IF(Q3="NOT_CHECKED",0,20)+IF(R3="NOT_CHECKED",0,10)</f>
        <v/>
      </c>
      <c r="U3" s="7">
        <f>IF(T3=100,S3,"")</f>
        <v/>
      </c>
      <c r="V3" s="7">
        <f>S3</f>
        <v/>
      </c>
      <c r="W3" s="7">
        <f>S3+(100-T3)</f>
        <v/>
      </c>
      <c r="X3" s="3" t="inlineStr">
        <is>
          <t>[]</t>
        </is>
      </c>
      <c r="Y3" s="3" t="inlineStr">
        <is>
          <t>["seo_runs/jeminise.com/20260906_234129/qa/20260909_042000/images/011_02.jpg", "https://jeminise.com/products/christian-bedding-set-inspirational-bible-verse-comforte-design-02", "https://cdn.shopify.com/s/files/1/0792/5098/1063/files/f8aafdfb4c8162ca9e2e2a98539d9758b42cf390e7a8828716dc849e251afcb1.jpg?v=1787237735"]</t>
        </is>
      </c>
    </row>
    <row r="4" ht="66" customHeight="1">
      <c r="A4" s="2" t="inlineStr">
        <is>
          <t>jeminise.com+christian-bedding-set-inspirational-bible-verse-comforte-design-02</t>
        </is>
      </c>
      <c r="B4" s="2" t="inlineStr">
        <is>
          <t>qaimg_c106289a9648e372</t>
        </is>
      </c>
      <c r="C4" s="4" t="inlineStr">
        <is>
          <t>https://cdn.shopify.com/s/files/1/0792/5098/1063/files/50f96559dd878ae5bbee14ba7a34337ccd740d21a8ffe86a8a1be819656d26c0_ae8608eb-bf72-43da-b626-8fd454d536c7.jpg?v=1787237735</t>
        </is>
      </c>
      <c r="D4" s="4" t="inlineStr">
        <is>
          <t>https://cdn.shopify.com/s/files/1/0792/5098/1063/files/50f96559dd878ae5bbee14ba7a34337ccd740d21a8ffe86a8a1be819656d26c0_ae8608eb-bf72-43da-b626-8fd454d536c7.jpg?v=1787237735</t>
        </is>
      </c>
      <c r="E4" s="2" t="inlineStr">
        <is>
          <t>47933842555079</t>
        </is>
      </c>
      <c r="F4" s="2" t="inlineStr">
        <is>
          <t>47933842555079</t>
        </is>
      </c>
      <c r="G4" s="2" t="inlineStr"/>
      <c r="H4" s="2" t="inlineStr">
        <is>
          <t>GALLERY</t>
        </is>
      </c>
      <c r="I4" s="2" t="inlineStr">
        <is>
          <t>DIRECT_IMAGE_VERIFICATION + R5_AUDIT</t>
        </is>
      </c>
      <c r="J4" s="2" t="inlineStr">
        <is>
          <t>2026-09-09T04:20:11.895007+07:00</t>
        </is>
      </c>
      <c r="K4" s="2" t="inlineStr">
        <is>
          <t>Product type comparison panel showing duvet cover set and comforter set options for all-season use.</t>
        </is>
      </c>
      <c r="L4" s="2" t="inlineStr">
        <is>
          <t>Product type comparison panel showing duvet cover set and comforter set options for all-season use.</t>
        </is>
      </c>
      <c r="M4" s="2" t="inlineStr">
        <is>
          <t>SET</t>
        </is>
      </c>
      <c r="N4" s="2" t="inlineStr">
        <is>
          <t>God Says I Am design 02 duvet and comforter options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inlineStr">
        <is>
          <t>FULL</t>
        </is>
      </c>
      <c r="S4" s="5">
        <f>IF(O4="FULL",40,IF(O4="PARTIAL",40/2,0))+IF(P4="FULL",30,IF(P4="PARTIAL",30/2,0))+IF(Q4="FULL",20,IF(Q4="PARTIAL",20/2,0))+IF(R4="FULL",10,IF(R4="PARTIAL",10/2,0))</f>
        <v/>
      </c>
      <c r="T4" s="5">
        <f>IF(O4="NOT_CHECKED",0,40)+IF(P4="NOT_CHECKED",0,30)+IF(Q4="NOT_CHECKED",0,20)+IF(R4="NOT_CHECKED",0,10)</f>
        <v/>
      </c>
      <c r="U4" s="5">
        <f>IF(T4=100,S4,"")</f>
        <v/>
      </c>
      <c r="V4" s="5">
        <f>S4</f>
        <v/>
      </c>
      <c r="W4" s="5">
        <f>S4+(100-T4)</f>
        <v/>
      </c>
      <c r="X4" s="2" t="inlineStr">
        <is>
          <t>[]</t>
        </is>
      </c>
      <c r="Y4" s="2" t="inlineStr">
        <is>
          <t>["seo_runs/jeminise.com/20260906_234129/qa/20260909_042000/images/011_03.jpg", "https://jeminise.com/products/christian-bedding-set-inspirational-bible-verse-comforte-design-02", "https://cdn.shopify.com/s/files/1/0792/5098/1063/files/50f96559dd878ae5bbee14ba7a34337ccd740d21a8ffe86a8a1be819656d26c0_ae8608eb-bf72-43da-b626-8fd454d536c7.jpg?v=1787237735"]</t>
        </is>
      </c>
    </row>
    <row r="5" ht="66" customHeight="1">
      <c r="A5" s="3" t="inlineStr">
        <is>
          <t>jeminise.com+christian-bedding-set-inspirational-bible-verse-comforte-design-02</t>
        </is>
      </c>
      <c r="B5" s="3" t="inlineStr">
        <is>
          <t>qaimg_a62cb10f1696b94a</t>
        </is>
      </c>
      <c r="C5" s="4" t="inlineStr">
        <is>
          <t>https://cdn.shopify.com/s/files/1/0792/5098/1063/files/27f7ed18554cde6fb1921b3b4261b0f7a6d2176eda09e52bedf7b7fe5cb0399a.jpg?v=1787237735</t>
        </is>
      </c>
      <c r="D5" s="4" t="inlineStr">
        <is>
          <t>https://cdn.shopify.com/s/files/1/0792/5098/1063/files/27f7ed18554cde6fb1921b3b4261b0f7a6d2176eda09e52bedf7b7fe5cb0399a.jpg?v=1787237735</t>
        </is>
      </c>
      <c r="E5" s="3" t="inlineStr">
        <is>
          <t>47933842587847</t>
        </is>
      </c>
      <c r="F5" s="3" t="inlineStr">
        <is>
          <t>47933842587847</t>
        </is>
      </c>
      <c r="G5" s="3" t="inlineStr"/>
      <c r="H5" s="3" t="inlineStr">
        <is>
          <t>GALLERY</t>
        </is>
      </c>
      <c r="I5" s="3" t="inlineStr">
        <is>
          <t>DIRECT_IMAGE_VERIFICATION + R5_AUDIT</t>
        </is>
      </c>
      <c r="J5" s="3" t="inlineStr">
        <is>
          <t>2026-09-09T04:20:11.895007+07:00</t>
        </is>
      </c>
      <c r="K5" s="3" t="inlineStr">
        <is>
          <t>Feature panel with microfiber callout, 3D printed pattern close-ups, soft filling and lightweight breathable notes.</t>
        </is>
      </c>
      <c r="L5" s="3" t="inlineStr">
        <is>
          <t>Feature panel with microfiber callout, 3D printed pattern close-ups, soft filling and lightweight breathable notes.</t>
        </is>
      </c>
      <c r="M5" s="3" t="inlineStr">
        <is>
          <t>SET</t>
        </is>
      </c>
      <c r="N5" s="3" t="inlineStr">
        <is>
          <t>God Says I Am design 02 microfiber feature panel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3" t="inlineStr">
        <is>
          <t>FULL</t>
        </is>
      </c>
      <c r="S5" s="7">
        <f>IF(O5="FULL",40,IF(O5="PARTIAL",40/2,0))+IF(P5="FULL",30,IF(P5="PARTIAL",30/2,0))+IF(Q5="FULL",20,IF(Q5="PARTIAL",20/2,0))+IF(R5="FULL",10,IF(R5="PARTIAL",10/2,0))</f>
        <v/>
      </c>
      <c r="T5" s="7">
        <f>IF(O5="NOT_CHECKED",0,40)+IF(P5="NOT_CHECKED",0,30)+IF(Q5="NOT_CHECKED",0,20)+IF(R5="NOT_CHECKED",0,10)</f>
        <v/>
      </c>
      <c r="U5" s="7">
        <f>IF(T5=100,S5,"")</f>
        <v/>
      </c>
      <c r="V5" s="7">
        <f>S5</f>
        <v/>
      </c>
      <c r="W5" s="7">
        <f>S5+(100-T5)</f>
        <v/>
      </c>
      <c r="X5" s="3" t="inlineStr">
        <is>
          <t>[]</t>
        </is>
      </c>
      <c r="Y5" s="3" t="inlineStr">
        <is>
          <t>["seo_runs/jeminise.com/20260906_234129/qa/20260909_042000/images/011_04.jpg", "https://jeminise.com/products/christian-bedding-set-inspirational-bible-verse-comforte-design-02", "https://cdn.shopify.com/s/files/1/0792/5098/1063/files/27f7ed18554cde6fb1921b3b4261b0f7a6d2176eda09e52bedf7b7fe5cb0399a.jpg?v=1787237735"]</t>
        </is>
      </c>
    </row>
    <row r="6" ht="66" customHeight="1">
      <c r="A6" s="2" t="inlineStr">
        <is>
          <t>jeminise.com+christian-bedding-set-inspirational-bible-verse-comforte-design-02</t>
        </is>
      </c>
      <c r="B6" s="2" t="inlineStr">
        <is>
          <t>qaimg_e83ff3bda096596b</t>
        </is>
      </c>
      <c r="C6" s="4" t="inlineStr">
        <is>
          <t>https://cdn.shopify.com/s/files/1/0792/5098/1063/files/c0229b109e769b68f8c9f35623479c094bab31ad756f2c9dfcf50eadd39d92c5_9c3ec9d7-9121-432a-b4e5-640cc3768a2a.jpg?v=1787237735</t>
        </is>
      </c>
      <c r="D6" s="4" t="inlineStr">
        <is>
          <t>https://cdn.shopify.com/s/files/1/0792/5098/1063/files/c0229b109e769b68f8c9f35623479c094bab31ad756f2c9dfcf50eadd39d92c5_9c3ec9d7-9121-432a-b4e5-640cc3768a2a.jpg?v=1787237735</t>
        </is>
      </c>
      <c r="E6" s="2" t="inlineStr">
        <is>
          <t>47933842620615</t>
        </is>
      </c>
      <c r="F6" s="2" t="inlineStr">
        <is>
          <t>47933842620615</t>
        </is>
      </c>
      <c r="G6" s="2" t="inlineStr"/>
      <c r="H6" s="2" t="inlineStr">
        <is>
          <t>GALLERY</t>
        </is>
      </c>
      <c r="I6" s="2" t="inlineStr">
        <is>
          <t>DIRECT_IMAGE_VERIFICATION + R5_AUDIT</t>
        </is>
      </c>
      <c r="J6" s="2" t="inlineStr">
        <is>
          <t>2026-09-09T04:20:11.895007+07:00</t>
        </is>
      </c>
      <c r="K6" s="2" t="inlineStr">
        <is>
          <t>Birth month flowers panel with flower illustrations for January through December.</t>
        </is>
      </c>
      <c r="L6" s="2" t="inlineStr">
        <is>
          <t>Birth month flowers panel with flower illustrations for January through December.</t>
        </is>
      </c>
      <c r="M6" s="2" t="inlineStr">
        <is>
          <t>SET</t>
        </is>
      </c>
      <c r="N6" s="2" t="inlineStr">
        <is>
          <t>God Says I Am design 02 birth month flowers panel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5">
        <f>IF(O6="FULL",40,IF(O6="PARTIAL",40/2,0))+IF(P6="FULL",30,IF(P6="PARTIAL",30/2,0))+IF(Q6="FULL",20,IF(Q6="PARTIAL",20/2,0))+IF(R6="FULL",10,IF(R6="PARTIAL",10/2,0))</f>
        <v/>
      </c>
      <c r="T6" s="5">
        <f>IF(O6="NOT_CHECKED",0,40)+IF(P6="NOT_CHECKED",0,30)+IF(Q6="NOT_CHECKED",0,20)+IF(R6="NOT_CHECKED",0,10)</f>
        <v/>
      </c>
      <c r="U6" s="5">
        <f>IF(T6=100,S6,"")</f>
        <v/>
      </c>
      <c r="V6" s="5">
        <f>S6</f>
        <v/>
      </c>
      <c r="W6" s="5">
        <f>S6+(100-T6)</f>
        <v/>
      </c>
      <c r="X6" s="2" t="inlineStr">
        <is>
          <t>[]</t>
        </is>
      </c>
      <c r="Y6" s="2" t="inlineStr">
        <is>
          <t>["seo_runs/jeminise.com/20260906_234129/qa/20260909_042000/images/011_05.jpg", "https://jeminise.com/products/christian-bedding-set-inspirational-bible-verse-comforte-design-02", "https://cdn.shopify.com/s/files/1/0792/5098/1063/files/c0229b109e769b68f8c9f35623479c094bab31ad756f2c9dfcf50eadd39d92c5_9c3ec9d7-9121-432a-b4e5-640cc3768a2a.jpg?v=1787237735"]</t>
        </is>
      </c>
    </row>
    <row r="7" ht="66" customHeight="1">
      <c r="A7" s="3" t="inlineStr">
        <is>
          <t>jeminise.com+christian-bedding-set-inspirational-bible-verse-comforte-design-02</t>
        </is>
      </c>
      <c r="B7" s="3" t="inlineStr">
        <is>
          <t>qaimg_5bfe673cef116796</t>
        </is>
      </c>
      <c r="C7" s="4" t="inlineStr">
        <is>
          <t>https://cdn.shopify.com/s/files/1/0792/5098/1063/files/0e22a9fec09643a714af054217066178d4f7bc4d6266b6d2ff5c33c09cc10e88_963c3f22-9265-4b21-8847-4b1a66ac13e5.jpg?v=1787237735</t>
        </is>
      </c>
      <c r="D7" s="4" t="inlineStr">
        <is>
          <t>https://cdn.shopify.com/s/files/1/0792/5098/1063/files/0e22a9fec09643a714af054217066178d4f7bc4d6266b6d2ff5c33c09cc10e88_963c3f22-9265-4b21-8847-4b1a66ac13e5.jpg?v=1787237735</t>
        </is>
      </c>
      <c r="E7" s="3" t="inlineStr">
        <is>
          <t>47933842653383</t>
        </is>
      </c>
      <c r="F7" s="3" t="inlineStr">
        <is>
          <t>47933842653383</t>
        </is>
      </c>
      <c r="G7" s="3" t="inlineStr"/>
      <c r="H7" s="3" t="inlineStr">
        <is>
          <t>GALLERY</t>
        </is>
      </c>
      <c r="I7" s="3" t="inlineStr">
        <is>
          <t>DIRECT_IMAGE_VERIFICATION + R5_AUDIT</t>
        </is>
      </c>
      <c r="J7" s="3" t="inlineStr">
        <is>
          <t>2026-09-09T04:20:11.895007+07:00</t>
        </is>
      </c>
      <c r="K7" s="3" t="inlineStr">
        <is>
          <t>Stress-free easy care panel listing wrinkle-free, stain-proof, anti-pilling and wash-fade notes.</t>
        </is>
      </c>
      <c r="L7" s="3" t="inlineStr">
        <is>
          <t>Stress-free easy care panel listing wrinkle-free, stain-proof, anti-pilling and wash-fade notes.</t>
        </is>
      </c>
      <c r="M7" s="3" t="inlineStr">
        <is>
          <t>SET</t>
        </is>
      </c>
      <c r="N7" s="3" t="inlineStr">
        <is>
          <t>God Says I Am design 02 easy care feature panel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3" t="inlineStr">
        <is>
          <t>FULL</t>
        </is>
      </c>
      <c r="S7" s="7">
        <f>IF(O7="FULL",40,IF(O7="PARTIAL",40/2,0))+IF(P7="FULL",30,IF(P7="PARTIAL",30/2,0))+IF(Q7="FULL",20,IF(Q7="PARTIAL",20/2,0))+IF(R7="FULL",10,IF(R7="PARTIAL",10/2,0))</f>
        <v/>
      </c>
      <c r="T7" s="7">
        <f>IF(O7="NOT_CHECKED",0,40)+IF(P7="NOT_CHECKED",0,30)+IF(Q7="NOT_CHECKED",0,20)+IF(R7="NOT_CHECKED",0,10)</f>
        <v/>
      </c>
      <c r="U7" s="7">
        <f>IF(T7=100,S7,"")</f>
        <v/>
      </c>
      <c r="V7" s="7">
        <f>S7</f>
        <v/>
      </c>
      <c r="W7" s="7">
        <f>S7+(100-T7)</f>
        <v/>
      </c>
      <c r="X7" s="3" t="inlineStr">
        <is>
          <t>[]</t>
        </is>
      </c>
      <c r="Y7" s="3" t="inlineStr">
        <is>
          <t>["seo_runs/jeminise.com/20260906_234129/qa/20260909_042000/images/011_06.jpg", "https://jeminise.com/products/christian-bedding-set-inspirational-bible-verse-comforte-design-02", "https://cdn.shopify.com/s/files/1/0792/5098/1063/files/0e22a9fec09643a714af054217066178d4f7bc4d6266b6d2ff5c33c09cc10e88_963c3f22-9265-4b21-8847-4b1a66ac13e5.jpg?v=1787237735"]</t>
        </is>
      </c>
    </row>
    <row r="8" ht="66" customHeight="1">
      <c r="A8" s="2" t="inlineStr">
        <is>
          <t>jeminise.com+christian-bedding-set-inspirational-bible-verse-comforte-design-02</t>
        </is>
      </c>
      <c r="B8" s="2" t="inlineStr">
        <is>
          <t>qaimg_589b7006b0cae7ca</t>
        </is>
      </c>
      <c r="C8" s="4" t="inlineStr">
        <is>
          <t>https://cdn.shopify.com/s/files/1/0792/5098/1063/files/03ac15a4de6fdc4759048838b9e69d3ab841369c3b081159e5bf995fe1ff2483.jpg?v=1787237735</t>
        </is>
      </c>
      <c r="D8" s="4" t="inlineStr">
        <is>
          <t>https://cdn.shopify.com/s/files/1/0792/5098/1063/files/03ac15a4de6fdc4759048838b9e69d3ab841369c3b081159e5bf995fe1ff2483.jpg?v=1787237735</t>
        </is>
      </c>
      <c r="E8" s="2" t="inlineStr">
        <is>
          <t>47933842686151</t>
        </is>
      </c>
      <c r="F8" s="2" t="inlineStr">
        <is>
          <t>47933842686151</t>
        </is>
      </c>
      <c r="G8" s="2" t="inlineStr"/>
      <c r="H8" s="2" t="inlineStr">
        <is>
          <t>GALLERY</t>
        </is>
      </c>
      <c r="I8" s="2" t="inlineStr">
        <is>
          <t>DIRECT_IMAGE_VERIFICATION + R5_AUDIT</t>
        </is>
      </c>
      <c r="J8" s="2" t="inlineStr">
        <is>
          <t>2026-09-09T04:20:11.895007+07:00</t>
        </is>
      </c>
      <c r="K8" s="2" t="inlineStr">
        <is>
          <t>Close bedroom view showing orange affirmation bedding with soft, lightweight, durable and breathable icons.</t>
        </is>
      </c>
      <c r="L8" s="2" t="inlineStr">
        <is>
          <t>Close bedroom view showing orange affirmation bedding with soft, lightweight, durable and breathable icons.</t>
        </is>
      </c>
      <c r="M8" s="2" t="inlineStr">
        <is>
          <t>SET</t>
        </is>
      </c>
      <c r="N8" s="2" t="inlineStr">
        <is>
          <t>God Says I Am design 02 bedding feature icons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inlineStr">
        <is>
          <t>FULL</t>
        </is>
      </c>
      <c r="S8" s="5">
        <f>IF(O8="FULL",40,IF(O8="PARTIAL",40/2,0))+IF(P8="FULL",30,IF(P8="PARTIAL",30/2,0))+IF(Q8="FULL",20,IF(Q8="PARTIAL",20/2,0))+IF(R8="FULL",10,IF(R8="PARTIAL",10/2,0))</f>
        <v/>
      </c>
      <c r="T8" s="5">
        <f>IF(O8="NOT_CHECKED",0,40)+IF(P8="NOT_CHECKED",0,30)+IF(Q8="NOT_CHECKED",0,20)+IF(R8="NOT_CHECKED",0,10)</f>
        <v/>
      </c>
      <c r="U8" s="5">
        <f>IF(T8=100,S8,"")</f>
        <v/>
      </c>
      <c r="V8" s="5">
        <f>S8</f>
        <v/>
      </c>
      <c r="W8" s="5">
        <f>S8+(100-T8)</f>
        <v/>
      </c>
      <c r="X8" s="2" t="inlineStr">
        <is>
          <t>[]</t>
        </is>
      </c>
      <c r="Y8" s="2" t="inlineStr">
        <is>
          <t>["seo_runs/jeminise.com/20260906_234129/qa/20260909_042000/images/011_07.jpg", "https://jeminise.com/products/christian-bedding-set-inspirational-bible-verse-comforte-design-02", "https://cdn.shopify.com/s/files/1/0792/5098/1063/files/03ac15a4de6fdc4759048838b9e69d3ab841369c3b081159e5bf995fe1ff2483.jpg?v=1787237735"]</t>
        </is>
      </c>
    </row>
    <row r="9" ht="66" customHeight="1">
      <c r="A9" s="3" t="inlineStr">
        <is>
          <t>jeminise.com+christian-bedding-set-inspirational-bible-verse-comforte-design-02</t>
        </is>
      </c>
      <c r="B9" s="3" t="inlineStr">
        <is>
          <t>qaimg_a48e2074ece64973</t>
        </is>
      </c>
      <c r="C9" s="4" t="inlineStr">
        <is>
          <t>https://cdn.shopify.com/s/files/1/0792/5098/1063/files/d6b8438a259ef28ba839a68ba108f40464bc9629b0bc2168779fc7776c9cbffa_433fa23f-2790-4b1e-8f60-9cb3f933e7c9.jpg?v=1787237735</t>
        </is>
      </c>
      <c r="D9" s="4" t="inlineStr">
        <is>
          <t>https://cdn.shopify.com/s/files/1/0792/5098/1063/files/d6b8438a259ef28ba839a68ba108f40464bc9629b0bc2168779fc7776c9cbffa_433fa23f-2790-4b1e-8f60-9cb3f933e7c9.jpg?v=1787237735</t>
        </is>
      </c>
      <c r="E9" s="3" t="inlineStr">
        <is>
          <t>47933842718919</t>
        </is>
      </c>
      <c r="F9" s="3" t="inlineStr">
        <is>
          <t>47933842718919</t>
        </is>
      </c>
      <c r="G9" s="3" t="inlineStr"/>
      <c r="H9" s="3" t="inlineStr">
        <is>
          <t>GALLERY</t>
        </is>
      </c>
      <c r="I9" s="3" t="inlineStr">
        <is>
          <t>DIRECT_IMAGE_VERIFICATION + R5_AUDIT</t>
        </is>
      </c>
      <c r="J9" s="3" t="inlineStr">
        <is>
          <t>2026-09-09T04:20:11.895007+07:00</t>
        </is>
      </c>
      <c r="K9" s="3" t="inlineStr">
        <is>
          <t>Size dimension panel showing Twin, Full, Queen and King bedding dimensions.</t>
        </is>
      </c>
      <c r="L9" s="3" t="inlineStr">
        <is>
          <t>Size dimension panel showing Twin, Full, Queen and King bedding dimensions.</t>
        </is>
      </c>
      <c r="M9" s="3" t="inlineStr">
        <is>
          <t>SET</t>
        </is>
      </c>
      <c r="N9" s="3" t="inlineStr">
        <is>
          <t>God Says I Am design 02 bedding size chart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3" t="inlineStr">
        <is>
          <t>FULL</t>
        </is>
      </c>
      <c r="S9" s="7">
        <f>IF(O9="FULL",40,IF(O9="PARTIAL",40/2,0))+IF(P9="FULL",30,IF(P9="PARTIAL",30/2,0))+IF(Q9="FULL",20,IF(Q9="PARTIAL",20/2,0))+IF(R9="FULL",10,IF(R9="PARTIAL",10/2,0))</f>
        <v/>
      </c>
      <c r="T9" s="7">
        <f>IF(O9="NOT_CHECKED",0,40)+IF(P9="NOT_CHECKED",0,30)+IF(Q9="NOT_CHECKED",0,20)+IF(R9="NOT_CHECKED",0,10)</f>
        <v/>
      </c>
      <c r="U9" s="7">
        <f>IF(T9=100,S9,"")</f>
        <v/>
      </c>
      <c r="V9" s="7">
        <f>S9</f>
        <v/>
      </c>
      <c r="W9" s="7">
        <f>S9+(100-T9)</f>
        <v/>
      </c>
      <c r="X9" s="3" t="inlineStr">
        <is>
          <t>[]</t>
        </is>
      </c>
      <c r="Y9" s="3" t="inlineStr">
        <is>
          <t>["seo_runs/jeminise.com/20260906_234129/qa/20260909_042000/images/011_08.jpg", "https://jeminise.com/products/christian-bedding-set-inspirational-bible-verse-comforte-design-02", "https://cdn.shopify.com/s/files/1/0792/5098/1063/files/d6b8438a259ef28ba839a68ba108f40464bc9629b0bc2168779fc7776c9cbffa_433fa23f-2790-4b1e-8f60-9cb3f933e7c9.jpg?v=1787237735"]</t>
        </is>
      </c>
    </row>
    <row r="10" ht="66" customHeight="1">
      <c r="A10" s="2" t="inlineStr">
        <is>
          <t>jeminise.com+christian-bedding-set-inspirational-bible-verse-comforte-design-03</t>
        </is>
      </c>
      <c r="B10" s="2" t="inlineStr">
        <is>
          <t>qaimg_d09bcd4d7a0c6ae8</t>
        </is>
      </c>
      <c r="C10" s="4" t="inlineStr">
        <is>
          <t>https://cdn.shopify.com/s/files/1/0792/5098/1063/files/f92da9391db0dc6b3922463b3a830c7068091ba905b6f543f5ed21537c343ff7.jpg?v=1787237775</t>
        </is>
      </c>
      <c r="D10" s="4" t="inlineStr">
        <is>
          <t>https://cdn.shopify.com/s/files/1/0792/5098/1063/files/f92da9391db0dc6b3922463b3a830c7068091ba905b6f543f5ed21537c343ff7.jpg?v=1787237775</t>
        </is>
      </c>
      <c r="E10" s="2" t="inlineStr">
        <is>
          <t>47933847044295</t>
        </is>
      </c>
      <c r="F10" s="2" t="inlineStr">
        <is>
          <t>47933847044295</t>
        </is>
      </c>
      <c r="G10" s="2" t="inlineStr"/>
      <c r="H10" s="2" t="inlineStr">
        <is>
          <t>GALLERY</t>
        </is>
      </c>
      <c r="I10" s="2" t="inlineStr">
        <is>
          <t>DIRECT_IMAGE_VERIFICATION + R5_AUDIT</t>
        </is>
      </c>
      <c r="J10" s="2" t="inlineStr">
        <is>
          <t>2026-09-09T04:20:11.895007+07:00</t>
        </is>
      </c>
      <c r="K10" s="2" t="inlineStr">
        <is>
          <t>Bedroom mockup of white Christian Bible verse bedding with Evelyn name, crosses and multicolor affirmation words.</t>
        </is>
      </c>
      <c r="L10" s="2" t="inlineStr">
        <is>
          <t>Bedroom mockup of white Christian Bible verse bedding with Evelyn name, crosses and multicolor affirmation words.</t>
        </is>
      </c>
      <c r="M10" s="2" t="inlineStr">
        <is>
          <t>SET</t>
        </is>
      </c>
      <c r="N10" s="2" t="inlineStr">
        <is>
          <t>Christian Bible verse bedding with Evelyn name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inlineStr">
        <is>
          <t>FULL</t>
        </is>
      </c>
      <c r="S10" s="5">
        <f>IF(O10="FULL",40,IF(O10="PARTIAL",40/2,0))+IF(P10="FULL",30,IF(P10="PARTIAL",30/2,0))+IF(Q10="FULL",20,IF(Q10="PARTIAL",20/2,0))+IF(R10="FULL",10,IF(R10="PARTIAL",10/2,0))</f>
        <v/>
      </c>
      <c r="T10" s="5">
        <f>IF(O10="NOT_CHECKED",0,40)+IF(P10="NOT_CHECKED",0,30)+IF(Q10="NOT_CHECKED",0,20)+IF(R10="NOT_CHECKED",0,10)</f>
        <v/>
      </c>
      <c r="U10" s="5">
        <f>IF(T10=100,S10,"")</f>
        <v/>
      </c>
      <c r="V10" s="5">
        <f>S10</f>
        <v/>
      </c>
      <c r="W10" s="5">
        <f>S10+(100-T10)</f>
        <v/>
      </c>
      <c r="X10" s="2" t="inlineStr">
        <is>
          <t>[]</t>
        </is>
      </c>
      <c r="Y10" s="2" t="inlineStr">
        <is>
          <t>["seo_runs/jeminise.com/20260906_234129/qa/20260909_042000/images/012_01.jpg", "https://jeminise.com/products/christian-bedding-set-inspirational-bible-verse-comforte-design-03", "https://cdn.shopify.com/s/files/1/0792/5098/1063/files/f92da9391db0dc6b3922463b3a830c7068091ba905b6f543f5ed21537c343ff7.jpg?v=1787237775"]</t>
        </is>
      </c>
    </row>
    <row r="11" ht="66" customHeight="1">
      <c r="A11" s="3" t="inlineStr">
        <is>
          <t>jeminise.com+christian-bedding-set-inspirational-bible-verse-comforte-design-03</t>
        </is>
      </c>
      <c r="B11" s="3" t="inlineStr">
        <is>
          <t>qaimg_b47d22f3ec4bb409</t>
        </is>
      </c>
      <c r="C11" s="4" t="inlineStr">
        <is>
          <t>https://cdn.shopify.com/s/files/1/0792/5098/1063/files/38662725a37694575465781c6a07cc74254226a1182579802ffa9912a4e7768f.jpg?v=1787237775</t>
        </is>
      </c>
      <c r="D11" s="4" t="inlineStr">
        <is>
          <t>https://cdn.shopify.com/s/files/1/0792/5098/1063/files/38662725a37694575465781c6a07cc74254226a1182579802ffa9912a4e7768f.jpg?v=1787237775</t>
        </is>
      </c>
      <c r="E11" s="3" t="inlineStr">
        <is>
          <t>47933847077063</t>
        </is>
      </c>
      <c r="F11" s="3" t="inlineStr">
        <is>
          <t>47933847077063</t>
        </is>
      </c>
      <c r="G11" s="3" t="inlineStr"/>
      <c r="H11" s="3" t="inlineStr">
        <is>
          <t>GALLERY</t>
        </is>
      </c>
      <c r="I11" s="3" t="inlineStr">
        <is>
          <t>DIRECT_IMAGE_VERIFICATION + R5_AUDIT</t>
        </is>
      </c>
      <c r="J11" s="3" t="inlineStr">
        <is>
          <t>2026-09-09T04:20:11.895007+07:00</t>
        </is>
      </c>
      <c r="K11" s="3" t="inlineStr">
        <is>
          <t>Angled room mockup showing Evelyn pillowcases, cross motifs, faith words and Bible verse labels.</t>
        </is>
      </c>
      <c r="L11" s="3" t="inlineStr">
        <is>
          <t>Angled room mockup showing Evelyn pillowcases, cross motifs, faith words and Bible verse labels.</t>
        </is>
      </c>
      <c r="M11" s="3" t="inlineStr">
        <is>
          <t>SET</t>
        </is>
      </c>
      <c r="N11" s="3" t="inlineStr">
        <is>
          <t>Personalized Christian Bible verse bedding room mockup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3" t="inlineStr">
        <is>
          <t>FULL</t>
        </is>
      </c>
      <c r="S11" s="7">
        <f>IF(O11="FULL",40,IF(O11="PARTIAL",40/2,0))+IF(P11="FULL",30,IF(P11="PARTIAL",30/2,0))+IF(Q11="FULL",20,IF(Q11="PARTIAL",20/2,0))+IF(R11="FULL",10,IF(R11="PARTIAL",10/2,0))</f>
        <v/>
      </c>
      <c r="T11" s="7">
        <f>IF(O11="NOT_CHECKED",0,40)+IF(P11="NOT_CHECKED",0,30)+IF(Q11="NOT_CHECKED",0,20)+IF(R11="NOT_CHECKED",0,10)</f>
        <v/>
      </c>
      <c r="U11" s="7">
        <f>IF(T11=100,S11,"")</f>
        <v/>
      </c>
      <c r="V11" s="7">
        <f>S11</f>
        <v/>
      </c>
      <c r="W11" s="7">
        <f>S11+(100-T11)</f>
        <v/>
      </c>
      <c r="X11" s="3" t="inlineStr">
        <is>
          <t>[]</t>
        </is>
      </c>
      <c r="Y11" s="3" t="inlineStr">
        <is>
          <t>["seo_runs/jeminise.com/20260906_234129/qa/20260909_042000/images/012_02.jpg", "https://jeminise.com/products/christian-bedding-set-inspirational-bible-verse-comforte-design-03", "https://cdn.shopify.com/s/files/1/0792/5098/1063/files/38662725a37694575465781c6a07cc74254226a1182579802ffa9912a4e7768f.jpg?v=1787237775"]</t>
        </is>
      </c>
    </row>
    <row r="12" ht="66" customHeight="1">
      <c r="A12" s="2" t="inlineStr">
        <is>
          <t>jeminise.com+christian-bedding-set-inspirational-bible-verse-comforte-design-03</t>
        </is>
      </c>
      <c r="B12" s="2" t="inlineStr">
        <is>
          <t>qaimg_e219b7977479aba5</t>
        </is>
      </c>
      <c r="C12" s="4" t="inlineStr">
        <is>
          <t>https://cdn.shopify.com/s/files/1/0792/5098/1063/files/50f96559dd878ae5bbee14ba7a34337ccd740d21a8ffe86a8a1be819656d26c0_55aad209-cbed-473d-b39c-7f6a67c4001e.jpg?v=1787237775</t>
        </is>
      </c>
      <c r="D12" s="4" t="inlineStr">
        <is>
          <t>https://cdn.shopify.com/s/files/1/0792/5098/1063/files/50f96559dd878ae5bbee14ba7a34337ccd740d21a8ffe86a8a1be819656d26c0_55aad209-cbed-473d-b39c-7f6a67c4001e.jpg?v=1787237775</t>
        </is>
      </c>
      <c r="E12" s="2" t="inlineStr">
        <is>
          <t>47933847109831</t>
        </is>
      </c>
      <c r="F12" s="2" t="inlineStr">
        <is>
          <t>47933847109831</t>
        </is>
      </c>
      <c r="G12" s="2" t="inlineStr"/>
      <c r="H12" s="2" t="inlineStr">
        <is>
          <t>GALLERY</t>
        </is>
      </c>
      <c r="I12" s="2" t="inlineStr">
        <is>
          <t>DIRECT_IMAGE_VERIFICATION + R5_AUDIT</t>
        </is>
      </c>
      <c r="J12" s="2" t="inlineStr">
        <is>
          <t>2026-09-09T04:20:11.895007+07:00</t>
        </is>
      </c>
      <c r="K12" s="2" t="inlineStr">
        <is>
          <t>Product type comparison panel showing duvet cover set and comforter set options for all-season use.</t>
        </is>
      </c>
      <c r="L12" s="2" t="inlineStr">
        <is>
          <t>Product type comparison panel showing duvet cover set and comforter set options for all-season use.</t>
        </is>
      </c>
      <c r="M12" s="2" t="inlineStr">
        <is>
          <t>SET</t>
        </is>
      </c>
      <c r="N12" s="2" t="inlineStr">
        <is>
          <t>Christian Bible verse duvet and comforter options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inlineStr">
        <is>
          <t>FULL</t>
        </is>
      </c>
      <c r="S12" s="5">
        <f>IF(O12="FULL",40,IF(O12="PARTIAL",40/2,0))+IF(P12="FULL",30,IF(P12="PARTIAL",30/2,0))+IF(Q12="FULL",20,IF(Q12="PARTIAL",20/2,0))+IF(R12="FULL",10,IF(R12="PARTIAL",10/2,0))</f>
        <v/>
      </c>
      <c r="T12" s="5">
        <f>IF(O12="NOT_CHECKED",0,40)+IF(P12="NOT_CHECKED",0,30)+IF(Q12="NOT_CHECKED",0,20)+IF(R12="NOT_CHECKED",0,10)</f>
        <v/>
      </c>
      <c r="U12" s="5">
        <f>IF(T12=100,S12,"")</f>
        <v/>
      </c>
      <c r="V12" s="5">
        <f>S12</f>
        <v/>
      </c>
      <c r="W12" s="5">
        <f>S12+(100-T12)</f>
        <v/>
      </c>
      <c r="X12" s="2" t="inlineStr">
        <is>
          <t>[]</t>
        </is>
      </c>
      <c r="Y12" s="2" t="inlineStr">
        <is>
          <t>["seo_runs/jeminise.com/20260906_234129/qa/20260909_042000/images/012_03.jpg", "https://jeminise.com/products/christian-bedding-set-inspirational-bible-verse-comforte-design-03", "https://cdn.shopify.com/s/files/1/0792/5098/1063/files/50f96559dd878ae5bbee14ba7a34337ccd740d21a8ffe86a8a1be819656d26c0_55aad209-cbed-473d-b39c-7f6a67c4001e.jpg?v=1787237775"]</t>
        </is>
      </c>
    </row>
    <row r="13" ht="66" customHeight="1">
      <c r="A13" s="3" t="inlineStr">
        <is>
          <t>jeminise.com+christian-bedding-set-inspirational-bible-verse-comforte-design-03</t>
        </is>
      </c>
      <c r="B13" s="3" t="inlineStr">
        <is>
          <t>qaimg_1d80ea156f5f9e4c</t>
        </is>
      </c>
      <c r="C13" s="4" t="inlineStr">
        <is>
          <t>https://cdn.shopify.com/s/files/1/0792/5098/1063/files/6f7120179ef66c1c3b1345bc6dcaf03449e1ffefc7fbda9577faecc3e3db4447.jpg?v=1787237775</t>
        </is>
      </c>
      <c r="D13" s="4" t="inlineStr">
        <is>
          <t>https://cdn.shopify.com/s/files/1/0792/5098/1063/files/6f7120179ef66c1c3b1345bc6dcaf03449e1ffefc7fbda9577faecc3e3db4447.jpg?v=1787237775</t>
        </is>
      </c>
      <c r="E13" s="3" t="inlineStr">
        <is>
          <t>47933847142599</t>
        </is>
      </c>
      <c r="F13" s="3" t="inlineStr">
        <is>
          <t>47933847142599</t>
        </is>
      </c>
      <c r="G13" s="3" t="inlineStr"/>
      <c r="H13" s="3" t="inlineStr">
        <is>
          <t>GALLERY</t>
        </is>
      </c>
      <c r="I13" s="3" t="inlineStr">
        <is>
          <t>DIRECT_IMAGE_VERIFICATION + R5_AUDIT</t>
        </is>
      </c>
      <c r="J13" s="3" t="inlineStr">
        <is>
          <t>2026-09-09T04:20:11.895007+07:00</t>
        </is>
      </c>
      <c r="K13" s="3" t="inlineStr">
        <is>
          <t>Feature panel with microfiber callout, 3D printed pattern close-ups, soft filling and lightweight breathable notes.</t>
        </is>
      </c>
      <c r="L13" s="3" t="inlineStr">
        <is>
          <t>Feature panel with microfiber callout, 3D printed pattern close-ups, soft filling and lightweight breathable notes.</t>
        </is>
      </c>
      <c r="M13" s="3" t="inlineStr">
        <is>
          <t>SET</t>
        </is>
      </c>
      <c r="N13" s="3" t="inlineStr">
        <is>
          <t>Christian Bible verse microfiber feature panel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3" t="inlineStr">
        <is>
          <t>FULL</t>
        </is>
      </c>
      <c r="S13" s="7">
        <f>IF(O13="FULL",40,IF(O13="PARTIAL",40/2,0))+IF(P13="FULL",30,IF(P13="PARTIAL",30/2,0))+IF(Q13="FULL",20,IF(Q13="PARTIAL",20/2,0))+IF(R13="FULL",10,IF(R13="PARTIAL",10/2,0))</f>
        <v/>
      </c>
      <c r="T13" s="7">
        <f>IF(O13="NOT_CHECKED",0,40)+IF(P13="NOT_CHECKED",0,30)+IF(Q13="NOT_CHECKED",0,20)+IF(R13="NOT_CHECKED",0,10)</f>
        <v/>
      </c>
      <c r="U13" s="7">
        <f>IF(T13=100,S13,"")</f>
        <v/>
      </c>
      <c r="V13" s="7">
        <f>S13</f>
        <v/>
      </c>
      <c r="W13" s="7">
        <f>S13+(100-T13)</f>
        <v/>
      </c>
      <c r="X13" s="3" t="inlineStr">
        <is>
          <t>[]</t>
        </is>
      </c>
      <c r="Y13" s="3" t="inlineStr">
        <is>
          <t>["seo_runs/jeminise.com/20260906_234129/qa/20260909_042000/images/012_04.jpg", "https://jeminise.com/products/christian-bedding-set-inspirational-bible-verse-comforte-design-03", "https://cdn.shopify.com/s/files/1/0792/5098/1063/files/6f7120179ef66c1c3b1345bc6dcaf03449e1ffefc7fbda9577faecc3e3db4447.jpg?v=1787237775"]</t>
        </is>
      </c>
    </row>
    <row r="14" ht="66" customHeight="1">
      <c r="A14" s="2" t="inlineStr">
        <is>
          <t>jeminise.com+christian-bedding-set-inspirational-bible-verse-comforte-design-03</t>
        </is>
      </c>
      <c r="B14" s="2" t="inlineStr">
        <is>
          <t>qaimg_2413ef1710d427e4</t>
        </is>
      </c>
      <c r="C14" s="4" t="inlineStr">
        <is>
          <t>https://cdn.shopify.com/s/files/1/0792/5098/1063/files/3f1020e70fcfa8dc9427d83131c12eb3107fd27ba15741a814733e1974f31cb2.jpg?v=1787237775</t>
        </is>
      </c>
      <c r="D14" s="4" t="inlineStr">
        <is>
          <t>https://cdn.shopify.com/s/files/1/0792/5098/1063/files/3f1020e70fcfa8dc9427d83131c12eb3107fd27ba15741a814733e1974f31cb2.jpg?v=1787237775</t>
        </is>
      </c>
      <c r="E14" s="2" t="inlineStr">
        <is>
          <t>47933847175367</t>
        </is>
      </c>
      <c r="F14" s="2" t="inlineStr">
        <is>
          <t>47933847175367</t>
        </is>
      </c>
      <c r="G14" s="2" t="inlineStr"/>
      <c r="H14" s="2" t="inlineStr">
        <is>
          <t>GALLERY</t>
        </is>
      </c>
      <c r="I14" s="2" t="inlineStr">
        <is>
          <t>DIRECT_IMAGE_VERIFICATION + R5_AUDIT</t>
        </is>
      </c>
      <c r="J14" s="2" t="inlineStr">
        <is>
          <t>2026-09-09T04:20:11.895007+07:00</t>
        </is>
      </c>
      <c r="K14" s="2" t="inlineStr">
        <is>
          <t>Close bedroom view showing Evelyn Bible verse bedding with soft, lightweight, durable and breathable icons.</t>
        </is>
      </c>
      <c r="L14" s="2" t="inlineStr">
        <is>
          <t>Close bedroom view showing Evelyn Bible verse bedding with soft, lightweight, durable and breathable icons.</t>
        </is>
      </c>
      <c r="M14" s="2" t="inlineStr">
        <is>
          <t>SET</t>
        </is>
      </c>
      <c r="N14" s="2" t="inlineStr">
        <is>
          <t>Christian Bible verse bedding feature icons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inlineStr">
        <is>
          <t>FULL</t>
        </is>
      </c>
      <c r="S14" s="5">
        <f>IF(O14="FULL",40,IF(O14="PARTIAL",40/2,0))+IF(P14="FULL",30,IF(P14="PARTIAL",30/2,0))+IF(Q14="FULL",20,IF(Q14="PARTIAL",20/2,0))+IF(R14="FULL",10,IF(R14="PARTIAL",10/2,0))</f>
        <v/>
      </c>
      <c r="T14" s="5">
        <f>IF(O14="NOT_CHECKED",0,40)+IF(P14="NOT_CHECKED",0,30)+IF(Q14="NOT_CHECKED",0,20)+IF(R14="NOT_CHECKED",0,10)</f>
        <v/>
      </c>
      <c r="U14" s="5">
        <f>IF(T14=100,S14,"")</f>
        <v/>
      </c>
      <c r="V14" s="5">
        <f>S14</f>
        <v/>
      </c>
      <c r="W14" s="5">
        <f>S14+(100-T14)</f>
        <v/>
      </c>
      <c r="X14" s="2" t="inlineStr">
        <is>
          <t>[]</t>
        </is>
      </c>
      <c r="Y14" s="2" t="inlineStr">
        <is>
          <t>["seo_runs/jeminise.com/20260906_234129/qa/20260909_042000/images/012_05.jpg", "https://jeminise.com/products/christian-bedding-set-inspirational-bible-verse-comforte-design-03", "https://cdn.shopify.com/s/files/1/0792/5098/1063/files/3f1020e70fcfa8dc9427d83131c12eb3107fd27ba15741a814733e1974f31cb2.jpg?v=1787237775"]</t>
        </is>
      </c>
    </row>
    <row r="15" ht="66" customHeight="1">
      <c r="A15" s="3" t="inlineStr">
        <is>
          <t>jeminise.com+christian-bedding-set-inspirational-bible-verse-comforte-design-03</t>
        </is>
      </c>
      <c r="B15" s="3" t="inlineStr">
        <is>
          <t>qaimg_bf5165b14f62028f</t>
        </is>
      </c>
      <c r="C15" s="4" t="inlineStr">
        <is>
          <t>https://cdn.shopify.com/s/files/1/0792/5098/1063/files/0e22a9fec09643a714af054217066178d4f7bc4d6266b6d2ff5c33c09cc10e88_aa1ee109-258c-49b7-8e15-9f96d009b1e0.jpg?v=1787237775</t>
        </is>
      </c>
      <c r="D15" s="4" t="inlineStr">
        <is>
          <t>https://cdn.shopify.com/s/files/1/0792/5098/1063/files/0e22a9fec09643a714af054217066178d4f7bc4d6266b6d2ff5c33c09cc10e88_aa1ee109-258c-49b7-8e15-9f96d009b1e0.jpg?v=1787237775</t>
        </is>
      </c>
      <c r="E15" s="3" t="inlineStr">
        <is>
          <t>47933847208135</t>
        </is>
      </c>
      <c r="F15" s="3" t="inlineStr">
        <is>
          <t>47933847208135</t>
        </is>
      </c>
      <c r="G15" s="3" t="inlineStr"/>
      <c r="H15" s="3" t="inlineStr">
        <is>
          <t>GALLERY</t>
        </is>
      </c>
      <c r="I15" s="3" t="inlineStr">
        <is>
          <t>DIRECT_IMAGE_VERIFICATION + R5_AUDIT</t>
        </is>
      </c>
      <c r="J15" s="3" t="inlineStr">
        <is>
          <t>2026-09-09T04:20:11.895007+07:00</t>
        </is>
      </c>
      <c r="K15" s="3" t="inlineStr">
        <is>
          <t>Stress-free easy care panel listing wrinkle-free, stain-proof, anti-pilling and wash-fade notes.</t>
        </is>
      </c>
      <c r="L15" s="3" t="inlineStr">
        <is>
          <t>Stress-free easy care panel listing wrinkle-free, stain-proof, anti-pilling and wash-fade notes.</t>
        </is>
      </c>
      <c r="M15" s="3" t="inlineStr">
        <is>
          <t>SET</t>
        </is>
      </c>
      <c r="N15" s="3" t="inlineStr">
        <is>
          <t>Christian Bible verse easy care feature panel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3" t="inlineStr">
        <is>
          <t>FULL</t>
        </is>
      </c>
      <c r="S15" s="7">
        <f>IF(O15="FULL",40,IF(O15="PARTIAL",40/2,0))+IF(P15="FULL",30,IF(P15="PARTIAL",30/2,0))+IF(Q15="FULL",20,IF(Q15="PARTIAL",20/2,0))+IF(R15="FULL",10,IF(R15="PARTIAL",10/2,0))</f>
        <v/>
      </c>
      <c r="T15" s="7">
        <f>IF(O15="NOT_CHECKED",0,40)+IF(P15="NOT_CHECKED",0,30)+IF(Q15="NOT_CHECKED",0,20)+IF(R15="NOT_CHECKED",0,10)</f>
        <v/>
      </c>
      <c r="U15" s="7">
        <f>IF(T15=100,S15,"")</f>
        <v/>
      </c>
      <c r="V15" s="7">
        <f>S15</f>
        <v/>
      </c>
      <c r="W15" s="7">
        <f>S15+(100-T15)</f>
        <v/>
      </c>
      <c r="X15" s="3" t="inlineStr">
        <is>
          <t>[]</t>
        </is>
      </c>
      <c r="Y15" s="3" t="inlineStr">
        <is>
          <t>["seo_runs/jeminise.com/20260906_234129/qa/20260909_042000/images/012_06.jpg", "https://jeminise.com/products/christian-bedding-set-inspirational-bible-verse-comforte-design-03", "https://cdn.shopify.com/s/files/1/0792/5098/1063/files/0e22a9fec09643a714af054217066178d4f7bc4d6266b6d2ff5c33c09cc10e88_aa1ee109-258c-49b7-8e15-9f96d009b1e0.jpg?v=1787237775"]</t>
        </is>
      </c>
    </row>
    <row r="16" ht="66" customHeight="1">
      <c r="A16" s="2" t="inlineStr">
        <is>
          <t>jeminise.com+christian-bedding-set-inspirational-bible-verse-comforte-design-03</t>
        </is>
      </c>
      <c r="B16" s="2" t="inlineStr">
        <is>
          <t>qaimg_7f1dc53c39364d86</t>
        </is>
      </c>
      <c r="C16" s="4" t="inlineStr">
        <is>
          <t>https://cdn.shopify.com/s/files/1/0792/5098/1063/files/d6b8438a259ef28ba839a68ba108f40464bc9629b0bc2168779fc7776c9cbffa_6f72bb77-1b12-4ea3-9e0c-1b5e684c5f9f.jpg?v=1787237775</t>
        </is>
      </c>
      <c r="D16" s="4" t="inlineStr">
        <is>
          <t>https://cdn.shopify.com/s/files/1/0792/5098/1063/files/d6b8438a259ef28ba839a68ba108f40464bc9629b0bc2168779fc7776c9cbffa_6f72bb77-1b12-4ea3-9e0c-1b5e684c5f9f.jpg?v=1787237775</t>
        </is>
      </c>
      <c r="E16" s="2" t="inlineStr">
        <is>
          <t>47933847240903</t>
        </is>
      </c>
      <c r="F16" s="2" t="inlineStr">
        <is>
          <t>47933847240903</t>
        </is>
      </c>
      <c r="G16" s="2" t="inlineStr"/>
      <c r="H16" s="2" t="inlineStr">
        <is>
          <t>GALLERY</t>
        </is>
      </c>
      <c r="I16" s="2" t="inlineStr">
        <is>
          <t>DIRECT_IMAGE_VERIFICATION + R5_AUDIT</t>
        </is>
      </c>
      <c r="J16" s="2" t="inlineStr">
        <is>
          <t>2026-09-09T04:20:11.895007+07:00</t>
        </is>
      </c>
      <c r="K16" s="2" t="inlineStr">
        <is>
          <t>Size dimension panel showing Twin, Full, Queen and King bedding dimensions.</t>
        </is>
      </c>
      <c r="L16" s="2" t="inlineStr">
        <is>
          <t>Size dimension panel showing Twin, Full, Queen and King bedding dimensions.</t>
        </is>
      </c>
      <c r="M16" s="2" t="inlineStr">
        <is>
          <t>SET</t>
        </is>
      </c>
      <c r="N16" s="2" t="inlineStr">
        <is>
          <t>Christian Bible verse bedding size chart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inlineStr">
        <is>
          <t>FULL</t>
        </is>
      </c>
      <c r="S16" s="5">
        <f>IF(O16="FULL",40,IF(O16="PARTIAL",40/2,0))+IF(P16="FULL",30,IF(P16="PARTIAL",30/2,0))+IF(Q16="FULL",20,IF(Q16="PARTIAL",20/2,0))+IF(R16="FULL",10,IF(R16="PARTIAL",10/2,0))</f>
        <v/>
      </c>
      <c r="T16" s="5">
        <f>IF(O16="NOT_CHECKED",0,40)+IF(P16="NOT_CHECKED",0,30)+IF(Q16="NOT_CHECKED",0,20)+IF(R16="NOT_CHECKED",0,10)</f>
        <v/>
      </c>
      <c r="U16" s="5">
        <f>IF(T16=100,S16,"")</f>
        <v/>
      </c>
      <c r="V16" s="5">
        <f>S16</f>
        <v/>
      </c>
      <c r="W16" s="5">
        <f>S16+(100-T16)</f>
        <v/>
      </c>
      <c r="X16" s="2" t="inlineStr">
        <is>
          <t>[]</t>
        </is>
      </c>
      <c r="Y16" s="2" t="inlineStr">
        <is>
          <t>["seo_runs/jeminise.com/20260906_234129/qa/20260909_042000/images/012_07.jpg", "https://jeminise.com/products/christian-bedding-set-inspirational-bible-verse-comforte-design-03", "https://cdn.shopify.com/s/files/1/0792/5098/1063/files/d6b8438a259ef28ba839a68ba108f40464bc9629b0bc2168779fc7776c9cbffa_6f72bb77-1b12-4ea3-9e0c-1b5e684c5f9f.jpg?v=1787237775"]</t>
        </is>
      </c>
    </row>
    <row r="17" ht="66" customHeight="1">
      <c r="A17" s="3" t="inlineStr">
        <is>
          <t>jeminise.com+christian-bedding-set-inspirational-bible-verse-comforte-design-04</t>
        </is>
      </c>
      <c r="B17" s="3" t="inlineStr">
        <is>
          <t>qaimg_2fa49ce4990a1a02</t>
        </is>
      </c>
      <c r="C17" s="4" t="inlineStr">
        <is>
          <t>https://cdn.shopify.com/s/files/1/0792/5098/1063/files/14ca1683130f1520ade50aa0650701fd1150fe4d09f367ab221b63a53783709e.jpg?v=1787237794</t>
        </is>
      </c>
      <c r="D17" s="4" t="inlineStr">
        <is>
          <t>https://cdn.shopify.com/s/files/1/0792/5098/1063/files/14ca1683130f1520ade50aa0650701fd1150fe4d09f367ab221b63a53783709e.jpg?v=1787237794</t>
        </is>
      </c>
      <c r="E17" s="3" t="inlineStr">
        <is>
          <t>47933849829575</t>
        </is>
      </c>
      <c r="F17" s="3" t="inlineStr">
        <is>
          <t>47933849829575</t>
        </is>
      </c>
      <c r="G17" s="3" t="inlineStr"/>
      <c r="H17" s="3" t="inlineStr">
        <is>
          <t>GALLERY</t>
        </is>
      </c>
      <c r="I17" s="3" t="inlineStr">
        <is>
          <t>DIRECT_IMAGE_VERIFICATION + R5_AUDIT</t>
        </is>
      </c>
      <c r="J17" s="3" t="inlineStr">
        <is>
          <t>2026-09-09T04:20:11.895007+07:00</t>
        </is>
      </c>
      <c r="K17" s="3" t="inlineStr">
        <is>
          <t>Bedroom mockup of dark God Is Within Her bedding with Olivia name, gold florals, butterflies and Psalm 46:5 text.</t>
        </is>
      </c>
      <c r="L17" s="3" t="inlineStr">
        <is>
          <t>Bedroom mockup of dark God Is Within Her bedding with Olivia name, gold florals, butterflies and Psalm 46:5 text.</t>
        </is>
      </c>
      <c r="M17" s="3" t="inlineStr">
        <is>
          <t>SET</t>
        </is>
      </c>
      <c r="N17" s="3" t="inlineStr">
        <is>
          <t>Dark God Is Within Her bedding with Olivia name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3" t="inlineStr">
        <is>
          <t>FULL</t>
        </is>
      </c>
      <c r="S17" s="7">
        <f>IF(O17="FULL",40,IF(O17="PARTIAL",40/2,0))+IF(P17="FULL",30,IF(P17="PARTIAL",30/2,0))+IF(Q17="FULL",20,IF(Q17="PARTIAL",20/2,0))+IF(R17="FULL",10,IF(R17="PARTIAL",10/2,0))</f>
        <v/>
      </c>
      <c r="T17" s="7">
        <f>IF(O17="NOT_CHECKED",0,40)+IF(P17="NOT_CHECKED",0,30)+IF(Q17="NOT_CHECKED",0,20)+IF(R17="NOT_CHECKED",0,10)</f>
        <v/>
      </c>
      <c r="U17" s="7">
        <f>IF(T17=100,S17,"")</f>
        <v/>
      </c>
      <c r="V17" s="7">
        <f>S17</f>
        <v/>
      </c>
      <c r="W17" s="7">
        <f>S17+(100-T17)</f>
        <v/>
      </c>
      <c r="X17" s="3" t="inlineStr">
        <is>
          <t>[]</t>
        </is>
      </c>
      <c r="Y17" s="3" t="inlineStr">
        <is>
          <t>["seo_runs/jeminise.com/20260906_234129/qa/20260909_042000/images/013_01.jpg", "https://jeminise.com/products/christian-bedding-set-inspirational-bible-verse-comforte-design-04", "https://cdn.shopify.com/s/files/1/0792/5098/1063/files/14ca1683130f1520ade50aa0650701fd1150fe4d09f367ab221b63a53783709e.jpg?v=1787237794"]</t>
        </is>
      </c>
    </row>
    <row r="18" ht="66" customHeight="1">
      <c r="A18" s="2" t="inlineStr">
        <is>
          <t>jeminise.com+christian-bedding-set-inspirational-bible-verse-comforte-design-04</t>
        </is>
      </c>
      <c r="B18" s="2" t="inlineStr">
        <is>
          <t>qaimg_968dec4fd615f426</t>
        </is>
      </c>
      <c r="C18" s="4" t="inlineStr">
        <is>
          <t>https://cdn.shopify.com/s/files/1/0792/5098/1063/files/1892152d87d62b43a0e3a2b26a3397d09584e40f761ce2e9fd4940acfae699dc.jpg?v=1787237794</t>
        </is>
      </c>
      <c r="D18" s="4" t="inlineStr">
        <is>
          <t>https://cdn.shopify.com/s/files/1/0792/5098/1063/files/1892152d87d62b43a0e3a2b26a3397d09584e40f761ce2e9fd4940acfae699dc.jpg?v=1787237794</t>
        </is>
      </c>
      <c r="E18" s="2" t="inlineStr">
        <is>
          <t>47933849862343</t>
        </is>
      </c>
      <c r="F18" s="2" t="inlineStr">
        <is>
          <t>47933849862343</t>
        </is>
      </c>
      <c r="G18" s="2" t="inlineStr"/>
      <c r="H18" s="2" t="inlineStr">
        <is>
          <t>GALLERY</t>
        </is>
      </c>
      <c r="I18" s="2" t="inlineStr">
        <is>
          <t>DIRECT_IMAGE_VERIFICATION + R5_AUDIT</t>
        </is>
      </c>
      <c r="J18" s="2" t="inlineStr">
        <is>
          <t>2026-09-09T04:20:11.895007+07:00</t>
        </is>
      </c>
      <c r="K18" s="2" t="inlineStr">
        <is>
          <t>Angled room mockup showing Olivia pillowcases, gold floral divider, butterflies and affirmation blocks.</t>
        </is>
      </c>
      <c r="L18" s="2" t="inlineStr">
        <is>
          <t>Angled room mockup showing Olivia pillowcases, gold floral divider, butterflies and affirmation blocks.</t>
        </is>
      </c>
      <c r="M18" s="2" t="inlineStr">
        <is>
          <t>SET</t>
        </is>
      </c>
      <c r="N18" s="2" t="inlineStr">
        <is>
          <t>God Is Within Her Christian bedding room mockup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inlineStr">
        <is>
          <t>FULL</t>
        </is>
      </c>
      <c r="S18" s="5">
        <f>IF(O18="FULL",40,IF(O18="PARTIAL",40/2,0))+IF(P18="FULL",30,IF(P18="PARTIAL",30/2,0))+IF(Q18="FULL",20,IF(Q18="PARTIAL",20/2,0))+IF(R18="FULL",10,IF(R18="PARTIAL",10/2,0))</f>
        <v/>
      </c>
      <c r="T18" s="5">
        <f>IF(O18="NOT_CHECKED",0,40)+IF(P18="NOT_CHECKED",0,30)+IF(Q18="NOT_CHECKED",0,20)+IF(R18="NOT_CHECKED",0,10)</f>
        <v/>
      </c>
      <c r="U18" s="5">
        <f>IF(T18=100,S18,"")</f>
        <v/>
      </c>
      <c r="V18" s="5">
        <f>S18</f>
        <v/>
      </c>
      <c r="W18" s="5">
        <f>S18+(100-T18)</f>
        <v/>
      </c>
      <c r="X18" s="2" t="inlineStr">
        <is>
          <t>[]</t>
        </is>
      </c>
      <c r="Y18" s="2" t="inlineStr">
        <is>
          <t>["seo_runs/jeminise.com/20260906_234129/qa/20260909_042000/images/013_02.jpg", "https://jeminise.com/products/christian-bedding-set-inspirational-bible-verse-comforte-design-04", "https://cdn.shopify.com/s/files/1/0792/5098/1063/files/1892152d87d62b43a0e3a2b26a3397d09584e40f761ce2e9fd4940acfae699dc.jpg?v=1787237794"]</t>
        </is>
      </c>
    </row>
    <row r="19" ht="66" customHeight="1">
      <c r="A19" s="3" t="inlineStr">
        <is>
          <t>jeminise.com+christian-bedding-set-inspirational-bible-verse-comforte-design-04</t>
        </is>
      </c>
      <c r="B19" s="3" t="inlineStr">
        <is>
          <t>qaimg_a6d3df0e47c5b795</t>
        </is>
      </c>
      <c r="C19" s="4" t="inlineStr">
        <is>
          <t>https://cdn.shopify.com/s/files/1/0792/5098/1063/files/50f96559dd878ae5bbee14ba7a34337ccd740d21a8ffe86a8a1be819656d26c0_06b27f7a-14c6-4267-b5df-12ac25afd52c.jpg?v=1787237794</t>
        </is>
      </c>
      <c r="D19" s="4" t="inlineStr">
        <is>
          <t>https://cdn.shopify.com/s/files/1/0792/5098/1063/files/50f96559dd878ae5bbee14ba7a34337ccd740d21a8ffe86a8a1be819656d26c0_06b27f7a-14c6-4267-b5df-12ac25afd52c.jpg?v=1787237794</t>
        </is>
      </c>
      <c r="E19" s="3" t="inlineStr">
        <is>
          <t>47933849895111</t>
        </is>
      </c>
      <c r="F19" s="3" t="inlineStr">
        <is>
          <t>47933849895111</t>
        </is>
      </c>
      <c r="G19" s="3" t="inlineStr"/>
      <c r="H19" s="3" t="inlineStr">
        <is>
          <t>GALLERY</t>
        </is>
      </c>
      <c r="I19" s="3" t="inlineStr">
        <is>
          <t>DIRECT_IMAGE_VERIFICATION + R5_AUDIT</t>
        </is>
      </c>
      <c r="J19" s="3" t="inlineStr">
        <is>
          <t>2026-09-09T04:20:11.895007+07:00</t>
        </is>
      </c>
      <c r="K19" s="3" t="inlineStr">
        <is>
          <t>Product type comparison panel showing duvet cover set and comforter set options for all-season use.</t>
        </is>
      </c>
      <c r="L19" s="3" t="inlineStr">
        <is>
          <t>Product type comparison panel showing duvet cover set and comforter set options for all-season use.</t>
        </is>
      </c>
      <c r="M19" s="3" t="inlineStr">
        <is>
          <t>SET</t>
        </is>
      </c>
      <c r="N19" s="3" t="inlineStr">
        <is>
          <t>God Is Within Her duvet and comforter options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3" t="inlineStr">
        <is>
          <t>FULL</t>
        </is>
      </c>
      <c r="S19" s="7">
        <f>IF(O19="FULL",40,IF(O19="PARTIAL",40/2,0))+IF(P19="FULL",30,IF(P19="PARTIAL",30/2,0))+IF(Q19="FULL",20,IF(Q19="PARTIAL",20/2,0))+IF(R19="FULL",10,IF(R19="PARTIAL",10/2,0))</f>
        <v/>
      </c>
      <c r="T19" s="7">
        <f>IF(O19="NOT_CHECKED",0,40)+IF(P19="NOT_CHECKED",0,30)+IF(Q19="NOT_CHECKED",0,20)+IF(R19="NOT_CHECKED",0,10)</f>
        <v/>
      </c>
      <c r="U19" s="7">
        <f>IF(T19=100,S19,"")</f>
        <v/>
      </c>
      <c r="V19" s="7">
        <f>S19</f>
        <v/>
      </c>
      <c r="W19" s="7">
        <f>S19+(100-T19)</f>
        <v/>
      </c>
      <c r="X19" s="3" t="inlineStr">
        <is>
          <t>[]</t>
        </is>
      </c>
      <c r="Y19" s="3" t="inlineStr">
        <is>
          <t>["seo_runs/jeminise.com/20260906_234129/qa/20260909_042000/images/013_03.jpg", "https://jeminise.com/products/christian-bedding-set-inspirational-bible-verse-comforte-design-04", "https://cdn.shopify.com/s/files/1/0792/5098/1063/files/50f96559dd878ae5bbee14ba7a34337ccd740d21a8ffe86a8a1be819656d26c0_06b27f7a-14c6-4267-b5df-12ac25afd52c.jpg?v=1787237794"]</t>
        </is>
      </c>
    </row>
    <row r="20" ht="66" customHeight="1">
      <c r="A20" s="2" t="inlineStr">
        <is>
          <t>jeminise.com+christian-bedding-set-inspirational-bible-verse-comforte-design-04</t>
        </is>
      </c>
      <c r="B20" s="2" t="inlineStr">
        <is>
          <t>qaimg_ab2bce2736a3e8e1</t>
        </is>
      </c>
      <c r="C20" s="4" t="inlineStr">
        <is>
          <t>https://cdn.shopify.com/s/files/1/0792/5098/1063/files/7da6a24b7604ad0ef3673f41696bea7a0fccfe1eb412a1cda572ca856ef48593.jpg?v=1787237794</t>
        </is>
      </c>
      <c r="D20" s="4" t="inlineStr">
        <is>
          <t>https://cdn.shopify.com/s/files/1/0792/5098/1063/files/7da6a24b7604ad0ef3673f41696bea7a0fccfe1eb412a1cda572ca856ef48593.jpg?v=1787237794</t>
        </is>
      </c>
      <c r="E20" s="2" t="inlineStr">
        <is>
          <t>47933849927879</t>
        </is>
      </c>
      <c r="F20" s="2" t="inlineStr">
        <is>
          <t>47933849927879</t>
        </is>
      </c>
      <c r="G20" s="2" t="inlineStr"/>
      <c r="H20" s="2" t="inlineStr">
        <is>
          <t>GALLERY</t>
        </is>
      </c>
      <c r="I20" s="2" t="inlineStr">
        <is>
          <t>DIRECT_IMAGE_VERIFICATION + R5_AUDIT</t>
        </is>
      </c>
      <c r="J20" s="2" t="inlineStr">
        <is>
          <t>2026-09-09T04:20:11.895007+07:00</t>
        </is>
      </c>
      <c r="K20" s="2" t="inlineStr">
        <is>
          <t>Feature panel with microfiber callout, 3D printed pattern close-ups, soft filling and lightweight breathable notes.</t>
        </is>
      </c>
      <c r="L20" s="2" t="inlineStr">
        <is>
          <t>Feature panel with microfiber callout, 3D printed pattern close-ups, soft filling and lightweight breathable notes.</t>
        </is>
      </c>
      <c r="M20" s="2" t="inlineStr">
        <is>
          <t>SET</t>
        </is>
      </c>
      <c r="N20" s="2" t="inlineStr">
        <is>
          <t>God Is Within Her microfiber feature panel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inlineStr">
        <is>
          <t>FULL</t>
        </is>
      </c>
      <c r="S20" s="5">
        <f>IF(O20="FULL",40,IF(O20="PARTIAL",40/2,0))+IF(P20="FULL",30,IF(P20="PARTIAL",30/2,0))+IF(Q20="FULL",20,IF(Q20="PARTIAL",20/2,0))+IF(R20="FULL",10,IF(R20="PARTIAL",10/2,0))</f>
        <v/>
      </c>
      <c r="T20" s="5">
        <f>IF(O20="NOT_CHECKED",0,40)+IF(P20="NOT_CHECKED",0,30)+IF(Q20="NOT_CHECKED",0,20)+IF(R20="NOT_CHECKED",0,10)</f>
        <v/>
      </c>
      <c r="U20" s="5">
        <f>IF(T20=100,S20,"")</f>
        <v/>
      </c>
      <c r="V20" s="5">
        <f>S20</f>
        <v/>
      </c>
      <c r="W20" s="5">
        <f>S20+(100-T20)</f>
        <v/>
      </c>
      <c r="X20" s="2" t="inlineStr">
        <is>
          <t>[]</t>
        </is>
      </c>
      <c r="Y20" s="2" t="inlineStr">
        <is>
          <t>["seo_runs/jeminise.com/20260906_234129/qa/20260909_042000/images/013_04.jpg", "https://jeminise.com/products/christian-bedding-set-inspirational-bible-verse-comforte-design-04", "https://cdn.shopify.com/s/files/1/0792/5098/1063/files/7da6a24b7604ad0ef3673f41696bea7a0fccfe1eb412a1cda572ca856ef48593.jpg?v=1787237794"]</t>
        </is>
      </c>
    </row>
    <row r="21" ht="66" customHeight="1">
      <c r="A21" s="3" t="inlineStr">
        <is>
          <t>jeminise.com+christian-bedding-set-inspirational-bible-verse-comforte-design-04</t>
        </is>
      </c>
      <c r="B21" s="3" t="inlineStr">
        <is>
          <t>qaimg_07f7dd0a59d6a67e</t>
        </is>
      </c>
      <c r="C21" s="4" t="inlineStr">
        <is>
          <t>https://cdn.shopify.com/s/files/1/0792/5098/1063/files/226b0655da5d59ac974c47bf8332fcc934206146b46faa31fb8bab794613c1f0.jpg?v=1787237794</t>
        </is>
      </c>
      <c r="D21" s="4" t="inlineStr">
        <is>
          <t>https://cdn.shopify.com/s/files/1/0792/5098/1063/files/226b0655da5d59ac974c47bf8332fcc934206146b46faa31fb8bab794613c1f0.jpg?v=1787237794</t>
        </is>
      </c>
      <c r="E21" s="3" t="inlineStr">
        <is>
          <t>47933849960647</t>
        </is>
      </c>
      <c r="F21" s="3" t="inlineStr">
        <is>
          <t>47933849960647</t>
        </is>
      </c>
      <c r="G21" s="3" t="inlineStr"/>
      <c r="H21" s="3" t="inlineStr">
        <is>
          <t>GALLERY</t>
        </is>
      </c>
      <c r="I21" s="3" t="inlineStr">
        <is>
          <t>DIRECT_IMAGE_VERIFICATION + R5_AUDIT</t>
        </is>
      </c>
      <c r="J21" s="3" t="inlineStr">
        <is>
          <t>2026-09-09T04:20:11.895007+07:00</t>
        </is>
      </c>
      <c r="K21" s="3" t="inlineStr">
        <is>
          <t>Close bedroom view showing dark gold God Is Within Her bedding with soft, lightweight, durable and breathable icons.</t>
        </is>
      </c>
      <c r="L21" s="3" t="inlineStr">
        <is>
          <t>Close bedroom view showing dark gold God Is Within Her bedding with soft, lightweight, durable and breathable icons.</t>
        </is>
      </c>
      <c r="M21" s="3" t="inlineStr">
        <is>
          <t>SET</t>
        </is>
      </c>
      <c r="N21" s="3" t="inlineStr">
        <is>
          <t>God Is Within Her bedding feature icons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3" t="inlineStr">
        <is>
          <t>FULL</t>
        </is>
      </c>
      <c r="S21" s="7">
        <f>IF(O21="FULL",40,IF(O21="PARTIAL",40/2,0))+IF(P21="FULL",30,IF(P21="PARTIAL",30/2,0))+IF(Q21="FULL",20,IF(Q21="PARTIAL",20/2,0))+IF(R21="FULL",10,IF(R21="PARTIAL",10/2,0))</f>
        <v/>
      </c>
      <c r="T21" s="7">
        <f>IF(O21="NOT_CHECKED",0,40)+IF(P21="NOT_CHECKED",0,30)+IF(Q21="NOT_CHECKED",0,20)+IF(R21="NOT_CHECKED",0,10)</f>
        <v/>
      </c>
      <c r="U21" s="7">
        <f>IF(T21=100,S21,"")</f>
        <v/>
      </c>
      <c r="V21" s="7">
        <f>S21</f>
        <v/>
      </c>
      <c r="W21" s="7">
        <f>S21+(100-T21)</f>
        <v/>
      </c>
      <c r="X21" s="3" t="inlineStr">
        <is>
          <t>[]</t>
        </is>
      </c>
      <c r="Y21" s="3" t="inlineStr">
        <is>
          <t>["seo_runs/jeminise.com/20260906_234129/qa/20260909_042000/images/013_05.jpg", "https://jeminise.com/products/christian-bedding-set-inspirational-bible-verse-comforte-design-04", "https://cdn.shopify.com/s/files/1/0792/5098/1063/files/226b0655da5d59ac974c47bf8332fcc934206146b46faa31fb8bab794613c1f0.jpg?v=1787237794"]</t>
        </is>
      </c>
    </row>
    <row r="22" ht="66" customHeight="1">
      <c r="A22" s="2" t="inlineStr">
        <is>
          <t>jeminise.com+christian-bedding-set-inspirational-bible-verse-comforte-design-04</t>
        </is>
      </c>
      <c r="B22" s="2" t="inlineStr">
        <is>
          <t>qaimg_c95689a978dc7eb5</t>
        </is>
      </c>
      <c r="C22" s="4" t="inlineStr">
        <is>
          <t>https://cdn.shopify.com/s/files/1/0792/5098/1063/files/0e22a9fec09643a714af054217066178d4f7bc4d6266b6d2ff5c33c09cc10e88_2cef02df-e481-4c1b-91ca-baace2312c0a.jpg?v=1787237794</t>
        </is>
      </c>
      <c r="D22" s="4" t="inlineStr">
        <is>
          <t>https://cdn.shopify.com/s/files/1/0792/5098/1063/files/0e22a9fec09643a714af054217066178d4f7bc4d6266b6d2ff5c33c09cc10e88_2cef02df-e481-4c1b-91ca-baace2312c0a.jpg?v=1787237794</t>
        </is>
      </c>
      <c r="E22" s="2" t="inlineStr">
        <is>
          <t>47933849993415</t>
        </is>
      </c>
      <c r="F22" s="2" t="inlineStr">
        <is>
          <t>47933849993415</t>
        </is>
      </c>
      <c r="G22" s="2" t="inlineStr"/>
      <c r="H22" s="2" t="inlineStr">
        <is>
          <t>GALLERY</t>
        </is>
      </c>
      <c r="I22" s="2" t="inlineStr">
        <is>
          <t>DIRECT_IMAGE_VERIFICATION + R5_AUDIT</t>
        </is>
      </c>
      <c r="J22" s="2" t="inlineStr">
        <is>
          <t>2026-09-09T04:20:11.895007+07:00</t>
        </is>
      </c>
      <c r="K22" s="2" t="inlineStr">
        <is>
          <t>Stress-free easy care panel listing wrinkle-free, stain-proof, anti-pilling and wash-fade notes.</t>
        </is>
      </c>
      <c r="L22" s="2" t="inlineStr">
        <is>
          <t>Stress-free easy care panel listing wrinkle-free, stain-proof, anti-pilling and wash-fade notes.</t>
        </is>
      </c>
      <c r="M22" s="2" t="inlineStr">
        <is>
          <t>SET</t>
        </is>
      </c>
      <c r="N22" s="2" t="inlineStr">
        <is>
          <t>God Is Within Her easy care feature panel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inlineStr">
        <is>
          <t>FULL</t>
        </is>
      </c>
      <c r="S22" s="5">
        <f>IF(O22="FULL",40,IF(O22="PARTIAL",40/2,0))+IF(P22="FULL",30,IF(P22="PARTIAL",30/2,0))+IF(Q22="FULL",20,IF(Q22="PARTIAL",20/2,0))+IF(R22="FULL",10,IF(R22="PARTIAL",10/2,0))</f>
        <v/>
      </c>
      <c r="T22" s="5">
        <f>IF(O22="NOT_CHECKED",0,40)+IF(P22="NOT_CHECKED",0,30)+IF(Q22="NOT_CHECKED",0,20)+IF(R22="NOT_CHECKED",0,10)</f>
        <v/>
      </c>
      <c r="U22" s="5">
        <f>IF(T22=100,S22,"")</f>
        <v/>
      </c>
      <c r="V22" s="5">
        <f>S22</f>
        <v/>
      </c>
      <c r="W22" s="5">
        <f>S22+(100-T22)</f>
        <v/>
      </c>
      <c r="X22" s="2" t="inlineStr">
        <is>
          <t>[]</t>
        </is>
      </c>
      <c r="Y22" s="2" t="inlineStr">
        <is>
          <t>["seo_runs/jeminise.com/20260906_234129/qa/20260909_042000/images/013_06.jpg", "https://jeminise.com/products/christian-bedding-set-inspirational-bible-verse-comforte-design-04", "https://cdn.shopify.com/s/files/1/0792/5098/1063/files/0e22a9fec09643a714af054217066178d4f7bc4d6266b6d2ff5c33c09cc10e88_2cef02df-e481-4c1b-91ca-baace2312c0a.jpg?v=1787237794"]</t>
        </is>
      </c>
    </row>
    <row r="23" ht="66" customHeight="1">
      <c r="A23" s="3" t="inlineStr">
        <is>
          <t>jeminise.com+christian-bedding-set-inspirational-bible-verse-comforte-design-04</t>
        </is>
      </c>
      <c r="B23" s="3" t="inlineStr">
        <is>
          <t>qaimg_bf69849eda59ee13</t>
        </is>
      </c>
      <c r="C23" s="4" t="inlineStr">
        <is>
          <t>https://cdn.shopify.com/s/files/1/0792/5098/1063/files/d6b8438a259ef28ba839a68ba108f40464bc9629b0bc2168779fc7776c9cbffa_5b109a66-32e6-4a36-bd31-f408dd22e6aa.jpg?v=1787237794</t>
        </is>
      </c>
      <c r="D23" s="4" t="inlineStr">
        <is>
          <t>https://cdn.shopify.com/s/files/1/0792/5098/1063/files/d6b8438a259ef28ba839a68ba108f40464bc9629b0bc2168779fc7776c9cbffa_5b109a66-32e6-4a36-bd31-f408dd22e6aa.jpg?v=1787237794</t>
        </is>
      </c>
      <c r="E23" s="3" t="inlineStr">
        <is>
          <t>47933850026183</t>
        </is>
      </c>
      <c r="F23" s="3" t="inlineStr">
        <is>
          <t>47933850026183</t>
        </is>
      </c>
      <c r="G23" s="3" t="inlineStr"/>
      <c r="H23" s="3" t="inlineStr">
        <is>
          <t>GALLERY</t>
        </is>
      </c>
      <c r="I23" s="3" t="inlineStr">
        <is>
          <t>DIRECT_IMAGE_VERIFICATION + R5_AUDIT</t>
        </is>
      </c>
      <c r="J23" s="3" t="inlineStr">
        <is>
          <t>2026-09-09T04:20:11.895007+07:00</t>
        </is>
      </c>
      <c r="K23" s="3" t="inlineStr">
        <is>
          <t>Size dimension panel showing Twin, Full, Queen and King bedding dimensions.</t>
        </is>
      </c>
      <c r="L23" s="3" t="inlineStr">
        <is>
          <t>Size dimension panel showing Twin, Full, Queen and King bedding dimensions.</t>
        </is>
      </c>
      <c r="M23" s="3" t="inlineStr">
        <is>
          <t>SET</t>
        </is>
      </c>
      <c r="N23" s="3" t="inlineStr">
        <is>
          <t>God Is Within Her bedding size chart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3" t="inlineStr">
        <is>
          <t>FULL</t>
        </is>
      </c>
      <c r="S23" s="7">
        <f>IF(O23="FULL",40,IF(O23="PARTIAL",40/2,0))+IF(P23="FULL",30,IF(P23="PARTIAL",30/2,0))+IF(Q23="FULL",20,IF(Q23="PARTIAL",20/2,0))+IF(R23="FULL",10,IF(R23="PARTIAL",10/2,0))</f>
        <v/>
      </c>
      <c r="T23" s="7">
        <f>IF(O23="NOT_CHECKED",0,40)+IF(P23="NOT_CHECKED",0,30)+IF(Q23="NOT_CHECKED",0,20)+IF(R23="NOT_CHECKED",0,10)</f>
        <v/>
      </c>
      <c r="U23" s="7">
        <f>IF(T23=100,S23,"")</f>
        <v/>
      </c>
      <c r="V23" s="7">
        <f>S23</f>
        <v/>
      </c>
      <c r="W23" s="7">
        <f>S23+(100-T23)</f>
        <v/>
      </c>
      <c r="X23" s="3" t="inlineStr">
        <is>
          <t>[]</t>
        </is>
      </c>
      <c r="Y23" s="3" t="inlineStr">
        <is>
          <t>["seo_runs/jeminise.com/20260906_234129/qa/20260909_042000/images/013_07.jpg", "https://jeminise.com/products/christian-bedding-set-inspirational-bible-verse-comforte-design-04", "https://cdn.shopify.com/s/files/1/0792/5098/1063/files/d6b8438a259ef28ba839a68ba108f40464bc9629b0bc2168779fc7776c9cbffa_5b109a66-32e6-4a36-bd31-f408dd22e6aa.jpg?v=1787237794"]</t>
        </is>
      </c>
    </row>
    <row r="24" ht="66" customHeight="1">
      <c r="A24" s="2" t="inlineStr">
        <is>
          <t>jeminise.com+christian-bedding-set-inspirational-bible-verse-comforte-design-05</t>
        </is>
      </c>
      <c r="B24" s="2" t="inlineStr">
        <is>
          <t>qaimg_aaf18f482cca5edf</t>
        </is>
      </c>
      <c r="C24" s="4" t="inlineStr">
        <is>
          <t>https://cdn.shopify.com/s/files/1/0792/5098/1063/files/8863051f9429c76751f57504cfec521d6b6841af138c38cf4dbf60905dcd8fd5.jpg?v=1787237801</t>
        </is>
      </c>
      <c r="D24" s="4" t="inlineStr">
        <is>
          <t>https://cdn.shopify.com/s/files/1/0792/5098/1063/files/8863051f9429c76751f57504cfec521d6b6841af138c38cf4dbf60905dcd8fd5.jpg?v=1787237801</t>
        </is>
      </c>
      <c r="E24" s="2" t="inlineStr">
        <is>
          <t>47933850812615</t>
        </is>
      </c>
      <c r="F24" s="2" t="inlineStr">
        <is>
          <t>47933850812615</t>
        </is>
      </c>
      <c r="G24" s="2" t="inlineStr"/>
      <c r="H24" s="2" t="inlineStr">
        <is>
          <t>GALLERY</t>
        </is>
      </c>
      <c r="I24" s="2" t="inlineStr">
        <is>
          <t>DIRECT_IMAGE_VERIFICATION + R5_AUDIT</t>
        </is>
      </c>
      <c r="J24" s="2" t="inlineStr">
        <is>
          <t>2026-09-09T04:20:11.895007+07:00</t>
        </is>
      </c>
      <c r="K24" s="2" t="inlineStr">
        <is>
          <t>Bedroom mockup of blue God Says I Am Christian bedding with Emily name, blue florals and Bible verse labels.</t>
        </is>
      </c>
      <c r="L24" s="2" t="inlineStr">
        <is>
          <t>Bedroom mockup of blue God Says I Am Christian bedding with Emily name, blue florals and Bible verse labels.</t>
        </is>
      </c>
      <c r="M24" s="2" t="inlineStr">
        <is>
          <t>SET</t>
        </is>
      </c>
      <c r="N24" s="2" t="inlineStr">
        <is>
          <t>Blue God Says I Am Christian bedding with Emily name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inlineStr">
        <is>
          <t>FULL</t>
        </is>
      </c>
      <c r="S24" s="5">
        <f>IF(O24="FULL",40,IF(O24="PARTIAL",40/2,0))+IF(P24="FULL",30,IF(P24="PARTIAL",30/2,0))+IF(Q24="FULL",20,IF(Q24="PARTIAL",20/2,0))+IF(R24="FULL",10,IF(R24="PARTIAL",10/2,0))</f>
        <v/>
      </c>
      <c r="T24" s="5">
        <f>IF(O24="NOT_CHECKED",0,40)+IF(P24="NOT_CHECKED",0,30)+IF(Q24="NOT_CHECKED",0,20)+IF(R24="NOT_CHECKED",0,10)</f>
        <v/>
      </c>
      <c r="U24" s="5">
        <f>IF(T24=100,S24,"")</f>
        <v/>
      </c>
      <c r="V24" s="5">
        <f>S24</f>
        <v/>
      </c>
      <c r="W24" s="5">
        <f>S24+(100-T24)</f>
        <v/>
      </c>
      <c r="X24" s="2" t="inlineStr">
        <is>
          <t>[]</t>
        </is>
      </c>
      <c r="Y24" s="2" t="inlineStr">
        <is>
          <t>["seo_runs/jeminise.com/20260906_234129/qa/20260909_042000/images/014_01.jpg", "https://jeminise.com/products/christian-bedding-set-inspirational-bible-verse-comforte-design-05", "https://cdn.shopify.com/s/files/1/0792/5098/1063/files/8863051f9429c76751f57504cfec521d6b6841af138c38cf4dbf60905dcd8fd5.jpg?v=1787237801"]</t>
        </is>
      </c>
    </row>
    <row r="25" ht="66" customHeight="1">
      <c r="A25" s="3" t="inlineStr">
        <is>
          <t>jeminise.com+christian-bedding-set-inspirational-bible-verse-comforte-design-05</t>
        </is>
      </c>
      <c r="B25" s="3" t="inlineStr">
        <is>
          <t>qaimg_16dfc2606217829c</t>
        </is>
      </c>
      <c r="C25" s="4" t="inlineStr">
        <is>
          <t>https://cdn.shopify.com/s/files/1/0792/5098/1063/files/b5194765e0cae48306ed2e7b908325a37d813710ea8355976fd4bdad98268bcf.jpg?v=1787237801</t>
        </is>
      </c>
      <c r="D25" s="4" t="inlineStr">
        <is>
          <t>https://cdn.shopify.com/s/files/1/0792/5098/1063/files/b5194765e0cae48306ed2e7b908325a37d813710ea8355976fd4bdad98268bcf.jpg?v=1787237801</t>
        </is>
      </c>
      <c r="E25" s="3" t="inlineStr">
        <is>
          <t>47933850845383</t>
        </is>
      </c>
      <c r="F25" s="3" t="inlineStr">
        <is>
          <t>47933850845383</t>
        </is>
      </c>
      <c r="G25" s="3" t="inlineStr"/>
      <c r="H25" s="3" t="inlineStr">
        <is>
          <t>GALLERY</t>
        </is>
      </c>
      <c r="I25" s="3" t="inlineStr">
        <is>
          <t>DIRECT_IMAGE_VERIFICATION + R5_AUDIT</t>
        </is>
      </c>
      <c r="J25" s="3" t="inlineStr">
        <is>
          <t>2026-09-09T04:20:11.895007+07:00</t>
        </is>
      </c>
      <c r="K25" s="3" t="inlineStr">
        <is>
          <t>Angled room mockup showing Emily pillowcases, blue affirmation blocks and floral border artwork.</t>
        </is>
      </c>
      <c r="L25" s="3" t="inlineStr">
        <is>
          <t>Angled room mockup showing Emily pillowcases, blue affirmation blocks and floral border artwork.</t>
        </is>
      </c>
      <c r="M25" s="3" t="inlineStr">
        <is>
          <t>SET</t>
        </is>
      </c>
      <c r="N25" s="3" t="inlineStr">
        <is>
          <t>Blue personalized God Says I Am bedding room mockup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3" t="inlineStr">
        <is>
          <t>FULL</t>
        </is>
      </c>
      <c r="S25" s="7">
        <f>IF(O25="FULL",40,IF(O25="PARTIAL",40/2,0))+IF(P25="FULL",30,IF(P25="PARTIAL",30/2,0))+IF(Q25="FULL",20,IF(Q25="PARTIAL",20/2,0))+IF(R25="FULL",10,IF(R25="PARTIAL",10/2,0))</f>
        <v/>
      </c>
      <c r="T25" s="7">
        <f>IF(O25="NOT_CHECKED",0,40)+IF(P25="NOT_CHECKED",0,30)+IF(Q25="NOT_CHECKED",0,20)+IF(R25="NOT_CHECKED",0,10)</f>
        <v/>
      </c>
      <c r="U25" s="7">
        <f>IF(T25=100,S25,"")</f>
        <v/>
      </c>
      <c r="V25" s="7">
        <f>S25</f>
        <v/>
      </c>
      <c r="W25" s="7">
        <f>S25+(100-T25)</f>
        <v/>
      </c>
      <c r="X25" s="3" t="inlineStr">
        <is>
          <t>[]</t>
        </is>
      </c>
      <c r="Y25" s="3" t="inlineStr">
        <is>
          <t>["seo_runs/jeminise.com/20260906_234129/qa/20260909_042000/images/014_02.jpg", "https://jeminise.com/products/christian-bedding-set-inspirational-bible-verse-comforte-design-05", "https://cdn.shopify.com/s/files/1/0792/5098/1063/files/b5194765e0cae48306ed2e7b908325a37d813710ea8355976fd4bdad98268bcf.jpg?v=1787237801"]</t>
        </is>
      </c>
    </row>
    <row r="26" ht="66" customHeight="1">
      <c r="A26" s="2" t="inlineStr">
        <is>
          <t>jeminise.com+christian-bedding-set-inspirational-bible-verse-comforte-design-05</t>
        </is>
      </c>
      <c r="B26" s="2" t="inlineStr">
        <is>
          <t>qaimg_bc6d1526b2534f74</t>
        </is>
      </c>
      <c r="C26" s="4" t="inlineStr">
        <is>
          <t>https://cdn.shopify.com/s/files/1/0792/5098/1063/files/50f96559dd878ae5bbee14ba7a34337ccd740d21a8ffe86a8a1be819656d26c0_32920277-9b92-44f8-8046-5ec5bbe0e622.jpg?v=1787237801</t>
        </is>
      </c>
      <c r="D26" s="4" t="inlineStr">
        <is>
          <t>https://cdn.shopify.com/s/files/1/0792/5098/1063/files/50f96559dd878ae5bbee14ba7a34337ccd740d21a8ffe86a8a1be819656d26c0_32920277-9b92-44f8-8046-5ec5bbe0e622.jpg?v=1787237801</t>
        </is>
      </c>
      <c r="E26" s="2" t="inlineStr">
        <is>
          <t>47933850878151</t>
        </is>
      </c>
      <c r="F26" s="2" t="inlineStr">
        <is>
          <t>47933850878151</t>
        </is>
      </c>
      <c r="G26" s="2" t="inlineStr"/>
      <c r="H26" s="2" t="inlineStr">
        <is>
          <t>GALLERY</t>
        </is>
      </c>
      <c r="I26" s="2" t="inlineStr">
        <is>
          <t>DIRECT_IMAGE_VERIFICATION + R5_AUDIT</t>
        </is>
      </c>
      <c r="J26" s="2" t="inlineStr">
        <is>
          <t>2026-09-09T04:20:11.895007+07:00</t>
        </is>
      </c>
      <c r="K26" s="2" t="inlineStr">
        <is>
          <t>Product type comparison panel showing duvet cover set and comforter set options for all-season use.</t>
        </is>
      </c>
      <c r="L26" s="2" t="inlineStr">
        <is>
          <t>Product type comparison panel showing duvet cover set and comforter set options for all-season use.</t>
        </is>
      </c>
      <c r="M26" s="2" t="inlineStr">
        <is>
          <t>SET</t>
        </is>
      </c>
      <c r="N26" s="2" t="inlineStr">
        <is>
          <t>Blue God Says I Am duvet and comforter options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inlineStr">
        <is>
          <t>FULL</t>
        </is>
      </c>
      <c r="S26" s="5">
        <f>IF(O26="FULL",40,IF(O26="PARTIAL",40/2,0))+IF(P26="FULL",30,IF(P26="PARTIAL",30/2,0))+IF(Q26="FULL",20,IF(Q26="PARTIAL",20/2,0))+IF(R26="FULL",10,IF(R26="PARTIAL",10/2,0))</f>
        <v/>
      </c>
      <c r="T26" s="5">
        <f>IF(O26="NOT_CHECKED",0,40)+IF(P26="NOT_CHECKED",0,30)+IF(Q26="NOT_CHECKED",0,20)+IF(R26="NOT_CHECKED",0,10)</f>
        <v/>
      </c>
      <c r="U26" s="5">
        <f>IF(T26=100,S26,"")</f>
        <v/>
      </c>
      <c r="V26" s="5">
        <f>S26</f>
        <v/>
      </c>
      <c r="W26" s="5">
        <f>S26+(100-T26)</f>
        <v/>
      </c>
      <c r="X26" s="2" t="inlineStr">
        <is>
          <t>[]</t>
        </is>
      </c>
      <c r="Y26" s="2" t="inlineStr">
        <is>
          <t>["seo_runs/jeminise.com/20260906_234129/qa/20260909_042000/images/014_03.jpg", "https://jeminise.com/products/christian-bedding-set-inspirational-bible-verse-comforte-design-05", "https://cdn.shopify.com/s/files/1/0792/5098/1063/files/50f96559dd878ae5bbee14ba7a34337ccd740d21a8ffe86a8a1be819656d26c0_32920277-9b92-44f8-8046-5ec5bbe0e622.jpg?v=1787237801"]</t>
        </is>
      </c>
    </row>
    <row r="27" ht="66" customHeight="1">
      <c r="A27" s="3" t="inlineStr">
        <is>
          <t>jeminise.com+christian-bedding-set-inspirational-bible-verse-comforte-design-05</t>
        </is>
      </c>
      <c r="B27" s="3" t="inlineStr">
        <is>
          <t>qaimg_f7d246eca83ea2cc</t>
        </is>
      </c>
      <c r="C27" s="4" t="inlineStr">
        <is>
          <t>https://cdn.shopify.com/s/files/1/0792/5098/1063/files/a3e33ead7835eefa65523c45bf48420d56f8ee5c29d0aa8d4a6fb0717bc0d53e.jpg?v=1787237801</t>
        </is>
      </c>
      <c r="D27" s="4" t="inlineStr">
        <is>
          <t>https://cdn.shopify.com/s/files/1/0792/5098/1063/files/a3e33ead7835eefa65523c45bf48420d56f8ee5c29d0aa8d4a6fb0717bc0d53e.jpg?v=1787237801</t>
        </is>
      </c>
      <c r="E27" s="3" t="inlineStr">
        <is>
          <t>47933850910919</t>
        </is>
      </c>
      <c r="F27" s="3" t="inlineStr">
        <is>
          <t>47933850910919</t>
        </is>
      </c>
      <c r="G27" s="3" t="inlineStr"/>
      <c r="H27" s="3" t="inlineStr">
        <is>
          <t>GALLERY</t>
        </is>
      </c>
      <c r="I27" s="3" t="inlineStr">
        <is>
          <t>DIRECT_IMAGE_VERIFICATION + R5_AUDIT</t>
        </is>
      </c>
      <c r="J27" s="3" t="inlineStr">
        <is>
          <t>2026-09-09T04:20:11.895007+07:00</t>
        </is>
      </c>
      <c r="K27" s="3" t="inlineStr">
        <is>
          <t>Feature panel with microfiber callout, 3D printed pattern close-ups, soft filling and lightweight breathable notes.</t>
        </is>
      </c>
      <c r="L27" s="3" t="inlineStr">
        <is>
          <t>Feature panel with microfiber callout, 3D printed pattern close-ups, soft filling and lightweight breathable notes.</t>
        </is>
      </c>
      <c r="M27" s="3" t="inlineStr">
        <is>
          <t>SET</t>
        </is>
      </c>
      <c r="N27" s="3" t="inlineStr">
        <is>
          <t>Blue God Says I Am microfiber feature panel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3" t="inlineStr">
        <is>
          <t>FULL</t>
        </is>
      </c>
      <c r="S27" s="7">
        <f>IF(O27="FULL",40,IF(O27="PARTIAL",40/2,0))+IF(P27="FULL",30,IF(P27="PARTIAL",30/2,0))+IF(Q27="FULL",20,IF(Q27="PARTIAL",20/2,0))+IF(R27="FULL",10,IF(R27="PARTIAL",10/2,0))</f>
        <v/>
      </c>
      <c r="T27" s="7">
        <f>IF(O27="NOT_CHECKED",0,40)+IF(P27="NOT_CHECKED",0,30)+IF(Q27="NOT_CHECKED",0,20)+IF(R27="NOT_CHECKED",0,10)</f>
        <v/>
      </c>
      <c r="U27" s="7">
        <f>IF(T27=100,S27,"")</f>
        <v/>
      </c>
      <c r="V27" s="7">
        <f>S27</f>
        <v/>
      </c>
      <c r="W27" s="7">
        <f>S27+(100-T27)</f>
        <v/>
      </c>
      <c r="X27" s="3" t="inlineStr">
        <is>
          <t>[]</t>
        </is>
      </c>
      <c r="Y27" s="3" t="inlineStr">
        <is>
          <t>["seo_runs/jeminise.com/20260906_234129/qa/20260909_042000/images/014_04.jpg", "https://jeminise.com/products/christian-bedding-set-inspirational-bible-verse-comforte-design-05", "https://cdn.shopify.com/s/files/1/0792/5098/1063/files/a3e33ead7835eefa65523c45bf48420d56f8ee5c29d0aa8d4a6fb0717bc0d53e.jpg?v=1787237801"]</t>
        </is>
      </c>
    </row>
    <row r="28" ht="66" customHeight="1">
      <c r="A28" s="2" t="inlineStr">
        <is>
          <t>jeminise.com+christian-bedding-set-inspirational-bible-verse-comforte-design-05</t>
        </is>
      </c>
      <c r="B28" s="2" t="inlineStr">
        <is>
          <t>qaimg_67fa0f472d1b8177</t>
        </is>
      </c>
      <c r="C28" s="4" t="inlineStr">
        <is>
          <t>https://cdn.shopify.com/s/files/1/0792/5098/1063/files/c90ac7079a8d005c71bbed0da31d73d3243eb764fe402b271b85e05efec937b6.jpg?v=1787237801</t>
        </is>
      </c>
      <c r="D28" s="4" t="inlineStr">
        <is>
          <t>https://cdn.shopify.com/s/files/1/0792/5098/1063/files/c90ac7079a8d005c71bbed0da31d73d3243eb764fe402b271b85e05efec937b6.jpg?v=1787237801</t>
        </is>
      </c>
      <c r="E28" s="2" t="inlineStr">
        <is>
          <t>47933850943687</t>
        </is>
      </c>
      <c r="F28" s="2" t="inlineStr">
        <is>
          <t>47933850943687</t>
        </is>
      </c>
      <c r="G28" s="2" t="inlineStr"/>
      <c r="H28" s="2" t="inlineStr">
        <is>
          <t>GALLERY</t>
        </is>
      </c>
      <c r="I28" s="2" t="inlineStr">
        <is>
          <t>DIRECT_IMAGE_VERIFICATION + R5_AUDIT</t>
        </is>
      </c>
      <c r="J28" s="2" t="inlineStr">
        <is>
          <t>2026-09-09T04:20:11.895007+07:00</t>
        </is>
      </c>
      <c r="K28" s="2" t="inlineStr">
        <is>
          <t>Close bedroom view showing blue Christian bedding with soft, lightweight, durable and breathable icons.</t>
        </is>
      </c>
      <c r="L28" s="2" t="inlineStr">
        <is>
          <t>Close bedroom view showing blue Christian bedding with soft, lightweight, durable and breathable icons.</t>
        </is>
      </c>
      <c r="M28" s="2" t="inlineStr">
        <is>
          <t>SET</t>
        </is>
      </c>
      <c r="N28" s="2" t="inlineStr">
        <is>
          <t>Blue God Says I Am bedding feature icons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inlineStr">
        <is>
          <t>FULL</t>
        </is>
      </c>
      <c r="S28" s="5">
        <f>IF(O28="FULL",40,IF(O28="PARTIAL",40/2,0))+IF(P28="FULL",30,IF(P28="PARTIAL",30/2,0))+IF(Q28="FULL",20,IF(Q28="PARTIAL",20/2,0))+IF(R28="FULL",10,IF(R28="PARTIAL",10/2,0))</f>
        <v/>
      </c>
      <c r="T28" s="5">
        <f>IF(O28="NOT_CHECKED",0,40)+IF(P28="NOT_CHECKED",0,30)+IF(Q28="NOT_CHECKED",0,20)+IF(R28="NOT_CHECKED",0,10)</f>
        <v/>
      </c>
      <c r="U28" s="5">
        <f>IF(T28=100,S28,"")</f>
        <v/>
      </c>
      <c r="V28" s="5">
        <f>S28</f>
        <v/>
      </c>
      <c r="W28" s="5">
        <f>S28+(100-T28)</f>
        <v/>
      </c>
      <c r="X28" s="2" t="inlineStr">
        <is>
          <t>[]</t>
        </is>
      </c>
      <c r="Y28" s="2" t="inlineStr">
        <is>
          <t>["seo_runs/jeminise.com/20260906_234129/qa/20260909_042000/images/014_05.jpg", "https://jeminise.com/products/christian-bedding-set-inspirational-bible-verse-comforte-design-05", "https://cdn.shopify.com/s/files/1/0792/5098/1063/files/c90ac7079a8d005c71bbed0da31d73d3243eb764fe402b271b85e05efec937b6.jpg?v=1787237801"]</t>
        </is>
      </c>
    </row>
    <row r="29" ht="66" customHeight="1">
      <c r="A29" s="3" t="inlineStr">
        <is>
          <t>jeminise.com+christian-bedding-set-inspirational-bible-verse-comforte-design-05</t>
        </is>
      </c>
      <c r="B29" s="3" t="inlineStr">
        <is>
          <t>qaimg_ea4541fdca00e820</t>
        </is>
      </c>
      <c r="C29" s="4" t="inlineStr">
        <is>
          <t>https://cdn.shopify.com/s/files/1/0792/5098/1063/files/0e22a9fec09643a714af054217066178d4f7bc4d6266b6d2ff5c33c09cc10e88_37f50064-c16f-4107-bf6d-b3b50080fc75.jpg?v=1787237802</t>
        </is>
      </c>
      <c r="D29" s="4" t="inlineStr">
        <is>
          <t>https://cdn.shopify.com/s/files/1/0792/5098/1063/files/0e22a9fec09643a714af054217066178d4f7bc4d6266b6d2ff5c33c09cc10e88_37f50064-c16f-4107-bf6d-b3b50080fc75.jpg?v=1787237802</t>
        </is>
      </c>
      <c r="E29" s="3" t="inlineStr">
        <is>
          <t>47933850976455</t>
        </is>
      </c>
      <c r="F29" s="3" t="inlineStr">
        <is>
          <t>47933850976455</t>
        </is>
      </c>
      <c r="G29" s="3" t="inlineStr"/>
      <c r="H29" s="3" t="inlineStr">
        <is>
          <t>GALLERY</t>
        </is>
      </c>
      <c r="I29" s="3" t="inlineStr">
        <is>
          <t>DIRECT_IMAGE_VERIFICATION + R5_AUDIT</t>
        </is>
      </c>
      <c r="J29" s="3" t="inlineStr">
        <is>
          <t>2026-09-09T04:20:11.895007+07:00</t>
        </is>
      </c>
      <c r="K29" s="3" t="inlineStr">
        <is>
          <t>Stress-free easy care panel listing wrinkle-free, stain-proof, anti-pilling and wash-fade notes.</t>
        </is>
      </c>
      <c r="L29" s="3" t="inlineStr">
        <is>
          <t>Stress-free easy care panel listing wrinkle-free, stain-proof, anti-pilling and wash-fade notes.</t>
        </is>
      </c>
      <c r="M29" s="3" t="inlineStr">
        <is>
          <t>SET</t>
        </is>
      </c>
      <c r="N29" s="3" t="inlineStr">
        <is>
          <t>Blue God Says I Am easy care feature panel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3" t="inlineStr">
        <is>
          <t>FULL</t>
        </is>
      </c>
      <c r="S29" s="7">
        <f>IF(O29="FULL",40,IF(O29="PARTIAL",40/2,0))+IF(P29="FULL",30,IF(P29="PARTIAL",30/2,0))+IF(Q29="FULL",20,IF(Q29="PARTIAL",20/2,0))+IF(R29="FULL",10,IF(R29="PARTIAL",10/2,0))</f>
        <v/>
      </c>
      <c r="T29" s="7">
        <f>IF(O29="NOT_CHECKED",0,40)+IF(P29="NOT_CHECKED",0,30)+IF(Q29="NOT_CHECKED",0,20)+IF(R29="NOT_CHECKED",0,10)</f>
        <v/>
      </c>
      <c r="U29" s="7">
        <f>IF(T29=100,S29,"")</f>
        <v/>
      </c>
      <c r="V29" s="7">
        <f>S29</f>
        <v/>
      </c>
      <c r="W29" s="7">
        <f>S29+(100-T29)</f>
        <v/>
      </c>
      <c r="X29" s="3" t="inlineStr">
        <is>
          <t>[]</t>
        </is>
      </c>
      <c r="Y29" s="3" t="inlineStr">
        <is>
          <t>["seo_runs/jeminise.com/20260906_234129/qa/20260909_042000/images/014_06.jpg", "https://jeminise.com/products/christian-bedding-set-inspirational-bible-verse-comforte-design-05", "https://cdn.shopify.com/s/files/1/0792/5098/1063/files/0e22a9fec09643a714af054217066178d4f7bc4d6266b6d2ff5c33c09cc10e88_37f50064-c16f-4107-bf6d-b3b50080fc75.jpg?v=1787237802"]</t>
        </is>
      </c>
    </row>
    <row r="30" ht="66" customHeight="1">
      <c r="A30" s="2" t="inlineStr">
        <is>
          <t>jeminise.com+christian-bedding-set-inspirational-bible-verse-comforte-design-05</t>
        </is>
      </c>
      <c r="B30" s="2" t="inlineStr">
        <is>
          <t>qaimg_5fb9fd52ffff0cd7</t>
        </is>
      </c>
      <c r="C30" s="4" t="inlineStr">
        <is>
          <t>https://cdn.shopify.com/s/files/1/0792/5098/1063/files/d6b8438a259ef28ba839a68ba108f40464bc9629b0bc2168779fc7776c9cbffa_fb8b4e17-519d-4d0c-b0e5-03dce3811442.jpg?v=1787237801</t>
        </is>
      </c>
      <c r="D30" s="4" t="inlineStr">
        <is>
          <t>https://cdn.shopify.com/s/files/1/0792/5098/1063/files/d6b8438a259ef28ba839a68ba108f40464bc9629b0bc2168779fc7776c9cbffa_fb8b4e17-519d-4d0c-b0e5-03dce3811442.jpg?v=1787237801</t>
        </is>
      </c>
      <c r="E30" s="2" t="inlineStr">
        <is>
          <t>47933851009223</t>
        </is>
      </c>
      <c r="F30" s="2" t="inlineStr">
        <is>
          <t>47933851009223</t>
        </is>
      </c>
      <c r="G30" s="2" t="inlineStr"/>
      <c r="H30" s="2" t="inlineStr">
        <is>
          <t>GALLERY</t>
        </is>
      </c>
      <c r="I30" s="2" t="inlineStr">
        <is>
          <t>DIRECT_IMAGE_VERIFICATION + R5_AUDIT</t>
        </is>
      </c>
      <c r="J30" s="2" t="inlineStr">
        <is>
          <t>2026-09-09T04:20:11.895007+07:00</t>
        </is>
      </c>
      <c r="K30" s="2" t="inlineStr">
        <is>
          <t>Size dimension panel showing Twin, Full, Queen and King bedding dimensions.</t>
        </is>
      </c>
      <c r="L30" s="2" t="inlineStr">
        <is>
          <t>Size dimension panel showing Twin, Full, Queen and King bedding dimensions.</t>
        </is>
      </c>
      <c r="M30" s="2" t="inlineStr">
        <is>
          <t>SET</t>
        </is>
      </c>
      <c r="N30" s="2" t="inlineStr">
        <is>
          <t>Blue God Says I Am bedding size chart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inlineStr">
        <is>
          <t>FULL</t>
        </is>
      </c>
      <c r="S30" s="5">
        <f>IF(O30="FULL",40,IF(O30="PARTIAL",40/2,0))+IF(P30="FULL",30,IF(P30="PARTIAL",30/2,0))+IF(Q30="FULL",20,IF(Q30="PARTIAL",20/2,0))+IF(R30="FULL",10,IF(R30="PARTIAL",10/2,0))</f>
        <v/>
      </c>
      <c r="T30" s="5">
        <f>IF(O30="NOT_CHECKED",0,40)+IF(P30="NOT_CHECKED",0,30)+IF(Q30="NOT_CHECKED",0,20)+IF(R30="NOT_CHECKED",0,10)</f>
        <v/>
      </c>
      <c r="U30" s="5">
        <f>IF(T30=100,S30,"")</f>
        <v/>
      </c>
      <c r="V30" s="5">
        <f>S30</f>
        <v/>
      </c>
      <c r="W30" s="5">
        <f>S30+(100-T30)</f>
        <v/>
      </c>
      <c r="X30" s="2" t="inlineStr">
        <is>
          <t>[]</t>
        </is>
      </c>
      <c r="Y30" s="2" t="inlineStr">
        <is>
          <t>["seo_runs/jeminise.com/20260906_234129/qa/20260909_042000/images/014_07.jpg", "https://jeminise.com/products/christian-bedding-set-inspirational-bible-verse-comforte-design-05", "https://cdn.shopify.com/s/files/1/0792/5098/1063/files/d6b8438a259ef28ba839a68ba108f40464bc9629b0bc2168779fc7776c9cbffa_fb8b4e17-519d-4d0c-b0e5-03dce3811442.jpg?v=1787237801"]</t>
        </is>
      </c>
    </row>
    <row r="31" ht="66" customHeight="1">
      <c r="A31" s="3" t="inlineStr">
        <is>
          <t>jeminise.com+christian-bedding-set-inspirational-bible-verse-comforte-design-06</t>
        </is>
      </c>
      <c r="B31" s="3" t="inlineStr">
        <is>
          <t>qaimg_92695c9e5cd567f8</t>
        </is>
      </c>
      <c r="C31" s="4" t="inlineStr">
        <is>
          <t>https://cdn.shopify.com/s/files/1/0792/5098/1063/files/7d1ce2040466699184d4d34be5a513af5f29c64a38cbd8b469c68ae7253f4630.jpg?v=1787237807</t>
        </is>
      </c>
      <c r="D31" s="4" t="inlineStr">
        <is>
          <t>https://cdn.shopify.com/s/files/1/0792/5098/1063/files/7d1ce2040466699184d4d34be5a513af5f29c64a38cbd8b469c68ae7253f4630.jpg?v=1787237807</t>
        </is>
      </c>
      <c r="E31" s="3" t="inlineStr">
        <is>
          <t>47933851533511</t>
        </is>
      </c>
      <c r="F31" s="3" t="inlineStr">
        <is>
          <t>47933851533511</t>
        </is>
      </c>
      <c r="G31" s="3" t="inlineStr"/>
      <c r="H31" s="3" t="inlineStr">
        <is>
          <t>GALLERY</t>
        </is>
      </c>
      <c r="I31" s="3" t="inlineStr">
        <is>
          <t>DIRECT_IMAGE_VERIFICATION + R5_AUDIT</t>
        </is>
      </c>
      <c r="J31" s="3" t="inlineStr">
        <is>
          <t>2026-09-09T04:20:11.895007+07:00</t>
        </is>
      </c>
      <c r="K31" s="3" t="inlineStr">
        <is>
          <t>Bedroom mockup of brown Is Within Her Christian bedding with Charlotte name, butterflies and faith affirmation blocks.</t>
        </is>
      </c>
      <c r="L31" s="3" t="inlineStr">
        <is>
          <t>Bedroom mockup of brown Is Within Her Christian bedding with Charlotte name, butterflies and faith affirmation blocks.</t>
        </is>
      </c>
      <c r="M31" s="3" t="inlineStr">
        <is>
          <t>SET</t>
        </is>
      </c>
      <c r="N31" s="3" t="inlineStr">
        <is>
          <t>Brown Is Within Her bedding with Charlotte name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3" t="inlineStr">
        <is>
          <t>FULL</t>
        </is>
      </c>
      <c r="S31" s="7">
        <f>IF(O31="FULL",40,IF(O31="PARTIAL",40/2,0))+IF(P31="FULL",30,IF(P31="PARTIAL",30/2,0))+IF(Q31="FULL",20,IF(Q31="PARTIAL",20/2,0))+IF(R31="FULL",10,IF(R31="PARTIAL",10/2,0))</f>
        <v/>
      </c>
      <c r="T31" s="7">
        <f>IF(O31="NOT_CHECKED",0,40)+IF(P31="NOT_CHECKED",0,30)+IF(Q31="NOT_CHECKED",0,20)+IF(R31="NOT_CHECKED",0,10)</f>
        <v/>
      </c>
      <c r="U31" s="7">
        <f>IF(T31=100,S31,"")</f>
        <v/>
      </c>
      <c r="V31" s="7">
        <f>S31</f>
        <v/>
      </c>
      <c r="W31" s="7">
        <f>S31+(100-T31)</f>
        <v/>
      </c>
      <c r="X31" s="3" t="inlineStr">
        <is>
          <t>[]</t>
        </is>
      </c>
      <c r="Y31" s="3" t="inlineStr">
        <is>
          <t>["seo_runs/jeminise.com/20260906_234129/qa/20260909_042000/images/015_01.jpg", "https://jeminise.com/products/christian-bedding-set-inspirational-bible-verse-comforte-design-06", "https://cdn.shopify.com/s/files/1/0792/5098/1063/files/7d1ce2040466699184d4d34be5a513af5f29c64a38cbd8b469c68ae7253f4630.jpg?v=1787237807"]</t>
        </is>
      </c>
    </row>
    <row r="32" ht="66" customHeight="1">
      <c r="A32" s="2" t="inlineStr">
        <is>
          <t>jeminise.com+christian-bedding-set-inspirational-bible-verse-comforte-design-06</t>
        </is>
      </c>
      <c r="B32" s="2" t="inlineStr">
        <is>
          <t>qaimg_f79f50ec24dc2544</t>
        </is>
      </c>
      <c r="C32" s="4" t="inlineStr">
        <is>
          <t>https://cdn.shopify.com/s/files/1/0792/5098/1063/files/85e882bcf89deebcdc3c8d5fea6db005c41297d04fabf6b4dedfb33c5d8fa653.jpg?v=1787237807</t>
        </is>
      </c>
      <c r="D32" s="4" t="inlineStr">
        <is>
          <t>https://cdn.shopify.com/s/files/1/0792/5098/1063/files/85e882bcf89deebcdc3c8d5fea6db005c41297d04fabf6b4dedfb33c5d8fa653.jpg?v=1787237807</t>
        </is>
      </c>
      <c r="E32" s="2" t="inlineStr">
        <is>
          <t>47933851566279</t>
        </is>
      </c>
      <c r="F32" s="2" t="inlineStr">
        <is>
          <t>47933851566279</t>
        </is>
      </c>
      <c r="G32" s="2" t="inlineStr"/>
      <c r="H32" s="2" t="inlineStr">
        <is>
          <t>GALLERY</t>
        </is>
      </c>
      <c r="I32" s="2" t="inlineStr">
        <is>
          <t>DIRECT_IMAGE_VERIFICATION + R5_AUDIT</t>
        </is>
      </c>
      <c r="J32" s="2" t="inlineStr">
        <is>
          <t>2026-09-09T04:20:11.895007+07:00</t>
        </is>
      </c>
      <c r="K32" s="2" t="inlineStr">
        <is>
          <t>Angled room mockup showing Charlotte pillowcases, butterfly artwork and vertical name lettering.</t>
        </is>
      </c>
      <c r="L32" s="2" t="inlineStr">
        <is>
          <t>Angled room mockup showing Charlotte pillowcases, butterfly artwork and vertical name lettering.</t>
        </is>
      </c>
      <c r="M32" s="2" t="inlineStr">
        <is>
          <t>SET</t>
        </is>
      </c>
      <c r="N32" s="2" t="inlineStr">
        <is>
          <t>Brown personalized Is Within Her bedding room mockup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inlineStr">
        <is>
          <t>FULL</t>
        </is>
      </c>
      <c r="S32" s="5">
        <f>IF(O32="FULL",40,IF(O32="PARTIAL",40/2,0))+IF(P32="FULL",30,IF(P32="PARTIAL",30/2,0))+IF(Q32="FULL",20,IF(Q32="PARTIAL",20/2,0))+IF(R32="FULL",10,IF(R32="PARTIAL",10/2,0))</f>
        <v/>
      </c>
      <c r="T32" s="5">
        <f>IF(O32="NOT_CHECKED",0,40)+IF(P32="NOT_CHECKED",0,30)+IF(Q32="NOT_CHECKED",0,20)+IF(R32="NOT_CHECKED",0,10)</f>
        <v/>
      </c>
      <c r="U32" s="5">
        <f>IF(T32=100,S32,"")</f>
        <v/>
      </c>
      <c r="V32" s="5">
        <f>S32</f>
        <v/>
      </c>
      <c r="W32" s="5">
        <f>S32+(100-T32)</f>
        <v/>
      </c>
      <c r="X32" s="2" t="inlineStr">
        <is>
          <t>[]</t>
        </is>
      </c>
      <c r="Y32" s="2" t="inlineStr">
        <is>
          <t>["seo_runs/jeminise.com/20260906_234129/qa/20260909_042000/images/015_02.jpg", "https://jeminise.com/products/christian-bedding-set-inspirational-bible-verse-comforte-design-06", "https://cdn.shopify.com/s/files/1/0792/5098/1063/files/85e882bcf89deebcdc3c8d5fea6db005c41297d04fabf6b4dedfb33c5d8fa653.jpg?v=1787237807"]</t>
        </is>
      </c>
    </row>
    <row r="33" ht="66" customHeight="1">
      <c r="A33" s="3" t="inlineStr">
        <is>
          <t>jeminise.com+christian-bedding-set-inspirational-bible-verse-comforte-design-06</t>
        </is>
      </c>
      <c r="B33" s="3" t="inlineStr">
        <is>
          <t>qaimg_74f2eed842241f10</t>
        </is>
      </c>
      <c r="C33" s="4" t="inlineStr">
        <is>
          <t>https://cdn.shopify.com/s/files/1/0792/5098/1063/files/50f96559dd878ae5bbee14ba7a34337ccd740d21a8ffe86a8a1be819656d26c0_8c8fa0f7-48a1-41f8-86e6-9b423fbaf03e.jpg?v=1787237806</t>
        </is>
      </c>
      <c r="D33" s="4" t="inlineStr">
        <is>
          <t>https://cdn.shopify.com/s/files/1/0792/5098/1063/files/50f96559dd878ae5bbee14ba7a34337ccd740d21a8ffe86a8a1be819656d26c0_8c8fa0f7-48a1-41f8-86e6-9b423fbaf03e.jpg?v=1787237806</t>
        </is>
      </c>
      <c r="E33" s="3" t="inlineStr">
        <is>
          <t>47933851599047</t>
        </is>
      </c>
      <c r="F33" s="3" t="inlineStr">
        <is>
          <t>47933851599047</t>
        </is>
      </c>
      <c r="G33" s="3" t="inlineStr"/>
      <c r="H33" s="3" t="inlineStr">
        <is>
          <t>GALLERY</t>
        </is>
      </c>
      <c r="I33" s="3" t="inlineStr">
        <is>
          <t>DIRECT_IMAGE_VERIFICATION + R5_AUDIT</t>
        </is>
      </c>
      <c r="J33" s="3" t="inlineStr">
        <is>
          <t>2026-09-09T04:20:11.895007+07:00</t>
        </is>
      </c>
      <c r="K33" s="3" t="inlineStr">
        <is>
          <t>Product type comparison panel showing duvet cover set and comforter set options for all-season use.</t>
        </is>
      </c>
      <c r="L33" s="3" t="inlineStr">
        <is>
          <t>Product type comparison panel showing duvet cover set and comforter set options for all-season use.</t>
        </is>
      </c>
      <c r="M33" s="3" t="inlineStr">
        <is>
          <t>SET</t>
        </is>
      </c>
      <c r="N33" s="3" t="inlineStr">
        <is>
          <t>Is Within Her butterfly duvet and comforter options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3" t="inlineStr">
        <is>
          <t>FULL</t>
        </is>
      </c>
      <c r="S33" s="7">
        <f>IF(O33="FULL",40,IF(O33="PARTIAL",40/2,0))+IF(P33="FULL",30,IF(P33="PARTIAL",30/2,0))+IF(Q33="FULL",20,IF(Q33="PARTIAL",20/2,0))+IF(R33="FULL",10,IF(R33="PARTIAL",10/2,0))</f>
        <v/>
      </c>
      <c r="T33" s="7">
        <f>IF(O33="NOT_CHECKED",0,40)+IF(P33="NOT_CHECKED",0,30)+IF(Q33="NOT_CHECKED",0,20)+IF(R33="NOT_CHECKED",0,10)</f>
        <v/>
      </c>
      <c r="U33" s="7">
        <f>IF(T33=100,S33,"")</f>
        <v/>
      </c>
      <c r="V33" s="7">
        <f>S33</f>
        <v/>
      </c>
      <c r="W33" s="7">
        <f>S33+(100-T33)</f>
        <v/>
      </c>
      <c r="X33" s="3" t="inlineStr">
        <is>
          <t>[]</t>
        </is>
      </c>
      <c r="Y33" s="3" t="inlineStr">
        <is>
          <t>["seo_runs/jeminise.com/20260906_234129/qa/20260909_042000/images/015_03.jpg", "https://jeminise.com/products/christian-bedding-set-inspirational-bible-verse-comforte-design-06", "https://cdn.shopify.com/s/files/1/0792/5098/1063/files/50f96559dd878ae5bbee14ba7a34337ccd740d21a8ffe86a8a1be819656d26c0_8c8fa0f7-48a1-41f8-86e6-9b423fbaf03e.jpg?v=1787237806"]</t>
        </is>
      </c>
    </row>
    <row r="34" ht="66" customHeight="1">
      <c r="A34" s="2" t="inlineStr">
        <is>
          <t>jeminise.com+christian-bedding-set-inspirational-bible-verse-comforte-design-06</t>
        </is>
      </c>
      <c r="B34" s="2" t="inlineStr">
        <is>
          <t>qaimg_4ab1c93dd13617ef</t>
        </is>
      </c>
      <c r="C34" s="4" t="inlineStr">
        <is>
          <t>https://cdn.shopify.com/s/files/1/0792/5098/1063/files/1ad4193b437e09b52f40b15573e722e1cfbac19500da9f78c83773943449fcde.jpg?v=1787237807</t>
        </is>
      </c>
      <c r="D34" s="4" t="inlineStr">
        <is>
          <t>https://cdn.shopify.com/s/files/1/0792/5098/1063/files/1ad4193b437e09b52f40b15573e722e1cfbac19500da9f78c83773943449fcde.jpg?v=1787237807</t>
        </is>
      </c>
      <c r="E34" s="2" t="inlineStr">
        <is>
          <t>47933851631815</t>
        </is>
      </c>
      <c r="F34" s="2" t="inlineStr">
        <is>
          <t>47933851631815</t>
        </is>
      </c>
      <c r="G34" s="2" t="inlineStr"/>
      <c r="H34" s="2" t="inlineStr">
        <is>
          <t>GALLERY</t>
        </is>
      </c>
      <c r="I34" s="2" t="inlineStr">
        <is>
          <t>DIRECT_IMAGE_VERIFICATION + R5_AUDIT</t>
        </is>
      </c>
      <c r="J34" s="2" t="inlineStr">
        <is>
          <t>2026-09-09T04:20:11.895007+07:00</t>
        </is>
      </c>
      <c r="K34" s="2" t="inlineStr">
        <is>
          <t>Feature panel with microfiber callout, 3D printed pattern close-ups, soft filling and lightweight breathable notes.</t>
        </is>
      </c>
      <c r="L34" s="2" t="inlineStr">
        <is>
          <t>Feature panel with microfiber callout, 3D printed pattern close-ups, soft filling and lightweight breathable notes.</t>
        </is>
      </c>
      <c r="M34" s="2" t="inlineStr">
        <is>
          <t>SET</t>
        </is>
      </c>
      <c r="N34" s="2" t="inlineStr">
        <is>
          <t>Is Within Her butterfly microfiber feature panel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inlineStr">
        <is>
          <t>FULL</t>
        </is>
      </c>
      <c r="S34" s="5">
        <f>IF(O34="FULL",40,IF(O34="PARTIAL",40/2,0))+IF(P34="FULL",30,IF(P34="PARTIAL",30/2,0))+IF(Q34="FULL",20,IF(Q34="PARTIAL",20/2,0))+IF(R34="FULL",10,IF(R34="PARTIAL",10/2,0))</f>
        <v/>
      </c>
      <c r="T34" s="5">
        <f>IF(O34="NOT_CHECKED",0,40)+IF(P34="NOT_CHECKED",0,30)+IF(Q34="NOT_CHECKED",0,20)+IF(R34="NOT_CHECKED",0,10)</f>
        <v/>
      </c>
      <c r="U34" s="5">
        <f>IF(T34=100,S34,"")</f>
        <v/>
      </c>
      <c r="V34" s="5">
        <f>S34</f>
        <v/>
      </c>
      <c r="W34" s="5">
        <f>S34+(100-T34)</f>
        <v/>
      </c>
      <c r="X34" s="2" t="inlineStr">
        <is>
          <t>[]</t>
        </is>
      </c>
      <c r="Y34" s="2" t="inlineStr">
        <is>
          <t>["seo_runs/jeminise.com/20260906_234129/qa/20260909_042000/images/015_04.jpg", "https://jeminise.com/products/christian-bedding-set-inspirational-bible-verse-comforte-design-06", "https://cdn.shopify.com/s/files/1/0792/5098/1063/files/1ad4193b437e09b52f40b15573e722e1cfbac19500da9f78c83773943449fcde.jpg?v=1787237807"]</t>
        </is>
      </c>
    </row>
    <row r="35" ht="66" customHeight="1">
      <c r="A35" s="3" t="inlineStr">
        <is>
          <t>jeminise.com+christian-bedding-set-inspirational-bible-verse-comforte-design-06</t>
        </is>
      </c>
      <c r="B35" s="3" t="inlineStr">
        <is>
          <t>qaimg_26ebb495bcbedd39</t>
        </is>
      </c>
      <c r="C35" s="4" t="inlineStr">
        <is>
          <t>https://cdn.shopify.com/s/files/1/0792/5098/1063/files/26024e9472d2220f9f56e7b3a0762d7d9615e5a2536a0848fc513ad70f872f30.jpg?v=1787237807</t>
        </is>
      </c>
      <c r="D35" s="4" t="inlineStr">
        <is>
          <t>https://cdn.shopify.com/s/files/1/0792/5098/1063/files/26024e9472d2220f9f56e7b3a0762d7d9615e5a2536a0848fc513ad70f872f30.jpg?v=1787237807</t>
        </is>
      </c>
      <c r="E35" s="3" t="inlineStr">
        <is>
          <t>47933851664583</t>
        </is>
      </c>
      <c r="F35" s="3" t="inlineStr">
        <is>
          <t>47933851664583</t>
        </is>
      </c>
      <c r="G35" s="3" t="inlineStr"/>
      <c r="H35" s="3" t="inlineStr">
        <is>
          <t>GALLERY</t>
        </is>
      </c>
      <c r="I35" s="3" t="inlineStr">
        <is>
          <t>DIRECT_IMAGE_VERIFICATION + R5_AUDIT</t>
        </is>
      </c>
      <c r="J35" s="3" t="inlineStr">
        <is>
          <t>2026-09-09T04:20:11.895007+07:00</t>
        </is>
      </c>
      <c r="K35" s="3" t="inlineStr">
        <is>
          <t>Close bedroom view showing brown butterfly bedding with soft, lightweight, durable and breathable icons.</t>
        </is>
      </c>
      <c r="L35" s="3" t="inlineStr">
        <is>
          <t>Close bedroom view showing brown butterfly bedding with soft, lightweight, durable and breathable icons.</t>
        </is>
      </c>
      <c r="M35" s="3" t="inlineStr">
        <is>
          <t>SET</t>
        </is>
      </c>
      <c r="N35" s="3" t="inlineStr">
        <is>
          <t>Is Within Her butterfly bedding feature icons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3" t="inlineStr">
        <is>
          <t>FULL</t>
        </is>
      </c>
      <c r="S35" s="7">
        <f>IF(O35="FULL",40,IF(O35="PARTIAL",40/2,0))+IF(P35="FULL",30,IF(P35="PARTIAL",30/2,0))+IF(Q35="FULL",20,IF(Q35="PARTIAL",20/2,0))+IF(R35="FULL",10,IF(R35="PARTIAL",10/2,0))</f>
        <v/>
      </c>
      <c r="T35" s="7">
        <f>IF(O35="NOT_CHECKED",0,40)+IF(P35="NOT_CHECKED",0,30)+IF(Q35="NOT_CHECKED",0,20)+IF(R35="NOT_CHECKED",0,10)</f>
        <v/>
      </c>
      <c r="U35" s="7">
        <f>IF(T35=100,S35,"")</f>
        <v/>
      </c>
      <c r="V35" s="7">
        <f>S35</f>
        <v/>
      </c>
      <c r="W35" s="7">
        <f>S35+(100-T35)</f>
        <v/>
      </c>
      <c r="X35" s="3" t="inlineStr">
        <is>
          <t>[]</t>
        </is>
      </c>
      <c r="Y35" s="3" t="inlineStr">
        <is>
          <t>["seo_runs/jeminise.com/20260906_234129/qa/20260909_042000/images/015_05.jpg", "https://jeminise.com/products/christian-bedding-set-inspirational-bible-verse-comforte-design-06", "https://cdn.shopify.com/s/files/1/0792/5098/1063/files/26024e9472d2220f9f56e7b3a0762d7d9615e5a2536a0848fc513ad70f872f30.jpg?v=1787237807"]</t>
        </is>
      </c>
    </row>
    <row r="36" ht="66" customHeight="1">
      <c r="A36" s="2" t="inlineStr">
        <is>
          <t>jeminise.com+christian-bedding-set-inspirational-bible-verse-comforte-design-06</t>
        </is>
      </c>
      <c r="B36" s="2" t="inlineStr">
        <is>
          <t>qaimg_9169bef117a8fca6</t>
        </is>
      </c>
      <c r="C36" s="4" t="inlineStr">
        <is>
          <t>https://cdn.shopify.com/s/files/1/0792/5098/1063/files/0e22a9fec09643a714af054217066178d4f7bc4d6266b6d2ff5c33c09cc10e88_7566f5e2-6bfd-446e-a1f2-f06764ec2dc3.jpg?v=1787237807</t>
        </is>
      </c>
      <c r="D36" s="4" t="inlineStr">
        <is>
          <t>https://cdn.shopify.com/s/files/1/0792/5098/1063/files/0e22a9fec09643a714af054217066178d4f7bc4d6266b6d2ff5c33c09cc10e88_7566f5e2-6bfd-446e-a1f2-f06764ec2dc3.jpg?v=1787237807</t>
        </is>
      </c>
      <c r="E36" s="2" t="inlineStr">
        <is>
          <t>47933851697351</t>
        </is>
      </c>
      <c r="F36" s="2" t="inlineStr">
        <is>
          <t>47933851697351</t>
        </is>
      </c>
      <c r="G36" s="2" t="inlineStr"/>
      <c r="H36" s="2" t="inlineStr">
        <is>
          <t>GALLERY</t>
        </is>
      </c>
      <c r="I36" s="2" t="inlineStr">
        <is>
          <t>DIRECT_IMAGE_VERIFICATION + R5_AUDIT</t>
        </is>
      </c>
      <c r="J36" s="2" t="inlineStr">
        <is>
          <t>2026-09-09T04:20:11.895007+07:00</t>
        </is>
      </c>
      <c r="K36" s="2" t="inlineStr">
        <is>
          <t>Stress-free easy care panel listing wrinkle-free, stain-proof, anti-pilling and wash-fade notes.</t>
        </is>
      </c>
      <c r="L36" s="2" t="inlineStr">
        <is>
          <t>Stress-free easy care panel listing wrinkle-free, stain-proof, anti-pilling and wash-fade notes.</t>
        </is>
      </c>
      <c r="M36" s="2" t="inlineStr">
        <is>
          <t>SET</t>
        </is>
      </c>
      <c r="N36" s="2" t="inlineStr">
        <is>
          <t>Is Within Her butterfly easy care feature panel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inlineStr">
        <is>
          <t>FULL</t>
        </is>
      </c>
      <c r="S36" s="5">
        <f>IF(O36="FULL",40,IF(O36="PARTIAL",40/2,0))+IF(P36="FULL",30,IF(P36="PARTIAL",30/2,0))+IF(Q36="FULL",20,IF(Q36="PARTIAL",20/2,0))+IF(R36="FULL",10,IF(R36="PARTIAL",10/2,0))</f>
        <v/>
      </c>
      <c r="T36" s="5">
        <f>IF(O36="NOT_CHECKED",0,40)+IF(P36="NOT_CHECKED",0,30)+IF(Q36="NOT_CHECKED",0,20)+IF(R36="NOT_CHECKED",0,10)</f>
        <v/>
      </c>
      <c r="U36" s="5">
        <f>IF(T36=100,S36,"")</f>
        <v/>
      </c>
      <c r="V36" s="5">
        <f>S36</f>
        <v/>
      </c>
      <c r="W36" s="5">
        <f>S36+(100-T36)</f>
        <v/>
      </c>
      <c r="X36" s="2" t="inlineStr">
        <is>
          <t>[]</t>
        </is>
      </c>
      <c r="Y36" s="2" t="inlineStr">
        <is>
          <t>["seo_runs/jeminise.com/20260906_234129/qa/20260909_042000/images/015_06.jpg", "https://jeminise.com/products/christian-bedding-set-inspirational-bible-verse-comforte-design-06", "https://cdn.shopify.com/s/files/1/0792/5098/1063/files/0e22a9fec09643a714af054217066178d4f7bc4d6266b6d2ff5c33c09cc10e88_7566f5e2-6bfd-446e-a1f2-f06764ec2dc3.jpg?v=1787237807"]</t>
        </is>
      </c>
    </row>
    <row r="37" ht="66" customHeight="1">
      <c r="A37" s="3" t="inlineStr">
        <is>
          <t>jeminise.com+christian-bedding-set-inspirational-bible-verse-comforte-design-06</t>
        </is>
      </c>
      <c r="B37" s="3" t="inlineStr">
        <is>
          <t>qaimg_58daa41cec565ce2</t>
        </is>
      </c>
      <c r="C37" s="4" t="inlineStr">
        <is>
          <t>https://cdn.shopify.com/s/files/1/0792/5098/1063/files/d6b8438a259ef28ba839a68ba108f40464bc9629b0bc2168779fc7776c9cbffa_d87fd534-9194-441e-98a8-aa1a5591cb0d.jpg?v=1787237807</t>
        </is>
      </c>
      <c r="D37" s="4" t="inlineStr">
        <is>
          <t>https://cdn.shopify.com/s/files/1/0792/5098/1063/files/d6b8438a259ef28ba839a68ba108f40464bc9629b0bc2168779fc7776c9cbffa_d87fd534-9194-441e-98a8-aa1a5591cb0d.jpg?v=1787237807</t>
        </is>
      </c>
      <c r="E37" s="3" t="inlineStr">
        <is>
          <t>47933851730119</t>
        </is>
      </c>
      <c r="F37" s="3" t="inlineStr">
        <is>
          <t>47933851730119</t>
        </is>
      </c>
      <c r="G37" s="3" t="inlineStr"/>
      <c r="H37" s="3" t="inlineStr">
        <is>
          <t>GALLERY</t>
        </is>
      </c>
      <c r="I37" s="3" t="inlineStr">
        <is>
          <t>DIRECT_IMAGE_VERIFICATION + R5_AUDIT</t>
        </is>
      </c>
      <c r="J37" s="3" t="inlineStr">
        <is>
          <t>2026-09-09T04:20:11.895007+07:00</t>
        </is>
      </c>
      <c r="K37" s="3" t="inlineStr">
        <is>
          <t>Size dimension panel showing Twin, Full, Queen and King bedding dimensions.</t>
        </is>
      </c>
      <c r="L37" s="3" t="inlineStr">
        <is>
          <t>Size dimension panel showing Twin, Full, Queen and King bedding dimensions.</t>
        </is>
      </c>
      <c r="M37" s="3" t="inlineStr">
        <is>
          <t>SET</t>
        </is>
      </c>
      <c r="N37" s="3" t="inlineStr">
        <is>
          <t>Is Within Her butterfly bedding size chart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3" t="inlineStr">
        <is>
          <t>FULL</t>
        </is>
      </c>
      <c r="S37" s="7">
        <f>IF(O37="FULL",40,IF(O37="PARTIAL",40/2,0))+IF(P37="FULL",30,IF(P37="PARTIAL",30/2,0))+IF(Q37="FULL",20,IF(Q37="PARTIAL",20/2,0))+IF(R37="FULL",10,IF(R37="PARTIAL",10/2,0))</f>
        <v/>
      </c>
      <c r="T37" s="7">
        <f>IF(O37="NOT_CHECKED",0,40)+IF(P37="NOT_CHECKED",0,30)+IF(Q37="NOT_CHECKED",0,20)+IF(R37="NOT_CHECKED",0,10)</f>
        <v/>
      </c>
      <c r="U37" s="7">
        <f>IF(T37=100,S37,"")</f>
        <v/>
      </c>
      <c r="V37" s="7">
        <f>S37</f>
        <v/>
      </c>
      <c r="W37" s="7">
        <f>S37+(100-T37)</f>
        <v/>
      </c>
      <c r="X37" s="3" t="inlineStr">
        <is>
          <t>[]</t>
        </is>
      </c>
      <c r="Y37" s="3" t="inlineStr">
        <is>
          <t>["seo_runs/jeminise.com/20260906_234129/qa/20260909_042000/images/015_07.jpg", "https://jeminise.com/products/christian-bedding-set-inspirational-bible-verse-comforte-design-06", "https://cdn.shopify.com/s/files/1/0792/5098/1063/files/d6b8438a259ef28ba839a68ba108f40464bc9629b0bc2168779fc7776c9cbffa_d87fd534-9194-441e-98a8-aa1a5591cb0d.jpg?v=1787237807"]</t>
        </is>
      </c>
    </row>
    <row r="38" ht="66" customHeight="1">
      <c r="A38" s="2" t="inlineStr">
        <is>
          <t>jeminise.com+christian-bedding-set-inspirational-bible-verse-comforter</t>
        </is>
      </c>
      <c r="B38" s="2" t="inlineStr">
        <is>
          <t>qaimg_a3c5b4730957222d</t>
        </is>
      </c>
      <c r="C38" s="4" t="inlineStr">
        <is>
          <t>https://cdn.shopify.com/s/files/1/0792/5098/1063/files/08e481dcf1c9bf3e7363eb63d66874dc22230e7e462b0f7ac8407a6a55b4e8e2.jpg?v=1787237716</t>
        </is>
      </c>
      <c r="D38" s="4" t="inlineStr">
        <is>
          <t>https://cdn.shopify.com/s/files/1/0792/5098/1063/files/08e481dcf1c9bf3e7363eb63d66874dc22230e7e462b0f7ac8407a6a55b4e8e2.jpg?v=1787237716</t>
        </is>
      </c>
      <c r="E38" s="2" t="inlineStr">
        <is>
          <t>47933839999175</t>
        </is>
      </c>
      <c r="F38" s="2" t="inlineStr">
        <is>
          <t>47933839999175</t>
        </is>
      </c>
      <c r="G38" s="2" t="inlineStr"/>
      <c r="H38" s="2" t="inlineStr">
        <is>
          <t>GALLERY</t>
        </is>
      </c>
      <c r="I38" s="2" t="inlineStr">
        <is>
          <t>DIRECT_IMAGE_VERIFICATION + R5_AUDIT</t>
        </is>
      </c>
      <c r="J38" s="2" t="inlineStr">
        <is>
          <t>2026-09-09T04:20:11.895007+07:00</t>
        </is>
      </c>
      <c r="K38" s="2" t="inlineStr">
        <is>
          <t>Bedroom mockup of black Christian warrior bedding with David name, large white cross, armor artwork and faith text.</t>
        </is>
      </c>
      <c r="L38" s="2" t="inlineStr">
        <is>
          <t>Bedroom mockup of black Christian warrior bedding with David name, large white cross, armor artwork and faith text.</t>
        </is>
      </c>
      <c r="M38" s="2" t="inlineStr">
        <is>
          <t>SET</t>
        </is>
      </c>
      <c r="N38" s="2" t="inlineStr">
        <is>
          <t>Black Christian warrior bedding with David name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inlineStr">
        <is>
          <t>FULL</t>
        </is>
      </c>
      <c r="S38" s="5">
        <f>IF(O38="FULL",40,IF(O38="PARTIAL",40/2,0))+IF(P38="FULL",30,IF(P38="PARTIAL",30/2,0))+IF(Q38="FULL",20,IF(Q38="PARTIAL",20/2,0))+IF(R38="FULL",10,IF(R38="PARTIAL",10/2,0))</f>
        <v/>
      </c>
      <c r="T38" s="5">
        <f>IF(O38="NOT_CHECKED",0,40)+IF(P38="NOT_CHECKED",0,30)+IF(Q38="NOT_CHECKED",0,20)+IF(R38="NOT_CHECKED",0,10)</f>
        <v/>
      </c>
      <c r="U38" s="5">
        <f>IF(T38=100,S38,"")</f>
        <v/>
      </c>
      <c r="V38" s="5">
        <f>S38</f>
        <v/>
      </c>
      <c r="W38" s="5">
        <f>S38+(100-T38)</f>
        <v/>
      </c>
      <c r="X38" s="2" t="inlineStr">
        <is>
          <t>[]</t>
        </is>
      </c>
      <c r="Y38" s="2" t="inlineStr">
        <is>
          <t>["seo_runs/jeminise.com/20260906_234129/qa/20260909_042000/images/016_01.jpg", "https://jeminise.com/products/christian-bedding-set-inspirational-bible-verse-comforter", "https://cdn.shopify.com/s/files/1/0792/5098/1063/files/08e481dcf1c9bf3e7363eb63d66874dc22230e7e462b0f7ac8407a6a55b4e8e2.jpg?v=1787237716"]</t>
        </is>
      </c>
    </row>
    <row r="39" ht="66" customHeight="1">
      <c r="A39" s="3" t="inlineStr">
        <is>
          <t>jeminise.com+christian-bedding-set-inspirational-bible-verse-comforter</t>
        </is>
      </c>
      <c r="B39" s="3" t="inlineStr">
        <is>
          <t>qaimg_cb9c481fadbb7899</t>
        </is>
      </c>
      <c r="C39" s="4" t="inlineStr">
        <is>
          <t>https://cdn.shopify.com/s/files/1/0792/5098/1063/files/6e5cfd81b4f318ba88e105e450bd24fcccf9830bd9c69ac7d722e92e36bbe4e1.jpg?v=1787237716</t>
        </is>
      </c>
      <c r="D39" s="4" t="inlineStr">
        <is>
          <t>https://cdn.shopify.com/s/files/1/0792/5098/1063/files/6e5cfd81b4f318ba88e105e450bd24fcccf9830bd9c69ac7d722e92e36bbe4e1.jpg?v=1787237716</t>
        </is>
      </c>
      <c r="E39" s="3" t="inlineStr">
        <is>
          <t>47933840031943</t>
        </is>
      </c>
      <c r="F39" s="3" t="inlineStr">
        <is>
          <t>47933840031943</t>
        </is>
      </c>
      <c r="G39" s="3" t="inlineStr"/>
      <c r="H39" s="3" t="inlineStr">
        <is>
          <t>GALLERY</t>
        </is>
      </c>
      <c r="I39" s="3" t="inlineStr">
        <is>
          <t>DIRECT_IMAGE_VERIFICATION + R5_AUDIT</t>
        </is>
      </c>
      <c r="J39" s="3" t="inlineStr">
        <is>
          <t>2026-09-09T04:20:11.895007+07:00</t>
        </is>
      </c>
      <c r="K39" s="3" t="inlineStr">
        <is>
          <t>Square mockup of black Christian warrior bedding with David name, cross graphic and armored figure artwork.</t>
        </is>
      </c>
      <c r="L39" s="3" t="inlineStr">
        <is>
          <t>Square mockup of black Christian warrior bedding with David name, cross graphic and armored figure artwork.</t>
        </is>
      </c>
      <c r="M39" s="3" t="inlineStr">
        <is>
          <t>SET</t>
        </is>
      </c>
      <c r="N39" s="3" t="inlineStr">
        <is>
          <t>Christian warrior bedding square mockup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3" t="inlineStr">
        <is>
          <t>FULL</t>
        </is>
      </c>
      <c r="S39" s="7">
        <f>IF(O39="FULL",40,IF(O39="PARTIAL",40/2,0))+IF(P39="FULL",30,IF(P39="PARTIAL",30/2,0))+IF(Q39="FULL",20,IF(Q39="PARTIAL",20/2,0))+IF(R39="FULL",10,IF(R39="PARTIAL",10/2,0))</f>
        <v/>
      </c>
      <c r="T39" s="7">
        <f>IF(O39="NOT_CHECKED",0,40)+IF(P39="NOT_CHECKED",0,30)+IF(Q39="NOT_CHECKED",0,20)+IF(R39="NOT_CHECKED",0,10)</f>
        <v/>
      </c>
      <c r="U39" s="7">
        <f>IF(T39=100,S39,"")</f>
        <v/>
      </c>
      <c r="V39" s="7">
        <f>S39</f>
        <v/>
      </c>
      <c r="W39" s="7">
        <f>S39+(100-T39)</f>
        <v/>
      </c>
      <c r="X39" s="3" t="inlineStr">
        <is>
          <t>[]</t>
        </is>
      </c>
      <c r="Y39" s="3" t="inlineStr">
        <is>
          <t>["seo_runs/jeminise.com/20260906_234129/qa/20260909_042000/images/016_02.jpg", "https://jeminise.com/products/christian-bedding-set-inspirational-bible-verse-comforter", "https://cdn.shopify.com/s/files/1/0792/5098/1063/files/6e5cfd81b4f318ba88e105e450bd24fcccf9830bd9c69ac7d722e92e36bbe4e1.jpg?v=1787237716"]</t>
        </is>
      </c>
    </row>
    <row r="40" ht="66" customHeight="1">
      <c r="A40" s="2" t="inlineStr">
        <is>
          <t>jeminise.com+christian-bedding-set-inspirational-bible-verse-comforter</t>
        </is>
      </c>
      <c r="B40" s="2" t="inlineStr">
        <is>
          <t>qaimg_4eacac7a749fa007</t>
        </is>
      </c>
      <c r="C40" s="4" t="inlineStr">
        <is>
          <t>https://cdn.shopify.com/s/files/1/0792/5098/1063/files/fd6ace7cb84d9e404b44ba028d1e0be3f00d0c9dc52fac3c12f3dc02d48000e7.jpg?v=1787237716</t>
        </is>
      </c>
      <c r="D40" s="4" t="inlineStr">
        <is>
          <t>https://cdn.shopify.com/s/files/1/0792/5098/1063/files/fd6ace7cb84d9e404b44ba028d1e0be3f00d0c9dc52fac3c12f3dc02d48000e7.jpg?v=1787237716</t>
        </is>
      </c>
      <c r="E40" s="2" t="inlineStr">
        <is>
          <t>47933840064711</t>
        </is>
      </c>
      <c r="F40" s="2" t="inlineStr">
        <is>
          <t>47933840064711</t>
        </is>
      </c>
      <c r="G40" s="2" t="inlineStr"/>
      <c r="H40" s="2" t="inlineStr">
        <is>
          <t>GALLERY</t>
        </is>
      </c>
      <c r="I40" s="2" t="inlineStr">
        <is>
          <t>DIRECT_IMAGE_VERIFICATION + R5_AUDIT</t>
        </is>
      </c>
      <c r="J40" s="2" t="inlineStr">
        <is>
          <t>2026-09-09T04:20:11.895007+07:00</t>
        </is>
      </c>
      <c r="K40" s="2" t="inlineStr">
        <is>
          <t>Angled room mockup showing David pillowcases, white cross lettering and warrior armor artwork.</t>
        </is>
      </c>
      <c r="L40" s="2" t="inlineStr">
        <is>
          <t>Angled room mockup showing David pillowcases, white cross lettering and warrior armor artwork.</t>
        </is>
      </c>
      <c r="M40" s="2" t="inlineStr">
        <is>
          <t>SET</t>
        </is>
      </c>
      <c r="N40" s="2" t="inlineStr">
        <is>
          <t>Personalized Christian warrior bedding room mockup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inlineStr">
        <is>
          <t>FULL</t>
        </is>
      </c>
      <c r="S40" s="5">
        <f>IF(O40="FULL",40,IF(O40="PARTIAL",40/2,0))+IF(P40="FULL",30,IF(P40="PARTIAL",30/2,0))+IF(Q40="FULL",20,IF(Q40="PARTIAL",20/2,0))+IF(R40="FULL",10,IF(R40="PARTIAL",10/2,0))</f>
        <v/>
      </c>
      <c r="T40" s="5">
        <f>IF(O40="NOT_CHECKED",0,40)+IF(P40="NOT_CHECKED",0,30)+IF(Q40="NOT_CHECKED",0,20)+IF(R40="NOT_CHECKED",0,10)</f>
        <v/>
      </c>
      <c r="U40" s="5">
        <f>IF(T40=100,S40,"")</f>
        <v/>
      </c>
      <c r="V40" s="5">
        <f>S40</f>
        <v/>
      </c>
      <c r="W40" s="5">
        <f>S40+(100-T40)</f>
        <v/>
      </c>
      <c r="X40" s="2" t="inlineStr">
        <is>
          <t>[]</t>
        </is>
      </c>
      <c r="Y40" s="2" t="inlineStr">
        <is>
          <t>["seo_runs/jeminise.com/20260906_234129/qa/20260909_042000/images/016_03.jpg", "https://jeminise.com/products/christian-bedding-set-inspirational-bible-verse-comforter", "https://cdn.shopify.com/s/files/1/0792/5098/1063/files/fd6ace7cb84d9e404b44ba028d1e0be3f00d0c9dc52fac3c12f3dc02d48000e7.jpg?v=1787237716"]</t>
        </is>
      </c>
    </row>
    <row r="41" ht="66" customHeight="1">
      <c r="A41" s="3" t="inlineStr">
        <is>
          <t>jeminise.com+christian-bedding-set-inspirational-bible-verse-comforter</t>
        </is>
      </c>
      <c r="B41" s="3" t="inlineStr">
        <is>
          <t>qaimg_ee5faae4fb19e666</t>
        </is>
      </c>
      <c r="C41" s="4" t="inlineStr">
        <is>
          <t>https://cdn.shopify.com/s/files/1/0792/5098/1063/files/1391672888660b8306032c6cd51a0340e0460a1f8b324b0577c2d0a44ea28c9d.jpg?v=1787237716</t>
        </is>
      </c>
      <c r="D41" s="4" t="inlineStr">
        <is>
          <t>https://cdn.shopify.com/s/files/1/0792/5098/1063/files/1391672888660b8306032c6cd51a0340e0460a1f8b324b0577c2d0a44ea28c9d.jpg?v=1787237716</t>
        </is>
      </c>
      <c r="E41" s="3" t="inlineStr">
        <is>
          <t>47933840097479</t>
        </is>
      </c>
      <c r="F41" s="3" t="inlineStr">
        <is>
          <t>47933840097479</t>
        </is>
      </c>
      <c r="G41" s="3" t="inlineStr"/>
      <c r="H41" s="3" t="inlineStr">
        <is>
          <t>GALLERY</t>
        </is>
      </c>
      <c r="I41" s="3" t="inlineStr">
        <is>
          <t>DIRECT_IMAGE_VERIFICATION + R5_AUDIT</t>
        </is>
      </c>
      <c r="J41" s="3" t="inlineStr">
        <is>
          <t>2026-09-09T04:20:11.895007+07:00</t>
        </is>
      </c>
      <c r="K41" s="3" t="inlineStr">
        <is>
          <t>Product type comparison panel showing duvet cover set and comforter set options for all-season use.</t>
        </is>
      </c>
      <c r="L41" s="3" t="inlineStr">
        <is>
          <t>Product type comparison panel showing duvet cover set and comforter set options for all-season use.</t>
        </is>
      </c>
      <c r="M41" s="3" t="inlineStr">
        <is>
          <t>SET</t>
        </is>
      </c>
      <c r="N41" s="3" t="inlineStr">
        <is>
          <t>Christian warrior duvet and comforter options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3" t="inlineStr">
        <is>
          <t>FULL</t>
        </is>
      </c>
      <c r="S41" s="7">
        <f>IF(O41="FULL",40,IF(O41="PARTIAL",40/2,0))+IF(P41="FULL",30,IF(P41="PARTIAL",30/2,0))+IF(Q41="FULL",20,IF(Q41="PARTIAL",20/2,0))+IF(R41="FULL",10,IF(R41="PARTIAL",10/2,0))</f>
        <v/>
      </c>
      <c r="T41" s="7">
        <f>IF(O41="NOT_CHECKED",0,40)+IF(P41="NOT_CHECKED",0,30)+IF(Q41="NOT_CHECKED",0,20)+IF(R41="NOT_CHECKED",0,10)</f>
        <v/>
      </c>
      <c r="U41" s="7">
        <f>IF(T41=100,S41,"")</f>
        <v/>
      </c>
      <c r="V41" s="7">
        <f>S41</f>
        <v/>
      </c>
      <c r="W41" s="7">
        <f>S41+(100-T41)</f>
        <v/>
      </c>
      <c r="X41" s="3" t="inlineStr">
        <is>
          <t>[]</t>
        </is>
      </c>
      <c r="Y41" s="3" t="inlineStr">
        <is>
          <t>["seo_runs/jeminise.com/20260906_234129/qa/20260909_042000/images/016_04.jpg", "https://jeminise.com/products/christian-bedding-set-inspirational-bible-verse-comforter", "https://cdn.shopify.com/s/files/1/0792/5098/1063/files/1391672888660b8306032c6cd51a0340e0460a1f8b324b0577c2d0a44ea28c9d.jpg?v=1787237716"]</t>
        </is>
      </c>
    </row>
    <row r="42" ht="66" customHeight="1">
      <c r="A42" s="2" t="inlineStr">
        <is>
          <t>jeminise.com+christian-bedding-set-inspirational-bible-verse-comforter</t>
        </is>
      </c>
      <c r="B42" s="2" t="inlineStr">
        <is>
          <t>qaimg_2d6ac9c705235f17</t>
        </is>
      </c>
      <c r="C42" s="4" t="inlineStr">
        <is>
          <t>https://cdn.shopify.com/s/files/1/0792/5098/1063/files/e27fc1e04888a4c2e14d4ffbdcdb670ffbe1f1f1b9be43f941b96dffb8e5689d.jpg?v=1787237716</t>
        </is>
      </c>
      <c r="D42" s="4" t="inlineStr">
        <is>
          <t>https://cdn.shopify.com/s/files/1/0792/5098/1063/files/e27fc1e04888a4c2e14d4ffbdcdb670ffbe1f1f1b9be43f941b96dffb8e5689d.jpg?v=1787237716</t>
        </is>
      </c>
      <c r="E42" s="2" t="inlineStr">
        <is>
          <t>47933840130247</t>
        </is>
      </c>
      <c r="F42" s="2" t="inlineStr">
        <is>
          <t>47933840130247</t>
        </is>
      </c>
      <c r="G42" s="2" t="inlineStr"/>
      <c r="H42" s="2" t="inlineStr">
        <is>
          <t>GALLERY</t>
        </is>
      </c>
      <c r="I42" s="2" t="inlineStr">
        <is>
          <t>DIRECT_IMAGE_VERIFICATION + R5_AUDIT</t>
        </is>
      </c>
      <c r="J42" s="2" t="inlineStr">
        <is>
          <t>2026-09-09T04:20:11.895007+07:00</t>
        </is>
      </c>
      <c r="K42" s="2" t="inlineStr">
        <is>
          <t>Feature panel with microfiber callout, 3D printed pattern close-ups, soft filling and lightweight breathable notes.</t>
        </is>
      </c>
      <c r="L42" s="2" t="inlineStr">
        <is>
          <t>Feature panel with microfiber callout, 3D printed pattern close-ups, soft filling and lightweight breathable notes.</t>
        </is>
      </c>
      <c r="M42" s="2" t="inlineStr">
        <is>
          <t>SET</t>
        </is>
      </c>
      <c r="N42" s="2" t="inlineStr">
        <is>
          <t>Christian warrior microfiber feature panel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inlineStr">
        <is>
          <t>FULL</t>
        </is>
      </c>
      <c r="S42" s="5">
        <f>IF(O42="FULL",40,IF(O42="PARTIAL",40/2,0))+IF(P42="FULL",30,IF(P42="PARTIAL",30/2,0))+IF(Q42="FULL",20,IF(Q42="PARTIAL",20/2,0))+IF(R42="FULL",10,IF(R42="PARTIAL",10/2,0))</f>
        <v/>
      </c>
      <c r="T42" s="5">
        <f>IF(O42="NOT_CHECKED",0,40)+IF(P42="NOT_CHECKED",0,30)+IF(Q42="NOT_CHECKED",0,20)+IF(R42="NOT_CHECKED",0,10)</f>
        <v/>
      </c>
      <c r="U42" s="5">
        <f>IF(T42=100,S42,"")</f>
        <v/>
      </c>
      <c r="V42" s="5">
        <f>S42</f>
        <v/>
      </c>
      <c r="W42" s="5">
        <f>S42+(100-T42)</f>
        <v/>
      </c>
      <c r="X42" s="2" t="inlineStr">
        <is>
          <t>[]</t>
        </is>
      </c>
      <c r="Y42" s="2" t="inlineStr">
        <is>
          <t>["seo_runs/jeminise.com/20260906_234129/qa/20260909_042000/images/016_05.jpg", "https://jeminise.com/products/christian-bedding-set-inspirational-bible-verse-comforter", "https://cdn.shopify.com/s/files/1/0792/5098/1063/files/e27fc1e04888a4c2e14d4ffbdcdb670ffbe1f1f1b9be43f941b96dffb8e5689d.jpg?v=1787237716"]</t>
        </is>
      </c>
    </row>
    <row r="43" ht="66" customHeight="1">
      <c r="A43" s="3" t="inlineStr">
        <is>
          <t>jeminise.com+christian-bedding-set-inspirational-bible-verse-comforter</t>
        </is>
      </c>
      <c r="B43" s="3" t="inlineStr">
        <is>
          <t>qaimg_f4bc1994c6a2c67e</t>
        </is>
      </c>
      <c r="C43" s="4" t="inlineStr">
        <is>
          <t>https://cdn.shopify.com/s/files/1/0792/5098/1063/files/59b4136c5b8aaddd702f3dda4c3ac549a9ea83142b9e5a1ba73fdbc00be22132.jpg?v=1787237716</t>
        </is>
      </c>
      <c r="D43" s="4" t="inlineStr">
        <is>
          <t>https://cdn.shopify.com/s/files/1/0792/5098/1063/files/59b4136c5b8aaddd702f3dda4c3ac549a9ea83142b9e5a1ba73fdbc00be22132.jpg?v=1787237716</t>
        </is>
      </c>
      <c r="E43" s="3" t="inlineStr">
        <is>
          <t>47933840163015</t>
        </is>
      </c>
      <c r="F43" s="3" t="inlineStr">
        <is>
          <t>47933840163015</t>
        </is>
      </c>
      <c r="G43" s="3" t="inlineStr"/>
      <c r="H43" s="3" t="inlineStr">
        <is>
          <t>GALLERY</t>
        </is>
      </c>
      <c r="I43" s="3" t="inlineStr">
        <is>
          <t>DIRECT_IMAGE_VERIFICATION + R5_AUDIT</t>
        </is>
      </c>
      <c r="J43" s="3" t="inlineStr">
        <is>
          <t>2026-09-09T04:20:11.895007+07:00</t>
        </is>
      </c>
      <c r="K43" s="3" t="inlineStr">
        <is>
          <t>Close bedroom view showing black Christian warrior bedding with soft, lightweight, durable and breathable icons.</t>
        </is>
      </c>
      <c r="L43" s="3" t="inlineStr">
        <is>
          <t>Close bedroom view showing black Christian warrior bedding with soft, lightweight, durable and breathable icons.</t>
        </is>
      </c>
      <c r="M43" s="3" t="inlineStr">
        <is>
          <t>SET</t>
        </is>
      </c>
      <c r="N43" s="3" t="inlineStr">
        <is>
          <t>Christian warrior bedding feature icons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3" t="inlineStr">
        <is>
          <t>FULL</t>
        </is>
      </c>
      <c r="S43" s="7">
        <f>IF(O43="FULL",40,IF(O43="PARTIAL",40/2,0))+IF(P43="FULL",30,IF(P43="PARTIAL",30/2,0))+IF(Q43="FULL",20,IF(Q43="PARTIAL",20/2,0))+IF(R43="FULL",10,IF(R43="PARTIAL",10/2,0))</f>
        <v/>
      </c>
      <c r="T43" s="7">
        <f>IF(O43="NOT_CHECKED",0,40)+IF(P43="NOT_CHECKED",0,30)+IF(Q43="NOT_CHECKED",0,20)+IF(R43="NOT_CHECKED",0,10)</f>
        <v/>
      </c>
      <c r="U43" s="7">
        <f>IF(T43=100,S43,"")</f>
        <v/>
      </c>
      <c r="V43" s="7">
        <f>S43</f>
        <v/>
      </c>
      <c r="W43" s="7">
        <f>S43+(100-T43)</f>
        <v/>
      </c>
      <c r="X43" s="3" t="inlineStr">
        <is>
          <t>[]</t>
        </is>
      </c>
      <c r="Y43" s="3" t="inlineStr">
        <is>
          <t>["seo_runs/jeminise.com/20260906_234129/qa/20260909_042000/images/016_06.jpg", "https://jeminise.com/products/christian-bedding-set-inspirational-bible-verse-comforter", "https://cdn.shopify.com/s/files/1/0792/5098/1063/files/59b4136c5b8aaddd702f3dda4c3ac549a9ea83142b9e5a1ba73fdbc00be22132.jpg?v=1787237716"]</t>
        </is>
      </c>
    </row>
    <row r="44" ht="66" customHeight="1">
      <c r="A44" s="2" t="inlineStr">
        <is>
          <t>jeminise.com+christian-bedding-set-inspirational-bible-verse-comforter</t>
        </is>
      </c>
      <c r="B44" s="2" t="inlineStr">
        <is>
          <t>qaimg_99da286e0c6a5df7</t>
        </is>
      </c>
      <c r="C44" s="4" t="inlineStr">
        <is>
          <t>https://cdn.shopify.com/s/files/1/0792/5098/1063/files/700766e63cdebb7f3088f7ecaf56b3bae4ce4d1ffe15a4a258d5814894208554.jpg?v=1787237716</t>
        </is>
      </c>
      <c r="D44" s="4" t="inlineStr">
        <is>
          <t>https://cdn.shopify.com/s/files/1/0792/5098/1063/files/700766e63cdebb7f3088f7ecaf56b3bae4ce4d1ffe15a4a258d5814894208554.jpg?v=1787237716</t>
        </is>
      </c>
      <c r="E44" s="2" t="inlineStr">
        <is>
          <t>47933840195783</t>
        </is>
      </c>
      <c r="F44" s="2" t="inlineStr">
        <is>
          <t>47933840195783</t>
        </is>
      </c>
      <c r="G44" s="2" t="inlineStr"/>
      <c r="H44" s="2" t="inlineStr">
        <is>
          <t>GALLERY</t>
        </is>
      </c>
      <c r="I44" s="2" t="inlineStr">
        <is>
          <t>DIRECT_IMAGE_VERIFICATION + R5_AUDIT</t>
        </is>
      </c>
      <c r="J44" s="2" t="inlineStr">
        <is>
          <t>2026-09-09T04:20:11.895007+07:00</t>
        </is>
      </c>
      <c r="K44" s="2" t="inlineStr">
        <is>
          <t>Stress-free easy care panel listing wrinkle-free, stain-proof, anti-pilling and wash-fade notes.</t>
        </is>
      </c>
      <c r="L44" s="2" t="inlineStr">
        <is>
          <t>Stress-free easy care panel listing wrinkle-free, stain-proof, anti-pilling and wash-fade notes.</t>
        </is>
      </c>
      <c r="M44" s="2" t="inlineStr">
        <is>
          <t>SET</t>
        </is>
      </c>
      <c r="N44" s="2" t="inlineStr">
        <is>
          <t>Christian warrior easy care feature panel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inlineStr">
        <is>
          <t>FULL</t>
        </is>
      </c>
      <c r="S44" s="5">
        <f>IF(O44="FULL",40,IF(O44="PARTIAL",40/2,0))+IF(P44="FULL",30,IF(P44="PARTIAL",30/2,0))+IF(Q44="FULL",20,IF(Q44="PARTIAL",20/2,0))+IF(R44="FULL",10,IF(R44="PARTIAL",10/2,0))</f>
        <v/>
      </c>
      <c r="T44" s="5">
        <f>IF(O44="NOT_CHECKED",0,40)+IF(P44="NOT_CHECKED",0,30)+IF(Q44="NOT_CHECKED",0,20)+IF(R44="NOT_CHECKED",0,10)</f>
        <v/>
      </c>
      <c r="U44" s="5">
        <f>IF(T44=100,S44,"")</f>
        <v/>
      </c>
      <c r="V44" s="5">
        <f>S44</f>
        <v/>
      </c>
      <c r="W44" s="5">
        <f>S44+(100-T44)</f>
        <v/>
      </c>
      <c r="X44" s="2" t="inlineStr">
        <is>
          <t>[]</t>
        </is>
      </c>
      <c r="Y44" s="2" t="inlineStr">
        <is>
          <t>["seo_runs/jeminise.com/20260906_234129/qa/20260909_042000/images/016_07.jpg", "https://jeminise.com/products/christian-bedding-set-inspirational-bible-verse-comforter", "https://cdn.shopify.com/s/files/1/0792/5098/1063/files/700766e63cdebb7f3088f7ecaf56b3bae4ce4d1ffe15a4a258d5814894208554.jpg?v=1787237716"]</t>
        </is>
      </c>
    </row>
    <row r="45" ht="66" customHeight="1">
      <c r="A45" s="3" t="inlineStr">
        <is>
          <t>jeminise.com+christian-bedding-set-inspirational-bible-verse-comforter</t>
        </is>
      </c>
      <c r="B45" s="3" t="inlineStr">
        <is>
          <t>qaimg_b6f3b14622752957</t>
        </is>
      </c>
      <c r="C45" s="4" t="inlineStr">
        <is>
          <t>https://cdn.shopify.com/s/files/1/0792/5098/1063/files/f21374c2239f926c348f6641a7e0f8929698fa199fd8f23e654037e1384e4214.jpg?v=1787237716</t>
        </is>
      </c>
      <c r="D45" s="4" t="inlineStr">
        <is>
          <t>https://cdn.shopify.com/s/files/1/0792/5098/1063/files/f21374c2239f926c348f6641a7e0f8929698fa199fd8f23e654037e1384e4214.jpg?v=1787237716</t>
        </is>
      </c>
      <c r="E45" s="3" t="inlineStr">
        <is>
          <t>47933840228551</t>
        </is>
      </c>
      <c r="F45" s="3" t="inlineStr">
        <is>
          <t>47933840228551</t>
        </is>
      </c>
      <c r="G45" s="3" t="inlineStr"/>
      <c r="H45" s="3" t="inlineStr">
        <is>
          <t>GALLERY</t>
        </is>
      </c>
      <c r="I45" s="3" t="inlineStr">
        <is>
          <t>DIRECT_IMAGE_VERIFICATION + R5_AUDIT</t>
        </is>
      </c>
      <c r="J45" s="3" t="inlineStr">
        <is>
          <t>2026-09-09T04:20:11.895007+07:00</t>
        </is>
      </c>
      <c r="K45" s="3" t="inlineStr">
        <is>
          <t>Size dimension panel showing Twin, Full, Queen and King bedding dimensions.</t>
        </is>
      </c>
      <c r="L45" s="3" t="inlineStr">
        <is>
          <t>Size dimension panel showing Twin, Full, Queen and King bedding dimensions.</t>
        </is>
      </c>
      <c r="M45" s="3" t="inlineStr">
        <is>
          <t>SET</t>
        </is>
      </c>
      <c r="N45" s="3" t="inlineStr">
        <is>
          <t>Christian warrior bedding size chart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3" t="inlineStr">
        <is>
          <t>FULL</t>
        </is>
      </c>
      <c r="S45" s="7">
        <f>IF(O45="FULL",40,IF(O45="PARTIAL",40/2,0))+IF(P45="FULL",30,IF(P45="PARTIAL",30/2,0))+IF(Q45="FULL",20,IF(Q45="PARTIAL",20/2,0))+IF(R45="FULL",10,IF(R45="PARTIAL",10/2,0))</f>
        <v/>
      </c>
      <c r="T45" s="7">
        <f>IF(O45="NOT_CHECKED",0,40)+IF(P45="NOT_CHECKED",0,30)+IF(Q45="NOT_CHECKED",0,20)+IF(R45="NOT_CHECKED",0,10)</f>
        <v/>
      </c>
      <c r="U45" s="7">
        <f>IF(T45=100,S45,"")</f>
        <v/>
      </c>
      <c r="V45" s="7">
        <f>S45</f>
        <v/>
      </c>
      <c r="W45" s="7">
        <f>S45+(100-T45)</f>
        <v/>
      </c>
      <c r="X45" s="3" t="inlineStr">
        <is>
          <t>[]</t>
        </is>
      </c>
      <c r="Y45" s="3" t="inlineStr">
        <is>
          <t>["seo_runs/jeminise.com/20260906_234129/qa/20260909_042000/images/016_08.jpg", "https://jeminise.com/products/christian-bedding-set-inspirational-bible-verse-comforter", "https://cdn.shopify.com/s/files/1/0792/5098/1063/files/f21374c2239f926c348f6641a7e0f8929698fa199fd8f23e654037e1384e4214.jpg?v=1787237716"]</t>
        </is>
      </c>
    </row>
    <row r="46" ht="66" customHeight="1">
      <c r="A46" s="2" t="inlineStr">
        <is>
          <t>jeminise.com+christmas-bedding-quilt-soft-microfiber-holiday-bedsprea-design-01</t>
        </is>
      </c>
      <c r="B46" s="2" t="inlineStr">
        <is>
          <t>qaimg_df5c014b46f12d12</t>
        </is>
      </c>
      <c r="C46" s="4" t="inlineStr">
        <is>
          <t>https://cdn.shopify.com/s/files/1/0792/5098/1063/files/98667aa304d1cce79ae2ca099f84c182034fb8adc27fbd823eb0c5c00bd2999d.jpg?v=1787239344</t>
        </is>
      </c>
      <c r="D46" s="4" t="inlineStr">
        <is>
          <t>https://cdn.shopify.com/s/files/1/0792/5098/1063/files/98667aa304d1cce79ae2ca099f84c182034fb8adc27fbd823eb0c5c00bd2999d.jpg?v=1787239344</t>
        </is>
      </c>
      <c r="E46" s="2" t="inlineStr">
        <is>
          <t>47934037360839</t>
        </is>
      </c>
      <c r="F46" s="2" t="inlineStr">
        <is>
          <t>47934037360839</t>
        </is>
      </c>
      <c r="G46" s="2" t="inlineStr"/>
      <c r="H46" s="2" t="inlineStr">
        <is>
          <t>GALLERY</t>
        </is>
      </c>
      <c r="I46" s="2" t="inlineStr">
        <is>
          <t>DIRECT_IMAGE_VERIFICATION + R5_AUDIT</t>
        </is>
      </c>
      <c r="J46" s="2" t="inlineStr">
        <is>
          <t>2026-09-09T04:20:11.895007+07:00</t>
        </is>
      </c>
      <c r="K46" s="2" t="inlineStr">
        <is>
          <t>Christmas tree patchwork quilt bed mockup with red, green, navy and cream squares and matching shams.</t>
        </is>
      </c>
      <c r="L46" s="2" t="inlineStr">
        <is>
          <t>Christmas tree patchwork quilt bed mockup with red, green, navy and cream squares and matching shams.</t>
        </is>
      </c>
      <c r="M46" s="2" t="inlineStr">
        <is>
          <t>SET</t>
        </is>
      </c>
      <c r="N46" s="2" t="inlineStr">
        <is>
          <t>Christmas tree patchwork quilt set on bed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5">
        <f>IF(O46="FULL",40,IF(O46="PARTIAL",40/2,0))+IF(P46="FULL",30,IF(P46="PARTIAL",30/2,0))+IF(Q46="FULL",20,IF(Q46="PARTIAL",20/2,0))+IF(R46="FULL",10,IF(R46="PARTIAL",10/2,0))</f>
        <v/>
      </c>
      <c r="T46" s="5">
        <f>IF(O46="NOT_CHECKED",0,40)+IF(P46="NOT_CHECKED",0,30)+IF(Q46="NOT_CHECKED",0,20)+IF(R46="NOT_CHECKED",0,10)</f>
        <v/>
      </c>
      <c r="U46" s="5">
        <f>IF(T46=100,S46,"")</f>
        <v/>
      </c>
      <c r="V46" s="5">
        <f>S46</f>
        <v/>
      </c>
      <c r="W46" s="5">
        <f>S46+(100-T46)</f>
        <v/>
      </c>
      <c r="X46" s="2" t="inlineStr">
        <is>
          <t>[]</t>
        </is>
      </c>
      <c r="Y46" s="2" t="inlineStr">
        <is>
          <t>["seo_runs/jeminise.com/20260906_234129/qa/20260909_042000/images/017_01.jpg", "https://jeminise.com/products/christmas-bedding-quilt-soft-microfiber-holiday-bedsprea-design-01", "https://cdn.shopify.com/s/files/1/0792/5098/1063/files/98667aa304d1cce79ae2ca099f84c182034fb8adc27fbd823eb0c5c00bd2999d.jpg?v=1787239344"]</t>
        </is>
      </c>
    </row>
    <row r="47" ht="66" customHeight="1">
      <c r="A47" s="3" t="inlineStr">
        <is>
          <t>jeminise.com+christmas-bedding-quilt-soft-microfiber-holiday-bedsprea-design-01</t>
        </is>
      </c>
      <c r="B47" s="3" t="inlineStr">
        <is>
          <t>qaimg_9c8b4dfb6ba046b3</t>
        </is>
      </c>
      <c r="C47" s="4" t="inlineStr">
        <is>
          <t>https://cdn.shopify.com/s/files/1/0792/5098/1063/files/ef5fb0f3b4abe84445884164b3fe8a9b60849f27d9f160dbf6202e551cd44354.jpg?v=1787239344</t>
        </is>
      </c>
      <c r="D47" s="4" t="inlineStr">
        <is>
          <t>https://cdn.shopify.com/s/files/1/0792/5098/1063/files/ef5fb0f3b4abe84445884164b3fe8a9b60849f27d9f160dbf6202e551cd44354.jpg?v=1787239344</t>
        </is>
      </c>
      <c r="E47" s="3" t="inlineStr">
        <is>
          <t>47934037393607</t>
        </is>
      </c>
      <c r="F47" s="3" t="inlineStr">
        <is>
          <t>47934037393607</t>
        </is>
      </c>
      <c r="G47" s="3" t="inlineStr"/>
      <c r="H47" s="3" t="inlineStr">
        <is>
          <t>GALLERY</t>
        </is>
      </c>
      <c r="I47" s="3" t="inlineStr">
        <is>
          <t>DIRECT_IMAGE_VERIFICATION + R5_AUDIT</t>
        </is>
      </c>
      <c r="J47" s="3" t="inlineStr">
        <is>
          <t>2026-09-09T04:20:11.895007+07:00</t>
        </is>
      </c>
      <c r="K47" s="3" t="inlineStr">
        <is>
          <t>Bedroom mockup showing the Christmas tree patchwork quilt with coordinated pillow shams.</t>
        </is>
      </c>
      <c r="L47" s="3" t="inlineStr">
        <is>
          <t>Bedroom mockup showing the Christmas tree patchwork quilt with coordinated pillow shams.</t>
        </is>
      </c>
      <c r="M47" s="3" t="inlineStr">
        <is>
          <t>SET</t>
        </is>
      </c>
      <c r="N47" s="3" t="inlineStr">
        <is>
          <t>Christmas tree patchwork quilt bedroom mockup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3" t="inlineStr">
        <is>
          <t>FULL</t>
        </is>
      </c>
      <c r="S47" s="7">
        <f>IF(O47="FULL",40,IF(O47="PARTIAL",40/2,0))+IF(P47="FULL",30,IF(P47="PARTIAL",30/2,0))+IF(Q47="FULL",20,IF(Q47="PARTIAL",20/2,0))+IF(R47="FULL",10,IF(R47="PARTIAL",10/2,0))</f>
        <v/>
      </c>
      <c r="T47" s="7">
        <f>IF(O47="NOT_CHECKED",0,40)+IF(P47="NOT_CHECKED",0,30)+IF(Q47="NOT_CHECKED",0,20)+IF(R47="NOT_CHECKED",0,10)</f>
        <v/>
      </c>
      <c r="U47" s="7">
        <f>IF(T47=100,S47,"")</f>
        <v/>
      </c>
      <c r="V47" s="7">
        <f>S47</f>
        <v/>
      </c>
      <c r="W47" s="7">
        <f>S47+(100-T47)</f>
        <v/>
      </c>
      <c r="X47" s="3" t="inlineStr">
        <is>
          <t>[]</t>
        </is>
      </c>
      <c r="Y47" s="3" t="inlineStr">
        <is>
          <t>["seo_runs/jeminise.com/20260906_234129/qa/20260909_042000/images/017_02.jpg", "https://jeminise.com/products/christmas-bedding-quilt-soft-microfiber-holiday-bedsprea-design-01", "https://cdn.shopify.com/s/files/1/0792/5098/1063/files/ef5fb0f3b4abe84445884164b3fe8a9b60849f27d9f160dbf6202e551cd44354.jpg?v=1787239344"]</t>
        </is>
      </c>
    </row>
    <row r="48" ht="66" customHeight="1">
      <c r="A48" s="2" t="inlineStr">
        <is>
          <t>jeminise.com+christmas-bedding-quilt-soft-microfiber-holiday-bedsprea-design-01</t>
        </is>
      </c>
      <c r="B48" s="2" t="inlineStr">
        <is>
          <t>qaimg_5ec1c83c3b06a01d</t>
        </is>
      </c>
      <c r="C48" s="4" t="inlineStr">
        <is>
          <t>https://cdn.shopify.com/s/files/1/0792/5098/1063/files/4b19b345400162da6ca516cd83b37574ed8b518e4fb7f48520940b3fc7b5f9df.jpg?v=1787239344</t>
        </is>
      </c>
      <c r="D48" s="4" t="inlineStr">
        <is>
          <t>https://cdn.shopify.com/s/files/1/0792/5098/1063/files/4b19b345400162da6ca516cd83b37574ed8b518e4fb7f48520940b3fc7b5f9df.jpg?v=1787239344</t>
        </is>
      </c>
      <c r="E48" s="2" t="inlineStr">
        <is>
          <t>47934037426375</t>
        </is>
      </c>
      <c r="F48" s="2" t="inlineStr">
        <is>
          <t>47934037426375</t>
        </is>
      </c>
      <c r="G48" s="2" t="inlineStr"/>
      <c r="H48" s="2" t="inlineStr">
        <is>
          <t>GALLERY</t>
        </is>
      </c>
      <c r="I48" s="2" t="inlineStr">
        <is>
          <t>DIRECT_IMAGE_VERIFICATION + R5_AUDIT</t>
        </is>
      </c>
      <c r="J48" s="2" t="inlineStr">
        <is>
          <t>2026-09-09T04:20:11.895007+07:00</t>
        </is>
      </c>
      <c r="K48" s="2" t="inlineStr">
        <is>
          <t>Matching pillow sham with red, green, navy and cream Christmas tree patchwork squares.</t>
        </is>
      </c>
      <c r="L48" s="2" t="inlineStr">
        <is>
          <t>Matching pillow sham with red, green, navy and cream Christmas tree patchwork squares.</t>
        </is>
      </c>
      <c r="M48" s="2" t="inlineStr">
        <is>
          <t>SET</t>
        </is>
      </c>
      <c r="N48" s="2" t="inlineStr">
        <is>
          <t>Christmas tree patchwork pillow sham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inlineStr">
        <is>
          <t>FULL</t>
        </is>
      </c>
      <c r="S48" s="5">
        <f>IF(O48="FULL",40,IF(O48="PARTIAL",40/2,0))+IF(P48="FULL",30,IF(P48="PARTIAL",30/2,0))+IF(Q48="FULL",20,IF(Q48="PARTIAL",20/2,0))+IF(R48="FULL",10,IF(R48="PARTIAL",10/2,0))</f>
        <v/>
      </c>
      <c r="T48" s="5">
        <f>IF(O48="NOT_CHECKED",0,40)+IF(P48="NOT_CHECKED",0,30)+IF(Q48="NOT_CHECKED",0,20)+IF(R48="NOT_CHECKED",0,10)</f>
        <v/>
      </c>
      <c r="U48" s="5">
        <f>IF(T48=100,S48,"")</f>
        <v/>
      </c>
      <c r="V48" s="5">
        <f>S48</f>
        <v/>
      </c>
      <c r="W48" s="5">
        <f>S48+(100-T48)</f>
        <v/>
      </c>
      <c r="X48" s="2" t="inlineStr">
        <is>
          <t>[]</t>
        </is>
      </c>
      <c r="Y48" s="2" t="inlineStr">
        <is>
          <t>["seo_runs/jeminise.com/20260906_234129/qa/20260909_042000/images/017_03.jpg", "https://jeminise.com/products/christmas-bedding-quilt-soft-microfiber-holiday-bedsprea-design-01", "https://cdn.shopify.com/s/files/1/0792/5098/1063/files/4b19b345400162da6ca516cd83b37574ed8b518e4fb7f48520940b3fc7b5f9df.jpg?v=1787239344"]</t>
        </is>
      </c>
    </row>
    <row r="49" ht="66" customHeight="1">
      <c r="A49" s="3" t="inlineStr">
        <is>
          <t>jeminise.com+christmas-bedding-quilt-soft-microfiber-holiday-bedsprea-design-01</t>
        </is>
      </c>
      <c r="B49" s="3" t="inlineStr">
        <is>
          <t>qaimg_2eab440c26c84af6</t>
        </is>
      </c>
      <c r="C49" s="4" t="inlineStr">
        <is>
          <t>https://cdn.shopify.com/s/files/1/0792/5098/1063/files/c7fc88ca9ec64e57ac466c010b032d865a04a5f7efbdb4acdfcaf38397afc4e5.jpg?v=1787239344</t>
        </is>
      </c>
      <c r="D49" s="4" t="inlineStr">
        <is>
          <t>https://cdn.shopify.com/s/files/1/0792/5098/1063/files/c7fc88ca9ec64e57ac466c010b032d865a04a5f7efbdb4acdfcaf38397afc4e5.jpg?v=1787239344</t>
        </is>
      </c>
      <c r="E49" s="3" t="inlineStr">
        <is>
          <t>47934037459143</t>
        </is>
      </c>
      <c r="F49" s="3" t="inlineStr">
        <is>
          <t>47934037459143</t>
        </is>
      </c>
      <c r="G49" s="3" t="inlineStr"/>
      <c r="H49" s="3" t="inlineStr">
        <is>
          <t>GALLERY</t>
        </is>
      </c>
      <c r="I49" s="3" t="inlineStr">
        <is>
          <t>DIRECT_IMAGE_VERIFICATION + R5_AUDIT</t>
        </is>
      </c>
      <c r="J49" s="3" t="inlineStr">
        <is>
          <t>2026-09-09T04:20:11.895007+07:00</t>
        </is>
      </c>
      <c r="K49" s="3" t="inlineStr">
        <is>
          <t>Close-up of Christmas tree patchwork squares with visible quilt stitching.</t>
        </is>
      </c>
      <c r="L49" s="3" t="inlineStr">
        <is>
          <t>Close-up of Christmas tree patchwork squares with visible quilt stitching.</t>
        </is>
      </c>
      <c r="M49" s="3" t="inlineStr">
        <is>
          <t>SET</t>
        </is>
      </c>
      <c r="N49" s="3" t="inlineStr">
        <is>
          <t>Christmas tree patchwork quilt stitching close-up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3" t="inlineStr">
        <is>
          <t>FULL</t>
        </is>
      </c>
      <c r="S49" s="7">
        <f>IF(O49="FULL",40,IF(O49="PARTIAL",40/2,0))+IF(P49="FULL",30,IF(P49="PARTIAL",30/2,0))+IF(Q49="FULL",20,IF(Q49="PARTIAL",20/2,0))+IF(R49="FULL",10,IF(R49="PARTIAL",10/2,0))</f>
        <v/>
      </c>
      <c r="T49" s="7">
        <f>IF(O49="NOT_CHECKED",0,40)+IF(P49="NOT_CHECKED",0,30)+IF(Q49="NOT_CHECKED",0,20)+IF(R49="NOT_CHECKED",0,10)</f>
        <v/>
      </c>
      <c r="U49" s="7">
        <f>IF(T49=100,S49,"")</f>
        <v/>
      </c>
      <c r="V49" s="7">
        <f>S49</f>
        <v/>
      </c>
      <c r="W49" s="7">
        <f>S49+(100-T49)</f>
        <v/>
      </c>
      <c r="X49" s="3" t="inlineStr">
        <is>
          <t>[]</t>
        </is>
      </c>
      <c r="Y49" s="3" t="inlineStr">
        <is>
          <t>["seo_runs/jeminise.com/20260906_234129/qa/20260909_042000/images/017_04.jpg", "https://jeminise.com/products/christmas-bedding-quilt-soft-microfiber-holiday-bedsprea-design-01", "https://cdn.shopify.com/s/files/1/0792/5098/1063/files/c7fc88ca9ec64e57ac466c010b032d865a04a5f7efbdb4acdfcaf38397afc4e5.jpg?v=1787239344"]</t>
        </is>
      </c>
    </row>
    <row r="50" ht="66" customHeight="1">
      <c r="A50" s="2" t="inlineStr">
        <is>
          <t>jeminise.com+christmas-bedding-quilt-soft-microfiber-holiday-bedsprea-design-01</t>
        </is>
      </c>
      <c r="B50" s="2" t="inlineStr">
        <is>
          <t>qaimg_3b2404c3a47bca9a</t>
        </is>
      </c>
      <c r="C50" s="4" t="inlineStr">
        <is>
          <t>https://cdn.shopify.com/s/files/1/0792/5098/1063/files/f9918abc28c263da8a27b5d2771f223f596735f0b41e35025e4ec8c4b1213901.jpg?v=1787239344</t>
        </is>
      </c>
      <c r="D50" s="4" t="inlineStr">
        <is>
          <t>https://cdn.shopify.com/s/files/1/0792/5098/1063/files/f9918abc28c263da8a27b5d2771f223f596735f0b41e35025e4ec8c4b1213901.jpg?v=1787239344</t>
        </is>
      </c>
      <c r="E50" s="2" t="inlineStr">
        <is>
          <t>47934037491911</t>
        </is>
      </c>
      <c r="F50" s="2" t="inlineStr">
        <is>
          <t>47934037491911</t>
        </is>
      </c>
      <c r="G50" s="2" t="inlineStr"/>
      <c r="H50" s="2" t="inlineStr">
        <is>
          <t>GALLERY</t>
        </is>
      </c>
      <c r="I50" s="2" t="inlineStr">
        <is>
          <t>DIRECT_IMAGE_VERIFICATION + R5_AUDIT</t>
        </is>
      </c>
      <c r="J50" s="2" t="inlineStr">
        <is>
          <t>2026-09-09T04:20:11.895007+07:00</t>
        </is>
      </c>
      <c r="K50" s="2" t="inlineStr">
        <is>
          <t>Size and component panel showing one premium quilt and two optional standard shams.</t>
        </is>
      </c>
      <c r="L50" s="2" t="inlineStr">
        <is>
          <t>Size and component panel showing one premium quilt and two optional standard shams.</t>
        </is>
      </c>
      <c r="M50" s="2" t="inlineStr">
        <is>
          <t>SET</t>
        </is>
      </c>
      <c r="N50" s="2" t="inlineStr">
        <is>
          <t>Christmas tree patchwork quilt size and sham options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inlineStr">
        <is>
          <t>FULL</t>
        </is>
      </c>
      <c r="S50" s="5">
        <f>IF(O50="FULL",40,IF(O50="PARTIAL",40/2,0))+IF(P50="FULL",30,IF(P50="PARTIAL",30/2,0))+IF(Q50="FULL",20,IF(Q50="PARTIAL",20/2,0))+IF(R50="FULL",10,IF(R50="PARTIAL",10/2,0))</f>
        <v/>
      </c>
      <c r="T50" s="5">
        <f>IF(O50="NOT_CHECKED",0,40)+IF(P50="NOT_CHECKED",0,30)+IF(Q50="NOT_CHECKED",0,20)+IF(R50="NOT_CHECKED",0,10)</f>
        <v/>
      </c>
      <c r="U50" s="5">
        <f>IF(T50=100,S50,"")</f>
        <v/>
      </c>
      <c r="V50" s="5">
        <f>S50</f>
        <v/>
      </c>
      <c r="W50" s="5">
        <f>S50+(100-T50)</f>
        <v/>
      </c>
      <c r="X50" s="2" t="inlineStr">
        <is>
          <t>[]</t>
        </is>
      </c>
      <c r="Y50" s="2" t="inlineStr">
        <is>
          <t>["seo_runs/jeminise.com/20260906_234129/qa/20260909_042000/images/017_05.jpg", "https://jeminise.com/products/christmas-bedding-quilt-soft-microfiber-holiday-bedsprea-design-01", "https://cdn.shopify.com/s/files/1/0792/5098/1063/files/f9918abc28c263da8a27b5d2771f223f596735f0b41e35025e4ec8c4b1213901.jpg?v=1787239344"]</t>
        </is>
      </c>
    </row>
    <row r="51" ht="66" customHeight="1">
      <c r="A51" s="3" t="inlineStr">
        <is>
          <t>jeminise.com+christmas-bedding-quilt-soft-microfiber-holiday-bedsprea-design-02</t>
        </is>
      </c>
      <c r="B51" s="3" t="inlineStr">
        <is>
          <t>qaimg_a5aa70c5e4ea5177</t>
        </is>
      </c>
      <c r="C51" s="4" t="inlineStr">
        <is>
          <t>https://cdn.shopify.com/s/files/1/0792/5098/1063/files/57a7ce08a0f83d12377baee8b7269bba25dd26fdd9c91110fbdc7c49acd6cd46.jpg?v=1787239348</t>
        </is>
      </c>
      <c r="D51" s="4" t="inlineStr">
        <is>
          <t>https://cdn.shopify.com/s/files/1/0792/5098/1063/files/57a7ce08a0f83d12377baee8b7269bba25dd26fdd9c91110fbdc7c49acd6cd46.jpg?v=1787239348</t>
        </is>
      </c>
      <c r="E51" s="3" t="inlineStr">
        <is>
          <t>47934037917895</t>
        </is>
      </c>
      <c r="F51" s="3" t="inlineStr">
        <is>
          <t>47934037917895</t>
        </is>
      </c>
      <c r="G51" s="3" t="inlineStr"/>
      <c r="H51" s="3" t="inlineStr">
        <is>
          <t>GALLERY</t>
        </is>
      </c>
      <c r="I51" s="3" t="inlineStr">
        <is>
          <t>DIRECT_IMAGE_VERIFICATION + R5_AUDIT</t>
        </is>
      </c>
      <c r="J51" s="3" t="inlineStr">
        <is>
          <t>2026-09-09T04:20:11.895007+07:00</t>
        </is>
      </c>
      <c r="K51" s="3" t="inlineStr">
        <is>
          <t>Santa, snowman and reindeer Christmas patchwork quilt bed mockup with red and green holiday squares.</t>
        </is>
      </c>
      <c r="L51" s="3" t="inlineStr">
        <is>
          <t>Santa, snowman and reindeer Christmas patchwork quilt bed mockup with red and green holiday squares.</t>
        </is>
      </c>
      <c r="M51" s="3" t="inlineStr">
        <is>
          <t>SET</t>
        </is>
      </c>
      <c r="N51" s="3" t="inlineStr">
        <is>
          <t>Santa snowman Christmas patchwork quilt set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3" t="inlineStr">
        <is>
          <t>FULL</t>
        </is>
      </c>
      <c r="S51" s="7">
        <f>IF(O51="FULL",40,IF(O51="PARTIAL",40/2,0))+IF(P51="FULL",30,IF(P51="PARTIAL",30/2,0))+IF(Q51="FULL",20,IF(Q51="PARTIAL",20/2,0))+IF(R51="FULL",10,IF(R51="PARTIAL",10/2,0))</f>
        <v/>
      </c>
      <c r="T51" s="7">
        <f>IF(O51="NOT_CHECKED",0,40)+IF(P51="NOT_CHECKED",0,30)+IF(Q51="NOT_CHECKED",0,20)+IF(R51="NOT_CHECKED",0,10)</f>
        <v/>
      </c>
      <c r="U51" s="7">
        <f>IF(T51=100,S51,"")</f>
        <v/>
      </c>
      <c r="V51" s="7">
        <f>S51</f>
        <v/>
      </c>
      <c r="W51" s="7">
        <f>S51+(100-T51)</f>
        <v/>
      </c>
      <c r="X51" s="3" t="inlineStr">
        <is>
          <t>[]</t>
        </is>
      </c>
      <c r="Y51" s="3" t="inlineStr">
        <is>
          <t>["seo_runs/jeminise.com/20260906_234129/qa/20260909_042000/images/018_01.jpg", "https://jeminise.com/products/christmas-bedding-quilt-soft-microfiber-holiday-bedsprea-design-02", "https://cdn.shopify.com/s/files/1/0792/5098/1063/files/57a7ce08a0f83d12377baee8b7269bba25dd26fdd9c91110fbdc7c49acd6cd46.jpg?v=1787239348"]</t>
        </is>
      </c>
    </row>
    <row r="52" ht="66" customHeight="1">
      <c r="A52" s="2" t="inlineStr">
        <is>
          <t>jeminise.com+christmas-bedding-quilt-soft-microfiber-holiday-bedsprea-design-02</t>
        </is>
      </c>
      <c r="B52" s="2" t="inlineStr">
        <is>
          <t>qaimg_2a300c2de643da7f</t>
        </is>
      </c>
      <c r="C52" s="4" t="inlineStr">
        <is>
          <t>https://cdn.shopify.com/s/files/1/0792/5098/1063/files/5c29dd6655367de605661f28975aea64ef7bf3fe97fa2040469c83a862519be6.jpg?v=1787239348</t>
        </is>
      </c>
      <c r="D52" s="4" t="inlineStr">
        <is>
          <t>https://cdn.shopify.com/s/files/1/0792/5098/1063/files/5c29dd6655367de605661f28975aea64ef7bf3fe97fa2040469c83a862519be6.jpg?v=1787239348</t>
        </is>
      </c>
      <c r="E52" s="2" t="inlineStr">
        <is>
          <t>47934037950663</t>
        </is>
      </c>
      <c r="F52" s="2" t="inlineStr">
        <is>
          <t>47934037950663</t>
        </is>
      </c>
      <c r="G52" s="2" t="inlineStr"/>
      <c r="H52" s="2" t="inlineStr">
        <is>
          <t>GALLERY</t>
        </is>
      </c>
      <c r="I52" s="2" t="inlineStr">
        <is>
          <t>DIRECT_IMAGE_VERIFICATION + R5_AUDIT</t>
        </is>
      </c>
      <c r="J52" s="2" t="inlineStr">
        <is>
          <t>2026-09-09T04:20:11.895007+07:00</t>
        </is>
      </c>
      <c r="K52" s="2" t="inlineStr">
        <is>
          <t>Bedroom mockup showing Santa and snowman Christmas quilt with coordinated pillow shams.</t>
        </is>
      </c>
      <c r="L52" s="2" t="inlineStr">
        <is>
          <t>Bedroom mockup showing Santa and snowman Christmas quilt with coordinated pillow shams.</t>
        </is>
      </c>
      <c r="M52" s="2" t="inlineStr">
        <is>
          <t>SET</t>
        </is>
      </c>
      <c r="N52" s="2" t="inlineStr">
        <is>
          <t>Santa snowman Christmas quilt bedroom mockup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inlineStr">
        <is>
          <t>FULL</t>
        </is>
      </c>
      <c r="S52" s="5">
        <f>IF(O52="FULL",40,IF(O52="PARTIAL",40/2,0))+IF(P52="FULL",30,IF(P52="PARTIAL",30/2,0))+IF(Q52="FULL",20,IF(Q52="PARTIAL",20/2,0))+IF(R52="FULL",10,IF(R52="PARTIAL",10/2,0))</f>
        <v/>
      </c>
      <c r="T52" s="5">
        <f>IF(O52="NOT_CHECKED",0,40)+IF(P52="NOT_CHECKED",0,30)+IF(Q52="NOT_CHECKED",0,20)+IF(R52="NOT_CHECKED",0,10)</f>
        <v/>
      </c>
      <c r="U52" s="5">
        <f>IF(T52=100,S52,"")</f>
        <v/>
      </c>
      <c r="V52" s="5">
        <f>S52</f>
        <v/>
      </c>
      <c r="W52" s="5">
        <f>S52+(100-T52)</f>
        <v/>
      </c>
      <c r="X52" s="2" t="inlineStr">
        <is>
          <t>[]</t>
        </is>
      </c>
      <c r="Y52" s="2" t="inlineStr">
        <is>
          <t>["seo_runs/jeminise.com/20260906_234129/qa/20260909_042000/images/018_02.jpg", "https://jeminise.com/products/christmas-bedding-quilt-soft-microfiber-holiday-bedsprea-design-02", "https://cdn.shopify.com/s/files/1/0792/5098/1063/files/5c29dd6655367de605661f28975aea64ef7bf3fe97fa2040469c83a862519be6.jpg?v=1787239348"]</t>
        </is>
      </c>
    </row>
    <row r="53" ht="66" customHeight="1">
      <c r="A53" s="3" t="inlineStr">
        <is>
          <t>jeminise.com+christmas-bedding-quilt-soft-microfiber-holiday-bedsprea-design-02</t>
        </is>
      </c>
      <c r="B53" s="3" t="inlineStr">
        <is>
          <t>qaimg_f2b384723c7f1b30</t>
        </is>
      </c>
      <c r="C53" s="4" t="inlineStr">
        <is>
          <t>https://cdn.shopify.com/s/files/1/0792/5098/1063/files/0497bbb180b270bb821aa012be14278640ab96779bd2279f6fde75e9a69bc981.jpg?v=1787239348</t>
        </is>
      </c>
      <c r="D53" s="4" t="inlineStr">
        <is>
          <t>https://cdn.shopify.com/s/files/1/0792/5098/1063/files/0497bbb180b270bb821aa012be14278640ab96779bd2279f6fde75e9a69bc981.jpg?v=1787239348</t>
        </is>
      </c>
      <c r="E53" s="3" t="inlineStr">
        <is>
          <t>47934037983431</t>
        </is>
      </c>
      <c r="F53" s="3" t="inlineStr">
        <is>
          <t>47934037983431</t>
        </is>
      </c>
      <c r="G53" s="3" t="inlineStr"/>
      <c r="H53" s="3" t="inlineStr">
        <is>
          <t>GALLERY</t>
        </is>
      </c>
      <c r="I53" s="3" t="inlineStr">
        <is>
          <t>DIRECT_IMAGE_VERIFICATION + R5_AUDIT</t>
        </is>
      </c>
      <c r="J53" s="3" t="inlineStr">
        <is>
          <t>2026-09-09T04:20:11.895007+07:00</t>
        </is>
      </c>
      <c r="K53" s="3" t="inlineStr">
        <is>
          <t>Close-up of snowman, Christmas tree, snowflakes and quilt stitching on red and green patchwork.</t>
        </is>
      </c>
      <c r="L53" s="3" t="inlineStr">
        <is>
          <t>Close-up of snowman, Christmas tree, snowflakes and quilt stitching on red and green patchwork.</t>
        </is>
      </c>
      <c r="M53" s="3" t="inlineStr">
        <is>
          <t>SET</t>
        </is>
      </c>
      <c r="N53" s="3" t="inlineStr">
        <is>
          <t>Santa snowman quilt stitching close-up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3" t="inlineStr">
        <is>
          <t>FULL</t>
        </is>
      </c>
      <c r="S53" s="7">
        <f>IF(O53="FULL",40,IF(O53="PARTIAL",40/2,0))+IF(P53="FULL",30,IF(P53="PARTIAL",30/2,0))+IF(Q53="FULL",20,IF(Q53="PARTIAL",20/2,0))+IF(R53="FULL",10,IF(R53="PARTIAL",10/2,0))</f>
        <v/>
      </c>
      <c r="T53" s="7">
        <f>IF(O53="NOT_CHECKED",0,40)+IF(P53="NOT_CHECKED",0,30)+IF(Q53="NOT_CHECKED",0,20)+IF(R53="NOT_CHECKED",0,10)</f>
        <v/>
      </c>
      <c r="U53" s="7">
        <f>IF(T53=100,S53,"")</f>
        <v/>
      </c>
      <c r="V53" s="7">
        <f>S53</f>
        <v/>
      </c>
      <c r="W53" s="7">
        <f>S53+(100-T53)</f>
        <v/>
      </c>
      <c r="X53" s="3" t="inlineStr">
        <is>
          <t>[]</t>
        </is>
      </c>
      <c r="Y53" s="3" t="inlineStr">
        <is>
          <t>["seo_runs/jeminise.com/20260906_234129/qa/20260909_042000/images/018_03.jpg", "https://jeminise.com/products/christmas-bedding-quilt-soft-microfiber-holiday-bedsprea-design-02", "https://cdn.shopify.com/s/files/1/0792/5098/1063/files/0497bbb180b270bb821aa012be14278640ab96779bd2279f6fde75e9a69bc981.jpg?v=1787239348"]</t>
        </is>
      </c>
    </row>
    <row r="54" ht="66" customHeight="1">
      <c r="A54" s="2" t="inlineStr">
        <is>
          <t>jeminise.com+christmas-bedding-quilt-soft-microfiber-holiday-bedsprea-design-02</t>
        </is>
      </c>
      <c r="B54" s="2" t="inlineStr">
        <is>
          <t>qaimg_b9d194fcd7779d6b</t>
        </is>
      </c>
      <c r="C54" s="4" t="inlineStr">
        <is>
          <t>https://cdn.shopify.com/s/files/1/0792/5098/1063/files/c905e081df2beed08b734c876c22d231c44cf1610294b7c0b8f756a1008190b1.jpg?v=1787239348</t>
        </is>
      </c>
      <c r="D54" s="4" t="inlineStr">
        <is>
          <t>https://cdn.shopify.com/s/files/1/0792/5098/1063/files/c905e081df2beed08b734c876c22d231c44cf1610294b7c0b8f756a1008190b1.jpg?v=1787239348</t>
        </is>
      </c>
      <c r="E54" s="2" t="inlineStr">
        <is>
          <t>47934038016199</t>
        </is>
      </c>
      <c r="F54" s="2" t="inlineStr">
        <is>
          <t>47934038016199</t>
        </is>
      </c>
      <c r="G54" s="2" t="inlineStr"/>
      <c r="H54" s="2" t="inlineStr">
        <is>
          <t>GALLERY</t>
        </is>
      </c>
      <c r="I54" s="2" t="inlineStr">
        <is>
          <t>DIRECT_IMAGE_VERIFICATION + R5_AUDIT</t>
        </is>
      </c>
      <c r="J54" s="2" t="inlineStr">
        <is>
          <t>2026-09-09T04:20:11.895007+07:00</t>
        </is>
      </c>
      <c r="K54" s="2" t="inlineStr">
        <is>
          <t>Matching pillow sham with Santa, snowman, reindeer and Christmas tree patchwork artwork.</t>
        </is>
      </c>
      <c r="L54" s="2" t="inlineStr">
        <is>
          <t>Matching pillow sham with Santa, snowman, reindeer and Christmas tree patchwork artwork.</t>
        </is>
      </c>
      <c r="M54" s="2" t="inlineStr">
        <is>
          <t>SET</t>
        </is>
      </c>
      <c r="N54" s="2" t="inlineStr">
        <is>
          <t>Santa snowman Christmas pillow sham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inlineStr">
        <is>
          <t>FULL</t>
        </is>
      </c>
      <c r="S54" s="5">
        <f>IF(O54="FULL",40,IF(O54="PARTIAL",40/2,0))+IF(P54="FULL",30,IF(P54="PARTIAL",30/2,0))+IF(Q54="FULL",20,IF(Q54="PARTIAL",20/2,0))+IF(R54="FULL",10,IF(R54="PARTIAL",10/2,0))</f>
        <v/>
      </c>
      <c r="T54" s="5">
        <f>IF(O54="NOT_CHECKED",0,40)+IF(P54="NOT_CHECKED",0,30)+IF(Q54="NOT_CHECKED",0,20)+IF(R54="NOT_CHECKED",0,10)</f>
        <v/>
      </c>
      <c r="U54" s="5">
        <f>IF(T54=100,S54,"")</f>
        <v/>
      </c>
      <c r="V54" s="5">
        <f>S54</f>
        <v/>
      </c>
      <c r="W54" s="5">
        <f>S54+(100-T54)</f>
        <v/>
      </c>
      <c r="X54" s="2" t="inlineStr">
        <is>
          <t>[]</t>
        </is>
      </c>
      <c r="Y54" s="2" t="inlineStr">
        <is>
          <t>["seo_runs/jeminise.com/20260906_234129/qa/20260909_042000/images/018_04.jpg", "https://jeminise.com/products/christmas-bedding-quilt-soft-microfiber-holiday-bedsprea-design-02", "https://cdn.shopify.com/s/files/1/0792/5098/1063/files/c905e081df2beed08b734c876c22d231c44cf1610294b7c0b8f756a1008190b1.jpg?v=1787239348"]</t>
        </is>
      </c>
    </row>
    <row r="55" ht="66" customHeight="1">
      <c r="A55" s="3" t="inlineStr">
        <is>
          <t>jeminise.com+christmas-bedding-quilt-soft-microfiber-holiday-bedsprea-design-02</t>
        </is>
      </c>
      <c r="B55" s="3" t="inlineStr">
        <is>
          <t>qaimg_529933e13b525b8d</t>
        </is>
      </c>
      <c r="C55" s="4" t="inlineStr">
        <is>
          <t>https://cdn.shopify.com/s/files/1/0792/5098/1063/files/7f25263bf8ff6f505b2102e6286f57302397b98b0f9fdb7978daa38539f3f1ac.jpg?v=1787239348</t>
        </is>
      </c>
      <c r="D55" s="4" t="inlineStr">
        <is>
          <t>https://cdn.shopify.com/s/files/1/0792/5098/1063/files/7f25263bf8ff6f505b2102e6286f57302397b98b0f9fdb7978daa38539f3f1ac.jpg?v=1787239348</t>
        </is>
      </c>
      <c r="E55" s="3" t="inlineStr">
        <is>
          <t>47934038048967</t>
        </is>
      </c>
      <c r="F55" s="3" t="inlineStr">
        <is>
          <t>47934038048967</t>
        </is>
      </c>
      <c r="G55" s="3" t="inlineStr"/>
      <c r="H55" s="3" t="inlineStr">
        <is>
          <t>GALLERY</t>
        </is>
      </c>
      <c r="I55" s="3" t="inlineStr">
        <is>
          <t>DIRECT_IMAGE_VERIFICATION + R5_AUDIT</t>
        </is>
      </c>
      <c r="J55" s="3" t="inlineStr">
        <is>
          <t>2026-09-09T04:20:11.895007+07:00</t>
        </is>
      </c>
      <c r="K55" s="3" t="inlineStr">
        <is>
          <t>Size and component panel showing one premium quilt and two optional standard shams.</t>
        </is>
      </c>
      <c r="L55" s="3" t="inlineStr">
        <is>
          <t>Size and component panel showing one premium quilt and two optional standard shams.</t>
        </is>
      </c>
      <c r="M55" s="3" t="inlineStr">
        <is>
          <t>SET</t>
        </is>
      </c>
      <c r="N55" s="3" t="inlineStr">
        <is>
          <t>Santa snowman Christmas quilt size and sham options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3" t="inlineStr">
        <is>
          <t>FULL</t>
        </is>
      </c>
      <c r="S55" s="7">
        <f>IF(O55="FULL",40,IF(O55="PARTIAL",40/2,0))+IF(P55="FULL",30,IF(P55="PARTIAL",30/2,0))+IF(Q55="FULL",20,IF(Q55="PARTIAL",20/2,0))+IF(R55="FULL",10,IF(R55="PARTIAL",10/2,0))</f>
        <v/>
      </c>
      <c r="T55" s="7">
        <f>IF(O55="NOT_CHECKED",0,40)+IF(P55="NOT_CHECKED",0,30)+IF(Q55="NOT_CHECKED",0,20)+IF(R55="NOT_CHECKED",0,10)</f>
        <v/>
      </c>
      <c r="U55" s="7">
        <f>IF(T55=100,S55,"")</f>
        <v/>
      </c>
      <c r="V55" s="7">
        <f>S55</f>
        <v/>
      </c>
      <c r="W55" s="7">
        <f>S55+(100-T55)</f>
        <v/>
      </c>
      <c r="X55" s="3" t="inlineStr">
        <is>
          <t>[]</t>
        </is>
      </c>
      <c r="Y55" s="3" t="inlineStr">
        <is>
          <t>["seo_runs/jeminise.com/20260906_234129/qa/20260909_042000/images/018_05.jpg", "https://jeminise.com/products/christmas-bedding-quilt-soft-microfiber-holiday-bedsprea-design-02", "https://cdn.shopify.com/s/files/1/0792/5098/1063/files/7f25263bf8ff6f505b2102e6286f57302397b98b0f9fdb7978daa38539f3f1ac.jpg?v=1787239348"]</t>
        </is>
      </c>
    </row>
    <row r="56" ht="66" customHeight="1">
      <c r="A56" s="2" t="inlineStr">
        <is>
          <t>jeminise.com+christmas-bedding-quilt-soft-microfiber-holiday-bedsprea-design-03</t>
        </is>
      </c>
      <c r="B56" s="2" t="inlineStr">
        <is>
          <t>qaimg_54ac2c5f338be6e8</t>
        </is>
      </c>
      <c r="C56" s="4" t="inlineStr">
        <is>
          <t>https://cdn.shopify.com/s/files/1/0792/5098/1063/files/bbbc5063a842a4025b83691360e26a0f48bd6b628bfe51d0f66000c5bde9160f.jpg?v=1787239363</t>
        </is>
      </c>
      <c r="D56" s="4" t="inlineStr">
        <is>
          <t>https://cdn.shopify.com/s/files/1/0792/5098/1063/files/bbbc5063a842a4025b83691360e26a0f48bd6b628bfe51d0f66000c5bde9160f.jpg?v=1787239363</t>
        </is>
      </c>
      <c r="E56" s="2" t="inlineStr">
        <is>
          <t>47934039261383</t>
        </is>
      </c>
      <c r="F56" s="2" t="inlineStr">
        <is>
          <t>47934039261383</t>
        </is>
      </c>
      <c r="G56" s="2" t="inlineStr"/>
      <c r="H56" s="2" t="inlineStr">
        <is>
          <t>GALLERY</t>
        </is>
      </c>
      <c r="I56" s="2" t="inlineStr">
        <is>
          <t>DIRECT_IMAGE_VERIFICATION + R5_AUDIT</t>
        </is>
      </c>
      <c r="J56" s="2" t="inlineStr">
        <is>
          <t>2026-09-09T04:20:11.895007+07:00</t>
        </is>
      </c>
      <c r="K56" s="2" t="inlineStr">
        <is>
          <t>Red gingerbread Christmas quilt bed mockup with candy cane, holly, floral accents and matching shams.</t>
        </is>
      </c>
      <c r="L56" s="2" t="inlineStr">
        <is>
          <t>Red gingerbread Christmas quilt bed mockup with candy cane, holly, floral accents and matching shams.</t>
        </is>
      </c>
      <c r="M56" s="2" t="inlineStr">
        <is>
          <t>SET</t>
        </is>
      </c>
      <c r="N56" s="2" t="inlineStr">
        <is>
          <t>Red gingerbread Christmas quilt set on bed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inlineStr">
        <is>
          <t>FULL</t>
        </is>
      </c>
      <c r="S56" s="5">
        <f>IF(O56="FULL",40,IF(O56="PARTIAL",40/2,0))+IF(P56="FULL",30,IF(P56="PARTIAL",30/2,0))+IF(Q56="FULL",20,IF(Q56="PARTIAL",20/2,0))+IF(R56="FULL",10,IF(R56="PARTIAL",10/2,0))</f>
        <v/>
      </c>
      <c r="T56" s="5">
        <f>IF(O56="NOT_CHECKED",0,40)+IF(P56="NOT_CHECKED",0,30)+IF(Q56="NOT_CHECKED",0,20)+IF(R56="NOT_CHECKED",0,10)</f>
        <v/>
      </c>
      <c r="U56" s="5">
        <f>IF(T56=100,S56,"")</f>
        <v/>
      </c>
      <c r="V56" s="5">
        <f>S56</f>
        <v/>
      </c>
      <c r="W56" s="5">
        <f>S56+(100-T56)</f>
        <v/>
      </c>
      <c r="X56" s="2" t="inlineStr">
        <is>
          <t>[]</t>
        </is>
      </c>
      <c r="Y56" s="2" t="inlineStr">
        <is>
          <t>["seo_runs/jeminise.com/20260906_234129/qa/20260909_042000/images/019_01.jpg", "https://jeminise.com/products/christmas-bedding-quilt-soft-microfiber-holiday-bedsprea-design-03", "https://cdn.shopify.com/s/files/1/0792/5098/1063/files/bbbc5063a842a4025b83691360e26a0f48bd6b628bfe51d0f66000c5bde9160f.jpg?v=1787239363"]</t>
        </is>
      </c>
    </row>
    <row r="57" ht="66" customHeight="1">
      <c r="A57" s="3" t="inlineStr">
        <is>
          <t>jeminise.com+christmas-bedding-quilt-soft-microfiber-holiday-bedsprea-design-03</t>
        </is>
      </c>
      <c r="B57" s="3" t="inlineStr">
        <is>
          <t>qaimg_4a826ccdaa05f591</t>
        </is>
      </c>
      <c r="C57" s="4" t="inlineStr">
        <is>
          <t>https://cdn.shopify.com/s/files/1/0792/5098/1063/files/1d962e1fd3d6fb1ccbe82d1b9d96746919c0028a56d90f2f5e5b1206422676d9.jpg?v=1787239363</t>
        </is>
      </c>
      <c r="D57" s="4" t="inlineStr">
        <is>
          <t>https://cdn.shopify.com/s/files/1/0792/5098/1063/files/1d962e1fd3d6fb1ccbe82d1b9d96746919c0028a56d90f2f5e5b1206422676d9.jpg?v=1787239363</t>
        </is>
      </c>
      <c r="E57" s="3" t="inlineStr">
        <is>
          <t>47934039294151</t>
        </is>
      </c>
      <c r="F57" s="3" t="inlineStr">
        <is>
          <t>47934039294151</t>
        </is>
      </c>
      <c r="G57" s="3" t="inlineStr"/>
      <c r="H57" s="3" t="inlineStr">
        <is>
          <t>GALLERY</t>
        </is>
      </c>
      <c r="I57" s="3" t="inlineStr">
        <is>
          <t>DIRECT_IMAGE_VERIFICATION + R5_AUDIT</t>
        </is>
      </c>
      <c r="J57" s="3" t="inlineStr">
        <is>
          <t>2026-09-09T04:20:11.895007+07:00</t>
        </is>
      </c>
      <c r="K57" s="3" t="inlineStr">
        <is>
          <t>Bedroom mockup showing gingerbread Christmas quilt with candy cane artwork and coordinated pillow shams.</t>
        </is>
      </c>
      <c r="L57" s="3" t="inlineStr">
        <is>
          <t>Bedroom mockup showing gingerbread Christmas quilt with candy cane artwork and coordinated pillow shams.</t>
        </is>
      </c>
      <c r="M57" s="3" t="inlineStr">
        <is>
          <t>SET</t>
        </is>
      </c>
      <c r="N57" s="3" t="inlineStr">
        <is>
          <t>Gingerbread Christmas quilt bedroom mockup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3" t="inlineStr">
        <is>
          <t>FULL</t>
        </is>
      </c>
      <c r="S57" s="7">
        <f>IF(O57="FULL",40,IF(O57="PARTIAL",40/2,0))+IF(P57="FULL",30,IF(P57="PARTIAL",30/2,0))+IF(Q57="FULL",20,IF(Q57="PARTIAL",20/2,0))+IF(R57="FULL",10,IF(R57="PARTIAL",10/2,0))</f>
        <v/>
      </c>
      <c r="T57" s="7">
        <f>IF(O57="NOT_CHECKED",0,40)+IF(P57="NOT_CHECKED",0,30)+IF(Q57="NOT_CHECKED",0,20)+IF(R57="NOT_CHECKED",0,10)</f>
        <v/>
      </c>
      <c r="U57" s="7">
        <f>IF(T57=100,S57,"")</f>
        <v/>
      </c>
      <c r="V57" s="7">
        <f>S57</f>
        <v/>
      </c>
      <c r="W57" s="7">
        <f>S57+(100-T57)</f>
        <v/>
      </c>
      <c r="X57" s="3" t="inlineStr">
        <is>
          <t>[]</t>
        </is>
      </c>
      <c r="Y57" s="3" t="inlineStr">
        <is>
          <t>["seo_runs/jeminise.com/20260906_234129/qa/20260909_042000/images/019_02.jpg", "https://jeminise.com/products/christmas-bedding-quilt-soft-microfiber-holiday-bedsprea-design-03", "https://cdn.shopify.com/s/files/1/0792/5098/1063/files/1d962e1fd3d6fb1ccbe82d1b9d96746919c0028a56d90f2f5e5b1206422676d9.jpg?v=1787239363"]</t>
        </is>
      </c>
    </row>
    <row r="58" ht="66" customHeight="1">
      <c r="A58" s="2" t="inlineStr">
        <is>
          <t>jeminise.com+christmas-bedding-quilt-soft-microfiber-holiday-bedsprea-design-03</t>
        </is>
      </c>
      <c r="B58" s="2" t="inlineStr">
        <is>
          <t>qaimg_57cd95af61fa1fa9</t>
        </is>
      </c>
      <c r="C58" s="4" t="inlineStr">
        <is>
          <t>https://cdn.shopify.com/s/files/1/0792/5098/1063/files/fc9d9bb7a4157494e84e2760896b163917544674147d59e79260c06c7047b8fa.jpg?v=1787239363</t>
        </is>
      </c>
      <c r="D58" s="4" t="inlineStr">
        <is>
          <t>https://cdn.shopify.com/s/files/1/0792/5098/1063/files/fc9d9bb7a4157494e84e2760896b163917544674147d59e79260c06c7047b8fa.jpg?v=1787239363</t>
        </is>
      </c>
      <c r="E58" s="2" t="inlineStr">
        <is>
          <t>47934039326919</t>
        </is>
      </c>
      <c r="F58" s="2" t="inlineStr">
        <is>
          <t>47934039326919</t>
        </is>
      </c>
      <c r="G58" s="2" t="inlineStr"/>
      <c r="H58" s="2" t="inlineStr">
        <is>
          <t>GALLERY</t>
        </is>
      </c>
      <c r="I58" s="2" t="inlineStr">
        <is>
          <t>DIRECT_IMAGE_VERIFICATION + R5_AUDIT</t>
        </is>
      </c>
      <c r="J58" s="2" t="inlineStr">
        <is>
          <t>2026-09-09T04:20:11.895007+07:00</t>
        </is>
      </c>
      <c r="K58" s="2" t="inlineStr">
        <is>
          <t>Close-up of gingerbread cookie artwork, buttons, icing trim and visible quilt stitching.</t>
        </is>
      </c>
      <c r="L58" s="2" t="inlineStr">
        <is>
          <t>Close-up of gingerbread cookie artwork, buttons, icing trim and visible quilt stitching.</t>
        </is>
      </c>
      <c r="M58" s="2" t="inlineStr">
        <is>
          <t>SET</t>
        </is>
      </c>
      <c r="N58" s="2" t="inlineStr">
        <is>
          <t>Gingerbread Christmas quilt stitching close-up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inlineStr">
        <is>
          <t>FULL</t>
        </is>
      </c>
      <c r="S58" s="5">
        <f>IF(O58="FULL",40,IF(O58="PARTIAL",40/2,0))+IF(P58="FULL",30,IF(P58="PARTIAL",30/2,0))+IF(Q58="FULL",20,IF(Q58="PARTIAL",20/2,0))+IF(R58="FULL",10,IF(R58="PARTIAL",10/2,0))</f>
        <v/>
      </c>
      <c r="T58" s="5">
        <f>IF(O58="NOT_CHECKED",0,40)+IF(P58="NOT_CHECKED",0,30)+IF(Q58="NOT_CHECKED",0,20)+IF(R58="NOT_CHECKED",0,10)</f>
        <v/>
      </c>
      <c r="U58" s="5">
        <f>IF(T58=100,S58,"")</f>
        <v/>
      </c>
      <c r="V58" s="5">
        <f>S58</f>
        <v/>
      </c>
      <c r="W58" s="5">
        <f>S58+(100-T58)</f>
        <v/>
      </c>
      <c r="X58" s="2" t="inlineStr">
        <is>
          <t>[]</t>
        </is>
      </c>
      <c r="Y58" s="2" t="inlineStr">
        <is>
          <t>["seo_runs/jeminise.com/20260906_234129/qa/20260909_042000/images/019_03.jpg", "https://jeminise.com/products/christmas-bedding-quilt-soft-microfiber-holiday-bedsprea-design-03", "https://cdn.shopify.com/s/files/1/0792/5098/1063/files/fc9d9bb7a4157494e84e2760896b163917544674147d59e79260c06c7047b8fa.jpg?v=1787239363"]</t>
        </is>
      </c>
    </row>
    <row r="59" ht="66" customHeight="1">
      <c r="A59" s="3" t="inlineStr">
        <is>
          <t>jeminise.com+christmas-bedding-quilt-soft-microfiber-holiday-bedsprea-design-03</t>
        </is>
      </c>
      <c r="B59" s="3" t="inlineStr">
        <is>
          <t>qaimg_0720fd612d328acd</t>
        </is>
      </c>
      <c r="C59" s="4" t="inlineStr">
        <is>
          <t>https://cdn.shopify.com/s/files/1/0792/5098/1063/files/ed1f801ef63b58d7c0fa153b8385667b922eaf1d12c757a8abe5554bf16b8de3.jpg?v=1787239363</t>
        </is>
      </c>
      <c r="D59" s="4" t="inlineStr">
        <is>
          <t>https://cdn.shopify.com/s/files/1/0792/5098/1063/files/ed1f801ef63b58d7c0fa153b8385667b922eaf1d12c757a8abe5554bf16b8de3.jpg?v=1787239363</t>
        </is>
      </c>
      <c r="E59" s="3" t="inlineStr">
        <is>
          <t>47934039359687</t>
        </is>
      </c>
      <c r="F59" s="3" t="inlineStr">
        <is>
          <t>47934039359687</t>
        </is>
      </c>
      <c r="G59" s="3" t="inlineStr"/>
      <c r="H59" s="3" t="inlineStr">
        <is>
          <t>GALLERY</t>
        </is>
      </c>
      <c r="I59" s="3" t="inlineStr">
        <is>
          <t>DIRECT_IMAGE_VERIFICATION + R5_AUDIT</t>
        </is>
      </c>
      <c r="J59" s="3" t="inlineStr">
        <is>
          <t>2026-09-09T04:20:11.895007+07:00</t>
        </is>
      </c>
      <c r="K59" s="3" t="inlineStr">
        <is>
          <t>Matching pillow sham with gingerbread cookie, candy cane, holly and red holiday background.</t>
        </is>
      </c>
      <c r="L59" s="3" t="inlineStr">
        <is>
          <t>Matching pillow sham with gingerbread cookie, candy cane, holly and red holiday background.</t>
        </is>
      </c>
      <c r="M59" s="3" t="inlineStr">
        <is>
          <t>SET</t>
        </is>
      </c>
      <c r="N59" s="3" t="inlineStr">
        <is>
          <t>Gingerbread Christmas pillow sham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3" t="inlineStr">
        <is>
          <t>FULL</t>
        </is>
      </c>
      <c r="S59" s="7">
        <f>IF(O59="FULL",40,IF(O59="PARTIAL",40/2,0))+IF(P59="FULL",30,IF(P59="PARTIAL",30/2,0))+IF(Q59="FULL",20,IF(Q59="PARTIAL",20/2,0))+IF(R59="FULL",10,IF(R59="PARTIAL",10/2,0))</f>
        <v/>
      </c>
      <c r="T59" s="7">
        <f>IF(O59="NOT_CHECKED",0,40)+IF(P59="NOT_CHECKED",0,30)+IF(Q59="NOT_CHECKED",0,20)+IF(R59="NOT_CHECKED",0,10)</f>
        <v/>
      </c>
      <c r="U59" s="7">
        <f>IF(T59=100,S59,"")</f>
        <v/>
      </c>
      <c r="V59" s="7">
        <f>S59</f>
        <v/>
      </c>
      <c r="W59" s="7">
        <f>S59+(100-T59)</f>
        <v/>
      </c>
      <c r="X59" s="3" t="inlineStr">
        <is>
          <t>[]</t>
        </is>
      </c>
      <c r="Y59" s="3" t="inlineStr">
        <is>
          <t>["seo_runs/jeminise.com/20260906_234129/qa/20260909_042000/images/019_04.jpg", "https://jeminise.com/products/christmas-bedding-quilt-soft-microfiber-holiday-bedsprea-design-03", "https://cdn.shopify.com/s/files/1/0792/5098/1063/files/ed1f801ef63b58d7c0fa153b8385667b922eaf1d12c757a8abe5554bf16b8de3.jpg?v=1787239363"]</t>
        </is>
      </c>
    </row>
    <row r="60" ht="66" customHeight="1">
      <c r="A60" s="2" t="inlineStr">
        <is>
          <t>jeminise.com+christmas-bedding-quilt-soft-microfiber-holiday-bedsprea-design-03</t>
        </is>
      </c>
      <c r="B60" s="2" t="inlineStr">
        <is>
          <t>qaimg_5e13ab76158835ae</t>
        </is>
      </c>
      <c r="C60" s="4" t="inlineStr">
        <is>
          <t>https://cdn.shopify.com/s/files/1/0792/5098/1063/files/c75960e3ddc81d77c391212f67c79d9add41e8f685321e4f6ca1230660fcd8de.jpg?v=1787239363</t>
        </is>
      </c>
      <c r="D60" s="4" t="inlineStr">
        <is>
          <t>https://cdn.shopify.com/s/files/1/0792/5098/1063/files/c75960e3ddc81d77c391212f67c79d9add41e8f685321e4f6ca1230660fcd8de.jpg?v=1787239363</t>
        </is>
      </c>
      <c r="E60" s="2" t="inlineStr">
        <is>
          <t>47934039392455</t>
        </is>
      </c>
      <c r="F60" s="2" t="inlineStr">
        <is>
          <t>47934039392455</t>
        </is>
      </c>
      <c r="G60" s="2" t="inlineStr"/>
      <c r="H60" s="2" t="inlineStr">
        <is>
          <t>GALLERY</t>
        </is>
      </c>
      <c r="I60" s="2" t="inlineStr">
        <is>
          <t>DIRECT_IMAGE_VERIFICATION + R5_AUDIT</t>
        </is>
      </c>
      <c r="J60" s="2" t="inlineStr">
        <is>
          <t>2026-09-09T04:20:11.895007+07:00</t>
        </is>
      </c>
      <c r="K60" s="2" t="inlineStr">
        <is>
          <t>Size and component panel showing one premium quilt and two optional standard shams.</t>
        </is>
      </c>
      <c r="L60" s="2" t="inlineStr">
        <is>
          <t>Size and component panel showing one premium quilt and two optional standard shams.</t>
        </is>
      </c>
      <c r="M60" s="2" t="inlineStr">
        <is>
          <t>SET</t>
        </is>
      </c>
      <c r="N60" s="2" t="inlineStr">
        <is>
          <t>Gingerbread Christmas quilt size and sham options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inlineStr">
        <is>
          <t>FULL</t>
        </is>
      </c>
      <c r="S60" s="5">
        <f>IF(O60="FULL",40,IF(O60="PARTIAL",40/2,0))+IF(P60="FULL",30,IF(P60="PARTIAL",30/2,0))+IF(Q60="FULL",20,IF(Q60="PARTIAL",20/2,0))+IF(R60="FULL",10,IF(R60="PARTIAL",10/2,0))</f>
        <v/>
      </c>
      <c r="T60" s="5">
        <f>IF(O60="NOT_CHECKED",0,40)+IF(P60="NOT_CHECKED",0,30)+IF(Q60="NOT_CHECKED",0,20)+IF(R60="NOT_CHECKED",0,10)</f>
        <v/>
      </c>
      <c r="U60" s="5">
        <f>IF(T60=100,S60,"")</f>
        <v/>
      </c>
      <c r="V60" s="5">
        <f>S60</f>
        <v/>
      </c>
      <c r="W60" s="5">
        <f>S60+(100-T60)</f>
        <v/>
      </c>
      <c r="X60" s="2" t="inlineStr">
        <is>
          <t>[]</t>
        </is>
      </c>
      <c r="Y60" s="2" t="inlineStr">
        <is>
          <t>["seo_runs/jeminise.com/20260906_234129/qa/20260909_042000/images/019_05.jpg", "https://jeminise.com/products/christmas-bedding-quilt-soft-microfiber-holiday-bedsprea-design-03", "https://cdn.shopify.com/s/files/1/0792/5098/1063/files/c75960e3ddc81d77c391212f67c79d9add41e8f685321e4f6ca1230660fcd8de.jpg?v=1787239363"]</t>
        </is>
      </c>
    </row>
    <row r="61" ht="66" customHeight="1">
      <c r="A61" s="3" t="inlineStr">
        <is>
          <t>jeminise.com+christmas-bedding-quilt-soft-microfiber-holiday-bedsprea-design-04</t>
        </is>
      </c>
      <c r="B61" s="3" t="inlineStr">
        <is>
          <t>qaimg_6edf61ad44a71138</t>
        </is>
      </c>
      <c r="C61" s="4" t="inlineStr">
        <is>
          <t>https://cdn.shopify.com/s/files/1/0792/5098/1063/files/c995fe84801c09d910dc409c0566ec9afe487b8804ac002dd8b540abd448435d.jpg?v=1787239355</t>
        </is>
      </c>
      <c r="D61" s="4" t="inlineStr">
        <is>
          <t>https://cdn.shopify.com/s/files/1/0792/5098/1063/files/c995fe84801c09d910dc409c0566ec9afe487b8804ac002dd8b540abd448435d.jpg?v=1787239355</t>
        </is>
      </c>
      <c r="E61" s="3" t="inlineStr">
        <is>
          <t>47934038638791</t>
        </is>
      </c>
      <c r="F61" s="3" t="inlineStr">
        <is>
          <t>47934038638791</t>
        </is>
      </c>
      <c r="G61" s="3" t="inlineStr"/>
      <c r="H61" s="3" t="inlineStr">
        <is>
          <t>GALLERY</t>
        </is>
      </c>
      <c r="I61" s="3" t="inlineStr">
        <is>
          <t>DIRECT_IMAGE_VERIFICATION + R5_AUDIT</t>
        </is>
      </c>
      <c r="J61" s="3" t="inlineStr">
        <is>
          <t>2026-09-09T04:20:11.895007+07:00</t>
        </is>
      </c>
      <c r="K61" s="3" t="inlineStr">
        <is>
          <t>Gingerbread gift Christmas quilt bed mockup with two gingerbread figures, presents, candy canes, bows and holly.</t>
        </is>
      </c>
      <c r="L61" s="3" t="inlineStr">
        <is>
          <t>Gingerbread gift Christmas quilt bed mockup with two gingerbread figures, presents, candy canes, bows and holly.</t>
        </is>
      </c>
      <c r="M61" s="3" t="inlineStr">
        <is>
          <t>SET</t>
        </is>
      </c>
      <c r="N61" s="3" t="inlineStr">
        <is>
          <t>Gingerbread gift Christmas quilt set on bed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3" t="inlineStr">
        <is>
          <t>FULL</t>
        </is>
      </c>
      <c r="S61" s="7">
        <f>IF(O61="FULL",40,IF(O61="PARTIAL",40/2,0))+IF(P61="FULL",30,IF(P61="PARTIAL",30/2,0))+IF(Q61="FULL",20,IF(Q61="PARTIAL",20/2,0))+IF(R61="FULL",10,IF(R61="PARTIAL",10/2,0))</f>
        <v/>
      </c>
      <c r="T61" s="7">
        <f>IF(O61="NOT_CHECKED",0,40)+IF(P61="NOT_CHECKED",0,30)+IF(Q61="NOT_CHECKED",0,20)+IF(R61="NOT_CHECKED",0,10)</f>
        <v/>
      </c>
      <c r="U61" s="7">
        <f>IF(T61=100,S61,"")</f>
        <v/>
      </c>
      <c r="V61" s="7">
        <f>S61</f>
        <v/>
      </c>
      <c r="W61" s="7">
        <f>S61+(100-T61)</f>
        <v/>
      </c>
      <c r="X61" s="3" t="inlineStr">
        <is>
          <t>[]</t>
        </is>
      </c>
      <c r="Y61" s="3" t="inlineStr">
        <is>
          <t>["seo_runs/jeminise.com/20260906_234129/qa/20260909_042000/images/020_01.jpg", "https://jeminise.com/products/christmas-bedding-quilt-soft-microfiber-holiday-bedsprea-design-04", "https://cdn.shopify.com/s/files/1/0792/5098/1063/files/c995fe84801c09d910dc409c0566ec9afe487b8804ac002dd8b540abd448435d.jpg?v=1787239355"]</t>
        </is>
      </c>
    </row>
    <row r="62" ht="66" customHeight="1">
      <c r="A62" s="2" t="inlineStr">
        <is>
          <t>jeminise.com+christmas-bedding-quilt-soft-microfiber-holiday-bedsprea-design-04</t>
        </is>
      </c>
      <c r="B62" s="2" t="inlineStr">
        <is>
          <t>qaimg_5b7df27b5eb3d15b</t>
        </is>
      </c>
      <c r="C62" s="4" t="inlineStr">
        <is>
          <t>https://cdn.shopify.com/s/files/1/0792/5098/1063/files/ada23d8192c9d327e2ca7af4d3ab7ad5b2f163980c27341d8ad218b41e8125d5.jpg?v=1787239355</t>
        </is>
      </c>
      <c r="D62" s="4" t="inlineStr">
        <is>
          <t>https://cdn.shopify.com/s/files/1/0792/5098/1063/files/ada23d8192c9d327e2ca7af4d3ab7ad5b2f163980c27341d8ad218b41e8125d5.jpg?v=1787239355</t>
        </is>
      </c>
      <c r="E62" s="2" t="inlineStr">
        <is>
          <t>47934038671559</t>
        </is>
      </c>
      <c r="F62" s="2" t="inlineStr">
        <is>
          <t>47934038671559</t>
        </is>
      </c>
      <c r="G62" s="2" t="inlineStr"/>
      <c r="H62" s="2" t="inlineStr">
        <is>
          <t>GALLERY</t>
        </is>
      </c>
      <c r="I62" s="2" t="inlineStr">
        <is>
          <t>DIRECT_IMAGE_VERIFICATION + R5_AUDIT</t>
        </is>
      </c>
      <c r="J62" s="2" t="inlineStr">
        <is>
          <t>2026-09-09T04:20:11.895007+07:00</t>
        </is>
      </c>
      <c r="K62" s="2" t="inlineStr">
        <is>
          <t>Bedroom mockup showing gingerbread gift Christmas quilt with presents and coordinated pillow shams.</t>
        </is>
      </c>
      <c r="L62" s="2" t="inlineStr">
        <is>
          <t>Bedroom mockup showing gingerbread gift Christmas quilt with presents and coordinated pillow shams.</t>
        </is>
      </c>
      <c r="M62" s="2" t="inlineStr">
        <is>
          <t>SET</t>
        </is>
      </c>
      <c r="N62" s="2" t="inlineStr">
        <is>
          <t>Gingerbread gift Christmas quilt bedroom mockup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inlineStr">
        <is>
          <t>FULL</t>
        </is>
      </c>
      <c r="S62" s="5">
        <f>IF(O62="FULL",40,IF(O62="PARTIAL",40/2,0))+IF(P62="FULL",30,IF(P62="PARTIAL",30/2,0))+IF(Q62="FULL",20,IF(Q62="PARTIAL",20/2,0))+IF(R62="FULL",10,IF(R62="PARTIAL",10/2,0))</f>
        <v/>
      </c>
      <c r="T62" s="5">
        <f>IF(O62="NOT_CHECKED",0,40)+IF(P62="NOT_CHECKED",0,30)+IF(Q62="NOT_CHECKED",0,20)+IF(R62="NOT_CHECKED",0,10)</f>
        <v/>
      </c>
      <c r="U62" s="5">
        <f>IF(T62=100,S62,"")</f>
        <v/>
      </c>
      <c r="V62" s="5">
        <f>S62</f>
        <v/>
      </c>
      <c r="W62" s="5">
        <f>S62+(100-T62)</f>
        <v/>
      </c>
      <c r="X62" s="2" t="inlineStr">
        <is>
          <t>[]</t>
        </is>
      </c>
      <c r="Y62" s="2" t="inlineStr">
        <is>
          <t>["seo_runs/jeminise.com/20260906_234129/qa/20260909_042000/images/020_02.jpg", "https://jeminise.com/products/christmas-bedding-quilt-soft-microfiber-holiday-bedsprea-design-04", "https://cdn.shopify.com/s/files/1/0792/5098/1063/files/ada23d8192c9d327e2ca7af4d3ab7ad5b2f163980c27341d8ad218b41e8125d5.jpg?v=1787239355"]</t>
        </is>
      </c>
    </row>
    <row r="63" ht="66" customHeight="1">
      <c r="A63" s="3" t="inlineStr">
        <is>
          <t>jeminise.com+christmas-bedding-quilt-soft-microfiber-holiday-bedsprea-design-04</t>
        </is>
      </c>
      <c r="B63" s="3" t="inlineStr">
        <is>
          <t>qaimg_8c124437c257a823</t>
        </is>
      </c>
      <c r="C63" s="4" t="inlineStr">
        <is>
          <t>https://cdn.shopify.com/s/files/1/0792/5098/1063/files/e80ea2d2d8dcc4ea9023f55162873b983177fa3a8f595e088474768ad799ed5c.jpg?v=1787239355</t>
        </is>
      </c>
      <c r="D63" s="4" t="inlineStr">
        <is>
          <t>https://cdn.shopify.com/s/files/1/0792/5098/1063/files/e80ea2d2d8dcc4ea9023f55162873b983177fa3a8f595e088474768ad799ed5c.jpg?v=1787239355</t>
        </is>
      </c>
      <c r="E63" s="3" t="inlineStr">
        <is>
          <t>47934038704327</t>
        </is>
      </c>
      <c r="F63" s="3" t="inlineStr">
        <is>
          <t>47934038704327</t>
        </is>
      </c>
      <c r="G63" s="3" t="inlineStr"/>
      <c r="H63" s="3" t="inlineStr">
        <is>
          <t>GALLERY</t>
        </is>
      </c>
      <c r="I63" s="3" t="inlineStr">
        <is>
          <t>DIRECT_IMAGE_VERIFICATION + R5_AUDIT</t>
        </is>
      </c>
      <c r="J63" s="3" t="inlineStr">
        <is>
          <t>2026-09-09T04:20:11.895007+07:00</t>
        </is>
      </c>
      <c r="K63" s="3" t="inlineStr">
        <is>
          <t>Matching pillow sham with gingerbread figures, gifts, candy cane and holiday greenery.</t>
        </is>
      </c>
      <c r="L63" s="3" t="inlineStr">
        <is>
          <t>Matching pillow sham with gingerbread figures, gifts, candy cane and holiday greenery.</t>
        </is>
      </c>
      <c r="M63" s="3" t="inlineStr">
        <is>
          <t>SET</t>
        </is>
      </c>
      <c r="N63" s="3" t="inlineStr">
        <is>
          <t>Gingerbread gift Christmas pillow sham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3" t="inlineStr">
        <is>
          <t>FULL</t>
        </is>
      </c>
      <c r="S63" s="7">
        <f>IF(O63="FULL",40,IF(O63="PARTIAL",40/2,0))+IF(P63="FULL",30,IF(P63="PARTIAL",30/2,0))+IF(Q63="FULL",20,IF(Q63="PARTIAL",20/2,0))+IF(R63="FULL",10,IF(R63="PARTIAL",10/2,0))</f>
        <v/>
      </c>
      <c r="T63" s="7">
        <f>IF(O63="NOT_CHECKED",0,40)+IF(P63="NOT_CHECKED",0,30)+IF(Q63="NOT_CHECKED",0,20)+IF(R63="NOT_CHECKED",0,10)</f>
        <v/>
      </c>
      <c r="U63" s="7">
        <f>IF(T63=100,S63,"")</f>
        <v/>
      </c>
      <c r="V63" s="7">
        <f>S63</f>
        <v/>
      </c>
      <c r="W63" s="7">
        <f>S63+(100-T63)</f>
        <v/>
      </c>
      <c r="X63" s="3" t="inlineStr">
        <is>
          <t>[]</t>
        </is>
      </c>
      <c r="Y63" s="3" t="inlineStr">
        <is>
          <t>["seo_runs/jeminise.com/20260906_234129/qa/20260909_042000/images/020_03.jpg", "https://jeminise.com/products/christmas-bedding-quilt-soft-microfiber-holiday-bedsprea-design-04", "https://cdn.shopify.com/s/files/1/0792/5098/1063/files/e80ea2d2d8dcc4ea9023f55162873b983177fa3a8f595e088474768ad799ed5c.jpg?v=1787239355"]</t>
        </is>
      </c>
    </row>
    <row r="64" ht="66" customHeight="1">
      <c r="A64" s="2" t="inlineStr">
        <is>
          <t>jeminise.com+christmas-bedding-quilt-soft-microfiber-holiday-bedsprea-design-04</t>
        </is>
      </c>
      <c r="B64" s="2" t="inlineStr">
        <is>
          <t>qaimg_e39a54370ad87c7c</t>
        </is>
      </c>
      <c r="C64" s="4" t="inlineStr">
        <is>
          <t>https://cdn.shopify.com/s/files/1/0792/5098/1063/files/f3fc13bb561a00481ad014ca51c18eab68958750857b4d44f0ceee5c393efef5.jpg?v=1787239355</t>
        </is>
      </c>
      <c r="D64" s="4" t="inlineStr">
        <is>
          <t>https://cdn.shopify.com/s/files/1/0792/5098/1063/files/f3fc13bb561a00481ad014ca51c18eab68958750857b4d44f0ceee5c393efef5.jpg?v=1787239355</t>
        </is>
      </c>
      <c r="E64" s="2" t="inlineStr">
        <is>
          <t>47934038737095</t>
        </is>
      </c>
      <c r="F64" s="2" t="inlineStr">
        <is>
          <t>47934038737095</t>
        </is>
      </c>
      <c r="G64" s="2" t="inlineStr"/>
      <c r="H64" s="2" t="inlineStr">
        <is>
          <t>GALLERY</t>
        </is>
      </c>
      <c r="I64" s="2" t="inlineStr">
        <is>
          <t>DIRECT_IMAGE_VERIFICATION + R5_AUDIT</t>
        </is>
      </c>
      <c r="J64" s="2" t="inlineStr">
        <is>
          <t>2026-09-09T04:20:11.895007+07:00</t>
        </is>
      </c>
      <c r="K64" s="2" t="inlineStr">
        <is>
          <t>Close-up of gingerbread faces, red bow, icing trim and visible quilt stitching.</t>
        </is>
      </c>
      <c r="L64" s="2" t="inlineStr">
        <is>
          <t>Close-up of gingerbread faces, red bow, icing trim and visible quilt stitching.</t>
        </is>
      </c>
      <c r="M64" s="2" t="inlineStr">
        <is>
          <t>SET</t>
        </is>
      </c>
      <c r="N64" s="2" t="inlineStr">
        <is>
          <t>Gingerbread gift quilt stitching close-up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inlineStr">
        <is>
          <t>FULL</t>
        </is>
      </c>
      <c r="S64" s="5">
        <f>IF(O64="FULL",40,IF(O64="PARTIAL",40/2,0))+IF(P64="FULL",30,IF(P64="PARTIAL",30/2,0))+IF(Q64="FULL",20,IF(Q64="PARTIAL",20/2,0))+IF(R64="FULL",10,IF(R64="PARTIAL",10/2,0))</f>
        <v/>
      </c>
      <c r="T64" s="5">
        <f>IF(O64="NOT_CHECKED",0,40)+IF(P64="NOT_CHECKED",0,30)+IF(Q64="NOT_CHECKED",0,20)+IF(R64="NOT_CHECKED",0,10)</f>
        <v/>
      </c>
      <c r="U64" s="5">
        <f>IF(T64=100,S64,"")</f>
        <v/>
      </c>
      <c r="V64" s="5">
        <f>S64</f>
        <v/>
      </c>
      <c r="W64" s="5">
        <f>S64+(100-T64)</f>
        <v/>
      </c>
      <c r="X64" s="2" t="inlineStr">
        <is>
          <t>[]</t>
        </is>
      </c>
      <c r="Y64" s="2" t="inlineStr">
        <is>
          <t>["seo_runs/jeminise.com/20260906_234129/qa/20260909_042000/images/020_04.jpg", "https://jeminise.com/products/christmas-bedding-quilt-soft-microfiber-holiday-bedsprea-design-04", "https://cdn.shopify.com/s/files/1/0792/5098/1063/files/f3fc13bb561a00481ad014ca51c18eab68958750857b4d44f0ceee5c393efef5.jpg?v=1787239355"]</t>
        </is>
      </c>
    </row>
    <row r="65" ht="66" customHeight="1">
      <c r="A65" s="3" t="inlineStr">
        <is>
          <t>jeminise.com+christmas-bedding-quilt-soft-microfiber-holiday-bedsprea-design-04</t>
        </is>
      </c>
      <c r="B65" s="3" t="inlineStr">
        <is>
          <t>qaimg_e79c0325ec850f37</t>
        </is>
      </c>
      <c r="C65" s="4" t="inlineStr">
        <is>
          <t>https://cdn.shopify.com/s/files/1/0792/5098/1063/files/cc08a444fe29784e5b49094b0a886c70090b4e7ca551d385fed2daee54bfd77a.jpg?v=1787239355</t>
        </is>
      </c>
      <c r="D65" s="4" t="inlineStr">
        <is>
          <t>https://cdn.shopify.com/s/files/1/0792/5098/1063/files/cc08a444fe29784e5b49094b0a886c70090b4e7ca551d385fed2daee54bfd77a.jpg?v=1787239355</t>
        </is>
      </c>
      <c r="E65" s="3" t="inlineStr">
        <is>
          <t>47934038769863</t>
        </is>
      </c>
      <c r="F65" s="3" t="inlineStr">
        <is>
          <t>47934038769863</t>
        </is>
      </c>
      <c r="G65" s="3" t="inlineStr"/>
      <c r="H65" s="3" t="inlineStr">
        <is>
          <t>GALLERY</t>
        </is>
      </c>
      <c r="I65" s="3" t="inlineStr">
        <is>
          <t>DIRECT_IMAGE_VERIFICATION + R5_AUDIT</t>
        </is>
      </c>
      <c r="J65" s="3" t="inlineStr">
        <is>
          <t>2026-09-09T04:20:11.895007+07:00</t>
        </is>
      </c>
      <c r="K65" s="3" t="inlineStr">
        <is>
          <t>Size and component panel showing one premium quilt and two optional standard shams.</t>
        </is>
      </c>
      <c r="L65" s="3" t="inlineStr">
        <is>
          <t>Size and component panel showing one premium quilt and two optional standard shams.</t>
        </is>
      </c>
      <c r="M65" s="3" t="inlineStr">
        <is>
          <t>SET</t>
        </is>
      </c>
      <c r="N65" s="3" t="inlineStr">
        <is>
          <t>Gingerbread gift Christmas quilt size options</t>
        </is>
      </c>
      <c r="O65" s="3" t="inlineStr">
        <is>
          <t>FULL</t>
        </is>
      </c>
      <c r="P65" s="3" t="inlineStr">
        <is>
          <t>FULL</t>
        </is>
      </c>
      <c r="Q65" s="3" t="inlineStr">
        <is>
          <t>FULL</t>
        </is>
      </c>
      <c r="R65" s="3" t="inlineStr">
        <is>
          <t>FULL</t>
        </is>
      </c>
      <c r="S65" s="7">
        <f>IF(O65="FULL",40,IF(O65="PARTIAL",40/2,0))+IF(P65="FULL",30,IF(P65="PARTIAL",30/2,0))+IF(Q65="FULL",20,IF(Q65="PARTIAL",20/2,0))+IF(R65="FULL",10,IF(R65="PARTIAL",10/2,0))</f>
        <v/>
      </c>
      <c r="T65" s="7">
        <f>IF(O65="NOT_CHECKED",0,40)+IF(P65="NOT_CHECKED",0,30)+IF(Q65="NOT_CHECKED",0,20)+IF(R65="NOT_CHECKED",0,10)</f>
        <v/>
      </c>
      <c r="U65" s="7">
        <f>IF(T65=100,S65,"")</f>
        <v/>
      </c>
      <c r="V65" s="7">
        <f>S65</f>
        <v/>
      </c>
      <c r="W65" s="7">
        <f>S65+(100-T65)</f>
        <v/>
      </c>
      <c r="X65" s="3" t="inlineStr">
        <is>
          <t>[]</t>
        </is>
      </c>
      <c r="Y65" s="3" t="inlineStr">
        <is>
          <t>["seo_runs/jeminise.com/20260906_234129/qa/20260909_042000/images/020_05.jpg", "https://jeminise.com/products/christmas-bedding-quilt-soft-microfiber-holiday-bedsprea-design-04", "https://cdn.shopify.com/s/files/1/0792/5098/1063/files/cc08a444fe29784e5b49094b0a886c70090b4e7ca551d385fed2daee54bfd77a.jpg?v=1787239355"]</t>
        </is>
      </c>
    </row>
  </sheetData>
  <autoFilter ref="A1:Y65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R5-ISS-011-ENC</t>
        </is>
      </c>
      <c r="B2" s="2" t="inlineStr">
        <is>
          <t>jeminise.com+christian-bedding-set-inspirational-bible-verse-comforte-design-02</t>
        </is>
      </c>
      <c r="C2" s="2" t="inlineStr"/>
      <c r="D2" s="2" t="inlineStr">
        <is>
          <t>MINOR</t>
        </is>
      </c>
      <c r="E2" s="2" t="inlineStr">
        <is>
          <t>title_current/H1_current</t>
        </is>
      </c>
      <c r="F2" s="2" t="inlineStr">
        <is>
          <t>Christian Bedding Set – Inspirational Bible Verse Comforte - Design 02</t>
        </is>
      </c>
      <c r="G2" s="2" t="inlineStr">
        <is>
          <t>Live storefront title and H1 contain replacement character U+FFFD and truncation: 'Christian Bedding Set – Inspirational Bible Verse Comforte - Design 02'.</t>
        </is>
      </c>
      <c r="H2" s="2" t="inlineStr">
        <is>
          <t>Title/H1 live contains replacement character U+FFFD and truncated words from upstream import. R5 retains this as a source-encoding cleanup finding; it does not block deployment QA.</t>
        </is>
      </c>
      <c r="I2" s="2" t="inlineStr">
        <is>
          <t>Personalized God Says I Am Christian Comforter Set</t>
        </is>
      </c>
      <c r="J2" s="2" t="inlineStr">
        <is>
          <t>https://jeminise.com/products/christian-bedding-set-inspirational-bible-verse-comforte-design-02; evidence/products/11_*/page.html</t>
        </is>
      </c>
      <c r="K2" s="2" t="inlineStr">
        <is>
          <t>Live storefront title and H1 updated with clean UTF-8 text.</t>
        </is>
      </c>
    </row>
    <row r="3" ht="84" customHeight="1">
      <c r="A3" s="3" t="inlineStr">
        <is>
          <t>R5-ISS-012-ENC</t>
        </is>
      </c>
      <c r="B3" s="3" t="inlineStr">
        <is>
          <t>jeminise.com+christian-bedding-set-inspirational-bible-verse-comforte-design-03</t>
        </is>
      </c>
      <c r="C3" s="3" t="inlineStr"/>
      <c r="D3" s="3" t="inlineStr">
        <is>
          <t>MINOR</t>
        </is>
      </c>
      <c r="E3" s="3" t="inlineStr">
        <is>
          <t>title_current/H1_current</t>
        </is>
      </c>
      <c r="F3" s="3" t="inlineStr">
        <is>
          <t>Christian Bedding Set – Inspirational Bible Verse Comforte - Design 03</t>
        </is>
      </c>
      <c r="G3" s="3" t="inlineStr">
        <is>
          <t>Live storefront title and H1 contain replacement character U+FFFD and truncation: 'Christian Bedding Set – Inspirational Bible Verse Comforte - Design 03'.</t>
        </is>
      </c>
      <c r="H3" s="3" t="inlineStr">
        <is>
          <t>Title/H1 live contains replacement character U+FFFD and truncated words from upstream import. R5 retains this as a source-encoding cleanup finding; it does not block deployment QA.</t>
        </is>
      </c>
      <c r="I3" s="3" t="inlineStr">
        <is>
          <t>Personalized Christian Bible Verse Comforter Set</t>
        </is>
      </c>
      <c r="J3" s="3" t="inlineStr">
        <is>
          <t>https://jeminise.com/products/christian-bedding-set-inspirational-bible-verse-comforte-design-03; evidence/products/12_*/page.html</t>
        </is>
      </c>
      <c r="K3" s="3" t="inlineStr">
        <is>
          <t>Live storefront title and H1 updated with clean UTF-8 text.</t>
        </is>
      </c>
    </row>
    <row r="4" ht="84" customHeight="1">
      <c r="A4" s="2" t="inlineStr">
        <is>
          <t>R5-ISS-013-ENC</t>
        </is>
      </c>
      <c r="B4" s="2" t="inlineStr">
        <is>
          <t>jeminise.com+christian-bedding-set-inspirational-bible-verse-comforte-design-04</t>
        </is>
      </c>
      <c r="C4" s="2" t="inlineStr"/>
      <c r="D4" s="2" t="inlineStr">
        <is>
          <t>MINOR</t>
        </is>
      </c>
      <c r="E4" s="2" t="inlineStr">
        <is>
          <t>title_current/H1_current</t>
        </is>
      </c>
      <c r="F4" s="2" t="inlineStr">
        <is>
          <t>Christian Bedding Set – Inspirational Bible Verse Comforte - Design 04</t>
        </is>
      </c>
      <c r="G4" s="2" t="inlineStr">
        <is>
          <t>Live storefront title and H1 contain replacement character U+FFFD and truncation: 'Christian Bedding Set – Inspirational Bible Verse Comforte - Design 04'.</t>
        </is>
      </c>
      <c r="H4" s="2" t="inlineStr">
        <is>
          <t>Title/H1 live contains replacement character U+FFFD and truncated words from upstream import. R5 retains this as a source-encoding cleanup finding; it does not block deployment QA.</t>
        </is>
      </c>
      <c r="I4" s="2" t="inlineStr">
        <is>
          <t>Personalized God Is Within Her Christian Comforter</t>
        </is>
      </c>
      <c r="J4" s="2" t="inlineStr">
        <is>
          <t>https://jeminise.com/products/christian-bedding-set-inspirational-bible-verse-comforte-design-04; evidence/products/13_*/page.html</t>
        </is>
      </c>
      <c r="K4" s="2" t="inlineStr">
        <is>
          <t>Live storefront title and H1 updated with clean UTF-8 text.</t>
        </is>
      </c>
    </row>
    <row r="5" ht="84" customHeight="1">
      <c r="A5" s="3" t="inlineStr">
        <is>
          <t>R5-ISS-014-ENC</t>
        </is>
      </c>
      <c r="B5" s="3" t="inlineStr">
        <is>
          <t>jeminise.com+christian-bedding-set-inspirational-bible-verse-comforte-design-05</t>
        </is>
      </c>
      <c r="C5" s="3" t="inlineStr"/>
      <c r="D5" s="3" t="inlineStr">
        <is>
          <t>MINOR</t>
        </is>
      </c>
      <c r="E5" s="3" t="inlineStr">
        <is>
          <t>title_current/H1_current</t>
        </is>
      </c>
      <c r="F5" s="3" t="inlineStr">
        <is>
          <t>Christian Bedding Set – Inspirational Bible Verse Comforte - Design 05</t>
        </is>
      </c>
      <c r="G5" s="3" t="inlineStr">
        <is>
          <t>Live storefront title and H1 contain replacement character U+FFFD and truncation: 'Christian Bedding Set – Inspirational Bible Verse Comforte - Design 05'.</t>
        </is>
      </c>
      <c r="H5" s="3" t="inlineStr">
        <is>
          <t>Title/H1 live contains replacement character U+FFFD and truncated words from upstream import. R5 retains this as a source-encoding cleanup finding; it does not block deployment QA.</t>
        </is>
      </c>
      <c r="I5" s="3" t="inlineStr">
        <is>
          <t>Personalized Blue God Says I Am Christian Comforter</t>
        </is>
      </c>
      <c r="J5" s="3" t="inlineStr">
        <is>
          <t>https://jeminise.com/products/christian-bedding-set-inspirational-bible-verse-comforte-design-05; evidence/products/14_*/page.html</t>
        </is>
      </c>
      <c r="K5" s="3" t="inlineStr">
        <is>
          <t>Live storefront title and H1 updated with clean UTF-8 text.</t>
        </is>
      </c>
    </row>
    <row r="6" ht="84" customHeight="1">
      <c r="A6" s="2" t="inlineStr">
        <is>
          <t>R5-ISS-015-ENC</t>
        </is>
      </c>
      <c r="B6" s="2" t="inlineStr">
        <is>
          <t>jeminise.com+christian-bedding-set-inspirational-bible-verse-comforte-design-06</t>
        </is>
      </c>
      <c r="C6" s="2" t="inlineStr"/>
      <c r="D6" s="2" t="inlineStr">
        <is>
          <t>MINOR</t>
        </is>
      </c>
      <c r="E6" s="2" t="inlineStr">
        <is>
          <t>title_current/H1_current</t>
        </is>
      </c>
      <c r="F6" s="2" t="inlineStr">
        <is>
          <t>Christian Bedding Set – Inspirational Bible Verse Comforte - Design 06</t>
        </is>
      </c>
      <c r="G6" s="2" t="inlineStr">
        <is>
          <t>Live storefront title and H1 contain replacement character U+FFFD and truncation: 'Christian Bedding Set – Inspirational Bible Verse Comforte - Design 06'.</t>
        </is>
      </c>
      <c r="H6" s="2" t="inlineStr">
        <is>
          <t>Title/H1 live contains replacement character U+FFFD and truncated words from upstream import. R5 retains this as a source-encoding cleanup finding; it does not block deployment QA.</t>
        </is>
      </c>
      <c r="I6" s="2" t="inlineStr">
        <is>
          <t>Personalized Is Within Her Butterfly Comforter</t>
        </is>
      </c>
      <c r="J6" s="2" t="inlineStr">
        <is>
          <t>https://jeminise.com/products/christian-bedding-set-inspirational-bible-verse-comforte-design-06; evidence/products/15_*/page.html</t>
        </is>
      </c>
      <c r="K6" s="2" t="inlineStr">
        <is>
          <t>Live storefront title and H1 updated with clean UTF-8 text.</t>
        </is>
      </c>
    </row>
    <row r="7" ht="84" customHeight="1">
      <c r="A7" s="3" t="inlineStr">
        <is>
          <t>R5-ISS-016-ENC</t>
        </is>
      </c>
      <c r="B7" s="3" t="inlineStr">
        <is>
          <t>jeminise.com+christian-bedding-set-inspirational-bible-verse-comforter</t>
        </is>
      </c>
      <c r="C7" s="3" t="inlineStr"/>
      <c r="D7" s="3" t="inlineStr">
        <is>
          <t>MINOR</t>
        </is>
      </c>
      <c r="E7" s="3" t="inlineStr">
        <is>
          <t>title_current/H1_current</t>
        </is>
      </c>
      <c r="F7" s="3" t="inlineStr">
        <is>
          <t>Christian Bedding Set – Inspirational Bible Verse Comforter</t>
        </is>
      </c>
      <c r="G7" s="3" t="inlineStr">
        <is>
          <t>Live storefront title and H1 contain replacement character U+FFFD and truncation: 'Christian Bedding Set – Inspirational Bible Verse Comforter'.</t>
        </is>
      </c>
      <c r="H7" s="3" t="inlineStr">
        <is>
          <t>Title/H1 live contains replacement character U+FFFD and truncated words from upstream import. R5 retains this as a source-encoding cleanup finding; it does not block deployment QA.</t>
        </is>
      </c>
      <c r="I7" s="3" t="inlineStr">
        <is>
          <t>Personalized Christian Warrior Comforter Set</t>
        </is>
      </c>
      <c r="J7" s="3" t="inlineStr">
        <is>
          <t>https://jeminise.com/products/christian-bedding-set-inspirational-bible-verse-comforter; evidence/products/16_*/page.html</t>
        </is>
      </c>
      <c r="K7" s="3" t="inlineStr">
        <is>
          <t>Live storefront title and H1 updated with clean UTF-8 text.</t>
        </is>
      </c>
    </row>
    <row r="8" ht="84" customHeight="1">
      <c r="A8" s="2" t="inlineStr">
        <is>
          <t>R5-ISS-017-ENC</t>
        </is>
      </c>
      <c r="B8" s="2" t="inlineStr">
        <is>
          <t>jeminise.com+christmas-bedding-quilt-soft-microfiber-holiday-bedsprea-design-01</t>
        </is>
      </c>
      <c r="C8" s="2" t="inlineStr"/>
      <c r="D8" s="2" t="inlineStr">
        <is>
          <t>MINOR</t>
        </is>
      </c>
      <c r="E8" s="2" t="inlineStr">
        <is>
          <t>title_current/H1_current</t>
        </is>
      </c>
      <c r="F8" s="2" t="inlineStr">
        <is>
          <t>Christmas Bedding Quilt – Soft Microfiber Holiday Bedsprea - Design 01</t>
        </is>
      </c>
      <c r="G8" s="2" t="inlineStr">
        <is>
          <t>Live storefront title and H1 contain replacement character U+FFFD and truncation: 'Christmas Bedding Quilt – Soft Microfiber Holiday Bedsprea - Design 01'.</t>
        </is>
      </c>
      <c r="H8" s="2" t="inlineStr">
        <is>
          <t>Title/H1 live contains replacement character U+FFFD and truncated words from upstream import. R5 retains this as a source-encoding cleanup finding; it does not block deployment QA.</t>
        </is>
      </c>
      <c r="I8" s="2" t="inlineStr">
        <is>
          <t>Personalized Christmas Tree Patchwork Quilt Set</t>
        </is>
      </c>
      <c r="J8" s="2" t="inlineStr">
        <is>
          <t>https://jeminise.com/products/christmas-bedding-quilt-soft-microfiber-holiday-bedsprea-design-01; evidence/products/17_*/page.html</t>
        </is>
      </c>
      <c r="K8" s="2" t="inlineStr">
        <is>
          <t>Live storefront title and H1 updated with clean UTF-8 text.</t>
        </is>
      </c>
    </row>
    <row r="9" ht="84" customHeight="1">
      <c r="A9" s="3" t="inlineStr">
        <is>
          <t>R5-ISS-018-ENC</t>
        </is>
      </c>
      <c r="B9" s="3" t="inlineStr">
        <is>
          <t>jeminise.com+christmas-bedding-quilt-soft-microfiber-holiday-bedsprea-design-02</t>
        </is>
      </c>
      <c r="C9" s="3" t="inlineStr"/>
      <c r="D9" s="3" t="inlineStr">
        <is>
          <t>MINOR</t>
        </is>
      </c>
      <c r="E9" s="3" t="inlineStr">
        <is>
          <t>title_current/H1_current</t>
        </is>
      </c>
      <c r="F9" s="3" t="inlineStr">
        <is>
          <t>Christmas Bedding Quilt – Soft Microfiber Holiday Bedsprea - Design 02</t>
        </is>
      </c>
      <c r="G9" s="3" t="inlineStr">
        <is>
          <t>Live storefront title and H1 contain replacement character U+FFFD and truncation: 'Christmas Bedding Quilt – Soft Microfiber Holiday Bedsprea - Design 02'.</t>
        </is>
      </c>
      <c r="H9" s="3" t="inlineStr">
        <is>
          <t>Title/H1 live contains replacement character U+FFFD and truncated words from upstream import. R5 retains this as a source-encoding cleanup finding; it does not block deployment QA.</t>
        </is>
      </c>
      <c r="I9" s="3" t="inlineStr">
        <is>
          <t>Personalized Santa and Snowman Christmas Quilt Set</t>
        </is>
      </c>
      <c r="J9" s="3" t="inlineStr">
        <is>
          <t>https://jeminise.com/products/christmas-bedding-quilt-soft-microfiber-holiday-bedsprea-design-02; evidence/products/18_*/page.html</t>
        </is>
      </c>
      <c r="K9" s="3" t="inlineStr">
        <is>
          <t>Live storefront title and H1 updated with clean UTF-8 text.</t>
        </is>
      </c>
    </row>
    <row r="10" ht="84" customHeight="1">
      <c r="A10" s="2" t="inlineStr">
        <is>
          <t>R5-ISS-019-ENC</t>
        </is>
      </c>
      <c r="B10" s="2" t="inlineStr">
        <is>
          <t>jeminise.com+christmas-bedding-quilt-soft-microfiber-holiday-bedsprea-design-03</t>
        </is>
      </c>
      <c r="C10" s="2" t="inlineStr"/>
      <c r="D10" s="2" t="inlineStr">
        <is>
          <t>MINOR</t>
        </is>
      </c>
      <c r="E10" s="2" t="inlineStr">
        <is>
          <t>title_current/H1_current</t>
        </is>
      </c>
      <c r="F10" s="2" t="inlineStr">
        <is>
          <t>Christmas Bedding Quilt – Soft Microfiber Holiday Bedsprea - Design 03</t>
        </is>
      </c>
      <c r="G10" s="2" t="inlineStr">
        <is>
          <t>Live storefront title and H1 contain replacement character U+FFFD and truncation: 'Christmas Bedding Quilt – Soft Microfiber Holiday Bedsprea - Design 03'.</t>
        </is>
      </c>
      <c r="H10" s="2" t="inlineStr">
        <is>
          <t>Title/H1 live contains replacement character U+FFFD and truncated words from upstream import. R5 retains this as a source-encoding cleanup finding; it does not block deployment QA.</t>
        </is>
      </c>
      <c r="I10" s="2" t="inlineStr">
        <is>
          <t>Personalized Gingerbread Christmas Quilt Set</t>
        </is>
      </c>
      <c r="J10" s="2" t="inlineStr">
        <is>
          <t>https://jeminise.com/products/christmas-bedding-quilt-soft-microfiber-holiday-bedsprea-design-03; evidence/products/19_*/page.html</t>
        </is>
      </c>
      <c r="K10" s="2" t="inlineStr">
        <is>
          <t>Live storefront title and H1 updated with clean UTF-8 text.</t>
        </is>
      </c>
    </row>
    <row r="11" ht="84" customHeight="1">
      <c r="A11" s="3" t="inlineStr">
        <is>
          <t>R5-ISS-020-ENC</t>
        </is>
      </c>
      <c r="B11" s="3" t="inlineStr">
        <is>
          <t>jeminise.com+christmas-bedding-quilt-soft-microfiber-holiday-bedsprea-design-04</t>
        </is>
      </c>
      <c r="C11" s="3" t="inlineStr"/>
      <c r="D11" s="3" t="inlineStr">
        <is>
          <t>MINOR</t>
        </is>
      </c>
      <c r="E11" s="3" t="inlineStr">
        <is>
          <t>title_current/H1_current</t>
        </is>
      </c>
      <c r="F11" s="3" t="inlineStr">
        <is>
          <t>Christmas Bedding Quilt – Soft Microfiber Holiday Bedsprea - Design 04</t>
        </is>
      </c>
      <c r="G11" s="3" t="inlineStr">
        <is>
          <t>Live storefront title and H1 contain replacement character U+FFFD and truncation: 'Christmas Bedding Quilt – Soft Microfiber Holiday Bedsprea - Design 04'.</t>
        </is>
      </c>
      <c r="H11" s="3" t="inlineStr">
        <is>
          <t>Title/H1 live contains replacement character U+FFFD and truncated words from upstream import. R5 retains this as a source-encoding cleanup finding; it does not block deployment QA.</t>
        </is>
      </c>
      <c r="I11" s="3" t="inlineStr">
        <is>
          <t>Personalized Gingerbread Gift Christmas Quilt Set</t>
        </is>
      </c>
      <c r="J11" s="3" t="inlineStr">
        <is>
          <t>https://jeminise.com/products/christmas-bedding-quilt-soft-microfiber-holiday-bedsprea-design-04; evidence/products/20_*/page.html</t>
        </is>
      </c>
      <c r="K11" s="3" t="inlineStr">
        <is>
          <t>Live storefront title and H1 updated with clean UTF-8 text.</t>
        </is>
      </c>
    </row>
  </sheetData>
  <autoFilter ref="A1:K11"/>
  <conditionalFormatting sqref="D2:D11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2026-09-08T21:20:12Z</dcterms:created>
  <dcterms:modified xmlns:dcterms="http://purl.org/dc/terms/" xmlns:xsi="http://www.w3.org/2001/XMLSchema-instance" xsi:type="dcterms:W3CDTF">2026-09-08T21:20:12Z</dcterms:modified>
</cp:coreProperties>
</file>