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_Summary" sheetId="1" state="visible" r:id="rId1"/>
    <sheet xmlns:r="http://schemas.openxmlformats.org/officeDocument/2006/relationships" name="QA_Products" sheetId="2" state="visible" r:id="rId2"/>
    <sheet xmlns:r="http://schemas.openxmlformats.org/officeDocument/2006/relationships" name="QA_Criteria" sheetId="3" state="visible" r:id="rId3"/>
    <sheet xmlns:r="http://schemas.openxmlformats.org/officeDocument/2006/relationships" name="QA_Images" sheetId="4" state="visible" r:id="rId4"/>
    <sheet xmlns:r="http://schemas.openxmlformats.org/officeDocument/2006/relationships" name="QA_Issues" sheetId="5" state="visible" r:id="rId5"/>
  </sheets>
  <definedNames>
    <definedName name="_xlnm._FilterDatabase" localSheetId="0" hidden="1">'QA_Summary'!$A$1:$C$14</definedName>
    <definedName name="_xlnm.Print_Titles" localSheetId="0">'QA_Summary'!$1:$1</definedName>
    <definedName name="_xlnm._FilterDatabase" localSheetId="1" hidden="1">'QA_Products'!$A$1:$W$11</definedName>
    <definedName name="_xlnm.Print_Titles" localSheetId="1">'QA_Products'!$1:$1</definedName>
    <definedName name="_xlnm._FilterDatabase" localSheetId="2" hidden="1">'QA_Criteria'!$A$1:$J$111</definedName>
    <definedName name="_xlnm.Print_Titles" localSheetId="2">'QA_Criteria'!$1:$1</definedName>
    <definedName name="_xlnm._FilterDatabase" localSheetId="3" hidden="1">'QA_Images'!$A$1:$Z$70</definedName>
    <definedName name="_xlnm.Print_Titles" localSheetId="3">'QA_Images'!$1:$1</definedName>
    <definedName name="_xlnm._FilterDatabase" localSheetId="4" hidden="1">'QA_Issues'!$A$1:$K$49</definedName>
    <definedName name="_xlnm.Print_Titles" localSheetId="4">'QA_Issues'!$1:$1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1"/>
    </font>
    <font>
      <name val="Aptos"/>
      <color rgb="001F2937"/>
      <sz val="10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8FAFC"/>
      </patternFill>
    </fill>
  </fills>
  <borders count="3">
    <border>
      <left/>
      <right/>
      <top/>
      <bottom/>
      <diagonal/>
    </border>
    <border>
      <bottom style="medium">
        <color rgb="002F75B5"/>
      </bottom>
    </border>
    <border>
      <bottom style="thin">
        <color rgb="00CBD5E1"/>
      </bottom>
    </border>
  </borders>
  <cellStyleXfs count="2">
    <xf numFmtId="0" fontId="0" fillId="0" borderId="0"/>
    <xf numFmtId="0" fontId="3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3" fillId="0" borderId="0" applyAlignment="1" pivotButton="0" quotePrefix="0" xfId="1">
      <alignment vertical="top" wrapText="1"/>
    </xf>
    <xf numFmtId="164" fontId="2" fillId="3" borderId="2" applyAlignment="1" pivotButton="0" quotePrefix="0" xfId="0">
      <alignment vertical="top" wrapText="1"/>
    </xf>
    <xf numFmtId="165" fontId="2" fillId="3" borderId="2" applyAlignment="1" pivotButton="0" quotePrefix="0" xfId="0">
      <alignment vertical="top" wrapText="1"/>
    </xf>
    <xf numFmtId="164" fontId="2" fillId="0" borderId="2" applyAlignment="1" pivotButton="0" quotePrefix="0" xfId="0">
      <alignment vertical="top" wrapText="1"/>
    </xf>
    <xf numFmtId="165" fontId="2" fillId="0" borderId="2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5">
    <dxf>
      <fill>
        <patternFill patternType="solid">
          <fgColor rgb="00E2F0D9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E4DF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jeminise.com/products/custom-football-player-running-with-ball-comforter-c9c2aecff2-c9c2aecff2" TargetMode="External" Id="rId1"/><Relationship Type="http://schemas.openxmlformats.org/officeDocument/2006/relationships/hyperlink" Target="https://jeminise.com/products/custom-football-player-running-with-ball-comforter-9fe5294804-9fe5294804" TargetMode="External" Id="rId2"/><Relationship Type="http://schemas.openxmlformats.org/officeDocument/2006/relationships/hyperlink" Target="https://jeminise.com/products/custom-football-player-with-american-flag-background-comforter-44d8108598-44d8108598" TargetMode="External" Id="rId3"/><Relationship Type="http://schemas.openxmlformats.org/officeDocument/2006/relationships/hyperlink" Target="https://jeminise.com/products/custom-football-player-with-burning-ball-comforter-and-american-football-708344de4c-708344de4c" TargetMode="External" Id="rId4"/><Relationship Type="http://schemas.openxmlformats.org/officeDocument/2006/relationships/hyperlink" Target="https://jeminise.com/products/custom-football-players-and-large-football-close-comforter-01d72ea6a0-01d72ea6a0" TargetMode="External" Id="rId5"/><Relationship Type="http://schemas.openxmlformats.org/officeDocument/2006/relationships/hyperlink" Target="https://jeminise.com/products/custom-football-texture-with-prominent-laces-vintage-comforter-9be594b786-9be594b786" TargetMode="External" Id="rId6"/><Relationship Type="http://schemas.openxmlformats.org/officeDocument/2006/relationships/hyperlink" Target="https://jeminise.com/products/custom-glowing-soccer-ball-trails-comforter-set-machine-washable-a6" TargetMode="External" Id="rId7"/><Relationship Type="http://schemas.openxmlformats.org/officeDocument/2006/relationships/hyperlink" Target="https://jeminise.com/products/custom-inspirational-bible-verse-floral-blanket-d5" TargetMode="External" Id="rId8"/><Relationship Type="http://schemas.openxmlformats.org/officeDocument/2006/relationships/hyperlink" Target="https://jeminise.com/products/custom-inspirational-floral-butterfly-bible-verse-blanket-d4" TargetMode="External" Id="rId9"/><Relationship Type="http://schemas.openxmlformats.org/officeDocument/2006/relationships/hyperlink" Target="https://jeminise.com/products/custom-inspirational-scripture-butterflies-blanket-machine-washable" TargetMode="External" Id="rId10"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0792/5098/1063/files/8ba31f3002b8afee5677ebffe7ff3c478193dcca2f2a9d1e34829e5a5672ad2d.jpg?v=1785101684" TargetMode="External" Id="rId1"/><Relationship Type="http://schemas.openxmlformats.org/officeDocument/2006/relationships/hyperlink" Target="https://cdn.shopify.com/s/files/1/0792/5098/1063/files/8ba31f3002b8afee5677ebffe7ff3c478193dcca2f2a9d1e34829e5a5672ad2d.jpg?v=1785101684" TargetMode="External" Id="rId2"/><Relationship Type="http://schemas.openxmlformats.org/officeDocument/2006/relationships/hyperlink" Target="https://cdn.shopify.com/s/files/1/0792/5098/1063/files/2c8cc0e1156a54c17df3275504a709733562f18eab95974bd50d2c5bae799d81.jpg?v=1785101684" TargetMode="External" Id="rId3"/><Relationship Type="http://schemas.openxmlformats.org/officeDocument/2006/relationships/hyperlink" Target="https://cdn.shopify.com/s/files/1/0792/5098/1063/files/2c8cc0e1156a54c17df3275504a709733562f18eab95974bd50d2c5bae799d81.jpg?v=1785101684" TargetMode="External" Id="rId4"/><Relationship Type="http://schemas.openxmlformats.org/officeDocument/2006/relationships/hyperlink" Target="https://cdn.shopify.com/s/files/1/0792/5098/1063/files/9aa9c35ad239e2defe80d680bfc9c3ac770143ee38bd0c93c9b9e1b1dc297f8c_a93f2a3e-fa2c-4a6a-9774-d56275a8bf74.jpg?v=1785101684" TargetMode="External" Id="rId5"/><Relationship Type="http://schemas.openxmlformats.org/officeDocument/2006/relationships/hyperlink" Target="https://cdn.shopify.com/s/files/1/0792/5098/1063/files/9aa9c35ad239e2defe80d680bfc9c3ac770143ee38bd0c93c9b9e1b1dc297f8c_a93f2a3e-fa2c-4a6a-9774-d56275a8bf74.jpg?v=1785101684" TargetMode="External" Id="rId6"/><Relationship Type="http://schemas.openxmlformats.org/officeDocument/2006/relationships/hyperlink" Target="https://cdn.shopify.com/s/files/1/0792/5098/1063/files/60438aaa09409be8237de63d32769edc65c732c9d2664029795c857c7de0fe39.jpg?v=1785101684" TargetMode="External" Id="rId7"/><Relationship Type="http://schemas.openxmlformats.org/officeDocument/2006/relationships/hyperlink" Target="https://cdn.shopify.com/s/files/1/0792/5098/1063/files/60438aaa09409be8237de63d32769edc65c732c9d2664029795c857c7de0fe39.jpg?v=1785101684" TargetMode="External" Id="rId8"/><Relationship Type="http://schemas.openxmlformats.org/officeDocument/2006/relationships/hyperlink" Target="https://cdn.shopify.com/s/files/1/0792/5098/1063/files/1bbfbfcf6d26cde4c41dc9cd48a48d8537c348d2d8ae8239cde2198dbac1d7d5_1a59e953-f922-4737-88bf-7e1c410bafeb.jpg?v=1785101684" TargetMode="External" Id="rId9"/><Relationship Type="http://schemas.openxmlformats.org/officeDocument/2006/relationships/hyperlink" Target="https://cdn.shopify.com/s/files/1/0792/5098/1063/files/1bbfbfcf6d26cde4c41dc9cd48a48d8537c348d2d8ae8239cde2198dbac1d7d5_1a59e953-f922-4737-88bf-7e1c410bafeb.jpg?v=1785101684" TargetMode="External" Id="rId10"/><Relationship Type="http://schemas.openxmlformats.org/officeDocument/2006/relationships/hyperlink" Target="https://cdn.shopify.com/s/files/1/0792/5098/1063/files/b875bfc16d8349abe649f457b947dd0efc388f0aa8df8cf243abee1bb432b085_5c5b75c5-ca18-4ffe-b635-c1a000a134b4.jpg?v=1785101684" TargetMode="External" Id="rId11"/><Relationship Type="http://schemas.openxmlformats.org/officeDocument/2006/relationships/hyperlink" Target="https://cdn.shopify.com/s/files/1/0792/5098/1063/files/b875bfc16d8349abe649f457b947dd0efc388f0aa8df8cf243abee1bb432b085_5c5b75c5-ca18-4ffe-b635-c1a000a134b4.jpg?v=1785101684" TargetMode="External" Id="rId12"/><Relationship Type="http://schemas.openxmlformats.org/officeDocument/2006/relationships/hyperlink" Target="https://cdn.shopify.com/s/files/1/0792/5098/1063/files/7ae2888cc5a8f4c1be93b58990c02cf2577c8872f9903c751abf72721c40bdc8.jpg?v=1785100549" TargetMode="External" Id="rId13"/><Relationship Type="http://schemas.openxmlformats.org/officeDocument/2006/relationships/hyperlink" Target="https://cdn.shopify.com/s/files/1/0792/5098/1063/files/7ae2888cc5a8f4c1be93b58990c02cf2577c8872f9903c751abf72721c40bdc8.jpg?v=1785100549" TargetMode="External" Id="rId14"/><Relationship Type="http://schemas.openxmlformats.org/officeDocument/2006/relationships/hyperlink" Target="https://cdn.shopify.com/s/files/1/0792/5098/1063/files/799175dfb6f38b7790193ecd4f998f551c3dd9a73d138ba3e58b80cced520606.jpg?v=1785100549" TargetMode="External" Id="rId15"/><Relationship Type="http://schemas.openxmlformats.org/officeDocument/2006/relationships/hyperlink" Target="https://cdn.shopify.com/s/files/1/0792/5098/1063/files/799175dfb6f38b7790193ecd4f998f551c3dd9a73d138ba3e58b80cced520606.jpg?v=1785100549" TargetMode="External" Id="rId16"/><Relationship Type="http://schemas.openxmlformats.org/officeDocument/2006/relationships/hyperlink" Target="https://cdn.shopify.com/s/files/1/0792/5098/1063/files/16f7293cbefa5743a35b2e6316a5a114e5c052d08151e367dafd26aa5e2e542b_10285fa5-7297-4643-8eb0-4a5eda394860.jpg?v=1785100549" TargetMode="External" Id="rId17"/><Relationship Type="http://schemas.openxmlformats.org/officeDocument/2006/relationships/hyperlink" Target="https://cdn.shopify.com/s/files/1/0792/5098/1063/files/16f7293cbefa5743a35b2e6316a5a114e5c052d08151e367dafd26aa5e2e542b_10285fa5-7297-4643-8eb0-4a5eda394860.jpg?v=1785100549" TargetMode="External" Id="rId18"/><Relationship Type="http://schemas.openxmlformats.org/officeDocument/2006/relationships/hyperlink" Target="https://cdn.shopify.com/s/files/1/0792/5098/1063/files/db40229d565449c2d4dde0e5aa7dea684b3c871845f33940a7097340d533b582.jpg?v=1785100549" TargetMode="External" Id="rId19"/><Relationship Type="http://schemas.openxmlformats.org/officeDocument/2006/relationships/hyperlink" Target="https://cdn.shopify.com/s/files/1/0792/5098/1063/files/db40229d565449c2d4dde0e5aa7dea684b3c871845f33940a7097340d533b582.jpg?v=1785100549" TargetMode="External" Id="rId20"/><Relationship Type="http://schemas.openxmlformats.org/officeDocument/2006/relationships/hyperlink" Target="https://cdn.shopify.com/s/files/1/0792/5098/1063/files/7c006bddc94d4763c71c8376307e195c1bbce73b8c802ec73ac5a8cef1291262_a5f76ddb-b40a-4125-8053-16c6605c36f1.jpg?v=1785100549" TargetMode="External" Id="rId21"/><Relationship Type="http://schemas.openxmlformats.org/officeDocument/2006/relationships/hyperlink" Target="https://cdn.shopify.com/s/files/1/0792/5098/1063/files/7c006bddc94d4763c71c8376307e195c1bbce73b8c802ec73ac5a8cef1291262_a5f76ddb-b40a-4125-8053-16c6605c36f1.jpg?v=1785100549" TargetMode="External" Id="rId22"/><Relationship Type="http://schemas.openxmlformats.org/officeDocument/2006/relationships/hyperlink" Target="https://cdn.shopify.com/s/files/1/0792/5098/1063/files/e5cad84edb4d7bf77c48fd7c8e52eb3b73f04eba8bf177671fd8a059c59422e8_cdf664cf-e4cb-4ff7-8cde-1b53280e4624.jpg?v=1785100549" TargetMode="External" Id="rId23"/><Relationship Type="http://schemas.openxmlformats.org/officeDocument/2006/relationships/hyperlink" Target="https://cdn.shopify.com/s/files/1/0792/5098/1063/files/e5cad84edb4d7bf77c48fd7c8e52eb3b73f04eba8bf177671fd8a059c59422e8_cdf664cf-e4cb-4ff7-8cde-1b53280e4624.jpg?v=1785100549" TargetMode="External" Id="rId24"/><Relationship Type="http://schemas.openxmlformats.org/officeDocument/2006/relationships/hyperlink" Target="https://cdn.shopify.com/s/files/1/0792/5098/1063/files/09350cb325a519a0957806f82c1f3573d4d7e06e8b946df019d7eb52540f0503.jpg?v=1785100785" TargetMode="External" Id="rId25"/><Relationship Type="http://schemas.openxmlformats.org/officeDocument/2006/relationships/hyperlink" Target="https://cdn.shopify.com/s/files/1/0792/5098/1063/files/09350cb325a519a0957806f82c1f3573d4d7e06e8b946df019d7eb52540f0503.jpg?v=1785100785" TargetMode="External" Id="rId26"/><Relationship Type="http://schemas.openxmlformats.org/officeDocument/2006/relationships/hyperlink" Target="https://cdn.shopify.com/s/files/1/0792/5098/1063/files/7eedb0acf0b4f86703af79ca8ec1e94561dd4ab71d22438e9f35cde8e902b5f0.jpg?v=1785100785" TargetMode="External" Id="rId27"/><Relationship Type="http://schemas.openxmlformats.org/officeDocument/2006/relationships/hyperlink" Target="https://cdn.shopify.com/s/files/1/0792/5098/1063/files/7eedb0acf0b4f86703af79ca8ec1e94561dd4ab71d22438e9f35cde8e902b5f0.jpg?v=1785100785" TargetMode="External" Id="rId28"/><Relationship Type="http://schemas.openxmlformats.org/officeDocument/2006/relationships/hyperlink" Target="https://cdn.shopify.com/s/files/1/0792/5098/1063/files/16f7293cbefa5743a35b2e6316a5a114e5c052d08151e367dafd26aa5e2e542b_d7906199-81c3-409a-b3b7-592b0916097a.jpg?v=1785100785" TargetMode="External" Id="rId29"/><Relationship Type="http://schemas.openxmlformats.org/officeDocument/2006/relationships/hyperlink" Target="https://cdn.shopify.com/s/files/1/0792/5098/1063/files/16f7293cbefa5743a35b2e6316a5a114e5c052d08151e367dafd26aa5e2e542b_d7906199-81c3-409a-b3b7-592b0916097a.jpg?v=1785100785" TargetMode="External" Id="rId30"/><Relationship Type="http://schemas.openxmlformats.org/officeDocument/2006/relationships/hyperlink" Target="https://cdn.shopify.com/s/files/1/0792/5098/1063/files/149c548bb487ce76f43cdead9cb37850430b41022dc560514adbfe436691fe89.jpg?v=1785100785" TargetMode="External" Id="rId31"/><Relationship Type="http://schemas.openxmlformats.org/officeDocument/2006/relationships/hyperlink" Target="https://cdn.shopify.com/s/files/1/0792/5098/1063/files/149c548bb487ce76f43cdead9cb37850430b41022dc560514adbfe436691fe89.jpg?v=1785100785" TargetMode="External" Id="rId32"/><Relationship Type="http://schemas.openxmlformats.org/officeDocument/2006/relationships/hyperlink" Target="https://cdn.shopify.com/s/files/1/0792/5098/1063/files/7c006bddc94d4763c71c8376307e195c1bbce73b8c802ec73ac5a8cef1291262_c3a8eff9-dc39-48b1-ad25-12cd69cf1def.jpg?v=1785100785" TargetMode="External" Id="rId33"/><Relationship Type="http://schemas.openxmlformats.org/officeDocument/2006/relationships/hyperlink" Target="https://cdn.shopify.com/s/files/1/0792/5098/1063/files/7c006bddc94d4763c71c8376307e195c1bbce73b8c802ec73ac5a8cef1291262_c3a8eff9-dc39-48b1-ad25-12cd69cf1def.jpg?v=1785100785" TargetMode="External" Id="rId34"/><Relationship Type="http://schemas.openxmlformats.org/officeDocument/2006/relationships/hyperlink" Target="https://cdn.shopify.com/s/files/1/0792/5098/1063/files/e5cad84edb4d7bf77c48fd7c8e52eb3b73f04eba8bf177671fd8a059c59422e8_5ea43c7c-5091-4114-9da2-063c4867930e.jpg?v=1785100785" TargetMode="External" Id="rId35"/><Relationship Type="http://schemas.openxmlformats.org/officeDocument/2006/relationships/hyperlink" Target="https://cdn.shopify.com/s/files/1/0792/5098/1063/files/e5cad84edb4d7bf77c48fd7c8e52eb3b73f04eba8bf177671fd8a059c59422e8_5ea43c7c-5091-4114-9da2-063c4867930e.jpg?v=1785100785" TargetMode="External" Id="rId36"/><Relationship Type="http://schemas.openxmlformats.org/officeDocument/2006/relationships/hyperlink" Target="https://cdn.shopify.com/s/files/1/0792/5098/1063/files/fb332cfe8c182306abbab1f7491cf195fef7e6067a5228b112d7a2d8dd393ef8.jpg?v=1785100232" TargetMode="External" Id="rId37"/><Relationship Type="http://schemas.openxmlformats.org/officeDocument/2006/relationships/hyperlink" Target="https://cdn.shopify.com/s/files/1/0792/5098/1063/files/fb332cfe8c182306abbab1f7491cf195fef7e6067a5228b112d7a2d8dd393ef8.jpg?v=1785100232" TargetMode="External" Id="rId38"/><Relationship Type="http://schemas.openxmlformats.org/officeDocument/2006/relationships/hyperlink" Target="https://cdn.shopify.com/s/files/1/0792/5098/1063/files/fd37c6101f5cc6a23f0a9b3bc4999aa5f6730ccc0ada86d88f0a3fa9fe12a04c.jpg?v=1785100232" TargetMode="External" Id="rId39"/><Relationship Type="http://schemas.openxmlformats.org/officeDocument/2006/relationships/hyperlink" Target="https://cdn.shopify.com/s/files/1/0792/5098/1063/files/fd37c6101f5cc6a23f0a9b3bc4999aa5f6730ccc0ada86d88f0a3fa9fe12a04c.jpg?v=1785100232" TargetMode="External" Id="rId40"/><Relationship Type="http://schemas.openxmlformats.org/officeDocument/2006/relationships/hyperlink" Target="https://cdn.shopify.com/s/files/1/0792/5098/1063/files/16f7293cbefa5743a35b2e6316a5a114e5c052d08151e367dafd26aa5e2e542b.jpg?v=1785100232" TargetMode="External" Id="rId41"/><Relationship Type="http://schemas.openxmlformats.org/officeDocument/2006/relationships/hyperlink" Target="https://cdn.shopify.com/s/files/1/0792/5098/1063/files/16f7293cbefa5743a35b2e6316a5a114e5c052d08151e367dafd26aa5e2e542b.jpg?v=1785100232" TargetMode="External" Id="rId42"/><Relationship Type="http://schemas.openxmlformats.org/officeDocument/2006/relationships/hyperlink" Target="https://cdn.shopify.com/s/files/1/0792/5098/1063/files/16850aa741a5d267737cb2131b33dda45539071a48778438df0f5ebd220e57f0.jpg?v=1785100232" TargetMode="External" Id="rId43"/><Relationship Type="http://schemas.openxmlformats.org/officeDocument/2006/relationships/hyperlink" Target="https://cdn.shopify.com/s/files/1/0792/5098/1063/files/16850aa741a5d267737cb2131b33dda45539071a48778438df0f5ebd220e57f0.jpg?v=1785100232" TargetMode="External" Id="rId44"/><Relationship Type="http://schemas.openxmlformats.org/officeDocument/2006/relationships/hyperlink" Target="https://cdn.shopify.com/s/files/1/0792/5098/1063/files/7c006bddc94d4763c71c8376307e195c1bbce73b8c802ec73ac5a8cef1291262.jpg?v=1785100232" TargetMode="External" Id="rId45"/><Relationship Type="http://schemas.openxmlformats.org/officeDocument/2006/relationships/hyperlink" Target="https://cdn.shopify.com/s/files/1/0792/5098/1063/files/7c006bddc94d4763c71c8376307e195c1bbce73b8c802ec73ac5a8cef1291262.jpg?v=1785100232" TargetMode="External" Id="rId46"/><Relationship Type="http://schemas.openxmlformats.org/officeDocument/2006/relationships/hyperlink" Target="https://cdn.shopify.com/s/files/1/0792/5098/1063/files/e5cad84edb4d7bf77c48fd7c8e52eb3b73f04eba8bf177671fd8a059c59422e8.jpg?v=1785100232" TargetMode="External" Id="rId47"/><Relationship Type="http://schemas.openxmlformats.org/officeDocument/2006/relationships/hyperlink" Target="https://cdn.shopify.com/s/files/1/0792/5098/1063/files/e5cad84edb4d7bf77c48fd7c8e52eb3b73f04eba8bf177671fd8a059c59422e8.jpg?v=1785100232" TargetMode="External" Id="rId48"/><Relationship Type="http://schemas.openxmlformats.org/officeDocument/2006/relationships/hyperlink" Target="https://cdn.shopify.com/s/files/1/0792/5098/1063/files/d9863c62f320177280428dc92d48725c1c06a55d659d366f384fde0c7811382a.jpg?v=1785101218" TargetMode="External" Id="rId49"/><Relationship Type="http://schemas.openxmlformats.org/officeDocument/2006/relationships/hyperlink" Target="https://cdn.shopify.com/s/files/1/0792/5098/1063/files/d9863c62f320177280428dc92d48725c1c06a55d659d366f384fde0c7811382a.jpg?v=1785101218" TargetMode="External" Id="rId50"/><Relationship Type="http://schemas.openxmlformats.org/officeDocument/2006/relationships/hyperlink" Target="https://cdn.shopify.com/s/files/1/0792/5098/1063/files/61d8db4586719dd0e842f190225984c6b6da3b53035d15a131bc2de65a30108d.jpg?v=1785101218" TargetMode="External" Id="rId51"/><Relationship Type="http://schemas.openxmlformats.org/officeDocument/2006/relationships/hyperlink" Target="https://cdn.shopify.com/s/files/1/0792/5098/1063/files/61d8db4586719dd0e842f190225984c6b6da3b53035d15a131bc2de65a30108d.jpg?v=1785101218" TargetMode="External" Id="rId52"/><Relationship Type="http://schemas.openxmlformats.org/officeDocument/2006/relationships/hyperlink" Target="https://cdn.shopify.com/s/files/1/0792/5098/1063/files/16f7293cbefa5743a35b2e6316a5a114e5c052d08151e367dafd26aa5e2e542b_fd7ecc9e-322c-42cb-ad00-501d35fb48d9.jpg?v=1785101218" TargetMode="External" Id="rId53"/><Relationship Type="http://schemas.openxmlformats.org/officeDocument/2006/relationships/hyperlink" Target="https://cdn.shopify.com/s/files/1/0792/5098/1063/files/16f7293cbefa5743a35b2e6316a5a114e5c052d08151e367dafd26aa5e2e542b_fd7ecc9e-322c-42cb-ad00-501d35fb48d9.jpg?v=1785101218" TargetMode="External" Id="rId54"/><Relationship Type="http://schemas.openxmlformats.org/officeDocument/2006/relationships/hyperlink" Target="https://cdn.shopify.com/s/files/1/0792/5098/1063/files/58c340a4c7fe053916f16800187530e654ac14f931a47170b18971d21ebaf1ab.jpg?v=1785101218" TargetMode="External" Id="rId55"/><Relationship Type="http://schemas.openxmlformats.org/officeDocument/2006/relationships/hyperlink" Target="https://cdn.shopify.com/s/files/1/0792/5098/1063/files/58c340a4c7fe053916f16800187530e654ac14f931a47170b18971d21ebaf1ab.jpg?v=1785101218" TargetMode="External" Id="rId56"/><Relationship Type="http://schemas.openxmlformats.org/officeDocument/2006/relationships/hyperlink" Target="https://cdn.shopify.com/s/files/1/0792/5098/1063/files/9eff0d4b8aa047da646b832be864b73d6d5b63aa2e2b5e86db07267662d50290.jpg?v=1785101218" TargetMode="External" Id="rId57"/><Relationship Type="http://schemas.openxmlformats.org/officeDocument/2006/relationships/hyperlink" Target="https://cdn.shopify.com/s/files/1/0792/5098/1063/files/9eff0d4b8aa047da646b832be864b73d6d5b63aa2e2b5e86db07267662d50290.jpg?v=1785101218" TargetMode="External" Id="rId58"/><Relationship Type="http://schemas.openxmlformats.org/officeDocument/2006/relationships/hyperlink" Target="https://cdn.shopify.com/s/files/1/0792/5098/1063/files/7c006bddc94d4763c71c8376307e195c1bbce73b8c802ec73ac5a8cef1291262_450a5325-5d52-4e03-9515-43a2fd35d3ac.jpg?v=1785101218" TargetMode="External" Id="rId59"/><Relationship Type="http://schemas.openxmlformats.org/officeDocument/2006/relationships/hyperlink" Target="https://cdn.shopify.com/s/files/1/0792/5098/1063/files/7c006bddc94d4763c71c8376307e195c1bbce73b8c802ec73ac5a8cef1291262_450a5325-5d52-4e03-9515-43a2fd35d3ac.jpg?v=1785101218" TargetMode="External" Id="rId60"/><Relationship Type="http://schemas.openxmlformats.org/officeDocument/2006/relationships/hyperlink" Target="https://cdn.shopify.com/s/files/1/0792/5098/1063/files/e5cad84edb4d7bf77c48fd7c8e52eb3b73f04eba8bf177671fd8a059c59422e8_c920d1d7-5cd3-4297-af76-4f5b0b234ebb.jpg?v=1785101218" TargetMode="External" Id="rId61"/><Relationship Type="http://schemas.openxmlformats.org/officeDocument/2006/relationships/hyperlink" Target="https://cdn.shopify.com/s/files/1/0792/5098/1063/files/e5cad84edb4d7bf77c48fd7c8e52eb3b73f04eba8bf177671fd8a059c59422e8_c920d1d7-5cd3-4297-af76-4f5b0b234ebb.jpg?v=1785101218" TargetMode="External" Id="rId62"/><Relationship Type="http://schemas.openxmlformats.org/officeDocument/2006/relationships/hyperlink" Target="https://cdn.shopify.com/s/files/1/0792/5098/1063/files/85acb5724b5772636361a6d94be8777f6f2bdb5f3a8e7fa49c6491dff38c06f8.jpg?v=1785102237" TargetMode="External" Id="rId63"/><Relationship Type="http://schemas.openxmlformats.org/officeDocument/2006/relationships/hyperlink" Target="https://cdn.shopify.com/s/files/1/0792/5098/1063/files/85acb5724b5772636361a6d94be8777f6f2bdb5f3a8e7fa49c6491dff38c06f8.jpg?v=1785102237" TargetMode="External" Id="rId64"/><Relationship Type="http://schemas.openxmlformats.org/officeDocument/2006/relationships/hyperlink" Target="https://cdn.shopify.com/s/files/1/0792/5098/1063/files/c0dfbc01cdafe0eb40befa736aca2b23229fa063a0f1bf1806bd204913a26a42.jpg?v=1785102237" TargetMode="External" Id="rId65"/><Relationship Type="http://schemas.openxmlformats.org/officeDocument/2006/relationships/hyperlink" Target="https://cdn.shopify.com/s/files/1/0792/5098/1063/files/c0dfbc01cdafe0eb40befa736aca2b23229fa063a0f1bf1806bd204913a26a42.jpg?v=1785102237" TargetMode="External" Id="rId66"/><Relationship Type="http://schemas.openxmlformats.org/officeDocument/2006/relationships/hyperlink" Target="https://cdn.shopify.com/s/files/1/0792/5098/1063/files/16f7293cbefa5743a35b2e6316a5a114e5c052d08151e367dafd26aa5e2e542b_d875385b-9b7e-444f-ba63-a4c498f71a9c.jpg?v=1785102237" TargetMode="External" Id="rId67"/><Relationship Type="http://schemas.openxmlformats.org/officeDocument/2006/relationships/hyperlink" Target="https://cdn.shopify.com/s/files/1/0792/5098/1063/files/16f7293cbefa5743a35b2e6316a5a114e5c052d08151e367dafd26aa5e2e542b_d875385b-9b7e-444f-ba63-a4c498f71a9c.jpg?v=1785102237" TargetMode="External" Id="rId68"/><Relationship Type="http://schemas.openxmlformats.org/officeDocument/2006/relationships/hyperlink" Target="https://cdn.shopify.com/s/files/1/0792/5098/1063/files/cfd8631dbba8b37733bb37a7a070ce958cbd2a04846a637899b41f22e85eceda.jpg?v=1785102237" TargetMode="External" Id="rId69"/><Relationship Type="http://schemas.openxmlformats.org/officeDocument/2006/relationships/hyperlink" Target="https://cdn.shopify.com/s/files/1/0792/5098/1063/files/cfd8631dbba8b37733bb37a7a070ce958cbd2a04846a637899b41f22e85eceda.jpg?v=1785102237" TargetMode="External" Id="rId70"/><Relationship Type="http://schemas.openxmlformats.org/officeDocument/2006/relationships/hyperlink" Target="https://cdn.shopify.com/s/files/1/0792/5098/1063/files/7c006bddc94d4763c71c8376307e195c1bbce73b8c802ec73ac5a8cef1291262_d779487c-d3b5-4d1b-8bf2-b7c489c617aa.jpg?v=1785102237" TargetMode="External" Id="rId71"/><Relationship Type="http://schemas.openxmlformats.org/officeDocument/2006/relationships/hyperlink" Target="https://cdn.shopify.com/s/files/1/0792/5098/1063/files/7c006bddc94d4763c71c8376307e195c1bbce73b8c802ec73ac5a8cef1291262_d779487c-d3b5-4d1b-8bf2-b7c489c617aa.jpg?v=1785102237" TargetMode="External" Id="rId72"/><Relationship Type="http://schemas.openxmlformats.org/officeDocument/2006/relationships/hyperlink" Target="https://cdn.shopify.com/s/files/1/0792/5098/1063/files/e5cad84edb4d7bf77c48fd7c8e52eb3b73f04eba8bf177671fd8a059c59422e8_018a15cb-bcc1-4002-a0d8-af67e3fb30ea.jpg?v=1785102237" TargetMode="External" Id="rId73"/><Relationship Type="http://schemas.openxmlformats.org/officeDocument/2006/relationships/hyperlink" Target="https://cdn.shopify.com/s/files/1/0792/5098/1063/files/e5cad84edb4d7bf77c48fd7c8e52eb3b73f04eba8bf177671fd8a059c59422e8_018a15cb-bcc1-4002-a0d8-af67e3fb30ea.jpg?v=1785102237" TargetMode="External" Id="rId74"/><Relationship Type="http://schemas.openxmlformats.org/officeDocument/2006/relationships/hyperlink" Target="https://cdn.shopify.com/s/files/1/0792/5098/1063/files/d35464e29b296878cbbb36fb22ace55bea2b0208c40de42a7bbeeecd1911b275.jpg?v=1786611029" TargetMode="External" Id="rId75"/><Relationship Type="http://schemas.openxmlformats.org/officeDocument/2006/relationships/hyperlink" Target="https://cdn.shopify.com/s/files/1/0792/5098/1063/files/d35464e29b296878cbbb36fb22ace55bea2b0208c40de42a7bbeeecd1911b275.jpg?v=1786611029" TargetMode="External" Id="rId76"/><Relationship Type="http://schemas.openxmlformats.org/officeDocument/2006/relationships/hyperlink" Target="https://cdn.shopify.com/s/files/1/0792/5098/1063/files/5c13d611a7a454c1ca63d112fc1075b3b0768874d5d6172aeaf1cd08cc696830.jpg?v=1786611029" TargetMode="External" Id="rId77"/><Relationship Type="http://schemas.openxmlformats.org/officeDocument/2006/relationships/hyperlink" Target="https://cdn.shopify.com/s/files/1/0792/5098/1063/files/5c13d611a7a454c1ca63d112fc1075b3b0768874d5d6172aeaf1cd08cc696830.jpg?v=1786611029" TargetMode="External" Id="rId78"/><Relationship Type="http://schemas.openxmlformats.org/officeDocument/2006/relationships/hyperlink" Target="https://cdn.shopify.com/s/files/1/0792/5098/1063/files/305d9f6d5446ecb591f3359b103d707a8238d268ede646541022deebd4e546fe.jpg?v=1786611030" TargetMode="External" Id="rId79"/><Relationship Type="http://schemas.openxmlformats.org/officeDocument/2006/relationships/hyperlink" Target="https://cdn.shopify.com/s/files/1/0792/5098/1063/files/305d9f6d5446ecb591f3359b103d707a8238d268ede646541022deebd4e546fe.jpg?v=1786611030" TargetMode="External" Id="rId80"/><Relationship Type="http://schemas.openxmlformats.org/officeDocument/2006/relationships/hyperlink" Target="https://cdn.shopify.com/s/files/1/0792/5098/1063/files/0b1d1e19cab6d757366a36700f895ecca060303e705a8aece2f5fa486b6770da_95997922-66a7-46d6-9ca4-1f9633c6e408.jpg?v=1786611029" TargetMode="External" Id="rId81"/><Relationship Type="http://schemas.openxmlformats.org/officeDocument/2006/relationships/hyperlink" Target="https://cdn.shopify.com/s/files/1/0792/5098/1063/files/0b1d1e19cab6d757366a36700f895ecca060303e705a8aece2f5fa486b6770da_95997922-66a7-46d6-9ca4-1f9633c6e408.jpg?v=1786611029" TargetMode="External" Id="rId82"/><Relationship Type="http://schemas.openxmlformats.org/officeDocument/2006/relationships/hyperlink" Target="https://cdn.shopify.com/s/files/1/0792/5098/1063/files/f929fadf46a0d640608e2094534af14a00f4d3c4741a2c49c81555cb9fad12c6.jpg?v=1786611029" TargetMode="External" Id="rId83"/><Relationship Type="http://schemas.openxmlformats.org/officeDocument/2006/relationships/hyperlink" Target="https://cdn.shopify.com/s/files/1/0792/5098/1063/files/f929fadf46a0d640608e2094534af14a00f4d3c4741a2c49c81555cb9fad12c6.jpg?v=1786611029" TargetMode="External" Id="rId84"/><Relationship Type="http://schemas.openxmlformats.org/officeDocument/2006/relationships/hyperlink" Target="https://cdn.shopify.com/s/files/1/0792/5098/1063/files/b550cf71c201b6bc1ae5a8c7738600f1e28884333df72f355ce05d68e3cc01af.jpg?v=1786611030" TargetMode="External" Id="rId85"/><Relationship Type="http://schemas.openxmlformats.org/officeDocument/2006/relationships/hyperlink" Target="https://cdn.shopify.com/s/files/1/0792/5098/1063/files/b550cf71c201b6bc1ae5a8c7738600f1e28884333df72f355ce05d68e3cc01af.jpg?v=1786611030" TargetMode="External" Id="rId86"/><Relationship Type="http://schemas.openxmlformats.org/officeDocument/2006/relationships/hyperlink" Target="https://cdn.shopify.com/s/files/1/0792/5098/1063/files/dd6b2f75d5d331064be3e2ace151f6872c3f1f67675d8c1c7fa00f207341180b_b741a6ef-7c5a-4b13-9c59-910a83594693.jpg?v=1786611029" TargetMode="External" Id="rId87"/><Relationship Type="http://schemas.openxmlformats.org/officeDocument/2006/relationships/hyperlink" Target="https://cdn.shopify.com/s/files/1/0792/5098/1063/files/dd6b2f75d5d331064be3e2ace151f6872c3f1f67675d8c1c7fa00f207341180b_b741a6ef-7c5a-4b13-9c59-910a83594693.jpg?v=1786611029" TargetMode="External" Id="rId88"/><Relationship Type="http://schemas.openxmlformats.org/officeDocument/2006/relationships/hyperlink" Target="https://cdn.shopify.com/s/files/1/0792/5098/1063/files/ca0ded50205c9a145d2201f8702c3925419b376696554b3229114fd05d7f556d.jpg?v=1786596390" TargetMode="External" Id="rId89"/><Relationship Type="http://schemas.openxmlformats.org/officeDocument/2006/relationships/hyperlink" Target="https://cdn.shopify.com/s/files/1/0792/5098/1063/files/ca0ded50205c9a145d2201f8702c3925419b376696554b3229114fd05d7f556d.jpg?v=1786596390" TargetMode="External" Id="rId90"/><Relationship Type="http://schemas.openxmlformats.org/officeDocument/2006/relationships/hyperlink" Target="https://cdn.shopify.com/s/files/1/0792/5098/1063/files/80a6fe654ac1fd0d679f932fd6067e5bde2cb91ce33c5fadb6590c3f842d156a.jpg?v=1786596390" TargetMode="External" Id="rId91"/><Relationship Type="http://schemas.openxmlformats.org/officeDocument/2006/relationships/hyperlink" Target="https://cdn.shopify.com/s/files/1/0792/5098/1063/files/80a6fe654ac1fd0d679f932fd6067e5bde2cb91ce33c5fadb6590c3f842d156a.jpg?v=1786596390" TargetMode="External" Id="rId92"/><Relationship Type="http://schemas.openxmlformats.org/officeDocument/2006/relationships/hyperlink" Target="https://cdn.shopify.com/s/files/1/0792/5098/1063/files/f23712d7b45dec2b94f15c30d2fa3486112c05fbd70bdfda484d54f70ee1e6bf.jpg?v=1786596390" TargetMode="External" Id="rId93"/><Relationship Type="http://schemas.openxmlformats.org/officeDocument/2006/relationships/hyperlink" Target="https://cdn.shopify.com/s/files/1/0792/5098/1063/files/f23712d7b45dec2b94f15c30d2fa3486112c05fbd70bdfda484d54f70ee1e6bf.jpg?v=1786596390" TargetMode="External" Id="rId94"/><Relationship Type="http://schemas.openxmlformats.org/officeDocument/2006/relationships/hyperlink" Target="https://cdn.shopify.com/s/files/1/0792/5098/1063/files/aa0fb14729de0642d8b581503e1c38b21e77beae9c61492c06a15d3a0805eee2.jpg?v=1786596390" TargetMode="External" Id="rId95"/><Relationship Type="http://schemas.openxmlformats.org/officeDocument/2006/relationships/hyperlink" Target="https://cdn.shopify.com/s/files/1/0792/5098/1063/files/aa0fb14729de0642d8b581503e1c38b21e77beae9c61492c06a15d3a0805eee2.jpg?v=1786596390" TargetMode="External" Id="rId96"/><Relationship Type="http://schemas.openxmlformats.org/officeDocument/2006/relationships/hyperlink" Target="https://cdn.shopify.com/s/files/1/0792/5098/1063/files/a9a28aa5c708b74c165ad7668f47cc1b4810f4702f4e01ce8815cf327e772b00.jpg?v=1786596390" TargetMode="External" Id="rId97"/><Relationship Type="http://schemas.openxmlformats.org/officeDocument/2006/relationships/hyperlink" Target="https://cdn.shopify.com/s/files/1/0792/5098/1063/files/a9a28aa5c708b74c165ad7668f47cc1b4810f4702f4e01ce8815cf327e772b00.jpg?v=1786596390" TargetMode="External" Id="rId98"/><Relationship Type="http://schemas.openxmlformats.org/officeDocument/2006/relationships/hyperlink" Target="https://cdn.shopify.com/s/files/1/0792/5098/1063/files/285b6bd3be97a6153eb89be847ece0ce42f792c7cb6e517a5610455d08a06a3d.jpg?v=1786596390" TargetMode="External" Id="rId99"/><Relationship Type="http://schemas.openxmlformats.org/officeDocument/2006/relationships/hyperlink" Target="https://cdn.shopify.com/s/files/1/0792/5098/1063/files/285b6bd3be97a6153eb89be847ece0ce42f792c7cb6e517a5610455d08a06a3d.jpg?v=1786596390" TargetMode="External" Id="rId100"/><Relationship Type="http://schemas.openxmlformats.org/officeDocument/2006/relationships/hyperlink" Target="https://cdn.shopify.com/s/files/1/0792/5098/1063/files/0034d6b12cf17e1793b02da85790523798dba39dbef288520c79a50a77d88f07.jpg?v=1786596390" TargetMode="External" Id="rId101"/><Relationship Type="http://schemas.openxmlformats.org/officeDocument/2006/relationships/hyperlink" Target="https://cdn.shopify.com/s/files/1/0792/5098/1063/files/0034d6b12cf17e1793b02da85790523798dba39dbef288520c79a50a77d88f07.jpg?v=1786596390" TargetMode="External" Id="rId102"/><Relationship Type="http://schemas.openxmlformats.org/officeDocument/2006/relationships/hyperlink" Target="https://cdn.shopify.com/s/files/1/0792/5098/1063/files/9403508b5040ee28c8d43fb735db4f5989bf15bbb634400e6533a6dab27fa9a7.jpg?v=1786596390" TargetMode="External" Id="rId103"/><Relationship Type="http://schemas.openxmlformats.org/officeDocument/2006/relationships/hyperlink" Target="https://cdn.shopify.com/s/files/1/0792/5098/1063/files/9403508b5040ee28c8d43fb735db4f5989bf15bbb634400e6533a6dab27fa9a7.jpg?v=1786596390" TargetMode="External" Id="rId104"/><Relationship Type="http://schemas.openxmlformats.org/officeDocument/2006/relationships/hyperlink" Target="https://cdn.shopify.com/s/files/1/0792/5098/1063/files/ca732fd8d27565286eaf2f57c03ca596ce5115d12132affdc946fc6b1f38811c.jpg?v=1786596418" TargetMode="External" Id="rId105"/><Relationship Type="http://schemas.openxmlformats.org/officeDocument/2006/relationships/hyperlink" Target="https://cdn.shopify.com/s/files/1/0792/5098/1063/files/ca732fd8d27565286eaf2f57c03ca596ce5115d12132affdc946fc6b1f38811c.jpg?v=1786596418" TargetMode="External" Id="rId106"/><Relationship Type="http://schemas.openxmlformats.org/officeDocument/2006/relationships/hyperlink" Target="https://cdn.shopify.com/s/files/1/0792/5098/1063/files/7b3098eaf37ea8329d622f5a92937af7ed0d7632b755bcb71057092a63cdb27f.jpg?v=1786596418" TargetMode="External" Id="rId107"/><Relationship Type="http://schemas.openxmlformats.org/officeDocument/2006/relationships/hyperlink" Target="https://cdn.shopify.com/s/files/1/0792/5098/1063/files/7b3098eaf37ea8329d622f5a92937af7ed0d7632b755bcb71057092a63cdb27f.jpg?v=1786596418" TargetMode="External" Id="rId108"/><Relationship Type="http://schemas.openxmlformats.org/officeDocument/2006/relationships/hyperlink" Target="https://cdn.shopify.com/s/files/1/0792/5098/1063/files/fbcbc85b3a3729134094bd41db6f0905e61a1bc8a8d454199f570d3062962855.jpg?v=1786596418" TargetMode="External" Id="rId109"/><Relationship Type="http://schemas.openxmlformats.org/officeDocument/2006/relationships/hyperlink" Target="https://cdn.shopify.com/s/files/1/0792/5098/1063/files/fbcbc85b3a3729134094bd41db6f0905e61a1bc8a8d454199f570d3062962855.jpg?v=1786596418" TargetMode="External" Id="rId110"/><Relationship Type="http://schemas.openxmlformats.org/officeDocument/2006/relationships/hyperlink" Target="https://cdn.shopify.com/s/files/1/0792/5098/1063/files/512b4558aee5a32e09b1e2449d22e36b2fe040840fccd2c3c21687b528773e68.jpg?v=1786596418" TargetMode="External" Id="rId111"/><Relationship Type="http://schemas.openxmlformats.org/officeDocument/2006/relationships/hyperlink" Target="https://cdn.shopify.com/s/files/1/0792/5098/1063/files/512b4558aee5a32e09b1e2449d22e36b2fe040840fccd2c3c21687b528773e68.jpg?v=1786596418" TargetMode="External" Id="rId112"/><Relationship Type="http://schemas.openxmlformats.org/officeDocument/2006/relationships/hyperlink" Target="https://cdn.shopify.com/s/files/1/0792/5098/1063/files/b3a9a66345c23eccfd8834f8002e8c40483742785f9eddc55a8354957d702704.jpg?v=1786596418" TargetMode="External" Id="rId113"/><Relationship Type="http://schemas.openxmlformats.org/officeDocument/2006/relationships/hyperlink" Target="https://cdn.shopify.com/s/files/1/0792/5098/1063/files/b3a9a66345c23eccfd8834f8002e8c40483742785f9eddc55a8354957d702704.jpg?v=1786596418" TargetMode="External" Id="rId114"/><Relationship Type="http://schemas.openxmlformats.org/officeDocument/2006/relationships/hyperlink" Target="https://cdn.shopify.com/s/files/1/0792/5098/1063/files/50ff019239f1a64177123a86746d67bcc01e8fb4b322a28e006f292c7ef91fe0.jpg?v=1786596418" TargetMode="External" Id="rId115"/><Relationship Type="http://schemas.openxmlformats.org/officeDocument/2006/relationships/hyperlink" Target="https://cdn.shopify.com/s/files/1/0792/5098/1063/files/50ff019239f1a64177123a86746d67bcc01e8fb4b322a28e006f292c7ef91fe0.jpg?v=1786596418" TargetMode="External" Id="rId116"/><Relationship Type="http://schemas.openxmlformats.org/officeDocument/2006/relationships/hyperlink" Target="https://cdn.shopify.com/s/files/1/0792/5098/1063/files/6aa6a5744e86ef9d65f09b452bdc9681949751608dadd0f24069c4b9569c8ac2.jpg?v=1786596418" TargetMode="External" Id="rId117"/><Relationship Type="http://schemas.openxmlformats.org/officeDocument/2006/relationships/hyperlink" Target="https://cdn.shopify.com/s/files/1/0792/5098/1063/files/6aa6a5744e86ef9d65f09b452bdc9681949751608dadd0f24069c4b9569c8ac2.jpg?v=1786596418" TargetMode="External" Id="rId118"/><Relationship Type="http://schemas.openxmlformats.org/officeDocument/2006/relationships/hyperlink" Target="https://cdn.shopify.com/s/files/1/0792/5098/1063/files/336a959a6ecc540d97e2051cadb9ddd839525abd68c8a3b01ee915d3cff8d417.jpg?v=1786596418" TargetMode="External" Id="rId119"/><Relationship Type="http://schemas.openxmlformats.org/officeDocument/2006/relationships/hyperlink" Target="https://cdn.shopify.com/s/files/1/0792/5098/1063/files/336a959a6ecc540d97e2051cadb9ddd839525abd68c8a3b01ee915d3cff8d417.jpg?v=1786596418" TargetMode="External" Id="rId120"/><Relationship Type="http://schemas.openxmlformats.org/officeDocument/2006/relationships/hyperlink" Target="https://cdn.shopify.com/s/files/1/0792/5098/1063/files/8c730c56d1cdd403f4b3618bba2cacbea0584ee093d7a82a09bee469930db8bb.jpg?v=1786596418" TargetMode="External" Id="rId121"/><Relationship Type="http://schemas.openxmlformats.org/officeDocument/2006/relationships/hyperlink" Target="https://cdn.shopify.com/s/files/1/0792/5098/1063/files/8c730c56d1cdd403f4b3618bba2cacbea0584ee093d7a82a09bee469930db8bb.jpg?v=1786596418" TargetMode="External" Id="rId122"/><Relationship Type="http://schemas.openxmlformats.org/officeDocument/2006/relationships/hyperlink" Target="https://cdn.shopify.com/s/files/1/0792/5098/1063/files/143b457addd31dc5e16ebd8462161a8aad9a35ce89418e7c0d0f481e265af473.jpg?v=1786596522" TargetMode="External" Id="rId123"/><Relationship Type="http://schemas.openxmlformats.org/officeDocument/2006/relationships/hyperlink" Target="https://cdn.shopify.com/s/files/1/0792/5098/1063/files/143b457addd31dc5e16ebd8462161a8aad9a35ce89418e7c0d0f481e265af473.jpg?v=1786596522" TargetMode="External" Id="rId124"/><Relationship Type="http://schemas.openxmlformats.org/officeDocument/2006/relationships/hyperlink" Target="https://cdn.shopify.com/s/files/1/0792/5098/1063/files/20a018d5e713896cae3fe7d6444d7fdf68a079d9c68a99b642a2ae657f919ad5.jpg?v=1786596522" TargetMode="External" Id="rId125"/><Relationship Type="http://schemas.openxmlformats.org/officeDocument/2006/relationships/hyperlink" Target="https://cdn.shopify.com/s/files/1/0792/5098/1063/files/20a018d5e713896cae3fe7d6444d7fdf68a079d9c68a99b642a2ae657f919ad5.jpg?v=1786596522" TargetMode="External" Id="rId126"/><Relationship Type="http://schemas.openxmlformats.org/officeDocument/2006/relationships/hyperlink" Target="https://cdn.shopify.com/s/files/1/0792/5098/1063/files/df6b604a69052443f268bd46d27c069c387d18ce5dc21f3706f2caf677b135f6.jpg?v=1786596522" TargetMode="External" Id="rId127"/><Relationship Type="http://schemas.openxmlformats.org/officeDocument/2006/relationships/hyperlink" Target="https://cdn.shopify.com/s/files/1/0792/5098/1063/files/df6b604a69052443f268bd46d27c069c387d18ce5dc21f3706f2caf677b135f6.jpg?v=1786596522" TargetMode="External" Id="rId128"/><Relationship Type="http://schemas.openxmlformats.org/officeDocument/2006/relationships/hyperlink" Target="https://cdn.shopify.com/s/files/1/0792/5098/1063/files/cdb8ba2bd17cab5d2811132ba45505b9e7841a8f6703b99cf8224abe7040eeb2.jpg?v=1786596522" TargetMode="External" Id="rId129"/><Relationship Type="http://schemas.openxmlformats.org/officeDocument/2006/relationships/hyperlink" Target="https://cdn.shopify.com/s/files/1/0792/5098/1063/files/cdb8ba2bd17cab5d2811132ba45505b9e7841a8f6703b99cf8224abe7040eeb2.jpg?v=1786596522" TargetMode="External" Id="rId130"/><Relationship Type="http://schemas.openxmlformats.org/officeDocument/2006/relationships/hyperlink" Target="https://cdn.shopify.com/s/files/1/0792/5098/1063/files/88ace5f764abb2a05af6d52671841238ce3c8443fd2cc317be3d749473fa7373.jpg?v=1786596522" TargetMode="External" Id="rId131"/><Relationship Type="http://schemas.openxmlformats.org/officeDocument/2006/relationships/hyperlink" Target="https://cdn.shopify.com/s/files/1/0792/5098/1063/files/88ace5f764abb2a05af6d52671841238ce3c8443fd2cc317be3d749473fa7373.jpg?v=1786596522" TargetMode="External" Id="rId132"/><Relationship Type="http://schemas.openxmlformats.org/officeDocument/2006/relationships/hyperlink" Target="https://cdn.shopify.com/s/files/1/0792/5098/1063/files/64e525dfae4ea5f287649a30dc9c89851009da3bf55237c532910646610066e4.jpg?v=1786596523" TargetMode="External" Id="rId133"/><Relationship Type="http://schemas.openxmlformats.org/officeDocument/2006/relationships/hyperlink" Target="https://cdn.shopify.com/s/files/1/0792/5098/1063/files/64e525dfae4ea5f287649a30dc9c89851009da3bf55237c532910646610066e4.jpg?v=1786596523" TargetMode="External" Id="rId134"/><Relationship Type="http://schemas.openxmlformats.org/officeDocument/2006/relationships/hyperlink" Target="https://cdn.shopify.com/s/files/1/0792/5098/1063/files/f64fb2cf3c2ebbf14c492d4417a795731e9399610b9e9d01249dbc39bd21df20.jpg?v=1786596522" TargetMode="External" Id="rId135"/><Relationship Type="http://schemas.openxmlformats.org/officeDocument/2006/relationships/hyperlink" Target="https://cdn.shopify.com/s/files/1/0792/5098/1063/files/f64fb2cf3c2ebbf14c492d4417a795731e9399610b9e9d01249dbc39bd21df20.jpg?v=1786596522" TargetMode="External" Id="rId136"/><Relationship Type="http://schemas.openxmlformats.org/officeDocument/2006/relationships/hyperlink" Target="https://cdn.shopify.com/s/files/1/0792/5098/1063/files/74a272eaaad0da49c193041e6c07b8b7a72bb2e73361d568c3f2fcaeb910c281.jpg?v=1786596522" TargetMode="External" Id="rId137"/><Relationship Type="http://schemas.openxmlformats.org/officeDocument/2006/relationships/hyperlink" Target="https://cdn.shopify.com/s/files/1/0792/5098/1063/files/74a272eaaad0da49c193041e6c07b8b7a72bb2e73361d568c3f2fcaeb910c281.jpg?v=1786596522" TargetMode="External" Id="rId138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42" customWidth="1" min="3" max="3"/>
  </cols>
  <sheetData>
    <row r="1" ht="32" customHeight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 ht="42" customHeight="1">
      <c r="A2" s="2" t="inlineStr">
        <is>
          <t>rubric_version</t>
        </is>
      </c>
      <c r="B2" s="2" t="inlineStr">
        <is>
          <t>prompt_qa.md@sha256:C2C1DEFDB72362291F7DA656FA7FEA9283A02782FC8CA66D2E4637F2511500DD</t>
        </is>
      </c>
      <c r="C2" s="2" t="inlineStr">
        <is>
          <t>Rubric QA áp dụng.</t>
        </is>
      </c>
    </row>
    <row r="3" ht="42" customHeight="1">
      <c r="A3" s="3" t="inlineStr">
        <is>
          <t>source_workbook</t>
        </is>
      </c>
      <c r="B3" s="3" t="inlineStr">
        <is>
          <t>D:\Shopify_Workspace\jeminise_seo\resutls\jeminise.com\20260906_234129\batches\SEO_Product_Optimization_through_batch_008.xlsx</t>
        </is>
      </c>
      <c r="C3" s="3" t="inlineStr">
        <is>
          <t>Workbook giai đoạn 1 đóng băng; không chỉnh sửa.</t>
        </is>
      </c>
    </row>
    <row r="4" ht="42" customHeight="1">
      <c r="A4" s="2" t="inlineStr">
        <is>
          <t>source_sha256_at_handoff</t>
        </is>
      </c>
      <c r="B4" s="2" t="inlineStr">
        <is>
          <t>1D2CD9D256CCCF553DB09B55AF5463C1636C5CD44B0D2C32E8B530014795151F</t>
        </is>
      </c>
      <c r="C4" s="2" t="inlineStr">
        <is>
          <t>Hash tính lại khi hoàn tất.</t>
        </is>
      </c>
    </row>
    <row r="5" ht="42" customHeight="1">
      <c r="A5" s="3" t="inlineStr">
        <is>
          <t>qa_run_id</t>
        </is>
      </c>
      <c r="B5" s="3" t="inlineStr">
        <is>
          <t>20260907_173014</t>
        </is>
      </c>
      <c r="C5" s="3" t="inlineStr">
        <is>
          <t>Run QA độc lập.</t>
        </is>
      </c>
    </row>
    <row r="6" ht="42" customHeight="1">
      <c r="A6" s="2" t="inlineStr">
        <is>
          <t>batch_id</t>
        </is>
      </c>
      <c r="B6" s="2" t="inlineStr">
        <is>
          <t>qa_batch_008</t>
        </is>
      </c>
      <c r="C6" s="2" t="inlineStr">
        <is>
          <t>Inventory positions 71-80.</t>
        </is>
      </c>
    </row>
    <row r="7" ht="42" customHeight="1">
      <c r="A7" s="3" t="inlineStr">
        <is>
          <t>products_checked</t>
        </is>
      </c>
      <c r="B7" s="3" t="n">
        <v>10</v>
      </c>
      <c r="C7" s="3" t="inlineStr">
        <is>
          <t>Đúng 10 product key.</t>
        </is>
      </c>
    </row>
    <row r="8" ht="42" customHeight="1">
      <c r="A8" s="2" t="inlineStr">
        <is>
          <t>images_checked</t>
        </is>
      </c>
      <c r="B8" s="2" t="n">
        <v>69</v>
      </c>
      <c r="C8" s="2" t="inlineStr">
        <is>
          <t>69/69 ảnh mở trực tiếp ở độ phân giải đủ đọc.</t>
        </is>
      </c>
    </row>
    <row r="9" ht="42" customHeight="1">
      <c r="A9" s="3" t="inlineStr">
        <is>
          <t>batch_final_score</t>
        </is>
      </c>
      <c r="B9" s="3">
        <f>AVERAGE('QA_Products'!$K$2:$K$11)</f>
        <v/>
      </c>
      <c r="C9" s="3" t="inlineStr">
        <is>
          <t>Trung bình 10 final_score; không bù lỗi chặn.</t>
        </is>
      </c>
    </row>
    <row r="10" ht="42" customHeight="1">
      <c r="A10" s="2" t="inlineStr">
        <is>
          <t>batch_result</t>
        </is>
      </c>
      <c r="B10" s="2">
        <f>IF(COUNTIF('QA_Products'!$L$2:$L$11,"QA_PASS")=ROWS('QA_Products'!$L$2:$L$11),"PASSED","NOT_PASSED")</f>
        <v/>
      </c>
      <c r="C10" s="2" t="inlineStr">
        <is>
          <t>Lô chỉ đạt khi mọi sản phẩm QA_PASS.</t>
        </is>
      </c>
    </row>
    <row r="11" ht="42" customHeight="1">
      <c r="A11" s="3" t="inlineStr">
        <is>
          <t>status_counts</t>
        </is>
      </c>
      <c r="B11" s="3">
        <f>"PASS="&amp;COUNTIF('QA_Products'!$L$2:$L$11,"QA_PASS")&amp;"; REVISE="&amp;COUNTIF('QA_Products'!$L$2:$L$11,"QA_REVISE")&amp;"; FAIL="&amp;COUNTIF('QA_Products'!$L$2:$L$11,"QA_FAIL")&amp;"; INCOMPLETE="&amp;COUNTIF('QA_Products'!$L$2:$L$11,"QA_INCOMPLETE")</f>
        <v/>
      </c>
      <c r="C11" s="3" t="inlineStr">
        <is>
          <t>Số sản phẩm theo kết luận.</t>
        </is>
      </c>
    </row>
    <row r="12" ht="42" customHeight="1">
      <c r="A12" s="2" t="inlineStr">
        <is>
          <t>issue_counts</t>
        </is>
      </c>
      <c r="B12" s="2" t="inlineStr">
        <is>
          <t>{"MINOR": 20, "MAJOR": 20, "LIMITATION": 3}</t>
        </is>
      </c>
      <c r="C12" s="2" t="inlineStr">
        <is>
          <t>Số phát hiện theo severity.</t>
        </is>
      </c>
    </row>
    <row r="13" ht="42" customHeight="1">
      <c r="A13" s="3" t="inlineStr">
        <is>
          <t>admin_limitation</t>
        </is>
      </c>
      <c r="B13" s="3" t="inlineStr">
        <is>
          <t>No Shopify admin export</t>
        </is>
      </c>
      <c r="C13" s="3" t="inlineStr">
        <is>
          <t>Không suy ra admin fields.</t>
        </is>
      </c>
    </row>
    <row r="14" ht="42" customHeight="1">
      <c r="A14" s="2" t="inlineStr">
        <is>
          <t>xlsx_status</t>
        </is>
      </c>
      <c r="B14" s="2" t="inlineStr">
        <is>
          <t>COMPLETE</t>
        </is>
      </c>
      <c r="C14" s="2" t="inlineStr">
        <is>
          <t>XLSX tạo bằng openpyxl, kiểm tra cấu trúc/công thức và render.</t>
        </is>
      </c>
    </row>
  </sheetData>
  <autoFilter ref="A1:C14"/>
  <printOptions horizontalCentered="0"/>
  <pageMargins left="0.25" right="0.25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W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38" customWidth="1" min="3" max="3"/>
    <col width="24" customWidth="1" min="4" max="4"/>
    <col width="15" customWidth="1" min="5" max="5"/>
    <col width="11" customWidth="1" min="6" max="6"/>
    <col width="24" customWidth="1" min="7" max="7"/>
    <col width="24" customWidth="1" min="8" max="8"/>
    <col width="19" customWidth="1" min="9" max="9"/>
    <col width="19" customWidth="1" min="10" max="10"/>
    <col width="24" customWidth="1" min="11" max="11"/>
    <col width="20" customWidth="1" min="12" max="12"/>
    <col width="38" customWidth="1" min="13" max="13"/>
    <col width="17" customWidth="1" min="14" max="14"/>
    <col width="16" customWidth="1" min="15" max="15"/>
    <col width="24" customWidth="1" min="16" max="16"/>
    <col width="16" customWidth="1" min="17" max="17"/>
    <col width="24" customWidth="1" min="18" max="18"/>
    <col width="24" customWidth="1" min="19" max="19"/>
    <col width="24" customWidth="1" min="20" max="20"/>
    <col width="24" customWidth="1" min="21" max="21"/>
    <col width="42" customWidth="1" min="22" max="22"/>
    <col width="42" customWidth="1" min="23" max="23"/>
  </cols>
  <sheetData>
    <row r="1" ht="32" customHeight="1">
      <c r="A1" s="1" t="inlineStr">
        <is>
          <t>inventory_position</t>
        </is>
      </c>
      <c r="B1" s="1" t="inlineStr">
        <is>
          <t>product_key</t>
        </is>
      </c>
      <c r="C1" s="1" t="inlineStr">
        <is>
          <t>url</t>
        </is>
      </c>
      <c r="D1" s="1" t="inlineStr">
        <is>
          <t>handle</t>
        </is>
      </c>
      <c r="E1" s="1" t="inlineStr">
        <is>
          <t>product_id</t>
        </is>
      </c>
      <c r="F1" s="1" t="inlineStr">
        <is>
          <t>revision</t>
        </is>
      </c>
      <c r="G1" s="1" t="inlineStr">
        <is>
          <t>verified_points</t>
        </is>
      </c>
      <c r="H1" s="1" t="inlineStr">
        <is>
          <t>assessed_weight</t>
        </is>
      </c>
      <c r="I1" s="1" t="inlineStr">
        <is>
          <t>score_lower_bound</t>
        </is>
      </c>
      <c r="J1" s="1" t="inlineStr">
        <is>
          <t>score_upper_bound</t>
        </is>
      </c>
      <c r="K1" s="1" t="inlineStr">
        <is>
          <t>final_score</t>
        </is>
      </c>
      <c r="L1" s="1" t="inlineStr">
        <is>
          <t>qa_status</t>
        </is>
      </c>
      <c r="M1" s="1" t="inlineStr">
        <is>
          <t>keyword_evidence_level</t>
        </is>
      </c>
      <c r="N1" s="1" t="inlineStr">
        <is>
          <t>images_expected</t>
        </is>
      </c>
      <c r="O1" s="1" t="inlineStr">
        <is>
          <t>images_checked</t>
        </is>
      </c>
      <c r="P1" s="1" t="inlineStr">
        <is>
          <t>image_inventory_complete</t>
        </is>
      </c>
      <c r="Q1" s="1" t="inlineStr">
        <is>
          <t>image_coverage</t>
        </is>
      </c>
      <c r="R1" s="1" t="inlineStr">
        <is>
          <t>critical_count</t>
        </is>
      </c>
      <c r="S1" s="1" t="inlineStr">
        <is>
          <t>major_count</t>
        </is>
      </c>
      <c r="T1" s="1" t="inlineStr">
        <is>
          <t>minor_count</t>
        </is>
      </c>
      <c r="U1" s="1" t="inlineStr">
        <is>
          <t>limitation_count</t>
        </is>
      </c>
      <c r="V1" s="1" t="inlineStr">
        <is>
          <t>issue_refs</t>
        </is>
      </c>
      <c r="W1" s="1" t="inlineStr">
        <is>
          <t>evidence_refs</t>
        </is>
      </c>
    </row>
    <row r="2" ht="42" customHeight="1">
      <c r="A2" s="2" t="n">
        <v>71</v>
      </c>
      <c r="B2" s="2" t="inlineStr">
        <is>
          <t>jeminise.com+custom-football-player-running-with-ball-comforter-c9c2aecff2-c9c2aecff2</t>
        </is>
      </c>
      <c r="C2" s="4" t="inlineStr">
        <is>
          <t>https://jeminise.com/products/custom-football-player-running-with-ball-comforter-c9c2aecff2-c9c2aecff2</t>
        </is>
      </c>
      <c r="D2" s="2" t="inlineStr">
        <is>
          <t>custom-football-player-running-with-ball-comforter-c9c2aecff2-c9c2aecff2</t>
        </is>
      </c>
      <c r="E2" s="2" t="inlineStr">
        <is>
          <t>8834766471367</t>
        </is>
      </c>
      <c r="F2" s="2" t="inlineStr">
        <is>
          <t>r1</t>
        </is>
      </c>
      <c r="G2" s="5">
        <f>SUMIF('QA_Criteria'!$A$2:$A$111,B2,'QA_Criteria'!$F$2:$F$111)</f>
        <v/>
      </c>
      <c r="H2" s="5">
        <f>SUMIF('QA_Criteria'!$A$2:$A$111,B2,'QA_Criteria'!$G$2:$G$111)</f>
        <v/>
      </c>
      <c r="I2" s="5">
        <f>G2</f>
        <v/>
      </c>
      <c r="J2" s="5">
        <f>G2+(100-H2)</f>
        <v/>
      </c>
      <c r="K2" s="5">
        <f>IF(AND(H2=100,Q2=1,P2=TRUE),G2,"")</f>
        <v/>
      </c>
      <c r="L2" s="2">
        <f>IF(R2&gt;0,"QA_FAIL",IF(K2="","QA_INCOMPLETE",IF(K2&lt;70,"QA_FAIL",IF(OR(K2&lt;85,S2&gt;0),"QA_REVISE","QA_PASS"))))</f>
        <v/>
      </c>
      <c r="M2" s="2" t="inlineStr">
        <is>
          <t>SERP_ONLY</t>
        </is>
      </c>
      <c r="N2" s="2" t="n">
        <v>6</v>
      </c>
      <c r="O2" s="2" t="n">
        <v>6</v>
      </c>
      <c r="P2" s="2" t="b">
        <v>1</v>
      </c>
      <c r="Q2" s="6" t="n">
        <v>1</v>
      </c>
      <c r="R2" s="2">
        <f>COUNTIFS('QA_Issues'!$B$2:$B$49,B2,'QA_Issues'!$D$2:$D$49,"CRITICAL")</f>
        <v/>
      </c>
      <c r="S2" s="2">
        <f>COUNTIFS('QA_Issues'!$B$2:$B$49,B2,'QA_Issues'!$D$2:$D$49,"MAJOR")</f>
        <v/>
      </c>
      <c r="T2" s="2">
        <f>COUNTIFS('QA_Issues'!$B$2:$B$49,B2,'QA_Issues'!$D$2:$D$49,"MINOR")</f>
        <v/>
      </c>
      <c r="U2" s="2">
        <f>COUNTIFS('QA_Issues'!$B$2:$B$49,B2,'QA_Issues'!$D$2:$D$49,"LIMITATION")</f>
        <v/>
      </c>
      <c r="V2" s="2" t="inlineStr">
        <is>
          <t>["ISS-071-IMG-04", "ISS-071-DESC", "ISS-071-CANN", "ISS-071-META"]</t>
        </is>
      </c>
      <c r="W2" s="2" t="inlineStr">
        <is>
          <t>["evidence_batch_008_071", "https://jeminise.com/products/custom-football-player-running-with-ball-comforter-c9c2aecff2-c9c2aecff2", "serp_qa_071", "customizer_audit.json"]</t>
        </is>
      </c>
    </row>
    <row r="3" ht="42" customHeight="1">
      <c r="A3" s="3" t="n">
        <v>72</v>
      </c>
      <c r="B3" s="3" t="inlineStr">
        <is>
          <t>jeminise.com+custom-football-player-running-with-ball-comforter-9fe5294804-9fe5294804</t>
        </is>
      </c>
      <c r="C3" s="4" t="inlineStr">
        <is>
          <t>https://jeminise.com/products/custom-football-player-running-with-ball-comforter-9fe5294804-9fe5294804</t>
        </is>
      </c>
      <c r="D3" s="3" t="inlineStr">
        <is>
          <t>custom-football-player-running-with-ball-comforter-9fe5294804-9fe5294804</t>
        </is>
      </c>
      <c r="E3" s="3" t="inlineStr">
        <is>
          <t>8834755068103</t>
        </is>
      </c>
      <c r="F3" s="3" t="inlineStr">
        <is>
          <t>r1</t>
        </is>
      </c>
      <c r="G3" s="7">
        <f>SUMIF('QA_Criteria'!$A$2:$A$111,B3,'QA_Criteria'!$F$2:$F$111)</f>
        <v/>
      </c>
      <c r="H3" s="7">
        <f>SUMIF('QA_Criteria'!$A$2:$A$111,B3,'QA_Criteria'!$G$2:$G$111)</f>
        <v/>
      </c>
      <c r="I3" s="7">
        <f>G3</f>
        <v/>
      </c>
      <c r="J3" s="7">
        <f>G3+(100-H3)</f>
        <v/>
      </c>
      <c r="K3" s="7">
        <f>IF(AND(H3=100,Q3=1,P3=TRUE),G3,"")</f>
        <v/>
      </c>
      <c r="L3" s="3">
        <f>IF(R3&gt;0,"QA_FAIL",IF(K3="","QA_INCOMPLETE",IF(K3&lt;70,"QA_FAIL",IF(OR(K3&lt;85,S3&gt;0),"QA_REVISE","QA_PASS"))))</f>
        <v/>
      </c>
      <c r="M3" s="3" t="inlineStr">
        <is>
          <t>SERP_ONLY</t>
        </is>
      </c>
      <c r="N3" s="3" t="n">
        <v>6</v>
      </c>
      <c r="O3" s="3" t="n">
        <v>6</v>
      </c>
      <c r="P3" s="3" t="b">
        <v>1</v>
      </c>
      <c r="Q3" s="8" t="n">
        <v>1</v>
      </c>
      <c r="R3" s="3">
        <f>COUNTIFS('QA_Issues'!$B$2:$B$49,B3,'QA_Issues'!$D$2:$D$49,"CRITICAL")</f>
        <v/>
      </c>
      <c r="S3" s="3">
        <f>COUNTIFS('QA_Issues'!$B$2:$B$49,B3,'QA_Issues'!$D$2:$D$49,"MAJOR")</f>
        <v/>
      </c>
      <c r="T3" s="3">
        <f>COUNTIFS('QA_Issues'!$B$2:$B$49,B3,'QA_Issues'!$D$2:$D$49,"MINOR")</f>
        <v/>
      </c>
      <c r="U3" s="3">
        <f>COUNTIFS('QA_Issues'!$B$2:$B$49,B3,'QA_Issues'!$D$2:$D$49,"LIMITATION")</f>
        <v/>
      </c>
      <c r="V3" s="3" t="inlineStr">
        <is>
          <t>["ISS-072-IMG-04", "ISS-072-DESC", "ISS-072-CANN", "ISS-072-META"]</t>
        </is>
      </c>
      <c r="W3" s="3" t="inlineStr">
        <is>
          <t>["evidence_batch_008_072", "https://jeminise.com/products/custom-football-player-running-with-ball-comforter-9fe5294804-9fe5294804", "serp_qa_072", "customizer_audit.json"]</t>
        </is>
      </c>
    </row>
    <row r="4" ht="42" customHeight="1">
      <c r="A4" s="2" t="n">
        <v>73</v>
      </c>
      <c r="B4" s="2" t="inlineStr">
        <is>
          <t>jeminise.com+custom-football-player-with-american-flag-background-comforter-44d8108598-44d8108598</t>
        </is>
      </c>
      <c r="C4" s="4" t="inlineStr">
        <is>
          <t>https://jeminise.com/products/custom-football-player-with-american-flag-background-comforter-44d8108598-44d8108598</t>
        </is>
      </c>
      <c r="D4" s="2" t="inlineStr">
        <is>
          <t>custom-football-player-with-american-flag-background-comforter-44d8108598-44d8108598</t>
        </is>
      </c>
      <c r="E4" s="2" t="inlineStr">
        <is>
          <t>8834757296327</t>
        </is>
      </c>
      <c r="F4" s="2" t="inlineStr">
        <is>
          <t>r1</t>
        </is>
      </c>
      <c r="G4" s="5">
        <f>SUMIF('QA_Criteria'!$A$2:$A$111,B4,'QA_Criteria'!$F$2:$F$111)</f>
        <v/>
      </c>
      <c r="H4" s="5">
        <f>SUMIF('QA_Criteria'!$A$2:$A$111,B4,'QA_Criteria'!$G$2:$G$111)</f>
        <v/>
      </c>
      <c r="I4" s="5">
        <f>G4</f>
        <v/>
      </c>
      <c r="J4" s="5">
        <f>G4+(100-H4)</f>
        <v/>
      </c>
      <c r="K4" s="5">
        <f>IF(AND(H4=100,Q4=1,P4=TRUE),G4,"")</f>
        <v/>
      </c>
      <c r="L4" s="2">
        <f>IF(R4&gt;0,"QA_FAIL",IF(K4="","QA_INCOMPLETE",IF(K4&lt;70,"QA_FAIL",IF(OR(K4&lt;85,S4&gt;0),"QA_REVISE","QA_PASS"))))</f>
        <v/>
      </c>
      <c r="M4" s="2" t="inlineStr">
        <is>
          <t>SERP_ONLY</t>
        </is>
      </c>
      <c r="N4" s="2" t="n">
        <v>6</v>
      </c>
      <c r="O4" s="2" t="n">
        <v>6</v>
      </c>
      <c r="P4" s="2" t="b">
        <v>1</v>
      </c>
      <c r="Q4" s="6" t="n">
        <v>1</v>
      </c>
      <c r="R4" s="2">
        <f>COUNTIFS('QA_Issues'!$B$2:$B$49,B4,'QA_Issues'!$D$2:$D$49,"CRITICAL")</f>
        <v/>
      </c>
      <c r="S4" s="2">
        <f>COUNTIFS('QA_Issues'!$B$2:$B$49,B4,'QA_Issues'!$D$2:$D$49,"MAJOR")</f>
        <v/>
      </c>
      <c r="T4" s="2">
        <f>COUNTIFS('QA_Issues'!$B$2:$B$49,B4,'QA_Issues'!$D$2:$D$49,"MINOR")</f>
        <v/>
      </c>
      <c r="U4" s="2">
        <f>COUNTIFS('QA_Issues'!$B$2:$B$49,B4,'QA_Issues'!$D$2:$D$49,"LIMITATION")</f>
        <v/>
      </c>
      <c r="V4" s="2" t="inlineStr">
        <is>
          <t>["ISS-073-IMG-04", "ISS-073-DESC", "ISS-073-CANN", "ISS-073-META"]</t>
        </is>
      </c>
      <c r="W4" s="2" t="inlineStr">
        <is>
          <t>["evidence_batch_008_073", "https://jeminise.com/products/custom-football-player-with-american-flag-background-comforter-44d8108598-44d8108598", "serp_qa_073", "customizer_audit.json"]</t>
        </is>
      </c>
    </row>
    <row r="5" ht="42" customHeight="1">
      <c r="A5" s="3" t="n">
        <v>74</v>
      </c>
      <c r="B5" s="3" t="inlineStr">
        <is>
          <t>jeminise.com+custom-football-player-with-burning-ball-comforter-and-american-football-708344de4c-708344de4c</t>
        </is>
      </c>
      <c r="C5" s="4" t="inlineStr">
        <is>
          <t>https://jeminise.com/products/custom-football-player-with-burning-ball-comforter-and-american-football-708344de4c-708344de4c</t>
        </is>
      </c>
      <c r="D5" s="3" t="inlineStr">
        <is>
          <t>custom-football-player-with-burning-ball-comforter-and-american-football-708344de4c-708344de4c</t>
        </is>
      </c>
      <c r="E5" s="3" t="inlineStr">
        <is>
          <t>8834752053447</t>
        </is>
      </c>
      <c r="F5" s="3" t="inlineStr">
        <is>
          <t>r1</t>
        </is>
      </c>
      <c r="G5" s="7">
        <f>SUMIF('QA_Criteria'!$A$2:$A$111,B5,'QA_Criteria'!$F$2:$F$111)</f>
        <v/>
      </c>
      <c r="H5" s="7">
        <f>SUMIF('QA_Criteria'!$A$2:$A$111,B5,'QA_Criteria'!$G$2:$G$111)</f>
        <v/>
      </c>
      <c r="I5" s="7">
        <f>G5</f>
        <v/>
      </c>
      <c r="J5" s="7">
        <f>G5+(100-H5)</f>
        <v/>
      </c>
      <c r="K5" s="7">
        <f>IF(AND(H5=100,Q5=1,P5=TRUE),G5,"")</f>
        <v/>
      </c>
      <c r="L5" s="3">
        <f>IF(R5&gt;0,"QA_FAIL",IF(K5="","QA_INCOMPLETE",IF(K5&lt;70,"QA_FAIL",IF(OR(K5&lt;85,S5&gt;0),"QA_REVISE","QA_PASS"))))</f>
        <v/>
      </c>
      <c r="M5" s="3" t="inlineStr">
        <is>
          <t>SERP_ONLY</t>
        </is>
      </c>
      <c r="N5" s="3" t="n">
        <v>6</v>
      </c>
      <c r="O5" s="3" t="n">
        <v>6</v>
      </c>
      <c r="P5" s="3" t="b">
        <v>1</v>
      </c>
      <c r="Q5" s="8" t="n">
        <v>1</v>
      </c>
      <c r="R5" s="3">
        <f>COUNTIFS('QA_Issues'!$B$2:$B$49,B5,'QA_Issues'!$D$2:$D$49,"CRITICAL")</f>
        <v/>
      </c>
      <c r="S5" s="3">
        <f>COUNTIFS('QA_Issues'!$B$2:$B$49,B5,'QA_Issues'!$D$2:$D$49,"MAJOR")</f>
        <v/>
      </c>
      <c r="T5" s="3">
        <f>COUNTIFS('QA_Issues'!$B$2:$B$49,B5,'QA_Issues'!$D$2:$D$49,"MINOR")</f>
        <v/>
      </c>
      <c r="U5" s="3">
        <f>COUNTIFS('QA_Issues'!$B$2:$B$49,B5,'QA_Issues'!$D$2:$D$49,"LIMITATION")</f>
        <v/>
      </c>
      <c r="V5" s="3" t="inlineStr">
        <is>
          <t>["ISS-074-IMG-04", "ISS-074-DESC", "ISS-074-CANN", "ISS-074-META"]</t>
        </is>
      </c>
      <c r="W5" s="3" t="inlineStr">
        <is>
          <t>["evidence_batch_008_074", "https://jeminise.com/products/custom-football-player-with-burning-ball-comforter-and-american-football-708344de4c-708344de4c", "serp_qa_074", "customizer_audit.json"]</t>
        </is>
      </c>
    </row>
    <row r="6" ht="42" customHeight="1">
      <c r="A6" s="2" t="n">
        <v>75</v>
      </c>
      <c r="B6" s="2" t="inlineStr">
        <is>
          <t>jeminise.com+custom-football-players-and-large-football-close-comforter-01d72ea6a0-01d72ea6a0</t>
        </is>
      </c>
      <c r="C6" s="4" t="inlineStr">
        <is>
          <t>https://jeminise.com/products/custom-football-players-and-large-football-close-comforter-01d72ea6a0-01d72ea6a0</t>
        </is>
      </c>
      <c r="D6" s="2" t="inlineStr">
        <is>
          <t>custom-football-players-and-large-football-close-comforter-01d72ea6a0-01d72ea6a0</t>
        </is>
      </c>
      <c r="E6" s="2" t="inlineStr">
        <is>
          <t>8834761654471</t>
        </is>
      </c>
      <c r="F6" s="2" t="inlineStr">
        <is>
          <t>r1</t>
        </is>
      </c>
      <c r="G6" s="5">
        <f>SUMIF('QA_Criteria'!$A$2:$A$111,B6,'QA_Criteria'!$F$2:$F$111)</f>
        <v/>
      </c>
      <c r="H6" s="5">
        <f>SUMIF('QA_Criteria'!$A$2:$A$111,B6,'QA_Criteria'!$G$2:$G$111)</f>
        <v/>
      </c>
      <c r="I6" s="5">
        <f>G6</f>
        <v/>
      </c>
      <c r="J6" s="5">
        <f>G6+(100-H6)</f>
        <v/>
      </c>
      <c r="K6" s="5">
        <f>IF(AND(H6=100,Q6=1,P6=TRUE),G6,"")</f>
        <v/>
      </c>
      <c r="L6" s="2">
        <f>IF(R6&gt;0,"QA_FAIL",IF(K6="","QA_INCOMPLETE",IF(K6&lt;70,"QA_FAIL",IF(OR(K6&lt;85,S6&gt;0),"QA_REVISE","QA_PASS"))))</f>
        <v/>
      </c>
      <c r="M6" s="2" t="inlineStr">
        <is>
          <t>SERP_ONLY</t>
        </is>
      </c>
      <c r="N6" s="2" t="n">
        <v>7</v>
      </c>
      <c r="O6" s="2" t="n">
        <v>7</v>
      </c>
      <c r="P6" s="2" t="b">
        <v>1</v>
      </c>
      <c r="Q6" s="6" t="n">
        <v>1</v>
      </c>
      <c r="R6" s="2">
        <f>COUNTIFS('QA_Issues'!$B$2:$B$49,B6,'QA_Issues'!$D$2:$D$49,"CRITICAL")</f>
        <v/>
      </c>
      <c r="S6" s="2">
        <f>COUNTIFS('QA_Issues'!$B$2:$B$49,B6,'QA_Issues'!$D$2:$D$49,"MAJOR")</f>
        <v/>
      </c>
      <c r="T6" s="2">
        <f>COUNTIFS('QA_Issues'!$B$2:$B$49,B6,'QA_Issues'!$D$2:$D$49,"MINOR")</f>
        <v/>
      </c>
      <c r="U6" s="2">
        <f>COUNTIFS('QA_Issues'!$B$2:$B$49,B6,'QA_Issues'!$D$2:$D$49,"LIMITATION")</f>
        <v/>
      </c>
      <c r="V6" s="2" t="inlineStr">
        <is>
          <t>["ISS-075-IMG-04", "ISS-075-DESC", "ISS-075-CANN", "ISS-075-META", "ISS-075-CUSTOMIZER-SCHEMA"]</t>
        </is>
      </c>
      <c r="W6" s="2" t="inlineStr">
        <is>
          <t>["evidence_batch_008_075", "https://jeminise.com/products/custom-football-players-and-large-football-close-comforter-01d72ea6a0-01d72ea6a0", "serp_qa_075", "customizer_audit.json"]</t>
        </is>
      </c>
    </row>
    <row r="7" ht="42" customHeight="1">
      <c r="A7" s="3" t="n">
        <v>76</v>
      </c>
      <c r="B7" s="3" t="inlineStr">
        <is>
          <t>jeminise.com+custom-football-texture-with-prominent-laces-vintage-comforter-9be594b786-9be594b786</t>
        </is>
      </c>
      <c r="C7" s="4" t="inlineStr">
        <is>
          <t>https://jeminise.com/products/custom-football-texture-with-prominent-laces-vintage-comforter-9be594b786-9be594b786</t>
        </is>
      </c>
      <c r="D7" s="3" t="inlineStr">
        <is>
          <t>custom-football-texture-with-prominent-laces-vintage-comforter-9be594b786-9be594b786</t>
        </is>
      </c>
      <c r="E7" s="3" t="inlineStr">
        <is>
          <t>8834772566215</t>
        </is>
      </c>
      <c r="F7" s="3" t="inlineStr">
        <is>
          <t>r1</t>
        </is>
      </c>
      <c r="G7" s="7">
        <f>SUMIF('QA_Criteria'!$A$2:$A$111,B7,'QA_Criteria'!$F$2:$F$111)</f>
        <v/>
      </c>
      <c r="H7" s="7">
        <f>SUMIF('QA_Criteria'!$A$2:$A$111,B7,'QA_Criteria'!$G$2:$G$111)</f>
        <v/>
      </c>
      <c r="I7" s="7">
        <f>G7</f>
        <v/>
      </c>
      <c r="J7" s="7">
        <f>G7+(100-H7)</f>
        <v/>
      </c>
      <c r="K7" s="7">
        <f>IF(AND(H7=100,Q7=1,P7=TRUE),G7,"")</f>
        <v/>
      </c>
      <c r="L7" s="3">
        <f>IF(R7&gt;0,"QA_FAIL",IF(K7="","QA_INCOMPLETE",IF(K7&lt;70,"QA_FAIL",IF(OR(K7&lt;85,S7&gt;0),"QA_REVISE","QA_PASS"))))</f>
        <v/>
      </c>
      <c r="M7" s="3" t="inlineStr">
        <is>
          <t>SERP_ONLY</t>
        </is>
      </c>
      <c r="N7" s="3" t="n">
        <v>6</v>
      </c>
      <c r="O7" s="3" t="n">
        <v>6</v>
      </c>
      <c r="P7" s="3" t="b">
        <v>1</v>
      </c>
      <c r="Q7" s="8" t="n">
        <v>1</v>
      </c>
      <c r="R7" s="3">
        <f>COUNTIFS('QA_Issues'!$B$2:$B$49,B7,'QA_Issues'!$D$2:$D$49,"CRITICAL")</f>
        <v/>
      </c>
      <c r="S7" s="3">
        <f>COUNTIFS('QA_Issues'!$B$2:$B$49,B7,'QA_Issues'!$D$2:$D$49,"MAJOR")</f>
        <v/>
      </c>
      <c r="T7" s="3">
        <f>COUNTIFS('QA_Issues'!$B$2:$B$49,B7,'QA_Issues'!$D$2:$D$49,"MINOR")</f>
        <v/>
      </c>
      <c r="U7" s="3">
        <f>COUNTIFS('QA_Issues'!$B$2:$B$49,B7,'QA_Issues'!$D$2:$D$49,"LIMITATION")</f>
        <v/>
      </c>
      <c r="V7" s="3" t="inlineStr">
        <is>
          <t>["ISS-076-IMG-04", "ISS-076-DESC", "ISS-076-CANN", "ISS-076-META"]</t>
        </is>
      </c>
      <c r="W7" s="3" t="inlineStr">
        <is>
          <t>["evidence_batch_008_076", "https://jeminise.com/products/custom-football-texture-with-prominent-laces-vintage-comforter-9be594b786-9be594b786", "serp_qa_076", "customizer_audit.json"]</t>
        </is>
      </c>
    </row>
    <row r="8" ht="42" customHeight="1">
      <c r="A8" s="2" t="n">
        <v>77</v>
      </c>
      <c r="B8" s="2" t="inlineStr">
        <is>
          <t>jeminise.com+custom-glowing-soccer-ball-trails-comforter-set-machine-washable-a6</t>
        </is>
      </c>
      <c r="C8" s="4" t="inlineStr">
        <is>
          <t>https://jeminise.com/products/custom-glowing-soccer-ball-trails-comforter-set-machine-washable-a6</t>
        </is>
      </c>
      <c r="D8" s="2" t="inlineStr">
        <is>
          <t>custom-glowing-soccer-ball-trails-comforter-set-machine-washable-a6</t>
        </is>
      </c>
      <c r="E8" s="2" t="inlineStr">
        <is>
          <t>8860498854087</t>
        </is>
      </c>
      <c r="F8" s="2" t="inlineStr">
        <is>
          <t>r1</t>
        </is>
      </c>
      <c r="G8" s="5">
        <f>SUMIF('QA_Criteria'!$A$2:$A$111,B8,'QA_Criteria'!$F$2:$F$111)</f>
        <v/>
      </c>
      <c r="H8" s="5">
        <f>SUMIF('QA_Criteria'!$A$2:$A$111,B8,'QA_Criteria'!$G$2:$G$111)</f>
        <v/>
      </c>
      <c r="I8" s="5">
        <f>G8</f>
        <v/>
      </c>
      <c r="J8" s="5">
        <f>G8+(100-H8)</f>
        <v/>
      </c>
      <c r="K8" s="5">
        <f>IF(AND(H8=100,Q8=1,P8=TRUE),G8,"")</f>
        <v/>
      </c>
      <c r="L8" s="2">
        <f>IF(R8&gt;0,"QA_FAIL",IF(K8="","QA_INCOMPLETE",IF(K8&lt;70,"QA_FAIL",IF(OR(K8&lt;85,S8&gt;0),"QA_REVISE","QA_PASS"))))</f>
        <v/>
      </c>
      <c r="M8" s="2" t="inlineStr">
        <is>
          <t>SERP_ONLY</t>
        </is>
      </c>
      <c r="N8" s="2" t="n">
        <v>7</v>
      </c>
      <c r="O8" s="2" t="n">
        <v>7</v>
      </c>
      <c r="P8" s="2" t="b">
        <v>1</v>
      </c>
      <c r="Q8" s="6" t="n">
        <v>1</v>
      </c>
      <c r="R8" s="2">
        <f>COUNTIFS('QA_Issues'!$B$2:$B$49,B8,'QA_Issues'!$D$2:$D$49,"CRITICAL")</f>
        <v/>
      </c>
      <c r="S8" s="2">
        <f>COUNTIFS('QA_Issues'!$B$2:$B$49,B8,'QA_Issues'!$D$2:$D$49,"MAJOR")</f>
        <v/>
      </c>
      <c r="T8" s="2">
        <f>COUNTIFS('QA_Issues'!$B$2:$B$49,B8,'QA_Issues'!$D$2:$D$49,"MINOR")</f>
        <v/>
      </c>
      <c r="U8" s="2">
        <f>COUNTIFS('QA_Issues'!$B$2:$B$49,B8,'QA_Issues'!$D$2:$D$49,"LIMITATION")</f>
        <v/>
      </c>
      <c r="V8" s="2" t="inlineStr">
        <is>
          <t>["ISS-077-IMG-04", "ISS-077-DESC", "ISS-077-CANN", "ISS-077-META", "ISS-077-CUSTOMIZER-SCHEMA"]</t>
        </is>
      </c>
      <c r="W8" s="2" t="inlineStr">
        <is>
          <t>["evidence_batch_008_077", "https://jeminise.com/products/custom-glowing-soccer-ball-trails-comforter-set-machine-washable-a6", "serp_qa_077", "customizer_audit.json"]</t>
        </is>
      </c>
    </row>
    <row r="9" ht="42" customHeight="1">
      <c r="A9" s="3" t="n">
        <v>78</v>
      </c>
      <c r="B9" s="3" t="inlineStr">
        <is>
          <t>jeminise.com+custom-inspirational-bible-verse-floral-blanket-d5</t>
        </is>
      </c>
      <c r="C9" s="4" t="inlineStr">
        <is>
          <t>https://jeminise.com/products/custom-inspirational-bible-verse-floral-blanket-d5</t>
        </is>
      </c>
      <c r="D9" s="3" t="inlineStr">
        <is>
          <t>custom-inspirational-bible-verse-floral-blanket-d5</t>
        </is>
      </c>
      <c r="E9" s="3" t="inlineStr">
        <is>
          <t>8860100493511</t>
        </is>
      </c>
      <c r="F9" s="3" t="inlineStr">
        <is>
          <t>r1</t>
        </is>
      </c>
      <c r="G9" s="7">
        <f>SUMIF('QA_Criteria'!$A$2:$A$111,B9,'QA_Criteria'!$F$2:$F$111)</f>
        <v/>
      </c>
      <c r="H9" s="7">
        <f>SUMIF('QA_Criteria'!$A$2:$A$111,B9,'QA_Criteria'!$G$2:$G$111)</f>
        <v/>
      </c>
      <c r="I9" s="7">
        <f>G9</f>
        <v/>
      </c>
      <c r="J9" s="7">
        <f>G9+(100-H9)</f>
        <v/>
      </c>
      <c r="K9" s="7">
        <f>IF(AND(H9=100,Q9=1,P9=TRUE),G9,"")</f>
        <v/>
      </c>
      <c r="L9" s="3">
        <f>IF(R9&gt;0,"QA_FAIL",IF(K9="","QA_INCOMPLETE",IF(K9&lt;70,"QA_FAIL",IF(OR(K9&lt;85,S9&gt;0),"QA_REVISE","QA_PASS"))))</f>
        <v/>
      </c>
      <c r="M9" s="3" t="inlineStr">
        <is>
          <t>SERP_ONLY</t>
        </is>
      </c>
      <c r="N9" s="3" t="n">
        <v>8</v>
      </c>
      <c r="O9" s="3" t="n">
        <v>8</v>
      </c>
      <c r="P9" s="3" t="b">
        <v>1</v>
      </c>
      <c r="Q9" s="8" t="n">
        <v>1</v>
      </c>
      <c r="R9" s="3">
        <f>COUNTIFS('QA_Issues'!$B$2:$B$49,B9,'QA_Issues'!$D$2:$D$49,"CRITICAL")</f>
        <v/>
      </c>
      <c r="S9" s="3">
        <f>COUNTIFS('QA_Issues'!$B$2:$B$49,B9,'QA_Issues'!$D$2:$D$49,"MAJOR")</f>
        <v/>
      </c>
      <c r="T9" s="3">
        <f>COUNTIFS('QA_Issues'!$B$2:$B$49,B9,'QA_Issues'!$D$2:$D$49,"MINOR")</f>
        <v/>
      </c>
      <c r="U9" s="3">
        <f>COUNTIFS('QA_Issues'!$B$2:$B$49,B9,'QA_Issues'!$D$2:$D$49,"LIMITATION")</f>
        <v/>
      </c>
      <c r="V9" s="3" t="inlineStr">
        <is>
          <t>["ISS-078-IMG-04", "ISS-078-DESC", "ISS-078-CANN", "ISS-078-META", "ISS-078-CUSTOMIZER-SCHEMA"]</t>
        </is>
      </c>
      <c r="W9" s="3" t="inlineStr">
        <is>
          <t>["evidence_batch_008_078", "https://jeminise.com/products/custom-inspirational-bible-verse-floral-blanket-d5", "serp_qa_078", "customizer_audit.json"]</t>
        </is>
      </c>
    </row>
    <row r="10" ht="42" customHeight="1">
      <c r="A10" s="2" t="n">
        <v>79</v>
      </c>
      <c r="B10" s="2" t="inlineStr">
        <is>
          <t>jeminise.com+custom-inspirational-floral-butterfly-bible-verse-blanket-d4</t>
        </is>
      </c>
      <c r="C10" s="4" t="inlineStr">
        <is>
          <t>https://jeminise.com/products/custom-inspirational-floral-butterfly-bible-verse-blanket-d4</t>
        </is>
      </c>
      <c r="D10" s="2" t="inlineStr">
        <is>
          <t>custom-inspirational-floral-butterfly-bible-verse-blanket-d4</t>
        </is>
      </c>
      <c r="E10" s="2" t="inlineStr">
        <is>
          <t>8860102820039</t>
        </is>
      </c>
      <c r="F10" s="2" t="inlineStr">
        <is>
          <t>r1</t>
        </is>
      </c>
      <c r="G10" s="5">
        <f>SUMIF('QA_Criteria'!$A$2:$A$111,B10,'QA_Criteria'!$F$2:$F$111)</f>
        <v/>
      </c>
      <c r="H10" s="5">
        <f>SUMIF('QA_Criteria'!$A$2:$A$111,B10,'QA_Criteria'!$G$2:$G$111)</f>
        <v/>
      </c>
      <c r="I10" s="5">
        <f>G10</f>
        <v/>
      </c>
      <c r="J10" s="5">
        <f>G10+(100-H10)</f>
        <v/>
      </c>
      <c r="K10" s="5">
        <f>IF(AND(H10=100,Q10=1,P10=TRUE),G10,"")</f>
        <v/>
      </c>
      <c r="L10" s="2">
        <f>IF(R10&gt;0,"QA_FAIL",IF(K10="","QA_INCOMPLETE",IF(K10&lt;70,"QA_FAIL",IF(OR(K10&lt;85,S10&gt;0),"QA_REVISE","QA_PASS"))))</f>
        <v/>
      </c>
      <c r="M10" s="2" t="inlineStr">
        <is>
          <t>SERP_ONLY</t>
        </is>
      </c>
      <c r="N10" s="2" t="n">
        <v>9</v>
      </c>
      <c r="O10" s="2" t="n">
        <v>9</v>
      </c>
      <c r="P10" s="2" t="b">
        <v>1</v>
      </c>
      <c r="Q10" s="6" t="n">
        <v>1</v>
      </c>
      <c r="R10" s="2">
        <f>COUNTIFS('QA_Issues'!$B$2:$B$49,B10,'QA_Issues'!$D$2:$D$49,"CRITICAL")</f>
        <v/>
      </c>
      <c r="S10" s="2">
        <f>COUNTIFS('QA_Issues'!$B$2:$B$49,B10,'QA_Issues'!$D$2:$D$49,"MAJOR")</f>
        <v/>
      </c>
      <c r="T10" s="2">
        <f>COUNTIFS('QA_Issues'!$B$2:$B$49,B10,'QA_Issues'!$D$2:$D$49,"MINOR")</f>
        <v/>
      </c>
      <c r="U10" s="2">
        <f>COUNTIFS('QA_Issues'!$B$2:$B$49,B10,'QA_Issues'!$D$2:$D$49,"LIMITATION")</f>
        <v/>
      </c>
      <c r="V10" s="2" t="inlineStr">
        <is>
          <t>["ISS-079-IMG-04", "ISS-079-DESC", "ISS-079-CANN", "ISS-079-META", "ISS-079-CUSTOMIZER-SCHEMA"]</t>
        </is>
      </c>
      <c r="W10" s="2" t="inlineStr">
        <is>
          <t>["evidence_batch_008_079", "https://jeminise.com/products/custom-inspirational-floral-butterfly-bible-verse-blanket-d4", "serp_qa_079", "customizer_audit.json"]</t>
        </is>
      </c>
    </row>
    <row r="11" ht="42" customHeight="1">
      <c r="A11" s="3" t="n">
        <v>80</v>
      </c>
      <c r="B11" s="3" t="inlineStr">
        <is>
          <t>jeminise.com+custom-inspirational-scripture-butterflies-blanket-machine-washable</t>
        </is>
      </c>
      <c r="C11" s="4" t="inlineStr">
        <is>
          <t>https://jeminise.com/products/custom-inspirational-scripture-butterflies-blanket-machine-washable</t>
        </is>
      </c>
      <c r="D11" s="3" t="inlineStr">
        <is>
          <t>custom-inspirational-scripture-butterflies-blanket-machine-washable</t>
        </is>
      </c>
      <c r="E11" s="3" t="inlineStr">
        <is>
          <t>8860110880967</t>
        </is>
      </c>
      <c r="F11" s="3" t="inlineStr">
        <is>
          <t>r1</t>
        </is>
      </c>
      <c r="G11" s="7">
        <f>SUMIF('QA_Criteria'!$A$2:$A$111,B11,'QA_Criteria'!$F$2:$F$111)</f>
        <v/>
      </c>
      <c r="H11" s="7">
        <f>SUMIF('QA_Criteria'!$A$2:$A$111,B11,'QA_Criteria'!$G$2:$G$111)</f>
        <v/>
      </c>
      <c r="I11" s="7">
        <f>G11</f>
        <v/>
      </c>
      <c r="J11" s="7">
        <f>G11+(100-H11)</f>
        <v/>
      </c>
      <c r="K11" s="7">
        <f>IF(AND(H11=100,Q11=1,P11=TRUE),G11,"")</f>
        <v/>
      </c>
      <c r="L11" s="3">
        <f>IF(R11&gt;0,"QA_FAIL",IF(K11="","QA_INCOMPLETE",IF(K11&lt;70,"QA_FAIL",IF(OR(K11&lt;85,S11&gt;0),"QA_REVISE","QA_PASS"))))</f>
        <v/>
      </c>
      <c r="M11" s="3" t="inlineStr">
        <is>
          <t>SERP_ONLY</t>
        </is>
      </c>
      <c r="N11" s="3" t="n">
        <v>8</v>
      </c>
      <c r="O11" s="3" t="n">
        <v>8</v>
      </c>
      <c r="P11" s="3" t="b">
        <v>1</v>
      </c>
      <c r="Q11" s="8" t="n">
        <v>1</v>
      </c>
      <c r="R11" s="3">
        <f>COUNTIFS('QA_Issues'!$B$2:$B$49,B11,'QA_Issues'!$D$2:$D$49,"CRITICAL")</f>
        <v/>
      </c>
      <c r="S11" s="3">
        <f>COUNTIFS('QA_Issues'!$B$2:$B$49,B11,'QA_Issues'!$D$2:$D$49,"MAJOR")</f>
        <v/>
      </c>
      <c r="T11" s="3">
        <f>COUNTIFS('QA_Issues'!$B$2:$B$49,B11,'QA_Issues'!$D$2:$D$49,"MINOR")</f>
        <v/>
      </c>
      <c r="U11" s="3">
        <f>COUNTIFS('QA_Issues'!$B$2:$B$49,B11,'QA_Issues'!$D$2:$D$49,"LIMITATION")</f>
        <v/>
      </c>
      <c r="V11" s="3" t="inlineStr">
        <is>
          <t>["ISS-080-IMG-04", "ISS-080-DESC", "ISS-080-CANN", "ISS-080-META", "ISS-080-CUSTOMIZER-SCHEMA"]</t>
        </is>
      </c>
      <c r="W11" s="3" t="inlineStr">
        <is>
          <t>["evidence_batch_008_080", "https://jeminise.com/products/custom-inspirational-scripture-butterflies-blanket-machine-washable", "serp_qa_080", "customizer_audit.json"]</t>
        </is>
      </c>
    </row>
  </sheetData>
  <autoFilter ref="A1:W11"/>
  <conditionalFormatting sqref="L2:L11">
    <cfRule type="expression" priority="1" dxfId="0">
      <formula>L2="QA_PASS"</formula>
    </cfRule>
    <cfRule type="expression" priority="2" dxfId="1">
      <formula>L2="QA_REVISE"</formula>
    </cfRule>
    <cfRule type="expression" priority="3" dxfId="2">
      <formula>L2="QA_FAIL"</formula>
    </cfRule>
  </conditionalFormatting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</hyperlinks>
  <printOptions horizontalCentered="0"/>
  <pageMargins left="0.25" right="0.25" top="0.5" bottom="0.5" header="0.5" footer="0.5"/>
  <pageSetup orientation="landscape" fitToHeight="0" fitToWidth="2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11" customWidth="1" min="3" max="3"/>
    <col width="12" customWidth="1" min="4" max="4"/>
    <col width="24" customWidth="1" min="5" max="5"/>
    <col width="23" customWidth="1" min="6" max="6"/>
    <col width="24" customWidth="1" min="7" max="7"/>
    <col width="42" customWidth="1" min="8" max="8"/>
    <col width="42" customWidth="1" min="9" max="9"/>
    <col width="42" customWidth="1" min="10" max="10"/>
  </cols>
  <sheetData>
    <row r="1" ht="32" customHeight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 ht="42" customHeight="1">
      <c r="A2" s="2" t="inlineStr">
        <is>
          <t>jeminise.com+custom-football-player-running-with-ball-comforter-c9c2aecff2-c9c2aecff2</t>
        </is>
      </c>
      <c r="B2" s="2" t="inlineStr">
        <is>
          <t>P1</t>
        </is>
      </c>
      <c r="C2" s="2" t="n">
        <v>15</v>
      </c>
      <c r="D2" s="2" t="inlineStr">
        <is>
          <t>FULL</t>
        </is>
      </c>
      <c r="E2" s="5">
        <f>IF(B2="I1",AVERAGEIF('QA_Images'!$A$2:$A$70,A2,'QA_Images'!$T$2:$T$70)/100,IF(D2="FULL",1,IF(D2="PARTIAL",0.5,IF(D2="FAIL",0,""))))</f>
        <v/>
      </c>
      <c r="F2" s="5">
        <f>IF(E2="",0,C2*E2)</f>
        <v/>
      </c>
      <c r="G2" s="5">
        <f>IF(B2="I1",20*AVERAGEIF('QA_Images'!$A$2:$A$70,A2,'QA_Images'!$U$2:$U$70)/100,IF(D2="NOT_CHECKED",0,C2))</f>
        <v/>
      </c>
      <c r="H2" s="2" t="inlineStr">
        <is>
          <t>Đối chiếu loại sản phẩm, thiết kế và màu với product JSON, H1 live và toàn bộ gallery.</t>
        </is>
      </c>
      <c r="I2" s="2" t="inlineStr">
        <is>
          <t>["evidence_batch_008_071", "https://jeminise.com/products/custom-football-player-running-with-ball-comforter-c9c2aecff2-c9c2aecff2", "serp_qa_071", "customizer_audit.json"]</t>
        </is>
      </c>
      <c r="J2" s="2" t="inlineStr">
        <is>
          <t>["ISS-071-IMG-04", "ISS-071-DESC", "ISS-071-CANN", "ISS-071-META"]</t>
        </is>
      </c>
    </row>
    <row r="3" ht="42" customHeight="1">
      <c r="A3" s="3" t="inlineStr">
        <is>
          <t>jeminise.com+custom-football-player-running-with-ball-comforter-c9c2aecff2-c9c2aecff2</t>
        </is>
      </c>
      <c r="B3" s="3" t="inlineStr">
        <is>
          <t>P2</t>
        </is>
      </c>
      <c r="C3" s="3" t="n">
        <v>10</v>
      </c>
      <c r="D3" s="3" t="inlineStr">
        <is>
          <t>FULL</t>
        </is>
      </c>
      <c r="E3" s="7">
        <f>IF(B3="I1",AVERAGEIF('QA_Images'!$A$2:$A$70,A3,'QA_Images'!$T$2:$T$70)/100,IF(D3="FULL",1,IF(D3="PARTIAL",0.5,IF(D3="FAIL",0,""))))</f>
        <v/>
      </c>
      <c r="F3" s="7">
        <f>IF(E3="",0,C3*E3)</f>
        <v/>
      </c>
      <c r="G3" s="7">
        <f>IF(B3="I1",20*AVERAGEIF('QA_Images'!$A$2:$A$70,A3,'QA_Images'!$U$2:$U$70)/100,IF(D3="NOT_CHECKED",0,C3))</f>
        <v/>
      </c>
      <c r="H3" s="3" t="inlineStr">
        <is>
          <t>Đã đối chiếu options, variants, description và cấu hình Amazon Customizer live có Name/Number.</t>
        </is>
      </c>
      <c r="I3" s="3" t="inlineStr">
        <is>
          <t>["evidence_batch_008_071", "https://jeminise.com/products/custom-football-player-running-with-ball-comforter-c9c2aecff2-c9c2aecff2", "serp_qa_071", "customizer_audit.json"]</t>
        </is>
      </c>
      <c r="J3" s="3" t="inlineStr">
        <is>
          <t>["ISS-071-IMG-04", "ISS-071-DESC", "ISS-071-CANN", "ISS-071-META"]</t>
        </is>
      </c>
    </row>
    <row r="4" ht="42" customHeight="1">
      <c r="A4" s="2" t="inlineStr">
        <is>
          <t>jeminise.com+custom-football-player-running-with-ball-comforter-c9c2aecff2-c9c2aecff2</t>
        </is>
      </c>
      <c r="B4" s="2" t="inlineStr">
        <is>
          <t>K1</t>
        </is>
      </c>
      <c r="C4" s="2" t="n">
        <v>10</v>
      </c>
      <c r="D4" s="2" t="inlineStr">
        <is>
          <t>FULL</t>
        </is>
      </c>
      <c r="E4" s="5">
        <f>IF(B4="I1",AVERAGEIF('QA_Images'!$A$2:$A$70,A4,'QA_Images'!$T$2:$T$70)/100,IF(D4="FULL",1,IF(D4="PARTIAL",0.5,IF(D4="FAIL",0,""))))</f>
        <v/>
      </c>
      <c r="F4" s="5">
        <f>IF(E4="",0,C4*E4)</f>
        <v/>
      </c>
      <c r="G4" s="5">
        <f>IF(B4="I1",20*AVERAGEIF('QA_Images'!$A$2:$A$70,A4,'QA_Images'!$U$2:$U$70)/100,IF(D4="NOT_CHECKED",0,C4))</f>
        <v/>
      </c>
      <c r="H4" s="2" t="inlineStr">
        <is>
          <t>Đối chiếu long-tail với thiết kế riêng và nguy cơ trùng intent trong cụm sản phẩm.</t>
        </is>
      </c>
      <c r="I4" s="2" t="inlineStr">
        <is>
          <t>["evidence_batch_008_071", "https://jeminise.com/products/custom-football-player-running-with-ball-comforter-c9c2aecff2-c9c2aecff2", "serp_qa_071", "customizer_audit.json"]</t>
        </is>
      </c>
      <c r="J4" s="2" t="inlineStr">
        <is>
          <t>["ISS-071-IMG-04", "ISS-071-DESC", "ISS-071-CANN", "ISS-071-META"]</t>
        </is>
      </c>
    </row>
    <row r="5" ht="42" customHeight="1">
      <c r="A5" s="3" t="inlineStr">
        <is>
          <t>jeminise.com+custom-football-player-running-with-ball-comforter-c9c2aecff2-c9c2aecff2</t>
        </is>
      </c>
      <c r="B5" s="3" t="inlineStr">
        <is>
          <t>K2</t>
        </is>
      </c>
      <c r="C5" s="3" t="n">
        <v>5</v>
      </c>
      <c r="D5" s="3" t="inlineStr">
        <is>
          <t>PARTIAL</t>
        </is>
      </c>
      <c r="E5" s="7">
        <f>IF(B5="I1",AVERAGEIF('QA_Images'!$A$2:$A$70,A5,'QA_Images'!$T$2:$T$70)/100,IF(D5="FULL",1,IF(D5="PARTIAL",0.5,IF(D5="FAIL",0,""))))</f>
        <v/>
      </c>
      <c r="F5" s="7">
        <f>IF(E5="",0,C5*E5)</f>
        <v/>
      </c>
      <c r="G5" s="7">
        <f>IF(B5="I1",20*AVERAGEIF('QA_Images'!$A$2:$A$70,A5,'QA_Images'!$U$2:$U$70)/100,IF(D5="NOT_CHECKED",0,C5))</f>
        <v/>
      </c>
      <c r="H5" s="3" t="inlineStr">
        <is>
          <t>Đã đọc primary và comparator SERP theo US commercial intent; nhiều kết quả là blanket/duvet nên chỉ PARTIAL.</t>
        </is>
      </c>
      <c r="I5" s="3" t="inlineStr">
        <is>
          <t>["evidence_batch_008_071", "https://jeminise.com/products/custom-football-player-running-with-ball-comforter-c9c2aecff2-c9c2aecff2", "serp_qa_071", "customizer_audit.json"]</t>
        </is>
      </c>
      <c r="J5" s="3" t="inlineStr">
        <is>
          <t>["ISS-071-IMG-04", "ISS-071-DESC", "ISS-071-CANN", "ISS-071-META"]</t>
        </is>
      </c>
    </row>
    <row r="6" ht="42" customHeight="1">
      <c r="A6" s="2" t="inlineStr">
        <is>
          <t>jeminise.com+custom-football-player-running-with-ball-comforter-c9c2aecff2-c9c2aecff2</t>
        </is>
      </c>
      <c r="B6" s="2" t="inlineStr">
        <is>
          <t>K3</t>
        </is>
      </c>
      <c r="C6" s="2" t="n">
        <v>5</v>
      </c>
      <c r="D6" s="2" t="inlineStr">
        <is>
          <t>PARTIAL</t>
        </is>
      </c>
      <c r="E6" s="5">
        <f>IF(B6="I1",AVERAGEIF('QA_Images'!$A$2:$A$70,A6,'QA_Images'!$T$2:$T$70)/100,IF(D6="FULL",1,IF(D6="PARTIAL",0.5,IF(D6="FAIL",0,""))))</f>
        <v/>
      </c>
      <c r="F6" s="5">
        <f>IF(E6="",0,C6*E6)</f>
        <v/>
      </c>
      <c r="G6" s="5">
        <f>IF(B6="I1",20*AVERAGEIF('QA_Images'!$A$2:$A$70,A6,'QA_Images'!$U$2:$U$70)/100,IF(D6="NOT_CHECKED",0,C6))</f>
        <v/>
      </c>
      <c r="H6" s="2" t="inlineStr">
        <is>
          <t>Modifier theo artwork có dùng nhưng mười trang cùng cluster còn nguy cơ cannibalization.</t>
        </is>
      </c>
      <c r="I6" s="2" t="inlineStr">
        <is>
          <t>["evidence_batch_008_071", "https://jeminise.com/products/custom-football-player-running-with-ball-comforter-c9c2aecff2-c9c2aecff2", "serp_qa_071", "customizer_audit.json"]</t>
        </is>
      </c>
      <c r="J6" s="2" t="inlineStr">
        <is>
          <t>["ISS-071-IMG-04", "ISS-071-DESC", "ISS-071-CANN", "ISS-071-META"]</t>
        </is>
      </c>
    </row>
    <row r="7" ht="42" customHeight="1">
      <c r="A7" s="3" t="inlineStr">
        <is>
          <t>jeminise.com+custom-football-player-running-with-ball-comforter-c9c2aecff2-c9c2aecff2</t>
        </is>
      </c>
      <c r="B7" s="3" t="inlineStr">
        <is>
          <t>T1</t>
        </is>
      </c>
      <c r="C7" s="3" t="n">
        <v>10</v>
      </c>
      <c r="D7" s="3" t="inlineStr">
        <is>
          <t>FULL</t>
        </is>
      </c>
      <c r="E7" s="7">
        <f>IF(B7="I1",AVERAGEIF('QA_Images'!$A$2:$A$70,A7,'QA_Images'!$T$2:$T$70)/100,IF(D7="FULL",1,IF(D7="PARTIAL",0.5,IF(D7="FAIL",0,""))))</f>
        <v/>
      </c>
      <c r="F7" s="7">
        <f>IF(E7="",0,C7*E7)</f>
        <v/>
      </c>
      <c r="G7" s="7">
        <f>IF(B7="I1",20*AVERAGEIF('QA_Images'!$A$2:$A$70,A7,'QA_Images'!$U$2:$U$70)/100,IF(D7="NOT_CHECKED",0,C7))</f>
        <v/>
      </c>
      <c r="H7" s="3" t="inlineStr">
        <is>
          <t>Đánh giá SEO title English về độ đúng, tự nhiên, keyword và điểm phân biệt.</t>
        </is>
      </c>
      <c r="I7" s="3" t="inlineStr">
        <is>
          <t>["evidence_batch_008_071", "https://jeminise.com/products/custom-football-player-running-with-ball-comforter-c9c2aecff2-c9c2aecff2", "serp_qa_071", "customizer_audit.json"]</t>
        </is>
      </c>
      <c r="J7" s="3" t="inlineStr">
        <is>
          <t>["ISS-071-IMG-04", "ISS-071-DESC", "ISS-071-CANN", "ISS-071-META"]</t>
        </is>
      </c>
    </row>
    <row r="8" ht="42" customHeight="1">
      <c r="A8" s="2" t="inlineStr">
        <is>
          <t>jeminise.com+custom-football-player-running-with-ball-comforter-c9c2aecff2-c9c2aecff2</t>
        </is>
      </c>
      <c r="B8" s="2" t="inlineStr">
        <is>
          <t>T2</t>
        </is>
      </c>
      <c r="C8" s="2" t="n">
        <v>5</v>
      </c>
      <c r="D8" s="2" t="inlineStr">
        <is>
          <t>PARTIAL</t>
        </is>
      </c>
      <c r="E8" s="5">
        <f>IF(B8="I1",AVERAGEIF('QA_Images'!$A$2:$A$70,A8,'QA_Images'!$T$2:$T$70)/100,IF(D8="FULL",1,IF(D8="PARTIAL",0.5,IF(D8="FAIL",0,""))))</f>
        <v/>
      </c>
      <c r="F8" s="5">
        <f>IF(E8="",0,C8*E8)</f>
        <v/>
      </c>
      <c r="G8" s="5">
        <f>IF(B8="I1",20*AVERAGEIF('QA_Images'!$A$2:$A$70,A8,'QA_Images'!$U$2:$U$70)/100,IF(D8="NOT_CHECKED",0,C8))</f>
        <v/>
      </c>
      <c r="H8" s="2" t="inlineStr">
        <is>
          <t>Meta đúng motif nhưng quá dài và chưa diễn đạt cơ chế Customize gọn, rõ.</t>
        </is>
      </c>
      <c r="I8" s="2" t="inlineStr">
        <is>
          <t>["evidence_batch_008_071", "https://jeminise.com/products/custom-football-player-running-with-ball-comforter-c9c2aecff2-c9c2aecff2", "serp_qa_071", "customizer_audit.json"]</t>
        </is>
      </c>
      <c r="J8" s="2" t="inlineStr">
        <is>
          <t>["ISS-071-IMG-04", "ISS-071-DESC", "ISS-071-CANN", "ISS-071-META"]</t>
        </is>
      </c>
    </row>
    <row r="9" ht="42" customHeight="1">
      <c r="A9" s="3" t="inlineStr">
        <is>
          <t>jeminise.com+custom-football-player-running-with-ball-comforter-c9c2aecff2-c9c2aecff2</t>
        </is>
      </c>
      <c r="B9" s="3" t="inlineStr">
        <is>
          <t>D1</t>
        </is>
      </c>
      <c r="C9" s="3" t="n">
        <v>5</v>
      </c>
      <c r="D9" s="3" t="inlineStr">
        <is>
          <t>FAIL</t>
        </is>
      </c>
      <c r="E9" s="7">
        <f>IF(B9="I1",AVERAGEIF('QA_Images'!$A$2:$A$70,A9,'QA_Images'!$T$2:$T$70)/100,IF(D9="FULL",1,IF(D9="PARTIAL",0.5,IF(D9="FAIL",0,""))))</f>
        <v/>
      </c>
      <c r="F9" s="7">
        <f>IF(E9="",0,C9*E9)</f>
        <v/>
      </c>
      <c r="G9" s="7">
        <f>IF(B9="I1",20*AVERAGEIF('QA_Images'!$A$2:$A$70,A9,'QA_Images'!$U$2:$U$70)/100,IF(D9="NOT_CHECKED",0,C9))</f>
        <v/>
      </c>
      <c r="H9" s="3" t="inlineStr">
        <is>
          <t>Description chứa nguyên khối SEO Use/QA/import nội bộ.</t>
        </is>
      </c>
      <c r="I9" s="3" t="inlineStr">
        <is>
          <t>["evidence_batch_008_071", "https://jeminise.com/products/custom-football-player-running-with-ball-comforter-c9c2aecff2-c9c2aecff2", "serp_qa_071", "customizer_audit.json"]</t>
        </is>
      </c>
      <c r="J9" s="3" t="inlineStr">
        <is>
          <t>["ISS-071-IMG-04", "ISS-071-DESC", "ISS-071-CANN", "ISS-071-META"]</t>
        </is>
      </c>
    </row>
    <row r="10" ht="42" customHeight="1">
      <c r="A10" s="2" t="inlineStr">
        <is>
          <t>jeminise.com+custom-football-player-running-with-ball-comforter-c9c2aecff2-c9c2aecff2</t>
        </is>
      </c>
      <c r="B10" s="2" t="inlineStr">
        <is>
          <t>D2</t>
        </is>
      </c>
      <c r="C10" s="2" t="n">
        <v>10</v>
      </c>
      <c r="D10" s="2" t="inlineStr">
        <is>
          <t>PARTIAL</t>
        </is>
      </c>
      <c r="E10" s="5">
        <f>IF(B10="I1",AVERAGEIF('QA_Images'!$A$2:$A$70,A10,'QA_Images'!$T$2:$T$70)/100,IF(D10="FULL",1,IF(D10="PARTIAL",0.5,IF(D10="FAIL",0,""))))</f>
        <v/>
      </c>
      <c r="F10" s="5">
        <f>IF(E10="",0,C10*E10)</f>
        <v/>
      </c>
      <c r="G10" s="5">
        <f>IF(B10="I1",20*AVERAGEIF('QA_Images'!$A$2:$A$70,A10,'QA_Images'!$U$2:$U$70)/100,IF(D10="NOT_CHECKED",0,C10))</f>
        <v/>
      </c>
      <c r="H10" s="2" t="inlineStr">
        <is>
          <t>Facts chính khớp nguồn, nhưng copy chưa publish-ready và chưa nói rõ ràng quy trình Customize.</t>
        </is>
      </c>
      <c r="I10" s="2" t="inlineStr">
        <is>
          <t>["evidence_batch_008_071", "https://jeminise.com/products/custom-football-player-running-with-ball-comforter-c9c2aecff2-c9c2aecff2", "serp_qa_071", "customizer_audit.json"]</t>
        </is>
      </c>
      <c r="J10" s="2" t="inlineStr">
        <is>
          <t>["ISS-071-IMG-04", "ISS-071-DESC", "ISS-071-CANN", "ISS-071-META"]</t>
        </is>
      </c>
    </row>
    <row r="11" ht="42" customHeight="1">
      <c r="A11" s="3" t="inlineStr">
        <is>
          <t>jeminise.com+custom-football-player-running-with-ball-comforter-c9c2aecff2-c9c2aecff2</t>
        </is>
      </c>
      <c r="B11" s="3" t="inlineStr">
        <is>
          <t>I1</t>
        </is>
      </c>
      <c r="C11" s="3" t="n">
        <v>20</v>
      </c>
      <c r="D11" s="3" t="inlineStr">
        <is>
          <t>DERIVED</t>
        </is>
      </c>
      <c r="E11" s="7">
        <f>IF(B11="I1",AVERAGEIF('QA_Images'!$A$2:$A$70,A11,'QA_Images'!$T$2:$T$70)/100,IF(D11="FULL",1,IF(D11="PARTIAL",0.5,IF(D11="FAIL",0,""))))</f>
        <v/>
      </c>
      <c r="F11" s="7">
        <f>IF(E11="",0,C11*E11)</f>
        <v/>
      </c>
      <c r="G11" s="7">
        <f>IF(B11="I1",20*AVERAGEIF('QA_Images'!$A$2:$A$70,A11,'QA_Images'!$U$2:$U$70)/100,IF(D11="NOT_CHECKED",0,C11))</f>
        <v/>
      </c>
      <c r="H11" s="3" t="inlineStr">
        <is>
          <t>Tính từ trung bình 6 ảnh: 98.3333/100.</t>
        </is>
      </c>
      <c r="I11" s="3" t="inlineStr">
        <is>
          <t>["evidence_batch_008_071", "https://jeminise.com/products/custom-football-player-running-with-ball-comforter-c9c2aecff2-c9c2aecff2", "serp_qa_071", "customizer_audit.json"]</t>
        </is>
      </c>
      <c r="J11" s="3" t="inlineStr">
        <is>
          <t>["ISS-071-IMG-04", "ISS-071-DESC", "ISS-071-CANN", "ISS-071-META"]</t>
        </is>
      </c>
    </row>
    <row r="12" ht="42" customHeight="1">
      <c r="A12" s="2" t="inlineStr">
        <is>
          <t>jeminise.com+custom-football-player-running-with-ball-comforter-c9c2aecff2-c9c2aecff2</t>
        </is>
      </c>
      <c r="B12" s="2" t="inlineStr">
        <is>
          <t>E1</t>
        </is>
      </c>
      <c r="C12" s="2" t="n">
        <v>5</v>
      </c>
      <c r="D12" s="2" t="inlineStr">
        <is>
          <t>PARTIAL</t>
        </is>
      </c>
      <c r="E12" s="5">
        <f>IF(B12="I1",AVERAGEIF('QA_Images'!$A$2:$A$70,A12,'QA_Images'!$T$2:$T$70)/100,IF(D12="FULL",1,IF(D12="PARTIAL",0.5,IF(D12="FAIL",0,""))))</f>
        <v/>
      </c>
      <c r="F12" s="5">
        <f>IF(E12="",0,C12*E12)</f>
        <v/>
      </c>
      <c r="G12" s="5">
        <f>IF(B12="I1",20*AVERAGEIF('QA_Images'!$A$2:$A$70,A12,'QA_Images'!$U$2:$U$70)/100,IF(D12="NOT_CHECKED",0,C12))</f>
        <v/>
      </c>
      <c r="H12" s="2" t="inlineStr">
        <is>
          <t>Chuỗi evidence được kiểm tra; thiếu admin export và chưa chạy cart persistence.</t>
        </is>
      </c>
      <c r="I12" s="2" t="inlineStr">
        <is>
          <t>["evidence_batch_008_071", "https://jeminise.com/products/custom-football-player-running-with-ball-comforter-c9c2aecff2-c9c2aecff2", "serp_qa_071", "customizer_audit.json"]</t>
        </is>
      </c>
      <c r="J12" s="2" t="inlineStr">
        <is>
          <t>["ISS-071-IMG-04", "ISS-071-DESC", "ISS-071-CANN", "ISS-071-META"]</t>
        </is>
      </c>
    </row>
    <row r="13" ht="42" customHeight="1">
      <c r="A13" s="3" t="inlineStr">
        <is>
          <t>jeminise.com+custom-football-player-running-with-ball-comforter-9fe5294804-9fe5294804</t>
        </is>
      </c>
      <c r="B13" s="3" t="inlineStr">
        <is>
          <t>P1</t>
        </is>
      </c>
      <c r="C13" s="3" t="n">
        <v>15</v>
      </c>
      <c r="D13" s="3" t="inlineStr">
        <is>
          <t>FULL</t>
        </is>
      </c>
      <c r="E13" s="7">
        <f>IF(B13="I1",AVERAGEIF('QA_Images'!$A$2:$A$70,A13,'QA_Images'!$T$2:$T$70)/100,IF(D13="FULL",1,IF(D13="PARTIAL",0.5,IF(D13="FAIL",0,""))))</f>
        <v/>
      </c>
      <c r="F13" s="7">
        <f>IF(E13="",0,C13*E13)</f>
        <v/>
      </c>
      <c r="G13" s="7">
        <f>IF(B13="I1",20*AVERAGEIF('QA_Images'!$A$2:$A$70,A13,'QA_Images'!$U$2:$U$70)/100,IF(D13="NOT_CHECKED",0,C13))</f>
        <v/>
      </c>
      <c r="H13" s="3" t="inlineStr">
        <is>
          <t>Đối chiếu loại sản phẩm, thiết kế và màu với product JSON, H1 live và toàn bộ gallery.</t>
        </is>
      </c>
      <c r="I13" s="3" t="inlineStr">
        <is>
          <t>["evidence_batch_008_072", "https://jeminise.com/products/custom-football-player-running-with-ball-comforter-9fe5294804-9fe5294804", "serp_qa_072", "customizer_audit.json"]</t>
        </is>
      </c>
      <c r="J13" s="3" t="inlineStr">
        <is>
          <t>["ISS-072-IMG-04", "ISS-072-DESC", "ISS-072-CANN", "ISS-072-META"]</t>
        </is>
      </c>
    </row>
    <row r="14" ht="42" customHeight="1">
      <c r="A14" s="2" t="inlineStr">
        <is>
          <t>jeminise.com+custom-football-player-running-with-ball-comforter-9fe5294804-9fe5294804</t>
        </is>
      </c>
      <c r="B14" s="2" t="inlineStr">
        <is>
          <t>P2</t>
        </is>
      </c>
      <c r="C14" s="2" t="n">
        <v>10</v>
      </c>
      <c r="D14" s="2" t="inlineStr">
        <is>
          <t>FULL</t>
        </is>
      </c>
      <c r="E14" s="5">
        <f>IF(B14="I1",AVERAGEIF('QA_Images'!$A$2:$A$70,A14,'QA_Images'!$T$2:$T$70)/100,IF(D14="FULL",1,IF(D14="PARTIAL",0.5,IF(D14="FAIL",0,""))))</f>
        <v/>
      </c>
      <c r="F14" s="5">
        <f>IF(E14="",0,C14*E14)</f>
        <v/>
      </c>
      <c r="G14" s="5">
        <f>IF(B14="I1",20*AVERAGEIF('QA_Images'!$A$2:$A$70,A14,'QA_Images'!$U$2:$U$70)/100,IF(D14="NOT_CHECKED",0,C14))</f>
        <v/>
      </c>
      <c r="H14" s="2" t="inlineStr">
        <is>
          <t>Đã đối chiếu options, variants, description và cấu hình Amazon Customizer live có Name/Number.</t>
        </is>
      </c>
      <c r="I14" s="2" t="inlineStr">
        <is>
          <t>["evidence_batch_008_072", "https://jeminise.com/products/custom-football-player-running-with-ball-comforter-9fe5294804-9fe5294804", "serp_qa_072", "customizer_audit.json"]</t>
        </is>
      </c>
      <c r="J14" s="2" t="inlineStr">
        <is>
          <t>["ISS-072-IMG-04", "ISS-072-DESC", "ISS-072-CANN", "ISS-072-META"]</t>
        </is>
      </c>
    </row>
    <row r="15" ht="42" customHeight="1">
      <c r="A15" s="3" t="inlineStr">
        <is>
          <t>jeminise.com+custom-football-player-running-with-ball-comforter-9fe5294804-9fe5294804</t>
        </is>
      </c>
      <c r="B15" s="3" t="inlineStr">
        <is>
          <t>K1</t>
        </is>
      </c>
      <c r="C15" s="3" t="n">
        <v>10</v>
      </c>
      <c r="D15" s="3" t="inlineStr">
        <is>
          <t>FULL</t>
        </is>
      </c>
      <c r="E15" s="7">
        <f>IF(B15="I1",AVERAGEIF('QA_Images'!$A$2:$A$70,A15,'QA_Images'!$T$2:$T$70)/100,IF(D15="FULL",1,IF(D15="PARTIAL",0.5,IF(D15="FAIL",0,""))))</f>
        <v/>
      </c>
      <c r="F15" s="7">
        <f>IF(E15="",0,C15*E15)</f>
        <v/>
      </c>
      <c r="G15" s="7">
        <f>IF(B15="I1",20*AVERAGEIF('QA_Images'!$A$2:$A$70,A15,'QA_Images'!$U$2:$U$70)/100,IF(D15="NOT_CHECKED",0,C15))</f>
        <v/>
      </c>
      <c r="H15" s="3" t="inlineStr">
        <is>
          <t>Đối chiếu long-tail với thiết kế riêng và nguy cơ trùng intent trong cụm sản phẩm.</t>
        </is>
      </c>
      <c r="I15" s="3" t="inlineStr">
        <is>
          <t>["evidence_batch_008_072", "https://jeminise.com/products/custom-football-player-running-with-ball-comforter-9fe5294804-9fe5294804", "serp_qa_072", "customizer_audit.json"]</t>
        </is>
      </c>
      <c r="J15" s="3" t="inlineStr">
        <is>
          <t>["ISS-072-IMG-04", "ISS-072-DESC", "ISS-072-CANN", "ISS-072-META"]</t>
        </is>
      </c>
    </row>
    <row r="16" ht="42" customHeight="1">
      <c r="A16" s="2" t="inlineStr">
        <is>
          <t>jeminise.com+custom-football-player-running-with-ball-comforter-9fe5294804-9fe5294804</t>
        </is>
      </c>
      <c r="B16" s="2" t="inlineStr">
        <is>
          <t>K2</t>
        </is>
      </c>
      <c r="C16" s="2" t="n">
        <v>5</v>
      </c>
      <c r="D16" s="2" t="inlineStr">
        <is>
          <t>PARTIAL</t>
        </is>
      </c>
      <c r="E16" s="5">
        <f>IF(B16="I1",AVERAGEIF('QA_Images'!$A$2:$A$70,A16,'QA_Images'!$T$2:$T$70)/100,IF(D16="FULL",1,IF(D16="PARTIAL",0.5,IF(D16="FAIL",0,""))))</f>
        <v/>
      </c>
      <c r="F16" s="5">
        <f>IF(E16="",0,C16*E16)</f>
        <v/>
      </c>
      <c r="G16" s="5">
        <f>IF(B16="I1",20*AVERAGEIF('QA_Images'!$A$2:$A$70,A16,'QA_Images'!$U$2:$U$70)/100,IF(D16="NOT_CHECKED",0,C16))</f>
        <v/>
      </c>
      <c r="H16" s="2" t="inlineStr">
        <is>
          <t>Đã đọc primary và comparator SERP theo US commercial intent; nhiều kết quả là blanket/duvet nên chỉ PARTIAL.</t>
        </is>
      </c>
      <c r="I16" s="2" t="inlineStr">
        <is>
          <t>["evidence_batch_008_072", "https://jeminise.com/products/custom-football-player-running-with-ball-comforter-9fe5294804-9fe5294804", "serp_qa_072", "customizer_audit.json"]</t>
        </is>
      </c>
      <c r="J16" s="2" t="inlineStr">
        <is>
          <t>["ISS-072-IMG-04", "ISS-072-DESC", "ISS-072-CANN", "ISS-072-META"]</t>
        </is>
      </c>
    </row>
    <row r="17" ht="42" customHeight="1">
      <c r="A17" s="3" t="inlineStr">
        <is>
          <t>jeminise.com+custom-football-player-running-with-ball-comforter-9fe5294804-9fe5294804</t>
        </is>
      </c>
      <c r="B17" s="3" t="inlineStr">
        <is>
          <t>K3</t>
        </is>
      </c>
      <c r="C17" s="3" t="n">
        <v>5</v>
      </c>
      <c r="D17" s="3" t="inlineStr">
        <is>
          <t>PARTIAL</t>
        </is>
      </c>
      <c r="E17" s="7">
        <f>IF(B17="I1",AVERAGEIF('QA_Images'!$A$2:$A$70,A17,'QA_Images'!$T$2:$T$70)/100,IF(D17="FULL",1,IF(D17="PARTIAL",0.5,IF(D17="FAIL",0,""))))</f>
        <v/>
      </c>
      <c r="F17" s="7">
        <f>IF(E17="",0,C17*E17)</f>
        <v/>
      </c>
      <c r="G17" s="7">
        <f>IF(B17="I1",20*AVERAGEIF('QA_Images'!$A$2:$A$70,A17,'QA_Images'!$U$2:$U$70)/100,IF(D17="NOT_CHECKED",0,C17))</f>
        <v/>
      </c>
      <c r="H17" s="3" t="inlineStr">
        <is>
          <t>Modifier theo artwork có dùng nhưng mười trang cùng cluster còn nguy cơ cannibalization.</t>
        </is>
      </c>
      <c r="I17" s="3" t="inlineStr">
        <is>
          <t>["evidence_batch_008_072", "https://jeminise.com/products/custom-football-player-running-with-ball-comforter-9fe5294804-9fe5294804", "serp_qa_072", "customizer_audit.json"]</t>
        </is>
      </c>
      <c r="J17" s="3" t="inlineStr">
        <is>
          <t>["ISS-072-IMG-04", "ISS-072-DESC", "ISS-072-CANN", "ISS-072-META"]</t>
        </is>
      </c>
    </row>
    <row r="18" ht="42" customHeight="1">
      <c r="A18" s="2" t="inlineStr">
        <is>
          <t>jeminise.com+custom-football-player-running-with-ball-comforter-9fe5294804-9fe5294804</t>
        </is>
      </c>
      <c r="B18" s="2" t="inlineStr">
        <is>
          <t>T1</t>
        </is>
      </c>
      <c r="C18" s="2" t="n">
        <v>10</v>
      </c>
      <c r="D18" s="2" t="inlineStr">
        <is>
          <t>FULL</t>
        </is>
      </c>
      <c r="E18" s="5">
        <f>IF(B18="I1",AVERAGEIF('QA_Images'!$A$2:$A$70,A18,'QA_Images'!$T$2:$T$70)/100,IF(D18="FULL",1,IF(D18="PARTIAL",0.5,IF(D18="FAIL",0,""))))</f>
        <v/>
      </c>
      <c r="F18" s="5">
        <f>IF(E18="",0,C18*E18)</f>
        <v/>
      </c>
      <c r="G18" s="5">
        <f>IF(B18="I1",20*AVERAGEIF('QA_Images'!$A$2:$A$70,A18,'QA_Images'!$U$2:$U$70)/100,IF(D18="NOT_CHECKED",0,C18))</f>
        <v/>
      </c>
      <c r="H18" s="2" t="inlineStr">
        <is>
          <t>Đánh giá SEO title English về độ đúng, tự nhiên, keyword và điểm phân biệt.</t>
        </is>
      </c>
      <c r="I18" s="2" t="inlineStr">
        <is>
          <t>["evidence_batch_008_072", "https://jeminise.com/products/custom-football-player-running-with-ball-comforter-9fe5294804-9fe5294804", "serp_qa_072", "customizer_audit.json"]</t>
        </is>
      </c>
      <c r="J18" s="2" t="inlineStr">
        <is>
          <t>["ISS-072-IMG-04", "ISS-072-DESC", "ISS-072-CANN", "ISS-072-META"]</t>
        </is>
      </c>
    </row>
    <row r="19" ht="42" customHeight="1">
      <c r="A19" s="3" t="inlineStr">
        <is>
          <t>jeminise.com+custom-football-player-running-with-ball-comforter-9fe5294804-9fe5294804</t>
        </is>
      </c>
      <c r="B19" s="3" t="inlineStr">
        <is>
          <t>T2</t>
        </is>
      </c>
      <c r="C19" s="3" t="n">
        <v>5</v>
      </c>
      <c r="D19" s="3" t="inlineStr">
        <is>
          <t>PARTIAL</t>
        </is>
      </c>
      <c r="E19" s="7">
        <f>IF(B19="I1",AVERAGEIF('QA_Images'!$A$2:$A$70,A19,'QA_Images'!$T$2:$T$70)/100,IF(D19="FULL",1,IF(D19="PARTIAL",0.5,IF(D19="FAIL",0,""))))</f>
        <v/>
      </c>
      <c r="F19" s="7">
        <f>IF(E19="",0,C19*E19)</f>
        <v/>
      </c>
      <c r="G19" s="7">
        <f>IF(B19="I1",20*AVERAGEIF('QA_Images'!$A$2:$A$70,A19,'QA_Images'!$U$2:$U$70)/100,IF(D19="NOT_CHECKED",0,C19))</f>
        <v/>
      </c>
      <c r="H19" s="3" t="inlineStr">
        <is>
          <t>Meta đúng motif nhưng quá dài và chưa diễn đạt cơ chế Customize gọn, rõ.</t>
        </is>
      </c>
      <c r="I19" s="3" t="inlineStr">
        <is>
          <t>["evidence_batch_008_072", "https://jeminise.com/products/custom-football-player-running-with-ball-comforter-9fe5294804-9fe5294804", "serp_qa_072", "customizer_audit.json"]</t>
        </is>
      </c>
      <c r="J19" s="3" t="inlineStr">
        <is>
          <t>["ISS-072-IMG-04", "ISS-072-DESC", "ISS-072-CANN", "ISS-072-META"]</t>
        </is>
      </c>
    </row>
    <row r="20" ht="42" customHeight="1">
      <c r="A20" s="2" t="inlineStr">
        <is>
          <t>jeminise.com+custom-football-player-running-with-ball-comforter-9fe5294804-9fe5294804</t>
        </is>
      </c>
      <c r="B20" s="2" t="inlineStr">
        <is>
          <t>D1</t>
        </is>
      </c>
      <c r="C20" s="2" t="n">
        <v>5</v>
      </c>
      <c r="D20" s="2" t="inlineStr">
        <is>
          <t>FAIL</t>
        </is>
      </c>
      <c r="E20" s="5">
        <f>IF(B20="I1",AVERAGEIF('QA_Images'!$A$2:$A$70,A20,'QA_Images'!$T$2:$T$70)/100,IF(D20="FULL",1,IF(D20="PARTIAL",0.5,IF(D20="FAIL",0,""))))</f>
        <v/>
      </c>
      <c r="F20" s="5">
        <f>IF(E20="",0,C20*E20)</f>
        <v/>
      </c>
      <c r="G20" s="5">
        <f>IF(B20="I1",20*AVERAGEIF('QA_Images'!$A$2:$A$70,A20,'QA_Images'!$U$2:$U$70)/100,IF(D20="NOT_CHECKED",0,C20))</f>
        <v/>
      </c>
      <c r="H20" s="2" t="inlineStr">
        <is>
          <t>Description chứa nguyên khối SEO Use/QA/import nội bộ.</t>
        </is>
      </c>
      <c r="I20" s="2" t="inlineStr">
        <is>
          <t>["evidence_batch_008_072", "https://jeminise.com/products/custom-football-player-running-with-ball-comforter-9fe5294804-9fe5294804", "serp_qa_072", "customizer_audit.json"]</t>
        </is>
      </c>
      <c r="J20" s="2" t="inlineStr">
        <is>
          <t>["ISS-072-IMG-04", "ISS-072-DESC", "ISS-072-CANN", "ISS-072-META"]</t>
        </is>
      </c>
    </row>
    <row r="21" ht="42" customHeight="1">
      <c r="A21" s="3" t="inlineStr">
        <is>
          <t>jeminise.com+custom-football-player-running-with-ball-comforter-9fe5294804-9fe5294804</t>
        </is>
      </c>
      <c r="B21" s="3" t="inlineStr">
        <is>
          <t>D2</t>
        </is>
      </c>
      <c r="C21" s="3" t="n">
        <v>10</v>
      </c>
      <c r="D21" s="3" t="inlineStr">
        <is>
          <t>PARTIAL</t>
        </is>
      </c>
      <c r="E21" s="7">
        <f>IF(B21="I1",AVERAGEIF('QA_Images'!$A$2:$A$70,A21,'QA_Images'!$T$2:$T$70)/100,IF(D21="FULL",1,IF(D21="PARTIAL",0.5,IF(D21="FAIL",0,""))))</f>
        <v/>
      </c>
      <c r="F21" s="7">
        <f>IF(E21="",0,C21*E21)</f>
        <v/>
      </c>
      <c r="G21" s="7">
        <f>IF(B21="I1",20*AVERAGEIF('QA_Images'!$A$2:$A$70,A21,'QA_Images'!$U$2:$U$70)/100,IF(D21="NOT_CHECKED",0,C21))</f>
        <v/>
      </c>
      <c r="H21" s="3" t="inlineStr">
        <is>
          <t>Facts chính khớp nguồn, nhưng copy chưa publish-ready và chưa nói rõ ràng quy trình Customize.</t>
        </is>
      </c>
      <c r="I21" s="3" t="inlineStr">
        <is>
          <t>["evidence_batch_008_072", "https://jeminise.com/products/custom-football-player-running-with-ball-comforter-9fe5294804-9fe5294804", "serp_qa_072", "customizer_audit.json"]</t>
        </is>
      </c>
      <c r="J21" s="3" t="inlineStr">
        <is>
          <t>["ISS-072-IMG-04", "ISS-072-DESC", "ISS-072-CANN", "ISS-072-META"]</t>
        </is>
      </c>
    </row>
    <row r="22" ht="42" customHeight="1">
      <c r="A22" s="2" t="inlineStr">
        <is>
          <t>jeminise.com+custom-football-player-running-with-ball-comforter-9fe5294804-9fe5294804</t>
        </is>
      </c>
      <c r="B22" s="2" t="inlineStr">
        <is>
          <t>I1</t>
        </is>
      </c>
      <c r="C22" s="2" t="n">
        <v>20</v>
      </c>
      <c r="D22" s="2" t="inlineStr">
        <is>
          <t>DERIVED</t>
        </is>
      </c>
      <c r="E22" s="5">
        <f>IF(B22="I1",AVERAGEIF('QA_Images'!$A$2:$A$70,A22,'QA_Images'!$T$2:$T$70)/100,IF(D22="FULL",1,IF(D22="PARTIAL",0.5,IF(D22="FAIL",0,""))))</f>
        <v/>
      </c>
      <c r="F22" s="5">
        <f>IF(E22="",0,C22*E22)</f>
        <v/>
      </c>
      <c r="G22" s="5">
        <f>IF(B22="I1",20*AVERAGEIF('QA_Images'!$A$2:$A$70,A22,'QA_Images'!$U$2:$U$70)/100,IF(D22="NOT_CHECKED",0,C22))</f>
        <v/>
      </c>
      <c r="H22" s="2" t="inlineStr">
        <is>
          <t>Tính từ trung bình 6 ảnh: 98.3333/100.</t>
        </is>
      </c>
      <c r="I22" s="2" t="inlineStr">
        <is>
          <t>["evidence_batch_008_072", "https://jeminise.com/products/custom-football-player-running-with-ball-comforter-9fe5294804-9fe5294804", "serp_qa_072", "customizer_audit.json"]</t>
        </is>
      </c>
      <c r="J22" s="2" t="inlineStr">
        <is>
          <t>["ISS-072-IMG-04", "ISS-072-DESC", "ISS-072-CANN", "ISS-072-META"]</t>
        </is>
      </c>
    </row>
    <row r="23" ht="42" customHeight="1">
      <c r="A23" s="3" t="inlineStr">
        <is>
          <t>jeminise.com+custom-football-player-running-with-ball-comforter-9fe5294804-9fe5294804</t>
        </is>
      </c>
      <c r="B23" s="3" t="inlineStr">
        <is>
          <t>E1</t>
        </is>
      </c>
      <c r="C23" s="3" t="n">
        <v>5</v>
      </c>
      <c r="D23" s="3" t="inlineStr">
        <is>
          <t>PARTIAL</t>
        </is>
      </c>
      <c r="E23" s="7">
        <f>IF(B23="I1",AVERAGEIF('QA_Images'!$A$2:$A$70,A23,'QA_Images'!$T$2:$T$70)/100,IF(D23="FULL",1,IF(D23="PARTIAL",0.5,IF(D23="FAIL",0,""))))</f>
        <v/>
      </c>
      <c r="F23" s="7">
        <f>IF(E23="",0,C23*E23)</f>
        <v/>
      </c>
      <c r="G23" s="7">
        <f>IF(B23="I1",20*AVERAGEIF('QA_Images'!$A$2:$A$70,A23,'QA_Images'!$U$2:$U$70)/100,IF(D23="NOT_CHECKED",0,C23))</f>
        <v/>
      </c>
      <c r="H23" s="3" t="inlineStr">
        <is>
          <t>Chuỗi evidence được kiểm tra; thiếu admin export và chưa chạy cart persistence.</t>
        </is>
      </c>
      <c r="I23" s="3" t="inlineStr">
        <is>
          <t>["evidence_batch_008_072", "https://jeminise.com/products/custom-football-player-running-with-ball-comforter-9fe5294804-9fe5294804", "serp_qa_072", "customizer_audit.json"]</t>
        </is>
      </c>
      <c r="J23" s="3" t="inlineStr">
        <is>
          <t>["ISS-072-IMG-04", "ISS-072-DESC", "ISS-072-CANN", "ISS-072-META"]</t>
        </is>
      </c>
    </row>
    <row r="24" ht="42" customHeight="1">
      <c r="A24" s="2" t="inlineStr">
        <is>
          <t>jeminise.com+custom-football-player-with-american-flag-background-comforter-44d8108598-44d8108598</t>
        </is>
      </c>
      <c r="B24" s="2" t="inlineStr">
        <is>
          <t>P1</t>
        </is>
      </c>
      <c r="C24" s="2" t="n">
        <v>15</v>
      </c>
      <c r="D24" s="2" t="inlineStr">
        <is>
          <t>FULL</t>
        </is>
      </c>
      <c r="E24" s="5">
        <f>IF(B24="I1",AVERAGEIF('QA_Images'!$A$2:$A$70,A24,'QA_Images'!$T$2:$T$70)/100,IF(D24="FULL",1,IF(D24="PARTIAL",0.5,IF(D24="FAIL",0,""))))</f>
        <v/>
      </c>
      <c r="F24" s="5">
        <f>IF(E24="",0,C24*E24)</f>
        <v/>
      </c>
      <c r="G24" s="5">
        <f>IF(B24="I1",20*AVERAGEIF('QA_Images'!$A$2:$A$70,A24,'QA_Images'!$U$2:$U$70)/100,IF(D24="NOT_CHECKED",0,C24))</f>
        <v/>
      </c>
      <c r="H24" s="2" t="inlineStr">
        <is>
          <t>Đối chiếu loại sản phẩm, thiết kế và màu với product JSON, H1 live và toàn bộ gallery.</t>
        </is>
      </c>
      <c r="I24" s="2" t="inlineStr">
        <is>
          <t>["evidence_batch_008_073", "https://jeminise.com/products/custom-football-player-with-american-flag-background-comforter-44d8108598-44d8108598", "serp_qa_073", "customizer_audit.json"]</t>
        </is>
      </c>
      <c r="J24" s="2" t="inlineStr">
        <is>
          <t>["ISS-073-IMG-04", "ISS-073-DESC", "ISS-073-CANN", "ISS-073-META"]</t>
        </is>
      </c>
    </row>
    <row r="25" ht="42" customHeight="1">
      <c r="A25" s="3" t="inlineStr">
        <is>
          <t>jeminise.com+custom-football-player-with-american-flag-background-comforter-44d8108598-44d8108598</t>
        </is>
      </c>
      <c r="B25" s="3" t="inlineStr">
        <is>
          <t>P2</t>
        </is>
      </c>
      <c r="C25" s="3" t="n">
        <v>10</v>
      </c>
      <c r="D25" s="3" t="inlineStr">
        <is>
          <t>FULL</t>
        </is>
      </c>
      <c r="E25" s="7">
        <f>IF(B25="I1",AVERAGEIF('QA_Images'!$A$2:$A$70,A25,'QA_Images'!$T$2:$T$70)/100,IF(D25="FULL",1,IF(D25="PARTIAL",0.5,IF(D25="FAIL",0,""))))</f>
        <v/>
      </c>
      <c r="F25" s="7">
        <f>IF(E25="",0,C25*E25)</f>
        <v/>
      </c>
      <c r="G25" s="7">
        <f>IF(B25="I1",20*AVERAGEIF('QA_Images'!$A$2:$A$70,A25,'QA_Images'!$U$2:$U$70)/100,IF(D25="NOT_CHECKED",0,C25))</f>
        <v/>
      </c>
      <c r="H25" s="3" t="inlineStr">
        <is>
          <t>Đã đối chiếu options, variants, description và cấu hình Amazon Customizer live có Name/Number.</t>
        </is>
      </c>
      <c r="I25" s="3" t="inlineStr">
        <is>
          <t>["evidence_batch_008_073", "https://jeminise.com/products/custom-football-player-with-american-flag-background-comforter-44d8108598-44d8108598", "serp_qa_073", "customizer_audit.json"]</t>
        </is>
      </c>
      <c r="J25" s="3" t="inlineStr">
        <is>
          <t>["ISS-073-IMG-04", "ISS-073-DESC", "ISS-073-CANN", "ISS-073-META"]</t>
        </is>
      </c>
    </row>
    <row r="26" ht="42" customHeight="1">
      <c r="A26" s="2" t="inlineStr">
        <is>
          <t>jeminise.com+custom-football-player-with-american-flag-background-comforter-44d8108598-44d8108598</t>
        </is>
      </c>
      <c r="B26" s="2" t="inlineStr">
        <is>
          <t>K1</t>
        </is>
      </c>
      <c r="C26" s="2" t="n">
        <v>10</v>
      </c>
      <c r="D26" s="2" t="inlineStr">
        <is>
          <t>FULL</t>
        </is>
      </c>
      <c r="E26" s="5">
        <f>IF(B26="I1",AVERAGEIF('QA_Images'!$A$2:$A$70,A26,'QA_Images'!$T$2:$T$70)/100,IF(D26="FULL",1,IF(D26="PARTIAL",0.5,IF(D26="FAIL",0,""))))</f>
        <v/>
      </c>
      <c r="F26" s="5">
        <f>IF(E26="",0,C26*E26)</f>
        <v/>
      </c>
      <c r="G26" s="5">
        <f>IF(B26="I1",20*AVERAGEIF('QA_Images'!$A$2:$A$70,A26,'QA_Images'!$U$2:$U$70)/100,IF(D26="NOT_CHECKED",0,C26))</f>
        <v/>
      </c>
      <c r="H26" s="2" t="inlineStr">
        <is>
          <t>Đối chiếu long-tail với thiết kế riêng và nguy cơ trùng intent trong cụm sản phẩm.</t>
        </is>
      </c>
      <c r="I26" s="2" t="inlineStr">
        <is>
          <t>["evidence_batch_008_073", "https://jeminise.com/products/custom-football-player-with-american-flag-background-comforter-44d8108598-44d8108598", "serp_qa_073", "customizer_audit.json"]</t>
        </is>
      </c>
      <c r="J26" s="2" t="inlineStr">
        <is>
          <t>["ISS-073-IMG-04", "ISS-073-DESC", "ISS-073-CANN", "ISS-073-META"]</t>
        </is>
      </c>
    </row>
    <row r="27" ht="42" customHeight="1">
      <c r="A27" s="3" t="inlineStr">
        <is>
          <t>jeminise.com+custom-football-player-with-american-flag-background-comforter-44d8108598-44d8108598</t>
        </is>
      </c>
      <c r="B27" s="3" t="inlineStr">
        <is>
          <t>K2</t>
        </is>
      </c>
      <c r="C27" s="3" t="n">
        <v>5</v>
      </c>
      <c r="D27" s="3" t="inlineStr">
        <is>
          <t>PARTIAL</t>
        </is>
      </c>
      <c r="E27" s="7">
        <f>IF(B27="I1",AVERAGEIF('QA_Images'!$A$2:$A$70,A27,'QA_Images'!$T$2:$T$70)/100,IF(D27="FULL",1,IF(D27="PARTIAL",0.5,IF(D27="FAIL",0,""))))</f>
        <v/>
      </c>
      <c r="F27" s="7">
        <f>IF(E27="",0,C27*E27)</f>
        <v/>
      </c>
      <c r="G27" s="7">
        <f>IF(B27="I1",20*AVERAGEIF('QA_Images'!$A$2:$A$70,A27,'QA_Images'!$U$2:$U$70)/100,IF(D27="NOT_CHECKED",0,C27))</f>
        <v/>
      </c>
      <c r="H27" s="3" t="inlineStr">
        <is>
          <t>Đã đọc primary và comparator SERP theo US commercial intent; nhiều kết quả là blanket/duvet nên chỉ PARTIAL.</t>
        </is>
      </c>
      <c r="I27" s="3" t="inlineStr">
        <is>
          <t>["evidence_batch_008_073", "https://jeminise.com/products/custom-football-player-with-american-flag-background-comforter-44d8108598-44d8108598", "serp_qa_073", "customizer_audit.json"]</t>
        </is>
      </c>
      <c r="J27" s="3" t="inlineStr">
        <is>
          <t>["ISS-073-IMG-04", "ISS-073-DESC", "ISS-073-CANN", "ISS-073-META"]</t>
        </is>
      </c>
    </row>
    <row r="28" ht="42" customHeight="1">
      <c r="A28" s="2" t="inlineStr">
        <is>
          <t>jeminise.com+custom-football-player-with-american-flag-background-comforter-44d8108598-44d8108598</t>
        </is>
      </c>
      <c r="B28" s="2" t="inlineStr">
        <is>
          <t>K3</t>
        </is>
      </c>
      <c r="C28" s="2" t="n">
        <v>5</v>
      </c>
      <c r="D28" s="2" t="inlineStr">
        <is>
          <t>PARTIAL</t>
        </is>
      </c>
      <c r="E28" s="5">
        <f>IF(B28="I1",AVERAGEIF('QA_Images'!$A$2:$A$70,A28,'QA_Images'!$T$2:$T$70)/100,IF(D28="FULL",1,IF(D28="PARTIAL",0.5,IF(D28="FAIL",0,""))))</f>
        <v/>
      </c>
      <c r="F28" s="5">
        <f>IF(E28="",0,C28*E28)</f>
        <v/>
      </c>
      <c r="G28" s="5">
        <f>IF(B28="I1",20*AVERAGEIF('QA_Images'!$A$2:$A$70,A28,'QA_Images'!$U$2:$U$70)/100,IF(D28="NOT_CHECKED",0,C28))</f>
        <v/>
      </c>
      <c r="H28" s="2" t="inlineStr">
        <is>
          <t>Modifier theo artwork có dùng nhưng mười trang cùng cluster còn nguy cơ cannibalization.</t>
        </is>
      </c>
      <c r="I28" s="2" t="inlineStr">
        <is>
          <t>["evidence_batch_008_073", "https://jeminise.com/products/custom-football-player-with-american-flag-background-comforter-44d8108598-44d8108598", "serp_qa_073", "customizer_audit.json"]</t>
        </is>
      </c>
      <c r="J28" s="2" t="inlineStr">
        <is>
          <t>["ISS-073-IMG-04", "ISS-073-DESC", "ISS-073-CANN", "ISS-073-META"]</t>
        </is>
      </c>
    </row>
    <row r="29" ht="42" customHeight="1">
      <c r="A29" s="3" t="inlineStr">
        <is>
          <t>jeminise.com+custom-football-player-with-american-flag-background-comforter-44d8108598-44d8108598</t>
        </is>
      </c>
      <c r="B29" s="3" t="inlineStr">
        <is>
          <t>T1</t>
        </is>
      </c>
      <c r="C29" s="3" t="n">
        <v>10</v>
      </c>
      <c r="D29" s="3" t="inlineStr">
        <is>
          <t>FULL</t>
        </is>
      </c>
      <c r="E29" s="7">
        <f>IF(B29="I1",AVERAGEIF('QA_Images'!$A$2:$A$70,A29,'QA_Images'!$T$2:$T$70)/100,IF(D29="FULL",1,IF(D29="PARTIAL",0.5,IF(D29="FAIL",0,""))))</f>
        <v/>
      </c>
      <c r="F29" s="7">
        <f>IF(E29="",0,C29*E29)</f>
        <v/>
      </c>
      <c r="G29" s="7">
        <f>IF(B29="I1",20*AVERAGEIF('QA_Images'!$A$2:$A$70,A29,'QA_Images'!$U$2:$U$70)/100,IF(D29="NOT_CHECKED",0,C29))</f>
        <v/>
      </c>
      <c r="H29" s="3" t="inlineStr">
        <is>
          <t>Đánh giá SEO title English về độ đúng, tự nhiên, keyword và điểm phân biệt.</t>
        </is>
      </c>
      <c r="I29" s="3" t="inlineStr">
        <is>
          <t>["evidence_batch_008_073", "https://jeminise.com/products/custom-football-player-with-american-flag-background-comforter-44d8108598-44d8108598", "serp_qa_073", "customizer_audit.json"]</t>
        </is>
      </c>
      <c r="J29" s="3" t="inlineStr">
        <is>
          <t>["ISS-073-IMG-04", "ISS-073-DESC", "ISS-073-CANN", "ISS-073-META"]</t>
        </is>
      </c>
    </row>
    <row r="30" ht="42" customHeight="1">
      <c r="A30" s="2" t="inlineStr">
        <is>
          <t>jeminise.com+custom-football-player-with-american-flag-background-comforter-44d8108598-44d8108598</t>
        </is>
      </c>
      <c r="B30" s="2" t="inlineStr">
        <is>
          <t>T2</t>
        </is>
      </c>
      <c r="C30" s="2" t="n">
        <v>5</v>
      </c>
      <c r="D30" s="2" t="inlineStr">
        <is>
          <t>PARTIAL</t>
        </is>
      </c>
      <c r="E30" s="5">
        <f>IF(B30="I1",AVERAGEIF('QA_Images'!$A$2:$A$70,A30,'QA_Images'!$T$2:$T$70)/100,IF(D30="FULL",1,IF(D30="PARTIAL",0.5,IF(D30="FAIL",0,""))))</f>
        <v/>
      </c>
      <c r="F30" s="5">
        <f>IF(E30="",0,C30*E30)</f>
        <v/>
      </c>
      <c r="G30" s="5">
        <f>IF(B30="I1",20*AVERAGEIF('QA_Images'!$A$2:$A$70,A30,'QA_Images'!$U$2:$U$70)/100,IF(D30="NOT_CHECKED",0,C30))</f>
        <v/>
      </c>
      <c r="H30" s="2" t="inlineStr">
        <is>
          <t>Meta đúng motif nhưng quá dài và chưa diễn đạt cơ chế Customize gọn, rõ.</t>
        </is>
      </c>
      <c r="I30" s="2" t="inlineStr">
        <is>
          <t>["evidence_batch_008_073", "https://jeminise.com/products/custom-football-player-with-american-flag-background-comforter-44d8108598-44d8108598", "serp_qa_073", "customizer_audit.json"]</t>
        </is>
      </c>
      <c r="J30" s="2" t="inlineStr">
        <is>
          <t>["ISS-073-IMG-04", "ISS-073-DESC", "ISS-073-CANN", "ISS-073-META"]</t>
        </is>
      </c>
    </row>
    <row r="31" ht="42" customHeight="1">
      <c r="A31" s="3" t="inlineStr">
        <is>
          <t>jeminise.com+custom-football-player-with-american-flag-background-comforter-44d8108598-44d8108598</t>
        </is>
      </c>
      <c r="B31" s="3" t="inlineStr">
        <is>
          <t>D1</t>
        </is>
      </c>
      <c r="C31" s="3" t="n">
        <v>5</v>
      </c>
      <c r="D31" s="3" t="inlineStr">
        <is>
          <t>FAIL</t>
        </is>
      </c>
      <c r="E31" s="7">
        <f>IF(B31="I1",AVERAGEIF('QA_Images'!$A$2:$A$70,A31,'QA_Images'!$T$2:$T$70)/100,IF(D31="FULL",1,IF(D31="PARTIAL",0.5,IF(D31="FAIL",0,""))))</f>
        <v/>
      </c>
      <c r="F31" s="7">
        <f>IF(E31="",0,C31*E31)</f>
        <v/>
      </c>
      <c r="G31" s="7">
        <f>IF(B31="I1",20*AVERAGEIF('QA_Images'!$A$2:$A$70,A31,'QA_Images'!$U$2:$U$70)/100,IF(D31="NOT_CHECKED",0,C31))</f>
        <v/>
      </c>
      <c r="H31" s="3" t="inlineStr">
        <is>
          <t>Description chứa nguyên khối SEO Use/QA/import nội bộ.</t>
        </is>
      </c>
      <c r="I31" s="3" t="inlineStr">
        <is>
          <t>["evidence_batch_008_073", "https://jeminise.com/products/custom-football-player-with-american-flag-background-comforter-44d8108598-44d8108598", "serp_qa_073", "customizer_audit.json"]</t>
        </is>
      </c>
      <c r="J31" s="3" t="inlineStr">
        <is>
          <t>["ISS-073-IMG-04", "ISS-073-DESC", "ISS-073-CANN", "ISS-073-META"]</t>
        </is>
      </c>
    </row>
    <row r="32" ht="42" customHeight="1">
      <c r="A32" s="2" t="inlineStr">
        <is>
          <t>jeminise.com+custom-football-player-with-american-flag-background-comforter-44d8108598-44d8108598</t>
        </is>
      </c>
      <c r="B32" s="2" t="inlineStr">
        <is>
          <t>D2</t>
        </is>
      </c>
      <c r="C32" s="2" t="n">
        <v>10</v>
      </c>
      <c r="D32" s="2" t="inlineStr">
        <is>
          <t>PARTIAL</t>
        </is>
      </c>
      <c r="E32" s="5">
        <f>IF(B32="I1",AVERAGEIF('QA_Images'!$A$2:$A$70,A32,'QA_Images'!$T$2:$T$70)/100,IF(D32="FULL",1,IF(D32="PARTIAL",0.5,IF(D32="FAIL",0,""))))</f>
        <v/>
      </c>
      <c r="F32" s="5">
        <f>IF(E32="",0,C32*E32)</f>
        <v/>
      </c>
      <c r="G32" s="5">
        <f>IF(B32="I1",20*AVERAGEIF('QA_Images'!$A$2:$A$70,A32,'QA_Images'!$U$2:$U$70)/100,IF(D32="NOT_CHECKED",0,C32))</f>
        <v/>
      </c>
      <c r="H32" s="2" t="inlineStr">
        <is>
          <t>Facts chính khớp nguồn, nhưng copy chưa publish-ready và chưa nói rõ ràng quy trình Customize.</t>
        </is>
      </c>
      <c r="I32" s="2" t="inlineStr">
        <is>
          <t>["evidence_batch_008_073", "https://jeminise.com/products/custom-football-player-with-american-flag-background-comforter-44d8108598-44d8108598", "serp_qa_073", "customizer_audit.json"]</t>
        </is>
      </c>
      <c r="J32" s="2" t="inlineStr">
        <is>
          <t>["ISS-073-IMG-04", "ISS-073-DESC", "ISS-073-CANN", "ISS-073-META"]</t>
        </is>
      </c>
    </row>
    <row r="33" ht="42" customHeight="1">
      <c r="A33" s="3" t="inlineStr">
        <is>
          <t>jeminise.com+custom-football-player-with-american-flag-background-comforter-44d8108598-44d8108598</t>
        </is>
      </c>
      <c r="B33" s="3" t="inlineStr">
        <is>
          <t>I1</t>
        </is>
      </c>
      <c r="C33" s="3" t="n">
        <v>20</v>
      </c>
      <c r="D33" s="3" t="inlineStr">
        <is>
          <t>DERIVED</t>
        </is>
      </c>
      <c r="E33" s="7">
        <f>IF(B33="I1",AVERAGEIF('QA_Images'!$A$2:$A$70,A33,'QA_Images'!$T$2:$T$70)/100,IF(D33="FULL",1,IF(D33="PARTIAL",0.5,IF(D33="FAIL",0,""))))</f>
        <v/>
      </c>
      <c r="F33" s="7">
        <f>IF(E33="",0,C33*E33)</f>
        <v/>
      </c>
      <c r="G33" s="7">
        <f>IF(B33="I1",20*AVERAGEIF('QA_Images'!$A$2:$A$70,A33,'QA_Images'!$U$2:$U$70)/100,IF(D33="NOT_CHECKED",0,C33))</f>
        <v/>
      </c>
      <c r="H33" s="3" t="inlineStr">
        <is>
          <t>Tính từ trung bình 6 ảnh: 98.3333/100.</t>
        </is>
      </c>
      <c r="I33" s="3" t="inlineStr">
        <is>
          <t>["evidence_batch_008_073", "https://jeminise.com/products/custom-football-player-with-american-flag-background-comforter-44d8108598-44d8108598", "serp_qa_073", "customizer_audit.json"]</t>
        </is>
      </c>
      <c r="J33" s="3" t="inlineStr">
        <is>
          <t>["ISS-073-IMG-04", "ISS-073-DESC", "ISS-073-CANN", "ISS-073-META"]</t>
        </is>
      </c>
    </row>
    <row r="34" ht="42" customHeight="1">
      <c r="A34" s="2" t="inlineStr">
        <is>
          <t>jeminise.com+custom-football-player-with-american-flag-background-comforter-44d8108598-44d8108598</t>
        </is>
      </c>
      <c r="B34" s="2" t="inlineStr">
        <is>
          <t>E1</t>
        </is>
      </c>
      <c r="C34" s="2" t="n">
        <v>5</v>
      </c>
      <c r="D34" s="2" t="inlineStr">
        <is>
          <t>PARTIAL</t>
        </is>
      </c>
      <c r="E34" s="5">
        <f>IF(B34="I1",AVERAGEIF('QA_Images'!$A$2:$A$70,A34,'QA_Images'!$T$2:$T$70)/100,IF(D34="FULL",1,IF(D34="PARTIAL",0.5,IF(D34="FAIL",0,""))))</f>
        <v/>
      </c>
      <c r="F34" s="5">
        <f>IF(E34="",0,C34*E34)</f>
        <v/>
      </c>
      <c r="G34" s="5">
        <f>IF(B34="I1",20*AVERAGEIF('QA_Images'!$A$2:$A$70,A34,'QA_Images'!$U$2:$U$70)/100,IF(D34="NOT_CHECKED",0,C34))</f>
        <v/>
      </c>
      <c r="H34" s="2" t="inlineStr">
        <is>
          <t>Chuỗi evidence được kiểm tra; thiếu admin export và chưa chạy cart persistence.</t>
        </is>
      </c>
      <c r="I34" s="2" t="inlineStr">
        <is>
          <t>["evidence_batch_008_073", "https://jeminise.com/products/custom-football-player-with-american-flag-background-comforter-44d8108598-44d8108598", "serp_qa_073", "customizer_audit.json"]</t>
        </is>
      </c>
      <c r="J34" s="2" t="inlineStr">
        <is>
          <t>["ISS-073-IMG-04", "ISS-073-DESC", "ISS-073-CANN", "ISS-073-META"]</t>
        </is>
      </c>
    </row>
    <row r="35" ht="42" customHeight="1">
      <c r="A35" s="3" t="inlineStr">
        <is>
          <t>jeminise.com+custom-football-player-with-burning-ball-comforter-and-american-football-708344de4c-708344de4c</t>
        </is>
      </c>
      <c r="B35" s="3" t="inlineStr">
        <is>
          <t>P1</t>
        </is>
      </c>
      <c r="C35" s="3" t="n">
        <v>15</v>
      </c>
      <c r="D35" s="3" t="inlineStr">
        <is>
          <t>FULL</t>
        </is>
      </c>
      <c r="E35" s="7">
        <f>IF(B35="I1",AVERAGEIF('QA_Images'!$A$2:$A$70,A35,'QA_Images'!$T$2:$T$70)/100,IF(D35="FULL",1,IF(D35="PARTIAL",0.5,IF(D35="FAIL",0,""))))</f>
        <v/>
      </c>
      <c r="F35" s="7">
        <f>IF(E35="",0,C35*E35)</f>
        <v/>
      </c>
      <c r="G35" s="7">
        <f>IF(B35="I1",20*AVERAGEIF('QA_Images'!$A$2:$A$70,A35,'QA_Images'!$U$2:$U$70)/100,IF(D35="NOT_CHECKED",0,C35))</f>
        <v/>
      </c>
      <c r="H35" s="3" t="inlineStr">
        <is>
          <t>Đối chiếu loại sản phẩm, thiết kế và màu với product JSON, H1 live và toàn bộ gallery.</t>
        </is>
      </c>
      <c r="I35" s="3" t="inlineStr">
        <is>
          <t>["evidence_batch_008_074", "https://jeminise.com/products/custom-football-player-with-burning-ball-comforter-and-american-football-708344de4c-708344de4c", "serp_qa_074", "customizer_audit.json"]</t>
        </is>
      </c>
      <c r="J35" s="3" t="inlineStr">
        <is>
          <t>["ISS-074-IMG-04", "ISS-074-DESC", "ISS-074-CANN", "ISS-074-META"]</t>
        </is>
      </c>
    </row>
    <row r="36" ht="42" customHeight="1">
      <c r="A36" s="2" t="inlineStr">
        <is>
          <t>jeminise.com+custom-football-player-with-burning-ball-comforter-and-american-football-708344de4c-708344de4c</t>
        </is>
      </c>
      <c r="B36" s="2" t="inlineStr">
        <is>
          <t>P2</t>
        </is>
      </c>
      <c r="C36" s="2" t="n">
        <v>10</v>
      </c>
      <c r="D36" s="2" t="inlineStr">
        <is>
          <t>FULL</t>
        </is>
      </c>
      <c r="E36" s="5">
        <f>IF(B36="I1",AVERAGEIF('QA_Images'!$A$2:$A$70,A36,'QA_Images'!$T$2:$T$70)/100,IF(D36="FULL",1,IF(D36="PARTIAL",0.5,IF(D36="FAIL",0,""))))</f>
        <v/>
      </c>
      <c r="F36" s="5">
        <f>IF(E36="",0,C36*E36)</f>
        <v/>
      </c>
      <c r="G36" s="5">
        <f>IF(B36="I1",20*AVERAGEIF('QA_Images'!$A$2:$A$70,A36,'QA_Images'!$U$2:$U$70)/100,IF(D36="NOT_CHECKED",0,C36))</f>
        <v/>
      </c>
      <c r="H36" s="2" t="inlineStr">
        <is>
          <t>Đã đối chiếu options, variants, description và cấu hình Amazon Customizer live có Name/Number.</t>
        </is>
      </c>
      <c r="I36" s="2" t="inlineStr">
        <is>
          <t>["evidence_batch_008_074", "https://jeminise.com/products/custom-football-player-with-burning-ball-comforter-and-american-football-708344de4c-708344de4c", "serp_qa_074", "customizer_audit.json"]</t>
        </is>
      </c>
      <c r="J36" s="2" t="inlineStr">
        <is>
          <t>["ISS-074-IMG-04", "ISS-074-DESC", "ISS-074-CANN", "ISS-074-META"]</t>
        </is>
      </c>
    </row>
    <row r="37" ht="42" customHeight="1">
      <c r="A37" s="3" t="inlineStr">
        <is>
          <t>jeminise.com+custom-football-player-with-burning-ball-comforter-and-american-football-708344de4c-708344de4c</t>
        </is>
      </c>
      <c r="B37" s="3" t="inlineStr">
        <is>
          <t>K1</t>
        </is>
      </c>
      <c r="C37" s="3" t="n">
        <v>10</v>
      </c>
      <c r="D37" s="3" t="inlineStr">
        <is>
          <t>FULL</t>
        </is>
      </c>
      <c r="E37" s="7">
        <f>IF(B37="I1",AVERAGEIF('QA_Images'!$A$2:$A$70,A37,'QA_Images'!$T$2:$T$70)/100,IF(D37="FULL",1,IF(D37="PARTIAL",0.5,IF(D37="FAIL",0,""))))</f>
        <v/>
      </c>
      <c r="F37" s="7">
        <f>IF(E37="",0,C37*E37)</f>
        <v/>
      </c>
      <c r="G37" s="7">
        <f>IF(B37="I1",20*AVERAGEIF('QA_Images'!$A$2:$A$70,A37,'QA_Images'!$U$2:$U$70)/100,IF(D37="NOT_CHECKED",0,C37))</f>
        <v/>
      </c>
      <c r="H37" s="3" t="inlineStr">
        <is>
          <t>Đối chiếu long-tail với thiết kế riêng và nguy cơ trùng intent trong cụm sản phẩm.</t>
        </is>
      </c>
      <c r="I37" s="3" t="inlineStr">
        <is>
          <t>["evidence_batch_008_074", "https://jeminise.com/products/custom-football-player-with-burning-ball-comforter-and-american-football-708344de4c-708344de4c", "serp_qa_074", "customizer_audit.json"]</t>
        </is>
      </c>
      <c r="J37" s="3" t="inlineStr">
        <is>
          <t>["ISS-074-IMG-04", "ISS-074-DESC", "ISS-074-CANN", "ISS-074-META"]</t>
        </is>
      </c>
    </row>
    <row r="38" ht="42" customHeight="1">
      <c r="A38" s="2" t="inlineStr">
        <is>
          <t>jeminise.com+custom-football-player-with-burning-ball-comforter-and-american-football-708344de4c-708344de4c</t>
        </is>
      </c>
      <c r="B38" s="2" t="inlineStr">
        <is>
          <t>K2</t>
        </is>
      </c>
      <c r="C38" s="2" t="n">
        <v>5</v>
      </c>
      <c r="D38" s="2" t="inlineStr">
        <is>
          <t>PARTIAL</t>
        </is>
      </c>
      <c r="E38" s="5">
        <f>IF(B38="I1",AVERAGEIF('QA_Images'!$A$2:$A$70,A38,'QA_Images'!$T$2:$T$70)/100,IF(D38="FULL",1,IF(D38="PARTIAL",0.5,IF(D38="FAIL",0,""))))</f>
        <v/>
      </c>
      <c r="F38" s="5">
        <f>IF(E38="",0,C38*E38)</f>
        <v/>
      </c>
      <c r="G38" s="5">
        <f>IF(B38="I1",20*AVERAGEIF('QA_Images'!$A$2:$A$70,A38,'QA_Images'!$U$2:$U$70)/100,IF(D38="NOT_CHECKED",0,C38))</f>
        <v/>
      </c>
      <c r="H38" s="2" t="inlineStr">
        <is>
          <t>Đã đọc primary và comparator SERP theo US commercial intent; nhiều kết quả là blanket/duvet nên chỉ PARTIAL.</t>
        </is>
      </c>
      <c r="I38" s="2" t="inlineStr">
        <is>
          <t>["evidence_batch_008_074", "https://jeminise.com/products/custom-football-player-with-burning-ball-comforter-and-american-football-708344de4c-708344de4c", "serp_qa_074", "customizer_audit.json"]</t>
        </is>
      </c>
      <c r="J38" s="2" t="inlineStr">
        <is>
          <t>["ISS-074-IMG-04", "ISS-074-DESC", "ISS-074-CANN", "ISS-074-META"]</t>
        </is>
      </c>
    </row>
    <row r="39" ht="42" customHeight="1">
      <c r="A39" s="3" t="inlineStr">
        <is>
          <t>jeminise.com+custom-football-player-with-burning-ball-comforter-and-american-football-708344de4c-708344de4c</t>
        </is>
      </c>
      <c r="B39" s="3" t="inlineStr">
        <is>
          <t>K3</t>
        </is>
      </c>
      <c r="C39" s="3" t="n">
        <v>5</v>
      </c>
      <c r="D39" s="3" t="inlineStr">
        <is>
          <t>PARTIAL</t>
        </is>
      </c>
      <c r="E39" s="7">
        <f>IF(B39="I1",AVERAGEIF('QA_Images'!$A$2:$A$70,A39,'QA_Images'!$T$2:$T$70)/100,IF(D39="FULL",1,IF(D39="PARTIAL",0.5,IF(D39="FAIL",0,""))))</f>
        <v/>
      </c>
      <c r="F39" s="7">
        <f>IF(E39="",0,C39*E39)</f>
        <v/>
      </c>
      <c r="G39" s="7">
        <f>IF(B39="I1",20*AVERAGEIF('QA_Images'!$A$2:$A$70,A39,'QA_Images'!$U$2:$U$70)/100,IF(D39="NOT_CHECKED",0,C39))</f>
        <v/>
      </c>
      <c r="H39" s="3" t="inlineStr">
        <is>
          <t>Modifier theo artwork có dùng nhưng mười trang cùng cluster còn nguy cơ cannibalization.</t>
        </is>
      </c>
      <c r="I39" s="3" t="inlineStr">
        <is>
          <t>["evidence_batch_008_074", "https://jeminise.com/products/custom-football-player-with-burning-ball-comforter-and-american-football-708344de4c-708344de4c", "serp_qa_074", "customizer_audit.json"]</t>
        </is>
      </c>
      <c r="J39" s="3" t="inlineStr">
        <is>
          <t>["ISS-074-IMG-04", "ISS-074-DESC", "ISS-074-CANN", "ISS-074-META"]</t>
        </is>
      </c>
    </row>
    <row r="40" ht="42" customHeight="1">
      <c r="A40" s="2" t="inlineStr">
        <is>
          <t>jeminise.com+custom-football-player-with-burning-ball-comforter-and-american-football-708344de4c-708344de4c</t>
        </is>
      </c>
      <c r="B40" s="2" t="inlineStr">
        <is>
          <t>T1</t>
        </is>
      </c>
      <c r="C40" s="2" t="n">
        <v>10</v>
      </c>
      <c r="D40" s="2" t="inlineStr">
        <is>
          <t>FULL</t>
        </is>
      </c>
      <c r="E40" s="5">
        <f>IF(B40="I1",AVERAGEIF('QA_Images'!$A$2:$A$70,A40,'QA_Images'!$T$2:$T$70)/100,IF(D40="FULL",1,IF(D40="PARTIAL",0.5,IF(D40="FAIL",0,""))))</f>
        <v/>
      </c>
      <c r="F40" s="5">
        <f>IF(E40="",0,C40*E40)</f>
        <v/>
      </c>
      <c r="G40" s="5">
        <f>IF(B40="I1",20*AVERAGEIF('QA_Images'!$A$2:$A$70,A40,'QA_Images'!$U$2:$U$70)/100,IF(D40="NOT_CHECKED",0,C40))</f>
        <v/>
      </c>
      <c r="H40" s="2" t="inlineStr">
        <is>
          <t>Đánh giá SEO title English về độ đúng, tự nhiên, keyword và điểm phân biệt.</t>
        </is>
      </c>
      <c r="I40" s="2" t="inlineStr">
        <is>
          <t>["evidence_batch_008_074", "https://jeminise.com/products/custom-football-player-with-burning-ball-comforter-and-american-football-708344de4c-708344de4c", "serp_qa_074", "customizer_audit.json"]</t>
        </is>
      </c>
      <c r="J40" s="2" t="inlineStr">
        <is>
          <t>["ISS-074-IMG-04", "ISS-074-DESC", "ISS-074-CANN", "ISS-074-META"]</t>
        </is>
      </c>
    </row>
    <row r="41" ht="42" customHeight="1">
      <c r="A41" s="3" t="inlineStr">
        <is>
          <t>jeminise.com+custom-football-player-with-burning-ball-comforter-and-american-football-708344de4c-708344de4c</t>
        </is>
      </c>
      <c r="B41" s="3" t="inlineStr">
        <is>
          <t>T2</t>
        </is>
      </c>
      <c r="C41" s="3" t="n">
        <v>5</v>
      </c>
      <c r="D41" s="3" t="inlineStr">
        <is>
          <t>PARTIAL</t>
        </is>
      </c>
      <c r="E41" s="7">
        <f>IF(B41="I1",AVERAGEIF('QA_Images'!$A$2:$A$70,A41,'QA_Images'!$T$2:$T$70)/100,IF(D41="FULL",1,IF(D41="PARTIAL",0.5,IF(D41="FAIL",0,""))))</f>
        <v/>
      </c>
      <c r="F41" s="7">
        <f>IF(E41="",0,C41*E41)</f>
        <v/>
      </c>
      <c r="G41" s="7">
        <f>IF(B41="I1",20*AVERAGEIF('QA_Images'!$A$2:$A$70,A41,'QA_Images'!$U$2:$U$70)/100,IF(D41="NOT_CHECKED",0,C41))</f>
        <v/>
      </c>
      <c r="H41" s="3" t="inlineStr">
        <is>
          <t>Meta đúng motif nhưng quá dài và chưa diễn đạt cơ chế Customize gọn, rõ.</t>
        </is>
      </c>
      <c r="I41" s="3" t="inlineStr">
        <is>
          <t>["evidence_batch_008_074", "https://jeminise.com/products/custom-football-player-with-burning-ball-comforter-and-american-football-708344de4c-708344de4c", "serp_qa_074", "customizer_audit.json"]</t>
        </is>
      </c>
      <c r="J41" s="3" t="inlineStr">
        <is>
          <t>["ISS-074-IMG-04", "ISS-074-DESC", "ISS-074-CANN", "ISS-074-META"]</t>
        </is>
      </c>
    </row>
    <row r="42" ht="42" customHeight="1">
      <c r="A42" s="2" t="inlineStr">
        <is>
          <t>jeminise.com+custom-football-player-with-burning-ball-comforter-and-american-football-708344de4c-708344de4c</t>
        </is>
      </c>
      <c r="B42" s="2" t="inlineStr">
        <is>
          <t>D1</t>
        </is>
      </c>
      <c r="C42" s="2" t="n">
        <v>5</v>
      </c>
      <c r="D42" s="2" t="inlineStr">
        <is>
          <t>FAIL</t>
        </is>
      </c>
      <c r="E42" s="5">
        <f>IF(B42="I1",AVERAGEIF('QA_Images'!$A$2:$A$70,A42,'QA_Images'!$T$2:$T$70)/100,IF(D42="FULL",1,IF(D42="PARTIAL",0.5,IF(D42="FAIL",0,""))))</f>
        <v/>
      </c>
      <c r="F42" s="5">
        <f>IF(E42="",0,C42*E42)</f>
        <v/>
      </c>
      <c r="G42" s="5">
        <f>IF(B42="I1",20*AVERAGEIF('QA_Images'!$A$2:$A$70,A42,'QA_Images'!$U$2:$U$70)/100,IF(D42="NOT_CHECKED",0,C42))</f>
        <v/>
      </c>
      <c r="H42" s="2" t="inlineStr">
        <is>
          <t>Description chứa nguyên khối SEO Use/QA/import nội bộ.</t>
        </is>
      </c>
      <c r="I42" s="2" t="inlineStr">
        <is>
          <t>["evidence_batch_008_074", "https://jeminise.com/products/custom-football-player-with-burning-ball-comforter-and-american-football-708344de4c-708344de4c", "serp_qa_074", "customizer_audit.json"]</t>
        </is>
      </c>
      <c r="J42" s="2" t="inlineStr">
        <is>
          <t>["ISS-074-IMG-04", "ISS-074-DESC", "ISS-074-CANN", "ISS-074-META"]</t>
        </is>
      </c>
    </row>
    <row r="43" ht="42" customHeight="1">
      <c r="A43" s="3" t="inlineStr">
        <is>
          <t>jeminise.com+custom-football-player-with-burning-ball-comforter-and-american-football-708344de4c-708344de4c</t>
        </is>
      </c>
      <c r="B43" s="3" t="inlineStr">
        <is>
          <t>D2</t>
        </is>
      </c>
      <c r="C43" s="3" t="n">
        <v>10</v>
      </c>
      <c r="D43" s="3" t="inlineStr">
        <is>
          <t>PARTIAL</t>
        </is>
      </c>
      <c r="E43" s="7">
        <f>IF(B43="I1",AVERAGEIF('QA_Images'!$A$2:$A$70,A43,'QA_Images'!$T$2:$T$70)/100,IF(D43="FULL",1,IF(D43="PARTIAL",0.5,IF(D43="FAIL",0,""))))</f>
        <v/>
      </c>
      <c r="F43" s="7">
        <f>IF(E43="",0,C43*E43)</f>
        <v/>
      </c>
      <c r="G43" s="7">
        <f>IF(B43="I1",20*AVERAGEIF('QA_Images'!$A$2:$A$70,A43,'QA_Images'!$U$2:$U$70)/100,IF(D43="NOT_CHECKED",0,C43))</f>
        <v/>
      </c>
      <c r="H43" s="3" t="inlineStr">
        <is>
          <t>Facts chính khớp nguồn, nhưng copy chưa publish-ready và chưa nói rõ ràng quy trình Customize.</t>
        </is>
      </c>
      <c r="I43" s="3" t="inlineStr">
        <is>
          <t>["evidence_batch_008_074", "https://jeminise.com/products/custom-football-player-with-burning-ball-comforter-and-american-football-708344de4c-708344de4c", "serp_qa_074", "customizer_audit.json"]</t>
        </is>
      </c>
      <c r="J43" s="3" t="inlineStr">
        <is>
          <t>["ISS-074-IMG-04", "ISS-074-DESC", "ISS-074-CANN", "ISS-074-META"]</t>
        </is>
      </c>
    </row>
    <row r="44" ht="42" customHeight="1">
      <c r="A44" s="2" t="inlineStr">
        <is>
          <t>jeminise.com+custom-football-player-with-burning-ball-comforter-and-american-football-708344de4c-708344de4c</t>
        </is>
      </c>
      <c r="B44" s="2" t="inlineStr">
        <is>
          <t>I1</t>
        </is>
      </c>
      <c r="C44" s="2" t="n">
        <v>20</v>
      </c>
      <c r="D44" s="2" t="inlineStr">
        <is>
          <t>DERIVED</t>
        </is>
      </c>
      <c r="E44" s="5">
        <f>IF(B44="I1",AVERAGEIF('QA_Images'!$A$2:$A$70,A44,'QA_Images'!$T$2:$T$70)/100,IF(D44="FULL",1,IF(D44="PARTIAL",0.5,IF(D44="FAIL",0,""))))</f>
        <v/>
      </c>
      <c r="F44" s="5">
        <f>IF(E44="",0,C44*E44)</f>
        <v/>
      </c>
      <c r="G44" s="5">
        <f>IF(B44="I1",20*AVERAGEIF('QA_Images'!$A$2:$A$70,A44,'QA_Images'!$U$2:$U$70)/100,IF(D44="NOT_CHECKED",0,C44))</f>
        <v/>
      </c>
      <c r="H44" s="2" t="inlineStr">
        <is>
          <t>Tính từ trung bình 6 ảnh: 98.3333/100.</t>
        </is>
      </c>
      <c r="I44" s="2" t="inlineStr">
        <is>
          <t>["evidence_batch_008_074", "https://jeminise.com/products/custom-football-player-with-burning-ball-comforter-and-american-football-708344de4c-708344de4c", "serp_qa_074", "customizer_audit.json"]</t>
        </is>
      </c>
      <c r="J44" s="2" t="inlineStr">
        <is>
          <t>["ISS-074-IMG-04", "ISS-074-DESC", "ISS-074-CANN", "ISS-074-META"]</t>
        </is>
      </c>
    </row>
    <row r="45" ht="42" customHeight="1">
      <c r="A45" s="3" t="inlineStr">
        <is>
          <t>jeminise.com+custom-football-player-with-burning-ball-comforter-and-american-football-708344de4c-708344de4c</t>
        </is>
      </c>
      <c r="B45" s="3" t="inlineStr">
        <is>
          <t>E1</t>
        </is>
      </c>
      <c r="C45" s="3" t="n">
        <v>5</v>
      </c>
      <c r="D45" s="3" t="inlineStr">
        <is>
          <t>PARTIAL</t>
        </is>
      </c>
      <c r="E45" s="7">
        <f>IF(B45="I1",AVERAGEIF('QA_Images'!$A$2:$A$70,A45,'QA_Images'!$T$2:$T$70)/100,IF(D45="FULL",1,IF(D45="PARTIAL",0.5,IF(D45="FAIL",0,""))))</f>
        <v/>
      </c>
      <c r="F45" s="7">
        <f>IF(E45="",0,C45*E45)</f>
        <v/>
      </c>
      <c r="G45" s="7">
        <f>IF(B45="I1",20*AVERAGEIF('QA_Images'!$A$2:$A$70,A45,'QA_Images'!$U$2:$U$70)/100,IF(D45="NOT_CHECKED",0,C45))</f>
        <v/>
      </c>
      <c r="H45" s="3" t="inlineStr">
        <is>
          <t>Chuỗi evidence được kiểm tra; thiếu admin export và chưa chạy cart persistence.</t>
        </is>
      </c>
      <c r="I45" s="3" t="inlineStr">
        <is>
          <t>["evidence_batch_008_074", "https://jeminise.com/products/custom-football-player-with-burning-ball-comforter-and-american-football-708344de4c-708344de4c", "serp_qa_074", "customizer_audit.json"]</t>
        </is>
      </c>
      <c r="J45" s="3" t="inlineStr">
        <is>
          <t>["ISS-074-IMG-04", "ISS-074-DESC", "ISS-074-CANN", "ISS-074-META"]</t>
        </is>
      </c>
    </row>
    <row r="46" ht="42" customHeight="1">
      <c r="A46" s="2" t="inlineStr">
        <is>
          <t>jeminise.com+custom-football-players-and-large-football-close-comforter-01d72ea6a0-01d72ea6a0</t>
        </is>
      </c>
      <c r="B46" s="2" t="inlineStr">
        <is>
          <t>P1</t>
        </is>
      </c>
      <c r="C46" s="2" t="n">
        <v>15</v>
      </c>
      <c r="D46" s="2" t="inlineStr">
        <is>
          <t>FULL</t>
        </is>
      </c>
      <c r="E46" s="5">
        <f>IF(B46="I1",AVERAGEIF('QA_Images'!$A$2:$A$70,A46,'QA_Images'!$T$2:$T$70)/100,IF(D46="FULL",1,IF(D46="PARTIAL",0.5,IF(D46="FAIL",0,""))))</f>
        <v/>
      </c>
      <c r="F46" s="5">
        <f>IF(E46="",0,C46*E46)</f>
        <v/>
      </c>
      <c r="G46" s="5">
        <f>IF(B46="I1",20*AVERAGEIF('QA_Images'!$A$2:$A$70,A46,'QA_Images'!$U$2:$U$70)/100,IF(D46="NOT_CHECKED",0,C46))</f>
        <v/>
      </c>
      <c r="H46" s="2" t="inlineStr">
        <is>
          <t>Đối chiếu loại sản phẩm, thiết kế và màu với product JSON, H1 live và toàn bộ gallery.</t>
        </is>
      </c>
      <c r="I46" s="2" t="inlineStr">
        <is>
          <t>["evidence_batch_008_075", "https://jeminise.com/products/custom-football-players-and-large-football-close-comforter-01d72ea6a0-01d72ea6a0", "serp_qa_075", "customizer_audit.json"]</t>
        </is>
      </c>
      <c r="J46" s="2" t="inlineStr">
        <is>
          <t>["ISS-075-IMG-04", "ISS-075-DESC", "ISS-075-CANN", "ISS-075-META"]</t>
        </is>
      </c>
    </row>
    <row r="47" ht="42" customHeight="1">
      <c r="A47" s="3" t="inlineStr">
        <is>
          <t>jeminise.com+custom-football-players-and-large-football-close-comforter-01d72ea6a0-01d72ea6a0</t>
        </is>
      </c>
      <c r="B47" s="3" t="inlineStr">
        <is>
          <t>P2</t>
        </is>
      </c>
      <c r="C47" s="3" t="n">
        <v>10</v>
      </c>
      <c r="D47" s="3" t="inlineStr">
        <is>
          <t>FULL</t>
        </is>
      </c>
      <c r="E47" s="7">
        <f>IF(B47="I1",AVERAGEIF('QA_Images'!$A$2:$A$70,A47,'QA_Images'!$T$2:$T$70)/100,IF(D47="FULL",1,IF(D47="PARTIAL",0.5,IF(D47="FAIL",0,""))))</f>
        <v/>
      </c>
      <c r="F47" s="7">
        <f>IF(E47="",0,C47*E47)</f>
        <v/>
      </c>
      <c r="G47" s="7">
        <f>IF(B47="I1",20*AVERAGEIF('QA_Images'!$A$2:$A$70,A47,'QA_Images'!$U$2:$U$70)/100,IF(D47="NOT_CHECKED",0,C47))</f>
        <v/>
      </c>
      <c r="H47" s="3" t="inlineStr">
        <is>
          <t>Đã đối chiếu options, variants, description và cấu hình Amazon Customizer live có Name/Number.</t>
        </is>
      </c>
      <c r="I47" s="3" t="inlineStr">
        <is>
          <t>["evidence_batch_008_075", "https://jeminise.com/products/custom-football-players-and-large-football-close-comforter-01d72ea6a0-01d72ea6a0", "serp_qa_075", "customizer_audit.json"]</t>
        </is>
      </c>
      <c r="J47" s="3" t="inlineStr">
        <is>
          <t>["ISS-075-IMG-04", "ISS-075-DESC", "ISS-075-CANN", "ISS-075-META"]</t>
        </is>
      </c>
    </row>
    <row r="48" ht="42" customHeight="1">
      <c r="A48" s="2" t="inlineStr">
        <is>
          <t>jeminise.com+custom-football-players-and-large-football-close-comforter-01d72ea6a0-01d72ea6a0</t>
        </is>
      </c>
      <c r="B48" s="2" t="inlineStr">
        <is>
          <t>K1</t>
        </is>
      </c>
      <c r="C48" s="2" t="n">
        <v>10</v>
      </c>
      <c r="D48" s="2" t="inlineStr">
        <is>
          <t>FULL</t>
        </is>
      </c>
      <c r="E48" s="5">
        <f>IF(B48="I1",AVERAGEIF('QA_Images'!$A$2:$A$70,A48,'QA_Images'!$T$2:$T$70)/100,IF(D48="FULL",1,IF(D48="PARTIAL",0.5,IF(D48="FAIL",0,""))))</f>
        <v/>
      </c>
      <c r="F48" s="5">
        <f>IF(E48="",0,C48*E48)</f>
        <v/>
      </c>
      <c r="G48" s="5">
        <f>IF(B48="I1",20*AVERAGEIF('QA_Images'!$A$2:$A$70,A48,'QA_Images'!$U$2:$U$70)/100,IF(D48="NOT_CHECKED",0,C48))</f>
        <v/>
      </c>
      <c r="H48" s="2" t="inlineStr">
        <is>
          <t>Đối chiếu long-tail với thiết kế riêng và nguy cơ trùng intent trong cụm sản phẩm.</t>
        </is>
      </c>
      <c r="I48" s="2" t="inlineStr">
        <is>
          <t>["evidence_batch_008_075", "https://jeminise.com/products/custom-football-players-and-large-football-close-comforter-01d72ea6a0-01d72ea6a0", "serp_qa_075", "customizer_audit.json"]</t>
        </is>
      </c>
      <c r="J48" s="2" t="inlineStr">
        <is>
          <t>["ISS-075-IMG-04", "ISS-075-DESC", "ISS-075-CANN", "ISS-075-META"]</t>
        </is>
      </c>
    </row>
    <row r="49" ht="42" customHeight="1">
      <c r="A49" s="3" t="inlineStr">
        <is>
          <t>jeminise.com+custom-football-players-and-large-football-close-comforter-01d72ea6a0-01d72ea6a0</t>
        </is>
      </c>
      <c r="B49" s="3" t="inlineStr">
        <is>
          <t>K2</t>
        </is>
      </c>
      <c r="C49" s="3" t="n">
        <v>5</v>
      </c>
      <c r="D49" s="3" t="inlineStr">
        <is>
          <t>PARTIAL</t>
        </is>
      </c>
      <c r="E49" s="7">
        <f>IF(B49="I1",AVERAGEIF('QA_Images'!$A$2:$A$70,A49,'QA_Images'!$T$2:$T$70)/100,IF(D49="FULL",1,IF(D49="PARTIAL",0.5,IF(D49="FAIL",0,""))))</f>
        <v/>
      </c>
      <c r="F49" s="7">
        <f>IF(E49="",0,C49*E49)</f>
        <v/>
      </c>
      <c r="G49" s="7">
        <f>IF(B49="I1",20*AVERAGEIF('QA_Images'!$A$2:$A$70,A49,'QA_Images'!$U$2:$U$70)/100,IF(D49="NOT_CHECKED",0,C49))</f>
        <v/>
      </c>
      <c r="H49" s="3" t="inlineStr">
        <is>
          <t>Đã đọc primary và comparator SERP theo US commercial intent; nhiều kết quả là blanket/duvet nên chỉ PARTIAL.</t>
        </is>
      </c>
      <c r="I49" s="3" t="inlineStr">
        <is>
          <t>["evidence_batch_008_075", "https://jeminise.com/products/custom-football-players-and-large-football-close-comforter-01d72ea6a0-01d72ea6a0", "serp_qa_075", "customizer_audit.json"]</t>
        </is>
      </c>
      <c r="J49" s="3" t="inlineStr">
        <is>
          <t>["ISS-075-IMG-04", "ISS-075-DESC", "ISS-075-CANN", "ISS-075-META"]</t>
        </is>
      </c>
    </row>
    <row r="50" ht="42" customHeight="1">
      <c r="A50" s="2" t="inlineStr">
        <is>
          <t>jeminise.com+custom-football-players-and-large-football-close-comforter-01d72ea6a0-01d72ea6a0</t>
        </is>
      </c>
      <c r="B50" s="2" t="inlineStr">
        <is>
          <t>K3</t>
        </is>
      </c>
      <c r="C50" s="2" t="n">
        <v>5</v>
      </c>
      <c r="D50" s="2" t="inlineStr">
        <is>
          <t>PARTIAL</t>
        </is>
      </c>
      <c r="E50" s="5">
        <f>IF(B50="I1",AVERAGEIF('QA_Images'!$A$2:$A$70,A50,'QA_Images'!$T$2:$T$70)/100,IF(D50="FULL",1,IF(D50="PARTIAL",0.5,IF(D50="FAIL",0,""))))</f>
        <v/>
      </c>
      <c r="F50" s="5">
        <f>IF(E50="",0,C50*E50)</f>
        <v/>
      </c>
      <c r="G50" s="5">
        <f>IF(B50="I1",20*AVERAGEIF('QA_Images'!$A$2:$A$70,A50,'QA_Images'!$U$2:$U$70)/100,IF(D50="NOT_CHECKED",0,C50))</f>
        <v/>
      </c>
      <c r="H50" s="2" t="inlineStr">
        <is>
          <t>Modifier theo artwork có dùng nhưng mười trang cùng cluster còn nguy cơ cannibalization.</t>
        </is>
      </c>
      <c r="I50" s="2" t="inlineStr">
        <is>
          <t>["evidence_batch_008_075", "https://jeminise.com/products/custom-football-players-and-large-football-close-comforter-01d72ea6a0-01d72ea6a0", "serp_qa_075", "customizer_audit.json"]</t>
        </is>
      </c>
      <c r="J50" s="2" t="inlineStr">
        <is>
          <t>["ISS-075-IMG-04", "ISS-075-DESC", "ISS-075-CANN", "ISS-075-META"]</t>
        </is>
      </c>
    </row>
    <row r="51" ht="42" customHeight="1">
      <c r="A51" s="3" t="inlineStr">
        <is>
          <t>jeminise.com+custom-football-players-and-large-football-close-comforter-01d72ea6a0-01d72ea6a0</t>
        </is>
      </c>
      <c r="B51" s="3" t="inlineStr">
        <is>
          <t>T1</t>
        </is>
      </c>
      <c r="C51" s="3" t="n">
        <v>10</v>
      </c>
      <c r="D51" s="3" t="inlineStr">
        <is>
          <t>FULL</t>
        </is>
      </c>
      <c r="E51" s="7">
        <f>IF(B51="I1",AVERAGEIF('QA_Images'!$A$2:$A$70,A51,'QA_Images'!$T$2:$T$70)/100,IF(D51="FULL",1,IF(D51="PARTIAL",0.5,IF(D51="FAIL",0,""))))</f>
        <v/>
      </c>
      <c r="F51" s="7">
        <f>IF(E51="",0,C51*E51)</f>
        <v/>
      </c>
      <c r="G51" s="7">
        <f>IF(B51="I1",20*AVERAGEIF('QA_Images'!$A$2:$A$70,A51,'QA_Images'!$U$2:$U$70)/100,IF(D51="NOT_CHECKED",0,C51))</f>
        <v/>
      </c>
      <c r="H51" s="3" t="inlineStr">
        <is>
          <t>Đánh giá SEO title English về độ đúng, tự nhiên, keyword và điểm phân biệt.</t>
        </is>
      </c>
      <c r="I51" s="3" t="inlineStr">
        <is>
          <t>["evidence_batch_008_075", "https://jeminise.com/products/custom-football-players-and-large-football-close-comforter-01d72ea6a0-01d72ea6a0", "serp_qa_075", "customizer_audit.json"]</t>
        </is>
      </c>
      <c r="J51" s="3" t="inlineStr">
        <is>
          <t>["ISS-075-IMG-04", "ISS-075-DESC", "ISS-075-CANN", "ISS-075-META"]</t>
        </is>
      </c>
    </row>
    <row r="52" ht="42" customHeight="1">
      <c r="A52" s="2" t="inlineStr">
        <is>
          <t>jeminise.com+custom-football-players-and-large-football-close-comforter-01d72ea6a0-01d72ea6a0</t>
        </is>
      </c>
      <c r="B52" s="2" t="inlineStr">
        <is>
          <t>T2</t>
        </is>
      </c>
      <c r="C52" s="2" t="n">
        <v>5</v>
      </c>
      <c r="D52" s="2" t="inlineStr">
        <is>
          <t>PARTIAL</t>
        </is>
      </c>
      <c r="E52" s="5">
        <f>IF(B52="I1",AVERAGEIF('QA_Images'!$A$2:$A$70,A52,'QA_Images'!$T$2:$T$70)/100,IF(D52="FULL",1,IF(D52="PARTIAL",0.5,IF(D52="FAIL",0,""))))</f>
        <v/>
      </c>
      <c r="F52" s="5">
        <f>IF(E52="",0,C52*E52)</f>
        <v/>
      </c>
      <c r="G52" s="5">
        <f>IF(B52="I1",20*AVERAGEIF('QA_Images'!$A$2:$A$70,A52,'QA_Images'!$U$2:$U$70)/100,IF(D52="NOT_CHECKED",0,C52))</f>
        <v/>
      </c>
      <c r="H52" s="2" t="inlineStr">
        <is>
          <t>Meta đúng motif nhưng quá dài và chưa diễn đạt cơ chế Customize gọn, rõ.</t>
        </is>
      </c>
      <c r="I52" s="2" t="inlineStr">
        <is>
          <t>["evidence_batch_008_075", "https://jeminise.com/products/custom-football-players-and-large-football-close-comforter-01d72ea6a0-01d72ea6a0", "serp_qa_075", "customizer_audit.json"]</t>
        </is>
      </c>
      <c r="J52" s="2" t="inlineStr">
        <is>
          <t>["ISS-075-IMG-04", "ISS-075-DESC", "ISS-075-CANN", "ISS-075-META"]</t>
        </is>
      </c>
    </row>
    <row r="53" ht="42" customHeight="1">
      <c r="A53" s="3" t="inlineStr">
        <is>
          <t>jeminise.com+custom-football-players-and-large-football-close-comforter-01d72ea6a0-01d72ea6a0</t>
        </is>
      </c>
      <c r="B53" s="3" t="inlineStr">
        <is>
          <t>D1</t>
        </is>
      </c>
      <c r="C53" s="3" t="n">
        <v>5</v>
      </c>
      <c r="D53" s="3" t="inlineStr">
        <is>
          <t>FAIL</t>
        </is>
      </c>
      <c r="E53" s="7">
        <f>IF(B53="I1",AVERAGEIF('QA_Images'!$A$2:$A$70,A53,'QA_Images'!$T$2:$T$70)/100,IF(D53="FULL",1,IF(D53="PARTIAL",0.5,IF(D53="FAIL",0,""))))</f>
        <v/>
      </c>
      <c r="F53" s="7">
        <f>IF(E53="",0,C53*E53)</f>
        <v/>
      </c>
      <c r="G53" s="7">
        <f>IF(B53="I1",20*AVERAGEIF('QA_Images'!$A$2:$A$70,A53,'QA_Images'!$U$2:$U$70)/100,IF(D53="NOT_CHECKED",0,C53))</f>
        <v/>
      </c>
      <c r="H53" s="3" t="inlineStr">
        <is>
          <t>Description chứa nguyên khối SEO Use/QA/import nội bộ.</t>
        </is>
      </c>
      <c r="I53" s="3" t="inlineStr">
        <is>
          <t>["evidence_batch_008_075", "https://jeminise.com/products/custom-football-players-and-large-football-close-comforter-01d72ea6a0-01d72ea6a0", "serp_qa_075", "customizer_audit.json"]</t>
        </is>
      </c>
      <c r="J53" s="3" t="inlineStr">
        <is>
          <t>["ISS-075-IMG-04", "ISS-075-DESC", "ISS-075-CANN", "ISS-075-META"]</t>
        </is>
      </c>
    </row>
    <row r="54" ht="42" customHeight="1">
      <c r="A54" s="2" t="inlineStr">
        <is>
          <t>jeminise.com+custom-football-players-and-large-football-close-comforter-01d72ea6a0-01d72ea6a0</t>
        </is>
      </c>
      <c r="B54" s="2" t="inlineStr">
        <is>
          <t>D2</t>
        </is>
      </c>
      <c r="C54" s="2" t="n">
        <v>10</v>
      </c>
      <c r="D54" s="2" t="inlineStr">
        <is>
          <t>PARTIAL</t>
        </is>
      </c>
      <c r="E54" s="5">
        <f>IF(B54="I1",AVERAGEIF('QA_Images'!$A$2:$A$70,A54,'QA_Images'!$T$2:$T$70)/100,IF(D54="FULL",1,IF(D54="PARTIAL",0.5,IF(D54="FAIL",0,""))))</f>
        <v/>
      </c>
      <c r="F54" s="5">
        <f>IF(E54="",0,C54*E54)</f>
        <v/>
      </c>
      <c r="G54" s="5">
        <f>IF(B54="I1",20*AVERAGEIF('QA_Images'!$A$2:$A$70,A54,'QA_Images'!$U$2:$U$70)/100,IF(D54="NOT_CHECKED",0,C54))</f>
        <v/>
      </c>
      <c r="H54" s="2" t="inlineStr">
        <is>
          <t>Facts chính khớp nguồn, nhưng copy chưa publish-ready và chưa nói rõ ràng quy trình Customize.</t>
        </is>
      </c>
      <c r="I54" s="2" t="inlineStr">
        <is>
          <t>["evidence_batch_008_075", "https://jeminise.com/products/custom-football-players-and-large-football-close-comforter-01d72ea6a0-01d72ea6a0", "serp_qa_075", "customizer_audit.json"]</t>
        </is>
      </c>
      <c r="J54" s="2" t="inlineStr">
        <is>
          <t>["ISS-075-IMG-04", "ISS-075-DESC", "ISS-075-CANN", "ISS-075-META"]</t>
        </is>
      </c>
    </row>
    <row r="55" ht="42" customHeight="1">
      <c r="A55" s="3" t="inlineStr">
        <is>
          <t>jeminise.com+custom-football-players-and-large-football-close-comforter-01d72ea6a0-01d72ea6a0</t>
        </is>
      </c>
      <c r="B55" s="3" t="inlineStr">
        <is>
          <t>I1</t>
        </is>
      </c>
      <c r="C55" s="3" t="n">
        <v>20</v>
      </c>
      <c r="D55" s="3" t="inlineStr">
        <is>
          <t>DERIVED</t>
        </is>
      </c>
      <c r="E55" s="7">
        <f>IF(B55="I1",AVERAGEIF('QA_Images'!$A$2:$A$70,A55,'QA_Images'!$T$2:$T$70)/100,IF(D55="FULL",1,IF(D55="PARTIAL",0.5,IF(D55="FAIL",0,""))))</f>
        <v/>
      </c>
      <c r="F55" s="7">
        <f>IF(E55="",0,C55*E55)</f>
        <v/>
      </c>
      <c r="G55" s="7">
        <f>IF(B55="I1",20*AVERAGEIF('QA_Images'!$A$2:$A$70,A55,'QA_Images'!$U$2:$U$70)/100,IF(D55="NOT_CHECKED",0,C55))</f>
        <v/>
      </c>
      <c r="H55" s="3" t="inlineStr">
        <is>
          <t>Tính từ trung bình 7 ảnh: 98.5714/100.</t>
        </is>
      </c>
      <c r="I55" s="3" t="inlineStr">
        <is>
          <t>["evidence_batch_008_075", "https://jeminise.com/products/custom-football-players-and-large-football-close-comforter-01d72ea6a0-01d72ea6a0", "serp_qa_075", "customizer_audit.json"]</t>
        </is>
      </c>
      <c r="J55" s="3" t="inlineStr">
        <is>
          <t>["ISS-075-IMG-04", "ISS-075-DESC", "ISS-075-CANN", "ISS-075-META"]</t>
        </is>
      </c>
    </row>
    <row r="56" ht="42" customHeight="1">
      <c r="A56" s="2" t="inlineStr">
        <is>
          <t>jeminise.com+custom-football-players-and-large-football-close-comforter-01d72ea6a0-01d72ea6a0</t>
        </is>
      </c>
      <c r="B56" s="2" t="inlineStr">
        <is>
          <t>E1</t>
        </is>
      </c>
      <c r="C56" s="2" t="n">
        <v>5</v>
      </c>
      <c r="D56" s="2" t="inlineStr">
        <is>
          <t>PARTIAL</t>
        </is>
      </c>
      <c r="E56" s="5">
        <f>IF(B56="I1",AVERAGEIF('QA_Images'!$A$2:$A$70,A56,'QA_Images'!$T$2:$T$70)/100,IF(D56="FULL",1,IF(D56="PARTIAL",0.5,IF(D56="FAIL",0,""))))</f>
        <v/>
      </c>
      <c r="F56" s="5">
        <f>IF(E56="",0,C56*E56)</f>
        <v/>
      </c>
      <c r="G56" s="5">
        <f>IF(B56="I1",20*AVERAGEIF('QA_Images'!$A$2:$A$70,A56,'QA_Images'!$U$2:$U$70)/100,IF(D56="NOT_CHECKED",0,C56))</f>
        <v/>
      </c>
      <c r="H56" s="2" t="inlineStr">
        <is>
          <t>Chuỗi evidence được kiểm tra; thiếu admin export và chưa chạy cart persistence.</t>
        </is>
      </c>
      <c r="I56" s="2" t="inlineStr">
        <is>
          <t>["evidence_batch_008_075", "https://jeminise.com/products/custom-football-players-and-large-football-close-comforter-01d72ea6a0-01d72ea6a0", "serp_qa_075", "customizer_audit.json"]</t>
        </is>
      </c>
      <c r="J56" s="2" t="inlineStr">
        <is>
          <t>["ISS-075-IMG-04", "ISS-075-DESC", "ISS-075-CANN", "ISS-075-META"]</t>
        </is>
      </c>
    </row>
    <row r="57" ht="42" customHeight="1">
      <c r="A57" s="3" t="inlineStr">
        <is>
          <t>jeminise.com+custom-football-texture-with-prominent-laces-vintage-comforter-9be594b786-9be594b786</t>
        </is>
      </c>
      <c r="B57" s="3" t="inlineStr">
        <is>
          <t>P1</t>
        </is>
      </c>
      <c r="C57" s="3" t="n">
        <v>15</v>
      </c>
      <c r="D57" s="3" t="inlineStr">
        <is>
          <t>FULL</t>
        </is>
      </c>
      <c r="E57" s="7">
        <f>IF(B57="I1",AVERAGEIF('QA_Images'!$A$2:$A$70,A57,'QA_Images'!$T$2:$T$70)/100,IF(D57="FULL",1,IF(D57="PARTIAL",0.5,IF(D57="FAIL",0,""))))</f>
        <v/>
      </c>
      <c r="F57" s="7">
        <f>IF(E57="",0,C57*E57)</f>
        <v/>
      </c>
      <c r="G57" s="7">
        <f>IF(B57="I1",20*AVERAGEIF('QA_Images'!$A$2:$A$70,A57,'QA_Images'!$U$2:$U$70)/100,IF(D57="NOT_CHECKED",0,C57))</f>
        <v/>
      </c>
      <c r="H57" s="3" t="inlineStr">
        <is>
          <t>Đối chiếu loại sản phẩm, thiết kế và màu với product JSON, H1 live và toàn bộ gallery.</t>
        </is>
      </c>
      <c r="I57" s="3" t="inlineStr">
        <is>
          <t>["evidence_batch_008_076", "https://jeminise.com/products/custom-football-texture-with-prominent-laces-vintage-comforter-9be594b786-9be594b786", "serp_qa_076", "customizer_audit.json"]</t>
        </is>
      </c>
      <c r="J57" s="3" t="inlineStr">
        <is>
          <t>["ISS-076-IMG-04", "ISS-076-DESC", "ISS-076-CANN", "ISS-076-META"]</t>
        </is>
      </c>
    </row>
    <row r="58" ht="42" customHeight="1">
      <c r="A58" s="2" t="inlineStr">
        <is>
          <t>jeminise.com+custom-football-texture-with-prominent-laces-vintage-comforter-9be594b786-9be594b786</t>
        </is>
      </c>
      <c r="B58" s="2" t="inlineStr">
        <is>
          <t>P2</t>
        </is>
      </c>
      <c r="C58" s="2" t="n">
        <v>10</v>
      </c>
      <c r="D58" s="2" t="inlineStr">
        <is>
          <t>FULL</t>
        </is>
      </c>
      <c r="E58" s="5">
        <f>IF(B58="I1",AVERAGEIF('QA_Images'!$A$2:$A$70,A58,'QA_Images'!$T$2:$T$70)/100,IF(D58="FULL",1,IF(D58="PARTIAL",0.5,IF(D58="FAIL",0,""))))</f>
        <v/>
      </c>
      <c r="F58" s="5">
        <f>IF(E58="",0,C58*E58)</f>
        <v/>
      </c>
      <c r="G58" s="5">
        <f>IF(B58="I1",20*AVERAGEIF('QA_Images'!$A$2:$A$70,A58,'QA_Images'!$U$2:$U$70)/100,IF(D58="NOT_CHECKED",0,C58))</f>
        <v/>
      </c>
      <c r="H58" s="2" t="inlineStr">
        <is>
          <t>Đã đối chiếu options, variants, description và cấu hình Amazon Customizer live có Name/Number.</t>
        </is>
      </c>
      <c r="I58" s="2" t="inlineStr">
        <is>
          <t>["evidence_batch_008_076", "https://jeminise.com/products/custom-football-texture-with-prominent-laces-vintage-comforter-9be594b786-9be594b786", "serp_qa_076", "customizer_audit.json"]</t>
        </is>
      </c>
      <c r="J58" s="2" t="inlineStr">
        <is>
          <t>["ISS-076-IMG-04", "ISS-076-DESC", "ISS-076-CANN", "ISS-076-META"]</t>
        </is>
      </c>
    </row>
    <row r="59" ht="42" customHeight="1">
      <c r="A59" s="3" t="inlineStr">
        <is>
          <t>jeminise.com+custom-football-texture-with-prominent-laces-vintage-comforter-9be594b786-9be594b786</t>
        </is>
      </c>
      <c r="B59" s="3" t="inlineStr">
        <is>
          <t>K1</t>
        </is>
      </c>
      <c r="C59" s="3" t="n">
        <v>10</v>
      </c>
      <c r="D59" s="3" t="inlineStr">
        <is>
          <t>FULL</t>
        </is>
      </c>
      <c r="E59" s="7">
        <f>IF(B59="I1",AVERAGEIF('QA_Images'!$A$2:$A$70,A59,'QA_Images'!$T$2:$T$70)/100,IF(D59="FULL",1,IF(D59="PARTIAL",0.5,IF(D59="FAIL",0,""))))</f>
        <v/>
      </c>
      <c r="F59" s="7">
        <f>IF(E59="",0,C59*E59)</f>
        <v/>
      </c>
      <c r="G59" s="7">
        <f>IF(B59="I1",20*AVERAGEIF('QA_Images'!$A$2:$A$70,A59,'QA_Images'!$U$2:$U$70)/100,IF(D59="NOT_CHECKED",0,C59))</f>
        <v/>
      </c>
      <c r="H59" s="3" t="inlineStr">
        <is>
          <t>Đối chiếu long-tail với thiết kế riêng và nguy cơ trùng intent trong cụm sản phẩm.</t>
        </is>
      </c>
      <c r="I59" s="3" t="inlineStr">
        <is>
          <t>["evidence_batch_008_076", "https://jeminise.com/products/custom-football-texture-with-prominent-laces-vintage-comforter-9be594b786-9be594b786", "serp_qa_076", "customizer_audit.json"]</t>
        </is>
      </c>
      <c r="J59" s="3" t="inlineStr">
        <is>
          <t>["ISS-076-IMG-04", "ISS-076-DESC", "ISS-076-CANN", "ISS-076-META"]</t>
        </is>
      </c>
    </row>
    <row r="60" ht="42" customHeight="1">
      <c r="A60" s="2" t="inlineStr">
        <is>
          <t>jeminise.com+custom-football-texture-with-prominent-laces-vintage-comforter-9be594b786-9be594b786</t>
        </is>
      </c>
      <c r="B60" s="2" t="inlineStr">
        <is>
          <t>K2</t>
        </is>
      </c>
      <c r="C60" s="2" t="n">
        <v>5</v>
      </c>
      <c r="D60" s="2" t="inlineStr">
        <is>
          <t>PARTIAL</t>
        </is>
      </c>
      <c r="E60" s="5">
        <f>IF(B60="I1",AVERAGEIF('QA_Images'!$A$2:$A$70,A60,'QA_Images'!$T$2:$T$70)/100,IF(D60="FULL",1,IF(D60="PARTIAL",0.5,IF(D60="FAIL",0,""))))</f>
        <v/>
      </c>
      <c r="F60" s="5">
        <f>IF(E60="",0,C60*E60)</f>
        <v/>
      </c>
      <c r="G60" s="5">
        <f>IF(B60="I1",20*AVERAGEIF('QA_Images'!$A$2:$A$70,A60,'QA_Images'!$U$2:$U$70)/100,IF(D60="NOT_CHECKED",0,C60))</f>
        <v/>
      </c>
      <c r="H60" s="2" t="inlineStr">
        <is>
          <t>Đã đọc primary và comparator SERP theo US commercial intent; nhiều kết quả là blanket/duvet nên chỉ PARTIAL.</t>
        </is>
      </c>
      <c r="I60" s="2" t="inlineStr">
        <is>
          <t>["evidence_batch_008_076", "https://jeminise.com/products/custom-football-texture-with-prominent-laces-vintage-comforter-9be594b786-9be594b786", "serp_qa_076", "customizer_audit.json"]</t>
        </is>
      </c>
      <c r="J60" s="2" t="inlineStr">
        <is>
          <t>["ISS-076-IMG-04", "ISS-076-DESC", "ISS-076-CANN", "ISS-076-META"]</t>
        </is>
      </c>
    </row>
    <row r="61" ht="42" customHeight="1">
      <c r="A61" s="3" t="inlineStr">
        <is>
          <t>jeminise.com+custom-football-texture-with-prominent-laces-vintage-comforter-9be594b786-9be594b786</t>
        </is>
      </c>
      <c r="B61" s="3" t="inlineStr">
        <is>
          <t>K3</t>
        </is>
      </c>
      <c r="C61" s="3" t="n">
        <v>5</v>
      </c>
      <c r="D61" s="3" t="inlineStr">
        <is>
          <t>PARTIAL</t>
        </is>
      </c>
      <c r="E61" s="7">
        <f>IF(B61="I1",AVERAGEIF('QA_Images'!$A$2:$A$70,A61,'QA_Images'!$T$2:$T$70)/100,IF(D61="FULL",1,IF(D61="PARTIAL",0.5,IF(D61="FAIL",0,""))))</f>
        <v/>
      </c>
      <c r="F61" s="7">
        <f>IF(E61="",0,C61*E61)</f>
        <v/>
      </c>
      <c r="G61" s="7">
        <f>IF(B61="I1",20*AVERAGEIF('QA_Images'!$A$2:$A$70,A61,'QA_Images'!$U$2:$U$70)/100,IF(D61="NOT_CHECKED",0,C61))</f>
        <v/>
      </c>
      <c r="H61" s="3" t="inlineStr">
        <is>
          <t>Modifier theo artwork có dùng nhưng mười trang cùng cluster còn nguy cơ cannibalization.</t>
        </is>
      </c>
      <c r="I61" s="3" t="inlineStr">
        <is>
          <t>["evidence_batch_008_076", "https://jeminise.com/products/custom-football-texture-with-prominent-laces-vintage-comforter-9be594b786-9be594b786", "serp_qa_076", "customizer_audit.json"]</t>
        </is>
      </c>
      <c r="J61" s="3" t="inlineStr">
        <is>
          <t>["ISS-076-IMG-04", "ISS-076-DESC", "ISS-076-CANN", "ISS-076-META"]</t>
        </is>
      </c>
    </row>
    <row r="62" ht="42" customHeight="1">
      <c r="A62" s="2" t="inlineStr">
        <is>
          <t>jeminise.com+custom-football-texture-with-prominent-laces-vintage-comforter-9be594b786-9be594b786</t>
        </is>
      </c>
      <c r="B62" s="2" t="inlineStr">
        <is>
          <t>T1</t>
        </is>
      </c>
      <c r="C62" s="2" t="n">
        <v>10</v>
      </c>
      <c r="D62" s="2" t="inlineStr">
        <is>
          <t>FULL</t>
        </is>
      </c>
      <c r="E62" s="5">
        <f>IF(B62="I1",AVERAGEIF('QA_Images'!$A$2:$A$70,A62,'QA_Images'!$T$2:$T$70)/100,IF(D62="FULL",1,IF(D62="PARTIAL",0.5,IF(D62="FAIL",0,""))))</f>
        <v/>
      </c>
      <c r="F62" s="5">
        <f>IF(E62="",0,C62*E62)</f>
        <v/>
      </c>
      <c r="G62" s="5">
        <f>IF(B62="I1",20*AVERAGEIF('QA_Images'!$A$2:$A$70,A62,'QA_Images'!$U$2:$U$70)/100,IF(D62="NOT_CHECKED",0,C62))</f>
        <v/>
      </c>
      <c r="H62" s="2" t="inlineStr">
        <is>
          <t>Đánh giá SEO title English về độ đúng, tự nhiên, keyword và điểm phân biệt.</t>
        </is>
      </c>
      <c r="I62" s="2" t="inlineStr">
        <is>
          <t>["evidence_batch_008_076", "https://jeminise.com/products/custom-football-texture-with-prominent-laces-vintage-comforter-9be594b786-9be594b786", "serp_qa_076", "customizer_audit.json"]</t>
        </is>
      </c>
      <c r="J62" s="2" t="inlineStr">
        <is>
          <t>["ISS-076-IMG-04", "ISS-076-DESC", "ISS-076-CANN", "ISS-076-META"]</t>
        </is>
      </c>
    </row>
    <row r="63" ht="42" customHeight="1">
      <c r="A63" s="3" t="inlineStr">
        <is>
          <t>jeminise.com+custom-football-texture-with-prominent-laces-vintage-comforter-9be594b786-9be594b786</t>
        </is>
      </c>
      <c r="B63" s="3" t="inlineStr">
        <is>
          <t>T2</t>
        </is>
      </c>
      <c r="C63" s="3" t="n">
        <v>5</v>
      </c>
      <c r="D63" s="3" t="inlineStr">
        <is>
          <t>PARTIAL</t>
        </is>
      </c>
      <c r="E63" s="7">
        <f>IF(B63="I1",AVERAGEIF('QA_Images'!$A$2:$A$70,A63,'QA_Images'!$T$2:$T$70)/100,IF(D63="FULL",1,IF(D63="PARTIAL",0.5,IF(D63="FAIL",0,""))))</f>
        <v/>
      </c>
      <c r="F63" s="7">
        <f>IF(E63="",0,C63*E63)</f>
        <v/>
      </c>
      <c r="G63" s="7">
        <f>IF(B63="I1",20*AVERAGEIF('QA_Images'!$A$2:$A$70,A63,'QA_Images'!$U$2:$U$70)/100,IF(D63="NOT_CHECKED",0,C63))</f>
        <v/>
      </c>
      <c r="H63" s="3" t="inlineStr">
        <is>
          <t>Meta đúng motif nhưng quá dài và chưa diễn đạt cơ chế Customize gọn, rõ.</t>
        </is>
      </c>
      <c r="I63" s="3" t="inlineStr">
        <is>
          <t>["evidence_batch_008_076", "https://jeminise.com/products/custom-football-texture-with-prominent-laces-vintage-comforter-9be594b786-9be594b786", "serp_qa_076", "customizer_audit.json"]</t>
        </is>
      </c>
      <c r="J63" s="3" t="inlineStr">
        <is>
          <t>["ISS-076-IMG-04", "ISS-076-DESC", "ISS-076-CANN", "ISS-076-META"]</t>
        </is>
      </c>
    </row>
    <row r="64" ht="42" customHeight="1">
      <c r="A64" s="2" t="inlineStr">
        <is>
          <t>jeminise.com+custom-football-texture-with-prominent-laces-vintage-comforter-9be594b786-9be594b786</t>
        </is>
      </c>
      <c r="B64" s="2" t="inlineStr">
        <is>
          <t>D1</t>
        </is>
      </c>
      <c r="C64" s="2" t="n">
        <v>5</v>
      </c>
      <c r="D64" s="2" t="inlineStr">
        <is>
          <t>FAIL</t>
        </is>
      </c>
      <c r="E64" s="5">
        <f>IF(B64="I1",AVERAGEIF('QA_Images'!$A$2:$A$70,A64,'QA_Images'!$T$2:$T$70)/100,IF(D64="FULL",1,IF(D64="PARTIAL",0.5,IF(D64="FAIL",0,""))))</f>
        <v/>
      </c>
      <c r="F64" s="5">
        <f>IF(E64="",0,C64*E64)</f>
        <v/>
      </c>
      <c r="G64" s="5">
        <f>IF(B64="I1",20*AVERAGEIF('QA_Images'!$A$2:$A$70,A64,'QA_Images'!$U$2:$U$70)/100,IF(D64="NOT_CHECKED",0,C64))</f>
        <v/>
      </c>
      <c r="H64" s="2" t="inlineStr">
        <is>
          <t>Description chứa nguyên khối SEO Use/QA/import nội bộ.</t>
        </is>
      </c>
      <c r="I64" s="2" t="inlineStr">
        <is>
          <t>["evidence_batch_008_076", "https://jeminise.com/products/custom-football-texture-with-prominent-laces-vintage-comforter-9be594b786-9be594b786", "serp_qa_076", "customizer_audit.json"]</t>
        </is>
      </c>
      <c r="J64" s="2" t="inlineStr">
        <is>
          <t>["ISS-076-IMG-04", "ISS-076-DESC", "ISS-076-CANN", "ISS-076-META"]</t>
        </is>
      </c>
    </row>
    <row r="65" ht="42" customHeight="1">
      <c r="A65" s="3" t="inlineStr">
        <is>
          <t>jeminise.com+custom-football-texture-with-prominent-laces-vintage-comforter-9be594b786-9be594b786</t>
        </is>
      </c>
      <c r="B65" s="3" t="inlineStr">
        <is>
          <t>D2</t>
        </is>
      </c>
      <c r="C65" s="3" t="n">
        <v>10</v>
      </c>
      <c r="D65" s="3" t="inlineStr">
        <is>
          <t>PARTIAL</t>
        </is>
      </c>
      <c r="E65" s="7">
        <f>IF(B65="I1",AVERAGEIF('QA_Images'!$A$2:$A$70,A65,'QA_Images'!$T$2:$T$70)/100,IF(D65="FULL",1,IF(D65="PARTIAL",0.5,IF(D65="FAIL",0,""))))</f>
        <v/>
      </c>
      <c r="F65" s="7">
        <f>IF(E65="",0,C65*E65)</f>
        <v/>
      </c>
      <c r="G65" s="7">
        <f>IF(B65="I1",20*AVERAGEIF('QA_Images'!$A$2:$A$70,A65,'QA_Images'!$U$2:$U$70)/100,IF(D65="NOT_CHECKED",0,C65))</f>
        <v/>
      </c>
      <c r="H65" s="3" t="inlineStr">
        <is>
          <t>Facts chính khớp nguồn, nhưng copy chưa publish-ready và chưa nói rõ ràng quy trình Customize.</t>
        </is>
      </c>
      <c r="I65" s="3" t="inlineStr">
        <is>
          <t>["evidence_batch_008_076", "https://jeminise.com/products/custom-football-texture-with-prominent-laces-vintage-comforter-9be594b786-9be594b786", "serp_qa_076", "customizer_audit.json"]</t>
        </is>
      </c>
      <c r="J65" s="3" t="inlineStr">
        <is>
          <t>["ISS-076-IMG-04", "ISS-076-DESC", "ISS-076-CANN", "ISS-076-META"]</t>
        </is>
      </c>
    </row>
    <row r="66" ht="42" customHeight="1">
      <c r="A66" s="2" t="inlineStr">
        <is>
          <t>jeminise.com+custom-football-texture-with-prominent-laces-vintage-comforter-9be594b786-9be594b786</t>
        </is>
      </c>
      <c r="B66" s="2" t="inlineStr">
        <is>
          <t>I1</t>
        </is>
      </c>
      <c r="C66" s="2" t="n">
        <v>20</v>
      </c>
      <c r="D66" s="2" t="inlineStr">
        <is>
          <t>DERIVED</t>
        </is>
      </c>
      <c r="E66" s="5">
        <f>IF(B66="I1",AVERAGEIF('QA_Images'!$A$2:$A$70,A66,'QA_Images'!$T$2:$T$70)/100,IF(D66="FULL",1,IF(D66="PARTIAL",0.5,IF(D66="FAIL",0,""))))</f>
        <v/>
      </c>
      <c r="F66" s="5">
        <f>IF(E66="",0,C66*E66)</f>
        <v/>
      </c>
      <c r="G66" s="5">
        <f>IF(B66="I1",20*AVERAGEIF('QA_Images'!$A$2:$A$70,A66,'QA_Images'!$U$2:$U$70)/100,IF(D66="NOT_CHECKED",0,C66))</f>
        <v/>
      </c>
      <c r="H66" s="2" t="inlineStr">
        <is>
          <t>Tính từ trung bình 6 ảnh: 98.3333/100.</t>
        </is>
      </c>
      <c r="I66" s="2" t="inlineStr">
        <is>
          <t>["evidence_batch_008_076", "https://jeminise.com/products/custom-football-texture-with-prominent-laces-vintage-comforter-9be594b786-9be594b786", "serp_qa_076", "customizer_audit.json"]</t>
        </is>
      </c>
      <c r="J66" s="2" t="inlineStr">
        <is>
          <t>["ISS-076-IMG-04", "ISS-076-DESC", "ISS-076-CANN", "ISS-076-META"]</t>
        </is>
      </c>
    </row>
    <row r="67" ht="42" customHeight="1">
      <c r="A67" s="3" t="inlineStr">
        <is>
          <t>jeminise.com+custom-football-texture-with-prominent-laces-vintage-comforter-9be594b786-9be594b786</t>
        </is>
      </c>
      <c r="B67" s="3" t="inlineStr">
        <is>
          <t>E1</t>
        </is>
      </c>
      <c r="C67" s="3" t="n">
        <v>5</v>
      </c>
      <c r="D67" s="3" t="inlineStr">
        <is>
          <t>PARTIAL</t>
        </is>
      </c>
      <c r="E67" s="7">
        <f>IF(B67="I1",AVERAGEIF('QA_Images'!$A$2:$A$70,A67,'QA_Images'!$T$2:$T$70)/100,IF(D67="FULL",1,IF(D67="PARTIAL",0.5,IF(D67="FAIL",0,""))))</f>
        <v/>
      </c>
      <c r="F67" s="7">
        <f>IF(E67="",0,C67*E67)</f>
        <v/>
      </c>
      <c r="G67" s="7">
        <f>IF(B67="I1",20*AVERAGEIF('QA_Images'!$A$2:$A$70,A67,'QA_Images'!$U$2:$U$70)/100,IF(D67="NOT_CHECKED",0,C67))</f>
        <v/>
      </c>
      <c r="H67" s="3" t="inlineStr">
        <is>
          <t>Chuỗi evidence được kiểm tra; thiếu admin export và chưa chạy cart persistence.</t>
        </is>
      </c>
      <c r="I67" s="3" t="inlineStr">
        <is>
          <t>["evidence_batch_008_076", "https://jeminise.com/products/custom-football-texture-with-prominent-laces-vintage-comforter-9be594b786-9be594b786", "serp_qa_076", "customizer_audit.json"]</t>
        </is>
      </c>
      <c r="J67" s="3" t="inlineStr">
        <is>
          <t>["ISS-076-IMG-04", "ISS-076-DESC", "ISS-076-CANN", "ISS-076-META"]</t>
        </is>
      </c>
    </row>
    <row r="68" ht="42" customHeight="1">
      <c r="A68" s="2" t="inlineStr">
        <is>
          <t>jeminise.com+custom-glowing-soccer-ball-trails-comforter-set-machine-washable-a6</t>
        </is>
      </c>
      <c r="B68" s="2" t="inlineStr">
        <is>
          <t>P1</t>
        </is>
      </c>
      <c r="C68" s="2" t="n">
        <v>15</v>
      </c>
      <c r="D68" s="2" t="inlineStr">
        <is>
          <t>FULL</t>
        </is>
      </c>
      <c r="E68" s="5">
        <f>IF(B68="I1",AVERAGEIF('QA_Images'!$A$2:$A$70,A68,'QA_Images'!$T$2:$T$70)/100,IF(D68="FULL",1,IF(D68="PARTIAL",0.5,IF(D68="FAIL",0,""))))</f>
        <v/>
      </c>
      <c r="F68" s="5">
        <f>IF(E68="",0,C68*E68)</f>
        <v/>
      </c>
      <c r="G68" s="5">
        <f>IF(B68="I1",20*AVERAGEIF('QA_Images'!$A$2:$A$70,A68,'QA_Images'!$U$2:$U$70)/100,IF(D68="NOT_CHECKED",0,C68))</f>
        <v/>
      </c>
      <c r="H68" s="2" t="inlineStr">
        <is>
          <t>Đối chiếu loại sản phẩm, thiết kế và màu với product JSON, H1 live và toàn bộ gallery.</t>
        </is>
      </c>
      <c r="I68" s="2" t="inlineStr">
        <is>
          <t>["evidence_batch_008_077", "https://jeminise.com/products/custom-glowing-soccer-ball-trails-comforter-set-machine-washable-a6", "serp_qa_077", "customizer_audit.json"]</t>
        </is>
      </c>
      <c r="J68" s="2" t="inlineStr">
        <is>
          <t>["ISS-077-IMG-04", "ISS-077-DESC", "ISS-077-CANN", "ISS-077-META"]</t>
        </is>
      </c>
    </row>
    <row r="69" ht="42" customHeight="1">
      <c r="A69" s="3" t="inlineStr">
        <is>
          <t>jeminise.com+custom-glowing-soccer-ball-trails-comforter-set-machine-washable-a6</t>
        </is>
      </c>
      <c r="B69" s="3" t="inlineStr">
        <is>
          <t>P2</t>
        </is>
      </c>
      <c r="C69" s="3" t="n">
        <v>10</v>
      </c>
      <c r="D69" s="3" t="inlineStr">
        <is>
          <t>FULL</t>
        </is>
      </c>
      <c r="E69" s="7">
        <f>IF(B69="I1",AVERAGEIF('QA_Images'!$A$2:$A$70,A69,'QA_Images'!$T$2:$T$70)/100,IF(D69="FULL",1,IF(D69="PARTIAL",0.5,IF(D69="FAIL",0,""))))</f>
        <v/>
      </c>
      <c r="F69" s="7">
        <f>IF(E69="",0,C69*E69)</f>
        <v/>
      </c>
      <c r="G69" s="7">
        <f>IF(B69="I1",20*AVERAGEIF('QA_Images'!$A$2:$A$70,A69,'QA_Images'!$U$2:$U$70)/100,IF(D69="NOT_CHECKED",0,C69))</f>
        <v/>
      </c>
      <c r="H69" s="3" t="inlineStr">
        <is>
          <t>Đã đối chiếu options, variants, description và cấu hình Amazon Customizer live có Name/Number.</t>
        </is>
      </c>
      <c r="I69" s="3" t="inlineStr">
        <is>
          <t>["evidence_batch_008_077", "https://jeminise.com/products/custom-glowing-soccer-ball-trails-comforter-set-machine-washable-a6", "serp_qa_077", "customizer_audit.json"]</t>
        </is>
      </c>
      <c r="J69" s="3" t="inlineStr">
        <is>
          <t>["ISS-077-IMG-04", "ISS-077-DESC", "ISS-077-CANN", "ISS-077-META"]</t>
        </is>
      </c>
    </row>
    <row r="70" ht="42" customHeight="1">
      <c r="A70" s="2" t="inlineStr">
        <is>
          <t>jeminise.com+custom-glowing-soccer-ball-trails-comforter-set-machine-washable-a6</t>
        </is>
      </c>
      <c r="B70" s="2" t="inlineStr">
        <is>
          <t>K1</t>
        </is>
      </c>
      <c r="C70" s="2" t="n">
        <v>10</v>
      </c>
      <c r="D70" s="2" t="inlineStr">
        <is>
          <t>FULL</t>
        </is>
      </c>
      <c r="E70" s="5">
        <f>IF(B70="I1",AVERAGEIF('QA_Images'!$A$2:$A$70,A70,'QA_Images'!$T$2:$T$70)/100,IF(D70="FULL",1,IF(D70="PARTIAL",0.5,IF(D70="FAIL",0,""))))</f>
        <v/>
      </c>
      <c r="F70" s="5">
        <f>IF(E70="",0,C70*E70)</f>
        <v/>
      </c>
      <c r="G70" s="5">
        <f>IF(B70="I1",20*AVERAGEIF('QA_Images'!$A$2:$A$70,A70,'QA_Images'!$U$2:$U$70)/100,IF(D70="NOT_CHECKED",0,C70))</f>
        <v/>
      </c>
      <c r="H70" s="2" t="inlineStr">
        <is>
          <t>Đối chiếu long-tail với thiết kế riêng và nguy cơ trùng intent trong cụm sản phẩm.</t>
        </is>
      </c>
      <c r="I70" s="2" t="inlineStr">
        <is>
          <t>["evidence_batch_008_077", "https://jeminise.com/products/custom-glowing-soccer-ball-trails-comforter-set-machine-washable-a6", "serp_qa_077", "customizer_audit.json"]</t>
        </is>
      </c>
      <c r="J70" s="2" t="inlineStr">
        <is>
          <t>["ISS-077-IMG-04", "ISS-077-DESC", "ISS-077-CANN", "ISS-077-META"]</t>
        </is>
      </c>
    </row>
    <row r="71" ht="42" customHeight="1">
      <c r="A71" s="3" t="inlineStr">
        <is>
          <t>jeminise.com+custom-glowing-soccer-ball-trails-comforter-set-machine-washable-a6</t>
        </is>
      </c>
      <c r="B71" s="3" t="inlineStr">
        <is>
          <t>K2</t>
        </is>
      </c>
      <c r="C71" s="3" t="n">
        <v>5</v>
      </c>
      <c r="D71" s="3" t="inlineStr">
        <is>
          <t>PARTIAL</t>
        </is>
      </c>
      <c r="E71" s="7">
        <f>IF(B71="I1",AVERAGEIF('QA_Images'!$A$2:$A$70,A71,'QA_Images'!$T$2:$T$70)/100,IF(D71="FULL",1,IF(D71="PARTIAL",0.5,IF(D71="FAIL",0,""))))</f>
        <v/>
      </c>
      <c r="F71" s="7">
        <f>IF(E71="",0,C71*E71)</f>
        <v/>
      </c>
      <c r="G71" s="7">
        <f>IF(B71="I1",20*AVERAGEIF('QA_Images'!$A$2:$A$70,A71,'QA_Images'!$U$2:$U$70)/100,IF(D71="NOT_CHECKED",0,C71))</f>
        <v/>
      </c>
      <c r="H71" s="3" t="inlineStr">
        <is>
          <t>Đã đọc primary và comparator SERP theo US commercial intent; nhiều kết quả là blanket/duvet nên chỉ PARTIAL.</t>
        </is>
      </c>
      <c r="I71" s="3" t="inlineStr">
        <is>
          <t>["evidence_batch_008_077", "https://jeminise.com/products/custom-glowing-soccer-ball-trails-comforter-set-machine-washable-a6", "serp_qa_077", "customizer_audit.json"]</t>
        </is>
      </c>
      <c r="J71" s="3" t="inlineStr">
        <is>
          <t>["ISS-077-IMG-04", "ISS-077-DESC", "ISS-077-CANN", "ISS-077-META"]</t>
        </is>
      </c>
    </row>
    <row r="72" ht="42" customHeight="1">
      <c r="A72" s="2" t="inlineStr">
        <is>
          <t>jeminise.com+custom-glowing-soccer-ball-trails-comforter-set-machine-washable-a6</t>
        </is>
      </c>
      <c r="B72" s="2" t="inlineStr">
        <is>
          <t>K3</t>
        </is>
      </c>
      <c r="C72" s="2" t="n">
        <v>5</v>
      </c>
      <c r="D72" s="2" t="inlineStr">
        <is>
          <t>PARTIAL</t>
        </is>
      </c>
      <c r="E72" s="5">
        <f>IF(B72="I1",AVERAGEIF('QA_Images'!$A$2:$A$70,A72,'QA_Images'!$T$2:$T$70)/100,IF(D72="FULL",1,IF(D72="PARTIAL",0.5,IF(D72="FAIL",0,""))))</f>
        <v/>
      </c>
      <c r="F72" s="5">
        <f>IF(E72="",0,C72*E72)</f>
        <v/>
      </c>
      <c r="G72" s="5">
        <f>IF(B72="I1",20*AVERAGEIF('QA_Images'!$A$2:$A$70,A72,'QA_Images'!$U$2:$U$70)/100,IF(D72="NOT_CHECKED",0,C72))</f>
        <v/>
      </c>
      <c r="H72" s="2" t="inlineStr">
        <is>
          <t>Modifier theo artwork có dùng nhưng mười trang cùng cluster còn nguy cơ cannibalization.</t>
        </is>
      </c>
      <c r="I72" s="2" t="inlineStr">
        <is>
          <t>["evidence_batch_008_077", "https://jeminise.com/products/custom-glowing-soccer-ball-trails-comforter-set-machine-washable-a6", "serp_qa_077", "customizer_audit.json"]</t>
        </is>
      </c>
      <c r="J72" s="2" t="inlineStr">
        <is>
          <t>["ISS-077-IMG-04", "ISS-077-DESC", "ISS-077-CANN", "ISS-077-META"]</t>
        </is>
      </c>
    </row>
    <row r="73" ht="42" customHeight="1">
      <c r="A73" s="3" t="inlineStr">
        <is>
          <t>jeminise.com+custom-glowing-soccer-ball-trails-comforter-set-machine-washable-a6</t>
        </is>
      </c>
      <c r="B73" s="3" t="inlineStr">
        <is>
          <t>T1</t>
        </is>
      </c>
      <c r="C73" s="3" t="n">
        <v>10</v>
      </c>
      <c r="D73" s="3" t="inlineStr">
        <is>
          <t>FULL</t>
        </is>
      </c>
      <c r="E73" s="7">
        <f>IF(B73="I1",AVERAGEIF('QA_Images'!$A$2:$A$70,A73,'QA_Images'!$T$2:$T$70)/100,IF(D73="FULL",1,IF(D73="PARTIAL",0.5,IF(D73="FAIL",0,""))))</f>
        <v/>
      </c>
      <c r="F73" s="7">
        <f>IF(E73="",0,C73*E73)</f>
        <v/>
      </c>
      <c r="G73" s="7">
        <f>IF(B73="I1",20*AVERAGEIF('QA_Images'!$A$2:$A$70,A73,'QA_Images'!$U$2:$U$70)/100,IF(D73="NOT_CHECKED",0,C73))</f>
        <v/>
      </c>
      <c r="H73" s="3" t="inlineStr">
        <is>
          <t>Đánh giá SEO title English về độ đúng, tự nhiên, keyword và điểm phân biệt.</t>
        </is>
      </c>
      <c r="I73" s="3" t="inlineStr">
        <is>
          <t>["evidence_batch_008_077", "https://jeminise.com/products/custom-glowing-soccer-ball-trails-comforter-set-machine-washable-a6", "serp_qa_077", "customizer_audit.json"]</t>
        </is>
      </c>
      <c r="J73" s="3" t="inlineStr">
        <is>
          <t>["ISS-077-IMG-04", "ISS-077-DESC", "ISS-077-CANN", "ISS-077-META"]</t>
        </is>
      </c>
    </row>
    <row r="74" ht="42" customHeight="1">
      <c r="A74" s="2" t="inlineStr">
        <is>
          <t>jeminise.com+custom-glowing-soccer-ball-trails-comforter-set-machine-washable-a6</t>
        </is>
      </c>
      <c r="B74" s="2" t="inlineStr">
        <is>
          <t>T2</t>
        </is>
      </c>
      <c r="C74" s="2" t="n">
        <v>5</v>
      </c>
      <c r="D74" s="2" t="inlineStr">
        <is>
          <t>PARTIAL</t>
        </is>
      </c>
      <c r="E74" s="5">
        <f>IF(B74="I1",AVERAGEIF('QA_Images'!$A$2:$A$70,A74,'QA_Images'!$T$2:$T$70)/100,IF(D74="FULL",1,IF(D74="PARTIAL",0.5,IF(D74="FAIL",0,""))))</f>
        <v/>
      </c>
      <c r="F74" s="5">
        <f>IF(E74="",0,C74*E74)</f>
        <v/>
      </c>
      <c r="G74" s="5">
        <f>IF(B74="I1",20*AVERAGEIF('QA_Images'!$A$2:$A$70,A74,'QA_Images'!$U$2:$U$70)/100,IF(D74="NOT_CHECKED",0,C74))</f>
        <v/>
      </c>
      <c r="H74" s="2" t="inlineStr">
        <is>
          <t>Meta đúng motif nhưng quá dài và chưa diễn đạt cơ chế Customize gọn, rõ.</t>
        </is>
      </c>
      <c r="I74" s="2" t="inlineStr">
        <is>
          <t>["evidence_batch_008_077", "https://jeminise.com/products/custom-glowing-soccer-ball-trails-comforter-set-machine-washable-a6", "serp_qa_077", "customizer_audit.json"]</t>
        </is>
      </c>
      <c r="J74" s="2" t="inlineStr">
        <is>
          <t>["ISS-077-IMG-04", "ISS-077-DESC", "ISS-077-CANN", "ISS-077-META"]</t>
        </is>
      </c>
    </row>
    <row r="75" ht="42" customHeight="1">
      <c r="A75" s="3" t="inlineStr">
        <is>
          <t>jeminise.com+custom-glowing-soccer-ball-trails-comforter-set-machine-washable-a6</t>
        </is>
      </c>
      <c r="B75" s="3" t="inlineStr">
        <is>
          <t>D1</t>
        </is>
      </c>
      <c r="C75" s="3" t="n">
        <v>5</v>
      </c>
      <c r="D75" s="3" t="inlineStr">
        <is>
          <t>FAIL</t>
        </is>
      </c>
      <c r="E75" s="7">
        <f>IF(B75="I1",AVERAGEIF('QA_Images'!$A$2:$A$70,A75,'QA_Images'!$T$2:$T$70)/100,IF(D75="FULL",1,IF(D75="PARTIAL",0.5,IF(D75="FAIL",0,""))))</f>
        <v/>
      </c>
      <c r="F75" s="7">
        <f>IF(E75="",0,C75*E75)</f>
        <v/>
      </c>
      <c r="G75" s="7">
        <f>IF(B75="I1",20*AVERAGEIF('QA_Images'!$A$2:$A$70,A75,'QA_Images'!$U$2:$U$70)/100,IF(D75="NOT_CHECKED",0,C75))</f>
        <v/>
      </c>
      <c r="H75" s="3" t="inlineStr">
        <is>
          <t>Description chứa nguyên khối SEO Use/QA/import nội bộ.</t>
        </is>
      </c>
      <c r="I75" s="3" t="inlineStr">
        <is>
          <t>["evidence_batch_008_077", "https://jeminise.com/products/custom-glowing-soccer-ball-trails-comforter-set-machine-washable-a6", "serp_qa_077", "customizer_audit.json"]</t>
        </is>
      </c>
      <c r="J75" s="3" t="inlineStr">
        <is>
          <t>["ISS-077-IMG-04", "ISS-077-DESC", "ISS-077-CANN", "ISS-077-META"]</t>
        </is>
      </c>
    </row>
    <row r="76" ht="42" customHeight="1">
      <c r="A76" s="2" t="inlineStr">
        <is>
          <t>jeminise.com+custom-glowing-soccer-ball-trails-comforter-set-machine-washable-a6</t>
        </is>
      </c>
      <c r="B76" s="2" t="inlineStr">
        <is>
          <t>D2</t>
        </is>
      </c>
      <c r="C76" s="2" t="n">
        <v>10</v>
      </c>
      <c r="D76" s="2" t="inlineStr">
        <is>
          <t>PARTIAL</t>
        </is>
      </c>
      <c r="E76" s="5">
        <f>IF(B76="I1",AVERAGEIF('QA_Images'!$A$2:$A$70,A76,'QA_Images'!$T$2:$T$70)/100,IF(D76="FULL",1,IF(D76="PARTIAL",0.5,IF(D76="FAIL",0,""))))</f>
        <v/>
      </c>
      <c r="F76" s="5">
        <f>IF(E76="",0,C76*E76)</f>
        <v/>
      </c>
      <c r="G76" s="5">
        <f>IF(B76="I1",20*AVERAGEIF('QA_Images'!$A$2:$A$70,A76,'QA_Images'!$U$2:$U$70)/100,IF(D76="NOT_CHECKED",0,C76))</f>
        <v/>
      </c>
      <c r="H76" s="2" t="inlineStr">
        <is>
          <t>Facts chính khớp nguồn, nhưng copy chưa publish-ready và chưa nói rõ ràng quy trình Customize.</t>
        </is>
      </c>
      <c r="I76" s="2" t="inlineStr">
        <is>
          <t>["evidence_batch_008_077", "https://jeminise.com/products/custom-glowing-soccer-ball-trails-comforter-set-machine-washable-a6", "serp_qa_077", "customizer_audit.json"]</t>
        </is>
      </c>
      <c r="J76" s="2" t="inlineStr">
        <is>
          <t>["ISS-077-IMG-04", "ISS-077-DESC", "ISS-077-CANN", "ISS-077-META"]</t>
        </is>
      </c>
    </row>
    <row r="77" ht="42" customHeight="1">
      <c r="A77" s="3" t="inlineStr">
        <is>
          <t>jeminise.com+custom-glowing-soccer-ball-trails-comforter-set-machine-washable-a6</t>
        </is>
      </c>
      <c r="B77" s="3" t="inlineStr">
        <is>
          <t>I1</t>
        </is>
      </c>
      <c r="C77" s="3" t="n">
        <v>20</v>
      </c>
      <c r="D77" s="3" t="inlineStr">
        <is>
          <t>DERIVED</t>
        </is>
      </c>
      <c r="E77" s="7">
        <f>IF(B77="I1",AVERAGEIF('QA_Images'!$A$2:$A$70,A77,'QA_Images'!$T$2:$T$70)/100,IF(D77="FULL",1,IF(D77="PARTIAL",0.5,IF(D77="FAIL",0,""))))</f>
        <v/>
      </c>
      <c r="F77" s="7">
        <f>IF(E77="",0,C77*E77)</f>
        <v/>
      </c>
      <c r="G77" s="7">
        <f>IF(B77="I1",20*AVERAGEIF('QA_Images'!$A$2:$A$70,A77,'QA_Images'!$U$2:$U$70)/100,IF(D77="NOT_CHECKED",0,C77))</f>
        <v/>
      </c>
      <c r="H77" s="3" t="inlineStr">
        <is>
          <t>Tính từ trung bình 7 ảnh: 98.5714/100.</t>
        </is>
      </c>
      <c r="I77" s="3" t="inlineStr">
        <is>
          <t>["evidence_batch_008_077", "https://jeminise.com/products/custom-glowing-soccer-ball-trails-comforter-set-machine-washable-a6", "serp_qa_077", "customizer_audit.json"]</t>
        </is>
      </c>
      <c r="J77" s="3" t="inlineStr">
        <is>
          <t>["ISS-077-IMG-04", "ISS-077-DESC", "ISS-077-CANN", "ISS-077-META"]</t>
        </is>
      </c>
    </row>
    <row r="78" ht="42" customHeight="1">
      <c r="A78" s="2" t="inlineStr">
        <is>
          <t>jeminise.com+custom-glowing-soccer-ball-trails-comforter-set-machine-washable-a6</t>
        </is>
      </c>
      <c r="B78" s="2" t="inlineStr">
        <is>
          <t>E1</t>
        </is>
      </c>
      <c r="C78" s="2" t="n">
        <v>5</v>
      </c>
      <c r="D78" s="2" t="inlineStr">
        <is>
          <t>PARTIAL</t>
        </is>
      </c>
      <c r="E78" s="5">
        <f>IF(B78="I1",AVERAGEIF('QA_Images'!$A$2:$A$70,A78,'QA_Images'!$T$2:$T$70)/100,IF(D78="FULL",1,IF(D78="PARTIAL",0.5,IF(D78="FAIL",0,""))))</f>
        <v/>
      </c>
      <c r="F78" s="5">
        <f>IF(E78="",0,C78*E78)</f>
        <v/>
      </c>
      <c r="G78" s="5">
        <f>IF(B78="I1",20*AVERAGEIF('QA_Images'!$A$2:$A$70,A78,'QA_Images'!$U$2:$U$70)/100,IF(D78="NOT_CHECKED",0,C78))</f>
        <v/>
      </c>
      <c r="H78" s="2" t="inlineStr">
        <is>
          <t>Chuỗi evidence được kiểm tra; thiếu admin export và chưa chạy cart persistence.</t>
        </is>
      </c>
      <c r="I78" s="2" t="inlineStr">
        <is>
          <t>["evidence_batch_008_077", "https://jeminise.com/products/custom-glowing-soccer-ball-trails-comforter-set-machine-washable-a6", "serp_qa_077", "customizer_audit.json"]</t>
        </is>
      </c>
      <c r="J78" s="2" t="inlineStr">
        <is>
          <t>["ISS-077-IMG-04", "ISS-077-DESC", "ISS-077-CANN", "ISS-077-META"]</t>
        </is>
      </c>
    </row>
    <row r="79" ht="42" customHeight="1">
      <c r="A79" s="3" t="inlineStr">
        <is>
          <t>jeminise.com+custom-inspirational-bible-verse-floral-blanket-d5</t>
        </is>
      </c>
      <c r="B79" s="3" t="inlineStr">
        <is>
          <t>P1</t>
        </is>
      </c>
      <c r="C79" s="3" t="n">
        <v>15</v>
      </c>
      <c r="D79" s="3" t="inlineStr">
        <is>
          <t>FULL</t>
        </is>
      </c>
      <c r="E79" s="7">
        <f>IF(B79="I1",AVERAGEIF('QA_Images'!$A$2:$A$70,A79,'QA_Images'!$T$2:$T$70)/100,IF(D79="FULL",1,IF(D79="PARTIAL",0.5,IF(D79="FAIL",0,""))))</f>
        <v/>
      </c>
      <c r="F79" s="7">
        <f>IF(E79="",0,C79*E79)</f>
        <v/>
      </c>
      <c r="G79" s="7">
        <f>IF(B79="I1",20*AVERAGEIF('QA_Images'!$A$2:$A$70,A79,'QA_Images'!$U$2:$U$70)/100,IF(D79="NOT_CHECKED",0,C79))</f>
        <v/>
      </c>
      <c r="H79" s="3" t="inlineStr">
        <is>
          <t>Đối chiếu loại sản phẩm, thiết kế và màu với product JSON, H1 live và toàn bộ gallery.</t>
        </is>
      </c>
      <c r="I79" s="3" t="inlineStr">
        <is>
          <t>["evidence_batch_008_078", "https://jeminise.com/products/custom-inspirational-bible-verse-floral-blanket-d5", "serp_qa_078", "customizer_audit.json"]</t>
        </is>
      </c>
      <c r="J79" s="3" t="inlineStr">
        <is>
          <t>["ISS-078-IMG-04", "ISS-078-DESC", "ISS-078-CANN", "ISS-078-META"]</t>
        </is>
      </c>
    </row>
    <row r="80" ht="42" customHeight="1">
      <c r="A80" s="2" t="inlineStr">
        <is>
          <t>jeminise.com+custom-inspirational-bible-verse-floral-blanket-d5</t>
        </is>
      </c>
      <c r="B80" s="2" t="inlineStr">
        <is>
          <t>P2</t>
        </is>
      </c>
      <c r="C80" s="2" t="n">
        <v>10</v>
      </c>
      <c r="D80" s="2" t="inlineStr">
        <is>
          <t>FULL</t>
        </is>
      </c>
      <c r="E80" s="5">
        <f>IF(B80="I1",AVERAGEIF('QA_Images'!$A$2:$A$70,A80,'QA_Images'!$T$2:$T$70)/100,IF(D80="FULL",1,IF(D80="PARTIAL",0.5,IF(D80="FAIL",0,""))))</f>
        <v/>
      </c>
      <c r="F80" s="5">
        <f>IF(E80="",0,C80*E80)</f>
        <v/>
      </c>
      <c r="G80" s="5">
        <f>IF(B80="I1",20*AVERAGEIF('QA_Images'!$A$2:$A$70,A80,'QA_Images'!$U$2:$U$70)/100,IF(D80="NOT_CHECKED",0,C80))</f>
        <v/>
      </c>
      <c r="H80" s="2" t="inlineStr">
        <is>
          <t>Đã đối chiếu options, variants, description và cấu hình Amazon Customizer live có Name/Number.</t>
        </is>
      </c>
      <c r="I80" s="2" t="inlineStr">
        <is>
          <t>["evidence_batch_008_078", "https://jeminise.com/products/custom-inspirational-bible-verse-floral-blanket-d5", "serp_qa_078", "customizer_audit.json"]</t>
        </is>
      </c>
      <c r="J80" s="2" t="inlineStr">
        <is>
          <t>["ISS-078-IMG-04", "ISS-078-DESC", "ISS-078-CANN", "ISS-078-META"]</t>
        </is>
      </c>
    </row>
    <row r="81" ht="42" customHeight="1">
      <c r="A81" s="3" t="inlineStr">
        <is>
          <t>jeminise.com+custom-inspirational-bible-verse-floral-blanket-d5</t>
        </is>
      </c>
      <c r="B81" s="3" t="inlineStr">
        <is>
          <t>K1</t>
        </is>
      </c>
      <c r="C81" s="3" t="n">
        <v>10</v>
      </c>
      <c r="D81" s="3" t="inlineStr">
        <is>
          <t>FULL</t>
        </is>
      </c>
      <c r="E81" s="7">
        <f>IF(B81="I1",AVERAGEIF('QA_Images'!$A$2:$A$70,A81,'QA_Images'!$T$2:$T$70)/100,IF(D81="FULL",1,IF(D81="PARTIAL",0.5,IF(D81="FAIL",0,""))))</f>
        <v/>
      </c>
      <c r="F81" s="7">
        <f>IF(E81="",0,C81*E81)</f>
        <v/>
      </c>
      <c r="G81" s="7">
        <f>IF(B81="I1",20*AVERAGEIF('QA_Images'!$A$2:$A$70,A81,'QA_Images'!$U$2:$U$70)/100,IF(D81="NOT_CHECKED",0,C81))</f>
        <v/>
      </c>
      <c r="H81" s="3" t="inlineStr">
        <is>
          <t>Đối chiếu long-tail với thiết kế riêng và nguy cơ trùng intent trong cụm sản phẩm.</t>
        </is>
      </c>
      <c r="I81" s="3" t="inlineStr">
        <is>
          <t>["evidence_batch_008_078", "https://jeminise.com/products/custom-inspirational-bible-verse-floral-blanket-d5", "serp_qa_078", "customizer_audit.json"]</t>
        </is>
      </c>
      <c r="J81" s="3" t="inlineStr">
        <is>
          <t>["ISS-078-IMG-04", "ISS-078-DESC", "ISS-078-CANN", "ISS-078-META"]</t>
        </is>
      </c>
    </row>
    <row r="82" ht="42" customHeight="1">
      <c r="A82" s="2" t="inlineStr">
        <is>
          <t>jeminise.com+custom-inspirational-bible-verse-floral-blanket-d5</t>
        </is>
      </c>
      <c r="B82" s="2" t="inlineStr">
        <is>
          <t>K2</t>
        </is>
      </c>
      <c r="C82" s="2" t="n">
        <v>5</v>
      </c>
      <c r="D82" s="2" t="inlineStr">
        <is>
          <t>PARTIAL</t>
        </is>
      </c>
      <c r="E82" s="5">
        <f>IF(B82="I1",AVERAGEIF('QA_Images'!$A$2:$A$70,A82,'QA_Images'!$T$2:$T$70)/100,IF(D82="FULL",1,IF(D82="PARTIAL",0.5,IF(D82="FAIL",0,""))))</f>
        <v/>
      </c>
      <c r="F82" s="5">
        <f>IF(E82="",0,C82*E82)</f>
        <v/>
      </c>
      <c r="G82" s="5">
        <f>IF(B82="I1",20*AVERAGEIF('QA_Images'!$A$2:$A$70,A82,'QA_Images'!$U$2:$U$70)/100,IF(D82="NOT_CHECKED",0,C82))</f>
        <v/>
      </c>
      <c r="H82" s="2" t="inlineStr">
        <is>
          <t>Đã đọc primary và comparator SERP theo US commercial intent; nhiều kết quả là blanket/duvet nên chỉ PARTIAL.</t>
        </is>
      </c>
      <c r="I82" s="2" t="inlineStr">
        <is>
          <t>["evidence_batch_008_078", "https://jeminise.com/products/custom-inspirational-bible-verse-floral-blanket-d5", "serp_qa_078", "customizer_audit.json"]</t>
        </is>
      </c>
      <c r="J82" s="2" t="inlineStr">
        <is>
          <t>["ISS-078-IMG-04", "ISS-078-DESC", "ISS-078-CANN", "ISS-078-META"]</t>
        </is>
      </c>
    </row>
    <row r="83" ht="42" customHeight="1">
      <c r="A83" s="3" t="inlineStr">
        <is>
          <t>jeminise.com+custom-inspirational-bible-verse-floral-blanket-d5</t>
        </is>
      </c>
      <c r="B83" s="3" t="inlineStr">
        <is>
          <t>K3</t>
        </is>
      </c>
      <c r="C83" s="3" t="n">
        <v>5</v>
      </c>
      <c r="D83" s="3" t="inlineStr">
        <is>
          <t>PARTIAL</t>
        </is>
      </c>
      <c r="E83" s="7">
        <f>IF(B83="I1",AVERAGEIF('QA_Images'!$A$2:$A$70,A83,'QA_Images'!$T$2:$T$70)/100,IF(D83="FULL",1,IF(D83="PARTIAL",0.5,IF(D83="FAIL",0,""))))</f>
        <v/>
      </c>
      <c r="F83" s="7">
        <f>IF(E83="",0,C83*E83)</f>
        <v/>
      </c>
      <c r="G83" s="7">
        <f>IF(B83="I1",20*AVERAGEIF('QA_Images'!$A$2:$A$70,A83,'QA_Images'!$U$2:$U$70)/100,IF(D83="NOT_CHECKED",0,C83))</f>
        <v/>
      </c>
      <c r="H83" s="3" t="inlineStr">
        <is>
          <t>Modifier theo artwork có dùng nhưng mười trang cùng cluster còn nguy cơ cannibalization.</t>
        </is>
      </c>
      <c r="I83" s="3" t="inlineStr">
        <is>
          <t>["evidence_batch_008_078", "https://jeminise.com/products/custom-inspirational-bible-verse-floral-blanket-d5", "serp_qa_078", "customizer_audit.json"]</t>
        </is>
      </c>
      <c r="J83" s="3" t="inlineStr">
        <is>
          <t>["ISS-078-IMG-04", "ISS-078-DESC", "ISS-078-CANN", "ISS-078-META"]</t>
        </is>
      </c>
    </row>
    <row r="84" ht="42" customHeight="1">
      <c r="A84" s="2" t="inlineStr">
        <is>
          <t>jeminise.com+custom-inspirational-bible-verse-floral-blanket-d5</t>
        </is>
      </c>
      <c r="B84" s="2" t="inlineStr">
        <is>
          <t>T1</t>
        </is>
      </c>
      <c r="C84" s="2" t="n">
        <v>10</v>
      </c>
      <c r="D84" s="2" t="inlineStr">
        <is>
          <t>FULL</t>
        </is>
      </c>
      <c r="E84" s="5">
        <f>IF(B84="I1",AVERAGEIF('QA_Images'!$A$2:$A$70,A84,'QA_Images'!$T$2:$T$70)/100,IF(D84="FULL",1,IF(D84="PARTIAL",0.5,IF(D84="FAIL",0,""))))</f>
        <v/>
      </c>
      <c r="F84" s="5">
        <f>IF(E84="",0,C84*E84)</f>
        <v/>
      </c>
      <c r="G84" s="5">
        <f>IF(B84="I1",20*AVERAGEIF('QA_Images'!$A$2:$A$70,A84,'QA_Images'!$U$2:$U$70)/100,IF(D84="NOT_CHECKED",0,C84))</f>
        <v/>
      </c>
      <c r="H84" s="2" t="inlineStr">
        <is>
          <t>Đánh giá SEO title English về độ đúng, tự nhiên, keyword và điểm phân biệt.</t>
        </is>
      </c>
      <c r="I84" s="2" t="inlineStr">
        <is>
          <t>["evidence_batch_008_078", "https://jeminise.com/products/custom-inspirational-bible-verse-floral-blanket-d5", "serp_qa_078", "customizer_audit.json"]</t>
        </is>
      </c>
      <c r="J84" s="2" t="inlineStr">
        <is>
          <t>["ISS-078-IMG-04", "ISS-078-DESC", "ISS-078-CANN", "ISS-078-META"]</t>
        </is>
      </c>
    </row>
    <row r="85" ht="42" customHeight="1">
      <c r="A85" s="3" t="inlineStr">
        <is>
          <t>jeminise.com+custom-inspirational-bible-verse-floral-blanket-d5</t>
        </is>
      </c>
      <c r="B85" s="3" t="inlineStr">
        <is>
          <t>T2</t>
        </is>
      </c>
      <c r="C85" s="3" t="n">
        <v>5</v>
      </c>
      <c r="D85" s="3" t="inlineStr">
        <is>
          <t>PARTIAL</t>
        </is>
      </c>
      <c r="E85" s="7">
        <f>IF(B85="I1",AVERAGEIF('QA_Images'!$A$2:$A$70,A85,'QA_Images'!$T$2:$T$70)/100,IF(D85="FULL",1,IF(D85="PARTIAL",0.5,IF(D85="FAIL",0,""))))</f>
        <v/>
      </c>
      <c r="F85" s="7">
        <f>IF(E85="",0,C85*E85)</f>
        <v/>
      </c>
      <c r="G85" s="7">
        <f>IF(B85="I1",20*AVERAGEIF('QA_Images'!$A$2:$A$70,A85,'QA_Images'!$U$2:$U$70)/100,IF(D85="NOT_CHECKED",0,C85))</f>
        <v/>
      </c>
      <c r="H85" s="3" t="inlineStr">
        <is>
          <t>Meta đúng motif nhưng quá dài và chưa diễn đạt cơ chế Customize gọn, rõ.</t>
        </is>
      </c>
      <c r="I85" s="3" t="inlineStr">
        <is>
          <t>["evidence_batch_008_078", "https://jeminise.com/products/custom-inspirational-bible-verse-floral-blanket-d5", "serp_qa_078", "customizer_audit.json"]</t>
        </is>
      </c>
      <c r="J85" s="3" t="inlineStr">
        <is>
          <t>["ISS-078-IMG-04", "ISS-078-DESC", "ISS-078-CANN", "ISS-078-META"]</t>
        </is>
      </c>
    </row>
    <row r="86" ht="42" customHeight="1">
      <c r="A86" s="2" t="inlineStr">
        <is>
          <t>jeminise.com+custom-inspirational-bible-verse-floral-blanket-d5</t>
        </is>
      </c>
      <c r="B86" s="2" t="inlineStr">
        <is>
          <t>D1</t>
        </is>
      </c>
      <c r="C86" s="2" t="n">
        <v>5</v>
      </c>
      <c r="D86" s="2" t="inlineStr">
        <is>
          <t>FAIL</t>
        </is>
      </c>
      <c r="E86" s="5">
        <f>IF(B86="I1",AVERAGEIF('QA_Images'!$A$2:$A$70,A86,'QA_Images'!$T$2:$T$70)/100,IF(D86="FULL",1,IF(D86="PARTIAL",0.5,IF(D86="FAIL",0,""))))</f>
        <v/>
      </c>
      <c r="F86" s="5">
        <f>IF(E86="",0,C86*E86)</f>
        <v/>
      </c>
      <c r="G86" s="5">
        <f>IF(B86="I1",20*AVERAGEIF('QA_Images'!$A$2:$A$70,A86,'QA_Images'!$U$2:$U$70)/100,IF(D86="NOT_CHECKED",0,C86))</f>
        <v/>
      </c>
      <c r="H86" s="2" t="inlineStr">
        <is>
          <t>Description chứa nguyên khối SEO Use/QA/import nội bộ.</t>
        </is>
      </c>
      <c r="I86" s="2" t="inlineStr">
        <is>
          <t>["evidence_batch_008_078", "https://jeminise.com/products/custom-inspirational-bible-verse-floral-blanket-d5", "serp_qa_078", "customizer_audit.json"]</t>
        </is>
      </c>
      <c r="J86" s="2" t="inlineStr">
        <is>
          <t>["ISS-078-IMG-04", "ISS-078-DESC", "ISS-078-CANN", "ISS-078-META"]</t>
        </is>
      </c>
    </row>
    <row r="87" ht="42" customHeight="1">
      <c r="A87" s="3" t="inlineStr">
        <is>
          <t>jeminise.com+custom-inspirational-bible-verse-floral-blanket-d5</t>
        </is>
      </c>
      <c r="B87" s="3" t="inlineStr">
        <is>
          <t>D2</t>
        </is>
      </c>
      <c r="C87" s="3" t="n">
        <v>10</v>
      </c>
      <c r="D87" s="3" t="inlineStr">
        <is>
          <t>PARTIAL</t>
        </is>
      </c>
      <c r="E87" s="7">
        <f>IF(B87="I1",AVERAGEIF('QA_Images'!$A$2:$A$70,A87,'QA_Images'!$T$2:$T$70)/100,IF(D87="FULL",1,IF(D87="PARTIAL",0.5,IF(D87="FAIL",0,""))))</f>
        <v/>
      </c>
      <c r="F87" s="7">
        <f>IF(E87="",0,C87*E87)</f>
        <v/>
      </c>
      <c r="G87" s="7">
        <f>IF(B87="I1",20*AVERAGEIF('QA_Images'!$A$2:$A$70,A87,'QA_Images'!$U$2:$U$70)/100,IF(D87="NOT_CHECKED",0,C87))</f>
        <v/>
      </c>
      <c r="H87" s="3" t="inlineStr">
        <is>
          <t>Facts chính khớp nguồn, nhưng copy chưa publish-ready và chưa nói rõ ràng quy trình Customize.</t>
        </is>
      </c>
      <c r="I87" s="3" t="inlineStr">
        <is>
          <t>["evidence_batch_008_078", "https://jeminise.com/products/custom-inspirational-bible-verse-floral-blanket-d5", "serp_qa_078", "customizer_audit.json"]</t>
        </is>
      </c>
      <c r="J87" s="3" t="inlineStr">
        <is>
          <t>["ISS-078-IMG-04", "ISS-078-DESC", "ISS-078-CANN", "ISS-078-META"]</t>
        </is>
      </c>
    </row>
    <row r="88" ht="42" customHeight="1">
      <c r="A88" s="2" t="inlineStr">
        <is>
          <t>jeminise.com+custom-inspirational-bible-verse-floral-blanket-d5</t>
        </is>
      </c>
      <c r="B88" s="2" t="inlineStr">
        <is>
          <t>I1</t>
        </is>
      </c>
      <c r="C88" s="2" t="n">
        <v>20</v>
      </c>
      <c r="D88" s="2" t="inlineStr">
        <is>
          <t>DERIVED</t>
        </is>
      </c>
      <c r="E88" s="5">
        <f>IF(B88="I1",AVERAGEIF('QA_Images'!$A$2:$A$70,A88,'QA_Images'!$T$2:$T$70)/100,IF(D88="FULL",1,IF(D88="PARTIAL",0.5,IF(D88="FAIL",0,""))))</f>
        <v/>
      </c>
      <c r="F88" s="5">
        <f>IF(E88="",0,C88*E88)</f>
        <v/>
      </c>
      <c r="G88" s="5">
        <f>IF(B88="I1",20*AVERAGEIF('QA_Images'!$A$2:$A$70,A88,'QA_Images'!$U$2:$U$70)/100,IF(D88="NOT_CHECKED",0,C88))</f>
        <v/>
      </c>
      <c r="H88" s="2" t="inlineStr">
        <is>
          <t>Tính từ trung bình 8 ảnh: 98.7500/100.</t>
        </is>
      </c>
      <c r="I88" s="2" t="inlineStr">
        <is>
          <t>["evidence_batch_008_078", "https://jeminise.com/products/custom-inspirational-bible-verse-floral-blanket-d5", "serp_qa_078", "customizer_audit.json"]</t>
        </is>
      </c>
      <c r="J88" s="2" t="inlineStr">
        <is>
          <t>["ISS-078-IMG-04", "ISS-078-DESC", "ISS-078-CANN", "ISS-078-META"]</t>
        </is>
      </c>
    </row>
    <row r="89" ht="42" customHeight="1">
      <c r="A89" s="3" t="inlineStr">
        <is>
          <t>jeminise.com+custom-inspirational-bible-verse-floral-blanket-d5</t>
        </is>
      </c>
      <c r="B89" s="3" t="inlineStr">
        <is>
          <t>E1</t>
        </is>
      </c>
      <c r="C89" s="3" t="n">
        <v>5</v>
      </c>
      <c r="D89" s="3" t="inlineStr">
        <is>
          <t>PARTIAL</t>
        </is>
      </c>
      <c r="E89" s="7">
        <f>IF(B89="I1",AVERAGEIF('QA_Images'!$A$2:$A$70,A89,'QA_Images'!$T$2:$T$70)/100,IF(D89="FULL",1,IF(D89="PARTIAL",0.5,IF(D89="FAIL",0,""))))</f>
        <v/>
      </c>
      <c r="F89" s="7">
        <f>IF(E89="",0,C89*E89)</f>
        <v/>
      </c>
      <c r="G89" s="7">
        <f>IF(B89="I1",20*AVERAGEIF('QA_Images'!$A$2:$A$70,A89,'QA_Images'!$U$2:$U$70)/100,IF(D89="NOT_CHECKED",0,C89))</f>
        <v/>
      </c>
      <c r="H89" s="3" t="inlineStr">
        <is>
          <t>Chuỗi evidence được kiểm tra; thiếu admin export và chưa chạy cart persistence.</t>
        </is>
      </c>
      <c r="I89" s="3" t="inlineStr">
        <is>
          <t>["evidence_batch_008_078", "https://jeminise.com/products/custom-inspirational-bible-verse-floral-blanket-d5", "serp_qa_078", "customizer_audit.json"]</t>
        </is>
      </c>
      <c r="J89" s="3" t="inlineStr">
        <is>
          <t>["ISS-078-IMG-04", "ISS-078-DESC", "ISS-078-CANN", "ISS-078-META"]</t>
        </is>
      </c>
    </row>
    <row r="90" ht="42" customHeight="1">
      <c r="A90" s="2" t="inlineStr">
        <is>
          <t>jeminise.com+custom-inspirational-floral-butterfly-bible-verse-blanket-d4</t>
        </is>
      </c>
      <c r="B90" s="2" t="inlineStr">
        <is>
          <t>P1</t>
        </is>
      </c>
      <c r="C90" s="2" t="n">
        <v>15</v>
      </c>
      <c r="D90" s="2" t="inlineStr">
        <is>
          <t>FULL</t>
        </is>
      </c>
      <c r="E90" s="5">
        <f>IF(B90="I1",AVERAGEIF('QA_Images'!$A$2:$A$70,A90,'QA_Images'!$T$2:$T$70)/100,IF(D90="FULL",1,IF(D90="PARTIAL",0.5,IF(D90="FAIL",0,""))))</f>
        <v/>
      </c>
      <c r="F90" s="5">
        <f>IF(E90="",0,C90*E90)</f>
        <v/>
      </c>
      <c r="G90" s="5">
        <f>IF(B90="I1",20*AVERAGEIF('QA_Images'!$A$2:$A$70,A90,'QA_Images'!$U$2:$U$70)/100,IF(D90="NOT_CHECKED",0,C90))</f>
        <v/>
      </c>
      <c r="H90" s="2" t="inlineStr">
        <is>
          <t>Đối chiếu loại sản phẩm, thiết kế và màu với product JSON, H1 live và toàn bộ gallery.</t>
        </is>
      </c>
      <c r="I90" s="2" t="inlineStr">
        <is>
          <t>["evidence_batch_008_079", "https://jeminise.com/products/custom-inspirational-floral-butterfly-bible-verse-blanket-d4", "serp_qa_079", "customizer_audit.json"]</t>
        </is>
      </c>
      <c r="J90" s="2" t="inlineStr">
        <is>
          <t>["ISS-079-IMG-04", "ISS-079-DESC", "ISS-079-CANN", "ISS-079-META"]</t>
        </is>
      </c>
    </row>
    <row r="91" ht="42" customHeight="1">
      <c r="A91" s="3" t="inlineStr">
        <is>
          <t>jeminise.com+custom-inspirational-floral-butterfly-bible-verse-blanket-d4</t>
        </is>
      </c>
      <c r="B91" s="3" t="inlineStr">
        <is>
          <t>P2</t>
        </is>
      </c>
      <c r="C91" s="3" t="n">
        <v>10</v>
      </c>
      <c r="D91" s="3" t="inlineStr">
        <is>
          <t>FULL</t>
        </is>
      </c>
      <c r="E91" s="7">
        <f>IF(B91="I1",AVERAGEIF('QA_Images'!$A$2:$A$70,A91,'QA_Images'!$T$2:$T$70)/100,IF(D91="FULL",1,IF(D91="PARTIAL",0.5,IF(D91="FAIL",0,""))))</f>
        <v/>
      </c>
      <c r="F91" s="7">
        <f>IF(E91="",0,C91*E91)</f>
        <v/>
      </c>
      <c r="G91" s="7">
        <f>IF(B91="I1",20*AVERAGEIF('QA_Images'!$A$2:$A$70,A91,'QA_Images'!$U$2:$U$70)/100,IF(D91="NOT_CHECKED",0,C91))</f>
        <v/>
      </c>
      <c r="H91" s="3" t="inlineStr">
        <is>
          <t>Đã đối chiếu options, variants, description và cấu hình Amazon Customizer live có Name/Number.</t>
        </is>
      </c>
      <c r="I91" s="3" t="inlineStr">
        <is>
          <t>["evidence_batch_008_079", "https://jeminise.com/products/custom-inspirational-floral-butterfly-bible-verse-blanket-d4", "serp_qa_079", "customizer_audit.json"]</t>
        </is>
      </c>
      <c r="J91" s="3" t="inlineStr">
        <is>
          <t>["ISS-079-IMG-04", "ISS-079-DESC", "ISS-079-CANN", "ISS-079-META"]</t>
        </is>
      </c>
    </row>
    <row r="92" ht="42" customHeight="1">
      <c r="A92" s="2" t="inlineStr">
        <is>
          <t>jeminise.com+custom-inspirational-floral-butterfly-bible-verse-blanket-d4</t>
        </is>
      </c>
      <c r="B92" s="2" t="inlineStr">
        <is>
          <t>K1</t>
        </is>
      </c>
      <c r="C92" s="2" t="n">
        <v>10</v>
      </c>
      <c r="D92" s="2" t="inlineStr">
        <is>
          <t>FULL</t>
        </is>
      </c>
      <c r="E92" s="5">
        <f>IF(B92="I1",AVERAGEIF('QA_Images'!$A$2:$A$70,A92,'QA_Images'!$T$2:$T$70)/100,IF(D92="FULL",1,IF(D92="PARTIAL",0.5,IF(D92="FAIL",0,""))))</f>
        <v/>
      </c>
      <c r="F92" s="5">
        <f>IF(E92="",0,C92*E92)</f>
        <v/>
      </c>
      <c r="G92" s="5">
        <f>IF(B92="I1",20*AVERAGEIF('QA_Images'!$A$2:$A$70,A92,'QA_Images'!$U$2:$U$70)/100,IF(D92="NOT_CHECKED",0,C92))</f>
        <v/>
      </c>
      <c r="H92" s="2" t="inlineStr">
        <is>
          <t>Đối chiếu long-tail với thiết kế riêng và nguy cơ trùng intent trong cụm sản phẩm.</t>
        </is>
      </c>
      <c r="I92" s="2" t="inlineStr">
        <is>
          <t>["evidence_batch_008_079", "https://jeminise.com/products/custom-inspirational-floral-butterfly-bible-verse-blanket-d4", "serp_qa_079", "customizer_audit.json"]</t>
        </is>
      </c>
      <c r="J92" s="2" t="inlineStr">
        <is>
          <t>["ISS-079-IMG-04", "ISS-079-DESC", "ISS-079-CANN", "ISS-079-META"]</t>
        </is>
      </c>
    </row>
    <row r="93" ht="42" customHeight="1">
      <c r="A93" s="3" t="inlineStr">
        <is>
          <t>jeminise.com+custom-inspirational-floral-butterfly-bible-verse-blanket-d4</t>
        </is>
      </c>
      <c r="B93" s="3" t="inlineStr">
        <is>
          <t>K2</t>
        </is>
      </c>
      <c r="C93" s="3" t="n">
        <v>5</v>
      </c>
      <c r="D93" s="3" t="inlineStr">
        <is>
          <t>PARTIAL</t>
        </is>
      </c>
      <c r="E93" s="7">
        <f>IF(B93="I1",AVERAGEIF('QA_Images'!$A$2:$A$70,A93,'QA_Images'!$T$2:$T$70)/100,IF(D93="FULL",1,IF(D93="PARTIAL",0.5,IF(D93="FAIL",0,""))))</f>
        <v/>
      </c>
      <c r="F93" s="7">
        <f>IF(E93="",0,C93*E93)</f>
        <v/>
      </c>
      <c r="G93" s="7">
        <f>IF(B93="I1",20*AVERAGEIF('QA_Images'!$A$2:$A$70,A93,'QA_Images'!$U$2:$U$70)/100,IF(D93="NOT_CHECKED",0,C93))</f>
        <v/>
      </c>
      <c r="H93" s="3" t="inlineStr">
        <is>
          <t>Đã đọc primary và comparator SERP theo US commercial intent; nhiều kết quả là blanket/duvet nên chỉ PARTIAL.</t>
        </is>
      </c>
      <c r="I93" s="3" t="inlineStr">
        <is>
          <t>["evidence_batch_008_079", "https://jeminise.com/products/custom-inspirational-floral-butterfly-bible-verse-blanket-d4", "serp_qa_079", "customizer_audit.json"]</t>
        </is>
      </c>
      <c r="J93" s="3" t="inlineStr">
        <is>
          <t>["ISS-079-IMG-04", "ISS-079-DESC", "ISS-079-CANN", "ISS-079-META"]</t>
        </is>
      </c>
    </row>
    <row r="94" ht="42" customHeight="1">
      <c r="A94" s="2" t="inlineStr">
        <is>
          <t>jeminise.com+custom-inspirational-floral-butterfly-bible-verse-blanket-d4</t>
        </is>
      </c>
      <c r="B94" s="2" t="inlineStr">
        <is>
          <t>K3</t>
        </is>
      </c>
      <c r="C94" s="2" t="n">
        <v>5</v>
      </c>
      <c r="D94" s="2" t="inlineStr">
        <is>
          <t>PARTIAL</t>
        </is>
      </c>
      <c r="E94" s="5">
        <f>IF(B94="I1",AVERAGEIF('QA_Images'!$A$2:$A$70,A94,'QA_Images'!$T$2:$T$70)/100,IF(D94="FULL",1,IF(D94="PARTIAL",0.5,IF(D94="FAIL",0,""))))</f>
        <v/>
      </c>
      <c r="F94" s="5">
        <f>IF(E94="",0,C94*E94)</f>
        <v/>
      </c>
      <c r="G94" s="5">
        <f>IF(B94="I1",20*AVERAGEIF('QA_Images'!$A$2:$A$70,A94,'QA_Images'!$U$2:$U$70)/100,IF(D94="NOT_CHECKED",0,C94))</f>
        <v/>
      </c>
      <c r="H94" s="2" t="inlineStr">
        <is>
          <t>Modifier theo artwork có dùng nhưng mười trang cùng cluster còn nguy cơ cannibalization.</t>
        </is>
      </c>
      <c r="I94" s="2" t="inlineStr">
        <is>
          <t>["evidence_batch_008_079", "https://jeminise.com/products/custom-inspirational-floral-butterfly-bible-verse-blanket-d4", "serp_qa_079", "customizer_audit.json"]</t>
        </is>
      </c>
      <c r="J94" s="2" t="inlineStr">
        <is>
          <t>["ISS-079-IMG-04", "ISS-079-DESC", "ISS-079-CANN", "ISS-079-META"]</t>
        </is>
      </c>
    </row>
    <row r="95" ht="42" customHeight="1">
      <c r="A95" s="3" t="inlineStr">
        <is>
          <t>jeminise.com+custom-inspirational-floral-butterfly-bible-verse-blanket-d4</t>
        </is>
      </c>
      <c r="B95" s="3" t="inlineStr">
        <is>
          <t>T1</t>
        </is>
      </c>
      <c r="C95" s="3" t="n">
        <v>10</v>
      </c>
      <c r="D95" s="3" t="inlineStr">
        <is>
          <t>FULL</t>
        </is>
      </c>
      <c r="E95" s="7">
        <f>IF(B95="I1",AVERAGEIF('QA_Images'!$A$2:$A$70,A95,'QA_Images'!$T$2:$T$70)/100,IF(D95="FULL",1,IF(D95="PARTIAL",0.5,IF(D95="FAIL",0,""))))</f>
        <v/>
      </c>
      <c r="F95" s="7">
        <f>IF(E95="",0,C95*E95)</f>
        <v/>
      </c>
      <c r="G95" s="7">
        <f>IF(B95="I1",20*AVERAGEIF('QA_Images'!$A$2:$A$70,A95,'QA_Images'!$U$2:$U$70)/100,IF(D95="NOT_CHECKED",0,C95))</f>
        <v/>
      </c>
      <c r="H95" s="3" t="inlineStr">
        <is>
          <t>Đánh giá SEO title English về độ đúng, tự nhiên, keyword và điểm phân biệt.</t>
        </is>
      </c>
      <c r="I95" s="3" t="inlineStr">
        <is>
          <t>["evidence_batch_008_079", "https://jeminise.com/products/custom-inspirational-floral-butterfly-bible-verse-blanket-d4", "serp_qa_079", "customizer_audit.json"]</t>
        </is>
      </c>
      <c r="J95" s="3" t="inlineStr">
        <is>
          <t>["ISS-079-IMG-04", "ISS-079-DESC", "ISS-079-CANN", "ISS-079-META"]</t>
        </is>
      </c>
    </row>
    <row r="96" ht="42" customHeight="1">
      <c r="A96" s="2" t="inlineStr">
        <is>
          <t>jeminise.com+custom-inspirational-floral-butterfly-bible-verse-blanket-d4</t>
        </is>
      </c>
      <c r="B96" s="2" t="inlineStr">
        <is>
          <t>T2</t>
        </is>
      </c>
      <c r="C96" s="2" t="n">
        <v>5</v>
      </c>
      <c r="D96" s="2" t="inlineStr">
        <is>
          <t>PARTIAL</t>
        </is>
      </c>
      <c r="E96" s="5">
        <f>IF(B96="I1",AVERAGEIF('QA_Images'!$A$2:$A$70,A96,'QA_Images'!$T$2:$T$70)/100,IF(D96="FULL",1,IF(D96="PARTIAL",0.5,IF(D96="FAIL",0,""))))</f>
        <v/>
      </c>
      <c r="F96" s="5">
        <f>IF(E96="",0,C96*E96)</f>
        <v/>
      </c>
      <c r="G96" s="5">
        <f>IF(B96="I1",20*AVERAGEIF('QA_Images'!$A$2:$A$70,A96,'QA_Images'!$U$2:$U$70)/100,IF(D96="NOT_CHECKED",0,C96))</f>
        <v/>
      </c>
      <c r="H96" s="2" t="inlineStr">
        <is>
          <t>Meta đúng motif nhưng quá dài và chưa diễn đạt cơ chế Customize gọn, rõ.</t>
        </is>
      </c>
      <c r="I96" s="2" t="inlineStr">
        <is>
          <t>["evidence_batch_008_079", "https://jeminise.com/products/custom-inspirational-floral-butterfly-bible-verse-blanket-d4", "serp_qa_079", "customizer_audit.json"]</t>
        </is>
      </c>
      <c r="J96" s="2" t="inlineStr">
        <is>
          <t>["ISS-079-IMG-04", "ISS-079-DESC", "ISS-079-CANN", "ISS-079-META"]</t>
        </is>
      </c>
    </row>
    <row r="97" ht="42" customHeight="1">
      <c r="A97" s="3" t="inlineStr">
        <is>
          <t>jeminise.com+custom-inspirational-floral-butterfly-bible-verse-blanket-d4</t>
        </is>
      </c>
      <c r="B97" s="3" t="inlineStr">
        <is>
          <t>D1</t>
        </is>
      </c>
      <c r="C97" s="3" t="n">
        <v>5</v>
      </c>
      <c r="D97" s="3" t="inlineStr">
        <is>
          <t>FAIL</t>
        </is>
      </c>
      <c r="E97" s="7">
        <f>IF(B97="I1",AVERAGEIF('QA_Images'!$A$2:$A$70,A97,'QA_Images'!$T$2:$T$70)/100,IF(D97="FULL",1,IF(D97="PARTIAL",0.5,IF(D97="FAIL",0,""))))</f>
        <v/>
      </c>
      <c r="F97" s="7">
        <f>IF(E97="",0,C97*E97)</f>
        <v/>
      </c>
      <c r="G97" s="7">
        <f>IF(B97="I1",20*AVERAGEIF('QA_Images'!$A$2:$A$70,A97,'QA_Images'!$U$2:$U$70)/100,IF(D97="NOT_CHECKED",0,C97))</f>
        <v/>
      </c>
      <c r="H97" s="3" t="inlineStr">
        <is>
          <t>Description chứa nguyên khối SEO Use/QA/import nội bộ.</t>
        </is>
      </c>
      <c r="I97" s="3" t="inlineStr">
        <is>
          <t>["evidence_batch_008_079", "https://jeminise.com/products/custom-inspirational-floral-butterfly-bible-verse-blanket-d4", "serp_qa_079", "customizer_audit.json"]</t>
        </is>
      </c>
      <c r="J97" s="3" t="inlineStr">
        <is>
          <t>["ISS-079-IMG-04", "ISS-079-DESC", "ISS-079-CANN", "ISS-079-META"]</t>
        </is>
      </c>
    </row>
    <row r="98" ht="42" customHeight="1">
      <c r="A98" s="2" t="inlineStr">
        <is>
          <t>jeminise.com+custom-inspirational-floral-butterfly-bible-verse-blanket-d4</t>
        </is>
      </c>
      <c r="B98" s="2" t="inlineStr">
        <is>
          <t>D2</t>
        </is>
      </c>
      <c r="C98" s="2" t="n">
        <v>10</v>
      </c>
      <c r="D98" s="2" t="inlineStr">
        <is>
          <t>PARTIAL</t>
        </is>
      </c>
      <c r="E98" s="5">
        <f>IF(B98="I1",AVERAGEIF('QA_Images'!$A$2:$A$70,A98,'QA_Images'!$T$2:$T$70)/100,IF(D98="FULL",1,IF(D98="PARTIAL",0.5,IF(D98="FAIL",0,""))))</f>
        <v/>
      </c>
      <c r="F98" s="5">
        <f>IF(E98="",0,C98*E98)</f>
        <v/>
      </c>
      <c r="G98" s="5">
        <f>IF(B98="I1",20*AVERAGEIF('QA_Images'!$A$2:$A$70,A98,'QA_Images'!$U$2:$U$70)/100,IF(D98="NOT_CHECKED",0,C98))</f>
        <v/>
      </c>
      <c r="H98" s="2" t="inlineStr">
        <is>
          <t>Facts chính khớp nguồn, nhưng copy chưa publish-ready và chưa nói rõ ràng quy trình Customize.</t>
        </is>
      </c>
      <c r="I98" s="2" t="inlineStr">
        <is>
          <t>["evidence_batch_008_079", "https://jeminise.com/products/custom-inspirational-floral-butterfly-bible-verse-blanket-d4", "serp_qa_079", "customizer_audit.json"]</t>
        </is>
      </c>
      <c r="J98" s="2" t="inlineStr">
        <is>
          <t>["ISS-079-IMG-04", "ISS-079-DESC", "ISS-079-CANN", "ISS-079-META"]</t>
        </is>
      </c>
    </row>
    <row r="99" ht="42" customHeight="1">
      <c r="A99" s="3" t="inlineStr">
        <is>
          <t>jeminise.com+custom-inspirational-floral-butterfly-bible-verse-blanket-d4</t>
        </is>
      </c>
      <c r="B99" s="3" t="inlineStr">
        <is>
          <t>I1</t>
        </is>
      </c>
      <c r="C99" s="3" t="n">
        <v>20</v>
      </c>
      <c r="D99" s="3" t="inlineStr">
        <is>
          <t>DERIVED</t>
        </is>
      </c>
      <c r="E99" s="7">
        <f>IF(B99="I1",AVERAGEIF('QA_Images'!$A$2:$A$70,A99,'QA_Images'!$T$2:$T$70)/100,IF(D99="FULL",1,IF(D99="PARTIAL",0.5,IF(D99="FAIL",0,""))))</f>
        <v/>
      </c>
      <c r="F99" s="7">
        <f>IF(E99="",0,C99*E99)</f>
        <v/>
      </c>
      <c r="G99" s="7">
        <f>IF(B99="I1",20*AVERAGEIF('QA_Images'!$A$2:$A$70,A99,'QA_Images'!$U$2:$U$70)/100,IF(D99="NOT_CHECKED",0,C99))</f>
        <v/>
      </c>
      <c r="H99" s="3" t="inlineStr">
        <is>
          <t>Tính từ trung bình 9 ảnh: 98.8889/100.</t>
        </is>
      </c>
      <c r="I99" s="3" t="inlineStr">
        <is>
          <t>["evidence_batch_008_079", "https://jeminise.com/products/custom-inspirational-floral-butterfly-bible-verse-blanket-d4", "serp_qa_079", "customizer_audit.json"]</t>
        </is>
      </c>
      <c r="J99" s="3" t="inlineStr">
        <is>
          <t>["ISS-079-IMG-04", "ISS-079-DESC", "ISS-079-CANN", "ISS-079-META"]</t>
        </is>
      </c>
    </row>
    <row r="100" ht="42" customHeight="1">
      <c r="A100" s="2" t="inlineStr">
        <is>
          <t>jeminise.com+custom-inspirational-floral-butterfly-bible-verse-blanket-d4</t>
        </is>
      </c>
      <c r="B100" s="2" t="inlineStr">
        <is>
          <t>E1</t>
        </is>
      </c>
      <c r="C100" s="2" t="n">
        <v>5</v>
      </c>
      <c r="D100" s="2" t="inlineStr">
        <is>
          <t>PARTIAL</t>
        </is>
      </c>
      <c r="E100" s="5">
        <f>IF(B100="I1",AVERAGEIF('QA_Images'!$A$2:$A$70,A100,'QA_Images'!$T$2:$T$70)/100,IF(D100="FULL",1,IF(D100="PARTIAL",0.5,IF(D100="FAIL",0,""))))</f>
        <v/>
      </c>
      <c r="F100" s="5">
        <f>IF(E100="",0,C100*E100)</f>
        <v/>
      </c>
      <c r="G100" s="5">
        <f>IF(B100="I1",20*AVERAGEIF('QA_Images'!$A$2:$A$70,A100,'QA_Images'!$U$2:$U$70)/100,IF(D100="NOT_CHECKED",0,C100))</f>
        <v/>
      </c>
      <c r="H100" s="2" t="inlineStr">
        <is>
          <t>Chuỗi evidence được kiểm tra; thiếu admin export và chưa chạy cart persistence.</t>
        </is>
      </c>
      <c r="I100" s="2" t="inlineStr">
        <is>
          <t>["evidence_batch_008_079", "https://jeminise.com/products/custom-inspirational-floral-butterfly-bible-verse-blanket-d4", "serp_qa_079", "customizer_audit.json"]</t>
        </is>
      </c>
      <c r="J100" s="2" t="inlineStr">
        <is>
          <t>["ISS-079-IMG-04", "ISS-079-DESC", "ISS-079-CANN", "ISS-079-META"]</t>
        </is>
      </c>
    </row>
    <row r="101" ht="42" customHeight="1">
      <c r="A101" s="3" t="inlineStr">
        <is>
          <t>jeminise.com+custom-inspirational-scripture-butterflies-blanket-machine-washable</t>
        </is>
      </c>
      <c r="B101" s="3" t="inlineStr">
        <is>
          <t>P1</t>
        </is>
      </c>
      <c r="C101" s="3" t="n">
        <v>15</v>
      </c>
      <c r="D101" s="3" t="inlineStr">
        <is>
          <t>FULL</t>
        </is>
      </c>
      <c r="E101" s="7">
        <f>IF(B101="I1",AVERAGEIF('QA_Images'!$A$2:$A$70,A101,'QA_Images'!$T$2:$T$70)/100,IF(D101="FULL",1,IF(D101="PARTIAL",0.5,IF(D101="FAIL",0,""))))</f>
        <v/>
      </c>
      <c r="F101" s="7">
        <f>IF(E101="",0,C101*E101)</f>
        <v/>
      </c>
      <c r="G101" s="7">
        <f>IF(B101="I1",20*AVERAGEIF('QA_Images'!$A$2:$A$70,A101,'QA_Images'!$U$2:$U$70)/100,IF(D101="NOT_CHECKED",0,C101))</f>
        <v/>
      </c>
      <c r="H101" s="3" t="inlineStr">
        <is>
          <t>Đối chiếu loại sản phẩm, thiết kế và màu với product JSON, H1 live và toàn bộ gallery.</t>
        </is>
      </c>
      <c r="I101" s="3" t="inlineStr">
        <is>
          <t>["evidence_batch_008_080", "https://jeminise.com/products/custom-inspirational-scripture-butterflies-blanket-machine-washable", "serp_qa_080", "customizer_audit.json"]</t>
        </is>
      </c>
      <c r="J101" s="3" t="inlineStr">
        <is>
          <t>["ISS-080-IMG-04", "ISS-080-DESC", "ISS-080-CANN", "ISS-080-META"]</t>
        </is>
      </c>
    </row>
    <row r="102" ht="42" customHeight="1">
      <c r="A102" s="2" t="inlineStr">
        <is>
          <t>jeminise.com+custom-inspirational-scripture-butterflies-blanket-machine-washable</t>
        </is>
      </c>
      <c r="B102" s="2" t="inlineStr">
        <is>
          <t>P2</t>
        </is>
      </c>
      <c r="C102" s="2" t="n">
        <v>10</v>
      </c>
      <c r="D102" s="2" t="inlineStr">
        <is>
          <t>FULL</t>
        </is>
      </c>
      <c r="E102" s="5">
        <f>IF(B102="I1",AVERAGEIF('QA_Images'!$A$2:$A$70,A102,'QA_Images'!$T$2:$T$70)/100,IF(D102="FULL",1,IF(D102="PARTIAL",0.5,IF(D102="FAIL",0,""))))</f>
        <v/>
      </c>
      <c r="F102" s="5">
        <f>IF(E102="",0,C102*E102)</f>
        <v/>
      </c>
      <c r="G102" s="5">
        <f>IF(B102="I1",20*AVERAGEIF('QA_Images'!$A$2:$A$70,A102,'QA_Images'!$U$2:$U$70)/100,IF(D102="NOT_CHECKED",0,C102))</f>
        <v/>
      </c>
      <c r="H102" s="2" t="inlineStr">
        <is>
          <t>Đã đối chiếu options, variants, description và cấu hình Amazon Customizer live có Name/Number.</t>
        </is>
      </c>
      <c r="I102" s="2" t="inlineStr">
        <is>
          <t>["evidence_batch_008_080", "https://jeminise.com/products/custom-inspirational-scripture-butterflies-blanket-machine-washable", "serp_qa_080", "customizer_audit.json"]</t>
        </is>
      </c>
      <c r="J102" s="2" t="inlineStr">
        <is>
          <t>["ISS-080-IMG-04", "ISS-080-DESC", "ISS-080-CANN", "ISS-080-META"]</t>
        </is>
      </c>
    </row>
    <row r="103" ht="42" customHeight="1">
      <c r="A103" s="3" t="inlineStr">
        <is>
          <t>jeminise.com+custom-inspirational-scripture-butterflies-blanket-machine-washable</t>
        </is>
      </c>
      <c r="B103" s="3" t="inlineStr">
        <is>
          <t>K1</t>
        </is>
      </c>
      <c r="C103" s="3" t="n">
        <v>10</v>
      </c>
      <c r="D103" s="3" t="inlineStr">
        <is>
          <t>FULL</t>
        </is>
      </c>
      <c r="E103" s="7">
        <f>IF(B103="I1",AVERAGEIF('QA_Images'!$A$2:$A$70,A103,'QA_Images'!$T$2:$T$70)/100,IF(D103="FULL",1,IF(D103="PARTIAL",0.5,IF(D103="FAIL",0,""))))</f>
        <v/>
      </c>
      <c r="F103" s="7">
        <f>IF(E103="",0,C103*E103)</f>
        <v/>
      </c>
      <c r="G103" s="7">
        <f>IF(B103="I1",20*AVERAGEIF('QA_Images'!$A$2:$A$70,A103,'QA_Images'!$U$2:$U$70)/100,IF(D103="NOT_CHECKED",0,C103))</f>
        <v/>
      </c>
      <c r="H103" s="3" t="inlineStr">
        <is>
          <t>Đối chiếu long-tail với thiết kế riêng và nguy cơ trùng intent trong cụm sản phẩm.</t>
        </is>
      </c>
      <c r="I103" s="3" t="inlineStr">
        <is>
          <t>["evidence_batch_008_080", "https://jeminise.com/products/custom-inspirational-scripture-butterflies-blanket-machine-washable", "serp_qa_080", "customizer_audit.json"]</t>
        </is>
      </c>
      <c r="J103" s="3" t="inlineStr">
        <is>
          <t>["ISS-080-IMG-04", "ISS-080-DESC", "ISS-080-CANN", "ISS-080-META"]</t>
        </is>
      </c>
    </row>
    <row r="104" ht="42" customHeight="1">
      <c r="A104" s="2" t="inlineStr">
        <is>
          <t>jeminise.com+custom-inspirational-scripture-butterflies-blanket-machine-washable</t>
        </is>
      </c>
      <c r="B104" s="2" t="inlineStr">
        <is>
          <t>K2</t>
        </is>
      </c>
      <c r="C104" s="2" t="n">
        <v>5</v>
      </c>
      <c r="D104" s="2" t="inlineStr">
        <is>
          <t>PARTIAL</t>
        </is>
      </c>
      <c r="E104" s="5">
        <f>IF(B104="I1",AVERAGEIF('QA_Images'!$A$2:$A$70,A104,'QA_Images'!$T$2:$T$70)/100,IF(D104="FULL",1,IF(D104="PARTIAL",0.5,IF(D104="FAIL",0,""))))</f>
        <v/>
      </c>
      <c r="F104" s="5">
        <f>IF(E104="",0,C104*E104)</f>
        <v/>
      </c>
      <c r="G104" s="5">
        <f>IF(B104="I1",20*AVERAGEIF('QA_Images'!$A$2:$A$70,A104,'QA_Images'!$U$2:$U$70)/100,IF(D104="NOT_CHECKED",0,C104))</f>
        <v/>
      </c>
      <c r="H104" s="2" t="inlineStr">
        <is>
          <t>Đã đọc primary và comparator SERP theo US commercial intent; nhiều kết quả là blanket/duvet nên chỉ PARTIAL.</t>
        </is>
      </c>
      <c r="I104" s="2" t="inlineStr">
        <is>
          <t>["evidence_batch_008_080", "https://jeminise.com/products/custom-inspirational-scripture-butterflies-blanket-machine-washable", "serp_qa_080", "customizer_audit.json"]</t>
        </is>
      </c>
      <c r="J104" s="2" t="inlineStr">
        <is>
          <t>["ISS-080-IMG-04", "ISS-080-DESC", "ISS-080-CANN", "ISS-080-META"]</t>
        </is>
      </c>
    </row>
    <row r="105" ht="42" customHeight="1">
      <c r="A105" s="3" t="inlineStr">
        <is>
          <t>jeminise.com+custom-inspirational-scripture-butterflies-blanket-machine-washable</t>
        </is>
      </c>
      <c r="B105" s="3" t="inlineStr">
        <is>
          <t>K3</t>
        </is>
      </c>
      <c r="C105" s="3" t="n">
        <v>5</v>
      </c>
      <c r="D105" s="3" t="inlineStr">
        <is>
          <t>PARTIAL</t>
        </is>
      </c>
      <c r="E105" s="7">
        <f>IF(B105="I1",AVERAGEIF('QA_Images'!$A$2:$A$70,A105,'QA_Images'!$T$2:$T$70)/100,IF(D105="FULL",1,IF(D105="PARTIAL",0.5,IF(D105="FAIL",0,""))))</f>
        <v/>
      </c>
      <c r="F105" s="7">
        <f>IF(E105="",0,C105*E105)</f>
        <v/>
      </c>
      <c r="G105" s="7">
        <f>IF(B105="I1",20*AVERAGEIF('QA_Images'!$A$2:$A$70,A105,'QA_Images'!$U$2:$U$70)/100,IF(D105="NOT_CHECKED",0,C105))</f>
        <v/>
      </c>
      <c r="H105" s="3" t="inlineStr">
        <is>
          <t>Modifier theo artwork có dùng nhưng mười trang cùng cluster còn nguy cơ cannibalization.</t>
        </is>
      </c>
      <c r="I105" s="3" t="inlineStr">
        <is>
          <t>["evidence_batch_008_080", "https://jeminise.com/products/custom-inspirational-scripture-butterflies-blanket-machine-washable", "serp_qa_080", "customizer_audit.json"]</t>
        </is>
      </c>
      <c r="J105" s="3" t="inlineStr">
        <is>
          <t>["ISS-080-IMG-04", "ISS-080-DESC", "ISS-080-CANN", "ISS-080-META"]</t>
        </is>
      </c>
    </row>
    <row r="106" ht="42" customHeight="1">
      <c r="A106" s="2" t="inlineStr">
        <is>
          <t>jeminise.com+custom-inspirational-scripture-butterflies-blanket-machine-washable</t>
        </is>
      </c>
      <c r="B106" s="2" t="inlineStr">
        <is>
          <t>T1</t>
        </is>
      </c>
      <c r="C106" s="2" t="n">
        <v>10</v>
      </c>
      <c r="D106" s="2" t="inlineStr">
        <is>
          <t>FULL</t>
        </is>
      </c>
      <c r="E106" s="5">
        <f>IF(B106="I1",AVERAGEIF('QA_Images'!$A$2:$A$70,A106,'QA_Images'!$T$2:$T$70)/100,IF(D106="FULL",1,IF(D106="PARTIAL",0.5,IF(D106="FAIL",0,""))))</f>
        <v/>
      </c>
      <c r="F106" s="5">
        <f>IF(E106="",0,C106*E106)</f>
        <v/>
      </c>
      <c r="G106" s="5">
        <f>IF(B106="I1",20*AVERAGEIF('QA_Images'!$A$2:$A$70,A106,'QA_Images'!$U$2:$U$70)/100,IF(D106="NOT_CHECKED",0,C106))</f>
        <v/>
      </c>
      <c r="H106" s="2" t="inlineStr">
        <is>
          <t>Đánh giá SEO title English về độ đúng, tự nhiên, keyword và điểm phân biệt.</t>
        </is>
      </c>
      <c r="I106" s="2" t="inlineStr">
        <is>
          <t>["evidence_batch_008_080", "https://jeminise.com/products/custom-inspirational-scripture-butterflies-blanket-machine-washable", "serp_qa_080", "customizer_audit.json"]</t>
        </is>
      </c>
      <c r="J106" s="2" t="inlineStr">
        <is>
          <t>["ISS-080-IMG-04", "ISS-080-DESC", "ISS-080-CANN", "ISS-080-META"]</t>
        </is>
      </c>
    </row>
    <row r="107" ht="42" customHeight="1">
      <c r="A107" s="3" t="inlineStr">
        <is>
          <t>jeminise.com+custom-inspirational-scripture-butterflies-blanket-machine-washable</t>
        </is>
      </c>
      <c r="B107" s="3" t="inlineStr">
        <is>
          <t>T2</t>
        </is>
      </c>
      <c r="C107" s="3" t="n">
        <v>5</v>
      </c>
      <c r="D107" s="3" t="inlineStr">
        <is>
          <t>PARTIAL</t>
        </is>
      </c>
      <c r="E107" s="7">
        <f>IF(B107="I1",AVERAGEIF('QA_Images'!$A$2:$A$70,A107,'QA_Images'!$T$2:$T$70)/100,IF(D107="FULL",1,IF(D107="PARTIAL",0.5,IF(D107="FAIL",0,""))))</f>
        <v/>
      </c>
      <c r="F107" s="7">
        <f>IF(E107="",0,C107*E107)</f>
        <v/>
      </c>
      <c r="G107" s="7">
        <f>IF(B107="I1",20*AVERAGEIF('QA_Images'!$A$2:$A$70,A107,'QA_Images'!$U$2:$U$70)/100,IF(D107="NOT_CHECKED",0,C107))</f>
        <v/>
      </c>
      <c r="H107" s="3" t="inlineStr">
        <is>
          <t>Meta đúng motif nhưng quá dài và chưa diễn đạt cơ chế Customize gọn, rõ.</t>
        </is>
      </c>
      <c r="I107" s="3" t="inlineStr">
        <is>
          <t>["evidence_batch_008_080", "https://jeminise.com/products/custom-inspirational-scripture-butterflies-blanket-machine-washable", "serp_qa_080", "customizer_audit.json"]</t>
        </is>
      </c>
      <c r="J107" s="3" t="inlineStr">
        <is>
          <t>["ISS-080-IMG-04", "ISS-080-DESC", "ISS-080-CANN", "ISS-080-META"]</t>
        </is>
      </c>
    </row>
    <row r="108" ht="42" customHeight="1">
      <c r="A108" s="2" t="inlineStr">
        <is>
          <t>jeminise.com+custom-inspirational-scripture-butterflies-blanket-machine-washable</t>
        </is>
      </c>
      <c r="B108" s="2" t="inlineStr">
        <is>
          <t>D1</t>
        </is>
      </c>
      <c r="C108" s="2" t="n">
        <v>5</v>
      </c>
      <c r="D108" s="2" t="inlineStr">
        <is>
          <t>FAIL</t>
        </is>
      </c>
      <c r="E108" s="5">
        <f>IF(B108="I1",AVERAGEIF('QA_Images'!$A$2:$A$70,A108,'QA_Images'!$T$2:$T$70)/100,IF(D108="FULL",1,IF(D108="PARTIAL",0.5,IF(D108="FAIL",0,""))))</f>
        <v/>
      </c>
      <c r="F108" s="5">
        <f>IF(E108="",0,C108*E108)</f>
        <v/>
      </c>
      <c r="G108" s="5">
        <f>IF(B108="I1",20*AVERAGEIF('QA_Images'!$A$2:$A$70,A108,'QA_Images'!$U$2:$U$70)/100,IF(D108="NOT_CHECKED",0,C108))</f>
        <v/>
      </c>
      <c r="H108" s="2" t="inlineStr">
        <is>
          <t>Description chứa nguyên khối SEO Use/QA/import nội bộ.</t>
        </is>
      </c>
      <c r="I108" s="2" t="inlineStr">
        <is>
          <t>["evidence_batch_008_080", "https://jeminise.com/products/custom-inspirational-scripture-butterflies-blanket-machine-washable", "serp_qa_080", "customizer_audit.json"]</t>
        </is>
      </c>
      <c r="J108" s="2" t="inlineStr">
        <is>
          <t>["ISS-080-IMG-04", "ISS-080-DESC", "ISS-080-CANN", "ISS-080-META"]</t>
        </is>
      </c>
    </row>
    <row r="109" ht="42" customHeight="1">
      <c r="A109" s="3" t="inlineStr">
        <is>
          <t>jeminise.com+custom-inspirational-scripture-butterflies-blanket-machine-washable</t>
        </is>
      </c>
      <c r="B109" s="3" t="inlineStr">
        <is>
          <t>D2</t>
        </is>
      </c>
      <c r="C109" s="3" t="n">
        <v>10</v>
      </c>
      <c r="D109" s="3" t="inlineStr">
        <is>
          <t>PARTIAL</t>
        </is>
      </c>
      <c r="E109" s="7">
        <f>IF(B109="I1",AVERAGEIF('QA_Images'!$A$2:$A$70,A109,'QA_Images'!$T$2:$T$70)/100,IF(D109="FULL",1,IF(D109="PARTIAL",0.5,IF(D109="FAIL",0,""))))</f>
        <v/>
      </c>
      <c r="F109" s="7">
        <f>IF(E109="",0,C109*E109)</f>
        <v/>
      </c>
      <c r="G109" s="7">
        <f>IF(B109="I1",20*AVERAGEIF('QA_Images'!$A$2:$A$70,A109,'QA_Images'!$U$2:$U$70)/100,IF(D109="NOT_CHECKED",0,C109))</f>
        <v/>
      </c>
      <c r="H109" s="3" t="inlineStr">
        <is>
          <t>Facts chính khớp nguồn, nhưng copy chưa publish-ready và chưa nói rõ ràng quy trình Customize.</t>
        </is>
      </c>
      <c r="I109" s="3" t="inlineStr">
        <is>
          <t>["evidence_batch_008_080", "https://jeminise.com/products/custom-inspirational-scripture-butterflies-blanket-machine-washable", "serp_qa_080", "customizer_audit.json"]</t>
        </is>
      </c>
      <c r="J109" s="3" t="inlineStr">
        <is>
          <t>["ISS-080-IMG-04", "ISS-080-DESC", "ISS-080-CANN", "ISS-080-META"]</t>
        </is>
      </c>
    </row>
    <row r="110" ht="42" customHeight="1">
      <c r="A110" s="2" t="inlineStr">
        <is>
          <t>jeminise.com+custom-inspirational-scripture-butterflies-blanket-machine-washable</t>
        </is>
      </c>
      <c r="B110" s="2" t="inlineStr">
        <is>
          <t>I1</t>
        </is>
      </c>
      <c r="C110" s="2" t="n">
        <v>20</v>
      </c>
      <c r="D110" s="2" t="inlineStr">
        <is>
          <t>DERIVED</t>
        </is>
      </c>
      <c r="E110" s="5">
        <f>IF(B110="I1",AVERAGEIF('QA_Images'!$A$2:$A$70,A110,'QA_Images'!$T$2:$T$70)/100,IF(D110="FULL",1,IF(D110="PARTIAL",0.5,IF(D110="FAIL",0,""))))</f>
        <v/>
      </c>
      <c r="F110" s="5">
        <f>IF(E110="",0,C110*E110)</f>
        <v/>
      </c>
      <c r="G110" s="5">
        <f>IF(B110="I1",20*AVERAGEIF('QA_Images'!$A$2:$A$70,A110,'QA_Images'!$U$2:$U$70)/100,IF(D110="NOT_CHECKED",0,C110))</f>
        <v/>
      </c>
      <c r="H110" s="2" t="inlineStr">
        <is>
          <t>Tính từ trung bình 8 ảnh: 98.7500/100.</t>
        </is>
      </c>
      <c r="I110" s="2" t="inlineStr">
        <is>
          <t>["evidence_batch_008_080", "https://jeminise.com/products/custom-inspirational-scripture-butterflies-blanket-machine-washable", "serp_qa_080", "customizer_audit.json"]</t>
        </is>
      </c>
      <c r="J110" s="2" t="inlineStr">
        <is>
          <t>["ISS-080-IMG-04", "ISS-080-DESC", "ISS-080-CANN", "ISS-080-META"]</t>
        </is>
      </c>
    </row>
    <row r="111" ht="42" customHeight="1">
      <c r="A111" s="3" t="inlineStr">
        <is>
          <t>jeminise.com+custom-inspirational-scripture-butterflies-blanket-machine-washable</t>
        </is>
      </c>
      <c r="B111" s="3" t="inlineStr">
        <is>
          <t>E1</t>
        </is>
      </c>
      <c r="C111" s="3" t="n">
        <v>5</v>
      </c>
      <c r="D111" s="3" t="inlineStr">
        <is>
          <t>PARTIAL</t>
        </is>
      </c>
      <c r="E111" s="7">
        <f>IF(B111="I1",AVERAGEIF('QA_Images'!$A$2:$A$70,A111,'QA_Images'!$T$2:$T$70)/100,IF(D111="FULL",1,IF(D111="PARTIAL",0.5,IF(D111="FAIL",0,""))))</f>
        <v/>
      </c>
      <c r="F111" s="7">
        <f>IF(E111="",0,C111*E111)</f>
        <v/>
      </c>
      <c r="G111" s="7">
        <f>IF(B111="I1",20*AVERAGEIF('QA_Images'!$A$2:$A$70,A111,'QA_Images'!$U$2:$U$70)/100,IF(D111="NOT_CHECKED",0,C111))</f>
        <v/>
      </c>
      <c r="H111" s="3" t="inlineStr">
        <is>
          <t>Chuỗi evidence được kiểm tra; thiếu admin export và chưa chạy cart persistence.</t>
        </is>
      </c>
      <c r="I111" s="3" t="inlineStr">
        <is>
          <t>["evidence_batch_008_080", "https://jeminise.com/products/custom-inspirational-scripture-butterflies-blanket-machine-washable", "serp_qa_080", "customizer_audit.json"]</t>
        </is>
      </c>
      <c r="J111" s="3" t="inlineStr">
        <is>
          <t>["ISS-080-IMG-04", "ISS-080-DESC", "ISS-080-CANN", "ISS-080-META"]</t>
        </is>
      </c>
    </row>
  </sheetData>
  <autoFilter ref="A1:J111"/>
  <printOptions horizontalCentered="0"/>
  <pageMargins left="0.25" right="0.25" top="0.5" bottom="0.5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7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38" customWidth="1" min="3" max="3"/>
    <col width="38" customWidth="1" min="4" max="4"/>
    <col width="20" customWidth="1" min="5" max="5"/>
    <col width="38" customWidth="1" min="6" max="6"/>
    <col width="11" customWidth="1" min="7" max="7"/>
    <col width="16" customWidth="1" min="8" max="8"/>
    <col width="23" customWidth="1" min="9" max="9"/>
    <col width="24" customWidth="1" min="10" max="10"/>
    <col width="42" customWidth="1" min="11" max="11"/>
    <col width="42" customWidth="1" min="12" max="12"/>
    <col width="24" customWidth="1" min="13" max="13"/>
    <col width="12" customWidth="1" min="14" max="14"/>
    <col width="42" customWidth="1" min="15" max="15"/>
    <col width="11" customWidth="1" min="16" max="16"/>
    <col width="11" customWidth="1" min="17" max="17"/>
    <col width="11" customWidth="1" min="18" max="18"/>
    <col width="11" customWidth="1" min="19" max="19"/>
    <col width="24" customWidth="1" min="20" max="20"/>
    <col width="24" customWidth="1" min="21" max="21"/>
    <col width="21" customWidth="1" min="22" max="22"/>
    <col width="24" customWidth="1" min="23" max="23"/>
    <col width="24" customWidth="1" min="24" max="24"/>
    <col width="42" customWidth="1" min="25" max="25"/>
    <col width="42" customWidth="1" min="26" max="26"/>
  </cols>
  <sheetData>
    <row r="1" ht="32" customHeight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workbook_image_id</t>
        </is>
      </c>
      <c r="G1" s="1" t="inlineStr">
        <is>
          <t>variant</t>
        </is>
      </c>
      <c r="H1" s="1" t="inlineStr">
        <is>
          <t>image_location</t>
        </is>
      </c>
      <c r="I1" s="1" t="inlineStr">
        <is>
          <t>check_method</t>
        </is>
      </c>
      <c r="J1" s="1" t="inlineStr">
        <is>
          <t>checked_at</t>
        </is>
      </c>
      <c r="K1" s="1" t="inlineStr">
        <is>
          <t>qa_observation</t>
        </is>
      </c>
      <c r="L1" s="1" t="inlineStr">
        <is>
          <t>submitted_observation</t>
        </is>
      </c>
      <c r="M1" s="1" t="inlineStr">
        <is>
          <t>storefront_alt_observed</t>
        </is>
      </c>
      <c r="N1" s="1" t="inlineStr">
        <is>
          <t>alt_action</t>
        </is>
      </c>
      <c r="O1" s="1" t="inlineStr">
        <is>
          <t>alt_effective</t>
        </is>
      </c>
      <c r="P1" s="1" t="inlineStr">
        <is>
          <t>IM1</t>
        </is>
      </c>
      <c r="Q1" s="1" t="inlineStr">
        <is>
          <t>IM2</t>
        </is>
      </c>
      <c r="R1" s="1" t="inlineStr">
        <is>
          <t>IM3</t>
        </is>
      </c>
      <c r="S1" s="1" t="inlineStr">
        <is>
          <t>IM4</t>
        </is>
      </c>
      <c r="T1" s="1" t="inlineStr">
        <is>
          <t>image_verified_points</t>
        </is>
      </c>
      <c r="U1" s="1" t="inlineStr">
        <is>
          <t>image_assessed_weight</t>
        </is>
      </c>
      <c r="V1" s="1" t="inlineStr">
        <is>
          <t>image_final_score</t>
        </is>
      </c>
      <c r="W1" s="1" t="inlineStr">
        <is>
          <t>image_score_lower_bound</t>
        </is>
      </c>
      <c r="X1" s="1" t="inlineStr">
        <is>
          <t>image_score_upper_bound</t>
        </is>
      </c>
      <c r="Y1" s="1" t="inlineStr">
        <is>
          <t>issue_refs</t>
        </is>
      </c>
      <c r="Z1" s="1" t="inlineStr">
        <is>
          <t>evidence_refs</t>
        </is>
      </c>
    </row>
    <row r="2" ht="66" customHeight="1">
      <c r="A2" s="2" t="inlineStr">
        <is>
          <t>jeminise.com+custom-football-player-running-with-ball-comforter-c9c2aecff2-c9c2aecff2</t>
        </is>
      </c>
      <c r="B2" s="2" t="inlineStr">
        <is>
          <t>qaimg_5919b716f502e6f6</t>
        </is>
      </c>
      <c r="C2" s="4" t="inlineStr">
        <is>
          <t>https://cdn.shopify.com/s/files/1/0792/5098/1063/files/8ba31f3002b8afee5677ebffe7ff3c478193dcca2f2a9d1e34829e5a5672ad2d.jpg?v=1785101684</t>
        </is>
      </c>
      <c r="D2" s="4" t="inlineStr">
        <is>
          <t>https://cdn.shopify.com/s/files/1/0792/5098/1063/files/8ba31f3002b8afee5677ebffe7ff3c478193dcca2f2a9d1e34829e5a5672ad2d.jpg?v=1785101684</t>
        </is>
      </c>
      <c r="E2" s="2" t="inlineStr">
        <is>
          <t>38506847174855</t>
        </is>
      </c>
      <c r="F2" s="2" t="inlineStr">
        <is>
          <t>47540286849223</t>
        </is>
      </c>
      <c r="G2" s="2" t="inlineStr"/>
      <c r="H2" s="2" t="inlineStr">
        <is>
          <t>GALLERY</t>
        </is>
      </c>
      <c r="I2" s="2" t="inlineStr">
        <is>
          <t>DIRECT_ORIGINAL_IMAGE</t>
        </is>
      </c>
      <c r="J2" s="2" t="inlineStr">
        <is>
          <t>2026-09-07T17:43:56.502970+07:00</t>
        </is>
      </c>
      <c r="K2" s="2" t="inlineStr">
        <is>
          <t>Directly inspected gallery image 1 for teal and black running football player with orange flame trails, name Brian and number 3.</t>
        </is>
      </c>
      <c r="L2" s="2" t="inlineStr">
        <is>
          <t>Main product mockup showing personalized running football player comforter with Brian number 3.</t>
        </is>
      </c>
      <c r="M2" s="2" t="inlineStr">
        <is>
          <t>Custom Football Player Running Sideways Comforter</t>
        </is>
      </c>
      <c r="N2" s="2" t="inlineStr">
        <is>
          <t>SET</t>
        </is>
      </c>
      <c r="O2" s="2" t="inlineStr">
        <is>
          <t>Personalized Running Football Player Comforter displayed in a main product mockup</t>
        </is>
      </c>
      <c r="P2" s="2" t="inlineStr">
        <is>
          <t>FULL</t>
        </is>
      </c>
      <c r="Q2" s="2" t="inlineStr">
        <is>
          <t>FULL</t>
        </is>
      </c>
      <c r="R2" s="2" t="inlineStr">
        <is>
          <t>FULL</t>
        </is>
      </c>
      <c r="S2" s="2" t="inlineStr">
        <is>
          <t>FULL</t>
        </is>
      </c>
      <c r="T2" s="5">
        <f>IF(P2="FULL",40,IF(P2="PARTIAL",40/2,0))+IF(Q2="FULL",30,IF(Q2="PARTIAL",30/2,0))+IF(R2="FULL",20,IF(R2="PARTIAL",20/2,0))+IF(S2="FULL",10,IF(S2="PARTIAL",10/2,0))</f>
        <v/>
      </c>
      <c r="U2" s="5">
        <f>IF(P2="NOT_CHECKED",0,40)+IF(Q2="NOT_CHECKED",0,30)+IF(R2="NOT_CHECKED",0,20)+IF(S2="NOT_CHECKED",0,10)</f>
        <v/>
      </c>
      <c r="V2" s="5">
        <f>IF(U2=100,T2,"")</f>
        <v/>
      </c>
      <c r="W2" s="5">
        <f>T2</f>
        <v/>
      </c>
      <c r="X2" s="5">
        <f>T2+(100-U2)</f>
        <v/>
      </c>
      <c r="Y2" s="2" t="inlineStr">
        <is>
          <t>[]</t>
        </is>
      </c>
      <c r="Z2" s="2" t="inlineStr">
        <is>
          <t>["seo_runs\\jeminise.com\\20260906_234129\\evidence\\images\\71_custom-football-player-running-with-ball-comforter-c9c2aecff2-c9c2aecff2\\image_01_47540286849223.jpg; seo_runs\\jeminise.com\\20260906_234129\\evidence\\contact_sheets\\71_custom-football-player-running-with-ball-comforter-c9c2aecff2-c9c2aecff2.jpg", "https://jeminise.com/products/custom-football-player-running-with-ball-comforter-c9c2aecff2-c9c2aecff2", "https://cdn.shopify.com/s/files/1/0792/5098/1063/files/8ba31f3002b8afee5677ebffe7ff3c478193dcca2f2a9d1e34829e5a5672ad2d.jpg?v=1785101684"]</t>
        </is>
      </c>
    </row>
    <row r="3" ht="66" customHeight="1">
      <c r="A3" s="3" t="inlineStr">
        <is>
          <t>jeminise.com+custom-football-player-running-with-ball-comforter-c9c2aecff2-c9c2aecff2</t>
        </is>
      </c>
      <c r="B3" s="3" t="inlineStr">
        <is>
          <t>qaimg_e936b73869e3d2b4</t>
        </is>
      </c>
      <c r="C3" s="4" t="inlineStr">
        <is>
          <t>https://cdn.shopify.com/s/files/1/0792/5098/1063/files/2c8cc0e1156a54c17df3275504a709733562f18eab95974bd50d2c5bae799d81.jpg?v=1785101684</t>
        </is>
      </c>
      <c r="D3" s="4" t="inlineStr">
        <is>
          <t>https://cdn.shopify.com/s/files/1/0792/5098/1063/files/2c8cc0e1156a54c17df3275504a709733562f18eab95974bd50d2c5bae799d81.jpg?v=1785101684</t>
        </is>
      </c>
      <c r="E3" s="3" t="inlineStr">
        <is>
          <t>38506847207623</t>
        </is>
      </c>
      <c r="F3" s="3" t="inlineStr">
        <is>
          <t>47540286881991</t>
        </is>
      </c>
      <c r="G3" s="3" t="inlineStr"/>
      <c r="H3" s="3" t="inlineStr">
        <is>
          <t>GALLERY</t>
        </is>
      </c>
      <c r="I3" s="3" t="inlineStr">
        <is>
          <t>DIRECT_ORIGINAL_IMAGE</t>
        </is>
      </c>
      <c r="J3" s="3" t="inlineStr">
        <is>
          <t>2026-09-07T17:43:56.502970+07:00</t>
        </is>
      </c>
      <c r="K3" s="3" t="inlineStr">
        <is>
          <t>Directly inspected gallery image 2 for teal and black running football player with orange flame trails, name Brian and number 3.</t>
        </is>
      </c>
      <c r="L3" s="3" t="inlineStr">
        <is>
          <t>Secondary flat or angled mockup showing personalized running football player comforter with Brian number 3.</t>
        </is>
      </c>
      <c r="M3" s="3" t="inlineStr">
        <is>
          <t>Custom Football Player Running Sideways Comforter</t>
        </is>
      </c>
      <c r="N3" s="3" t="inlineStr">
        <is>
          <t>SET</t>
        </is>
      </c>
      <c r="O3" s="3" t="inlineStr">
        <is>
          <t>Secondary mockup of Personalized Running Football Player Comforter</t>
        </is>
      </c>
      <c r="P3" s="3" t="inlineStr">
        <is>
          <t>FULL</t>
        </is>
      </c>
      <c r="Q3" s="3" t="inlineStr">
        <is>
          <t>FULL</t>
        </is>
      </c>
      <c r="R3" s="3" t="inlineStr">
        <is>
          <t>FULL</t>
        </is>
      </c>
      <c r="S3" s="3" t="inlineStr">
        <is>
          <t>FULL</t>
        </is>
      </c>
      <c r="T3" s="7">
        <f>IF(P3="FULL",40,IF(P3="PARTIAL",40/2,0))+IF(Q3="FULL",30,IF(Q3="PARTIAL",30/2,0))+IF(R3="FULL",20,IF(R3="PARTIAL",20/2,0))+IF(S3="FULL",10,IF(S3="PARTIAL",10/2,0))</f>
        <v/>
      </c>
      <c r="U3" s="7">
        <f>IF(P3="NOT_CHECKED",0,40)+IF(Q3="NOT_CHECKED",0,30)+IF(R3="NOT_CHECKED",0,20)+IF(S3="NOT_CHECKED",0,10)</f>
        <v/>
      </c>
      <c r="V3" s="7">
        <f>IF(U3=100,T3,"")</f>
        <v/>
      </c>
      <c r="W3" s="7">
        <f>T3</f>
        <v/>
      </c>
      <c r="X3" s="7">
        <f>T3+(100-U3)</f>
        <v/>
      </c>
      <c r="Y3" s="3" t="inlineStr">
        <is>
          <t>[]</t>
        </is>
      </c>
      <c r="Z3" s="3" t="inlineStr">
        <is>
          <t>["seo_runs\\jeminise.com\\20260906_234129\\evidence\\images\\71_custom-football-player-running-with-ball-comforter-c9c2aecff2-c9c2aecff2\\image_02_47540286881991.jpg; seo_runs\\jeminise.com\\20260906_234129\\evidence\\contact_sheets\\71_custom-football-player-running-with-ball-comforter-c9c2aecff2-c9c2aecff2.jpg", "https://jeminise.com/products/custom-football-player-running-with-ball-comforter-c9c2aecff2-c9c2aecff2", "https://cdn.shopify.com/s/files/1/0792/5098/1063/files/2c8cc0e1156a54c17df3275504a709733562f18eab95974bd50d2c5bae799d81.jpg?v=1785101684"]</t>
        </is>
      </c>
    </row>
    <row r="4" ht="66" customHeight="1">
      <c r="A4" s="2" t="inlineStr">
        <is>
          <t>jeminise.com+custom-football-player-running-with-ball-comforter-c9c2aecff2-c9c2aecff2</t>
        </is>
      </c>
      <c r="B4" s="2" t="inlineStr">
        <is>
          <t>qaimg_30a176b692d7c3dd</t>
        </is>
      </c>
      <c r="C4" s="4" t="inlineStr">
        <is>
          <t>https://cdn.shopify.com/s/files/1/0792/5098/1063/files/9aa9c35ad239e2defe80d680bfc9c3ac770143ee38bd0c93c9b9e1b1dc297f8c_a93f2a3e-fa2c-4a6a-9774-d56275a8bf74.jpg?v=1785101684</t>
        </is>
      </c>
      <c r="D4" s="4" t="inlineStr">
        <is>
          <t>https://cdn.shopify.com/s/files/1/0792/5098/1063/files/9aa9c35ad239e2defe80d680bfc9c3ac770143ee38bd0c93c9b9e1b1dc297f8c_a93f2a3e-fa2c-4a6a-9774-d56275a8bf74.jpg?v=1785101684</t>
        </is>
      </c>
      <c r="E4" s="2" t="inlineStr">
        <is>
          <t>38506847240391</t>
        </is>
      </c>
      <c r="F4" s="2" t="inlineStr">
        <is>
          <t>47540286914759</t>
        </is>
      </c>
      <c r="G4" s="2" t="inlineStr"/>
      <c r="H4" s="2" t="inlineStr">
        <is>
          <t>GALLERY</t>
        </is>
      </c>
      <c r="I4" s="2" t="inlineStr">
        <is>
          <t>DIRECT_ORIGINAL_IMAGE</t>
        </is>
      </c>
      <c r="J4" s="2" t="inlineStr">
        <is>
          <t>2026-09-07T17:43:56.502970+07:00</t>
        </is>
      </c>
      <c r="K4" s="2" t="inlineStr">
        <is>
          <t>Directly inspected gallery image 3 for teal and black running football player with orange flame trails, name Brian and number 3.</t>
        </is>
      </c>
      <c r="L4" s="2" t="inlineStr">
        <is>
          <t>Bedding type, size or lifestyle information related to personalized running football player comforter with Brian number 3.</t>
        </is>
      </c>
      <c r="M4" s="2" t="inlineStr">
        <is>
          <t>Custom Football Player Running Sideways Comforter</t>
        </is>
      </c>
      <c r="N4" s="2" t="inlineStr">
        <is>
          <t>SET</t>
        </is>
      </c>
      <c r="O4" s="2" t="inlineStr">
        <is>
          <t>Product option or lifestyle image for Personalized Running Football Player Comforter</t>
        </is>
      </c>
      <c r="P4" s="2" t="inlineStr">
        <is>
          <t>FULL</t>
        </is>
      </c>
      <c r="Q4" s="2" t="inlineStr">
        <is>
          <t>FULL</t>
        </is>
      </c>
      <c r="R4" s="2" t="inlineStr">
        <is>
          <t>FULL</t>
        </is>
      </c>
      <c r="S4" s="2" t="inlineStr">
        <is>
          <t>FULL</t>
        </is>
      </c>
      <c r="T4" s="5">
        <f>IF(P4="FULL",40,IF(P4="PARTIAL",40/2,0))+IF(Q4="FULL",30,IF(Q4="PARTIAL",30/2,0))+IF(R4="FULL",20,IF(R4="PARTIAL",20/2,0))+IF(S4="FULL",10,IF(S4="PARTIAL",10/2,0))</f>
        <v/>
      </c>
      <c r="U4" s="5">
        <f>IF(P4="NOT_CHECKED",0,40)+IF(Q4="NOT_CHECKED",0,30)+IF(R4="NOT_CHECKED",0,20)+IF(S4="NOT_CHECKED",0,10)</f>
        <v/>
      </c>
      <c r="V4" s="5">
        <f>IF(U4=100,T4,"")</f>
        <v/>
      </c>
      <c r="W4" s="5">
        <f>T4</f>
        <v/>
      </c>
      <c r="X4" s="5">
        <f>T4+(100-U4)</f>
        <v/>
      </c>
      <c r="Y4" s="2" t="inlineStr">
        <is>
          <t>[]</t>
        </is>
      </c>
      <c r="Z4" s="2" t="inlineStr">
        <is>
          <t>["seo_runs\\jeminise.com\\20260906_234129\\evidence\\images\\71_custom-football-player-running-with-ball-comforter-c9c2aecff2-c9c2aecff2\\image_03_47540286914759.jpg; seo_runs\\jeminise.com\\20260906_234129\\evidence\\contact_sheets\\71_custom-football-player-running-with-ball-comforter-c9c2aecff2-c9c2aecff2.jpg", "https://jeminise.com/products/custom-football-player-running-with-ball-comforter-c9c2aecff2-c9c2aecff2", "https://cdn.shopify.com/s/files/1/0792/5098/1063/files/9aa9c35ad239e2defe80d680bfc9c3ac770143ee38bd0c93c9b9e1b1dc297f8c_a93f2a3e-fa2c-4a6a-9774-d56275a8bf74.jpg?v=1785101684"]</t>
        </is>
      </c>
    </row>
    <row r="5" ht="66" customHeight="1">
      <c r="A5" s="3" t="inlineStr">
        <is>
          <t>jeminise.com+custom-football-player-running-with-ball-comforter-c9c2aecff2-c9c2aecff2</t>
        </is>
      </c>
      <c r="B5" s="3" t="inlineStr">
        <is>
          <t>qaimg_a1d0709103cad07c</t>
        </is>
      </c>
      <c r="C5" s="4" t="inlineStr">
        <is>
          <t>https://cdn.shopify.com/s/files/1/0792/5098/1063/files/60438aaa09409be8237de63d32769edc65c732c9d2664029795c857c7de0fe39.jpg?v=1785101684</t>
        </is>
      </c>
      <c r="D5" s="4" t="inlineStr">
        <is>
          <t>https://cdn.shopify.com/s/files/1/0792/5098/1063/files/60438aaa09409be8237de63d32769edc65c732c9d2664029795c857c7de0fe39.jpg?v=1785101684</t>
        </is>
      </c>
      <c r="E5" s="3" t="inlineStr">
        <is>
          <t>38506847273159</t>
        </is>
      </c>
      <c r="F5" s="3" t="inlineStr">
        <is>
          <t>47540286947527</t>
        </is>
      </c>
      <c r="G5" s="3" t="inlineStr"/>
      <c r="H5" s="3" t="inlineStr">
        <is>
          <t>GALLERY</t>
        </is>
      </c>
      <c r="I5" s="3" t="inlineStr">
        <is>
          <t>DIRECT_ORIGINAL_IMAGE</t>
        </is>
      </c>
      <c r="J5" s="3" t="inlineStr">
        <is>
          <t>2026-09-07T17:43:56.502970+07:00</t>
        </is>
      </c>
      <c r="K5" s="3" t="inlineStr">
        <is>
          <t>Directly inspected gallery image 4 for teal and black running football player with orange flame trails, name Brian and number 3.</t>
        </is>
      </c>
      <c r="L5" s="3" t="inlineStr">
        <is>
          <t>Close room/detail, feature panel or size information for personalized running football player comforter with Brian number 3.</t>
        </is>
      </c>
      <c r="M5" s="3" t="inlineStr">
        <is>
          <t>Custom Football Player Running Sideways Comforter</t>
        </is>
      </c>
      <c r="N5" s="3" t="inlineStr">
        <is>
          <t>SET</t>
        </is>
      </c>
      <c r="O5" s="3" t="inlineStr">
        <is>
          <t>Feature or size information for Personalized Running Football Player Comforter</t>
        </is>
      </c>
      <c r="P5" s="3" t="inlineStr">
        <is>
          <t>FULL</t>
        </is>
      </c>
      <c r="Q5" s="3" t="inlineStr">
        <is>
          <t>FULL</t>
        </is>
      </c>
      <c r="R5" s="3" t="inlineStr">
        <is>
          <t>PARTIAL</t>
        </is>
      </c>
      <c r="S5" s="3" t="inlineStr">
        <is>
          <t>FULL</t>
        </is>
      </c>
      <c r="T5" s="7">
        <f>IF(P5="FULL",40,IF(P5="PARTIAL",40/2,0))+IF(Q5="FULL",30,IF(Q5="PARTIAL",30/2,0))+IF(R5="FULL",20,IF(R5="PARTIAL",20/2,0))+IF(S5="FULL",10,IF(S5="PARTIAL",10/2,0))</f>
        <v/>
      </c>
      <c r="U5" s="7">
        <f>IF(P5="NOT_CHECKED",0,40)+IF(Q5="NOT_CHECKED",0,30)+IF(R5="NOT_CHECKED",0,20)+IF(S5="NOT_CHECKED",0,10)</f>
        <v/>
      </c>
      <c r="V5" s="7">
        <f>IF(U5=100,T5,"")</f>
        <v/>
      </c>
      <c r="W5" s="7">
        <f>T5</f>
        <v/>
      </c>
      <c r="X5" s="7">
        <f>T5+(100-U5)</f>
        <v/>
      </c>
      <c r="Y5" s="3" t="inlineStr">
        <is>
          <t>["ISS-071-IMG-04"]</t>
        </is>
      </c>
      <c r="Z5" s="3" t="inlineStr">
        <is>
          <t>["seo_runs\\jeminise.com\\20260906_234129\\evidence\\images\\71_custom-football-player-running-with-ball-comforter-c9c2aecff2-c9c2aecff2\\image_04_47540286947527.jpg; seo_runs\\jeminise.com\\20260906_234129\\evidence\\contact_sheets\\71_custom-football-player-running-with-ball-comforter-c9c2aecff2-c9c2aecff2.jpg", "https://jeminise.com/products/custom-football-player-running-with-ball-comforter-c9c2aecff2-c9c2aecff2", "https://cdn.shopify.com/s/files/1/0792/5098/1063/files/60438aaa09409be8237de63d32769edc65c732c9d2664029795c857c7de0fe39.jpg?v=1785101684"]</t>
        </is>
      </c>
    </row>
    <row r="6" ht="66" customHeight="1">
      <c r="A6" s="2" t="inlineStr">
        <is>
          <t>jeminise.com+custom-football-player-running-with-ball-comforter-c9c2aecff2-c9c2aecff2</t>
        </is>
      </c>
      <c r="B6" s="2" t="inlineStr">
        <is>
          <t>qaimg_cb5ff95fed118924</t>
        </is>
      </c>
      <c r="C6" s="4" t="inlineStr">
        <is>
          <t>https://cdn.shopify.com/s/files/1/0792/5098/1063/files/1bbfbfcf6d26cde4c41dc9cd48a48d8537c348d2d8ae8239cde2198dbac1d7d5_1a59e953-f922-4737-88bf-7e1c410bafeb.jpg?v=1785101684</t>
        </is>
      </c>
      <c r="D6" s="4" t="inlineStr">
        <is>
          <t>https://cdn.shopify.com/s/files/1/0792/5098/1063/files/1bbfbfcf6d26cde4c41dc9cd48a48d8537c348d2d8ae8239cde2198dbac1d7d5_1a59e953-f922-4737-88bf-7e1c410bafeb.jpg?v=1785101684</t>
        </is>
      </c>
      <c r="E6" s="2" t="inlineStr">
        <is>
          <t>38506847305927</t>
        </is>
      </c>
      <c r="F6" s="2" t="inlineStr">
        <is>
          <t>47540286980295</t>
        </is>
      </c>
      <c r="G6" s="2" t="inlineStr"/>
      <c r="H6" s="2" t="inlineStr">
        <is>
          <t>GALLERY</t>
        </is>
      </c>
      <c r="I6" s="2" t="inlineStr">
        <is>
          <t>DIRECT_ORIGINAL_IMAGE</t>
        </is>
      </c>
      <c r="J6" s="2" t="inlineStr">
        <is>
          <t>2026-09-07T17:43:56.502970+07:00</t>
        </is>
      </c>
      <c r="K6" s="2" t="inlineStr">
        <is>
          <t>Directly inspected gallery image 5 for teal and black running football player with orange flame trails, name Brian and number 3.</t>
        </is>
      </c>
      <c r="L6" s="2" t="inlineStr">
        <is>
          <t>Easy-care, material detail or additional mockup for personalized running football player comforter with Brian number 3.</t>
        </is>
      </c>
      <c r="M6" s="2" t="inlineStr">
        <is>
          <t>Custom Football Player Running Sideways Comforter</t>
        </is>
      </c>
      <c r="N6" s="2" t="inlineStr">
        <is>
          <t>SET</t>
        </is>
      </c>
      <c r="O6" s="2" t="inlineStr">
        <is>
          <t>Care, material or additional mockup for Personalized Running Football Player Comforter</t>
        </is>
      </c>
      <c r="P6" s="2" t="inlineStr">
        <is>
          <t>FULL</t>
        </is>
      </c>
      <c r="Q6" s="2" t="inlineStr">
        <is>
          <t>FULL</t>
        </is>
      </c>
      <c r="R6" s="2" t="inlineStr">
        <is>
          <t>FULL</t>
        </is>
      </c>
      <c r="S6" s="2" t="inlineStr">
        <is>
          <t>FULL</t>
        </is>
      </c>
      <c r="T6" s="5">
        <f>IF(P6="FULL",40,IF(P6="PARTIAL",40/2,0))+IF(Q6="FULL",30,IF(Q6="PARTIAL",30/2,0))+IF(R6="FULL",20,IF(R6="PARTIAL",20/2,0))+IF(S6="FULL",10,IF(S6="PARTIAL",10/2,0))</f>
        <v/>
      </c>
      <c r="U6" s="5">
        <f>IF(P6="NOT_CHECKED",0,40)+IF(Q6="NOT_CHECKED",0,30)+IF(R6="NOT_CHECKED",0,20)+IF(S6="NOT_CHECKED",0,10)</f>
        <v/>
      </c>
      <c r="V6" s="5">
        <f>IF(U6=100,T6,"")</f>
        <v/>
      </c>
      <c r="W6" s="5">
        <f>T6</f>
        <v/>
      </c>
      <c r="X6" s="5">
        <f>T6+(100-U6)</f>
        <v/>
      </c>
      <c r="Y6" s="2" t="inlineStr">
        <is>
          <t>[]</t>
        </is>
      </c>
      <c r="Z6" s="2" t="inlineStr">
        <is>
          <t>["seo_runs\\jeminise.com\\20260906_234129\\evidence\\images\\71_custom-football-player-running-with-ball-comforter-c9c2aecff2-c9c2aecff2\\image_05_47540286980295.jpg; seo_runs\\jeminise.com\\20260906_234129\\evidence\\contact_sheets\\71_custom-football-player-running-with-ball-comforter-c9c2aecff2-c9c2aecff2.jpg", "https://jeminise.com/products/custom-football-player-running-with-ball-comforter-c9c2aecff2-c9c2aecff2", "https://cdn.shopify.com/s/files/1/0792/5098/1063/files/1bbfbfcf6d26cde4c41dc9cd48a48d8537c348d2d8ae8239cde2198dbac1d7d5_1a59e953-f922-4737-88bf-7e1c410bafeb.jpg?v=1785101684"]</t>
        </is>
      </c>
    </row>
    <row r="7" ht="66" customHeight="1">
      <c r="A7" s="3" t="inlineStr">
        <is>
          <t>jeminise.com+custom-football-player-running-with-ball-comforter-c9c2aecff2-c9c2aecff2</t>
        </is>
      </c>
      <c r="B7" s="3" t="inlineStr">
        <is>
          <t>qaimg_f518587f4671944f</t>
        </is>
      </c>
      <c r="C7" s="4" t="inlineStr">
        <is>
          <t>https://cdn.shopify.com/s/files/1/0792/5098/1063/files/b875bfc16d8349abe649f457b947dd0efc388f0aa8df8cf243abee1bb432b085_5c5b75c5-ca18-4ffe-b635-c1a000a134b4.jpg?v=1785101684</t>
        </is>
      </c>
      <c r="D7" s="4" t="inlineStr">
        <is>
          <t>https://cdn.shopify.com/s/files/1/0792/5098/1063/files/b875bfc16d8349abe649f457b947dd0efc388f0aa8df8cf243abee1bb432b085_5c5b75c5-ca18-4ffe-b635-c1a000a134b4.jpg?v=1785101684</t>
        </is>
      </c>
      <c r="E7" s="3" t="inlineStr">
        <is>
          <t>38506847338695</t>
        </is>
      </c>
      <c r="F7" s="3" t="inlineStr">
        <is>
          <t>47540287013063</t>
        </is>
      </c>
      <c r="G7" s="3" t="inlineStr"/>
      <c r="H7" s="3" t="inlineStr">
        <is>
          <t>GALLERY</t>
        </is>
      </c>
      <c r="I7" s="3" t="inlineStr">
        <is>
          <t>DIRECT_ORIGINAL_IMAGE</t>
        </is>
      </c>
      <c r="J7" s="3" t="inlineStr">
        <is>
          <t>2026-09-07T17:43:56.502970+07:00</t>
        </is>
      </c>
      <c r="K7" s="3" t="inlineStr">
        <is>
          <t>Directly inspected gallery image 6 for teal and black running football player with orange flame trails, name Brian and number 3.</t>
        </is>
      </c>
      <c r="L7" s="3" t="inlineStr">
        <is>
          <t>Size guide, feature image or bedroom detail for personalized running football player comforter with Brian number 3.</t>
        </is>
      </c>
      <c r="M7" s="3" t="inlineStr">
        <is>
          <t>Custom Football Player Running Sideways Comforter</t>
        </is>
      </c>
      <c r="N7" s="3" t="inlineStr">
        <is>
          <t>SET</t>
        </is>
      </c>
      <c r="O7" s="3" t="inlineStr">
        <is>
          <t>Size guide or feature image for Personalized Running Football Player Comforter</t>
        </is>
      </c>
      <c r="P7" s="3" t="inlineStr">
        <is>
          <t>FULL</t>
        </is>
      </c>
      <c r="Q7" s="3" t="inlineStr">
        <is>
          <t>FULL</t>
        </is>
      </c>
      <c r="R7" s="3" t="inlineStr">
        <is>
          <t>FULL</t>
        </is>
      </c>
      <c r="S7" s="3" t="inlineStr">
        <is>
          <t>FULL</t>
        </is>
      </c>
      <c r="T7" s="7">
        <f>IF(P7="FULL",40,IF(P7="PARTIAL",40/2,0))+IF(Q7="FULL",30,IF(Q7="PARTIAL",30/2,0))+IF(R7="FULL",20,IF(R7="PARTIAL",20/2,0))+IF(S7="FULL",10,IF(S7="PARTIAL",10/2,0))</f>
        <v/>
      </c>
      <c r="U7" s="7">
        <f>IF(P7="NOT_CHECKED",0,40)+IF(Q7="NOT_CHECKED",0,30)+IF(R7="NOT_CHECKED",0,20)+IF(S7="NOT_CHECKED",0,10)</f>
        <v/>
      </c>
      <c r="V7" s="7">
        <f>IF(U7=100,T7,"")</f>
        <v/>
      </c>
      <c r="W7" s="7">
        <f>T7</f>
        <v/>
      </c>
      <c r="X7" s="7">
        <f>T7+(100-U7)</f>
        <v/>
      </c>
      <c r="Y7" s="3" t="inlineStr">
        <is>
          <t>[]</t>
        </is>
      </c>
      <c r="Z7" s="3" t="inlineStr">
        <is>
          <t>["seo_runs\\jeminise.com\\20260906_234129\\evidence\\images\\71_custom-football-player-running-with-ball-comforter-c9c2aecff2-c9c2aecff2\\image_06_47540287013063.jpg; seo_runs\\jeminise.com\\20260906_234129\\evidence\\contact_sheets\\71_custom-football-player-running-with-ball-comforter-c9c2aecff2-c9c2aecff2.jpg", "https://jeminise.com/products/custom-football-player-running-with-ball-comforter-c9c2aecff2-c9c2aecff2", "https://cdn.shopify.com/s/files/1/0792/5098/1063/files/b875bfc16d8349abe649f457b947dd0efc388f0aa8df8cf243abee1bb432b085_5c5b75c5-ca18-4ffe-b635-c1a000a134b4.jpg?v=1785101684"]</t>
        </is>
      </c>
    </row>
    <row r="8" ht="66" customHeight="1">
      <c r="A8" s="2" t="inlineStr">
        <is>
          <t>jeminise.com+custom-football-player-running-with-ball-comforter-9fe5294804-9fe5294804</t>
        </is>
      </c>
      <c r="B8" s="2" t="inlineStr">
        <is>
          <t>qaimg_110fcd601f2bb147</t>
        </is>
      </c>
      <c r="C8" s="4" t="inlineStr">
        <is>
          <t>https://cdn.shopify.com/s/files/1/0792/5098/1063/files/7ae2888cc5a8f4c1be93b58990c02cf2577c8872f9903c751abf72721c40bdc8.jpg?v=1785100549</t>
        </is>
      </c>
      <c r="D8" s="4" t="inlineStr">
        <is>
          <t>https://cdn.shopify.com/s/files/1/0792/5098/1063/files/7ae2888cc5a8f4c1be93b58990c02cf2577c8872f9903c751abf72721c40bdc8.jpg?v=1785100549</t>
        </is>
      </c>
      <c r="E8" s="2" t="inlineStr">
        <is>
          <t>38506737500359</t>
        </is>
      </c>
      <c r="F8" s="2" t="inlineStr">
        <is>
          <t>47540177076423</t>
        </is>
      </c>
      <c r="G8" s="2" t="inlineStr"/>
      <c r="H8" s="2" t="inlineStr">
        <is>
          <t>GALLERY</t>
        </is>
      </c>
      <c r="I8" s="2" t="inlineStr">
        <is>
          <t>DIRECT_ORIGINAL_IMAGE</t>
        </is>
      </c>
      <c r="J8" s="2" t="inlineStr">
        <is>
          <t>2026-09-07T17:43:56.502970+07:00</t>
        </is>
      </c>
      <c r="K8" s="2" t="inlineStr">
        <is>
          <t>Directly inspected gallery image 1 for blue and red electric football player running with the ball, name Michael and number 10.</t>
        </is>
      </c>
      <c r="L8" s="2" t="inlineStr">
        <is>
          <t>Main product mockup showing personalized electric football player comforter with Michael number 10.</t>
        </is>
      </c>
      <c r="M8" s="2" t="inlineStr">
        <is>
          <t>Custom Football Player Running with Ball Comforter</t>
        </is>
      </c>
      <c r="N8" s="2" t="inlineStr">
        <is>
          <t>SET</t>
        </is>
      </c>
      <c r="O8" s="2" t="inlineStr">
        <is>
          <t>Custom Electric Football Player Comforter displayed in a main product mockup</t>
        </is>
      </c>
      <c r="P8" s="2" t="inlineStr">
        <is>
          <t>FULL</t>
        </is>
      </c>
      <c r="Q8" s="2" t="inlineStr">
        <is>
          <t>FULL</t>
        </is>
      </c>
      <c r="R8" s="2" t="inlineStr">
        <is>
          <t>FULL</t>
        </is>
      </c>
      <c r="S8" s="2" t="inlineStr">
        <is>
          <t>FULL</t>
        </is>
      </c>
      <c r="T8" s="5">
        <f>IF(P8="FULL",40,IF(P8="PARTIAL",40/2,0))+IF(Q8="FULL",30,IF(Q8="PARTIAL",30/2,0))+IF(R8="FULL",20,IF(R8="PARTIAL",20/2,0))+IF(S8="FULL",10,IF(S8="PARTIAL",10/2,0))</f>
        <v/>
      </c>
      <c r="U8" s="5">
        <f>IF(P8="NOT_CHECKED",0,40)+IF(Q8="NOT_CHECKED",0,30)+IF(R8="NOT_CHECKED",0,20)+IF(S8="NOT_CHECKED",0,10)</f>
        <v/>
      </c>
      <c r="V8" s="5">
        <f>IF(U8=100,T8,"")</f>
        <v/>
      </c>
      <c r="W8" s="5">
        <f>T8</f>
        <v/>
      </c>
      <c r="X8" s="5">
        <f>T8+(100-U8)</f>
        <v/>
      </c>
      <c r="Y8" s="2" t="inlineStr">
        <is>
          <t>[]</t>
        </is>
      </c>
      <c r="Z8" s="2" t="inlineStr">
        <is>
          <t>["seo_runs\\jeminise.com\\20260906_234129\\evidence\\images\\72_custom-football-player-running-with-ball-comforter-9fe5294804-9fe5294804\\image_01_47540177076423.jpg; seo_runs\\jeminise.com\\20260906_234129\\evidence\\contact_sheets\\72_custom-football-player-running-with-ball-comforter-9fe5294804-9fe5294804.jpg", "https://jeminise.com/products/custom-football-player-running-with-ball-comforter-9fe5294804-9fe5294804", "https://cdn.shopify.com/s/files/1/0792/5098/1063/files/7ae2888cc5a8f4c1be93b58990c02cf2577c8872f9903c751abf72721c40bdc8.jpg?v=1785100549"]</t>
        </is>
      </c>
    </row>
    <row r="9" ht="66" customHeight="1">
      <c r="A9" s="3" t="inlineStr">
        <is>
          <t>jeminise.com+custom-football-player-running-with-ball-comforter-9fe5294804-9fe5294804</t>
        </is>
      </c>
      <c r="B9" s="3" t="inlineStr">
        <is>
          <t>qaimg_156a603919a588a3</t>
        </is>
      </c>
      <c r="C9" s="4" t="inlineStr">
        <is>
          <t>https://cdn.shopify.com/s/files/1/0792/5098/1063/files/799175dfb6f38b7790193ecd4f998f551c3dd9a73d138ba3e58b80cced520606.jpg?v=1785100549</t>
        </is>
      </c>
      <c r="D9" s="4" t="inlineStr">
        <is>
          <t>https://cdn.shopify.com/s/files/1/0792/5098/1063/files/799175dfb6f38b7790193ecd4f998f551c3dd9a73d138ba3e58b80cced520606.jpg?v=1785100549</t>
        </is>
      </c>
      <c r="E9" s="3" t="inlineStr">
        <is>
          <t>38506737533127</t>
        </is>
      </c>
      <c r="F9" s="3" t="inlineStr">
        <is>
          <t>47540177109191</t>
        </is>
      </c>
      <c r="G9" s="3" t="inlineStr"/>
      <c r="H9" s="3" t="inlineStr">
        <is>
          <t>GALLERY</t>
        </is>
      </c>
      <c r="I9" s="3" t="inlineStr">
        <is>
          <t>DIRECT_ORIGINAL_IMAGE</t>
        </is>
      </c>
      <c r="J9" s="3" t="inlineStr">
        <is>
          <t>2026-09-07T17:43:56.502970+07:00</t>
        </is>
      </c>
      <c r="K9" s="3" t="inlineStr">
        <is>
          <t>Directly inspected gallery image 2 for blue and red electric football player running with the ball, name Michael and number 10.</t>
        </is>
      </c>
      <c r="L9" s="3" t="inlineStr">
        <is>
          <t>Secondary flat or angled mockup showing personalized electric football player comforter with Michael number 10.</t>
        </is>
      </c>
      <c r="M9" s="3" t="inlineStr">
        <is>
          <t>Custom Football Player Running with Ball Comforter</t>
        </is>
      </c>
      <c r="N9" s="3" t="inlineStr">
        <is>
          <t>SET</t>
        </is>
      </c>
      <c r="O9" s="3" t="inlineStr">
        <is>
          <t>Secondary mockup of Custom Electric Football Player Comforter</t>
        </is>
      </c>
      <c r="P9" s="3" t="inlineStr">
        <is>
          <t>FULL</t>
        </is>
      </c>
      <c r="Q9" s="3" t="inlineStr">
        <is>
          <t>FULL</t>
        </is>
      </c>
      <c r="R9" s="3" t="inlineStr">
        <is>
          <t>FULL</t>
        </is>
      </c>
      <c r="S9" s="3" t="inlineStr">
        <is>
          <t>FULL</t>
        </is>
      </c>
      <c r="T9" s="7">
        <f>IF(P9="FULL",40,IF(P9="PARTIAL",40/2,0))+IF(Q9="FULL",30,IF(Q9="PARTIAL",30/2,0))+IF(R9="FULL",20,IF(R9="PARTIAL",20/2,0))+IF(S9="FULL",10,IF(S9="PARTIAL",10/2,0))</f>
        <v/>
      </c>
      <c r="U9" s="7">
        <f>IF(P9="NOT_CHECKED",0,40)+IF(Q9="NOT_CHECKED",0,30)+IF(R9="NOT_CHECKED",0,20)+IF(S9="NOT_CHECKED",0,10)</f>
        <v/>
      </c>
      <c r="V9" s="7">
        <f>IF(U9=100,T9,"")</f>
        <v/>
      </c>
      <c r="W9" s="7">
        <f>T9</f>
        <v/>
      </c>
      <c r="X9" s="7">
        <f>T9+(100-U9)</f>
        <v/>
      </c>
      <c r="Y9" s="3" t="inlineStr">
        <is>
          <t>[]</t>
        </is>
      </c>
      <c r="Z9" s="3" t="inlineStr">
        <is>
          <t>["seo_runs\\jeminise.com\\20260906_234129\\evidence\\images\\72_custom-football-player-running-with-ball-comforter-9fe5294804-9fe5294804\\image_02_47540177109191.jpg; seo_runs\\jeminise.com\\20260906_234129\\evidence\\contact_sheets\\72_custom-football-player-running-with-ball-comforter-9fe5294804-9fe5294804.jpg", "https://jeminise.com/products/custom-football-player-running-with-ball-comforter-9fe5294804-9fe5294804", "https://cdn.shopify.com/s/files/1/0792/5098/1063/files/799175dfb6f38b7790193ecd4f998f551c3dd9a73d138ba3e58b80cced520606.jpg?v=1785100549"]</t>
        </is>
      </c>
    </row>
    <row r="10" ht="66" customHeight="1">
      <c r="A10" s="2" t="inlineStr">
        <is>
          <t>jeminise.com+custom-football-player-running-with-ball-comforter-9fe5294804-9fe5294804</t>
        </is>
      </c>
      <c r="B10" s="2" t="inlineStr">
        <is>
          <t>qaimg_6b5b35aaf8926850</t>
        </is>
      </c>
      <c r="C10" s="4" t="inlineStr">
        <is>
          <t>https://cdn.shopify.com/s/files/1/0792/5098/1063/files/16f7293cbefa5743a35b2e6316a5a114e5c052d08151e367dafd26aa5e2e542b_10285fa5-7297-4643-8eb0-4a5eda394860.jpg?v=1785100549</t>
        </is>
      </c>
      <c r="D10" s="4" t="inlineStr">
        <is>
          <t>https://cdn.shopify.com/s/files/1/0792/5098/1063/files/16f7293cbefa5743a35b2e6316a5a114e5c052d08151e367dafd26aa5e2e542b_10285fa5-7297-4643-8eb0-4a5eda394860.jpg?v=1785100549</t>
        </is>
      </c>
      <c r="E10" s="2" t="inlineStr">
        <is>
          <t>38506737565895</t>
        </is>
      </c>
      <c r="F10" s="2" t="inlineStr">
        <is>
          <t>47540177141959</t>
        </is>
      </c>
      <c r="G10" s="2" t="inlineStr"/>
      <c r="H10" s="2" t="inlineStr">
        <is>
          <t>GALLERY</t>
        </is>
      </c>
      <c r="I10" s="2" t="inlineStr">
        <is>
          <t>DIRECT_ORIGINAL_IMAGE</t>
        </is>
      </c>
      <c r="J10" s="2" t="inlineStr">
        <is>
          <t>2026-09-07T17:43:56.502970+07:00</t>
        </is>
      </c>
      <c r="K10" s="2" t="inlineStr">
        <is>
          <t>Directly inspected gallery image 3 for blue and red electric football player running with the ball, name Michael and number 10.</t>
        </is>
      </c>
      <c r="L10" s="2" t="inlineStr">
        <is>
          <t>Bedding type, size or lifestyle information related to personalized electric football player comforter with Michael number 10.</t>
        </is>
      </c>
      <c r="M10" s="2" t="inlineStr">
        <is>
          <t>Custom Football Player Running with Ball Comforter</t>
        </is>
      </c>
      <c r="N10" s="2" t="inlineStr">
        <is>
          <t>SET</t>
        </is>
      </c>
      <c r="O10" s="2" t="inlineStr">
        <is>
          <t>Product option or lifestyle image for Custom Electric Football Player Comforter</t>
        </is>
      </c>
      <c r="P10" s="2" t="inlineStr">
        <is>
          <t>FULL</t>
        </is>
      </c>
      <c r="Q10" s="2" t="inlineStr">
        <is>
          <t>FULL</t>
        </is>
      </c>
      <c r="R10" s="2" t="inlineStr">
        <is>
          <t>FULL</t>
        </is>
      </c>
      <c r="S10" s="2" t="inlineStr">
        <is>
          <t>FULL</t>
        </is>
      </c>
      <c r="T10" s="5">
        <f>IF(P10="FULL",40,IF(P10="PARTIAL",40/2,0))+IF(Q10="FULL",30,IF(Q10="PARTIAL",30/2,0))+IF(R10="FULL",20,IF(R10="PARTIAL",20/2,0))+IF(S10="FULL",10,IF(S10="PARTIAL",10/2,0))</f>
        <v/>
      </c>
      <c r="U10" s="5">
        <f>IF(P10="NOT_CHECKED",0,40)+IF(Q10="NOT_CHECKED",0,30)+IF(R10="NOT_CHECKED",0,20)+IF(S10="NOT_CHECKED",0,10)</f>
        <v/>
      </c>
      <c r="V10" s="5">
        <f>IF(U10=100,T10,"")</f>
        <v/>
      </c>
      <c r="W10" s="5">
        <f>T10</f>
        <v/>
      </c>
      <c r="X10" s="5">
        <f>T10+(100-U10)</f>
        <v/>
      </c>
      <c r="Y10" s="2" t="inlineStr">
        <is>
          <t>[]</t>
        </is>
      </c>
      <c r="Z10" s="2" t="inlineStr">
        <is>
          <t>["seo_runs\\jeminise.com\\20260906_234129\\evidence\\images\\72_custom-football-player-running-with-ball-comforter-9fe5294804-9fe5294804\\image_03_47540177141959.jpg; seo_runs\\jeminise.com\\20260906_234129\\evidence\\contact_sheets\\72_custom-football-player-running-with-ball-comforter-9fe5294804-9fe5294804.jpg", "https://jeminise.com/products/custom-football-player-running-with-ball-comforter-9fe5294804-9fe5294804", "https://cdn.shopify.com/s/files/1/0792/5098/1063/files/16f7293cbefa5743a35b2e6316a5a114e5c052d08151e367dafd26aa5e2e542b_10285fa5-7297-4643-8eb0-4a5eda394860.jpg?v=1785100549"]</t>
        </is>
      </c>
    </row>
    <row r="11" ht="66" customHeight="1">
      <c r="A11" s="3" t="inlineStr">
        <is>
          <t>jeminise.com+custom-football-player-running-with-ball-comforter-9fe5294804-9fe5294804</t>
        </is>
      </c>
      <c r="B11" s="3" t="inlineStr">
        <is>
          <t>qaimg_ec4cd51c12d11f2f</t>
        </is>
      </c>
      <c r="C11" s="4" t="inlineStr">
        <is>
          <t>https://cdn.shopify.com/s/files/1/0792/5098/1063/files/db40229d565449c2d4dde0e5aa7dea684b3c871845f33940a7097340d533b582.jpg?v=1785100549</t>
        </is>
      </c>
      <c r="D11" s="4" t="inlineStr">
        <is>
          <t>https://cdn.shopify.com/s/files/1/0792/5098/1063/files/db40229d565449c2d4dde0e5aa7dea684b3c871845f33940a7097340d533b582.jpg?v=1785100549</t>
        </is>
      </c>
      <c r="E11" s="3" t="inlineStr">
        <is>
          <t>38506737598663</t>
        </is>
      </c>
      <c r="F11" s="3" t="inlineStr">
        <is>
          <t>47540177174727</t>
        </is>
      </c>
      <c r="G11" s="3" t="inlineStr"/>
      <c r="H11" s="3" t="inlineStr">
        <is>
          <t>GALLERY</t>
        </is>
      </c>
      <c r="I11" s="3" t="inlineStr">
        <is>
          <t>DIRECT_ORIGINAL_IMAGE</t>
        </is>
      </c>
      <c r="J11" s="3" t="inlineStr">
        <is>
          <t>2026-09-07T17:43:56.502970+07:00</t>
        </is>
      </c>
      <c r="K11" s="3" t="inlineStr">
        <is>
          <t>Directly inspected gallery image 4 for blue and red electric football player running with the ball, name Michael and number 10.</t>
        </is>
      </c>
      <c r="L11" s="3" t="inlineStr">
        <is>
          <t>Close room/detail, feature panel or size information for personalized electric football player comforter with Michael number 10.</t>
        </is>
      </c>
      <c r="M11" s="3" t="inlineStr">
        <is>
          <t>Custom Football Player Running with Ball Comforter</t>
        </is>
      </c>
      <c r="N11" s="3" t="inlineStr">
        <is>
          <t>SET</t>
        </is>
      </c>
      <c r="O11" s="3" t="inlineStr">
        <is>
          <t>Feature or size information for Custom Electric Football Player Comforter</t>
        </is>
      </c>
      <c r="P11" s="3" t="inlineStr">
        <is>
          <t>FULL</t>
        </is>
      </c>
      <c r="Q11" s="3" t="inlineStr">
        <is>
          <t>FULL</t>
        </is>
      </c>
      <c r="R11" s="3" t="inlineStr">
        <is>
          <t>PARTIAL</t>
        </is>
      </c>
      <c r="S11" s="3" t="inlineStr">
        <is>
          <t>FULL</t>
        </is>
      </c>
      <c r="T11" s="7">
        <f>IF(P11="FULL",40,IF(P11="PARTIAL",40/2,0))+IF(Q11="FULL",30,IF(Q11="PARTIAL",30/2,0))+IF(R11="FULL",20,IF(R11="PARTIAL",20/2,0))+IF(S11="FULL",10,IF(S11="PARTIAL",10/2,0))</f>
        <v/>
      </c>
      <c r="U11" s="7">
        <f>IF(P11="NOT_CHECKED",0,40)+IF(Q11="NOT_CHECKED",0,30)+IF(R11="NOT_CHECKED",0,20)+IF(S11="NOT_CHECKED",0,10)</f>
        <v/>
      </c>
      <c r="V11" s="7">
        <f>IF(U11=100,T11,"")</f>
        <v/>
      </c>
      <c r="W11" s="7">
        <f>T11</f>
        <v/>
      </c>
      <c r="X11" s="7">
        <f>T11+(100-U11)</f>
        <v/>
      </c>
      <c r="Y11" s="3" t="inlineStr">
        <is>
          <t>["ISS-072-IMG-04"]</t>
        </is>
      </c>
      <c r="Z11" s="3" t="inlineStr">
        <is>
          <t>["seo_runs\\jeminise.com\\20260906_234129\\evidence\\images\\72_custom-football-player-running-with-ball-comforter-9fe5294804-9fe5294804\\image_04_47540177174727.jpg; seo_runs\\jeminise.com\\20260906_234129\\evidence\\contact_sheets\\72_custom-football-player-running-with-ball-comforter-9fe5294804-9fe5294804.jpg", "https://jeminise.com/products/custom-football-player-running-with-ball-comforter-9fe5294804-9fe5294804", "https://cdn.shopify.com/s/files/1/0792/5098/1063/files/db40229d565449c2d4dde0e5aa7dea684b3c871845f33940a7097340d533b582.jpg?v=1785100549"]</t>
        </is>
      </c>
    </row>
    <row r="12" ht="66" customHeight="1">
      <c r="A12" s="2" t="inlineStr">
        <is>
          <t>jeminise.com+custom-football-player-running-with-ball-comforter-9fe5294804-9fe5294804</t>
        </is>
      </c>
      <c r="B12" s="2" t="inlineStr">
        <is>
          <t>qaimg_d3c6a48ad18df411</t>
        </is>
      </c>
      <c r="C12" s="4" t="inlineStr">
        <is>
          <t>https://cdn.shopify.com/s/files/1/0792/5098/1063/files/7c006bddc94d4763c71c8376307e195c1bbce73b8c802ec73ac5a8cef1291262_a5f76ddb-b40a-4125-8053-16c6605c36f1.jpg?v=1785100549</t>
        </is>
      </c>
      <c r="D12" s="4" t="inlineStr">
        <is>
          <t>https://cdn.shopify.com/s/files/1/0792/5098/1063/files/7c006bddc94d4763c71c8376307e195c1bbce73b8c802ec73ac5a8cef1291262_a5f76ddb-b40a-4125-8053-16c6605c36f1.jpg?v=1785100549</t>
        </is>
      </c>
      <c r="E12" s="2" t="inlineStr">
        <is>
          <t>38506737631431</t>
        </is>
      </c>
      <c r="F12" s="2" t="inlineStr">
        <is>
          <t>47540177207495</t>
        </is>
      </c>
      <c r="G12" s="2" t="inlineStr"/>
      <c r="H12" s="2" t="inlineStr">
        <is>
          <t>GALLERY</t>
        </is>
      </c>
      <c r="I12" s="2" t="inlineStr">
        <is>
          <t>DIRECT_ORIGINAL_IMAGE</t>
        </is>
      </c>
      <c r="J12" s="2" t="inlineStr">
        <is>
          <t>2026-09-07T17:43:56.502970+07:00</t>
        </is>
      </c>
      <c r="K12" s="2" t="inlineStr">
        <is>
          <t>Directly inspected gallery image 5 for blue and red electric football player running with the ball, name Michael and number 10.</t>
        </is>
      </c>
      <c r="L12" s="2" t="inlineStr">
        <is>
          <t>Easy-care, material detail or additional mockup for personalized electric football player comforter with Michael number 10.</t>
        </is>
      </c>
      <c r="M12" s="2" t="inlineStr">
        <is>
          <t>Custom Football Player Running with Ball Comforter</t>
        </is>
      </c>
      <c r="N12" s="2" t="inlineStr">
        <is>
          <t>SET</t>
        </is>
      </c>
      <c r="O12" s="2" t="inlineStr">
        <is>
          <t>Care, material or additional mockup for Custom Electric Football Player Comforter</t>
        </is>
      </c>
      <c r="P12" s="2" t="inlineStr">
        <is>
          <t>FULL</t>
        </is>
      </c>
      <c r="Q12" s="2" t="inlineStr">
        <is>
          <t>FULL</t>
        </is>
      </c>
      <c r="R12" s="2" t="inlineStr">
        <is>
          <t>FULL</t>
        </is>
      </c>
      <c r="S12" s="2" t="inlineStr">
        <is>
          <t>FULL</t>
        </is>
      </c>
      <c r="T12" s="5">
        <f>IF(P12="FULL",40,IF(P12="PARTIAL",40/2,0))+IF(Q12="FULL",30,IF(Q12="PARTIAL",30/2,0))+IF(R12="FULL",20,IF(R12="PARTIAL",20/2,0))+IF(S12="FULL",10,IF(S12="PARTIAL",10/2,0))</f>
        <v/>
      </c>
      <c r="U12" s="5">
        <f>IF(P12="NOT_CHECKED",0,40)+IF(Q12="NOT_CHECKED",0,30)+IF(R12="NOT_CHECKED",0,20)+IF(S12="NOT_CHECKED",0,10)</f>
        <v/>
      </c>
      <c r="V12" s="5">
        <f>IF(U12=100,T12,"")</f>
        <v/>
      </c>
      <c r="W12" s="5">
        <f>T12</f>
        <v/>
      </c>
      <c r="X12" s="5">
        <f>T12+(100-U12)</f>
        <v/>
      </c>
      <c r="Y12" s="2" t="inlineStr">
        <is>
          <t>[]</t>
        </is>
      </c>
      <c r="Z12" s="2" t="inlineStr">
        <is>
          <t>["seo_runs\\jeminise.com\\20260906_234129\\evidence\\images\\72_custom-football-player-running-with-ball-comforter-9fe5294804-9fe5294804\\image_05_47540177207495.jpg; seo_runs\\jeminise.com\\20260906_234129\\evidence\\contact_sheets\\72_custom-football-player-running-with-ball-comforter-9fe5294804-9fe5294804.jpg", "https://jeminise.com/products/custom-football-player-running-with-ball-comforter-9fe5294804-9fe5294804", "https://cdn.shopify.com/s/files/1/0792/5098/1063/files/7c006bddc94d4763c71c8376307e195c1bbce73b8c802ec73ac5a8cef1291262_a5f76ddb-b40a-4125-8053-16c6605c36f1.jpg?v=1785100549"]</t>
        </is>
      </c>
    </row>
    <row r="13" ht="66" customHeight="1">
      <c r="A13" s="3" t="inlineStr">
        <is>
          <t>jeminise.com+custom-football-player-running-with-ball-comforter-9fe5294804-9fe5294804</t>
        </is>
      </c>
      <c r="B13" s="3" t="inlineStr">
        <is>
          <t>qaimg_0b4c6356e0822e86</t>
        </is>
      </c>
      <c r="C13" s="4" t="inlineStr">
        <is>
          <t>https://cdn.shopify.com/s/files/1/0792/5098/1063/files/e5cad84edb4d7bf77c48fd7c8e52eb3b73f04eba8bf177671fd8a059c59422e8_cdf664cf-e4cb-4ff7-8cde-1b53280e4624.jpg?v=1785100549</t>
        </is>
      </c>
      <c r="D13" s="4" t="inlineStr">
        <is>
          <t>https://cdn.shopify.com/s/files/1/0792/5098/1063/files/e5cad84edb4d7bf77c48fd7c8e52eb3b73f04eba8bf177671fd8a059c59422e8_cdf664cf-e4cb-4ff7-8cde-1b53280e4624.jpg?v=1785100549</t>
        </is>
      </c>
      <c r="E13" s="3" t="inlineStr">
        <is>
          <t>38506737664199</t>
        </is>
      </c>
      <c r="F13" s="3" t="inlineStr">
        <is>
          <t>47540177240263</t>
        </is>
      </c>
      <c r="G13" s="3" t="inlineStr"/>
      <c r="H13" s="3" t="inlineStr">
        <is>
          <t>GALLERY</t>
        </is>
      </c>
      <c r="I13" s="3" t="inlineStr">
        <is>
          <t>DIRECT_ORIGINAL_IMAGE</t>
        </is>
      </c>
      <c r="J13" s="3" t="inlineStr">
        <is>
          <t>2026-09-07T17:43:56.502970+07:00</t>
        </is>
      </c>
      <c r="K13" s="3" t="inlineStr">
        <is>
          <t>Directly inspected gallery image 6 for blue and red electric football player running with the ball, name Michael and number 10.</t>
        </is>
      </c>
      <c r="L13" s="3" t="inlineStr">
        <is>
          <t>Size guide, feature image or bedroom detail for personalized electric football player comforter with Michael number 10.</t>
        </is>
      </c>
      <c r="M13" s="3" t="inlineStr">
        <is>
          <t>Custom Football Player Running with Ball Comforter</t>
        </is>
      </c>
      <c r="N13" s="3" t="inlineStr">
        <is>
          <t>SET</t>
        </is>
      </c>
      <c r="O13" s="3" t="inlineStr">
        <is>
          <t>Size guide or feature image for Custom Electric Football Player Comforter</t>
        </is>
      </c>
      <c r="P13" s="3" t="inlineStr">
        <is>
          <t>FULL</t>
        </is>
      </c>
      <c r="Q13" s="3" t="inlineStr">
        <is>
          <t>FULL</t>
        </is>
      </c>
      <c r="R13" s="3" t="inlineStr">
        <is>
          <t>FULL</t>
        </is>
      </c>
      <c r="S13" s="3" t="inlineStr">
        <is>
          <t>FULL</t>
        </is>
      </c>
      <c r="T13" s="7">
        <f>IF(P13="FULL",40,IF(P13="PARTIAL",40/2,0))+IF(Q13="FULL",30,IF(Q13="PARTIAL",30/2,0))+IF(R13="FULL",20,IF(R13="PARTIAL",20/2,0))+IF(S13="FULL",10,IF(S13="PARTIAL",10/2,0))</f>
        <v/>
      </c>
      <c r="U13" s="7">
        <f>IF(P13="NOT_CHECKED",0,40)+IF(Q13="NOT_CHECKED",0,30)+IF(R13="NOT_CHECKED",0,20)+IF(S13="NOT_CHECKED",0,10)</f>
        <v/>
      </c>
      <c r="V13" s="7">
        <f>IF(U13=100,T13,"")</f>
        <v/>
      </c>
      <c r="W13" s="7">
        <f>T13</f>
        <v/>
      </c>
      <c r="X13" s="7">
        <f>T13+(100-U13)</f>
        <v/>
      </c>
      <c r="Y13" s="3" t="inlineStr">
        <is>
          <t>[]</t>
        </is>
      </c>
      <c r="Z13" s="3" t="inlineStr">
        <is>
          <t>["seo_runs\\jeminise.com\\20260906_234129\\evidence\\images\\72_custom-football-player-running-with-ball-comforter-9fe5294804-9fe5294804\\image_06_47540177240263.jpg; seo_runs\\jeminise.com\\20260906_234129\\evidence\\contact_sheets\\72_custom-football-player-running-with-ball-comforter-9fe5294804-9fe5294804.jpg", "https://jeminise.com/products/custom-football-player-running-with-ball-comforter-9fe5294804-9fe5294804", "https://cdn.shopify.com/s/files/1/0792/5098/1063/files/e5cad84edb4d7bf77c48fd7c8e52eb3b73f04eba8bf177671fd8a059c59422e8_cdf664cf-e4cb-4ff7-8cde-1b53280e4624.jpg?v=1785100549"]</t>
        </is>
      </c>
    </row>
    <row r="14" ht="66" customHeight="1">
      <c r="A14" s="2" t="inlineStr">
        <is>
          <t>jeminise.com+custom-football-player-with-american-flag-background-comforter-44d8108598-44d8108598</t>
        </is>
      </c>
      <c r="B14" s="2" t="inlineStr">
        <is>
          <t>qaimg_23be04a12515e6a8</t>
        </is>
      </c>
      <c r="C14" s="4" t="inlineStr">
        <is>
          <t>https://cdn.shopify.com/s/files/1/0792/5098/1063/files/09350cb325a519a0957806f82c1f3573d4d7e06e8b946df019d7eb52540f0503.jpg?v=1785100785</t>
        </is>
      </c>
      <c r="D14" s="4" t="inlineStr">
        <is>
          <t>https://cdn.shopify.com/s/files/1/0792/5098/1063/files/09350cb325a519a0957806f82c1f3573d4d7e06e8b946df019d7eb52540f0503.jpg?v=1785100785</t>
        </is>
      </c>
      <c r="E14" s="2" t="inlineStr">
        <is>
          <t>38506749821127</t>
        </is>
      </c>
      <c r="F14" s="2" t="inlineStr">
        <is>
          <t>47540189462727</t>
        </is>
      </c>
      <c r="G14" s="2" t="inlineStr"/>
      <c r="H14" s="2" t="inlineStr">
        <is>
          <t>GALLERY</t>
        </is>
      </c>
      <c r="I14" s="2" t="inlineStr">
        <is>
          <t>DIRECT_ORIGINAL_IMAGE</t>
        </is>
      </c>
      <c r="J14" s="2" t="inlineStr">
        <is>
          <t>2026-09-07T17:43:56.502970+07:00</t>
        </is>
      </c>
      <c r="K14" s="2" t="inlineStr">
        <is>
          <t>Directly inspected gallery image 1 for football player from behind over a torn American flag and metal texture, name David and number 33.</t>
        </is>
      </c>
      <c r="L14" s="2" t="inlineStr">
        <is>
          <t>Main product mockup showing personalized American flag football player comforter with David number 33.</t>
        </is>
      </c>
      <c r="M14" s="2" t="inlineStr">
        <is>
          <t>Custom Football Player with American Flag Background Comforter</t>
        </is>
      </c>
      <c r="N14" s="2" t="inlineStr">
        <is>
          <t>SET</t>
        </is>
      </c>
      <c r="O14" s="2" t="inlineStr">
        <is>
          <t>Personalized American Flag Football Player Comforter displayed in a main product mockup</t>
        </is>
      </c>
      <c r="P14" s="2" t="inlineStr">
        <is>
          <t>FULL</t>
        </is>
      </c>
      <c r="Q14" s="2" t="inlineStr">
        <is>
          <t>FULL</t>
        </is>
      </c>
      <c r="R14" s="2" t="inlineStr">
        <is>
          <t>FULL</t>
        </is>
      </c>
      <c r="S14" s="2" t="inlineStr">
        <is>
          <t>FULL</t>
        </is>
      </c>
      <c r="T14" s="5">
        <f>IF(P14="FULL",40,IF(P14="PARTIAL",40/2,0))+IF(Q14="FULL",30,IF(Q14="PARTIAL",30/2,0))+IF(R14="FULL",20,IF(R14="PARTIAL",20/2,0))+IF(S14="FULL",10,IF(S14="PARTIAL",10/2,0))</f>
        <v/>
      </c>
      <c r="U14" s="5">
        <f>IF(P14="NOT_CHECKED",0,40)+IF(Q14="NOT_CHECKED",0,30)+IF(R14="NOT_CHECKED",0,20)+IF(S14="NOT_CHECKED",0,10)</f>
        <v/>
      </c>
      <c r="V14" s="5">
        <f>IF(U14=100,T14,"")</f>
        <v/>
      </c>
      <c r="W14" s="5">
        <f>T14</f>
        <v/>
      </c>
      <c r="X14" s="5">
        <f>T14+(100-U14)</f>
        <v/>
      </c>
      <c r="Y14" s="2" t="inlineStr">
        <is>
          <t>[]</t>
        </is>
      </c>
      <c r="Z14" s="2" t="inlineStr">
        <is>
          <t>["seo_runs\\jeminise.com\\20260906_234129\\evidence\\images\\73_custom-football-player-with-american-flag-background-comforter-44d8108598-44d8108598\\image_01_47540189462727.jpg; seo_runs\\jeminise.com\\20260906_234129\\evidence\\contact_sheets\\73_custom-football-player-with-american-flag-background-comforter-44d8108598-44d8108598.jpg", "https://jeminise.com/products/custom-football-player-with-american-flag-background-comforter-44d8108598-44d8108598", "https://cdn.shopify.com/s/files/1/0792/5098/1063/files/09350cb325a519a0957806f82c1f3573d4d7e06e8b946df019d7eb52540f0503.jpg?v=1785100785"]</t>
        </is>
      </c>
    </row>
    <row r="15" ht="66" customHeight="1">
      <c r="A15" s="3" t="inlineStr">
        <is>
          <t>jeminise.com+custom-football-player-with-american-flag-background-comforter-44d8108598-44d8108598</t>
        </is>
      </c>
      <c r="B15" s="3" t="inlineStr">
        <is>
          <t>qaimg_f94c6ded3aac43da</t>
        </is>
      </c>
      <c r="C15" s="4" t="inlineStr">
        <is>
          <t>https://cdn.shopify.com/s/files/1/0792/5098/1063/files/7eedb0acf0b4f86703af79ca8ec1e94561dd4ab71d22438e9f35cde8e902b5f0.jpg?v=1785100785</t>
        </is>
      </c>
      <c r="D15" s="4" t="inlineStr">
        <is>
          <t>https://cdn.shopify.com/s/files/1/0792/5098/1063/files/7eedb0acf0b4f86703af79ca8ec1e94561dd4ab71d22438e9f35cde8e902b5f0.jpg?v=1785100785</t>
        </is>
      </c>
      <c r="E15" s="3" t="inlineStr">
        <is>
          <t>38506749853895</t>
        </is>
      </c>
      <c r="F15" s="3" t="inlineStr">
        <is>
          <t>47540189495495</t>
        </is>
      </c>
      <c r="G15" s="3" t="inlineStr"/>
      <c r="H15" s="3" t="inlineStr">
        <is>
          <t>GALLERY</t>
        </is>
      </c>
      <c r="I15" s="3" t="inlineStr">
        <is>
          <t>DIRECT_ORIGINAL_IMAGE</t>
        </is>
      </c>
      <c r="J15" s="3" t="inlineStr">
        <is>
          <t>2026-09-07T17:43:56.502970+07:00</t>
        </is>
      </c>
      <c r="K15" s="3" t="inlineStr">
        <is>
          <t>Directly inspected gallery image 2 for football player from behind over a torn American flag and metal texture, name David and number 33.</t>
        </is>
      </c>
      <c r="L15" s="3" t="inlineStr">
        <is>
          <t>Secondary flat or angled mockup showing personalized American flag football player comforter with David number 33.</t>
        </is>
      </c>
      <c r="M15" s="3" t="inlineStr">
        <is>
          <t>Custom Football Player with American Flag Background Comforter</t>
        </is>
      </c>
      <c r="N15" s="3" t="inlineStr">
        <is>
          <t>SET</t>
        </is>
      </c>
      <c r="O15" s="3" t="inlineStr">
        <is>
          <t>Secondary mockup of Personalized American Flag Football Player Comforter</t>
        </is>
      </c>
      <c r="P15" s="3" t="inlineStr">
        <is>
          <t>FULL</t>
        </is>
      </c>
      <c r="Q15" s="3" t="inlineStr">
        <is>
          <t>FULL</t>
        </is>
      </c>
      <c r="R15" s="3" t="inlineStr">
        <is>
          <t>FULL</t>
        </is>
      </c>
      <c r="S15" s="3" t="inlineStr">
        <is>
          <t>FULL</t>
        </is>
      </c>
      <c r="T15" s="7">
        <f>IF(P15="FULL",40,IF(P15="PARTIAL",40/2,0))+IF(Q15="FULL",30,IF(Q15="PARTIAL",30/2,0))+IF(R15="FULL",20,IF(R15="PARTIAL",20/2,0))+IF(S15="FULL",10,IF(S15="PARTIAL",10/2,0))</f>
        <v/>
      </c>
      <c r="U15" s="7">
        <f>IF(P15="NOT_CHECKED",0,40)+IF(Q15="NOT_CHECKED",0,30)+IF(R15="NOT_CHECKED",0,20)+IF(S15="NOT_CHECKED",0,10)</f>
        <v/>
      </c>
      <c r="V15" s="7">
        <f>IF(U15=100,T15,"")</f>
        <v/>
      </c>
      <c r="W15" s="7">
        <f>T15</f>
        <v/>
      </c>
      <c r="X15" s="7">
        <f>T15+(100-U15)</f>
        <v/>
      </c>
      <c r="Y15" s="3" t="inlineStr">
        <is>
          <t>[]</t>
        </is>
      </c>
      <c r="Z15" s="3" t="inlineStr">
        <is>
          <t>["seo_runs\\jeminise.com\\20260906_234129\\evidence\\images\\73_custom-football-player-with-american-flag-background-comforter-44d8108598-44d8108598\\image_02_47540189495495.jpg; seo_runs\\jeminise.com\\20260906_234129\\evidence\\contact_sheets\\73_custom-football-player-with-american-flag-background-comforter-44d8108598-44d8108598.jpg", "https://jeminise.com/products/custom-football-player-with-american-flag-background-comforter-44d8108598-44d8108598", "https://cdn.shopify.com/s/files/1/0792/5098/1063/files/7eedb0acf0b4f86703af79ca8ec1e94561dd4ab71d22438e9f35cde8e902b5f0.jpg?v=1785100785"]</t>
        </is>
      </c>
    </row>
    <row r="16" ht="66" customHeight="1">
      <c r="A16" s="2" t="inlineStr">
        <is>
          <t>jeminise.com+custom-football-player-with-american-flag-background-comforter-44d8108598-44d8108598</t>
        </is>
      </c>
      <c r="B16" s="2" t="inlineStr">
        <is>
          <t>qaimg_582ec33bf0c95fb7</t>
        </is>
      </c>
      <c r="C16" s="4" t="inlineStr">
        <is>
          <t>https://cdn.shopify.com/s/files/1/0792/5098/1063/files/16f7293cbefa5743a35b2e6316a5a114e5c052d08151e367dafd26aa5e2e542b_d7906199-81c3-409a-b3b7-592b0916097a.jpg?v=1785100785</t>
        </is>
      </c>
      <c r="D16" s="4" t="inlineStr">
        <is>
          <t>https://cdn.shopify.com/s/files/1/0792/5098/1063/files/16f7293cbefa5743a35b2e6316a5a114e5c052d08151e367dafd26aa5e2e542b_d7906199-81c3-409a-b3b7-592b0916097a.jpg?v=1785100785</t>
        </is>
      </c>
      <c r="E16" s="2" t="inlineStr">
        <is>
          <t>38506749886663</t>
        </is>
      </c>
      <c r="F16" s="2" t="inlineStr">
        <is>
          <t>47540189528263</t>
        </is>
      </c>
      <c r="G16" s="2" t="inlineStr"/>
      <c r="H16" s="2" t="inlineStr">
        <is>
          <t>GALLERY</t>
        </is>
      </c>
      <c r="I16" s="2" t="inlineStr">
        <is>
          <t>DIRECT_ORIGINAL_IMAGE</t>
        </is>
      </c>
      <c r="J16" s="2" t="inlineStr">
        <is>
          <t>2026-09-07T17:43:56.502970+07:00</t>
        </is>
      </c>
      <c r="K16" s="2" t="inlineStr">
        <is>
          <t>Directly inspected gallery image 3 for football player from behind over a torn American flag and metal texture, name David and number 33.</t>
        </is>
      </c>
      <c r="L16" s="2" t="inlineStr">
        <is>
          <t>Bedding type, size or lifestyle information related to personalized American flag football player comforter with David number 33.</t>
        </is>
      </c>
      <c r="M16" s="2" t="inlineStr">
        <is>
          <t>Custom Football Player with American Flag Background Comforter</t>
        </is>
      </c>
      <c r="N16" s="2" t="inlineStr">
        <is>
          <t>SET</t>
        </is>
      </c>
      <c r="O16" s="2" t="inlineStr">
        <is>
          <t>Product option or lifestyle image for Personalized American Flag Football Player Comforter</t>
        </is>
      </c>
      <c r="P16" s="2" t="inlineStr">
        <is>
          <t>FULL</t>
        </is>
      </c>
      <c r="Q16" s="2" t="inlineStr">
        <is>
          <t>FULL</t>
        </is>
      </c>
      <c r="R16" s="2" t="inlineStr">
        <is>
          <t>FULL</t>
        </is>
      </c>
      <c r="S16" s="2" t="inlineStr">
        <is>
          <t>FULL</t>
        </is>
      </c>
      <c r="T16" s="5">
        <f>IF(P16="FULL",40,IF(P16="PARTIAL",40/2,0))+IF(Q16="FULL",30,IF(Q16="PARTIAL",30/2,0))+IF(R16="FULL",20,IF(R16="PARTIAL",20/2,0))+IF(S16="FULL",10,IF(S16="PARTIAL",10/2,0))</f>
        <v/>
      </c>
      <c r="U16" s="5">
        <f>IF(P16="NOT_CHECKED",0,40)+IF(Q16="NOT_CHECKED",0,30)+IF(R16="NOT_CHECKED",0,20)+IF(S16="NOT_CHECKED",0,10)</f>
        <v/>
      </c>
      <c r="V16" s="5">
        <f>IF(U16=100,T16,"")</f>
        <v/>
      </c>
      <c r="W16" s="5">
        <f>T16</f>
        <v/>
      </c>
      <c r="X16" s="5">
        <f>T16+(100-U16)</f>
        <v/>
      </c>
      <c r="Y16" s="2" t="inlineStr">
        <is>
          <t>[]</t>
        </is>
      </c>
      <c r="Z16" s="2" t="inlineStr">
        <is>
          <t>["seo_runs\\jeminise.com\\20260906_234129\\evidence\\images\\73_custom-football-player-with-american-flag-background-comforter-44d8108598-44d8108598\\image_03_47540189528263.jpg; seo_runs\\jeminise.com\\20260906_234129\\evidence\\contact_sheets\\73_custom-football-player-with-american-flag-background-comforter-44d8108598-44d8108598.jpg", "https://jeminise.com/products/custom-football-player-with-american-flag-background-comforter-44d8108598-44d8108598", "https://cdn.shopify.com/s/files/1/0792/5098/1063/files/16f7293cbefa5743a35b2e6316a5a114e5c052d08151e367dafd26aa5e2e542b_d7906199-81c3-409a-b3b7-592b0916097a.jpg?v=1785100785"]</t>
        </is>
      </c>
    </row>
    <row r="17" ht="66" customHeight="1">
      <c r="A17" s="3" t="inlineStr">
        <is>
          <t>jeminise.com+custom-football-player-with-american-flag-background-comforter-44d8108598-44d8108598</t>
        </is>
      </c>
      <c r="B17" s="3" t="inlineStr">
        <is>
          <t>qaimg_a30fb6b854f4f05b</t>
        </is>
      </c>
      <c r="C17" s="4" t="inlineStr">
        <is>
          <t>https://cdn.shopify.com/s/files/1/0792/5098/1063/files/149c548bb487ce76f43cdead9cb37850430b41022dc560514adbfe436691fe89.jpg?v=1785100785</t>
        </is>
      </c>
      <c r="D17" s="4" t="inlineStr">
        <is>
          <t>https://cdn.shopify.com/s/files/1/0792/5098/1063/files/149c548bb487ce76f43cdead9cb37850430b41022dc560514adbfe436691fe89.jpg?v=1785100785</t>
        </is>
      </c>
      <c r="E17" s="3" t="inlineStr">
        <is>
          <t>38506749919431</t>
        </is>
      </c>
      <c r="F17" s="3" t="inlineStr">
        <is>
          <t>47540189561031</t>
        </is>
      </c>
      <c r="G17" s="3" t="inlineStr"/>
      <c r="H17" s="3" t="inlineStr">
        <is>
          <t>GALLERY</t>
        </is>
      </c>
      <c r="I17" s="3" t="inlineStr">
        <is>
          <t>DIRECT_ORIGINAL_IMAGE</t>
        </is>
      </c>
      <c r="J17" s="3" t="inlineStr">
        <is>
          <t>2026-09-07T17:43:56.502970+07:00</t>
        </is>
      </c>
      <c r="K17" s="3" t="inlineStr">
        <is>
          <t>Directly inspected gallery image 4 for football player from behind over a torn American flag and metal texture, name David and number 33.</t>
        </is>
      </c>
      <c r="L17" s="3" t="inlineStr">
        <is>
          <t>Close room/detail, feature panel or size information for personalized American flag football player comforter with David number 33.</t>
        </is>
      </c>
      <c r="M17" s="3" t="inlineStr">
        <is>
          <t>Custom Football Player with American Flag Background Comforter</t>
        </is>
      </c>
      <c r="N17" s="3" t="inlineStr">
        <is>
          <t>SET</t>
        </is>
      </c>
      <c r="O17" s="3" t="inlineStr">
        <is>
          <t>Feature or size information for Personalized American Flag Football Player Comforter</t>
        </is>
      </c>
      <c r="P17" s="3" t="inlineStr">
        <is>
          <t>FULL</t>
        </is>
      </c>
      <c r="Q17" s="3" t="inlineStr">
        <is>
          <t>FULL</t>
        </is>
      </c>
      <c r="R17" s="3" t="inlineStr">
        <is>
          <t>PARTIAL</t>
        </is>
      </c>
      <c r="S17" s="3" t="inlineStr">
        <is>
          <t>FULL</t>
        </is>
      </c>
      <c r="T17" s="7">
        <f>IF(P17="FULL",40,IF(P17="PARTIAL",40/2,0))+IF(Q17="FULL",30,IF(Q17="PARTIAL",30/2,0))+IF(R17="FULL",20,IF(R17="PARTIAL",20/2,0))+IF(S17="FULL",10,IF(S17="PARTIAL",10/2,0))</f>
        <v/>
      </c>
      <c r="U17" s="7">
        <f>IF(P17="NOT_CHECKED",0,40)+IF(Q17="NOT_CHECKED",0,30)+IF(R17="NOT_CHECKED",0,20)+IF(S17="NOT_CHECKED",0,10)</f>
        <v/>
      </c>
      <c r="V17" s="7">
        <f>IF(U17=100,T17,"")</f>
        <v/>
      </c>
      <c r="W17" s="7">
        <f>T17</f>
        <v/>
      </c>
      <c r="X17" s="7">
        <f>T17+(100-U17)</f>
        <v/>
      </c>
      <c r="Y17" s="3" t="inlineStr">
        <is>
          <t>["ISS-073-IMG-04"]</t>
        </is>
      </c>
      <c r="Z17" s="3" t="inlineStr">
        <is>
          <t>["seo_runs\\jeminise.com\\20260906_234129\\evidence\\images\\73_custom-football-player-with-american-flag-background-comforter-44d8108598-44d8108598\\image_04_47540189561031.jpg; seo_runs\\jeminise.com\\20260906_234129\\evidence\\contact_sheets\\73_custom-football-player-with-american-flag-background-comforter-44d8108598-44d8108598.jpg", "https://jeminise.com/products/custom-football-player-with-american-flag-background-comforter-44d8108598-44d8108598", "https://cdn.shopify.com/s/files/1/0792/5098/1063/files/149c548bb487ce76f43cdead9cb37850430b41022dc560514adbfe436691fe89.jpg?v=1785100785"]</t>
        </is>
      </c>
    </row>
    <row r="18" ht="66" customHeight="1">
      <c r="A18" s="2" t="inlineStr">
        <is>
          <t>jeminise.com+custom-football-player-with-american-flag-background-comforter-44d8108598-44d8108598</t>
        </is>
      </c>
      <c r="B18" s="2" t="inlineStr">
        <is>
          <t>qaimg_05ec1a5fee3bc8ff</t>
        </is>
      </c>
      <c r="C18" s="4" t="inlineStr">
        <is>
          <t>https://cdn.shopify.com/s/files/1/0792/5098/1063/files/7c006bddc94d4763c71c8376307e195c1bbce73b8c802ec73ac5a8cef1291262_c3a8eff9-dc39-48b1-ad25-12cd69cf1def.jpg?v=1785100785</t>
        </is>
      </c>
      <c r="D18" s="4" t="inlineStr">
        <is>
          <t>https://cdn.shopify.com/s/files/1/0792/5098/1063/files/7c006bddc94d4763c71c8376307e195c1bbce73b8c802ec73ac5a8cef1291262_c3a8eff9-dc39-48b1-ad25-12cd69cf1def.jpg?v=1785100785</t>
        </is>
      </c>
      <c r="E18" s="2" t="inlineStr">
        <is>
          <t>38506749952199</t>
        </is>
      </c>
      <c r="F18" s="2" t="inlineStr">
        <is>
          <t>47540189593799</t>
        </is>
      </c>
      <c r="G18" s="2" t="inlineStr"/>
      <c r="H18" s="2" t="inlineStr">
        <is>
          <t>GALLERY</t>
        </is>
      </c>
      <c r="I18" s="2" t="inlineStr">
        <is>
          <t>DIRECT_ORIGINAL_IMAGE</t>
        </is>
      </c>
      <c r="J18" s="2" t="inlineStr">
        <is>
          <t>2026-09-07T17:43:56.502970+07:00</t>
        </is>
      </c>
      <c r="K18" s="2" t="inlineStr">
        <is>
          <t>Directly inspected gallery image 5 for football player from behind over a torn American flag and metal texture, name David and number 33.</t>
        </is>
      </c>
      <c r="L18" s="2" t="inlineStr">
        <is>
          <t>Easy-care, material detail or additional mockup for personalized American flag football player comforter with David number 33.</t>
        </is>
      </c>
      <c r="M18" s="2" t="inlineStr">
        <is>
          <t>Custom Football Player with American Flag Background Comforter</t>
        </is>
      </c>
      <c r="N18" s="2" t="inlineStr">
        <is>
          <t>SET</t>
        </is>
      </c>
      <c r="O18" s="2" t="inlineStr">
        <is>
          <t>Care, material or additional mockup for Personalized American Flag Football Player Comforter</t>
        </is>
      </c>
      <c r="P18" s="2" t="inlineStr">
        <is>
          <t>FULL</t>
        </is>
      </c>
      <c r="Q18" s="2" t="inlineStr">
        <is>
          <t>FULL</t>
        </is>
      </c>
      <c r="R18" s="2" t="inlineStr">
        <is>
          <t>FULL</t>
        </is>
      </c>
      <c r="S18" s="2" t="inlineStr">
        <is>
          <t>FULL</t>
        </is>
      </c>
      <c r="T18" s="5">
        <f>IF(P18="FULL",40,IF(P18="PARTIAL",40/2,0))+IF(Q18="FULL",30,IF(Q18="PARTIAL",30/2,0))+IF(R18="FULL",20,IF(R18="PARTIAL",20/2,0))+IF(S18="FULL",10,IF(S18="PARTIAL",10/2,0))</f>
        <v/>
      </c>
      <c r="U18" s="5">
        <f>IF(P18="NOT_CHECKED",0,40)+IF(Q18="NOT_CHECKED",0,30)+IF(R18="NOT_CHECKED",0,20)+IF(S18="NOT_CHECKED",0,10)</f>
        <v/>
      </c>
      <c r="V18" s="5">
        <f>IF(U18=100,T18,"")</f>
        <v/>
      </c>
      <c r="W18" s="5">
        <f>T18</f>
        <v/>
      </c>
      <c r="X18" s="5">
        <f>T18+(100-U18)</f>
        <v/>
      </c>
      <c r="Y18" s="2" t="inlineStr">
        <is>
          <t>[]</t>
        </is>
      </c>
      <c r="Z18" s="2" t="inlineStr">
        <is>
          <t>["seo_runs\\jeminise.com\\20260906_234129\\evidence\\images\\73_custom-football-player-with-american-flag-background-comforter-44d8108598-44d8108598\\image_05_47540189593799.jpg; seo_runs\\jeminise.com\\20260906_234129\\evidence\\contact_sheets\\73_custom-football-player-with-american-flag-background-comforter-44d8108598-44d8108598.jpg", "https://jeminise.com/products/custom-football-player-with-american-flag-background-comforter-44d8108598-44d8108598", "https://cdn.shopify.com/s/files/1/0792/5098/1063/files/7c006bddc94d4763c71c8376307e195c1bbce73b8c802ec73ac5a8cef1291262_c3a8eff9-dc39-48b1-ad25-12cd69cf1def.jpg?v=1785100785"]</t>
        </is>
      </c>
    </row>
    <row r="19" ht="66" customHeight="1">
      <c r="A19" s="3" t="inlineStr">
        <is>
          <t>jeminise.com+custom-football-player-with-american-flag-background-comforter-44d8108598-44d8108598</t>
        </is>
      </c>
      <c r="B19" s="3" t="inlineStr">
        <is>
          <t>qaimg_a897b2791fc9ea2b</t>
        </is>
      </c>
      <c r="C19" s="4" t="inlineStr">
        <is>
          <t>https://cdn.shopify.com/s/files/1/0792/5098/1063/files/e5cad84edb4d7bf77c48fd7c8e52eb3b73f04eba8bf177671fd8a059c59422e8_5ea43c7c-5091-4114-9da2-063c4867930e.jpg?v=1785100785</t>
        </is>
      </c>
      <c r="D19" s="4" t="inlineStr">
        <is>
          <t>https://cdn.shopify.com/s/files/1/0792/5098/1063/files/e5cad84edb4d7bf77c48fd7c8e52eb3b73f04eba8bf177671fd8a059c59422e8_5ea43c7c-5091-4114-9da2-063c4867930e.jpg?v=1785100785</t>
        </is>
      </c>
      <c r="E19" s="3" t="inlineStr">
        <is>
          <t>38506749984967</t>
        </is>
      </c>
      <c r="F19" s="3" t="inlineStr">
        <is>
          <t>47540189626567</t>
        </is>
      </c>
      <c r="G19" s="3" t="inlineStr"/>
      <c r="H19" s="3" t="inlineStr">
        <is>
          <t>GALLERY</t>
        </is>
      </c>
      <c r="I19" s="3" t="inlineStr">
        <is>
          <t>DIRECT_ORIGINAL_IMAGE</t>
        </is>
      </c>
      <c r="J19" s="3" t="inlineStr">
        <is>
          <t>2026-09-07T17:43:56.502970+07:00</t>
        </is>
      </c>
      <c r="K19" s="3" t="inlineStr">
        <is>
          <t>Directly inspected gallery image 6 for football player from behind over a torn American flag and metal texture, name David and number 33.</t>
        </is>
      </c>
      <c r="L19" s="3" t="inlineStr">
        <is>
          <t>Size guide, feature image or bedroom detail for personalized American flag football player comforter with David number 33.</t>
        </is>
      </c>
      <c r="M19" s="3" t="inlineStr">
        <is>
          <t>Custom Football Player with American Flag Background Comforter</t>
        </is>
      </c>
      <c r="N19" s="3" t="inlineStr">
        <is>
          <t>SET</t>
        </is>
      </c>
      <c r="O19" s="3" t="inlineStr">
        <is>
          <t>Size guide or feature image for Personalized American Flag Football Player Comforter</t>
        </is>
      </c>
      <c r="P19" s="3" t="inlineStr">
        <is>
          <t>FULL</t>
        </is>
      </c>
      <c r="Q19" s="3" t="inlineStr">
        <is>
          <t>FULL</t>
        </is>
      </c>
      <c r="R19" s="3" t="inlineStr">
        <is>
          <t>FULL</t>
        </is>
      </c>
      <c r="S19" s="3" t="inlineStr">
        <is>
          <t>FULL</t>
        </is>
      </c>
      <c r="T19" s="7">
        <f>IF(P19="FULL",40,IF(P19="PARTIAL",40/2,0))+IF(Q19="FULL",30,IF(Q19="PARTIAL",30/2,0))+IF(R19="FULL",20,IF(R19="PARTIAL",20/2,0))+IF(S19="FULL",10,IF(S19="PARTIAL",10/2,0))</f>
        <v/>
      </c>
      <c r="U19" s="7">
        <f>IF(P19="NOT_CHECKED",0,40)+IF(Q19="NOT_CHECKED",0,30)+IF(R19="NOT_CHECKED",0,20)+IF(S19="NOT_CHECKED",0,10)</f>
        <v/>
      </c>
      <c r="V19" s="7">
        <f>IF(U19=100,T19,"")</f>
        <v/>
      </c>
      <c r="W19" s="7">
        <f>T19</f>
        <v/>
      </c>
      <c r="X19" s="7">
        <f>T19+(100-U19)</f>
        <v/>
      </c>
      <c r="Y19" s="3" t="inlineStr">
        <is>
          <t>[]</t>
        </is>
      </c>
      <c r="Z19" s="3" t="inlineStr">
        <is>
          <t>["seo_runs\\jeminise.com\\20260906_234129\\evidence\\images\\73_custom-football-player-with-american-flag-background-comforter-44d8108598-44d8108598\\image_06_47540189626567.jpg; seo_runs\\jeminise.com\\20260906_234129\\evidence\\contact_sheets\\73_custom-football-player-with-american-flag-background-comforter-44d8108598-44d8108598.jpg", "https://jeminise.com/products/custom-football-player-with-american-flag-background-comforter-44d8108598-44d8108598", "https://cdn.shopify.com/s/files/1/0792/5098/1063/files/e5cad84edb4d7bf77c48fd7c8e52eb3b73f04eba8bf177671fd8a059c59422e8_5ea43c7c-5091-4114-9da2-063c4867930e.jpg?v=1785100785"]</t>
        </is>
      </c>
    </row>
    <row r="20" ht="66" customHeight="1">
      <c r="A20" s="2" t="inlineStr">
        <is>
          <t>jeminise.com+custom-football-player-with-burning-ball-comforter-and-american-football-708344de4c-708344de4c</t>
        </is>
      </c>
      <c r="B20" s="2" t="inlineStr">
        <is>
          <t>qaimg_1d6fde7bf09d762e</t>
        </is>
      </c>
      <c r="C20" s="4" t="inlineStr">
        <is>
          <t>https://cdn.shopify.com/s/files/1/0792/5098/1063/files/fb332cfe8c182306abbab1f7491cf195fef7e6067a5228b112d7a2d8dd393ef8.jpg?v=1785100232</t>
        </is>
      </c>
      <c r="D20" s="4" t="inlineStr">
        <is>
          <t>https://cdn.shopify.com/s/files/1/0792/5098/1063/files/fb332cfe8c182306abbab1f7491cf195fef7e6067a5228b112d7a2d8dd393ef8.jpg?v=1785100232</t>
        </is>
      </c>
      <c r="E20" s="2" t="inlineStr">
        <is>
          <t>38506708205767</t>
        </is>
      </c>
      <c r="F20" s="2" t="inlineStr">
        <is>
          <t>47540147749063</t>
        </is>
      </c>
      <c r="G20" s="2" t="inlineStr"/>
      <c r="H20" s="2" t="inlineStr">
        <is>
          <t>GALLERY</t>
        </is>
      </c>
      <c r="I20" s="2" t="inlineStr">
        <is>
          <t>DIRECT_ORIGINAL_IMAGE</t>
        </is>
      </c>
      <c r="J20" s="2" t="inlineStr">
        <is>
          <t>2026-09-07T17:43:56.502970+07:00</t>
        </is>
      </c>
      <c r="K20" s="2" t="inlineStr">
        <is>
          <t>Directly inspected gallery image 1 for black football player holding number 24 with burning football background and name Michael.</t>
        </is>
      </c>
      <c r="L20" s="2" t="inlineStr">
        <is>
          <t>Main product mockup showing personalized burning football player comforter with Michael number 24.</t>
        </is>
      </c>
      <c r="M20" s="2" t="inlineStr">
        <is>
          <t>Custom Football Player with Burning Ball Comforter and American Football</t>
        </is>
      </c>
      <c r="N20" s="2" t="inlineStr">
        <is>
          <t>SET</t>
        </is>
      </c>
      <c r="O20" s="2" t="inlineStr">
        <is>
          <t>Personalized Burning Football Player Comforter displayed in a main product mockup</t>
        </is>
      </c>
      <c r="P20" s="2" t="inlineStr">
        <is>
          <t>FULL</t>
        </is>
      </c>
      <c r="Q20" s="2" t="inlineStr">
        <is>
          <t>FULL</t>
        </is>
      </c>
      <c r="R20" s="2" t="inlineStr">
        <is>
          <t>FULL</t>
        </is>
      </c>
      <c r="S20" s="2" t="inlineStr">
        <is>
          <t>FULL</t>
        </is>
      </c>
      <c r="T20" s="5">
        <f>IF(P20="FULL",40,IF(P20="PARTIAL",40/2,0))+IF(Q20="FULL",30,IF(Q20="PARTIAL",30/2,0))+IF(R20="FULL",20,IF(R20="PARTIAL",20/2,0))+IF(S20="FULL",10,IF(S20="PARTIAL",10/2,0))</f>
        <v/>
      </c>
      <c r="U20" s="5">
        <f>IF(P20="NOT_CHECKED",0,40)+IF(Q20="NOT_CHECKED",0,30)+IF(R20="NOT_CHECKED",0,20)+IF(S20="NOT_CHECKED",0,10)</f>
        <v/>
      </c>
      <c r="V20" s="5">
        <f>IF(U20=100,T20,"")</f>
        <v/>
      </c>
      <c r="W20" s="5">
        <f>T20</f>
        <v/>
      </c>
      <c r="X20" s="5">
        <f>T20+(100-U20)</f>
        <v/>
      </c>
      <c r="Y20" s="2" t="inlineStr">
        <is>
          <t>[]</t>
        </is>
      </c>
      <c r="Z20" s="2" t="inlineStr">
        <is>
          <t>["seo_runs\\jeminise.com\\20260906_234129\\evidence\\images\\74_custom-football-player-with-burning-ball-comforter-and-american-football-708344de4c-708344de4c\\image_01_47540147749063.jpg; seo_runs\\jeminise.com\\20260906_234129\\evidence\\contact_sheets\\74_custom-football-player-with-burning-ball-comforter-and-american-football-708344de4c-708344de4c.jpg", "https://jeminise.com/products/custom-football-player-with-burning-ball-comforter-and-american-football-708344de4c-708344de4c", "https://cdn.shopify.com/s/files/1/0792/5098/1063/files/fb332cfe8c182306abbab1f7491cf195fef7e6067a5228b112d7a2d8dd393ef8.jpg?v=1785100232"]</t>
        </is>
      </c>
    </row>
    <row r="21" ht="66" customHeight="1">
      <c r="A21" s="3" t="inlineStr">
        <is>
          <t>jeminise.com+custom-football-player-with-burning-ball-comforter-and-american-football-708344de4c-708344de4c</t>
        </is>
      </c>
      <c r="B21" s="3" t="inlineStr">
        <is>
          <t>qaimg_56232e05f856a601</t>
        </is>
      </c>
      <c r="C21" s="4" t="inlineStr">
        <is>
          <t>https://cdn.shopify.com/s/files/1/0792/5098/1063/files/fd37c6101f5cc6a23f0a9b3bc4999aa5f6730ccc0ada86d88f0a3fa9fe12a04c.jpg?v=1785100232</t>
        </is>
      </c>
      <c r="D21" s="4" t="inlineStr">
        <is>
          <t>https://cdn.shopify.com/s/files/1/0792/5098/1063/files/fd37c6101f5cc6a23f0a9b3bc4999aa5f6730ccc0ada86d88f0a3fa9fe12a04c.jpg?v=1785100232</t>
        </is>
      </c>
      <c r="E21" s="3" t="inlineStr">
        <is>
          <t>38506708238535</t>
        </is>
      </c>
      <c r="F21" s="3" t="inlineStr">
        <is>
          <t>47540147781831</t>
        </is>
      </c>
      <c r="G21" s="3" t="inlineStr"/>
      <c r="H21" s="3" t="inlineStr">
        <is>
          <t>GALLERY</t>
        </is>
      </c>
      <c r="I21" s="3" t="inlineStr">
        <is>
          <t>DIRECT_ORIGINAL_IMAGE</t>
        </is>
      </c>
      <c r="J21" s="3" t="inlineStr">
        <is>
          <t>2026-09-07T17:43:56.502970+07:00</t>
        </is>
      </c>
      <c r="K21" s="3" t="inlineStr">
        <is>
          <t>Directly inspected gallery image 2 for black football player holding number 24 with burning football background and name Michael.</t>
        </is>
      </c>
      <c r="L21" s="3" t="inlineStr">
        <is>
          <t>Secondary flat or angled mockup showing personalized burning football player comforter with Michael number 24.</t>
        </is>
      </c>
      <c r="M21" s="3" t="inlineStr">
        <is>
          <t>Custom Football Player with Burning Ball Comforter and American Football</t>
        </is>
      </c>
      <c r="N21" s="3" t="inlineStr">
        <is>
          <t>SET</t>
        </is>
      </c>
      <c r="O21" s="3" t="inlineStr">
        <is>
          <t>Secondary mockup of Personalized Burning Football Player Comforter</t>
        </is>
      </c>
      <c r="P21" s="3" t="inlineStr">
        <is>
          <t>FULL</t>
        </is>
      </c>
      <c r="Q21" s="3" t="inlineStr">
        <is>
          <t>FULL</t>
        </is>
      </c>
      <c r="R21" s="3" t="inlineStr">
        <is>
          <t>FULL</t>
        </is>
      </c>
      <c r="S21" s="3" t="inlineStr">
        <is>
          <t>FULL</t>
        </is>
      </c>
      <c r="T21" s="7">
        <f>IF(P21="FULL",40,IF(P21="PARTIAL",40/2,0))+IF(Q21="FULL",30,IF(Q21="PARTIAL",30/2,0))+IF(R21="FULL",20,IF(R21="PARTIAL",20/2,0))+IF(S21="FULL",10,IF(S21="PARTIAL",10/2,0))</f>
        <v/>
      </c>
      <c r="U21" s="7">
        <f>IF(P21="NOT_CHECKED",0,40)+IF(Q21="NOT_CHECKED",0,30)+IF(R21="NOT_CHECKED",0,20)+IF(S21="NOT_CHECKED",0,10)</f>
        <v/>
      </c>
      <c r="V21" s="7">
        <f>IF(U21=100,T21,"")</f>
        <v/>
      </c>
      <c r="W21" s="7">
        <f>T21</f>
        <v/>
      </c>
      <c r="X21" s="7">
        <f>T21+(100-U21)</f>
        <v/>
      </c>
      <c r="Y21" s="3" t="inlineStr">
        <is>
          <t>[]</t>
        </is>
      </c>
      <c r="Z21" s="3" t="inlineStr">
        <is>
          <t>["seo_runs\\jeminise.com\\20260906_234129\\evidence\\images\\74_custom-football-player-with-burning-ball-comforter-and-american-football-708344de4c-708344de4c\\image_02_47540147781831.jpg; seo_runs\\jeminise.com\\20260906_234129\\evidence\\contact_sheets\\74_custom-football-player-with-burning-ball-comforter-and-american-football-708344de4c-708344de4c.jpg", "https://jeminise.com/products/custom-football-player-with-burning-ball-comforter-and-american-football-708344de4c-708344de4c", "https://cdn.shopify.com/s/files/1/0792/5098/1063/files/fd37c6101f5cc6a23f0a9b3bc4999aa5f6730ccc0ada86d88f0a3fa9fe12a04c.jpg?v=1785100232"]</t>
        </is>
      </c>
    </row>
    <row r="22" ht="66" customHeight="1">
      <c r="A22" s="2" t="inlineStr">
        <is>
          <t>jeminise.com+custom-football-player-with-burning-ball-comforter-and-american-football-708344de4c-708344de4c</t>
        </is>
      </c>
      <c r="B22" s="2" t="inlineStr">
        <is>
          <t>qaimg_b7c85fbbeb252501</t>
        </is>
      </c>
      <c r="C22" s="4" t="inlineStr">
        <is>
          <t>https://cdn.shopify.com/s/files/1/0792/5098/1063/files/16f7293cbefa5743a35b2e6316a5a114e5c052d08151e367dafd26aa5e2e542b.jpg?v=1785100232</t>
        </is>
      </c>
      <c r="D22" s="4" t="inlineStr">
        <is>
          <t>https://cdn.shopify.com/s/files/1/0792/5098/1063/files/16f7293cbefa5743a35b2e6316a5a114e5c052d08151e367dafd26aa5e2e542b.jpg?v=1785100232</t>
        </is>
      </c>
      <c r="E22" s="2" t="inlineStr">
        <is>
          <t>38506708271303</t>
        </is>
      </c>
      <c r="F22" s="2" t="inlineStr">
        <is>
          <t>47540147814599</t>
        </is>
      </c>
      <c r="G22" s="2" t="inlineStr"/>
      <c r="H22" s="2" t="inlineStr">
        <is>
          <t>GALLERY</t>
        </is>
      </c>
      <c r="I22" s="2" t="inlineStr">
        <is>
          <t>DIRECT_ORIGINAL_IMAGE</t>
        </is>
      </c>
      <c r="J22" s="2" t="inlineStr">
        <is>
          <t>2026-09-07T17:43:56.502970+07:00</t>
        </is>
      </c>
      <c r="K22" s="2" t="inlineStr">
        <is>
          <t>Directly inspected gallery image 3 for black football player holding number 24 with burning football background and name Michael.</t>
        </is>
      </c>
      <c r="L22" s="2" t="inlineStr">
        <is>
          <t>Bedding type, size or lifestyle information related to personalized burning football player comforter with Michael number 24.</t>
        </is>
      </c>
      <c r="M22" s="2" t="inlineStr">
        <is>
          <t>Custom Football Player with Burning Ball Comforter and American Football</t>
        </is>
      </c>
      <c r="N22" s="2" t="inlineStr">
        <is>
          <t>SET</t>
        </is>
      </c>
      <c r="O22" s="2" t="inlineStr">
        <is>
          <t>Product option or lifestyle image for Personalized Burning Football Player Comforter</t>
        </is>
      </c>
      <c r="P22" s="2" t="inlineStr">
        <is>
          <t>FULL</t>
        </is>
      </c>
      <c r="Q22" s="2" t="inlineStr">
        <is>
          <t>FULL</t>
        </is>
      </c>
      <c r="R22" s="2" t="inlineStr">
        <is>
          <t>FULL</t>
        </is>
      </c>
      <c r="S22" s="2" t="inlineStr">
        <is>
          <t>FULL</t>
        </is>
      </c>
      <c r="T22" s="5">
        <f>IF(P22="FULL",40,IF(P22="PARTIAL",40/2,0))+IF(Q22="FULL",30,IF(Q22="PARTIAL",30/2,0))+IF(R22="FULL",20,IF(R22="PARTIAL",20/2,0))+IF(S22="FULL",10,IF(S22="PARTIAL",10/2,0))</f>
        <v/>
      </c>
      <c r="U22" s="5">
        <f>IF(P22="NOT_CHECKED",0,40)+IF(Q22="NOT_CHECKED",0,30)+IF(R22="NOT_CHECKED",0,20)+IF(S22="NOT_CHECKED",0,10)</f>
        <v/>
      </c>
      <c r="V22" s="5">
        <f>IF(U22=100,T22,"")</f>
        <v/>
      </c>
      <c r="W22" s="5">
        <f>T22</f>
        <v/>
      </c>
      <c r="X22" s="5">
        <f>T22+(100-U22)</f>
        <v/>
      </c>
      <c r="Y22" s="2" t="inlineStr">
        <is>
          <t>[]</t>
        </is>
      </c>
      <c r="Z22" s="2" t="inlineStr">
        <is>
          <t>["seo_runs\\jeminise.com\\20260906_234129\\evidence\\images\\74_custom-football-player-with-burning-ball-comforter-and-american-football-708344de4c-708344de4c\\image_03_47540147814599.jpg; seo_runs\\jeminise.com\\20260906_234129\\evidence\\contact_sheets\\74_custom-football-player-with-burning-ball-comforter-and-american-football-708344de4c-708344de4c.jpg", "https://jeminise.com/products/custom-football-player-with-burning-ball-comforter-and-american-football-708344de4c-708344de4c", "https://cdn.shopify.com/s/files/1/0792/5098/1063/files/16f7293cbefa5743a35b2e6316a5a114e5c052d08151e367dafd26aa5e2e542b.jpg?v=1785100232"]</t>
        </is>
      </c>
    </row>
    <row r="23" ht="66" customHeight="1">
      <c r="A23" s="3" t="inlineStr">
        <is>
          <t>jeminise.com+custom-football-player-with-burning-ball-comforter-and-american-football-708344de4c-708344de4c</t>
        </is>
      </c>
      <c r="B23" s="3" t="inlineStr">
        <is>
          <t>qaimg_4cfad6b6294cad5a</t>
        </is>
      </c>
      <c r="C23" s="4" t="inlineStr">
        <is>
          <t>https://cdn.shopify.com/s/files/1/0792/5098/1063/files/16850aa741a5d267737cb2131b33dda45539071a48778438df0f5ebd220e57f0.jpg?v=1785100232</t>
        </is>
      </c>
      <c r="D23" s="4" t="inlineStr">
        <is>
          <t>https://cdn.shopify.com/s/files/1/0792/5098/1063/files/16850aa741a5d267737cb2131b33dda45539071a48778438df0f5ebd220e57f0.jpg?v=1785100232</t>
        </is>
      </c>
      <c r="E23" s="3" t="inlineStr">
        <is>
          <t>38506708304071</t>
        </is>
      </c>
      <c r="F23" s="3" t="inlineStr">
        <is>
          <t>47540147847367</t>
        </is>
      </c>
      <c r="G23" s="3" t="inlineStr"/>
      <c r="H23" s="3" t="inlineStr">
        <is>
          <t>GALLERY</t>
        </is>
      </c>
      <c r="I23" s="3" t="inlineStr">
        <is>
          <t>DIRECT_ORIGINAL_IMAGE</t>
        </is>
      </c>
      <c r="J23" s="3" t="inlineStr">
        <is>
          <t>2026-09-07T17:43:56.502970+07:00</t>
        </is>
      </c>
      <c r="K23" s="3" t="inlineStr">
        <is>
          <t>Directly inspected gallery image 4 for black football player holding number 24 with burning football background and name Michael.</t>
        </is>
      </c>
      <c r="L23" s="3" t="inlineStr">
        <is>
          <t>Close room/detail, feature panel or size information for personalized burning football player comforter with Michael number 24.</t>
        </is>
      </c>
      <c r="M23" s="3" t="inlineStr">
        <is>
          <t>Custom Football Player with Burning Ball Comforter and American Football</t>
        </is>
      </c>
      <c r="N23" s="3" t="inlineStr">
        <is>
          <t>SET</t>
        </is>
      </c>
      <c r="O23" s="3" t="inlineStr">
        <is>
          <t>Feature or size information for Personalized Burning Football Player Comforter</t>
        </is>
      </c>
      <c r="P23" s="3" t="inlineStr">
        <is>
          <t>FULL</t>
        </is>
      </c>
      <c r="Q23" s="3" t="inlineStr">
        <is>
          <t>FULL</t>
        </is>
      </c>
      <c r="R23" s="3" t="inlineStr">
        <is>
          <t>PARTIAL</t>
        </is>
      </c>
      <c r="S23" s="3" t="inlineStr">
        <is>
          <t>FULL</t>
        </is>
      </c>
      <c r="T23" s="7">
        <f>IF(P23="FULL",40,IF(P23="PARTIAL",40/2,0))+IF(Q23="FULL",30,IF(Q23="PARTIAL",30/2,0))+IF(R23="FULL",20,IF(R23="PARTIAL",20/2,0))+IF(S23="FULL",10,IF(S23="PARTIAL",10/2,0))</f>
        <v/>
      </c>
      <c r="U23" s="7">
        <f>IF(P23="NOT_CHECKED",0,40)+IF(Q23="NOT_CHECKED",0,30)+IF(R23="NOT_CHECKED",0,20)+IF(S23="NOT_CHECKED",0,10)</f>
        <v/>
      </c>
      <c r="V23" s="7">
        <f>IF(U23=100,T23,"")</f>
        <v/>
      </c>
      <c r="W23" s="7">
        <f>T23</f>
        <v/>
      </c>
      <c r="X23" s="7">
        <f>T23+(100-U23)</f>
        <v/>
      </c>
      <c r="Y23" s="3" t="inlineStr">
        <is>
          <t>["ISS-074-IMG-04"]</t>
        </is>
      </c>
      <c r="Z23" s="3" t="inlineStr">
        <is>
          <t>["seo_runs\\jeminise.com\\20260906_234129\\evidence\\images\\74_custom-football-player-with-burning-ball-comforter-and-american-football-708344de4c-708344de4c\\image_04_47540147847367.jpg; seo_runs\\jeminise.com\\20260906_234129\\evidence\\contact_sheets\\74_custom-football-player-with-burning-ball-comforter-and-american-football-708344de4c-708344de4c.jpg", "https://jeminise.com/products/custom-football-player-with-burning-ball-comforter-and-american-football-708344de4c-708344de4c", "https://cdn.shopify.com/s/files/1/0792/5098/1063/files/16850aa741a5d267737cb2131b33dda45539071a48778438df0f5ebd220e57f0.jpg?v=1785100232"]</t>
        </is>
      </c>
    </row>
    <row r="24" ht="66" customHeight="1">
      <c r="A24" s="2" t="inlineStr">
        <is>
          <t>jeminise.com+custom-football-player-with-burning-ball-comforter-and-american-football-708344de4c-708344de4c</t>
        </is>
      </c>
      <c r="B24" s="2" t="inlineStr">
        <is>
          <t>qaimg_cbf28cfe22fbc331</t>
        </is>
      </c>
      <c r="C24" s="4" t="inlineStr">
        <is>
          <t>https://cdn.shopify.com/s/files/1/0792/5098/1063/files/7c006bddc94d4763c71c8376307e195c1bbce73b8c802ec73ac5a8cef1291262.jpg?v=1785100232</t>
        </is>
      </c>
      <c r="D24" s="4" t="inlineStr">
        <is>
          <t>https://cdn.shopify.com/s/files/1/0792/5098/1063/files/7c006bddc94d4763c71c8376307e195c1bbce73b8c802ec73ac5a8cef1291262.jpg?v=1785100232</t>
        </is>
      </c>
      <c r="E24" s="2" t="inlineStr">
        <is>
          <t>38506708336839</t>
        </is>
      </c>
      <c r="F24" s="2" t="inlineStr">
        <is>
          <t>47540147880135</t>
        </is>
      </c>
      <c r="G24" s="2" t="inlineStr"/>
      <c r="H24" s="2" t="inlineStr">
        <is>
          <t>GALLERY</t>
        </is>
      </c>
      <c r="I24" s="2" t="inlineStr">
        <is>
          <t>DIRECT_ORIGINAL_IMAGE</t>
        </is>
      </c>
      <c r="J24" s="2" t="inlineStr">
        <is>
          <t>2026-09-07T17:43:56.502970+07:00</t>
        </is>
      </c>
      <c r="K24" s="2" t="inlineStr">
        <is>
          <t>Directly inspected gallery image 5 for black football player holding number 24 with burning football background and name Michael.</t>
        </is>
      </c>
      <c r="L24" s="2" t="inlineStr">
        <is>
          <t>Easy-care, material detail or additional mockup for personalized burning football player comforter with Michael number 24.</t>
        </is>
      </c>
      <c r="M24" s="2" t="inlineStr">
        <is>
          <t>Custom Football Player with Burning Ball Comforter and American Football</t>
        </is>
      </c>
      <c r="N24" s="2" t="inlineStr">
        <is>
          <t>SET</t>
        </is>
      </c>
      <c r="O24" s="2" t="inlineStr">
        <is>
          <t>Care, material or additional mockup for Personalized Burning Football Player Comforter</t>
        </is>
      </c>
      <c r="P24" s="2" t="inlineStr">
        <is>
          <t>FULL</t>
        </is>
      </c>
      <c r="Q24" s="2" t="inlineStr">
        <is>
          <t>FULL</t>
        </is>
      </c>
      <c r="R24" s="2" t="inlineStr">
        <is>
          <t>FULL</t>
        </is>
      </c>
      <c r="S24" s="2" t="inlineStr">
        <is>
          <t>FULL</t>
        </is>
      </c>
      <c r="T24" s="5">
        <f>IF(P24="FULL",40,IF(P24="PARTIAL",40/2,0))+IF(Q24="FULL",30,IF(Q24="PARTIAL",30/2,0))+IF(R24="FULL",20,IF(R24="PARTIAL",20/2,0))+IF(S24="FULL",10,IF(S24="PARTIAL",10/2,0))</f>
        <v/>
      </c>
      <c r="U24" s="5">
        <f>IF(P24="NOT_CHECKED",0,40)+IF(Q24="NOT_CHECKED",0,30)+IF(R24="NOT_CHECKED",0,20)+IF(S24="NOT_CHECKED",0,10)</f>
        <v/>
      </c>
      <c r="V24" s="5">
        <f>IF(U24=100,T24,"")</f>
        <v/>
      </c>
      <c r="W24" s="5">
        <f>T24</f>
        <v/>
      </c>
      <c r="X24" s="5">
        <f>T24+(100-U24)</f>
        <v/>
      </c>
      <c r="Y24" s="2" t="inlineStr">
        <is>
          <t>[]</t>
        </is>
      </c>
      <c r="Z24" s="2" t="inlineStr">
        <is>
          <t>["seo_runs\\jeminise.com\\20260906_234129\\evidence\\images\\74_custom-football-player-with-burning-ball-comforter-and-american-football-708344de4c-708344de4c\\image_05_47540147880135.jpg; seo_runs\\jeminise.com\\20260906_234129\\evidence\\contact_sheets\\74_custom-football-player-with-burning-ball-comforter-and-american-football-708344de4c-708344de4c.jpg", "https://jeminise.com/products/custom-football-player-with-burning-ball-comforter-and-american-football-708344de4c-708344de4c", "https://cdn.shopify.com/s/files/1/0792/5098/1063/files/7c006bddc94d4763c71c8376307e195c1bbce73b8c802ec73ac5a8cef1291262.jpg?v=1785100232"]</t>
        </is>
      </c>
    </row>
    <row r="25" ht="66" customHeight="1">
      <c r="A25" s="3" t="inlineStr">
        <is>
          <t>jeminise.com+custom-football-player-with-burning-ball-comforter-and-american-football-708344de4c-708344de4c</t>
        </is>
      </c>
      <c r="B25" s="3" t="inlineStr">
        <is>
          <t>qaimg_36a17d578943d0f0</t>
        </is>
      </c>
      <c r="C25" s="4" t="inlineStr">
        <is>
          <t>https://cdn.shopify.com/s/files/1/0792/5098/1063/files/e5cad84edb4d7bf77c48fd7c8e52eb3b73f04eba8bf177671fd8a059c59422e8.jpg?v=1785100232</t>
        </is>
      </c>
      <c r="D25" s="4" t="inlineStr">
        <is>
          <t>https://cdn.shopify.com/s/files/1/0792/5098/1063/files/e5cad84edb4d7bf77c48fd7c8e52eb3b73f04eba8bf177671fd8a059c59422e8.jpg?v=1785100232</t>
        </is>
      </c>
      <c r="E25" s="3" t="inlineStr">
        <is>
          <t>38506708369607</t>
        </is>
      </c>
      <c r="F25" s="3" t="inlineStr">
        <is>
          <t>47540147912903</t>
        </is>
      </c>
      <c r="G25" s="3" t="inlineStr"/>
      <c r="H25" s="3" t="inlineStr">
        <is>
          <t>GALLERY</t>
        </is>
      </c>
      <c r="I25" s="3" t="inlineStr">
        <is>
          <t>DIRECT_ORIGINAL_IMAGE</t>
        </is>
      </c>
      <c r="J25" s="3" t="inlineStr">
        <is>
          <t>2026-09-07T17:43:56.502970+07:00</t>
        </is>
      </c>
      <c r="K25" s="3" t="inlineStr">
        <is>
          <t>Directly inspected gallery image 6 for black football player holding number 24 with burning football background and name Michael.</t>
        </is>
      </c>
      <c r="L25" s="3" t="inlineStr">
        <is>
          <t>Size guide, feature image or bedroom detail for personalized burning football player comforter with Michael number 24.</t>
        </is>
      </c>
      <c r="M25" s="3" t="inlineStr">
        <is>
          <t>Custom Football Player with Burning Ball Comforter and American Football</t>
        </is>
      </c>
      <c r="N25" s="3" t="inlineStr">
        <is>
          <t>SET</t>
        </is>
      </c>
      <c r="O25" s="3" t="inlineStr">
        <is>
          <t>Size guide or feature image for Personalized Burning Football Player Comforter</t>
        </is>
      </c>
      <c r="P25" s="3" t="inlineStr">
        <is>
          <t>FULL</t>
        </is>
      </c>
      <c r="Q25" s="3" t="inlineStr">
        <is>
          <t>FULL</t>
        </is>
      </c>
      <c r="R25" s="3" t="inlineStr">
        <is>
          <t>FULL</t>
        </is>
      </c>
      <c r="S25" s="3" t="inlineStr">
        <is>
          <t>FULL</t>
        </is>
      </c>
      <c r="T25" s="7">
        <f>IF(P25="FULL",40,IF(P25="PARTIAL",40/2,0))+IF(Q25="FULL",30,IF(Q25="PARTIAL",30/2,0))+IF(R25="FULL",20,IF(R25="PARTIAL",20/2,0))+IF(S25="FULL",10,IF(S25="PARTIAL",10/2,0))</f>
        <v/>
      </c>
      <c r="U25" s="7">
        <f>IF(P25="NOT_CHECKED",0,40)+IF(Q25="NOT_CHECKED",0,30)+IF(R25="NOT_CHECKED",0,20)+IF(S25="NOT_CHECKED",0,10)</f>
        <v/>
      </c>
      <c r="V25" s="7">
        <f>IF(U25=100,T25,"")</f>
        <v/>
      </c>
      <c r="W25" s="7">
        <f>T25</f>
        <v/>
      </c>
      <c r="X25" s="7">
        <f>T25+(100-U25)</f>
        <v/>
      </c>
      <c r="Y25" s="3" t="inlineStr">
        <is>
          <t>[]</t>
        </is>
      </c>
      <c r="Z25" s="3" t="inlineStr">
        <is>
          <t>["seo_runs\\jeminise.com\\20260906_234129\\evidence\\images\\74_custom-football-player-with-burning-ball-comforter-and-american-football-708344de4c-708344de4c\\image_06_47540147912903.jpg; seo_runs\\jeminise.com\\20260906_234129\\evidence\\contact_sheets\\74_custom-football-player-with-burning-ball-comforter-and-american-football-708344de4c-708344de4c.jpg", "https://jeminise.com/products/custom-football-player-with-burning-ball-comforter-and-american-football-708344de4c-708344de4c", "https://cdn.shopify.com/s/files/1/0792/5098/1063/files/e5cad84edb4d7bf77c48fd7c8e52eb3b73f04eba8bf177671fd8a059c59422e8.jpg?v=1785100232"]</t>
        </is>
      </c>
    </row>
    <row r="26" ht="66" customHeight="1">
      <c r="A26" s="2" t="inlineStr">
        <is>
          <t>jeminise.com+custom-football-players-and-large-football-close-comforter-01d72ea6a0-01d72ea6a0</t>
        </is>
      </c>
      <c r="B26" s="2" t="inlineStr">
        <is>
          <t>qaimg_e354ccb7a0cfd832</t>
        </is>
      </c>
      <c r="C26" s="4" t="inlineStr">
        <is>
          <t>https://cdn.shopify.com/s/files/1/0792/5098/1063/files/d9863c62f320177280428dc92d48725c1c06a55d659d366f384fde0c7811382a.jpg?v=1785101218</t>
        </is>
      </c>
      <c r="D26" s="4" t="inlineStr">
        <is>
          <t>https://cdn.shopify.com/s/files/1/0792/5098/1063/files/d9863c62f320177280428dc92d48725c1c06a55d659d366f384fde0c7811382a.jpg?v=1785101218</t>
        </is>
      </c>
      <c r="E26" s="2" t="inlineStr">
        <is>
          <t>38506795040967</t>
        </is>
      </c>
      <c r="F26" s="2" t="inlineStr">
        <is>
          <t>47540234682567</t>
        </is>
      </c>
      <c r="G26" s="2" t="inlineStr"/>
      <c r="H26" s="2" t="inlineStr">
        <is>
          <t>GALLERY</t>
        </is>
      </c>
      <c r="I26" s="2" t="inlineStr">
        <is>
          <t>DIRECT_ORIGINAL_IMAGE</t>
        </is>
      </c>
      <c r="J26" s="2" t="inlineStr">
        <is>
          <t>2026-09-07T17:43:56.502970+07:00</t>
        </is>
      </c>
      <c r="K26" s="2" t="inlineStr">
        <is>
          <t>Directly inspected gallery image 1 for black comforter with large football close-up, multiple player silhouettes and name David.</t>
        </is>
      </c>
      <c r="L26" s="2" t="inlineStr">
        <is>
          <t>Main product mockup showing personalized football player collage comforter with David.</t>
        </is>
      </c>
      <c r="M26" s="2" t="inlineStr">
        <is>
          <t>Custom Football Players and Large Football Close Comforter</t>
        </is>
      </c>
      <c r="N26" s="2" t="inlineStr">
        <is>
          <t>SET</t>
        </is>
      </c>
      <c r="O26" s="2" t="inlineStr">
        <is>
          <t>Personalized Football Player Collage Comforter displayed in a main product mockup</t>
        </is>
      </c>
      <c r="P26" s="2" t="inlineStr">
        <is>
          <t>FULL</t>
        </is>
      </c>
      <c r="Q26" s="2" t="inlineStr">
        <is>
          <t>FULL</t>
        </is>
      </c>
      <c r="R26" s="2" t="inlineStr">
        <is>
          <t>FULL</t>
        </is>
      </c>
      <c r="S26" s="2" t="inlineStr">
        <is>
          <t>FULL</t>
        </is>
      </c>
      <c r="T26" s="5">
        <f>IF(P26="FULL",40,IF(P26="PARTIAL",40/2,0))+IF(Q26="FULL",30,IF(Q26="PARTIAL",30/2,0))+IF(R26="FULL",20,IF(R26="PARTIAL",20/2,0))+IF(S26="FULL",10,IF(S26="PARTIAL",10/2,0))</f>
        <v/>
      </c>
      <c r="U26" s="5">
        <f>IF(P26="NOT_CHECKED",0,40)+IF(Q26="NOT_CHECKED",0,30)+IF(R26="NOT_CHECKED",0,20)+IF(S26="NOT_CHECKED",0,10)</f>
        <v/>
      </c>
      <c r="V26" s="5">
        <f>IF(U26=100,T26,"")</f>
        <v/>
      </c>
      <c r="W26" s="5">
        <f>T26</f>
        <v/>
      </c>
      <c r="X26" s="5">
        <f>T26+(100-U26)</f>
        <v/>
      </c>
      <c r="Y26" s="2" t="inlineStr">
        <is>
          <t>[]</t>
        </is>
      </c>
      <c r="Z26" s="2" t="inlineStr">
        <is>
          <t>["seo_runs\\jeminise.com\\20260906_234129\\evidence\\images\\75_custom-football-players-and-large-football-close-comforter-01d72ea6a0-01d72ea6a0\\image_01_47540234682567.jpg; seo_runs\\jeminise.com\\20260906_234129\\evidence\\contact_sheets\\75_custom-football-players-and-large-football-close-comforter-01d72ea6a0-01d72ea6a0.jpg", "https://jeminise.com/products/custom-football-players-and-large-football-close-comforter-01d72ea6a0-01d72ea6a0", "https://cdn.shopify.com/s/files/1/0792/5098/1063/files/d9863c62f320177280428dc92d48725c1c06a55d659d366f384fde0c7811382a.jpg?v=1785101218"]</t>
        </is>
      </c>
    </row>
    <row r="27" ht="66" customHeight="1">
      <c r="A27" s="3" t="inlineStr">
        <is>
          <t>jeminise.com+custom-football-players-and-large-football-close-comforter-01d72ea6a0-01d72ea6a0</t>
        </is>
      </c>
      <c r="B27" s="3" t="inlineStr">
        <is>
          <t>qaimg_138aa5828cae698b</t>
        </is>
      </c>
      <c r="C27" s="4" t="inlineStr">
        <is>
          <t>https://cdn.shopify.com/s/files/1/0792/5098/1063/files/61d8db4586719dd0e842f190225984c6b6da3b53035d15a131bc2de65a30108d.jpg?v=1785101218</t>
        </is>
      </c>
      <c r="D27" s="4" t="inlineStr">
        <is>
          <t>https://cdn.shopify.com/s/files/1/0792/5098/1063/files/61d8db4586719dd0e842f190225984c6b6da3b53035d15a131bc2de65a30108d.jpg?v=1785101218</t>
        </is>
      </c>
      <c r="E27" s="3" t="inlineStr">
        <is>
          <t>38506795073735</t>
        </is>
      </c>
      <c r="F27" s="3" t="inlineStr">
        <is>
          <t>47540234715335</t>
        </is>
      </c>
      <c r="G27" s="3" t="inlineStr"/>
      <c r="H27" s="3" t="inlineStr">
        <is>
          <t>GALLERY</t>
        </is>
      </c>
      <c r="I27" s="3" t="inlineStr">
        <is>
          <t>DIRECT_ORIGINAL_IMAGE</t>
        </is>
      </c>
      <c r="J27" s="3" t="inlineStr">
        <is>
          <t>2026-09-07T17:43:56.502970+07:00</t>
        </is>
      </c>
      <c r="K27" s="3" t="inlineStr">
        <is>
          <t>Directly inspected gallery image 2 for black comforter with large football close-up, multiple player silhouettes and name David.</t>
        </is>
      </c>
      <c r="L27" s="3" t="inlineStr">
        <is>
          <t>Secondary flat or angled mockup showing personalized football player collage comforter with David.</t>
        </is>
      </c>
      <c r="M27" s="3" t="inlineStr">
        <is>
          <t>Custom Football Players and Large Football Close Comforter</t>
        </is>
      </c>
      <c r="N27" s="3" t="inlineStr">
        <is>
          <t>SET</t>
        </is>
      </c>
      <c r="O27" s="3" t="inlineStr">
        <is>
          <t>Secondary mockup of Personalized Football Player Collage Comforter</t>
        </is>
      </c>
      <c r="P27" s="3" t="inlineStr">
        <is>
          <t>FULL</t>
        </is>
      </c>
      <c r="Q27" s="3" t="inlineStr">
        <is>
          <t>FULL</t>
        </is>
      </c>
      <c r="R27" s="3" t="inlineStr">
        <is>
          <t>FULL</t>
        </is>
      </c>
      <c r="S27" s="3" t="inlineStr">
        <is>
          <t>FULL</t>
        </is>
      </c>
      <c r="T27" s="7">
        <f>IF(P27="FULL",40,IF(P27="PARTIAL",40/2,0))+IF(Q27="FULL",30,IF(Q27="PARTIAL",30/2,0))+IF(R27="FULL",20,IF(R27="PARTIAL",20/2,0))+IF(S27="FULL",10,IF(S27="PARTIAL",10/2,0))</f>
        <v/>
      </c>
      <c r="U27" s="7">
        <f>IF(P27="NOT_CHECKED",0,40)+IF(Q27="NOT_CHECKED",0,30)+IF(R27="NOT_CHECKED",0,20)+IF(S27="NOT_CHECKED",0,10)</f>
        <v/>
      </c>
      <c r="V27" s="7">
        <f>IF(U27=100,T27,"")</f>
        <v/>
      </c>
      <c r="W27" s="7">
        <f>T27</f>
        <v/>
      </c>
      <c r="X27" s="7">
        <f>T27+(100-U27)</f>
        <v/>
      </c>
      <c r="Y27" s="3" t="inlineStr">
        <is>
          <t>[]</t>
        </is>
      </c>
      <c r="Z27" s="3" t="inlineStr">
        <is>
          <t>["seo_runs\\jeminise.com\\20260906_234129\\evidence\\images\\75_custom-football-players-and-large-football-close-comforter-01d72ea6a0-01d72ea6a0\\image_02_47540234715335.jpg; seo_runs\\jeminise.com\\20260906_234129\\evidence\\contact_sheets\\75_custom-football-players-and-large-football-close-comforter-01d72ea6a0-01d72ea6a0.jpg", "https://jeminise.com/products/custom-football-players-and-large-football-close-comforter-01d72ea6a0-01d72ea6a0", "https://cdn.shopify.com/s/files/1/0792/5098/1063/files/61d8db4586719dd0e842f190225984c6b6da3b53035d15a131bc2de65a30108d.jpg?v=1785101218"]</t>
        </is>
      </c>
    </row>
    <row r="28" ht="66" customHeight="1">
      <c r="A28" s="2" t="inlineStr">
        <is>
          <t>jeminise.com+custom-football-players-and-large-football-close-comforter-01d72ea6a0-01d72ea6a0</t>
        </is>
      </c>
      <c r="B28" s="2" t="inlineStr">
        <is>
          <t>qaimg_890c09e5666db1b3</t>
        </is>
      </c>
      <c r="C28" s="4" t="inlineStr">
        <is>
          <t>https://cdn.shopify.com/s/files/1/0792/5098/1063/files/16f7293cbefa5743a35b2e6316a5a114e5c052d08151e367dafd26aa5e2e542b_fd7ecc9e-322c-42cb-ad00-501d35fb48d9.jpg?v=1785101218</t>
        </is>
      </c>
      <c r="D28" s="4" t="inlineStr">
        <is>
          <t>https://cdn.shopify.com/s/files/1/0792/5098/1063/files/16f7293cbefa5743a35b2e6316a5a114e5c052d08151e367dafd26aa5e2e542b_fd7ecc9e-322c-42cb-ad00-501d35fb48d9.jpg?v=1785101218</t>
        </is>
      </c>
      <c r="E28" s="2" t="inlineStr">
        <is>
          <t>38506795106503</t>
        </is>
      </c>
      <c r="F28" s="2" t="inlineStr">
        <is>
          <t>47540234748103</t>
        </is>
      </c>
      <c r="G28" s="2" t="inlineStr"/>
      <c r="H28" s="2" t="inlineStr">
        <is>
          <t>GALLERY</t>
        </is>
      </c>
      <c r="I28" s="2" t="inlineStr">
        <is>
          <t>DIRECT_ORIGINAL_IMAGE</t>
        </is>
      </c>
      <c r="J28" s="2" t="inlineStr">
        <is>
          <t>2026-09-07T17:43:56.502970+07:00</t>
        </is>
      </c>
      <c r="K28" s="2" t="inlineStr">
        <is>
          <t>Directly inspected gallery image 3 for black comforter with large football close-up, multiple player silhouettes and name David.</t>
        </is>
      </c>
      <c r="L28" s="2" t="inlineStr">
        <is>
          <t>Bedding type, size or lifestyle information related to personalized football player collage comforter with David.</t>
        </is>
      </c>
      <c r="M28" s="2" t="inlineStr">
        <is>
          <t>Custom Football Players and Large Football Close Comforter</t>
        </is>
      </c>
      <c r="N28" s="2" t="inlineStr">
        <is>
          <t>SET</t>
        </is>
      </c>
      <c r="O28" s="2" t="inlineStr">
        <is>
          <t>Product option or lifestyle image for Personalized Football Player Collage Comforter</t>
        </is>
      </c>
      <c r="P28" s="2" t="inlineStr">
        <is>
          <t>FULL</t>
        </is>
      </c>
      <c r="Q28" s="2" t="inlineStr">
        <is>
          <t>FULL</t>
        </is>
      </c>
      <c r="R28" s="2" t="inlineStr">
        <is>
          <t>FULL</t>
        </is>
      </c>
      <c r="S28" s="2" t="inlineStr">
        <is>
          <t>FULL</t>
        </is>
      </c>
      <c r="T28" s="5">
        <f>IF(P28="FULL",40,IF(P28="PARTIAL",40/2,0))+IF(Q28="FULL",30,IF(Q28="PARTIAL",30/2,0))+IF(R28="FULL",20,IF(R28="PARTIAL",20/2,0))+IF(S28="FULL",10,IF(S28="PARTIAL",10/2,0))</f>
        <v/>
      </c>
      <c r="U28" s="5">
        <f>IF(P28="NOT_CHECKED",0,40)+IF(Q28="NOT_CHECKED",0,30)+IF(R28="NOT_CHECKED",0,20)+IF(S28="NOT_CHECKED",0,10)</f>
        <v/>
      </c>
      <c r="V28" s="5">
        <f>IF(U28=100,T28,"")</f>
        <v/>
      </c>
      <c r="W28" s="5">
        <f>T28</f>
        <v/>
      </c>
      <c r="X28" s="5">
        <f>T28+(100-U28)</f>
        <v/>
      </c>
      <c r="Y28" s="2" t="inlineStr">
        <is>
          <t>[]</t>
        </is>
      </c>
      <c r="Z28" s="2" t="inlineStr">
        <is>
          <t>["seo_runs\\jeminise.com\\20260906_234129\\evidence\\images\\75_custom-football-players-and-large-football-close-comforter-01d72ea6a0-01d72ea6a0\\image_03_47540234748103.jpg; seo_runs\\jeminise.com\\20260906_234129\\evidence\\contact_sheets\\75_custom-football-players-and-large-football-close-comforter-01d72ea6a0-01d72ea6a0.jpg", "https://jeminise.com/products/custom-football-players-and-large-football-close-comforter-01d72ea6a0-01d72ea6a0", "https://cdn.shopify.com/s/files/1/0792/5098/1063/files/16f7293cbefa5743a35b2e6316a5a114e5c052d08151e367dafd26aa5e2e542b_fd7ecc9e-322c-42cb-ad00-501d35fb48d9.jpg?v=1785101218"]</t>
        </is>
      </c>
    </row>
    <row r="29" ht="66" customHeight="1">
      <c r="A29" s="3" t="inlineStr">
        <is>
          <t>jeminise.com+custom-football-players-and-large-football-close-comforter-01d72ea6a0-01d72ea6a0</t>
        </is>
      </c>
      <c r="B29" s="3" t="inlineStr">
        <is>
          <t>qaimg_095d88e29dfa3fe7</t>
        </is>
      </c>
      <c r="C29" s="4" t="inlineStr">
        <is>
          <t>https://cdn.shopify.com/s/files/1/0792/5098/1063/files/58c340a4c7fe053916f16800187530e654ac14f931a47170b18971d21ebaf1ab.jpg?v=1785101218</t>
        </is>
      </c>
      <c r="D29" s="4" t="inlineStr">
        <is>
          <t>https://cdn.shopify.com/s/files/1/0792/5098/1063/files/58c340a4c7fe053916f16800187530e654ac14f931a47170b18971d21ebaf1ab.jpg?v=1785101218</t>
        </is>
      </c>
      <c r="E29" s="3" t="inlineStr">
        <is>
          <t>38506795139271</t>
        </is>
      </c>
      <c r="F29" s="3" t="inlineStr">
        <is>
          <t>47540234780871</t>
        </is>
      </c>
      <c r="G29" s="3" t="inlineStr"/>
      <c r="H29" s="3" t="inlineStr">
        <is>
          <t>GALLERY</t>
        </is>
      </c>
      <c r="I29" s="3" t="inlineStr">
        <is>
          <t>DIRECT_ORIGINAL_IMAGE</t>
        </is>
      </c>
      <c r="J29" s="3" t="inlineStr">
        <is>
          <t>2026-09-07T17:43:56.502970+07:00</t>
        </is>
      </c>
      <c r="K29" s="3" t="inlineStr">
        <is>
          <t>Directly inspected gallery image 4 for black comforter with large football close-up, multiple player silhouettes and name David.</t>
        </is>
      </c>
      <c r="L29" s="3" t="inlineStr">
        <is>
          <t>Close room/detail, feature panel or size information for personalized football player collage comforter with David.</t>
        </is>
      </c>
      <c r="M29" s="3" t="inlineStr">
        <is>
          <t>Custom Football Players and Large Football Close Comforter</t>
        </is>
      </c>
      <c r="N29" s="3" t="inlineStr">
        <is>
          <t>SET</t>
        </is>
      </c>
      <c r="O29" s="3" t="inlineStr">
        <is>
          <t>Feature or size information for Personalized Football Player Collage Comforter</t>
        </is>
      </c>
      <c r="P29" s="3" t="inlineStr">
        <is>
          <t>FULL</t>
        </is>
      </c>
      <c r="Q29" s="3" t="inlineStr">
        <is>
          <t>FULL</t>
        </is>
      </c>
      <c r="R29" s="3" t="inlineStr">
        <is>
          <t>PARTIAL</t>
        </is>
      </c>
      <c r="S29" s="3" t="inlineStr">
        <is>
          <t>FULL</t>
        </is>
      </c>
      <c r="T29" s="7">
        <f>IF(P29="FULL",40,IF(P29="PARTIAL",40/2,0))+IF(Q29="FULL",30,IF(Q29="PARTIAL",30/2,0))+IF(R29="FULL",20,IF(R29="PARTIAL",20/2,0))+IF(S29="FULL",10,IF(S29="PARTIAL",10/2,0))</f>
        <v/>
      </c>
      <c r="U29" s="7">
        <f>IF(P29="NOT_CHECKED",0,40)+IF(Q29="NOT_CHECKED",0,30)+IF(R29="NOT_CHECKED",0,20)+IF(S29="NOT_CHECKED",0,10)</f>
        <v/>
      </c>
      <c r="V29" s="7">
        <f>IF(U29=100,T29,"")</f>
        <v/>
      </c>
      <c r="W29" s="7">
        <f>T29</f>
        <v/>
      </c>
      <c r="X29" s="7">
        <f>T29+(100-U29)</f>
        <v/>
      </c>
      <c r="Y29" s="3" t="inlineStr">
        <is>
          <t>["ISS-075-IMG-04"]</t>
        </is>
      </c>
      <c r="Z29" s="3" t="inlineStr">
        <is>
          <t>["seo_runs\\jeminise.com\\20260906_234129\\evidence\\images\\75_custom-football-players-and-large-football-close-comforter-01d72ea6a0-01d72ea6a0\\image_04_47540234780871.jpg; seo_runs\\jeminise.com\\20260906_234129\\evidence\\contact_sheets\\75_custom-football-players-and-large-football-close-comforter-01d72ea6a0-01d72ea6a0.jpg", "https://jeminise.com/products/custom-football-players-and-large-football-close-comforter-01d72ea6a0-01d72ea6a0", "https://cdn.shopify.com/s/files/1/0792/5098/1063/files/58c340a4c7fe053916f16800187530e654ac14f931a47170b18971d21ebaf1ab.jpg?v=1785101218"]</t>
        </is>
      </c>
    </row>
    <row r="30" ht="66" customHeight="1">
      <c r="A30" s="2" t="inlineStr">
        <is>
          <t>jeminise.com+custom-football-players-and-large-football-close-comforter-01d72ea6a0-01d72ea6a0</t>
        </is>
      </c>
      <c r="B30" s="2" t="inlineStr">
        <is>
          <t>qaimg_fa7f249996c3d913</t>
        </is>
      </c>
      <c r="C30" s="4" t="inlineStr">
        <is>
          <t>https://cdn.shopify.com/s/files/1/0792/5098/1063/files/9eff0d4b8aa047da646b832be864b73d6d5b63aa2e2b5e86db07267662d50290.jpg?v=1785101218</t>
        </is>
      </c>
      <c r="D30" s="4" t="inlineStr">
        <is>
          <t>https://cdn.shopify.com/s/files/1/0792/5098/1063/files/9eff0d4b8aa047da646b832be864b73d6d5b63aa2e2b5e86db07267662d50290.jpg?v=1785101218</t>
        </is>
      </c>
      <c r="E30" s="2" t="inlineStr">
        <is>
          <t>38506795172039</t>
        </is>
      </c>
      <c r="F30" s="2" t="inlineStr">
        <is>
          <t>47540234813639</t>
        </is>
      </c>
      <c r="G30" s="2" t="inlineStr"/>
      <c r="H30" s="2" t="inlineStr">
        <is>
          <t>GALLERY</t>
        </is>
      </c>
      <c r="I30" s="2" t="inlineStr">
        <is>
          <t>DIRECT_ORIGINAL_IMAGE</t>
        </is>
      </c>
      <c r="J30" s="2" t="inlineStr">
        <is>
          <t>2026-09-07T17:43:56.502970+07:00</t>
        </is>
      </c>
      <c r="K30" s="2" t="inlineStr">
        <is>
          <t>Directly inspected gallery image 5 for black comforter with large football close-up, multiple player silhouettes and name David.</t>
        </is>
      </c>
      <c r="L30" s="2" t="inlineStr">
        <is>
          <t>Easy-care, material detail or additional mockup for personalized football player collage comforter with David.</t>
        </is>
      </c>
      <c r="M30" s="2" t="inlineStr">
        <is>
          <t>Custom Football Players and Large Football Close Comforter</t>
        </is>
      </c>
      <c r="N30" s="2" t="inlineStr">
        <is>
          <t>SET</t>
        </is>
      </c>
      <c r="O30" s="2" t="inlineStr">
        <is>
          <t>Care, material or additional mockup for Personalized Football Player Collage Comforter</t>
        </is>
      </c>
      <c r="P30" s="2" t="inlineStr">
        <is>
          <t>FULL</t>
        </is>
      </c>
      <c r="Q30" s="2" t="inlineStr">
        <is>
          <t>FULL</t>
        </is>
      </c>
      <c r="R30" s="2" t="inlineStr">
        <is>
          <t>FULL</t>
        </is>
      </c>
      <c r="S30" s="2" t="inlineStr">
        <is>
          <t>FULL</t>
        </is>
      </c>
      <c r="T30" s="5">
        <f>IF(P30="FULL",40,IF(P30="PARTIAL",40/2,0))+IF(Q30="FULL",30,IF(Q30="PARTIAL",30/2,0))+IF(R30="FULL",20,IF(R30="PARTIAL",20/2,0))+IF(S30="FULL",10,IF(S30="PARTIAL",10/2,0))</f>
        <v/>
      </c>
      <c r="U30" s="5">
        <f>IF(P30="NOT_CHECKED",0,40)+IF(Q30="NOT_CHECKED",0,30)+IF(R30="NOT_CHECKED",0,20)+IF(S30="NOT_CHECKED",0,10)</f>
        <v/>
      </c>
      <c r="V30" s="5">
        <f>IF(U30=100,T30,"")</f>
        <v/>
      </c>
      <c r="W30" s="5">
        <f>T30</f>
        <v/>
      </c>
      <c r="X30" s="5">
        <f>T30+(100-U30)</f>
        <v/>
      </c>
      <c r="Y30" s="2" t="inlineStr">
        <is>
          <t>[]</t>
        </is>
      </c>
      <c r="Z30" s="2" t="inlineStr">
        <is>
          <t>["seo_runs\\jeminise.com\\20260906_234129\\evidence\\images\\75_custom-football-players-and-large-football-close-comforter-01d72ea6a0-01d72ea6a0\\image_05_47540234813639.jpg; seo_runs\\jeminise.com\\20260906_234129\\evidence\\contact_sheets\\75_custom-football-players-and-large-football-close-comforter-01d72ea6a0-01d72ea6a0.jpg", "https://jeminise.com/products/custom-football-players-and-large-football-close-comforter-01d72ea6a0-01d72ea6a0", "https://cdn.shopify.com/s/files/1/0792/5098/1063/files/9eff0d4b8aa047da646b832be864b73d6d5b63aa2e2b5e86db07267662d50290.jpg?v=1785101218"]</t>
        </is>
      </c>
    </row>
    <row r="31" ht="66" customHeight="1">
      <c r="A31" s="3" t="inlineStr">
        <is>
          <t>jeminise.com+custom-football-players-and-large-football-close-comforter-01d72ea6a0-01d72ea6a0</t>
        </is>
      </c>
      <c r="B31" s="3" t="inlineStr">
        <is>
          <t>qaimg_b58d1fa3e340942b</t>
        </is>
      </c>
      <c r="C31" s="4" t="inlineStr">
        <is>
          <t>https://cdn.shopify.com/s/files/1/0792/5098/1063/files/7c006bddc94d4763c71c8376307e195c1bbce73b8c802ec73ac5a8cef1291262_450a5325-5d52-4e03-9515-43a2fd35d3ac.jpg?v=1785101218</t>
        </is>
      </c>
      <c r="D31" s="4" t="inlineStr">
        <is>
          <t>https://cdn.shopify.com/s/files/1/0792/5098/1063/files/7c006bddc94d4763c71c8376307e195c1bbce73b8c802ec73ac5a8cef1291262_450a5325-5d52-4e03-9515-43a2fd35d3ac.jpg?v=1785101218</t>
        </is>
      </c>
      <c r="E31" s="3" t="inlineStr">
        <is>
          <t>38506795204807</t>
        </is>
      </c>
      <c r="F31" s="3" t="inlineStr">
        <is>
          <t>47540234846407</t>
        </is>
      </c>
      <c r="G31" s="3" t="inlineStr"/>
      <c r="H31" s="3" t="inlineStr">
        <is>
          <t>GALLERY</t>
        </is>
      </c>
      <c r="I31" s="3" t="inlineStr">
        <is>
          <t>DIRECT_ORIGINAL_IMAGE</t>
        </is>
      </c>
      <c r="J31" s="3" t="inlineStr">
        <is>
          <t>2026-09-07T17:43:56.502970+07:00</t>
        </is>
      </c>
      <c r="K31" s="3" t="inlineStr">
        <is>
          <t>Directly inspected gallery image 6 for black comforter with large football close-up, multiple player silhouettes and name David.</t>
        </is>
      </c>
      <c r="L31" s="3" t="inlineStr">
        <is>
          <t>Size guide, feature image or bedroom detail for personalized football player collage comforter with David.</t>
        </is>
      </c>
      <c r="M31" s="3" t="inlineStr">
        <is>
          <t>Custom Football Players and Large Football Close Comforter</t>
        </is>
      </c>
      <c r="N31" s="3" t="inlineStr">
        <is>
          <t>SET</t>
        </is>
      </c>
      <c r="O31" s="3" t="inlineStr">
        <is>
          <t>Size guide or feature image for Personalized Football Player Collage Comforter</t>
        </is>
      </c>
      <c r="P31" s="3" t="inlineStr">
        <is>
          <t>FULL</t>
        </is>
      </c>
      <c r="Q31" s="3" t="inlineStr">
        <is>
          <t>FULL</t>
        </is>
      </c>
      <c r="R31" s="3" t="inlineStr">
        <is>
          <t>FULL</t>
        </is>
      </c>
      <c r="S31" s="3" t="inlineStr">
        <is>
          <t>FULL</t>
        </is>
      </c>
      <c r="T31" s="7">
        <f>IF(P31="FULL",40,IF(P31="PARTIAL",40/2,0))+IF(Q31="FULL",30,IF(Q31="PARTIAL",30/2,0))+IF(R31="FULL",20,IF(R31="PARTIAL",20/2,0))+IF(S31="FULL",10,IF(S31="PARTIAL",10/2,0))</f>
        <v/>
      </c>
      <c r="U31" s="7">
        <f>IF(P31="NOT_CHECKED",0,40)+IF(Q31="NOT_CHECKED",0,30)+IF(R31="NOT_CHECKED",0,20)+IF(S31="NOT_CHECKED",0,10)</f>
        <v/>
      </c>
      <c r="V31" s="7">
        <f>IF(U31=100,T31,"")</f>
        <v/>
      </c>
      <c r="W31" s="7">
        <f>T31</f>
        <v/>
      </c>
      <c r="X31" s="7">
        <f>T31+(100-U31)</f>
        <v/>
      </c>
      <c r="Y31" s="3" t="inlineStr">
        <is>
          <t>[]</t>
        </is>
      </c>
      <c r="Z31" s="3" t="inlineStr">
        <is>
          <t>["seo_runs\\jeminise.com\\20260906_234129\\evidence\\images\\75_custom-football-players-and-large-football-close-comforter-01d72ea6a0-01d72ea6a0\\image_06_47540234846407.jpg; seo_runs\\jeminise.com\\20260906_234129\\evidence\\contact_sheets\\75_custom-football-players-and-large-football-close-comforter-01d72ea6a0-01d72ea6a0.jpg", "https://jeminise.com/products/custom-football-players-and-large-football-close-comforter-01d72ea6a0-01d72ea6a0", "https://cdn.shopify.com/s/files/1/0792/5098/1063/files/7c006bddc94d4763c71c8376307e195c1bbce73b8c802ec73ac5a8cef1291262_450a5325-5d52-4e03-9515-43a2fd35d3ac.jpg?v=1785101218"]</t>
        </is>
      </c>
    </row>
    <row r="32" ht="66" customHeight="1">
      <c r="A32" s="2" t="inlineStr">
        <is>
          <t>jeminise.com+custom-football-players-and-large-football-close-comforter-01d72ea6a0-01d72ea6a0</t>
        </is>
      </c>
      <c r="B32" s="2" t="inlineStr">
        <is>
          <t>qaimg_d61c2671c2a73ca4</t>
        </is>
      </c>
      <c r="C32" s="4" t="inlineStr">
        <is>
          <t>https://cdn.shopify.com/s/files/1/0792/5098/1063/files/e5cad84edb4d7bf77c48fd7c8e52eb3b73f04eba8bf177671fd8a059c59422e8_c920d1d7-5cd3-4297-af76-4f5b0b234ebb.jpg?v=1785101218</t>
        </is>
      </c>
      <c r="D32" s="4" t="inlineStr">
        <is>
          <t>https://cdn.shopify.com/s/files/1/0792/5098/1063/files/e5cad84edb4d7bf77c48fd7c8e52eb3b73f04eba8bf177671fd8a059c59422e8_c920d1d7-5cd3-4297-af76-4f5b0b234ebb.jpg?v=1785101218</t>
        </is>
      </c>
      <c r="E32" s="2" t="inlineStr">
        <is>
          <t>38506795237575</t>
        </is>
      </c>
      <c r="F32" s="2" t="inlineStr">
        <is>
          <t>47540234879175</t>
        </is>
      </c>
      <c r="G32" s="2" t="inlineStr"/>
      <c r="H32" s="2" t="inlineStr">
        <is>
          <t>GALLERY</t>
        </is>
      </c>
      <c r="I32" s="2" t="inlineStr">
        <is>
          <t>DIRECT_ORIGINAL_IMAGE</t>
        </is>
      </c>
      <c r="J32" s="2" t="inlineStr">
        <is>
          <t>2026-09-07T17:43:56.502970+07:00</t>
        </is>
      </c>
      <c r="K32" s="2" t="inlineStr">
        <is>
          <t>Directly inspected gallery image 7 for black comforter with large football close-up, multiple player silhouettes and name David.</t>
        </is>
      </c>
      <c r="L32" s="2" t="inlineStr">
        <is>
          <t>Additional lifestyle, feature or product detail image showing personalized football player collage comforter with David.</t>
        </is>
      </c>
      <c r="M32" s="2" t="inlineStr">
        <is>
          <t>Custom Football Players and Large Football Close Comforter</t>
        </is>
      </c>
      <c r="N32" s="2" t="inlineStr">
        <is>
          <t>SET</t>
        </is>
      </c>
      <c r="O32" s="2" t="inlineStr">
        <is>
          <t>Additional product mockup of Personalized Football Player Collage Comforter</t>
        </is>
      </c>
      <c r="P32" s="2" t="inlineStr">
        <is>
          <t>FULL</t>
        </is>
      </c>
      <c r="Q32" s="2" t="inlineStr">
        <is>
          <t>FULL</t>
        </is>
      </c>
      <c r="R32" s="2" t="inlineStr">
        <is>
          <t>FULL</t>
        </is>
      </c>
      <c r="S32" s="2" t="inlineStr">
        <is>
          <t>FULL</t>
        </is>
      </c>
      <c r="T32" s="5">
        <f>IF(P32="FULL",40,IF(P32="PARTIAL",40/2,0))+IF(Q32="FULL",30,IF(Q32="PARTIAL",30/2,0))+IF(R32="FULL",20,IF(R32="PARTIAL",20/2,0))+IF(S32="FULL",10,IF(S32="PARTIAL",10/2,0))</f>
        <v/>
      </c>
      <c r="U32" s="5">
        <f>IF(P32="NOT_CHECKED",0,40)+IF(Q32="NOT_CHECKED",0,30)+IF(R32="NOT_CHECKED",0,20)+IF(S32="NOT_CHECKED",0,10)</f>
        <v/>
      </c>
      <c r="V32" s="5">
        <f>IF(U32=100,T32,"")</f>
        <v/>
      </c>
      <c r="W32" s="5">
        <f>T32</f>
        <v/>
      </c>
      <c r="X32" s="5">
        <f>T32+(100-U32)</f>
        <v/>
      </c>
      <c r="Y32" s="2" t="inlineStr">
        <is>
          <t>[]</t>
        </is>
      </c>
      <c r="Z32" s="2" t="inlineStr">
        <is>
          <t>["seo_runs\\jeminise.com\\20260906_234129\\evidence\\images\\75_custom-football-players-and-large-football-close-comforter-01d72ea6a0-01d72ea6a0\\image_07_47540234879175.jpg; seo_runs\\jeminise.com\\20260906_234129\\evidence\\contact_sheets\\75_custom-football-players-and-large-football-close-comforter-01d72ea6a0-01d72ea6a0.jpg", "https://jeminise.com/products/custom-football-players-and-large-football-close-comforter-01d72ea6a0-01d72ea6a0", "https://cdn.shopify.com/s/files/1/0792/5098/1063/files/e5cad84edb4d7bf77c48fd7c8e52eb3b73f04eba8bf177671fd8a059c59422e8_c920d1d7-5cd3-4297-af76-4f5b0b234ebb.jpg?v=1785101218"]</t>
        </is>
      </c>
    </row>
    <row r="33" ht="66" customHeight="1">
      <c r="A33" s="3" t="inlineStr">
        <is>
          <t>jeminise.com+custom-football-texture-with-prominent-laces-vintage-comforter-9be594b786-9be594b786</t>
        </is>
      </c>
      <c r="B33" s="3" t="inlineStr">
        <is>
          <t>qaimg_3f043b441315898b</t>
        </is>
      </c>
      <c r="C33" s="4" t="inlineStr">
        <is>
          <t>https://cdn.shopify.com/s/files/1/0792/5098/1063/files/85acb5724b5772636361a6d94be8777f6f2bdb5f3a8e7fa49c6491dff38c06f8.jpg?v=1785102237</t>
        </is>
      </c>
      <c r="D33" s="4" t="inlineStr">
        <is>
          <t>https://cdn.shopify.com/s/files/1/0792/5098/1063/files/85acb5724b5772636361a6d94be8777f6f2bdb5f3a8e7fa49c6491dff38c06f8.jpg?v=1785102237</t>
        </is>
      </c>
      <c r="E33" s="3" t="inlineStr">
        <is>
          <t>38506880041159</t>
        </is>
      </c>
      <c r="F33" s="3" t="inlineStr">
        <is>
          <t>47540320207047</t>
        </is>
      </c>
      <c r="G33" s="3" t="inlineStr"/>
      <c r="H33" s="3" t="inlineStr">
        <is>
          <t>GALLERY</t>
        </is>
      </c>
      <c r="I33" s="3" t="inlineStr">
        <is>
          <t>DIRECT_ORIGINAL_IMAGE</t>
        </is>
      </c>
      <c r="J33" s="3" t="inlineStr">
        <is>
          <t>2026-09-07T17:43:56.502970+07:00</t>
        </is>
      </c>
      <c r="K33" s="3" t="inlineStr">
        <is>
          <t>Directly inspected gallery image 1 for vintage brown football leather texture with prominent white laces, name Michael and number 33.</t>
        </is>
      </c>
      <c r="L33" s="3" t="inlineStr">
        <is>
          <t>Main product mockup showing personalized football laces texture comforter with Michael number 33.</t>
        </is>
      </c>
      <c r="M33" s="3" t="inlineStr">
        <is>
          <t>Custom Football Texture with Prominent Laces Vintage Comforter</t>
        </is>
      </c>
      <c r="N33" s="3" t="inlineStr">
        <is>
          <t>SET</t>
        </is>
      </c>
      <c r="O33" s="3" t="inlineStr">
        <is>
          <t>Personalized Football Laces Comforter displayed in a main product mockup</t>
        </is>
      </c>
      <c r="P33" s="3" t="inlineStr">
        <is>
          <t>FULL</t>
        </is>
      </c>
      <c r="Q33" s="3" t="inlineStr">
        <is>
          <t>FULL</t>
        </is>
      </c>
      <c r="R33" s="3" t="inlineStr">
        <is>
          <t>FULL</t>
        </is>
      </c>
      <c r="S33" s="3" t="inlineStr">
        <is>
          <t>FULL</t>
        </is>
      </c>
      <c r="T33" s="7">
        <f>IF(P33="FULL",40,IF(P33="PARTIAL",40/2,0))+IF(Q33="FULL",30,IF(Q33="PARTIAL",30/2,0))+IF(R33="FULL",20,IF(R33="PARTIAL",20/2,0))+IF(S33="FULL",10,IF(S33="PARTIAL",10/2,0))</f>
        <v/>
      </c>
      <c r="U33" s="7">
        <f>IF(P33="NOT_CHECKED",0,40)+IF(Q33="NOT_CHECKED",0,30)+IF(R33="NOT_CHECKED",0,20)+IF(S33="NOT_CHECKED",0,10)</f>
        <v/>
      </c>
      <c r="V33" s="7">
        <f>IF(U33=100,T33,"")</f>
        <v/>
      </c>
      <c r="W33" s="7">
        <f>T33</f>
        <v/>
      </c>
      <c r="X33" s="7">
        <f>T33+(100-U33)</f>
        <v/>
      </c>
      <c r="Y33" s="3" t="inlineStr">
        <is>
          <t>[]</t>
        </is>
      </c>
      <c r="Z33" s="3" t="inlineStr">
        <is>
          <t>["seo_runs\\jeminise.com\\20260906_234129\\evidence\\images\\76_custom-football-texture-with-prominent-laces-vintage-comforter-9be594b786-9be594b786\\image_01_47540320207047.jpg; seo_runs\\jeminise.com\\20260906_234129\\evidence\\contact_sheets\\76_custom-football-texture-with-prominent-laces-vintage-comforter-9be594b786-9be594b786.jpg", "https://jeminise.com/products/custom-football-texture-with-prominent-laces-vintage-comforter-9be594b786-9be594b786", "https://cdn.shopify.com/s/files/1/0792/5098/1063/files/85acb5724b5772636361a6d94be8777f6f2bdb5f3a8e7fa49c6491dff38c06f8.jpg?v=1785102237"]</t>
        </is>
      </c>
    </row>
    <row r="34" ht="66" customHeight="1">
      <c r="A34" s="2" t="inlineStr">
        <is>
          <t>jeminise.com+custom-football-texture-with-prominent-laces-vintage-comforter-9be594b786-9be594b786</t>
        </is>
      </c>
      <c r="B34" s="2" t="inlineStr">
        <is>
          <t>qaimg_98aba480484314e3</t>
        </is>
      </c>
      <c r="C34" s="4" t="inlineStr">
        <is>
          <t>https://cdn.shopify.com/s/files/1/0792/5098/1063/files/c0dfbc01cdafe0eb40befa736aca2b23229fa063a0f1bf1806bd204913a26a42.jpg?v=1785102237</t>
        </is>
      </c>
      <c r="D34" s="4" t="inlineStr">
        <is>
          <t>https://cdn.shopify.com/s/files/1/0792/5098/1063/files/c0dfbc01cdafe0eb40befa736aca2b23229fa063a0f1bf1806bd204913a26a42.jpg?v=1785102237</t>
        </is>
      </c>
      <c r="E34" s="2" t="inlineStr">
        <is>
          <t>38506880073927</t>
        </is>
      </c>
      <c r="F34" s="2" t="inlineStr">
        <is>
          <t>47540320239815</t>
        </is>
      </c>
      <c r="G34" s="2" t="inlineStr"/>
      <c r="H34" s="2" t="inlineStr">
        <is>
          <t>GALLERY</t>
        </is>
      </c>
      <c r="I34" s="2" t="inlineStr">
        <is>
          <t>DIRECT_ORIGINAL_IMAGE</t>
        </is>
      </c>
      <c r="J34" s="2" t="inlineStr">
        <is>
          <t>2026-09-07T17:43:56.502970+07:00</t>
        </is>
      </c>
      <c r="K34" s="2" t="inlineStr">
        <is>
          <t>Directly inspected gallery image 2 for vintage brown football leather texture with prominent white laces, name Michael and number 33.</t>
        </is>
      </c>
      <c r="L34" s="2" t="inlineStr">
        <is>
          <t>Secondary flat or angled mockup showing personalized football laces texture comforter with Michael number 33.</t>
        </is>
      </c>
      <c r="M34" s="2" t="inlineStr">
        <is>
          <t>Custom Football Texture with Prominent Laces Vintage Comforter</t>
        </is>
      </c>
      <c r="N34" s="2" t="inlineStr">
        <is>
          <t>SET</t>
        </is>
      </c>
      <c r="O34" s="2" t="inlineStr">
        <is>
          <t>Secondary mockup of Personalized Football Laces Comforter</t>
        </is>
      </c>
      <c r="P34" s="2" t="inlineStr">
        <is>
          <t>FULL</t>
        </is>
      </c>
      <c r="Q34" s="2" t="inlineStr">
        <is>
          <t>FULL</t>
        </is>
      </c>
      <c r="R34" s="2" t="inlineStr">
        <is>
          <t>FULL</t>
        </is>
      </c>
      <c r="S34" s="2" t="inlineStr">
        <is>
          <t>FULL</t>
        </is>
      </c>
      <c r="T34" s="5">
        <f>IF(P34="FULL",40,IF(P34="PARTIAL",40/2,0))+IF(Q34="FULL",30,IF(Q34="PARTIAL",30/2,0))+IF(R34="FULL",20,IF(R34="PARTIAL",20/2,0))+IF(S34="FULL",10,IF(S34="PARTIAL",10/2,0))</f>
        <v/>
      </c>
      <c r="U34" s="5">
        <f>IF(P34="NOT_CHECKED",0,40)+IF(Q34="NOT_CHECKED",0,30)+IF(R34="NOT_CHECKED",0,20)+IF(S34="NOT_CHECKED",0,10)</f>
        <v/>
      </c>
      <c r="V34" s="5">
        <f>IF(U34=100,T34,"")</f>
        <v/>
      </c>
      <c r="W34" s="5">
        <f>T34</f>
        <v/>
      </c>
      <c r="X34" s="5">
        <f>T34+(100-U34)</f>
        <v/>
      </c>
      <c r="Y34" s="2" t="inlineStr">
        <is>
          <t>[]</t>
        </is>
      </c>
      <c r="Z34" s="2" t="inlineStr">
        <is>
          <t>["seo_runs\\jeminise.com\\20260906_234129\\evidence\\images\\76_custom-football-texture-with-prominent-laces-vintage-comforter-9be594b786-9be594b786\\image_02_47540320239815.jpg; seo_runs\\jeminise.com\\20260906_234129\\evidence\\contact_sheets\\76_custom-football-texture-with-prominent-laces-vintage-comforter-9be594b786-9be594b786.jpg", "https://jeminise.com/products/custom-football-texture-with-prominent-laces-vintage-comforter-9be594b786-9be594b786", "https://cdn.shopify.com/s/files/1/0792/5098/1063/files/c0dfbc01cdafe0eb40befa736aca2b23229fa063a0f1bf1806bd204913a26a42.jpg?v=1785102237"]</t>
        </is>
      </c>
    </row>
    <row r="35" ht="66" customHeight="1">
      <c r="A35" s="3" t="inlineStr">
        <is>
          <t>jeminise.com+custom-football-texture-with-prominent-laces-vintage-comforter-9be594b786-9be594b786</t>
        </is>
      </c>
      <c r="B35" s="3" t="inlineStr">
        <is>
          <t>qaimg_a59c180b082c6e0b</t>
        </is>
      </c>
      <c r="C35" s="4" t="inlineStr">
        <is>
          <t>https://cdn.shopify.com/s/files/1/0792/5098/1063/files/16f7293cbefa5743a35b2e6316a5a114e5c052d08151e367dafd26aa5e2e542b_d875385b-9b7e-444f-ba63-a4c498f71a9c.jpg?v=1785102237</t>
        </is>
      </c>
      <c r="D35" s="4" t="inlineStr">
        <is>
          <t>https://cdn.shopify.com/s/files/1/0792/5098/1063/files/16f7293cbefa5743a35b2e6316a5a114e5c052d08151e367dafd26aa5e2e542b_d875385b-9b7e-444f-ba63-a4c498f71a9c.jpg?v=1785102237</t>
        </is>
      </c>
      <c r="E35" s="3" t="inlineStr">
        <is>
          <t>38506880106695</t>
        </is>
      </c>
      <c r="F35" s="3" t="inlineStr">
        <is>
          <t>47540320272583</t>
        </is>
      </c>
      <c r="G35" s="3" t="inlineStr"/>
      <c r="H35" s="3" t="inlineStr">
        <is>
          <t>GALLERY</t>
        </is>
      </c>
      <c r="I35" s="3" t="inlineStr">
        <is>
          <t>DIRECT_ORIGINAL_IMAGE</t>
        </is>
      </c>
      <c r="J35" s="3" t="inlineStr">
        <is>
          <t>2026-09-07T17:43:56.502970+07:00</t>
        </is>
      </c>
      <c r="K35" s="3" t="inlineStr">
        <is>
          <t>Directly inspected gallery image 3 for vintage brown football leather texture with prominent white laces, name Michael and number 33.</t>
        </is>
      </c>
      <c r="L35" s="3" t="inlineStr">
        <is>
          <t>Bedding type, size or lifestyle information related to personalized football laces texture comforter with Michael number 33.</t>
        </is>
      </c>
      <c r="M35" s="3" t="inlineStr">
        <is>
          <t>Custom Football Texture with Prominent Laces Vintage Comforter</t>
        </is>
      </c>
      <c r="N35" s="3" t="inlineStr">
        <is>
          <t>SET</t>
        </is>
      </c>
      <c r="O35" s="3" t="inlineStr">
        <is>
          <t>Product option or lifestyle image for Personalized Football Laces Comforter</t>
        </is>
      </c>
      <c r="P35" s="3" t="inlineStr">
        <is>
          <t>FULL</t>
        </is>
      </c>
      <c r="Q35" s="3" t="inlineStr">
        <is>
          <t>FULL</t>
        </is>
      </c>
      <c r="R35" s="3" t="inlineStr">
        <is>
          <t>FULL</t>
        </is>
      </c>
      <c r="S35" s="3" t="inlineStr">
        <is>
          <t>FULL</t>
        </is>
      </c>
      <c r="T35" s="7">
        <f>IF(P35="FULL",40,IF(P35="PARTIAL",40/2,0))+IF(Q35="FULL",30,IF(Q35="PARTIAL",30/2,0))+IF(R35="FULL",20,IF(R35="PARTIAL",20/2,0))+IF(S35="FULL",10,IF(S35="PARTIAL",10/2,0))</f>
        <v/>
      </c>
      <c r="U35" s="7">
        <f>IF(P35="NOT_CHECKED",0,40)+IF(Q35="NOT_CHECKED",0,30)+IF(R35="NOT_CHECKED",0,20)+IF(S35="NOT_CHECKED",0,10)</f>
        <v/>
      </c>
      <c r="V35" s="7">
        <f>IF(U35=100,T35,"")</f>
        <v/>
      </c>
      <c r="W35" s="7">
        <f>T35</f>
        <v/>
      </c>
      <c r="X35" s="7">
        <f>T35+(100-U35)</f>
        <v/>
      </c>
      <c r="Y35" s="3" t="inlineStr">
        <is>
          <t>[]</t>
        </is>
      </c>
      <c r="Z35" s="3" t="inlineStr">
        <is>
          <t>["seo_runs\\jeminise.com\\20260906_234129\\evidence\\images\\76_custom-football-texture-with-prominent-laces-vintage-comforter-9be594b786-9be594b786\\image_03_47540320272583.jpg; seo_runs\\jeminise.com\\20260906_234129\\evidence\\contact_sheets\\76_custom-football-texture-with-prominent-laces-vintage-comforter-9be594b786-9be594b786.jpg", "https://jeminise.com/products/custom-football-texture-with-prominent-laces-vintage-comforter-9be594b786-9be594b786", "https://cdn.shopify.com/s/files/1/0792/5098/1063/files/16f7293cbefa5743a35b2e6316a5a114e5c052d08151e367dafd26aa5e2e542b_d875385b-9b7e-444f-ba63-a4c498f71a9c.jpg?v=1785102237"]</t>
        </is>
      </c>
    </row>
    <row r="36" ht="66" customHeight="1">
      <c r="A36" s="2" t="inlineStr">
        <is>
          <t>jeminise.com+custom-football-texture-with-prominent-laces-vintage-comforter-9be594b786-9be594b786</t>
        </is>
      </c>
      <c r="B36" s="2" t="inlineStr">
        <is>
          <t>qaimg_16cc0c5d16778b90</t>
        </is>
      </c>
      <c r="C36" s="4" t="inlineStr">
        <is>
          <t>https://cdn.shopify.com/s/files/1/0792/5098/1063/files/cfd8631dbba8b37733bb37a7a070ce958cbd2a04846a637899b41f22e85eceda.jpg?v=1785102237</t>
        </is>
      </c>
      <c r="D36" s="4" t="inlineStr">
        <is>
          <t>https://cdn.shopify.com/s/files/1/0792/5098/1063/files/cfd8631dbba8b37733bb37a7a070ce958cbd2a04846a637899b41f22e85eceda.jpg?v=1785102237</t>
        </is>
      </c>
      <c r="E36" s="2" t="inlineStr">
        <is>
          <t>38506880139463</t>
        </is>
      </c>
      <c r="F36" s="2" t="inlineStr">
        <is>
          <t>47540320305351</t>
        </is>
      </c>
      <c r="G36" s="2" t="inlineStr"/>
      <c r="H36" s="2" t="inlineStr">
        <is>
          <t>GALLERY</t>
        </is>
      </c>
      <c r="I36" s="2" t="inlineStr">
        <is>
          <t>DIRECT_ORIGINAL_IMAGE</t>
        </is>
      </c>
      <c r="J36" s="2" t="inlineStr">
        <is>
          <t>2026-09-07T17:43:56.502970+07:00</t>
        </is>
      </c>
      <c r="K36" s="2" t="inlineStr">
        <is>
          <t>Directly inspected gallery image 4 for vintage brown football leather texture with prominent white laces, name Michael and number 33.</t>
        </is>
      </c>
      <c r="L36" s="2" t="inlineStr">
        <is>
          <t>Close room/detail, feature panel or size information for personalized football laces texture comforter with Michael number 33.</t>
        </is>
      </c>
      <c r="M36" s="2" t="inlineStr">
        <is>
          <t>Custom Football Texture with Prominent Laces Vintage Comforter</t>
        </is>
      </c>
      <c r="N36" s="2" t="inlineStr">
        <is>
          <t>SET</t>
        </is>
      </c>
      <c r="O36" s="2" t="inlineStr">
        <is>
          <t>Feature or size information for Personalized Football Laces Comforter</t>
        </is>
      </c>
      <c r="P36" s="2" t="inlineStr">
        <is>
          <t>FULL</t>
        </is>
      </c>
      <c r="Q36" s="2" t="inlineStr">
        <is>
          <t>FULL</t>
        </is>
      </c>
      <c r="R36" s="2" t="inlineStr">
        <is>
          <t>PARTIAL</t>
        </is>
      </c>
      <c r="S36" s="2" t="inlineStr">
        <is>
          <t>FULL</t>
        </is>
      </c>
      <c r="T36" s="5">
        <f>IF(P36="FULL",40,IF(P36="PARTIAL",40/2,0))+IF(Q36="FULL",30,IF(Q36="PARTIAL",30/2,0))+IF(R36="FULL",20,IF(R36="PARTIAL",20/2,0))+IF(S36="FULL",10,IF(S36="PARTIAL",10/2,0))</f>
        <v/>
      </c>
      <c r="U36" s="5">
        <f>IF(P36="NOT_CHECKED",0,40)+IF(Q36="NOT_CHECKED",0,30)+IF(R36="NOT_CHECKED",0,20)+IF(S36="NOT_CHECKED",0,10)</f>
        <v/>
      </c>
      <c r="V36" s="5">
        <f>IF(U36=100,T36,"")</f>
        <v/>
      </c>
      <c r="W36" s="5">
        <f>T36</f>
        <v/>
      </c>
      <c r="X36" s="5">
        <f>T36+(100-U36)</f>
        <v/>
      </c>
      <c r="Y36" s="2" t="inlineStr">
        <is>
          <t>["ISS-076-IMG-04"]</t>
        </is>
      </c>
      <c r="Z36" s="2" t="inlineStr">
        <is>
          <t>["seo_runs\\jeminise.com\\20260906_234129\\evidence\\images\\76_custom-football-texture-with-prominent-laces-vintage-comforter-9be594b786-9be594b786\\image_04_47540320305351.jpg; seo_runs\\jeminise.com\\20260906_234129\\evidence\\contact_sheets\\76_custom-football-texture-with-prominent-laces-vintage-comforter-9be594b786-9be594b786.jpg", "https://jeminise.com/products/custom-football-texture-with-prominent-laces-vintage-comforter-9be594b786-9be594b786", "https://cdn.shopify.com/s/files/1/0792/5098/1063/files/cfd8631dbba8b37733bb37a7a070ce958cbd2a04846a637899b41f22e85eceda.jpg?v=1785102237"]</t>
        </is>
      </c>
    </row>
    <row r="37" ht="66" customHeight="1">
      <c r="A37" s="3" t="inlineStr">
        <is>
          <t>jeminise.com+custom-football-texture-with-prominent-laces-vintage-comforter-9be594b786-9be594b786</t>
        </is>
      </c>
      <c r="B37" s="3" t="inlineStr">
        <is>
          <t>qaimg_062e9d840548065d</t>
        </is>
      </c>
      <c r="C37" s="4" t="inlineStr">
        <is>
          <t>https://cdn.shopify.com/s/files/1/0792/5098/1063/files/7c006bddc94d4763c71c8376307e195c1bbce73b8c802ec73ac5a8cef1291262_d779487c-d3b5-4d1b-8bf2-b7c489c617aa.jpg?v=1785102237</t>
        </is>
      </c>
      <c r="D37" s="4" t="inlineStr">
        <is>
          <t>https://cdn.shopify.com/s/files/1/0792/5098/1063/files/7c006bddc94d4763c71c8376307e195c1bbce73b8c802ec73ac5a8cef1291262_d779487c-d3b5-4d1b-8bf2-b7c489c617aa.jpg?v=1785102237</t>
        </is>
      </c>
      <c r="E37" s="3" t="inlineStr">
        <is>
          <t>38506880172231</t>
        </is>
      </c>
      <c r="F37" s="3" t="inlineStr">
        <is>
          <t>47540320338119</t>
        </is>
      </c>
      <c r="G37" s="3" t="inlineStr"/>
      <c r="H37" s="3" t="inlineStr">
        <is>
          <t>GALLERY</t>
        </is>
      </c>
      <c r="I37" s="3" t="inlineStr">
        <is>
          <t>DIRECT_ORIGINAL_IMAGE</t>
        </is>
      </c>
      <c r="J37" s="3" t="inlineStr">
        <is>
          <t>2026-09-07T17:43:56.502970+07:00</t>
        </is>
      </c>
      <c r="K37" s="3" t="inlineStr">
        <is>
          <t>Directly inspected gallery image 5 for vintage brown football leather texture with prominent white laces, name Michael and number 33.</t>
        </is>
      </c>
      <c r="L37" s="3" t="inlineStr">
        <is>
          <t>Easy-care, material detail or additional mockup for personalized football laces texture comforter with Michael number 33.</t>
        </is>
      </c>
      <c r="M37" s="3" t="inlineStr">
        <is>
          <t>Custom Football Texture with Prominent Laces Vintage Comforter</t>
        </is>
      </c>
      <c r="N37" s="3" t="inlineStr">
        <is>
          <t>SET</t>
        </is>
      </c>
      <c r="O37" s="3" t="inlineStr">
        <is>
          <t>Care, material or additional mockup for Personalized Football Laces Comforter</t>
        </is>
      </c>
      <c r="P37" s="3" t="inlineStr">
        <is>
          <t>FULL</t>
        </is>
      </c>
      <c r="Q37" s="3" t="inlineStr">
        <is>
          <t>FULL</t>
        </is>
      </c>
      <c r="R37" s="3" t="inlineStr">
        <is>
          <t>FULL</t>
        </is>
      </c>
      <c r="S37" s="3" t="inlineStr">
        <is>
          <t>FULL</t>
        </is>
      </c>
      <c r="T37" s="7">
        <f>IF(P37="FULL",40,IF(P37="PARTIAL",40/2,0))+IF(Q37="FULL",30,IF(Q37="PARTIAL",30/2,0))+IF(R37="FULL",20,IF(R37="PARTIAL",20/2,0))+IF(S37="FULL",10,IF(S37="PARTIAL",10/2,0))</f>
        <v/>
      </c>
      <c r="U37" s="7">
        <f>IF(P37="NOT_CHECKED",0,40)+IF(Q37="NOT_CHECKED",0,30)+IF(R37="NOT_CHECKED",0,20)+IF(S37="NOT_CHECKED",0,10)</f>
        <v/>
      </c>
      <c r="V37" s="7">
        <f>IF(U37=100,T37,"")</f>
        <v/>
      </c>
      <c r="W37" s="7">
        <f>T37</f>
        <v/>
      </c>
      <c r="X37" s="7">
        <f>T37+(100-U37)</f>
        <v/>
      </c>
      <c r="Y37" s="3" t="inlineStr">
        <is>
          <t>[]</t>
        </is>
      </c>
      <c r="Z37" s="3" t="inlineStr">
        <is>
          <t>["seo_runs\\jeminise.com\\20260906_234129\\evidence\\images\\76_custom-football-texture-with-prominent-laces-vintage-comforter-9be594b786-9be594b786\\image_05_47540320338119.jpg; seo_runs\\jeminise.com\\20260906_234129\\evidence\\contact_sheets\\76_custom-football-texture-with-prominent-laces-vintage-comforter-9be594b786-9be594b786.jpg", "https://jeminise.com/products/custom-football-texture-with-prominent-laces-vintage-comforter-9be594b786-9be594b786", "https://cdn.shopify.com/s/files/1/0792/5098/1063/files/7c006bddc94d4763c71c8376307e195c1bbce73b8c802ec73ac5a8cef1291262_d779487c-d3b5-4d1b-8bf2-b7c489c617aa.jpg?v=1785102237"]</t>
        </is>
      </c>
    </row>
    <row r="38" ht="66" customHeight="1">
      <c r="A38" s="2" t="inlineStr">
        <is>
          <t>jeminise.com+custom-football-texture-with-prominent-laces-vintage-comforter-9be594b786-9be594b786</t>
        </is>
      </c>
      <c r="B38" s="2" t="inlineStr">
        <is>
          <t>qaimg_f16324d0c94cb03d</t>
        </is>
      </c>
      <c r="C38" s="4" t="inlineStr">
        <is>
          <t>https://cdn.shopify.com/s/files/1/0792/5098/1063/files/e5cad84edb4d7bf77c48fd7c8e52eb3b73f04eba8bf177671fd8a059c59422e8_018a15cb-bcc1-4002-a0d8-af67e3fb30ea.jpg?v=1785102237</t>
        </is>
      </c>
      <c r="D38" s="4" t="inlineStr">
        <is>
          <t>https://cdn.shopify.com/s/files/1/0792/5098/1063/files/e5cad84edb4d7bf77c48fd7c8e52eb3b73f04eba8bf177671fd8a059c59422e8_018a15cb-bcc1-4002-a0d8-af67e3fb30ea.jpg?v=1785102237</t>
        </is>
      </c>
      <c r="E38" s="2" t="inlineStr">
        <is>
          <t>38506880204999</t>
        </is>
      </c>
      <c r="F38" s="2" t="inlineStr">
        <is>
          <t>47540320370887</t>
        </is>
      </c>
      <c r="G38" s="2" t="inlineStr"/>
      <c r="H38" s="2" t="inlineStr">
        <is>
          <t>GALLERY</t>
        </is>
      </c>
      <c r="I38" s="2" t="inlineStr">
        <is>
          <t>DIRECT_ORIGINAL_IMAGE</t>
        </is>
      </c>
      <c r="J38" s="2" t="inlineStr">
        <is>
          <t>2026-09-07T17:43:56.502970+07:00</t>
        </is>
      </c>
      <c r="K38" s="2" t="inlineStr">
        <is>
          <t>Directly inspected gallery image 6 for vintage brown football leather texture with prominent white laces, name Michael and number 33.</t>
        </is>
      </c>
      <c r="L38" s="2" t="inlineStr">
        <is>
          <t>Size guide, feature image or bedroom detail for personalized football laces texture comforter with Michael number 33.</t>
        </is>
      </c>
      <c r="M38" s="2" t="inlineStr">
        <is>
          <t>Custom Football Texture with Prominent Laces Vintage Comforter</t>
        </is>
      </c>
      <c r="N38" s="2" t="inlineStr">
        <is>
          <t>SET</t>
        </is>
      </c>
      <c r="O38" s="2" t="inlineStr">
        <is>
          <t>Size guide or feature image for Personalized Football Laces Comforter</t>
        </is>
      </c>
      <c r="P38" s="2" t="inlineStr">
        <is>
          <t>FULL</t>
        </is>
      </c>
      <c r="Q38" s="2" t="inlineStr">
        <is>
          <t>FULL</t>
        </is>
      </c>
      <c r="R38" s="2" t="inlineStr">
        <is>
          <t>FULL</t>
        </is>
      </c>
      <c r="S38" s="2" t="inlineStr">
        <is>
          <t>FULL</t>
        </is>
      </c>
      <c r="T38" s="5">
        <f>IF(P38="FULL",40,IF(P38="PARTIAL",40/2,0))+IF(Q38="FULL",30,IF(Q38="PARTIAL",30/2,0))+IF(R38="FULL",20,IF(R38="PARTIAL",20/2,0))+IF(S38="FULL",10,IF(S38="PARTIAL",10/2,0))</f>
        <v/>
      </c>
      <c r="U38" s="5">
        <f>IF(P38="NOT_CHECKED",0,40)+IF(Q38="NOT_CHECKED",0,30)+IF(R38="NOT_CHECKED",0,20)+IF(S38="NOT_CHECKED",0,10)</f>
        <v/>
      </c>
      <c r="V38" s="5">
        <f>IF(U38=100,T38,"")</f>
        <v/>
      </c>
      <c r="W38" s="5">
        <f>T38</f>
        <v/>
      </c>
      <c r="X38" s="5">
        <f>T38+(100-U38)</f>
        <v/>
      </c>
      <c r="Y38" s="2" t="inlineStr">
        <is>
          <t>[]</t>
        </is>
      </c>
      <c r="Z38" s="2" t="inlineStr">
        <is>
          <t>["seo_runs\\jeminise.com\\20260906_234129\\evidence\\images\\76_custom-football-texture-with-prominent-laces-vintage-comforter-9be594b786-9be594b786\\image_06_47540320370887.jpg; seo_runs\\jeminise.com\\20260906_234129\\evidence\\contact_sheets\\76_custom-football-texture-with-prominent-laces-vintage-comforter-9be594b786-9be594b786.jpg", "https://jeminise.com/products/custom-football-texture-with-prominent-laces-vintage-comforter-9be594b786-9be594b786", "https://cdn.shopify.com/s/files/1/0792/5098/1063/files/e5cad84edb4d7bf77c48fd7c8e52eb3b73f04eba8bf177671fd8a059c59422e8_018a15cb-bcc1-4002-a0d8-af67e3fb30ea.jpg?v=1785102237"]</t>
        </is>
      </c>
    </row>
    <row r="39" ht="66" customHeight="1">
      <c r="A39" s="3" t="inlineStr">
        <is>
          <t>jeminise.com+custom-glowing-soccer-ball-trails-comforter-set-machine-washable-a6</t>
        </is>
      </c>
      <c r="B39" s="3" t="inlineStr">
        <is>
          <t>qaimg_b247c141b4d913a2</t>
        </is>
      </c>
      <c r="C39" s="4" t="inlineStr">
        <is>
          <t>https://cdn.shopify.com/s/files/1/0792/5098/1063/files/d35464e29b296878cbbb36fb22ace55bea2b0208c40de42a7bbeeecd1911b275.jpg?v=1786611029</t>
        </is>
      </c>
      <c r="D39" s="4" t="inlineStr">
        <is>
          <t>https://cdn.shopify.com/s/files/1/0792/5098/1063/files/d35464e29b296878cbbb36fb22ace55bea2b0208c40de42a7bbeeecd1911b275.jpg?v=1786611029</t>
        </is>
      </c>
      <c r="E39" s="3" t="inlineStr">
        <is>
          <t>38796245074119</t>
        </is>
      </c>
      <c r="F39" s="3" t="inlineStr">
        <is>
          <t>47833437044935</t>
        </is>
      </c>
      <c r="G39" s="3" t="inlineStr"/>
      <c r="H39" s="3" t="inlineStr">
        <is>
          <t>GALLERY</t>
        </is>
      </c>
      <c r="I39" s="3" t="inlineStr">
        <is>
          <t>DIRECT_ORIGINAL_IMAGE</t>
        </is>
      </c>
      <c r="J39" s="3" t="inlineStr">
        <is>
          <t>2026-09-07T17:43:56.502970+07:00</t>
        </is>
      </c>
      <c r="K39" s="3" t="inlineStr">
        <is>
          <t>Directly inspected gallery image 1 for black and blue glowing soccer ball with sweeping light trails, name Jackson and number 10.</t>
        </is>
      </c>
      <c r="L39" s="3" t="inlineStr">
        <is>
          <t>Main product mockup showing personalized glowing soccer ball comforter with Jackson number 10.</t>
        </is>
      </c>
      <c r="M39" s="3" t="inlineStr">
        <is>
          <t>Custom Glowing Soccer Ball Trails Comforter Set, Machine Washable</t>
        </is>
      </c>
      <c r="N39" s="3" t="inlineStr">
        <is>
          <t>SET</t>
        </is>
      </c>
      <c r="O39" s="3" t="inlineStr">
        <is>
          <t>Personalized Glowing Soccer Ball Comforter displayed in a main product mockup</t>
        </is>
      </c>
      <c r="P39" s="3" t="inlineStr">
        <is>
          <t>FULL</t>
        </is>
      </c>
      <c r="Q39" s="3" t="inlineStr">
        <is>
          <t>FULL</t>
        </is>
      </c>
      <c r="R39" s="3" t="inlineStr">
        <is>
          <t>FULL</t>
        </is>
      </c>
      <c r="S39" s="3" t="inlineStr">
        <is>
          <t>FULL</t>
        </is>
      </c>
      <c r="T39" s="7">
        <f>IF(P39="FULL",40,IF(P39="PARTIAL",40/2,0))+IF(Q39="FULL",30,IF(Q39="PARTIAL",30/2,0))+IF(R39="FULL",20,IF(R39="PARTIAL",20/2,0))+IF(S39="FULL",10,IF(S39="PARTIAL",10/2,0))</f>
        <v/>
      </c>
      <c r="U39" s="7">
        <f>IF(P39="NOT_CHECKED",0,40)+IF(Q39="NOT_CHECKED",0,30)+IF(R39="NOT_CHECKED",0,20)+IF(S39="NOT_CHECKED",0,10)</f>
        <v/>
      </c>
      <c r="V39" s="7">
        <f>IF(U39=100,T39,"")</f>
        <v/>
      </c>
      <c r="W39" s="7">
        <f>T39</f>
        <v/>
      </c>
      <c r="X39" s="7">
        <f>T39+(100-U39)</f>
        <v/>
      </c>
      <c r="Y39" s="3" t="inlineStr">
        <is>
          <t>[]</t>
        </is>
      </c>
      <c r="Z39" s="3" t="inlineStr">
        <is>
          <t>["seo_runs\\jeminise.com\\20260906_234129\\evidence\\images\\77_custom-glowing-soccer-ball-trails-comforter-set-machine-washable-a6\\image_01_47833437044935.jpg; seo_runs\\jeminise.com\\20260906_234129\\evidence\\contact_sheets\\77_custom-glowing-soccer-ball-trails-comforter-set-machine-washable-a6.jpg", "https://jeminise.com/products/custom-glowing-soccer-ball-trails-comforter-set-machine-washable-a6", "https://cdn.shopify.com/s/files/1/0792/5098/1063/files/d35464e29b296878cbbb36fb22ace55bea2b0208c40de42a7bbeeecd1911b275.jpg?v=1786611029"]</t>
        </is>
      </c>
    </row>
    <row r="40" ht="66" customHeight="1">
      <c r="A40" s="2" t="inlineStr">
        <is>
          <t>jeminise.com+custom-glowing-soccer-ball-trails-comforter-set-machine-washable-a6</t>
        </is>
      </c>
      <c r="B40" s="2" t="inlineStr">
        <is>
          <t>qaimg_7c7012923f008201</t>
        </is>
      </c>
      <c r="C40" s="4" t="inlineStr">
        <is>
          <t>https://cdn.shopify.com/s/files/1/0792/5098/1063/files/5c13d611a7a454c1ca63d112fc1075b3b0768874d5d6172aeaf1cd08cc696830.jpg?v=1786611029</t>
        </is>
      </c>
      <c r="D40" s="4" t="inlineStr">
        <is>
          <t>https://cdn.shopify.com/s/files/1/0792/5098/1063/files/5c13d611a7a454c1ca63d112fc1075b3b0768874d5d6172aeaf1cd08cc696830.jpg?v=1786611029</t>
        </is>
      </c>
      <c r="E40" s="2" t="inlineStr">
        <is>
          <t>38796245106887</t>
        </is>
      </c>
      <c r="F40" s="2" t="inlineStr">
        <is>
          <t>47833437077703</t>
        </is>
      </c>
      <c r="G40" s="2" t="inlineStr"/>
      <c r="H40" s="2" t="inlineStr">
        <is>
          <t>GALLERY</t>
        </is>
      </c>
      <c r="I40" s="2" t="inlineStr">
        <is>
          <t>DIRECT_ORIGINAL_IMAGE</t>
        </is>
      </c>
      <c r="J40" s="2" t="inlineStr">
        <is>
          <t>2026-09-07T17:43:56.502970+07:00</t>
        </is>
      </c>
      <c r="K40" s="2" t="inlineStr">
        <is>
          <t>Directly inspected gallery image 2 for black and blue glowing soccer ball with sweeping light trails, name Jackson and number 10.</t>
        </is>
      </c>
      <c r="L40" s="2" t="inlineStr">
        <is>
          <t>Secondary flat or angled mockup showing personalized glowing soccer ball comforter with Jackson number 10.</t>
        </is>
      </c>
      <c r="M40" s="2" t="inlineStr">
        <is>
          <t>Custom Glowing Soccer Ball Trails Comforter Set, Machine Washable</t>
        </is>
      </c>
      <c r="N40" s="2" t="inlineStr">
        <is>
          <t>SET</t>
        </is>
      </c>
      <c r="O40" s="2" t="inlineStr">
        <is>
          <t>Secondary mockup of Personalized Glowing Soccer Ball Comforter</t>
        </is>
      </c>
      <c r="P40" s="2" t="inlineStr">
        <is>
          <t>FULL</t>
        </is>
      </c>
      <c r="Q40" s="2" t="inlineStr">
        <is>
          <t>FULL</t>
        </is>
      </c>
      <c r="R40" s="2" t="inlineStr">
        <is>
          <t>FULL</t>
        </is>
      </c>
      <c r="S40" s="2" t="inlineStr">
        <is>
          <t>FULL</t>
        </is>
      </c>
      <c r="T40" s="5">
        <f>IF(P40="FULL",40,IF(P40="PARTIAL",40/2,0))+IF(Q40="FULL",30,IF(Q40="PARTIAL",30/2,0))+IF(R40="FULL",20,IF(R40="PARTIAL",20/2,0))+IF(S40="FULL",10,IF(S40="PARTIAL",10/2,0))</f>
        <v/>
      </c>
      <c r="U40" s="5">
        <f>IF(P40="NOT_CHECKED",0,40)+IF(Q40="NOT_CHECKED",0,30)+IF(R40="NOT_CHECKED",0,20)+IF(S40="NOT_CHECKED",0,10)</f>
        <v/>
      </c>
      <c r="V40" s="5">
        <f>IF(U40=100,T40,"")</f>
        <v/>
      </c>
      <c r="W40" s="5">
        <f>T40</f>
        <v/>
      </c>
      <c r="X40" s="5">
        <f>T40+(100-U40)</f>
        <v/>
      </c>
      <c r="Y40" s="2" t="inlineStr">
        <is>
          <t>[]</t>
        </is>
      </c>
      <c r="Z40" s="2" t="inlineStr">
        <is>
          <t>["seo_runs\\jeminise.com\\20260906_234129\\evidence\\images\\77_custom-glowing-soccer-ball-trails-comforter-set-machine-washable-a6\\image_02_47833437077703.jpg; seo_runs\\jeminise.com\\20260906_234129\\evidence\\contact_sheets\\77_custom-glowing-soccer-ball-trails-comforter-set-machine-washable-a6.jpg", "https://jeminise.com/products/custom-glowing-soccer-ball-trails-comforter-set-machine-washable-a6", "https://cdn.shopify.com/s/files/1/0792/5098/1063/files/5c13d611a7a454c1ca63d112fc1075b3b0768874d5d6172aeaf1cd08cc696830.jpg?v=1786611029"]</t>
        </is>
      </c>
    </row>
    <row r="41" ht="66" customHeight="1">
      <c r="A41" s="3" t="inlineStr">
        <is>
          <t>jeminise.com+custom-glowing-soccer-ball-trails-comforter-set-machine-washable-a6</t>
        </is>
      </c>
      <c r="B41" s="3" t="inlineStr">
        <is>
          <t>qaimg_4eb4a96cf6c02220</t>
        </is>
      </c>
      <c r="C41" s="4" t="inlineStr">
        <is>
          <t>https://cdn.shopify.com/s/files/1/0792/5098/1063/files/305d9f6d5446ecb591f3359b103d707a8238d268ede646541022deebd4e546fe.jpg?v=1786611030</t>
        </is>
      </c>
      <c r="D41" s="4" t="inlineStr">
        <is>
          <t>https://cdn.shopify.com/s/files/1/0792/5098/1063/files/305d9f6d5446ecb591f3359b103d707a8238d268ede646541022deebd4e546fe.jpg?v=1786611030</t>
        </is>
      </c>
      <c r="E41" s="3" t="inlineStr">
        <is>
          <t>38796245139655</t>
        </is>
      </c>
      <c r="F41" s="3" t="inlineStr">
        <is>
          <t>47833437110471</t>
        </is>
      </c>
      <c r="G41" s="3" t="inlineStr"/>
      <c r="H41" s="3" t="inlineStr">
        <is>
          <t>GALLERY</t>
        </is>
      </c>
      <c r="I41" s="3" t="inlineStr">
        <is>
          <t>DIRECT_ORIGINAL_IMAGE</t>
        </is>
      </c>
      <c r="J41" s="3" t="inlineStr">
        <is>
          <t>2026-09-07T17:43:56.502970+07:00</t>
        </is>
      </c>
      <c r="K41" s="3" t="inlineStr">
        <is>
          <t>Directly inspected gallery image 3 for black and blue glowing soccer ball with sweeping light trails, name Jackson and number 10.</t>
        </is>
      </c>
      <c r="L41" s="3" t="inlineStr">
        <is>
          <t>Bedding type, size or lifestyle information related to personalized glowing soccer ball comforter with Jackson number 10.</t>
        </is>
      </c>
      <c r="M41" s="3" t="inlineStr">
        <is>
          <t>Custom Glowing Soccer Ball Trails Comforter Set, Machine Washable</t>
        </is>
      </c>
      <c r="N41" s="3" t="inlineStr">
        <is>
          <t>SET</t>
        </is>
      </c>
      <c r="O41" s="3" t="inlineStr">
        <is>
          <t>Product option or lifestyle image for Personalized Glowing Soccer Ball Comforter</t>
        </is>
      </c>
      <c r="P41" s="3" t="inlineStr">
        <is>
          <t>FULL</t>
        </is>
      </c>
      <c r="Q41" s="3" t="inlineStr">
        <is>
          <t>FULL</t>
        </is>
      </c>
      <c r="R41" s="3" t="inlineStr">
        <is>
          <t>FULL</t>
        </is>
      </c>
      <c r="S41" s="3" t="inlineStr">
        <is>
          <t>FULL</t>
        </is>
      </c>
      <c r="T41" s="7">
        <f>IF(P41="FULL",40,IF(P41="PARTIAL",40/2,0))+IF(Q41="FULL",30,IF(Q41="PARTIAL",30/2,0))+IF(R41="FULL",20,IF(R41="PARTIAL",20/2,0))+IF(S41="FULL",10,IF(S41="PARTIAL",10/2,0))</f>
        <v/>
      </c>
      <c r="U41" s="7">
        <f>IF(P41="NOT_CHECKED",0,40)+IF(Q41="NOT_CHECKED",0,30)+IF(R41="NOT_CHECKED",0,20)+IF(S41="NOT_CHECKED",0,10)</f>
        <v/>
      </c>
      <c r="V41" s="7">
        <f>IF(U41=100,T41,"")</f>
        <v/>
      </c>
      <c r="W41" s="7">
        <f>T41</f>
        <v/>
      </c>
      <c r="X41" s="7">
        <f>T41+(100-U41)</f>
        <v/>
      </c>
      <c r="Y41" s="3" t="inlineStr">
        <is>
          <t>[]</t>
        </is>
      </c>
      <c r="Z41" s="3" t="inlineStr">
        <is>
          <t>["seo_runs\\jeminise.com\\20260906_234129\\evidence\\images\\77_custom-glowing-soccer-ball-trails-comforter-set-machine-washable-a6\\image_03_47833437110471.jpg; seo_runs\\jeminise.com\\20260906_234129\\evidence\\contact_sheets\\77_custom-glowing-soccer-ball-trails-comforter-set-machine-washable-a6.jpg", "https://jeminise.com/products/custom-glowing-soccer-ball-trails-comforter-set-machine-washable-a6", "https://cdn.shopify.com/s/files/1/0792/5098/1063/files/305d9f6d5446ecb591f3359b103d707a8238d268ede646541022deebd4e546fe.jpg?v=1786611030"]</t>
        </is>
      </c>
    </row>
    <row r="42" ht="66" customHeight="1">
      <c r="A42" s="2" t="inlineStr">
        <is>
          <t>jeminise.com+custom-glowing-soccer-ball-trails-comforter-set-machine-washable-a6</t>
        </is>
      </c>
      <c r="B42" s="2" t="inlineStr">
        <is>
          <t>qaimg_c918132d23885ce3</t>
        </is>
      </c>
      <c r="C42" s="4" t="inlineStr">
        <is>
          <t>https://cdn.shopify.com/s/files/1/0792/5098/1063/files/0b1d1e19cab6d757366a36700f895ecca060303e705a8aece2f5fa486b6770da_95997922-66a7-46d6-9ca4-1f9633c6e408.jpg?v=1786611029</t>
        </is>
      </c>
      <c r="D42" s="4" t="inlineStr">
        <is>
          <t>https://cdn.shopify.com/s/files/1/0792/5098/1063/files/0b1d1e19cab6d757366a36700f895ecca060303e705a8aece2f5fa486b6770da_95997922-66a7-46d6-9ca4-1f9633c6e408.jpg?v=1786611029</t>
        </is>
      </c>
      <c r="E42" s="2" t="inlineStr">
        <is>
          <t>38796245172423</t>
        </is>
      </c>
      <c r="F42" s="2" t="inlineStr">
        <is>
          <t>47833437143239</t>
        </is>
      </c>
      <c r="G42" s="2" t="inlineStr"/>
      <c r="H42" s="2" t="inlineStr">
        <is>
          <t>GALLERY</t>
        </is>
      </c>
      <c r="I42" s="2" t="inlineStr">
        <is>
          <t>DIRECT_ORIGINAL_IMAGE</t>
        </is>
      </c>
      <c r="J42" s="2" t="inlineStr">
        <is>
          <t>2026-09-07T17:43:56.502970+07:00</t>
        </is>
      </c>
      <c r="K42" s="2" t="inlineStr">
        <is>
          <t>Directly inspected gallery image 4 for black and blue glowing soccer ball with sweeping light trails, name Jackson and number 10.</t>
        </is>
      </c>
      <c r="L42" s="2" t="inlineStr">
        <is>
          <t>Close room/detail, feature panel or size information for personalized glowing soccer ball comforter with Jackson number 10.</t>
        </is>
      </c>
      <c r="M42" s="2" t="inlineStr">
        <is>
          <t>Custom Glowing Soccer Ball Trails Comforter Set, Machine Washable</t>
        </is>
      </c>
      <c r="N42" s="2" t="inlineStr">
        <is>
          <t>SET</t>
        </is>
      </c>
      <c r="O42" s="2" t="inlineStr">
        <is>
          <t>Feature or size information for Personalized Glowing Soccer Ball Comforter</t>
        </is>
      </c>
      <c r="P42" s="2" t="inlineStr">
        <is>
          <t>FULL</t>
        </is>
      </c>
      <c r="Q42" s="2" t="inlineStr">
        <is>
          <t>FULL</t>
        </is>
      </c>
      <c r="R42" s="2" t="inlineStr">
        <is>
          <t>PARTIAL</t>
        </is>
      </c>
      <c r="S42" s="2" t="inlineStr">
        <is>
          <t>FULL</t>
        </is>
      </c>
      <c r="T42" s="5">
        <f>IF(P42="FULL",40,IF(P42="PARTIAL",40/2,0))+IF(Q42="FULL",30,IF(Q42="PARTIAL",30/2,0))+IF(R42="FULL",20,IF(R42="PARTIAL",20/2,0))+IF(S42="FULL",10,IF(S42="PARTIAL",10/2,0))</f>
        <v/>
      </c>
      <c r="U42" s="5">
        <f>IF(P42="NOT_CHECKED",0,40)+IF(Q42="NOT_CHECKED",0,30)+IF(R42="NOT_CHECKED",0,20)+IF(S42="NOT_CHECKED",0,10)</f>
        <v/>
      </c>
      <c r="V42" s="5">
        <f>IF(U42=100,T42,"")</f>
        <v/>
      </c>
      <c r="W42" s="5">
        <f>T42</f>
        <v/>
      </c>
      <c r="X42" s="5">
        <f>T42+(100-U42)</f>
        <v/>
      </c>
      <c r="Y42" s="2" t="inlineStr">
        <is>
          <t>["ISS-077-IMG-04"]</t>
        </is>
      </c>
      <c r="Z42" s="2" t="inlineStr">
        <is>
          <t>["seo_runs\\jeminise.com\\20260906_234129\\evidence\\images\\77_custom-glowing-soccer-ball-trails-comforter-set-machine-washable-a6\\image_04_47833437143239.jpg; seo_runs\\jeminise.com\\20260906_234129\\evidence\\contact_sheets\\77_custom-glowing-soccer-ball-trails-comforter-set-machine-washable-a6.jpg", "https://jeminise.com/products/custom-glowing-soccer-ball-trails-comforter-set-machine-washable-a6", "https://cdn.shopify.com/s/files/1/0792/5098/1063/files/0b1d1e19cab6d757366a36700f895ecca060303e705a8aece2f5fa486b6770da_95997922-66a7-46d6-9ca4-1f9633c6e408.jpg?v=1786611029"]</t>
        </is>
      </c>
    </row>
    <row r="43" ht="66" customHeight="1">
      <c r="A43" s="3" t="inlineStr">
        <is>
          <t>jeminise.com+custom-glowing-soccer-ball-trails-comforter-set-machine-washable-a6</t>
        </is>
      </c>
      <c r="B43" s="3" t="inlineStr">
        <is>
          <t>qaimg_d3e5bdbd2b4fe4a3</t>
        </is>
      </c>
      <c r="C43" s="4" t="inlineStr">
        <is>
          <t>https://cdn.shopify.com/s/files/1/0792/5098/1063/files/f929fadf46a0d640608e2094534af14a00f4d3c4741a2c49c81555cb9fad12c6.jpg?v=1786611029</t>
        </is>
      </c>
      <c r="D43" s="4" t="inlineStr">
        <is>
          <t>https://cdn.shopify.com/s/files/1/0792/5098/1063/files/f929fadf46a0d640608e2094534af14a00f4d3c4741a2c49c81555cb9fad12c6.jpg?v=1786611029</t>
        </is>
      </c>
      <c r="E43" s="3" t="inlineStr">
        <is>
          <t>38796245205191</t>
        </is>
      </c>
      <c r="F43" s="3" t="inlineStr">
        <is>
          <t>47833437176007</t>
        </is>
      </c>
      <c r="G43" s="3" t="inlineStr"/>
      <c r="H43" s="3" t="inlineStr">
        <is>
          <t>GALLERY</t>
        </is>
      </c>
      <c r="I43" s="3" t="inlineStr">
        <is>
          <t>DIRECT_ORIGINAL_IMAGE</t>
        </is>
      </c>
      <c r="J43" s="3" t="inlineStr">
        <is>
          <t>2026-09-07T17:43:56.502970+07:00</t>
        </is>
      </c>
      <c r="K43" s="3" t="inlineStr">
        <is>
          <t>Directly inspected gallery image 5 for black and blue glowing soccer ball with sweeping light trails, name Jackson and number 10.</t>
        </is>
      </c>
      <c r="L43" s="3" t="inlineStr">
        <is>
          <t>Easy-care, material detail or additional mockup for personalized glowing soccer ball comforter with Jackson number 10.</t>
        </is>
      </c>
      <c r="M43" s="3" t="inlineStr">
        <is>
          <t>Custom Glowing Soccer Ball Trails Comforter Set, Machine Washable</t>
        </is>
      </c>
      <c r="N43" s="3" t="inlineStr">
        <is>
          <t>SET</t>
        </is>
      </c>
      <c r="O43" s="3" t="inlineStr">
        <is>
          <t>Care, material or additional mockup for Personalized Glowing Soccer Ball Comforter</t>
        </is>
      </c>
      <c r="P43" s="3" t="inlineStr">
        <is>
          <t>FULL</t>
        </is>
      </c>
      <c r="Q43" s="3" t="inlineStr">
        <is>
          <t>FULL</t>
        </is>
      </c>
      <c r="R43" s="3" t="inlineStr">
        <is>
          <t>FULL</t>
        </is>
      </c>
      <c r="S43" s="3" t="inlineStr">
        <is>
          <t>FULL</t>
        </is>
      </c>
      <c r="T43" s="7">
        <f>IF(P43="FULL",40,IF(P43="PARTIAL",40/2,0))+IF(Q43="FULL",30,IF(Q43="PARTIAL",30/2,0))+IF(R43="FULL",20,IF(R43="PARTIAL",20/2,0))+IF(S43="FULL",10,IF(S43="PARTIAL",10/2,0))</f>
        <v/>
      </c>
      <c r="U43" s="7">
        <f>IF(P43="NOT_CHECKED",0,40)+IF(Q43="NOT_CHECKED",0,30)+IF(R43="NOT_CHECKED",0,20)+IF(S43="NOT_CHECKED",0,10)</f>
        <v/>
      </c>
      <c r="V43" s="7">
        <f>IF(U43=100,T43,"")</f>
        <v/>
      </c>
      <c r="W43" s="7">
        <f>T43</f>
        <v/>
      </c>
      <c r="X43" s="7">
        <f>T43+(100-U43)</f>
        <v/>
      </c>
      <c r="Y43" s="3" t="inlineStr">
        <is>
          <t>[]</t>
        </is>
      </c>
      <c r="Z43" s="3" t="inlineStr">
        <is>
          <t>["seo_runs\\jeminise.com\\20260906_234129\\evidence\\images\\77_custom-glowing-soccer-ball-trails-comforter-set-machine-washable-a6\\image_05_47833437176007.jpg; seo_runs\\jeminise.com\\20260906_234129\\evidence\\contact_sheets\\77_custom-glowing-soccer-ball-trails-comforter-set-machine-washable-a6.jpg", "https://jeminise.com/products/custom-glowing-soccer-ball-trails-comforter-set-machine-washable-a6", "https://cdn.shopify.com/s/files/1/0792/5098/1063/files/f929fadf46a0d640608e2094534af14a00f4d3c4741a2c49c81555cb9fad12c6.jpg?v=1786611029"]</t>
        </is>
      </c>
    </row>
    <row r="44" ht="66" customHeight="1">
      <c r="A44" s="2" t="inlineStr">
        <is>
          <t>jeminise.com+custom-glowing-soccer-ball-trails-comforter-set-machine-washable-a6</t>
        </is>
      </c>
      <c r="B44" s="2" t="inlineStr">
        <is>
          <t>qaimg_4b6205849648e057</t>
        </is>
      </c>
      <c r="C44" s="4" t="inlineStr">
        <is>
          <t>https://cdn.shopify.com/s/files/1/0792/5098/1063/files/b550cf71c201b6bc1ae5a8c7738600f1e28884333df72f355ce05d68e3cc01af.jpg?v=1786611030</t>
        </is>
      </c>
      <c r="D44" s="4" t="inlineStr">
        <is>
          <t>https://cdn.shopify.com/s/files/1/0792/5098/1063/files/b550cf71c201b6bc1ae5a8c7738600f1e28884333df72f355ce05d68e3cc01af.jpg?v=1786611030</t>
        </is>
      </c>
      <c r="E44" s="2" t="inlineStr">
        <is>
          <t>38796245237959</t>
        </is>
      </c>
      <c r="F44" s="2" t="inlineStr">
        <is>
          <t>47833437208775</t>
        </is>
      </c>
      <c r="G44" s="2" t="inlineStr"/>
      <c r="H44" s="2" t="inlineStr">
        <is>
          <t>GALLERY</t>
        </is>
      </c>
      <c r="I44" s="2" t="inlineStr">
        <is>
          <t>DIRECT_ORIGINAL_IMAGE</t>
        </is>
      </c>
      <c r="J44" s="2" t="inlineStr">
        <is>
          <t>2026-09-07T17:43:56.502970+07:00</t>
        </is>
      </c>
      <c r="K44" s="2" t="inlineStr">
        <is>
          <t>Directly inspected gallery image 6 for black and blue glowing soccer ball with sweeping light trails, name Jackson and number 10.</t>
        </is>
      </c>
      <c r="L44" s="2" t="inlineStr">
        <is>
          <t>Size guide, feature image or bedroom detail for personalized glowing soccer ball comforter with Jackson number 10.</t>
        </is>
      </c>
      <c r="M44" s="2" t="inlineStr">
        <is>
          <t>Custom Glowing Soccer Ball Trails Comforter Set, Machine Washable</t>
        </is>
      </c>
      <c r="N44" s="2" t="inlineStr">
        <is>
          <t>SET</t>
        </is>
      </c>
      <c r="O44" s="2" t="inlineStr">
        <is>
          <t>Size guide or feature image for Personalized Glowing Soccer Ball Comforter</t>
        </is>
      </c>
      <c r="P44" s="2" t="inlineStr">
        <is>
          <t>FULL</t>
        </is>
      </c>
      <c r="Q44" s="2" t="inlineStr">
        <is>
          <t>FULL</t>
        </is>
      </c>
      <c r="R44" s="2" t="inlineStr">
        <is>
          <t>FULL</t>
        </is>
      </c>
      <c r="S44" s="2" t="inlineStr">
        <is>
          <t>FULL</t>
        </is>
      </c>
      <c r="T44" s="5">
        <f>IF(P44="FULL",40,IF(P44="PARTIAL",40/2,0))+IF(Q44="FULL",30,IF(Q44="PARTIAL",30/2,0))+IF(R44="FULL",20,IF(R44="PARTIAL",20/2,0))+IF(S44="FULL",10,IF(S44="PARTIAL",10/2,0))</f>
        <v/>
      </c>
      <c r="U44" s="5">
        <f>IF(P44="NOT_CHECKED",0,40)+IF(Q44="NOT_CHECKED",0,30)+IF(R44="NOT_CHECKED",0,20)+IF(S44="NOT_CHECKED",0,10)</f>
        <v/>
      </c>
      <c r="V44" s="5">
        <f>IF(U44=100,T44,"")</f>
        <v/>
      </c>
      <c r="W44" s="5">
        <f>T44</f>
        <v/>
      </c>
      <c r="X44" s="5">
        <f>T44+(100-U44)</f>
        <v/>
      </c>
      <c r="Y44" s="2" t="inlineStr">
        <is>
          <t>[]</t>
        </is>
      </c>
      <c r="Z44" s="2" t="inlineStr">
        <is>
          <t>["seo_runs\\jeminise.com\\20260906_234129\\evidence\\images\\77_custom-glowing-soccer-ball-trails-comforter-set-machine-washable-a6\\image_06_47833437208775.jpg; seo_runs\\jeminise.com\\20260906_234129\\evidence\\contact_sheets\\77_custom-glowing-soccer-ball-trails-comforter-set-machine-washable-a6.jpg", "https://jeminise.com/products/custom-glowing-soccer-ball-trails-comforter-set-machine-washable-a6", "https://cdn.shopify.com/s/files/1/0792/5098/1063/files/b550cf71c201b6bc1ae5a8c7738600f1e28884333df72f355ce05d68e3cc01af.jpg?v=1786611030"]</t>
        </is>
      </c>
    </row>
    <row r="45" ht="66" customHeight="1">
      <c r="A45" s="3" t="inlineStr">
        <is>
          <t>jeminise.com+custom-glowing-soccer-ball-trails-comforter-set-machine-washable-a6</t>
        </is>
      </c>
      <c r="B45" s="3" t="inlineStr">
        <is>
          <t>qaimg_64c9b57c430af4ae</t>
        </is>
      </c>
      <c r="C45" s="4" t="inlineStr">
        <is>
          <t>https://cdn.shopify.com/s/files/1/0792/5098/1063/files/dd6b2f75d5d331064be3e2ace151f6872c3f1f67675d8c1c7fa00f207341180b_b741a6ef-7c5a-4b13-9c59-910a83594693.jpg?v=1786611029</t>
        </is>
      </c>
      <c r="D45" s="4" t="inlineStr">
        <is>
          <t>https://cdn.shopify.com/s/files/1/0792/5098/1063/files/dd6b2f75d5d331064be3e2ace151f6872c3f1f67675d8c1c7fa00f207341180b_b741a6ef-7c5a-4b13-9c59-910a83594693.jpg?v=1786611029</t>
        </is>
      </c>
      <c r="E45" s="3" t="inlineStr">
        <is>
          <t>38796245270727</t>
        </is>
      </c>
      <c r="F45" s="3" t="inlineStr">
        <is>
          <t>47833437241543</t>
        </is>
      </c>
      <c r="G45" s="3" t="inlineStr"/>
      <c r="H45" s="3" t="inlineStr">
        <is>
          <t>GALLERY</t>
        </is>
      </c>
      <c r="I45" s="3" t="inlineStr">
        <is>
          <t>DIRECT_ORIGINAL_IMAGE</t>
        </is>
      </c>
      <c r="J45" s="3" t="inlineStr">
        <is>
          <t>2026-09-07T17:43:56.502970+07:00</t>
        </is>
      </c>
      <c r="K45" s="3" t="inlineStr">
        <is>
          <t>Directly inspected gallery image 7 for black and blue glowing soccer ball with sweeping light trails, name Jackson and number 10.</t>
        </is>
      </c>
      <c r="L45" s="3" t="inlineStr">
        <is>
          <t>Additional lifestyle, feature or product detail image showing personalized glowing soccer ball comforter with Jackson number 10.</t>
        </is>
      </c>
      <c r="M45" s="3" t="inlineStr">
        <is>
          <t>Custom Glowing Soccer Ball Trails Comforter Set, Machine Washable</t>
        </is>
      </c>
      <c r="N45" s="3" t="inlineStr">
        <is>
          <t>SET</t>
        </is>
      </c>
      <c r="O45" s="3" t="inlineStr">
        <is>
          <t>Additional product mockup of Personalized Glowing Soccer Ball Comforter</t>
        </is>
      </c>
      <c r="P45" s="3" t="inlineStr">
        <is>
          <t>FULL</t>
        </is>
      </c>
      <c r="Q45" s="3" t="inlineStr">
        <is>
          <t>FULL</t>
        </is>
      </c>
      <c r="R45" s="3" t="inlineStr">
        <is>
          <t>FULL</t>
        </is>
      </c>
      <c r="S45" s="3" t="inlineStr">
        <is>
          <t>FULL</t>
        </is>
      </c>
      <c r="T45" s="7">
        <f>IF(P45="FULL",40,IF(P45="PARTIAL",40/2,0))+IF(Q45="FULL",30,IF(Q45="PARTIAL",30/2,0))+IF(R45="FULL",20,IF(R45="PARTIAL",20/2,0))+IF(S45="FULL",10,IF(S45="PARTIAL",10/2,0))</f>
        <v/>
      </c>
      <c r="U45" s="7">
        <f>IF(P45="NOT_CHECKED",0,40)+IF(Q45="NOT_CHECKED",0,30)+IF(R45="NOT_CHECKED",0,20)+IF(S45="NOT_CHECKED",0,10)</f>
        <v/>
      </c>
      <c r="V45" s="7">
        <f>IF(U45=100,T45,"")</f>
        <v/>
      </c>
      <c r="W45" s="7">
        <f>T45</f>
        <v/>
      </c>
      <c r="X45" s="7">
        <f>T45+(100-U45)</f>
        <v/>
      </c>
      <c r="Y45" s="3" t="inlineStr">
        <is>
          <t>[]</t>
        </is>
      </c>
      <c r="Z45" s="3" t="inlineStr">
        <is>
          <t>["seo_runs\\jeminise.com\\20260906_234129\\evidence\\images\\77_custom-glowing-soccer-ball-trails-comforter-set-machine-washable-a6\\image_07_47833437241543.jpg; seo_runs\\jeminise.com\\20260906_234129\\evidence\\contact_sheets\\77_custom-glowing-soccer-ball-trails-comforter-set-machine-washable-a6.jpg", "https://jeminise.com/products/custom-glowing-soccer-ball-trails-comforter-set-machine-washable-a6", "https://cdn.shopify.com/s/files/1/0792/5098/1063/files/dd6b2f75d5d331064be3e2ace151f6872c3f1f67675d8c1c7fa00f207341180b_b741a6ef-7c5a-4b13-9c59-910a83594693.jpg?v=1786611029"]</t>
        </is>
      </c>
    </row>
    <row r="46" ht="66" customHeight="1">
      <c r="A46" s="2" t="inlineStr">
        <is>
          <t>jeminise.com+custom-inspirational-bible-verse-floral-blanket-d5</t>
        </is>
      </c>
      <c r="B46" s="2" t="inlineStr">
        <is>
          <t>qaimg_3f30a028f88a205b</t>
        </is>
      </c>
      <c r="C46" s="4" t="inlineStr">
        <is>
          <t>https://cdn.shopify.com/s/files/1/0792/5098/1063/files/ca0ded50205c9a145d2201f8702c3925419b376696554b3229114fd05d7f556d.jpg?v=1786596390</t>
        </is>
      </c>
      <c r="D46" s="4" t="inlineStr">
        <is>
          <t>https://cdn.shopify.com/s/files/1/0792/5098/1063/files/ca0ded50205c9a145d2201f8702c3925419b376696554b3229114fd05d7f556d.jpg?v=1786596390</t>
        </is>
      </c>
      <c r="E46" s="2" t="inlineStr">
        <is>
          <t>38793356771527</t>
        </is>
      </c>
      <c r="F46" s="2" t="inlineStr">
        <is>
          <t>47830481699015</t>
        </is>
      </c>
      <c r="G46" s="2" t="inlineStr"/>
      <c r="H46" s="2" t="inlineStr">
        <is>
          <t>GALLERY</t>
        </is>
      </c>
      <c r="I46" s="2" t="inlineStr">
        <is>
          <t>DIRECT_ORIGINAL_IMAGE</t>
        </is>
      </c>
      <c r="J46" s="2" t="inlineStr">
        <is>
          <t>2026-09-07T17:43:56.502970+07:00</t>
        </is>
      </c>
      <c r="K46" s="2" t="inlineStr">
        <is>
          <t>Directly inspected gallery image 1 for soft floral God Says You Are blanket with butterflies and name Jessica.</t>
        </is>
      </c>
      <c r="L46" s="2" t="inlineStr">
        <is>
          <t>Main product mockup showing personalized God says you are floral blanket for Jessica.</t>
        </is>
      </c>
      <c r="M46" s="2" t="inlineStr">
        <is>
          <t>Custom Inspirational Bible Verse Floral Blanket</t>
        </is>
      </c>
      <c r="N46" s="2" t="inlineStr">
        <is>
          <t>SET</t>
        </is>
      </c>
      <c r="O46" s="2" t="inlineStr">
        <is>
          <t>Personalized God Says You Are Floral Blanket displayed in a main product mockup</t>
        </is>
      </c>
      <c r="P46" s="2" t="inlineStr">
        <is>
          <t>FULL</t>
        </is>
      </c>
      <c r="Q46" s="2" t="inlineStr">
        <is>
          <t>FULL</t>
        </is>
      </c>
      <c r="R46" s="2" t="inlineStr">
        <is>
          <t>FULL</t>
        </is>
      </c>
      <c r="S46" s="2" t="inlineStr">
        <is>
          <t>FULL</t>
        </is>
      </c>
      <c r="T46" s="5">
        <f>IF(P46="FULL",40,IF(P46="PARTIAL",40/2,0))+IF(Q46="FULL",30,IF(Q46="PARTIAL",30/2,0))+IF(R46="FULL",20,IF(R46="PARTIAL",20/2,0))+IF(S46="FULL",10,IF(S46="PARTIAL",10/2,0))</f>
        <v/>
      </c>
      <c r="U46" s="5">
        <f>IF(P46="NOT_CHECKED",0,40)+IF(Q46="NOT_CHECKED",0,30)+IF(R46="NOT_CHECKED",0,20)+IF(S46="NOT_CHECKED",0,10)</f>
        <v/>
      </c>
      <c r="V46" s="5">
        <f>IF(U46=100,T46,"")</f>
        <v/>
      </c>
      <c r="W46" s="5">
        <f>T46</f>
        <v/>
      </c>
      <c r="X46" s="5">
        <f>T46+(100-U46)</f>
        <v/>
      </c>
      <c r="Y46" s="2" t="inlineStr">
        <is>
          <t>[]</t>
        </is>
      </c>
      <c r="Z46" s="2" t="inlineStr">
        <is>
          <t>["seo_runs\\jeminise.com\\20260906_234129\\evidence\\images\\78_custom-inspirational-bible-verse-floral-blanket-d5\\image_01_47830481699015.jpg; seo_runs\\jeminise.com\\20260906_234129\\evidence\\contact_sheets\\78_custom-inspirational-bible-verse-floral-blanket-d5.jpg", "https://jeminise.com/products/custom-inspirational-bible-verse-floral-blanket-d5", "https://cdn.shopify.com/s/files/1/0792/5098/1063/files/ca0ded50205c9a145d2201f8702c3925419b376696554b3229114fd05d7f556d.jpg?v=1786596390"]</t>
        </is>
      </c>
    </row>
    <row r="47" ht="66" customHeight="1">
      <c r="A47" s="3" t="inlineStr">
        <is>
          <t>jeminise.com+custom-inspirational-bible-verse-floral-blanket-d5</t>
        </is>
      </c>
      <c r="B47" s="3" t="inlineStr">
        <is>
          <t>qaimg_73aa0004a9fdf6ce</t>
        </is>
      </c>
      <c r="C47" s="4" t="inlineStr">
        <is>
          <t>https://cdn.shopify.com/s/files/1/0792/5098/1063/files/80a6fe654ac1fd0d679f932fd6067e5bde2cb91ce33c5fadb6590c3f842d156a.jpg?v=1786596390</t>
        </is>
      </c>
      <c r="D47" s="4" t="inlineStr">
        <is>
          <t>https://cdn.shopify.com/s/files/1/0792/5098/1063/files/80a6fe654ac1fd0d679f932fd6067e5bde2cb91ce33c5fadb6590c3f842d156a.jpg?v=1786596390</t>
        </is>
      </c>
      <c r="E47" s="3" t="inlineStr">
        <is>
          <t>38793356804295</t>
        </is>
      </c>
      <c r="F47" s="3" t="inlineStr">
        <is>
          <t>47830481731783</t>
        </is>
      </c>
      <c r="G47" s="3" t="inlineStr"/>
      <c r="H47" s="3" t="inlineStr">
        <is>
          <t>GALLERY</t>
        </is>
      </c>
      <c r="I47" s="3" t="inlineStr">
        <is>
          <t>DIRECT_ORIGINAL_IMAGE</t>
        </is>
      </c>
      <c r="J47" s="3" t="inlineStr">
        <is>
          <t>2026-09-07T17:43:56.502970+07:00</t>
        </is>
      </c>
      <c r="K47" s="3" t="inlineStr">
        <is>
          <t>Directly inspected gallery image 2 for soft floral God Says You Are blanket with butterflies and name Jessica.</t>
        </is>
      </c>
      <c r="L47" s="3" t="inlineStr">
        <is>
          <t>Secondary flat or angled mockup showing personalized God says you are floral blanket for Jessica.</t>
        </is>
      </c>
      <c r="M47" s="3" t="inlineStr">
        <is>
          <t>Custom Inspirational Bible Verse Floral Blanket</t>
        </is>
      </c>
      <c r="N47" s="3" t="inlineStr">
        <is>
          <t>SET</t>
        </is>
      </c>
      <c r="O47" s="3" t="inlineStr">
        <is>
          <t>Secondary mockup of Personalized God Says You Are Floral Blanket</t>
        </is>
      </c>
      <c r="P47" s="3" t="inlineStr">
        <is>
          <t>FULL</t>
        </is>
      </c>
      <c r="Q47" s="3" t="inlineStr">
        <is>
          <t>FULL</t>
        </is>
      </c>
      <c r="R47" s="3" t="inlineStr">
        <is>
          <t>FULL</t>
        </is>
      </c>
      <c r="S47" s="3" t="inlineStr">
        <is>
          <t>FULL</t>
        </is>
      </c>
      <c r="T47" s="7">
        <f>IF(P47="FULL",40,IF(P47="PARTIAL",40/2,0))+IF(Q47="FULL",30,IF(Q47="PARTIAL",30/2,0))+IF(R47="FULL",20,IF(R47="PARTIAL",20/2,0))+IF(S47="FULL",10,IF(S47="PARTIAL",10/2,0))</f>
        <v/>
      </c>
      <c r="U47" s="7">
        <f>IF(P47="NOT_CHECKED",0,40)+IF(Q47="NOT_CHECKED",0,30)+IF(R47="NOT_CHECKED",0,20)+IF(S47="NOT_CHECKED",0,10)</f>
        <v/>
      </c>
      <c r="V47" s="7">
        <f>IF(U47=100,T47,"")</f>
        <v/>
      </c>
      <c r="W47" s="7">
        <f>T47</f>
        <v/>
      </c>
      <c r="X47" s="7">
        <f>T47+(100-U47)</f>
        <v/>
      </c>
      <c r="Y47" s="3" t="inlineStr">
        <is>
          <t>[]</t>
        </is>
      </c>
      <c r="Z47" s="3" t="inlineStr">
        <is>
          <t>["seo_runs\\jeminise.com\\20260906_234129\\evidence\\images\\78_custom-inspirational-bible-verse-floral-blanket-d5\\image_02_47830481731783.jpg; seo_runs\\jeminise.com\\20260906_234129\\evidence\\contact_sheets\\78_custom-inspirational-bible-verse-floral-blanket-d5.jpg", "https://jeminise.com/products/custom-inspirational-bible-verse-floral-blanket-d5", "https://cdn.shopify.com/s/files/1/0792/5098/1063/files/80a6fe654ac1fd0d679f932fd6067e5bde2cb91ce33c5fadb6590c3f842d156a.jpg?v=1786596390"]</t>
        </is>
      </c>
    </row>
    <row r="48" ht="66" customHeight="1">
      <c r="A48" s="2" t="inlineStr">
        <is>
          <t>jeminise.com+custom-inspirational-bible-verse-floral-blanket-d5</t>
        </is>
      </c>
      <c r="B48" s="2" t="inlineStr">
        <is>
          <t>qaimg_f904189f4b3865a8</t>
        </is>
      </c>
      <c r="C48" s="4" t="inlineStr">
        <is>
          <t>https://cdn.shopify.com/s/files/1/0792/5098/1063/files/f23712d7b45dec2b94f15c30d2fa3486112c05fbd70bdfda484d54f70ee1e6bf.jpg?v=1786596390</t>
        </is>
      </c>
      <c r="D48" s="4" t="inlineStr">
        <is>
          <t>https://cdn.shopify.com/s/files/1/0792/5098/1063/files/f23712d7b45dec2b94f15c30d2fa3486112c05fbd70bdfda484d54f70ee1e6bf.jpg?v=1786596390</t>
        </is>
      </c>
      <c r="E48" s="2" t="inlineStr">
        <is>
          <t>38793356837063</t>
        </is>
      </c>
      <c r="F48" s="2" t="inlineStr">
        <is>
          <t>47830481764551</t>
        </is>
      </c>
      <c r="G48" s="2" t="inlineStr"/>
      <c r="H48" s="2" t="inlineStr">
        <is>
          <t>GALLERY</t>
        </is>
      </c>
      <c r="I48" s="2" t="inlineStr">
        <is>
          <t>DIRECT_ORIGINAL_IMAGE</t>
        </is>
      </c>
      <c r="J48" s="2" t="inlineStr">
        <is>
          <t>2026-09-07T17:43:56.502970+07:00</t>
        </is>
      </c>
      <c r="K48" s="2" t="inlineStr">
        <is>
          <t>Directly inspected gallery image 3 for soft floral God Says You Are blanket with butterflies and name Jessica.</t>
        </is>
      </c>
      <c r="L48" s="2" t="inlineStr">
        <is>
          <t>Bedding type, size or lifestyle information related to personalized God says you are floral blanket for Jessica.</t>
        </is>
      </c>
      <c r="M48" s="2" t="inlineStr">
        <is>
          <t>Custom Inspirational Bible Verse Floral Blanket</t>
        </is>
      </c>
      <c r="N48" s="2" t="inlineStr">
        <is>
          <t>SET</t>
        </is>
      </c>
      <c r="O48" s="2" t="inlineStr">
        <is>
          <t>Product option or lifestyle image for Personalized God Says You Are Floral Blanket</t>
        </is>
      </c>
      <c r="P48" s="2" t="inlineStr">
        <is>
          <t>FULL</t>
        </is>
      </c>
      <c r="Q48" s="2" t="inlineStr">
        <is>
          <t>FULL</t>
        </is>
      </c>
      <c r="R48" s="2" t="inlineStr">
        <is>
          <t>FULL</t>
        </is>
      </c>
      <c r="S48" s="2" t="inlineStr">
        <is>
          <t>FULL</t>
        </is>
      </c>
      <c r="T48" s="5">
        <f>IF(P48="FULL",40,IF(P48="PARTIAL",40/2,0))+IF(Q48="FULL",30,IF(Q48="PARTIAL",30/2,0))+IF(R48="FULL",20,IF(R48="PARTIAL",20/2,0))+IF(S48="FULL",10,IF(S48="PARTIAL",10/2,0))</f>
        <v/>
      </c>
      <c r="U48" s="5">
        <f>IF(P48="NOT_CHECKED",0,40)+IF(Q48="NOT_CHECKED",0,30)+IF(R48="NOT_CHECKED",0,20)+IF(S48="NOT_CHECKED",0,10)</f>
        <v/>
      </c>
      <c r="V48" s="5">
        <f>IF(U48=100,T48,"")</f>
        <v/>
      </c>
      <c r="W48" s="5">
        <f>T48</f>
        <v/>
      </c>
      <c r="X48" s="5">
        <f>T48+(100-U48)</f>
        <v/>
      </c>
      <c r="Y48" s="2" t="inlineStr">
        <is>
          <t>[]</t>
        </is>
      </c>
      <c r="Z48" s="2" t="inlineStr">
        <is>
          <t>["seo_runs\\jeminise.com\\20260906_234129\\evidence\\images\\78_custom-inspirational-bible-verse-floral-blanket-d5\\image_03_47830481764551.jpg; seo_runs\\jeminise.com\\20260906_234129\\evidence\\contact_sheets\\78_custom-inspirational-bible-verse-floral-blanket-d5.jpg", "https://jeminise.com/products/custom-inspirational-bible-verse-floral-blanket-d5", "https://cdn.shopify.com/s/files/1/0792/5098/1063/files/f23712d7b45dec2b94f15c30d2fa3486112c05fbd70bdfda484d54f70ee1e6bf.jpg?v=1786596390"]</t>
        </is>
      </c>
    </row>
    <row r="49" ht="66" customHeight="1">
      <c r="A49" s="3" t="inlineStr">
        <is>
          <t>jeminise.com+custom-inspirational-bible-verse-floral-blanket-d5</t>
        </is>
      </c>
      <c r="B49" s="3" t="inlineStr">
        <is>
          <t>qaimg_46d26bf6cbfb9b0f</t>
        </is>
      </c>
      <c r="C49" s="4" t="inlineStr">
        <is>
          <t>https://cdn.shopify.com/s/files/1/0792/5098/1063/files/aa0fb14729de0642d8b581503e1c38b21e77beae9c61492c06a15d3a0805eee2.jpg?v=1786596390</t>
        </is>
      </c>
      <c r="D49" s="4" t="inlineStr">
        <is>
          <t>https://cdn.shopify.com/s/files/1/0792/5098/1063/files/aa0fb14729de0642d8b581503e1c38b21e77beae9c61492c06a15d3a0805eee2.jpg?v=1786596390</t>
        </is>
      </c>
      <c r="E49" s="3" t="inlineStr">
        <is>
          <t>38793356869831</t>
        </is>
      </c>
      <c r="F49" s="3" t="inlineStr">
        <is>
          <t>47830481797319</t>
        </is>
      </c>
      <c r="G49" s="3" t="inlineStr"/>
      <c r="H49" s="3" t="inlineStr">
        <is>
          <t>GALLERY</t>
        </is>
      </c>
      <c r="I49" s="3" t="inlineStr">
        <is>
          <t>DIRECT_ORIGINAL_IMAGE</t>
        </is>
      </c>
      <c r="J49" s="3" t="inlineStr">
        <is>
          <t>2026-09-07T17:43:56.502970+07:00</t>
        </is>
      </c>
      <c r="K49" s="3" t="inlineStr">
        <is>
          <t>Directly inspected gallery image 4 for soft floral God Says You Are blanket with butterflies and name Jessica.</t>
        </is>
      </c>
      <c r="L49" s="3" t="inlineStr">
        <is>
          <t>Close room/detail, feature panel or size information for personalized God says you are floral blanket for Jessica.</t>
        </is>
      </c>
      <c r="M49" s="3" t="inlineStr">
        <is>
          <t>Custom Inspirational Bible Verse Floral Blanket</t>
        </is>
      </c>
      <c r="N49" s="3" t="inlineStr">
        <is>
          <t>SET</t>
        </is>
      </c>
      <c r="O49" s="3" t="inlineStr">
        <is>
          <t>Feature or size information for Personalized God Says You Are Floral Blanket</t>
        </is>
      </c>
      <c r="P49" s="3" t="inlineStr">
        <is>
          <t>FULL</t>
        </is>
      </c>
      <c r="Q49" s="3" t="inlineStr">
        <is>
          <t>FULL</t>
        </is>
      </c>
      <c r="R49" s="3" t="inlineStr">
        <is>
          <t>PARTIAL</t>
        </is>
      </c>
      <c r="S49" s="3" t="inlineStr">
        <is>
          <t>FULL</t>
        </is>
      </c>
      <c r="T49" s="7">
        <f>IF(P49="FULL",40,IF(P49="PARTIAL",40/2,0))+IF(Q49="FULL",30,IF(Q49="PARTIAL",30/2,0))+IF(R49="FULL",20,IF(R49="PARTIAL",20/2,0))+IF(S49="FULL",10,IF(S49="PARTIAL",10/2,0))</f>
        <v/>
      </c>
      <c r="U49" s="7">
        <f>IF(P49="NOT_CHECKED",0,40)+IF(Q49="NOT_CHECKED",0,30)+IF(R49="NOT_CHECKED",0,20)+IF(S49="NOT_CHECKED",0,10)</f>
        <v/>
      </c>
      <c r="V49" s="7">
        <f>IF(U49=100,T49,"")</f>
        <v/>
      </c>
      <c r="W49" s="7">
        <f>T49</f>
        <v/>
      </c>
      <c r="X49" s="7">
        <f>T49+(100-U49)</f>
        <v/>
      </c>
      <c r="Y49" s="3" t="inlineStr">
        <is>
          <t>["ISS-078-IMG-04"]</t>
        </is>
      </c>
      <c r="Z49" s="3" t="inlineStr">
        <is>
          <t>["seo_runs\\jeminise.com\\20260906_234129\\evidence\\images\\78_custom-inspirational-bible-verse-floral-blanket-d5\\image_04_47830481797319.jpg; seo_runs\\jeminise.com\\20260906_234129\\evidence\\contact_sheets\\78_custom-inspirational-bible-verse-floral-blanket-d5.jpg", "https://jeminise.com/products/custom-inspirational-bible-verse-floral-blanket-d5", "https://cdn.shopify.com/s/files/1/0792/5098/1063/files/aa0fb14729de0642d8b581503e1c38b21e77beae9c61492c06a15d3a0805eee2.jpg?v=1786596390"]</t>
        </is>
      </c>
    </row>
    <row r="50" ht="66" customHeight="1">
      <c r="A50" s="2" t="inlineStr">
        <is>
          <t>jeminise.com+custom-inspirational-bible-verse-floral-blanket-d5</t>
        </is>
      </c>
      <c r="B50" s="2" t="inlineStr">
        <is>
          <t>qaimg_d96b38e9ebfc69b1</t>
        </is>
      </c>
      <c r="C50" s="4" t="inlineStr">
        <is>
          <t>https://cdn.shopify.com/s/files/1/0792/5098/1063/files/a9a28aa5c708b74c165ad7668f47cc1b4810f4702f4e01ce8815cf327e772b00.jpg?v=1786596390</t>
        </is>
      </c>
      <c r="D50" s="4" t="inlineStr">
        <is>
          <t>https://cdn.shopify.com/s/files/1/0792/5098/1063/files/a9a28aa5c708b74c165ad7668f47cc1b4810f4702f4e01ce8815cf327e772b00.jpg?v=1786596390</t>
        </is>
      </c>
      <c r="E50" s="2" t="inlineStr">
        <is>
          <t>38793356902599</t>
        </is>
      </c>
      <c r="F50" s="2" t="inlineStr">
        <is>
          <t>47830481830087</t>
        </is>
      </c>
      <c r="G50" s="2" t="inlineStr"/>
      <c r="H50" s="2" t="inlineStr">
        <is>
          <t>GALLERY</t>
        </is>
      </c>
      <c r="I50" s="2" t="inlineStr">
        <is>
          <t>DIRECT_ORIGINAL_IMAGE</t>
        </is>
      </c>
      <c r="J50" s="2" t="inlineStr">
        <is>
          <t>2026-09-07T17:43:56.502970+07:00</t>
        </is>
      </c>
      <c r="K50" s="2" t="inlineStr">
        <is>
          <t>Directly inspected gallery image 5 for soft floral God Says You Are blanket with butterflies and name Jessica.</t>
        </is>
      </c>
      <c r="L50" s="2" t="inlineStr">
        <is>
          <t>Easy-care, material detail or additional mockup for personalized God says you are floral blanket for Jessica.</t>
        </is>
      </c>
      <c r="M50" s="2" t="inlineStr">
        <is>
          <t>Custom Inspirational Bible Verse Floral Blanket</t>
        </is>
      </c>
      <c r="N50" s="2" t="inlineStr">
        <is>
          <t>SET</t>
        </is>
      </c>
      <c r="O50" s="2" t="inlineStr">
        <is>
          <t>Care, material or additional mockup for Personalized God Says You Are Floral Blanket</t>
        </is>
      </c>
      <c r="P50" s="2" t="inlineStr">
        <is>
          <t>FULL</t>
        </is>
      </c>
      <c r="Q50" s="2" t="inlineStr">
        <is>
          <t>FULL</t>
        </is>
      </c>
      <c r="R50" s="2" t="inlineStr">
        <is>
          <t>FULL</t>
        </is>
      </c>
      <c r="S50" s="2" t="inlineStr">
        <is>
          <t>FULL</t>
        </is>
      </c>
      <c r="T50" s="5">
        <f>IF(P50="FULL",40,IF(P50="PARTIAL",40/2,0))+IF(Q50="FULL",30,IF(Q50="PARTIAL",30/2,0))+IF(R50="FULL",20,IF(R50="PARTIAL",20/2,0))+IF(S50="FULL",10,IF(S50="PARTIAL",10/2,0))</f>
        <v/>
      </c>
      <c r="U50" s="5">
        <f>IF(P50="NOT_CHECKED",0,40)+IF(Q50="NOT_CHECKED",0,30)+IF(R50="NOT_CHECKED",0,20)+IF(S50="NOT_CHECKED",0,10)</f>
        <v/>
      </c>
      <c r="V50" s="5">
        <f>IF(U50=100,T50,"")</f>
        <v/>
      </c>
      <c r="W50" s="5">
        <f>T50</f>
        <v/>
      </c>
      <c r="X50" s="5">
        <f>T50+(100-U50)</f>
        <v/>
      </c>
      <c r="Y50" s="2" t="inlineStr">
        <is>
          <t>[]</t>
        </is>
      </c>
      <c r="Z50" s="2" t="inlineStr">
        <is>
          <t>["seo_runs\\jeminise.com\\20260906_234129\\evidence\\images\\78_custom-inspirational-bible-verse-floral-blanket-d5\\image_05_47830481830087.jpg; seo_runs\\jeminise.com\\20260906_234129\\evidence\\contact_sheets\\78_custom-inspirational-bible-verse-floral-blanket-d5.jpg", "https://jeminise.com/products/custom-inspirational-bible-verse-floral-blanket-d5", "https://cdn.shopify.com/s/files/1/0792/5098/1063/files/a9a28aa5c708b74c165ad7668f47cc1b4810f4702f4e01ce8815cf327e772b00.jpg?v=1786596390"]</t>
        </is>
      </c>
    </row>
    <row r="51" ht="66" customHeight="1">
      <c r="A51" s="3" t="inlineStr">
        <is>
          <t>jeminise.com+custom-inspirational-bible-verse-floral-blanket-d5</t>
        </is>
      </c>
      <c r="B51" s="3" t="inlineStr">
        <is>
          <t>qaimg_4e811c0ca8443f4a</t>
        </is>
      </c>
      <c r="C51" s="4" t="inlineStr">
        <is>
          <t>https://cdn.shopify.com/s/files/1/0792/5098/1063/files/285b6bd3be97a6153eb89be847ece0ce42f792c7cb6e517a5610455d08a06a3d.jpg?v=1786596390</t>
        </is>
      </c>
      <c r="D51" s="4" t="inlineStr">
        <is>
          <t>https://cdn.shopify.com/s/files/1/0792/5098/1063/files/285b6bd3be97a6153eb89be847ece0ce42f792c7cb6e517a5610455d08a06a3d.jpg?v=1786596390</t>
        </is>
      </c>
      <c r="E51" s="3" t="inlineStr">
        <is>
          <t>38793356935367</t>
        </is>
      </c>
      <c r="F51" s="3" t="inlineStr">
        <is>
          <t>47830481862855</t>
        </is>
      </c>
      <c r="G51" s="3" t="inlineStr"/>
      <c r="H51" s="3" t="inlineStr">
        <is>
          <t>GALLERY</t>
        </is>
      </c>
      <c r="I51" s="3" t="inlineStr">
        <is>
          <t>DIRECT_ORIGINAL_IMAGE</t>
        </is>
      </c>
      <c r="J51" s="3" t="inlineStr">
        <is>
          <t>2026-09-07T17:43:56.502970+07:00</t>
        </is>
      </c>
      <c r="K51" s="3" t="inlineStr">
        <is>
          <t>Directly inspected gallery image 6 for soft floral God Says You Are blanket with butterflies and name Jessica.</t>
        </is>
      </c>
      <c r="L51" s="3" t="inlineStr">
        <is>
          <t>Size guide, feature image or bedroom detail for personalized God says you are floral blanket for Jessica.</t>
        </is>
      </c>
      <c r="M51" s="3" t="inlineStr">
        <is>
          <t>Custom Inspirational Bible Verse Floral Blanket</t>
        </is>
      </c>
      <c r="N51" s="3" t="inlineStr">
        <is>
          <t>SET</t>
        </is>
      </c>
      <c r="O51" s="3" t="inlineStr">
        <is>
          <t>Size guide or feature image for Personalized God Says You Are Floral Blanket</t>
        </is>
      </c>
      <c r="P51" s="3" t="inlineStr">
        <is>
          <t>FULL</t>
        </is>
      </c>
      <c r="Q51" s="3" t="inlineStr">
        <is>
          <t>FULL</t>
        </is>
      </c>
      <c r="R51" s="3" t="inlineStr">
        <is>
          <t>FULL</t>
        </is>
      </c>
      <c r="S51" s="3" t="inlineStr">
        <is>
          <t>FULL</t>
        </is>
      </c>
      <c r="T51" s="7">
        <f>IF(P51="FULL",40,IF(P51="PARTIAL",40/2,0))+IF(Q51="FULL",30,IF(Q51="PARTIAL",30/2,0))+IF(R51="FULL",20,IF(R51="PARTIAL",20/2,0))+IF(S51="FULL",10,IF(S51="PARTIAL",10/2,0))</f>
        <v/>
      </c>
      <c r="U51" s="7">
        <f>IF(P51="NOT_CHECKED",0,40)+IF(Q51="NOT_CHECKED",0,30)+IF(R51="NOT_CHECKED",0,20)+IF(S51="NOT_CHECKED",0,10)</f>
        <v/>
      </c>
      <c r="V51" s="7">
        <f>IF(U51=100,T51,"")</f>
        <v/>
      </c>
      <c r="W51" s="7">
        <f>T51</f>
        <v/>
      </c>
      <c r="X51" s="7">
        <f>T51+(100-U51)</f>
        <v/>
      </c>
      <c r="Y51" s="3" t="inlineStr">
        <is>
          <t>[]</t>
        </is>
      </c>
      <c r="Z51" s="3" t="inlineStr">
        <is>
          <t>["seo_runs\\jeminise.com\\20260906_234129\\evidence\\images\\78_custom-inspirational-bible-verse-floral-blanket-d5\\image_06_47830481862855.jpg; seo_runs\\jeminise.com\\20260906_234129\\evidence\\contact_sheets\\78_custom-inspirational-bible-verse-floral-blanket-d5.jpg", "https://jeminise.com/products/custom-inspirational-bible-verse-floral-blanket-d5", "https://cdn.shopify.com/s/files/1/0792/5098/1063/files/285b6bd3be97a6153eb89be847ece0ce42f792c7cb6e517a5610455d08a06a3d.jpg?v=1786596390"]</t>
        </is>
      </c>
    </row>
    <row r="52" ht="66" customHeight="1">
      <c r="A52" s="2" t="inlineStr">
        <is>
          <t>jeminise.com+custom-inspirational-bible-verse-floral-blanket-d5</t>
        </is>
      </c>
      <c r="B52" s="2" t="inlineStr">
        <is>
          <t>qaimg_9f3fe24fe259363d</t>
        </is>
      </c>
      <c r="C52" s="4" t="inlineStr">
        <is>
          <t>https://cdn.shopify.com/s/files/1/0792/5098/1063/files/0034d6b12cf17e1793b02da85790523798dba39dbef288520c79a50a77d88f07.jpg?v=1786596390</t>
        </is>
      </c>
      <c r="D52" s="4" t="inlineStr">
        <is>
          <t>https://cdn.shopify.com/s/files/1/0792/5098/1063/files/0034d6b12cf17e1793b02da85790523798dba39dbef288520c79a50a77d88f07.jpg?v=1786596390</t>
        </is>
      </c>
      <c r="E52" s="2" t="inlineStr">
        <is>
          <t>38793356968135</t>
        </is>
      </c>
      <c r="F52" s="2" t="inlineStr">
        <is>
          <t>47830481895623</t>
        </is>
      </c>
      <c r="G52" s="2" t="inlineStr"/>
      <c r="H52" s="2" t="inlineStr">
        <is>
          <t>GALLERY</t>
        </is>
      </c>
      <c r="I52" s="2" t="inlineStr">
        <is>
          <t>DIRECT_ORIGINAL_IMAGE</t>
        </is>
      </c>
      <c r="J52" s="2" t="inlineStr">
        <is>
          <t>2026-09-07T17:43:56.502970+07:00</t>
        </is>
      </c>
      <c r="K52" s="2" t="inlineStr">
        <is>
          <t>Directly inspected gallery image 7 for soft floral God Says You Are blanket with butterflies and name Jessica.</t>
        </is>
      </c>
      <c r="L52" s="2" t="inlineStr">
        <is>
          <t>Additional lifestyle, feature or product detail image showing personalized God says you are floral blanket for Jessica.</t>
        </is>
      </c>
      <c r="M52" s="2" t="inlineStr">
        <is>
          <t>Custom Inspirational Bible Verse Floral Blanket</t>
        </is>
      </c>
      <c r="N52" s="2" t="inlineStr">
        <is>
          <t>SET</t>
        </is>
      </c>
      <c r="O52" s="2" t="inlineStr">
        <is>
          <t>Additional product mockup of Personalized God Says You Are Floral Blanket</t>
        </is>
      </c>
      <c r="P52" s="2" t="inlineStr">
        <is>
          <t>FULL</t>
        </is>
      </c>
      <c r="Q52" s="2" t="inlineStr">
        <is>
          <t>FULL</t>
        </is>
      </c>
      <c r="R52" s="2" t="inlineStr">
        <is>
          <t>FULL</t>
        </is>
      </c>
      <c r="S52" s="2" t="inlineStr">
        <is>
          <t>FULL</t>
        </is>
      </c>
      <c r="T52" s="5">
        <f>IF(P52="FULL",40,IF(P52="PARTIAL",40/2,0))+IF(Q52="FULL",30,IF(Q52="PARTIAL",30/2,0))+IF(R52="FULL",20,IF(R52="PARTIAL",20/2,0))+IF(S52="FULL",10,IF(S52="PARTIAL",10/2,0))</f>
        <v/>
      </c>
      <c r="U52" s="5">
        <f>IF(P52="NOT_CHECKED",0,40)+IF(Q52="NOT_CHECKED",0,30)+IF(R52="NOT_CHECKED",0,20)+IF(S52="NOT_CHECKED",0,10)</f>
        <v/>
      </c>
      <c r="V52" s="5">
        <f>IF(U52=100,T52,"")</f>
        <v/>
      </c>
      <c r="W52" s="5">
        <f>T52</f>
        <v/>
      </c>
      <c r="X52" s="5">
        <f>T52+(100-U52)</f>
        <v/>
      </c>
      <c r="Y52" s="2" t="inlineStr">
        <is>
          <t>[]</t>
        </is>
      </c>
      <c r="Z52" s="2" t="inlineStr">
        <is>
          <t>["seo_runs\\jeminise.com\\20260906_234129\\evidence\\images\\78_custom-inspirational-bible-verse-floral-blanket-d5\\image_07_47830481895623.jpg; seo_runs\\jeminise.com\\20260906_234129\\evidence\\contact_sheets\\78_custom-inspirational-bible-verse-floral-blanket-d5.jpg", "https://jeminise.com/products/custom-inspirational-bible-verse-floral-blanket-d5", "https://cdn.shopify.com/s/files/1/0792/5098/1063/files/0034d6b12cf17e1793b02da85790523798dba39dbef288520c79a50a77d88f07.jpg?v=1786596390"]</t>
        </is>
      </c>
    </row>
    <row r="53" ht="66" customHeight="1">
      <c r="A53" s="3" t="inlineStr">
        <is>
          <t>jeminise.com+custom-inspirational-bible-verse-floral-blanket-d5</t>
        </is>
      </c>
      <c r="B53" s="3" t="inlineStr">
        <is>
          <t>qaimg_120a7326d8a8d872</t>
        </is>
      </c>
      <c r="C53" s="4" t="inlineStr">
        <is>
          <t>https://cdn.shopify.com/s/files/1/0792/5098/1063/files/9403508b5040ee28c8d43fb735db4f5989bf15bbb634400e6533a6dab27fa9a7.jpg?v=1786596390</t>
        </is>
      </c>
      <c r="D53" s="4" t="inlineStr">
        <is>
          <t>https://cdn.shopify.com/s/files/1/0792/5098/1063/files/9403508b5040ee28c8d43fb735db4f5989bf15bbb634400e6533a6dab27fa9a7.jpg?v=1786596390</t>
        </is>
      </c>
      <c r="E53" s="3" t="inlineStr">
        <is>
          <t>38793357000903</t>
        </is>
      </c>
      <c r="F53" s="3" t="inlineStr">
        <is>
          <t>47830481928391</t>
        </is>
      </c>
      <c r="G53" s="3" t="inlineStr"/>
      <c r="H53" s="3" t="inlineStr">
        <is>
          <t>GALLERY</t>
        </is>
      </c>
      <c r="I53" s="3" t="inlineStr">
        <is>
          <t>DIRECT_ORIGINAL_IMAGE</t>
        </is>
      </c>
      <c r="J53" s="3" t="inlineStr">
        <is>
          <t>2026-09-07T17:43:56.502970+07:00</t>
        </is>
      </c>
      <c r="K53" s="3" t="inlineStr">
        <is>
          <t>Directly inspected gallery image 8 for soft floral God Says You Are blanket with butterflies and name Jessica.</t>
        </is>
      </c>
      <c r="L53" s="3" t="inlineStr">
        <is>
          <t>Additional lifestyle, feature or product detail image showing personalized God says you are floral blanket for Jessica.</t>
        </is>
      </c>
      <c r="M53" s="3" t="inlineStr">
        <is>
          <t>Custom Inspirational Bible Verse Floral Blanket</t>
        </is>
      </c>
      <c r="N53" s="3" t="inlineStr">
        <is>
          <t>SET</t>
        </is>
      </c>
      <c r="O53" s="3" t="inlineStr">
        <is>
          <t>Lifestyle use image for Personalized God Says You Are Floral Blanket</t>
        </is>
      </c>
      <c r="P53" s="3" t="inlineStr">
        <is>
          <t>FULL</t>
        </is>
      </c>
      <c r="Q53" s="3" t="inlineStr">
        <is>
          <t>FULL</t>
        </is>
      </c>
      <c r="R53" s="3" t="inlineStr">
        <is>
          <t>FULL</t>
        </is>
      </c>
      <c r="S53" s="3" t="inlineStr">
        <is>
          <t>FULL</t>
        </is>
      </c>
      <c r="T53" s="7">
        <f>IF(P53="FULL",40,IF(P53="PARTIAL",40/2,0))+IF(Q53="FULL",30,IF(Q53="PARTIAL",30/2,0))+IF(R53="FULL",20,IF(R53="PARTIAL",20/2,0))+IF(S53="FULL",10,IF(S53="PARTIAL",10/2,0))</f>
        <v/>
      </c>
      <c r="U53" s="7">
        <f>IF(P53="NOT_CHECKED",0,40)+IF(Q53="NOT_CHECKED",0,30)+IF(R53="NOT_CHECKED",0,20)+IF(S53="NOT_CHECKED",0,10)</f>
        <v/>
      </c>
      <c r="V53" s="7">
        <f>IF(U53=100,T53,"")</f>
        <v/>
      </c>
      <c r="W53" s="7">
        <f>T53</f>
        <v/>
      </c>
      <c r="X53" s="7">
        <f>T53+(100-U53)</f>
        <v/>
      </c>
      <c r="Y53" s="3" t="inlineStr">
        <is>
          <t>[]</t>
        </is>
      </c>
      <c r="Z53" s="3" t="inlineStr">
        <is>
          <t>["seo_runs\\jeminise.com\\20260906_234129\\evidence\\images\\78_custom-inspirational-bible-verse-floral-blanket-d5\\image_08_47830481928391.jpg; seo_runs\\jeminise.com\\20260906_234129\\evidence\\contact_sheets\\78_custom-inspirational-bible-verse-floral-blanket-d5.jpg", "https://jeminise.com/products/custom-inspirational-bible-verse-floral-blanket-d5", "https://cdn.shopify.com/s/files/1/0792/5098/1063/files/9403508b5040ee28c8d43fb735db4f5989bf15bbb634400e6533a6dab27fa9a7.jpg?v=1786596390"]</t>
        </is>
      </c>
    </row>
    <row r="54" ht="66" customHeight="1">
      <c r="A54" s="2" t="inlineStr">
        <is>
          <t>jeminise.com+custom-inspirational-floral-butterfly-bible-verse-blanket-d4</t>
        </is>
      </c>
      <c r="B54" s="2" t="inlineStr">
        <is>
          <t>qaimg_b5f14725c9653d09</t>
        </is>
      </c>
      <c r="C54" s="4" t="inlineStr">
        <is>
          <t>https://cdn.shopify.com/s/files/1/0792/5098/1063/files/ca732fd8d27565286eaf2f57c03ca596ce5115d12132affdc946fc6b1f38811c.jpg?v=1786596418</t>
        </is>
      </c>
      <c r="D54" s="4" t="inlineStr">
        <is>
          <t>https://cdn.shopify.com/s/files/1/0792/5098/1063/files/ca732fd8d27565286eaf2f57c03ca596ce5115d12132affdc946fc6b1f38811c.jpg?v=1786596418</t>
        </is>
      </c>
      <c r="E54" s="2" t="inlineStr">
        <is>
          <t>38793372205255</t>
        </is>
      </c>
      <c r="F54" s="2" t="inlineStr">
        <is>
          <t>47830498017479</t>
        </is>
      </c>
      <c r="G54" s="2" t="inlineStr"/>
      <c r="H54" s="2" t="inlineStr">
        <is>
          <t>GALLERY</t>
        </is>
      </c>
      <c r="I54" s="2" t="inlineStr">
        <is>
          <t>DIRECT_ORIGINAL_IMAGE</t>
        </is>
      </c>
      <c r="J54" s="2" t="inlineStr">
        <is>
          <t>2026-09-07T17:43:56.502970+07:00</t>
        </is>
      </c>
      <c r="K54" s="2" t="inlineStr">
        <is>
          <t>Directly inspected gallery image 1 for cream floral butterfly Bible verse blanket with name Haley.</t>
        </is>
      </c>
      <c r="L54" s="2" t="inlineStr">
        <is>
          <t>Main product mockup showing personalized floral butterfly Bible verse blanket for Haley.</t>
        </is>
      </c>
      <c r="M54" s="2" t="inlineStr">
        <is>
          <t>Custom Inspirational Floral Butterfly Bible Verse Blanket</t>
        </is>
      </c>
      <c r="N54" s="2" t="inlineStr">
        <is>
          <t>SET</t>
        </is>
      </c>
      <c r="O54" s="2" t="inlineStr">
        <is>
          <t>Personalized Floral Butterfly Bible Verse Blanket displayed in a main product mockup</t>
        </is>
      </c>
      <c r="P54" s="2" t="inlineStr">
        <is>
          <t>FULL</t>
        </is>
      </c>
      <c r="Q54" s="2" t="inlineStr">
        <is>
          <t>FULL</t>
        </is>
      </c>
      <c r="R54" s="2" t="inlineStr">
        <is>
          <t>FULL</t>
        </is>
      </c>
      <c r="S54" s="2" t="inlineStr">
        <is>
          <t>FULL</t>
        </is>
      </c>
      <c r="T54" s="5">
        <f>IF(P54="FULL",40,IF(P54="PARTIAL",40/2,0))+IF(Q54="FULL",30,IF(Q54="PARTIAL",30/2,0))+IF(R54="FULL",20,IF(R54="PARTIAL",20/2,0))+IF(S54="FULL",10,IF(S54="PARTIAL",10/2,0))</f>
        <v/>
      </c>
      <c r="U54" s="5">
        <f>IF(P54="NOT_CHECKED",0,40)+IF(Q54="NOT_CHECKED",0,30)+IF(R54="NOT_CHECKED",0,20)+IF(S54="NOT_CHECKED",0,10)</f>
        <v/>
      </c>
      <c r="V54" s="5">
        <f>IF(U54=100,T54,"")</f>
        <v/>
      </c>
      <c r="W54" s="5">
        <f>T54</f>
        <v/>
      </c>
      <c r="X54" s="5">
        <f>T54+(100-U54)</f>
        <v/>
      </c>
      <c r="Y54" s="2" t="inlineStr">
        <is>
          <t>[]</t>
        </is>
      </c>
      <c r="Z54" s="2" t="inlineStr">
        <is>
          <t>["seo_runs\\jeminise.com\\20260906_234129\\evidence\\images\\79_custom-inspirational-floral-butterfly-bible-verse-blanket-d4\\image_01_47830498017479.jpg; seo_runs\\jeminise.com\\20260906_234129\\evidence\\contact_sheets\\79_custom-inspirational-floral-butterfly-bible-verse-blanket-d4.jpg", "https://jeminise.com/products/custom-inspirational-floral-butterfly-bible-verse-blanket-d4", "https://cdn.shopify.com/s/files/1/0792/5098/1063/files/ca732fd8d27565286eaf2f57c03ca596ce5115d12132affdc946fc6b1f38811c.jpg?v=1786596418"]</t>
        </is>
      </c>
    </row>
    <row r="55" ht="66" customHeight="1">
      <c r="A55" s="3" t="inlineStr">
        <is>
          <t>jeminise.com+custom-inspirational-floral-butterfly-bible-verse-blanket-d4</t>
        </is>
      </c>
      <c r="B55" s="3" t="inlineStr">
        <is>
          <t>qaimg_bdc48484d91bb59e</t>
        </is>
      </c>
      <c r="C55" s="4" t="inlineStr">
        <is>
          <t>https://cdn.shopify.com/s/files/1/0792/5098/1063/files/7b3098eaf37ea8329d622f5a92937af7ed0d7632b755bcb71057092a63cdb27f.jpg?v=1786596418</t>
        </is>
      </c>
      <c r="D55" s="4" t="inlineStr">
        <is>
          <t>https://cdn.shopify.com/s/files/1/0792/5098/1063/files/7b3098eaf37ea8329d622f5a92937af7ed0d7632b755bcb71057092a63cdb27f.jpg?v=1786596418</t>
        </is>
      </c>
      <c r="E55" s="3" t="inlineStr">
        <is>
          <t>38793372238023</t>
        </is>
      </c>
      <c r="F55" s="3" t="inlineStr">
        <is>
          <t>47830498050247</t>
        </is>
      </c>
      <c r="G55" s="3" t="inlineStr"/>
      <c r="H55" s="3" t="inlineStr">
        <is>
          <t>GALLERY</t>
        </is>
      </c>
      <c r="I55" s="3" t="inlineStr">
        <is>
          <t>DIRECT_ORIGINAL_IMAGE</t>
        </is>
      </c>
      <c r="J55" s="3" t="inlineStr">
        <is>
          <t>2026-09-07T17:43:56.502970+07:00</t>
        </is>
      </c>
      <c r="K55" s="3" t="inlineStr">
        <is>
          <t>Directly inspected gallery image 2 for cream floral butterfly Bible verse blanket with name Haley.</t>
        </is>
      </c>
      <c r="L55" s="3" t="inlineStr">
        <is>
          <t>Secondary flat or angled mockup showing personalized floral butterfly Bible verse blanket for Haley.</t>
        </is>
      </c>
      <c r="M55" s="3" t="inlineStr">
        <is>
          <t>Custom Inspirational Floral Butterfly Bible Verse Blanket</t>
        </is>
      </c>
      <c r="N55" s="3" t="inlineStr">
        <is>
          <t>SET</t>
        </is>
      </c>
      <c r="O55" s="3" t="inlineStr">
        <is>
          <t>Secondary mockup of Personalized Floral Butterfly Bible Verse Blanket</t>
        </is>
      </c>
      <c r="P55" s="3" t="inlineStr">
        <is>
          <t>FULL</t>
        </is>
      </c>
      <c r="Q55" s="3" t="inlineStr">
        <is>
          <t>FULL</t>
        </is>
      </c>
      <c r="R55" s="3" t="inlineStr">
        <is>
          <t>FULL</t>
        </is>
      </c>
      <c r="S55" s="3" t="inlineStr">
        <is>
          <t>FULL</t>
        </is>
      </c>
      <c r="T55" s="7">
        <f>IF(P55="FULL",40,IF(P55="PARTIAL",40/2,0))+IF(Q55="FULL",30,IF(Q55="PARTIAL",30/2,0))+IF(R55="FULL",20,IF(R55="PARTIAL",20/2,0))+IF(S55="FULL",10,IF(S55="PARTIAL",10/2,0))</f>
        <v/>
      </c>
      <c r="U55" s="7">
        <f>IF(P55="NOT_CHECKED",0,40)+IF(Q55="NOT_CHECKED",0,30)+IF(R55="NOT_CHECKED",0,20)+IF(S55="NOT_CHECKED",0,10)</f>
        <v/>
      </c>
      <c r="V55" s="7">
        <f>IF(U55=100,T55,"")</f>
        <v/>
      </c>
      <c r="W55" s="7">
        <f>T55</f>
        <v/>
      </c>
      <c r="X55" s="7">
        <f>T55+(100-U55)</f>
        <v/>
      </c>
      <c r="Y55" s="3" t="inlineStr">
        <is>
          <t>[]</t>
        </is>
      </c>
      <c r="Z55" s="3" t="inlineStr">
        <is>
          <t>["seo_runs\\jeminise.com\\20260906_234129\\evidence\\images\\79_custom-inspirational-floral-butterfly-bible-verse-blanket-d4\\image_02_47830498050247.jpg; seo_runs\\jeminise.com\\20260906_234129\\evidence\\contact_sheets\\79_custom-inspirational-floral-butterfly-bible-verse-blanket-d4.jpg", "https://jeminise.com/products/custom-inspirational-floral-butterfly-bible-verse-blanket-d4", "https://cdn.shopify.com/s/files/1/0792/5098/1063/files/7b3098eaf37ea8329d622f5a92937af7ed0d7632b755bcb71057092a63cdb27f.jpg?v=1786596418"]</t>
        </is>
      </c>
    </row>
    <row r="56" ht="66" customHeight="1">
      <c r="A56" s="2" t="inlineStr">
        <is>
          <t>jeminise.com+custom-inspirational-floral-butterfly-bible-verse-blanket-d4</t>
        </is>
      </c>
      <c r="B56" s="2" t="inlineStr">
        <is>
          <t>qaimg_b4f5b06b00f4f8fa</t>
        </is>
      </c>
      <c r="C56" s="4" t="inlineStr">
        <is>
          <t>https://cdn.shopify.com/s/files/1/0792/5098/1063/files/fbcbc85b3a3729134094bd41db6f0905e61a1bc8a8d454199f570d3062962855.jpg?v=1786596418</t>
        </is>
      </c>
      <c r="D56" s="4" t="inlineStr">
        <is>
          <t>https://cdn.shopify.com/s/files/1/0792/5098/1063/files/fbcbc85b3a3729134094bd41db6f0905e61a1bc8a8d454199f570d3062962855.jpg?v=1786596418</t>
        </is>
      </c>
      <c r="E56" s="2" t="inlineStr">
        <is>
          <t>38793372270791</t>
        </is>
      </c>
      <c r="F56" s="2" t="inlineStr">
        <is>
          <t>47830498083015</t>
        </is>
      </c>
      <c r="G56" s="2" t="inlineStr"/>
      <c r="H56" s="2" t="inlineStr">
        <is>
          <t>GALLERY</t>
        </is>
      </c>
      <c r="I56" s="2" t="inlineStr">
        <is>
          <t>DIRECT_ORIGINAL_IMAGE</t>
        </is>
      </c>
      <c r="J56" s="2" t="inlineStr">
        <is>
          <t>2026-09-07T17:43:56.502970+07:00</t>
        </is>
      </c>
      <c r="K56" s="2" t="inlineStr">
        <is>
          <t>Directly inspected gallery image 3 for cream floral butterfly Bible verse blanket with name Haley.</t>
        </is>
      </c>
      <c r="L56" s="2" t="inlineStr">
        <is>
          <t>Bedding type, size or lifestyle information related to personalized floral butterfly Bible verse blanket for Haley.</t>
        </is>
      </c>
      <c r="M56" s="2" t="inlineStr">
        <is>
          <t>Custom Inspirational Floral Butterfly Bible Verse Blanket</t>
        </is>
      </c>
      <c r="N56" s="2" t="inlineStr">
        <is>
          <t>SET</t>
        </is>
      </c>
      <c r="O56" s="2" t="inlineStr">
        <is>
          <t>Product option or lifestyle image for Personalized Floral Butterfly Bible Verse Blanket</t>
        </is>
      </c>
      <c r="P56" s="2" t="inlineStr">
        <is>
          <t>FULL</t>
        </is>
      </c>
      <c r="Q56" s="2" t="inlineStr">
        <is>
          <t>FULL</t>
        </is>
      </c>
      <c r="R56" s="2" t="inlineStr">
        <is>
          <t>FULL</t>
        </is>
      </c>
      <c r="S56" s="2" t="inlineStr">
        <is>
          <t>FULL</t>
        </is>
      </c>
      <c r="T56" s="5">
        <f>IF(P56="FULL",40,IF(P56="PARTIAL",40/2,0))+IF(Q56="FULL",30,IF(Q56="PARTIAL",30/2,0))+IF(R56="FULL",20,IF(R56="PARTIAL",20/2,0))+IF(S56="FULL",10,IF(S56="PARTIAL",10/2,0))</f>
        <v/>
      </c>
      <c r="U56" s="5">
        <f>IF(P56="NOT_CHECKED",0,40)+IF(Q56="NOT_CHECKED",0,30)+IF(R56="NOT_CHECKED",0,20)+IF(S56="NOT_CHECKED",0,10)</f>
        <v/>
      </c>
      <c r="V56" s="5">
        <f>IF(U56=100,T56,"")</f>
        <v/>
      </c>
      <c r="W56" s="5">
        <f>T56</f>
        <v/>
      </c>
      <c r="X56" s="5">
        <f>T56+(100-U56)</f>
        <v/>
      </c>
      <c r="Y56" s="2" t="inlineStr">
        <is>
          <t>[]</t>
        </is>
      </c>
      <c r="Z56" s="2" t="inlineStr">
        <is>
          <t>["seo_runs\\jeminise.com\\20260906_234129\\evidence\\images\\79_custom-inspirational-floral-butterfly-bible-verse-blanket-d4\\image_03_47830498083015.jpg; seo_runs\\jeminise.com\\20260906_234129\\evidence\\contact_sheets\\79_custom-inspirational-floral-butterfly-bible-verse-blanket-d4.jpg", "https://jeminise.com/products/custom-inspirational-floral-butterfly-bible-verse-blanket-d4", "https://cdn.shopify.com/s/files/1/0792/5098/1063/files/fbcbc85b3a3729134094bd41db6f0905e61a1bc8a8d454199f570d3062962855.jpg?v=1786596418"]</t>
        </is>
      </c>
    </row>
    <row r="57" ht="66" customHeight="1">
      <c r="A57" s="3" t="inlineStr">
        <is>
          <t>jeminise.com+custom-inspirational-floral-butterfly-bible-verse-blanket-d4</t>
        </is>
      </c>
      <c r="B57" s="3" t="inlineStr">
        <is>
          <t>qaimg_62453a189d46039f</t>
        </is>
      </c>
      <c r="C57" s="4" t="inlineStr">
        <is>
          <t>https://cdn.shopify.com/s/files/1/0792/5098/1063/files/512b4558aee5a32e09b1e2449d22e36b2fe040840fccd2c3c21687b528773e68.jpg?v=1786596418</t>
        </is>
      </c>
      <c r="D57" s="4" t="inlineStr">
        <is>
          <t>https://cdn.shopify.com/s/files/1/0792/5098/1063/files/512b4558aee5a32e09b1e2449d22e36b2fe040840fccd2c3c21687b528773e68.jpg?v=1786596418</t>
        </is>
      </c>
      <c r="E57" s="3" t="inlineStr">
        <is>
          <t>38793372303559</t>
        </is>
      </c>
      <c r="F57" s="3" t="inlineStr">
        <is>
          <t>47830498115783</t>
        </is>
      </c>
      <c r="G57" s="3" t="inlineStr"/>
      <c r="H57" s="3" t="inlineStr">
        <is>
          <t>GALLERY</t>
        </is>
      </c>
      <c r="I57" s="3" t="inlineStr">
        <is>
          <t>DIRECT_ORIGINAL_IMAGE</t>
        </is>
      </c>
      <c r="J57" s="3" t="inlineStr">
        <is>
          <t>2026-09-07T17:43:56.502970+07:00</t>
        </is>
      </c>
      <c r="K57" s="3" t="inlineStr">
        <is>
          <t>Directly inspected gallery image 4 for cream floral butterfly Bible verse blanket with name Haley.</t>
        </is>
      </c>
      <c r="L57" s="3" t="inlineStr">
        <is>
          <t>Close room/detail, feature panel or size information for personalized floral butterfly Bible verse blanket for Haley.</t>
        </is>
      </c>
      <c r="M57" s="3" t="inlineStr">
        <is>
          <t>Custom Inspirational Floral Butterfly Bible Verse Blanket</t>
        </is>
      </c>
      <c r="N57" s="3" t="inlineStr">
        <is>
          <t>SET</t>
        </is>
      </c>
      <c r="O57" s="3" t="inlineStr">
        <is>
          <t>Feature or size information for Personalized Floral Butterfly Bible Verse Blanket</t>
        </is>
      </c>
      <c r="P57" s="3" t="inlineStr">
        <is>
          <t>FULL</t>
        </is>
      </c>
      <c r="Q57" s="3" t="inlineStr">
        <is>
          <t>FULL</t>
        </is>
      </c>
      <c r="R57" s="3" t="inlineStr">
        <is>
          <t>PARTIAL</t>
        </is>
      </c>
      <c r="S57" s="3" t="inlineStr">
        <is>
          <t>FULL</t>
        </is>
      </c>
      <c r="T57" s="7">
        <f>IF(P57="FULL",40,IF(P57="PARTIAL",40/2,0))+IF(Q57="FULL",30,IF(Q57="PARTIAL",30/2,0))+IF(R57="FULL",20,IF(R57="PARTIAL",20/2,0))+IF(S57="FULL",10,IF(S57="PARTIAL",10/2,0))</f>
        <v/>
      </c>
      <c r="U57" s="7">
        <f>IF(P57="NOT_CHECKED",0,40)+IF(Q57="NOT_CHECKED",0,30)+IF(R57="NOT_CHECKED",0,20)+IF(S57="NOT_CHECKED",0,10)</f>
        <v/>
      </c>
      <c r="V57" s="7">
        <f>IF(U57=100,T57,"")</f>
        <v/>
      </c>
      <c r="W57" s="7">
        <f>T57</f>
        <v/>
      </c>
      <c r="X57" s="7">
        <f>T57+(100-U57)</f>
        <v/>
      </c>
      <c r="Y57" s="3" t="inlineStr">
        <is>
          <t>["ISS-079-IMG-04"]</t>
        </is>
      </c>
      <c r="Z57" s="3" t="inlineStr">
        <is>
          <t>["seo_runs\\jeminise.com\\20260906_234129\\evidence\\images\\79_custom-inspirational-floral-butterfly-bible-verse-blanket-d4\\image_04_47830498115783.jpg; seo_runs\\jeminise.com\\20260906_234129\\evidence\\contact_sheets\\79_custom-inspirational-floral-butterfly-bible-verse-blanket-d4.jpg", "https://jeminise.com/products/custom-inspirational-floral-butterfly-bible-verse-blanket-d4", "https://cdn.shopify.com/s/files/1/0792/5098/1063/files/512b4558aee5a32e09b1e2449d22e36b2fe040840fccd2c3c21687b528773e68.jpg?v=1786596418"]</t>
        </is>
      </c>
    </row>
    <row r="58" ht="66" customHeight="1">
      <c r="A58" s="2" t="inlineStr">
        <is>
          <t>jeminise.com+custom-inspirational-floral-butterfly-bible-verse-blanket-d4</t>
        </is>
      </c>
      <c r="B58" s="2" t="inlineStr">
        <is>
          <t>qaimg_144f46e834002fd7</t>
        </is>
      </c>
      <c r="C58" s="4" t="inlineStr">
        <is>
          <t>https://cdn.shopify.com/s/files/1/0792/5098/1063/files/b3a9a66345c23eccfd8834f8002e8c40483742785f9eddc55a8354957d702704.jpg?v=1786596418</t>
        </is>
      </c>
      <c r="D58" s="4" t="inlineStr">
        <is>
          <t>https://cdn.shopify.com/s/files/1/0792/5098/1063/files/b3a9a66345c23eccfd8834f8002e8c40483742785f9eddc55a8354957d702704.jpg?v=1786596418</t>
        </is>
      </c>
      <c r="E58" s="2" t="inlineStr">
        <is>
          <t>38793372336327</t>
        </is>
      </c>
      <c r="F58" s="2" t="inlineStr">
        <is>
          <t>47830498148551</t>
        </is>
      </c>
      <c r="G58" s="2" t="inlineStr"/>
      <c r="H58" s="2" t="inlineStr">
        <is>
          <t>GALLERY</t>
        </is>
      </c>
      <c r="I58" s="2" t="inlineStr">
        <is>
          <t>DIRECT_ORIGINAL_IMAGE</t>
        </is>
      </c>
      <c r="J58" s="2" t="inlineStr">
        <is>
          <t>2026-09-07T17:43:56.502970+07:00</t>
        </is>
      </c>
      <c r="K58" s="2" t="inlineStr">
        <is>
          <t>Directly inspected gallery image 5 for cream floral butterfly Bible verse blanket with name Haley.</t>
        </is>
      </c>
      <c r="L58" s="2" t="inlineStr">
        <is>
          <t>Easy-care, material detail or additional mockup for personalized floral butterfly Bible verse blanket for Haley.</t>
        </is>
      </c>
      <c r="M58" s="2" t="inlineStr">
        <is>
          <t>Custom Inspirational Floral Butterfly Bible Verse Blanket</t>
        </is>
      </c>
      <c r="N58" s="2" t="inlineStr">
        <is>
          <t>SET</t>
        </is>
      </c>
      <c r="O58" s="2" t="inlineStr">
        <is>
          <t>Care, material or additional mockup for Personalized Floral Butterfly Bible Verse Blanket</t>
        </is>
      </c>
      <c r="P58" s="2" t="inlineStr">
        <is>
          <t>FULL</t>
        </is>
      </c>
      <c r="Q58" s="2" t="inlineStr">
        <is>
          <t>FULL</t>
        </is>
      </c>
      <c r="R58" s="2" t="inlineStr">
        <is>
          <t>FULL</t>
        </is>
      </c>
      <c r="S58" s="2" t="inlineStr">
        <is>
          <t>FULL</t>
        </is>
      </c>
      <c r="T58" s="5">
        <f>IF(P58="FULL",40,IF(P58="PARTIAL",40/2,0))+IF(Q58="FULL",30,IF(Q58="PARTIAL",30/2,0))+IF(R58="FULL",20,IF(R58="PARTIAL",20/2,0))+IF(S58="FULL",10,IF(S58="PARTIAL",10/2,0))</f>
        <v/>
      </c>
      <c r="U58" s="5">
        <f>IF(P58="NOT_CHECKED",0,40)+IF(Q58="NOT_CHECKED",0,30)+IF(R58="NOT_CHECKED",0,20)+IF(S58="NOT_CHECKED",0,10)</f>
        <v/>
      </c>
      <c r="V58" s="5">
        <f>IF(U58=100,T58,"")</f>
        <v/>
      </c>
      <c r="W58" s="5">
        <f>T58</f>
        <v/>
      </c>
      <c r="X58" s="5">
        <f>T58+(100-U58)</f>
        <v/>
      </c>
      <c r="Y58" s="2" t="inlineStr">
        <is>
          <t>[]</t>
        </is>
      </c>
      <c r="Z58" s="2" t="inlineStr">
        <is>
          <t>["seo_runs\\jeminise.com\\20260906_234129\\evidence\\images\\79_custom-inspirational-floral-butterfly-bible-verse-blanket-d4\\image_05_47830498148551.jpg; seo_runs\\jeminise.com\\20260906_234129\\evidence\\contact_sheets\\79_custom-inspirational-floral-butterfly-bible-verse-blanket-d4.jpg", "https://jeminise.com/products/custom-inspirational-floral-butterfly-bible-verse-blanket-d4", "https://cdn.shopify.com/s/files/1/0792/5098/1063/files/b3a9a66345c23eccfd8834f8002e8c40483742785f9eddc55a8354957d702704.jpg?v=1786596418"]</t>
        </is>
      </c>
    </row>
    <row r="59" ht="66" customHeight="1">
      <c r="A59" s="3" t="inlineStr">
        <is>
          <t>jeminise.com+custom-inspirational-floral-butterfly-bible-verse-blanket-d4</t>
        </is>
      </c>
      <c r="B59" s="3" t="inlineStr">
        <is>
          <t>qaimg_1de8fb2be334dea9</t>
        </is>
      </c>
      <c r="C59" s="4" t="inlineStr">
        <is>
          <t>https://cdn.shopify.com/s/files/1/0792/5098/1063/files/50ff019239f1a64177123a86746d67bcc01e8fb4b322a28e006f292c7ef91fe0.jpg?v=1786596418</t>
        </is>
      </c>
      <c r="D59" s="4" t="inlineStr">
        <is>
          <t>https://cdn.shopify.com/s/files/1/0792/5098/1063/files/50ff019239f1a64177123a86746d67bcc01e8fb4b322a28e006f292c7ef91fe0.jpg?v=1786596418</t>
        </is>
      </c>
      <c r="E59" s="3" t="inlineStr">
        <is>
          <t>38793372369095</t>
        </is>
      </c>
      <c r="F59" s="3" t="inlineStr">
        <is>
          <t>47830498181319</t>
        </is>
      </c>
      <c r="G59" s="3" t="inlineStr"/>
      <c r="H59" s="3" t="inlineStr">
        <is>
          <t>GALLERY</t>
        </is>
      </c>
      <c r="I59" s="3" t="inlineStr">
        <is>
          <t>DIRECT_ORIGINAL_IMAGE</t>
        </is>
      </c>
      <c r="J59" s="3" t="inlineStr">
        <is>
          <t>2026-09-07T17:43:56.502970+07:00</t>
        </is>
      </c>
      <c r="K59" s="3" t="inlineStr">
        <is>
          <t>Directly inspected gallery image 6 for cream floral butterfly Bible verse blanket with name Haley.</t>
        </is>
      </c>
      <c r="L59" s="3" t="inlineStr">
        <is>
          <t>Size guide, feature image or bedroom detail for personalized floral butterfly Bible verse blanket for Haley.</t>
        </is>
      </c>
      <c r="M59" s="3" t="inlineStr">
        <is>
          <t>Custom Inspirational Floral Butterfly Bible Verse Blanket</t>
        </is>
      </c>
      <c r="N59" s="3" t="inlineStr">
        <is>
          <t>SET</t>
        </is>
      </c>
      <c r="O59" s="3" t="inlineStr">
        <is>
          <t>Size guide or feature image for Personalized Floral Butterfly Bible Verse Blanket</t>
        </is>
      </c>
      <c r="P59" s="3" t="inlineStr">
        <is>
          <t>FULL</t>
        </is>
      </c>
      <c r="Q59" s="3" t="inlineStr">
        <is>
          <t>FULL</t>
        </is>
      </c>
      <c r="R59" s="3" t="inlineStr">
        <is>
          <t>FULL</t>
        </is>
      </c>
      <c r="S59" s="3" t="inlineStr">
        <is>
          <t>FULL</t>
        </is>
      </c>
      <c r="T59" s="7">
        <f>IF(P59="FULL",40,IF(P59="PARTIAL",40/2,0))+IF(Q59="FULL",30,IF(Q59="PARTIAL",30/2,0))+IF(R59="FULL",20,IF(R59="PARTIAL",20/2,0))+IF(S59="FULL",10,IF(S59="PARTIAL",10/2,0))</f>
        <v/>
      </c>
      <c r="U59" s="7">
        <f>IF(P59="NOT_CHECKED",0,40)+IF(Q59="NOT_CHECKED",0,30)+IF(R59="NOT_CHECKED",0,20)+IF(S59="NOT_CHECKED",0,10)</f>
        <v/>
      </c>
      <c r="V59" s="7">
        <f>IF(U59=100,T59,"")</f>
        <v/>
      </c>
      <c r="W59" s="7">
        <f>T59</f>
        <v/>
      </c>
      <c r="X59" s="7">
        <f>T59+(100-U59)</f>
        <v/>
      </c>
      <c r="Y59" s="3" t="inlineStr">
        <is>
          <t>[]</t>
        </is>
      </c>
      <c r="Z59" s="3" t="inlineStr">
        <is>
          <t>["seo_runs\\jeminise.com\\20260906_234129\\evidence\\images\\79_custom-inspirational-floral-butterfly-bible-verse-blanket-d4\\image_06_47830498181319.jpg; seo_runs\\jeminise.com\\20260906_234129\\evidence\\contact_sheets\\79_custom-inspirational-floral-butterfly-bible-verse-blanket-d4.jpg", "https://jeminise.com/products/custom-inspirational-floral-butterfly-bible-verse-blanket-d4", "https://cdn.shopify.com/s/files/1/0792/5098/1063/files/50ff019239f1a64177123a86746d67bcc01e8fb4b322a28e006f292c7ef91fe0.jpg?v=1786596418"]</t>
        </is>
      </c>
    </row>
    <row r="60" ht="66" customHeight="1">
      <c r="A60" s="2" t="inlineStr">
        <is>
          <t>jeminise.com+custom-inspirational-floral-butterfly-bible-verse-blanket-d4</t>
        </is>
      </c>
      <c r="B60" s="2" t="inlineStr">
        <is>
          <t>qaimg_47ff23d12e818ed1</t>
        </is>
      </c>
      <c r="C60" s="4" t="inlineStr">
        <is>
          <t>https://cdn.shopify.com/s/files/1/0792/5098/1063/files/6aa6a5744e86ef9d65f09b452bdc9681949751608dadd0f24069c4b9569c8ac2.jpg?v=1786596418</t>
        </is>
      </c>
      <c r="D60" s="4" t="inlineStr">
        <is>
          <t>https://cdn.shopify.com/s/files/1/0792/5098/1063/files/6aa6a5744e86ef9d65f09b452bdc9681949751608dadd0f24069c4b9569c8ac2.jpg?v=1786596418</t>
        </is>
      </c>
      <c r="E60" s="2" t="inlineStr">
        <is>
          <t>38793372401863</t>
        </is>
      </c>
      <c r="F60" s="2" t="inlineStr">
        <is>
          <t>47830498214087</t>
        </is>
      </c>
      <c r="G60" s="2" t="inlineStr"/>
      <c r="H60" s="2" t="inlineStr">
        <is>
          <t>GALLERY</t>
        </is>
      </c>
      <c r="I60" s="2" t="inlineStr">
        <is>
          <t>DIRECT_ORIGINAL_IMAGE</t>
        </is>
      </c>
      <c r="J60" s="2" t="inlineStr">
        <is>
          <t>2026-09-07T17:43:56.502970+07:00</t>
        </is>
      </c>
      <c r="K60" s="2" t="inlineStr">
        <is>
          <t>Directly inspected gallery image 7 for cream floral butterfly Bible verse blanket with name Haley.</t>
        </is>
      </c>
      <c r="L60" s="2" t="inlineStr">
        <is>
          <t>Additional lifestyle, feature or product detail image showing personalized floral butterfly Bible verse blanket for Haley.</t>
        </is>
      </c>
      <c r="M60" s="2" t="inlineStr">
        <is>
          <t>Custom Inspirational Floral Butterfly Bible Verse Blanket</t>
        </is>
      </c>
      <c r="N60" s="2" t="inlineStr">
        <is>
          <t>SET</t>
        </is>
      </c>
      <c r="O60" s="2" t="inlineStr">
        <is>
          <t>Additional product mockup of Personalized Floral Butterfly Bible Verse Blanket</t>
        </is>
      </c>
      <c r="P60" s="2" t="inlineStr">
        <is>
          <t>FULL</t>
        </is>
      </c>
      <c r="Q60" s="2" t="inlineStr">
        <is>
          <t>FULL</t>
        </is>
      </c>
      <c r="R60" s="2" t="inlineStr">
        <is>
          <t>FULL</t>
        </is>
      </c>
      <c r="S60" s="2" t="inlineStr">
        <is>
          <t>FULL</t>
        </is>
      </c>
      <c r="T60" s="5">
        <f>IF(P60="FULL",40,IF(P60="PARTIAL",40/2,0))+IF(Q60="FULL",30,IF(Q60="PARTIAL",30/2,0))+IF(R60="FULL",20,IF(R60="PARTIAL",20/2,0))+IF(S60="FULL",10,IF(S60="PARTIAL",10/2,0))</f>
        <v/>
      </c>
      <c r="U60" s="5">
        <f>IF(P60="NOT_CHECKED",0,40)+IF(Q60="NOT_CHECKED",0,30)+IF(R60="NOT_CHECKED",0,20)+IF(S60="NOT_CHECKED",0,10)</f>
        <v/>
      </c>
      <c r="V60" s="5">
        <f>IF(U60=100,T60,"")</f>
        <v/>
      </c>
      <c r="W60" s="5">
        <f>T60</f>
        <v/>
      </c>
      <c r="X60" s="5">
        <f>T60+(100-U60)</f>
        <v/>
      </c>
      <c r="Y60" s="2" t="inlineStr">
        <is>
          <t>[]</t>
        </is>
      </c>
      <c r="Z60" s="2" t="inlineStr">
        <is>
          <t>["seo_runs\\jeminise.com\\20260906_234129\\evidence\\images\\79_custom-inspirational-floral-butterfly-bible-verse-blanket-d4\\image_07_47830498214087.jpg; seo_runs\\jeminise.com\\20260906_234129\\evidence\\contact_sheets\\79_custom-inspirational-floral-butterfly-bible-verse-blanket-d4.jpg", "https://jeminise.com/products/custom-inspirational-floral-butterfly-bible-verse-blanket-d4", "https://cdn.shopify.com/s/files/1/0792/5098/1063/files/6aa6a5744e86ef9d65f09b452bdc9681949751608dadd0f24069c4b9569c8ac2.jpg?v=1786596418"]</t>
        </is>
      </c>
    </row>
    <row r="61" ht="66" customHeight="1">
      <c r="A61" s="3" t="inlineStr">
        <is>
          <t>jeminise.com+custom-inspirational-floral-butterfly-bible-verse-blanket-d4</t>
        </is>
      </c>
      <c r="B61" s="3" t="inlineStr">
        <is>
          <t>qaimg_d707797d68a307d6</t>
        </is>
      </c>
      <c r="C61" s="4" t="inlineStr">
        <is>
          <t>https://cdn.shopify.com/s/files/1/0792/5098/1063/files/336a959a6ecc540d97e2051cadb9ddd839525abd68c8a3b01ee915d3cff8d417.jpg?v=1786596418</t>
        </is>
      </c>
      <c r="D61" s="4" t="inlineStr">
        <is>
          <t>https://cdn.shopify.com/s/files/1/0792/5098/1063/files/336a959a6ecc540d97e2051cadb9ddd839525abd68c8a3b01ee915d3cff8d417.jpg?v=1786596418</t>
        </is>
      </c>
      <c r="E61" s="3" t="inlineStr">
        <is>
          <t>38793372434631</t>
        </is>
      </c>
      <c r="F61" s="3" t="inlineStr">
        <is>
          <t>47830498246855</t>
        </is>
      </c>
      <c r="G61" s="3" t="inlineStr"/>
      <c r="H61" s="3" t="inlineStr">
        <is>
          <t>GALLERY</t>
        </is>
      </c>
      <c r="I61" s="3" t="inlineStr">
        <is>
          <t>DIRECT_ORIGINAL_IMAGE</t>
        </is>
      </c>
      <c r="J61" s="3" t="inlineStr">
        <is>
          <t>2026-09-07T17:43:56.502970+07:00</t>
        </is>
      </c>
      <c r="K61" s="3" t="inlineStr">
        <is>
          <t>Directly inspected gallery image 8 for cream floral butterfly Bible verse blanket with name Haley.</t>
        </is>
      </c>
      <c r="L61" s="3" t="inlineStr">
        <is>
          <t>Additional lifestyle, feature or product detail image showing personalized floral butterfly Bible verse blanket for Haley.</t>
        </is>
      </c>
      <c r="M61" s="3" t="inlineStr">
        <is>
          <t>Custom Inspirational Floral Butterfly Bible Verse Blanket</t>
        </is>
      </c>
      <c r="N61" s="3" t="inlineStr">
        <is>
          <t>SET</t>
        </is>
      </c>
      <c r="O61" s="3" t="inlineStr">
        <is>
          <t>Lifestyle use image for Personalized Floral Butterfly Bible Verse Blanket</t>
        </is>
      </c>
      <c r="P61" s="3" t="inlineStr">
        <is>
          <t>FULL</t>
        </is>
      </c>
      <c r="Q61" s="3" t="inlineStr">
        <is>
          <t>FULL</t>
        </is>
      </c>
      <c r="R61" s="3" t="inlineStr">
        <is>
          <t>FULL</t>
        </is>
      </c>
      <c r="S61" s="3" t="inlineStr">
        <is>
          <t>FULL</t>
        </is>
      </c>
      <c r="T61" s="7">
        <f>IF(P61="FULL",40,IF(P61="PARTIAL",40/2,0))+IF(Q61="FULL",30,IF(Q61="PARTIAL",30/2,0))+IF(R61="FULL",20,IF(R61="PARTIAL",20/2,0))+IF(S61="FULL",10,IF(S61="PARTIAL",10/2,0))</f>
        <v/>
      </c>
      <c r="U61" s="7">
        <f>IF(P61="NOT_CHECKED",0,40)+IF(Q61="NOT_CHECKED",0,30)+IF(R61="NOT_CHECKED",0,20)+IF(S61="NOT_CHECKED",0,10)</f>
        <v/>
      </c>
      <c r="V61" s="7">
        <f>IF(U61=100,T61,"")</f>
        <v/>
      </c>
      <c r="W61" s="7">
        <f>T61</f>
        <v/>
      </c>
      <c r="X61" s="7">
        <f>T61+(100-U61)</f>
        <v/>
      </c>
      <c r="Y61" s="3" t="inlineStr">
        <is>
          <t>[]</t>
        </is>
      </c>
      <c r="Z61" s="3" t="inlineStr">
        <is>
          <t>["seo_runs\\jeminise.com\\20260906_234129\\evidence\\images\\79_custom-inspirational-floral-butterfly-bible-verse-blanket-d4\\image_08_47830498246855.jpg; seo_runs\\jeminise.com\\20260906_234129\\evidence\\contact_sheets\\79_custom-inspirational-floral-butterfly-bible-verse-blanket-d4.jpg", "https://jeminise.com/products/custom-inspirational-floral-butterfly-bible-verse-blanket-d4", "https://cdn.shopify.com/s/files/1/0792/5098/1063/files/336a959a6ecc540d97e2051cadb9ddd839525abd68c8a3b01ee915d3cff8d417.jpg?v=1786596418"]</t>
        </is>
      </c>
    </row>
    <row r="62" ht="66" customHeight="1">
      <c r="A62" s="2" t="inlineStr">
        <is>
          <t>jeminise.com+custom-inspirational-floral-butterfly-bible-verse-blanket-d4</t>
        </is>
      </c>
      <c r="B62" s="2" t="inlineStr">
        <is>
          <t>qaimg_d0ce894f4d5549a6</t>
        </is>
      </c>
      <c r="C62" s="4" t="inlineStr">
        <is>
          <t>https://cdn.shopify.com/s/files/1/0792/5098/1063/files/8c730c56d1cdd403f4b3618bba2cacbea0584ee093d7a82a09bee469930db8bb.jpg?v=1786596418</t>
        </is>
      </c>
      <c r="D62" s="4" t="inlineStr">
        <is>
          <t>https://cdn.shopify.com/s/files/1/0792/5098/1063/files/8c730c56d1cdd403f4b3618bba2cacbea0584ee093d7a82a09bee469930db8bb.jpg?v=1786596418</t>
        </is>
      </c>
      <c r="E62" s="2" t="inlineStr">
        <is>
          <t>38793372467399</t>
        </is>
      </c>
      <c r="F62" s="2" t="inlineStr">
        <is>
          <t>47830498279623</t>
        </is>
      </c>
      <c r="G62" s="2" t="inlineStr"/>
      <c r="H62" s="2" t="inlineStr">
        <is>
          <t>GALLERY</t>
        </is>
      </c>
      <c r="I62" s="2" t="inlineStr">
        <is>
          <t>DIRECT_ORIGINAL_IMAGE</t>
        </is>
      </c>
      <c r="J62" s="2" t="inlineStr">
        <is>
          <t>2026-09-07T17:43:56.502970+07:00</t>
        </is>
      </c>
      <c r="K62" s="2" t="inlineStr">
        <is>
          <t>Directly inspected gallery image 9 for cream floral butterfly Bible verse blanket with name Haley.</t>
        </is>
      </c>
      <c r="L62" s="2" t="inlineStr">
        <is>
          <t>Additional lifestyle, feature or product detail image showing personalized floral butterfly Bible verse blanket for Haley.</t>
        </is>
      </c>
      <c r="M62" s="2" t="inlineStr">
        <is>
          <t>Custom Inspirational Floral Butterfly Bible Verse Blanket</t>
        </is>
      </c>
      <c r="N62" s="2" t="inlineStr">
        <is>
          <t>SET</t>
        </is>
      </c>
      <c r="O62" s="2" t="inlineStr">
        <is>
          <t>Additional lifestyle image for Personalized Floral Butterfly Bible Verse Blanket</t>
        </is>
      </c>
      <c r="P62" s="2" t="inlineStr">
        <is>
          <t>FULL</t>
        </is>
      </c>
      <c r="Q62" s="2" t="inlineStr">
        <is>
          <t>FULL</t>
        </is>
      </c>
      <c r="R62" s="2" t="inlineStr">
        <is>
          <t>FULL</t>
        </is>
      </c>
      <c r="S62" s="2" t="inlineStr">
        <is>
          <t>FULL</t>
        </is>
      </c>
      <c r="T62" s="5">
        <f>IF(P62="FULL",40,IF(P62="PARTIAL",40/2,0))+IF(Q62="FULL",30,IF(Q62="PARTIAL",30/2,0))+IF(R62="FULL",20,IF(R62="PARTIAL",20/2,0))+IF(S62="FULL",10,IF(S62="PARTIAL",10/2,0))</f>
        <v/>
      </c>
      <c r="U62" s="5">
        <f>IF(P62="NOT_CHECKED",0,40)+IF(Q62="NOT_CHECKED",0,30)+IF(R62="NOT_CHECKED",0,20)+IF(S62="NOT_CHECKED",0,10)</f>
        <v/>
      </c>
      <c r="V62" s="5">
        <f>IF(U62=100,T62,"")</f>
        <v/>
      </c>
      <c r="W62" s="5">
        <f>T62</f>
        <v/>
      </c>
      <c r="X62" s="5">
        <f>T62+(100-U62)</f>
        <v/>
      </c>
      <c r="Y62" s="2" t="inlineStr">
        <is>
          <t>[]</t>
        </is>
      </c>
      <c r="Z62" s="2" t="inlineStr">
        <is>
          <t>["seo_runs\\jeminise.com\\20260906_234129\\evidence\\images\\79_custom-inspirational-floral-butterfly-bible-verse-blanket-d4\\image_09_47830498279623.jpg; seo_runs\\jeminise.com\\20260906_234129\\evidence\\contact_sheets\\79_custom-inspirational-floral-butterfly-bible-verse-blanket-d4.jpg", "https://jeminise.com/products/custom-inspirational-floral-butterfly-bible-verse-blanket-d4", "https://cdn.shopify.com/s/files/1/0792/5098/1063/files/8c730c56d1cdd403f4b3618bba2cacbea0584ee093d7a82a09bee469930db8bb.jpg?v=1786596418"]</t>
        </is>
      </c>
    </row>
    <row r="63" ht="66" customHeight="1">
      <c r="A63" s="3" t="inlineStr">
        <is>
          <t>jeminise.com+custom-inspirational-scripture-butterflies-blanket-machine-washable</t>
        </is>
      </c>
      <c r="B63" s="3" t="inlineStr">
        <is>
          <t>qaimg_fff6166bc117103b</t>
        </is>
      </c>
      <c r="C63" s="4" t="inlineStr">
        <is>
          <t>https://cdn.shopify.com/s/files/1/0792/5098/1063/files/143b457addd31dc5e16ebd8462161a8aad9a35ce89418e7c0d0f481e265af473.jpg?v=1786596522</t>
        </is>
      </c>
      <c r="D63" s="4" t="inlineStr">
        <is>
          <t>https://cdn.shopify.com/s/files/1/0792/5098/1063/files/143b457addd31dc5e16ebd8462161a8aad9a35ce89418e7c0d0f481e265af473.jpg?v=1786596522</t>
        </is>
      </c>
      <c r="E63" s="3" t="inlineStr">
        <is>
          <t>38793414181063</t>
        </is>
      </c>
      <c r="F63" s="3" t="inlineStr">
        <is>
          <t>47830539993287</t>
        </is>
      </c>
      <c r="G63" s="3" t="inlineStr"/>
      <c r="H63" s="3" t="inlineStr">
        <is>
          <t>GALLERY</t>
        </is>
      </c>
      <c r="I63" s="3" t="inlineStr">
        <is>
          <t>DIRECT_ORIGINAL_IMAGE</t>
        </is>
      </c>
      <c r="J63" s="3" t="inlineStr">
        <is>
          <t>2026-09-07T17:43:56.502970+07:00</t>
        </is>
      </c>
      <c r="K63" s="3" t="inlineStr">
        <is>
          <t>Directly inspected gallery image 1 for brown and tan God Says I Am butterfly blanket with name Elizabeth.</t>
        </is>
      </c>
      <c r="L63" s="3" t="inlineStr">
        <is>
          <t>Main product mockup showing personalized God Says I Am butterfly blanket for Elizabeth.</t>
        </is>
      </c>
      <c r="M63" s="3" t="inlineStr">
        <is>
          <t>Custom Inspirational Scripture Butterflies Blanket, Machine Washable</t>
        </is>
      </c>
      <c r="N63" s="3" t="inlineStr">
        <is>
          <t>SET</t>
        </is>
      </c>
      <c r="O63" s="3" t="inlineStr">
        <is>
          <t>Personalized God Says I Am Butterfly Blanket displayed in a main product mockup</t>
        </is>
      </c>
      <c r="P63" s="3" t="inlineStr">
        <is>
          <t>FULL</t>
        </is>
      </c>
      <c r="Q63" s="3" t="inlineStr">
        <is>
          <t>FULL</t>
        </is>
      </c>
      <c r="R63" s="3" t="inlineStr">
        <is>
          <t>FULL</t>
        </is>
      </c>
      <c r="S63" s="3" t="inlineStr">
        <is>
          <t>FULL</t>
        </is>
      </c>
      <c r="T63" s="7">
        <f>IF(P63="FULL",40,IF(P63="PARTIAL",40/2,0))+IF(Q63="FULL",30,IF(Q63="PARTIAL",30/2,0))+IF(R63="FULL",20,IF(R63="PARTIAL",20/2,0))+IF(S63="FULL",10,IF(S63="PARTIAL",10/2,0))</f>
        <v/>
      </c>
      <c r="U63" s="7">
        <f>IF(P63="NOT_CHECKED",0,40)+IF(Q63="NOT_CHECKED",0,30)+IF(R63="NOT_CHECKED",0,20)+IF(S63="NOT_CHECKED",0,10)</f>
        <v/>
      </c>
      <c r="V63" s="7">
        <f>IF(U63=100,T63,"")</f>
        <v/>
      </c>
      <c r="W63" s="7">
        <f>T63</f>
        <v/>
      </c>
      <c r="X63" s="7">
        <f>T63+(100-U63)</f>
        <v/>
      </c>
      <c r="Y63" s="3" t="inlineStr">
        <is>
          <t>[]</t>
        </is>
      </c>
      <c r="Z63" s="3" t="inlineStr">
        <is>
          <t>["seo_runs\\jeminise.com\\20260906_234129\\evidence\\images\\80_custom-inspirational-scripture-butterflies-blanket-machine-washable\\image_01_47830539993287.jpg; seo_runs\\jeminise.com\\20260906_234129\\evidence\\contact_sheets\\80_custom-inspirational-scripture-butterflies-blanket-machine-washable.jpg", "https://jeminise.com/products/custom-inspirational-scripture-butterflies-blanket-machine-washable", "https://cdn.shopify.com/s/files/1/0792/5098/1063/files/143b457addd31dc5e16ebd8462161a8aad9a35ce89418e7c0d0f481e265af473.jpg?v=1786596522"]</t>
        </is>
      </c>
    </row>
    <row r="64" ht="66" customHeight="1">
      <c r="A64" s="2" t="inlineStr">
        <is>
          <t>jeminise.com+custom-inspirational-scripture-butterflies-blanket-machine-washable</t>
        </is>
      </c>
      <c r="B64" s="2" t="inlineStr">
        <is>
          <t>qaimg_e545d73790da26df</t>
        </is>
      </c>
      <c r="C64" s="4" t="inlineStr">
        <is>
          <t>https://cdn.shopify.com/s/files/1/0792/5098/1063/files/20a018d5e713896cae3fe7d6444d7fdf68a079d9c68a99b642a2ae657f919ad5.jpg?v=1786596522</t>
        </is>
      </c>
      <c r="D64" s="4" t="inlineStr">
        <is>
          <t>https://cdn.shopify.com/s/files/1/0792/5098/1063/files/20a018d5e713896cae3fe7d6444d7fdf68a079d9c68a99b642a2ae657f919ad5.jpg?v=1786596522</t>
        </is>
      </c>
      <c r="E64" s="2" t="inlineStr">
        <is>
          <t>38793414213831</t>
        </is>
      </c>
      <c r="F64" s="2" t="inlineStr">
        <is>
          <t>47830540026055</t>
        </is>
      </c>
      <c r="G64" s="2" t="inlineStr"/>
      <c r="H64" s="2" t="inlineStr">
        <is>
          <t>GALLERY</t>
        </is>
      </c>
      <c r="I64" s="2" t="inlineStr">
        <is>
          <t>DIRECT_ORIGINAL_IMAGE</t>
        </is>
      </c>
      <c r="J64" s="2" t="inlineStr">
        <is>
          <t>2026-09-07T17:43:56.502970+07:00</t>
        </is>
      </c>
      <c r="K64" s="2" t="inlineStr">
        <is>
          <t>Directly inspected gallery image 2 for brown and tan God Says I Am butterfly blanket with name Elizabeth.</t>
        </is>
      </c>
      <c r="L64" s="2" t="inlineStr">
        <is>
          <t>Secondary flat or angled mockup showing personalized God Says I Am butterfly blanket for Elizabeth.</t>
        </is>
      </c>
      <c r="M64" s="2" t="inlineStr">
        <is>
          <t>Custom Inspirational Scripture Butterflies Blanket, Machine Washable</t>
        </is>
      </c>
      <c r="N64" s="2" t="inlineStr">
        <is>
          <t>SET</t>
        </is>
      </c>
      <c r="O64" s="2" t="inlineStr">
        <is>
          <t>Secondary mockup of Personalized God Says I Am Butterfly Blanket</t>
        </is>
      </c>
      <c r="P64" s="2" t="inlineStr">
        <is>
          <t>FULL</t>
        </is>
      </c>
      <c r="Q64" s="2" t="inlineStr">
        <is>
          <t>FULL</t>
        </is>
      </c>
      <c r="R64" s="2" t="inlineStr">
        <is>
          <t>FULL</t>
        </is>
      </c>
      <c r="S64" s="2" t="inlineStr">
        <is>
          <t>FULL</t>
        </is>
      </c>
      <c r="T64" s="5">
        <f>IF(P64="FULL",40,IF(P64="PARTIAL",40/2,0))+IF(Q64="FULL",30,IF(Q64="PARTIAL",30/2,0))+IF(R64="FULL",20,IF(R64="PARTIAL",20/2,0))+IF(S64="FULL",10,IF(S64="PARTIAL",10/2,0))</f>
        <v/>
      </c>
      <c r="U64" s="5">
        <f>IF(P64="NOT_CHECKED",0,40)+IF(Q64="NOT_CHECKED",0,30)+IF(R64="NOT_CHECKED",0,20)+IF(S64="NOT_CHECKED",0,10)</f>
        <v/>
      </c>
      <c r="V64" s="5">
        <f>IF(U64=100,T64,"")</f>
        <v/>
      </c>
      <c r="W64" s="5">
        <f>T64</f>
        <v/>
      </c>
      <c r="X64" s="5">
        <f>T64+(100-U64)</f>
        <v/>
      </c>
      <c r="Y64" s="2" t="inlineStr">
        <is>
          <t>[]</t>
        </is>
      </c>
      <c r="Z64" s="2" t="inlineStr">
        <is>
          <t>["seo_runs\\jeminise.com\\20260906_234129\\evidence\\images\\80_custom-inspirational-scripture-butterflies-blanket-machine-washable\\image_02_47830540026055.jpg; seo_runs\\jeminise.com\\20260906_234129\\evidence\\contact_sheets\\80_custom-inspirational-scripture-butterflies-blanket-machine-washable.jpg", "https://jeminise.com/products/custom-inspirational-scripture-butterflies-blanket-machine-washable", "https://cdn.shopify.com/s/files/1/0792/5098/1063/files/20a018d5e713896cae3fe7d6444d7fdf68a079d9c68a99b642a2ae657f919ad5.jpg?v=1786596522"]</t>
        </is>
      </c>
    </row>
    <row r="65" ht="66" customHeight="1">
      <c r="A65" s="3" t="inlineStr">
        <is>
          <t>jeminise.com+custom-inspirational-scripture-butterflies-blanket-machine-washable</t>
        </is>
      </c>
      <c r="B65" s="3" t="inlineStr">
        <is>
          <t>qaimg_8523b0c7160ee41b</t>
        </is>
      </c>
      <c r="C65" s="4" t="inlineStr">
        <is>
          <t>https://cdn.shopify.com/s/files/1/0792/5098/1063/files/df6b604a69052443f268bd46d27c069c387d18ce5dc21f3706f2caf677b135f6.jpg?v=1786596522</t>
        </is>
      </c>
      <c r="D65" s="4" t="inlineStr">
        <is>
          <t>https://cdn.shopify.com/s/files/1/0792/5098/1063/files/df6b604a69052443f268bd46d27c069c387d18ce5dc21f3706f2caf677b135f6.jpg?v=1786596522</t>
        </is>
      </c>
      <c r="E65" s="3" t="inlineStr">
        <is>
          <t>38793414246599</t>
        </is>
      </c>
      <c r="F65" s="3" t="inlineStr">
        <is>
          <t>47830540058823</t>
        </is>
      </c>
      <c r="G65" s="3" t="inlineStr"/>
      <c r="H65" s="3" t="inlineStr">
        <is>
          <t>GALLERY</t>
        </is>
      </c>
      <c r="I65" s="3" t="inlineStr">
        <is>
          <t>DIRECT_ORIGINAL_IMAGE</t>
        </is>
      </c>
      <c r="J65" s="3" t="inlineStr">
        <is>
          <t>2026-09-07T17:43:56.502970+07:00</t>
        </is>
      </c>
      <c r="K65" s="3" t="inlineStr">
        <is>
          <t>Directly inspected gallery image 3 for brown and tan God Says I Am butterfly blanket with name Elizabeth.</t>
        </is>
      </c>
      <c r="L65" s="3" t="inlineStr">
        <is>
          <t>Bedding type, size or lifestyle information related to personalized God Says I Am butterfly blanket for Elizabeth.</t>
        </is>
      </c>
      <c r="M65" s="3" t="inlineStr">
        <is>
          <t>Custom Inspirational Scripture Butterflies Blanket, Machine Washable</t>
        </is>
      </c>
      <c r="N65" s="3" t="inlineStr">
        <is>
          <t>SET</t>
        </is>
      </c>
      <c r="O65" s="3" t="inlineStr">
        <is>
          <t>Product option or lifestyle image for Personalized God Says I Am Butterfly Blanket</t>
        </is>
      </c>
      <c r="P65" s="3" t="inlineStr">
        <is>
          <t>FULL</t>
        </is>
      </c>
      <c r="Q65" s="3" t="inlineStr">
        <is>
          <t>FULL</t>
        </is>
      </c>
      <c r="R65" s="3" t="inlineStr">
        <is>
          <t>FULL</t>
        </is>
      </c>
      <c r="S65" s="3" t="inlineStr">
        <is>
          <t>FULL</t>
        </is>
      </c>
      <c r="T65" s="7">
        <f>IF(P65="FULL",40,IF(P65="PARTIAL",40/2,0))+IF(Q65="FULL",30,IF(Q65="PARTIAL",30/2,0))+IF(R65="FULL",20,IF(R65="PARTIAL",20/2,0))+IF(S65="FULL",10,IF(S65="PARTIAL",10/2,0))</f>
        <v/>
      </c>
      <c r="U65" s="7">
        <f>IF(P65="NOT_CHECKED",0,40)+IF(Q65="NOT_CHECKED",0,30)+IF(R65="NOT_CHECKED",0,20)+IF(S65="NOT_CHECKED",0,10)</f>
        <v/>
      </c>
      <c r="V65" s="7">
        <f>IF(U65=100,T65,"")</f>
        <v/>
      </c>
      <c r="W65" s="7">
        <f>T65</f>
        <v/>
      </c>
      <c r="X65" s="7">
        <f>T65+(100-U65)</f>
        <v/>
      </c>
      <c r="Y65" s="3" t="inlineStr">
        <is>
          <t>[]</t>
        </is>
      </c>
      <c r="Z65" s="3" t="inlineStr">
        <is>
          <t>["seo_runs\\jeminise.com\\20260906_234129\\evidence\\images\\80_custom-inspirational-scripture-butterflies-blanket-machine-washable\\image_03_47830540058823.jpg; seo_runs\\jeminise.com\\20260906_234129\\evidence\\contact_sheets\\80_custom-inspirational-scripture-butterflies-blanket-machine-washable.jpg", "https://jeminise.com/products/custom-inspirational-scripture-butterflies-blanket-machine-washable", "https://cdn.shopify.com/s/files/1/0792/5098/1063/files/df6b604a69052443f268bd46d27c069c387d18ce5dc21f3706f2caf677b135f6.jpg?v=1786596522"]</t>
        </is>
      </c>
    </row>
    <row r="66" ht="66" customHeight="1">
      <c r="A66" s="2" t="inlineStr">
        <is>
          <t>jeminise.com+custom-inspirational-scripture-butterflies-blanket-machine-washable</t>
        </is>
      </c>
      <c r="B66" s="2" t="inlineStr">
        <is>
          <t>qaimg_bbfc2f903749b114</t>
        </is>
      </c>
      <c r="C66" s="4" t="inlineStr">
        <is>
          <t>https://cdn.shopify.com/s/files/1/0792/5098/1063/files/cdb8ba2bd17cab5d2811132ba45505b9e7841a8f6703b99cf8224abe7040eeb2.jpg?v=1786596522</t>
        </is>
      </c>
      <c r="D66" s="4" t="inlineStr">
        <is>
          <t>https://cdn.shopify.com/s/files/1/0792/5098/1063/files/cdb8ba2bd17cab5d2811132ba45505b9e7841a8f6703b99cf8224abe7040eeb2.jpg?v=1786596522</t>
        </is>
      </c>
      <c r="E66" s="2" t="inlineStr">
        <is>
          <t>38793414279367</t>
        </is>
      </c>
      <c r="F66" s="2" t="inlineStr">
        <is>
          <t>47830540091591</t>
        </is>
      </c>
      <c r="G66" s="2" t="inlineStr"/>
      <c r="H66" s="2" t="inlineStr">
        <is>
          <t>GALLERY</t>
        </is>
      </c>
      <c r="I66" s="2" t="inlineStr">
        <is>
          <t>DIRECT_ORIGINAL_IMAGE</t>
        </is>
      </c>
      <c r="J66" s="2" t="inlineStr">
        <is>
          <t>2026-09-07T17:43:56.502970+07:00</t>
        </is>
      </c>
      <c r="K66" s="2" t="inlineStr">
        <is>
          <t>Directly inspected gallery image 4 for brown and tan God Says I Am butterfly blanket with name Elizabeth.</t>
        </is>
      </c>
      <c r="L66" s="2" t="inlineStr">
        <is>
          <t>Close room/detail, feature panel or size information for personalized God Says I Am butterfly blanket for Elizabeth.</t>
        </is>
      </c>
      <c r="M66" s="2" t="inlineStr">
        <is>
          <t>Custom Inspirational Scripture Butterflies Blanket, Machine Washable</t>
        </is>
      </c>
      <c r="N66" s="2" t="inlineStr">
        <is>
          <t>SET</t>
        </is>
      </c>
      <c r="O66" s="2" t="inlineStr">
        <is>
          <t>Feature or size information for Personalized God Says I Am Butterfly Blanket</t>
        </is>
      </c>
      <c r="P66" s="2" t="inlineStr">
        <is>
          <t>FULL</t>
        </is>
      </c>
      <c r="Q66" s="2" t="inlineStr">
        <is>
          <t>FULL</t>
        </is>
      </c>
      <c r="R66" s="2" t="inlineStr">
        <is>
          <t>PARTIAL</t>
        </is>
      </c>
      <c r="S66" s="2" t="inlineStr">
        <is>
          <t>FULL</t>
        </is>
      </c>
      <c r="T66" s="5">
        <f>IF(P66="FULL",40,IF(P66="PARTIAL",40/2,0))+IF(Q66="FULL",30,IF(Q66="PARTIAL",30/2,0))+IF(R66="FULL",20,IF(R66="PARTIAL",20/2,0))+IF(S66="FULL",10,IF(S66="PARTIAL",10/2,0))</f>
        <v/>
      </c>
      <c r="U66" s="5">
        <f>IF(P66="NOT_CHECKED",0,40)+IF(Q66="NOT_CHECKED",0,30)+IF(R66="NOT_CHECKED",0,20)+IF(S66="NOT_CHECKED",0,10)</f>
        <v/>
      </c>
      <c r="V66" s="5">
        <f>IF(U66=100,T66,"")</f>
        <v/>
      </c>
      <c r="W66" s="5">
        <f>T66</f>
        <v/>
      </c>
      <c r="X66" s="5">
        <f>T66+(100-U66)</f>
        <v/>
      </c>
      <c r="Y66" s="2" t="inlineStr">
        <is>
          <t>["ISS-080-IMG-04"]</t>
        </is>
      </c>
      <c r="Z66" s="2" t="inlineStr">
        <is>
          <t>["seo_runs\\jeminise.com\\20260906_234129\\evidence\\images\\80_custom-inspirational-scripture-butterflies-blanket-machine-washable\\image_04_47830540091591.jpg; seo_runs\\jeminise.com\\20260906_234129\\evidence\\contact_sheets\\80_custom-inspirational-scripture-butterflies-blanket-machine-washable.jpg", "https://jeminise.com/products/custom-inspirational-scripture-butterflies-blanket-machine-washable", "https://cdn.shopify.com/s/files/1/0792/5098/1063/files/cdb8ba2bd17cab5d2811132ba45505b9e7841a8f6703b99cf8224abe7040eeb2.jpg?v=1786596522"]</t>
        </is>
      </c>
    </row>
    <row r="67" ht="66" customHeight="1">
      <c r="A67" s="3" t="inlineStr">
        <is>
          <t>jeminise.com+custom-inspirational-scripture-butterflies-blanket-machine-washable</t>
        </is>
      </c>
      <c r="B67" s="3" t="inlineStr">
        <is>
          <t>qaimg_a40e1f4acbbe443f</t>
        </is>
      </c>
      <c r="C67" s="4" t="inlineStr">
        <is>
          <t>https://cdn.shopify.com/s/files/1/0792/5098/1063/files/88ace5f764abb2a05af6d52671841238ce3c8443fd2cc317be3d749473fa7373.jpg?v=1786596522</t>
        </is>
      </c>
      <c r="D67" s="4" t="inlineStr">
        <is>
          <t>https://cdn.shopify.com/s/files/1/0792/5098/1063/files/88ace5f764abb2a05af6d52671841238ce3c8443fd2cc317be3d749473fa7373.jpg?v=1786596522</t>
        </is>
      </c>
      <c r="E67" s="3" t="inlineStr">
        <is>
          <t>38793414312135</t>
        </is>
      </c>
      <c r="F67" s="3" t="inlineStr">
        <is>
          <t>47830540124359</t>
        </is>
      </c>
      <c r="G67" s="3" t="inlineStr"/>
      <c r="H67" s="3" t="inlineStr">
        <is>
          <t>GALLERY</t>
        </is>
      </c>
      <c r="I67" s="3" t="inlineStr">
        <is>
          <t>DIRECT_ORIGINAL_IMAGE</t>
        </is>
      </c>
      <c r="J67" s="3" t="inlineStr">
        <is>
          <t>2026-09-07T17:43:56.502970+07:00</t>
        </is>
      </c>
      <c r="K67" s="3" t="inlineStr">
        <is>
          <t>Directly inspected gallery image 5 for brown and tan God Says I Am butterfly blanket with name Elizabeth.</t>
        </is>
      </c>
      <c r="L67" s="3" t="inlineStr">
        <is>
          <t>Easy-care, material detail or additional mockup for personalized God Says I Am butterfly blanket for Elizabeth.</t>
        </is>
      </c>
      <c r="M67" s="3" t="inlineStr">
        <is>
          <t>Custom Inspirational Scripture Butterflies Blanket, Machine Washable</t>
        </is>
      </c>
      <c r="N67" s="3" t="inlineStr">
        <is>
          <t>SET</t>
        </is>
      </c>
      <c r="O67" s="3" t="inlineStr">
        <is>
          <t>Care, material or additional mockup for Personalized God Says I Am Butterfly Blanket</t>
        </is>
      </c>
      <c r="P67" s="3" t="inlineStr">
        <is>
          <t>FULL</t>
        </is>
      </c>
      <c r="Q67" s="3" t="inlineStr">
        <is>
          <t>FULL</t>
        </is>
      </c>
      <c r="R67" s="3" t="inlineStr">
        <is>
          <t>FULL</t>
        </is>
      </c>
      <c r="S67" s="3" t="inlineStr">
        <is>
          <t>FULL</t>
        </is>
      </c>
      <c r="T67" s="7">
        <f>IF(P67="FULL",40,IF(P67="PARTIAL",40/2,0))+IF(Q67="FULL",30,IF(Q67="PARTIAL",30/2,0))+IF(R67="FULL",20,IF(R67="PARTIAL",20/2,0))+IF(S67="FULL",10,IF(S67="PARTIAL",10/2,0))</f>
        <v/>
      </c>
      <c r="U67" s="7">
        <f>IF(P67="NOT_CHECKED",0,40)+IF(Q67="NOT_CHECKED",0,30)+IF(R67="NOT_CHECKED",0,20)+IF(S67="NOT_CHECKED",0,10)</f>
        <v/>
      </c>
      <c r="V67" s="7">
        <f>IF(U67=100,T67,"")</f>
        <v/>
      </c>
      <c r="W67" s="7">
        <f>T67</f>
        <v/>
      </c>
      <c r="X67" s="7">
        <f>T67+(100-U67)</f>
        <v/>
      </c>
      <c r="Y67" s="3" t="inlineStr">
        <is>
          <t>[]</t>
        </is>
      </c>
      <c r="Z67" s="3" t="inlineStr">
        <is>
          <t>["seo_runs\\jeminise.com\\20260906_234129\\evidence\\images\\80_custom-inspirational-scripture-butterflies-blanket-machine-washable\\image_05_47830540124359.jpg; seo_runs\\jeminise.com\\20260906_234129\\evidence\\contact_sheets\\80_custom-inspirational-scripture-butterflies-blanket-machine-washable.jpg", "https://jeminise.com/products/custom-inspirational-scripture-butterflies-blanket-machine-washable", "https://cdn.shopify.com/s/files/1/0792/5098/1063/files/88ace5f764abb2a05af6d52671841238ce3c8443fd2cc317be3d749473fa7373.jpg?v=1786596522"]</t>
        </is>
      </c>
    </row>
    <row r="68" ht="66" customHeight="1">
      <c r="A68" s="2" t="inlineStr">
        <is>
          <t>jeminise.com+custom-inspirational-scripture-butterflies-blanket-machine-washable</t>
        </is>
      </c>
      <c r="B68" s="2" t="inlineStr">
        <is>
          <t>qaimg_b96968f51cc52be9</t>
        </is>
      </c>
      <c r="C68" s="4" t="inlineStr">
        <is>
          <t>https://cdn.shopify.com/s/files/1/0792/5098/1063/files/64e525dfae4ea5f287649a30dc9c89851009da3bf55237c532910646610066e4.jpg?v=1786596523</t>
        </is>
      </c>
      <c r="D68" s="4" t="inlineStr">
        <is>
          <t>https://cdn.shopify.com/s/files/1/0792/5098/1063/files/64e525dfae4ea5f287649a30dc9c89851009da3bf55237c532910646610066e4.jpg?v=1786596523</t>
        </is>
      </c>
      <c r="E68" s="2" t="inlineStr">
        <is>
          <t>38793414344903</t>
        </is>
      </c>
      <c r="F68" s="2" t="inlineStr">
        <is>
          <t>47830540157127</t>
        </is>
      </c>
      <c r="G68" s="2" t="inlineStr"/>
      <c r="H68" s="2" t="inlineStr">
        <is>
          <t>GALLERY</t>
        </is>
      </c>
      <c r="I68" s="2" t="inlineStr">
        <is>
          <t>DIRECT_ORIGINAL_IMAGE</t>
        </is>
      </c>
      <c r="J68" s="2" t="inlineStr">
        <is>
          <t>2026-09-07T17:43:56.502970+07:00</t>
        </is>
      </c>
      <c r="K68" s="2" t="inlineStr">
        <is>
          <t>Directly inspected gallery image 6 for brown and tan God Says I Am butterfly blanket with name Elizabeth.</t>
        </is>
      </c>
      <c r="L68" s="2" t="inlineStr">
        <is>
          <t>Size guide, feature image or bedroom detail for personalized God Says I Am butterfly blanket for Elizabeth.</t>
        </is>
      </c>
      <c r="M68" s="2" t="inlineStr">
        <is>
          <t>Custom Inspirational Scripture Butterflies Blanket, Machine Washable</t>
        </is>
      </c>
      <c r="N68" s="2" t="inlineStr">
        <is>
          <t>SET</t>
        </is>
      </c>
      <c r="O68" s="2" t="inlineStr">
        <is>
          <t>Size guide or feature image for Personalized God Says I Am Butterfly Blanket</t>
        </is>
      </c>
      <c r="P68" s="2" t="inlineStr">
        <is>
          <t>FULL</t>
        </is>
      </c>
      <c r="Q68" s="2" t="inlineStr">
        <is>
          <t>FULL</t>
        </is>
      </c>
      <c r="R68" s="2" t="inlineStr">
        <is>
          <t>FULL</t>
        </is>
      </c>
      <c r="S68" s="2" t="inlineStr">
        <is>
          <t>FULL</t>
        </is>
      </c>
      <c r="T68" s="5">
        <f>IF(P68="FULL",40,IF(P68="PARTIAL",40/2,0))+IF(Q68="FULL",30,IF(Q68="PARTIAL",30/2,0))+IF(R68="FULL",20,IF(R68="PARTIAL",20/2,0))+IF(S68="FULL",10,IF(S68="PARTIAL",10/2,0))</f>
        <v/>
      </c>
      <c r="U68" s="5">
        <f>IF(P68="NOT_CHECKED",0,40)+IF(Q68="NOT_CHECKED",0,30)+IF(R68="NOT_CHECKED",0,20)+IF(S68="NOT_CHECKED",0,10)</f>
        <v/>
      </c>
      <c r="V68" s="5">
        <f>IF(U68=100,T68,"")</f>
        <v/>
      </c>
      <c r="W68" s="5">
        <f>T68</f>
        <v/>
      </c>
      <c r="X68" s="5">
        <f>T68+(100-U68)</f>
        <v/>
      </c>
      <c r="Y68" s="2" t="inlineStr">
        <is>
          <t>[]</t>
        </is>
      </c>
      <c r="Z68" s="2" t="inlineStr">
        <is>
          <t>["seo_runs\\jeminise.com\\20260906_234129\\evidence\\images\\80_custom-inspirational-scripture-butterflies-blanket-machine-washable\\image_06_47830540157127.jpg; seo_runs\\jeminise.com\\20260906_234129\\evidence\\contact_sheets\\80_custom-inspirational-scripture-butterflies-blanket-machine-washable.jpg", "https://jeminise.com/products/custom-inspirational-scripture-butterflies-blanket-machine-washable", "https://cdn.shopify.com/s/files/1/0792/5098/1063/files/64e525dfae4ea5f287649a30dc9c89851009da3bf55237c532910646610066e4.jpg?v=1786596523"]</t>
        </is>
      </c>
    </row>
    <row r="69" ht="66" customHeight="1">
      <c r="A69" s="3" t="inlineStr">
        <is>
          <t>jeminise.com+custom-inspirational-scripture-butterflies-blanket-machine-washable</t>
        </is>
      </c>
      <c r="B69" s="3" t="inlineStr">
        <is>
          <t>qaimg_b99ab4722a3fa0cf</t>
        </is>
      </c>
      <c r="C69" s="4" t="inlineStr">
        <is>
          <t>https://cdn.shopify.com/s/files/1/0792/5098/1063/files/f64fb2cf3c2ebbf14c492d4417a795731e9399610b9e9d01249dbc39bd21df20.jpg?v=1786596522</t>
        </is>
      </c>
      <c r="D69" s="4" t="inlineStr">
        <is>
          <t>https://cdn.shopify.com/s/files/1/0792/5098/1063/files/f64fb2cf3c2ebbf14c492d4417a795731e9399610b9e9d01249dbc39bd21df20.jpg?v=1786596522</t>
        </is>
      </c>
      <c r="E69" s="3" t="inlineStr">
        <is>
          <t>38793414377671</t>
        </is>
      </c>
      <c r="F69" s="3" t="inlineStr">
        <is>
          <t>47830540189895</t>
        </is>
      </c>
      <c r="G69" s="3" t="inlineStr"/>
      <c r="H69" s="3" t="inlineStr">
        <is>
          <t>GALLERY</t>
        </is>
      </c>
      <c r="I69" s="3" t="inlineStr">
        <is>
          <t>DIRECT_ORIGINAL_IMAGE</t>
        </is>
      </c>
      <c r="J69" s="3" t="inlineStr">
        <is>
          <t>2026-09-07T17:43:56.502970+07:00</t>
        </is>
      </c>
      <c r="K69" s="3" t="inlineStr">
        <is>
          <t>Directly inspected gallery image 7 for brown and tan God Says I Am butterfly blanket with name Elizabeth.</t>
        </is>
      </c>
      <c r="L69" s="3" t="inlineStr">
        <is>
          <t>Additional lifestyle, feature or product detail image showing personalized God Says I Am butterfly blanket for Elizabeth.</t>
        </is>
      </c>
      <c r="M69" s="3" t="inlineStr">
        <is>
          <t>Custom Inspirational Scripture Butterflies Blanket, Machine Washable</t>
        </is>
      </c>
      <c r="N69" s="3" t="inlineStr">
        <is>
          <t>SET</t>
        </is>
      </c>
      <c r="O69" s="3" t="inlineStr">
        <is>
          <t>Additional product mockup of Personalized God Says I Am Butterfly Blanket</t>
        </is>
      </c>
      <c r="P69" s="3" t="inlineStr">
        <is>
          <t>FULL</t>
        </is>
      </c>
      <c r="Q69" s="3" t="inlineStr">
        <is>
          <t>FULL</t>
        </is>
      </c>
      <c r="R69" s="3" t="inlineStr">
        <is>
          <t>FULL</t>
        </is>
      </c>
      <c r="S69" s="3" t="inlineStr">
        <is>
          <t>FULL</t>
        </is>
      </c>
      <c r="T69" s="7">
        <f>IF(P69="FULL",40,IF(P69="PARTIAL",40/2,0))+IF(Q69="FULL",30,IF(Q69="PARTIAL",30/2,0))+IF(R69="FULL",20,IF(R69="PARTIAL",20/2,0))+IF(S69="FULL",10,IF(S69="PARTIAL",10/2,0))</f>
        <v/>
      </c>
      <c r="U69" s="7">
        <f>IF(P69="NOT_CHECKED",0,40)+IF(Q69="NOT_CHECKED",0,30)+IF(R69="NOT_CHECKED",0,20)+IF(S69="NOT_CHECKED",0,10)</f>
        <v/>
      </c>
      <c r="V69" s="7">
        <f>IF(U69=100,T69,"")</f>
        <v/>
      </c>
      <c r="W69" s="7">
        <f>T69</f>
        <v/>
      </c>
      <c r="X69" s="7">
        <f>T69+(100-U69)</f>
        <v/>
      </c>
      <c r="Y69" s="3" t="inlineStr">
        <is>
          <t>[]</t>
        </is>
      </c>
      <c r="Z69" s="3" t="inlineStr">
        <is>
          <t>["seo_runs\\jeminise.com\\20260906_234129\\evidence\\images\\80_custom-inspirational-scripture-butterflies-blanket-machine-washable\\image_07_47830540189895.jpg; seo_runs\\jeminise.com\\20260906_234129\\evidence\\contact_sheets\\80_custom-inspirational-scripture-butterflies-blanket-machine-washable.jpg", "https://jeminise.com/products/custom-inspirational-scripture-butterflies-blanket-machine-washable", "https://cdn.shopify.com/s/files/1/0792/5098/1063/files/f64fb2cf3c2ebbf14c492d4417a795731e9399610b9e9d01249dbc39bd21df20.jpg?v=1786596522"]</t>
        </is>
      </c>
    </row>
    <row r="70" ht="66" customHeight="1">
      <c r="A70" s="2" t="inlineStr">
        <is>
          <t>jeminise.com+custom-inspirational-scripture-butterflies-blanket-machine-washable</t>
        </is>
      </c>
      <c r="B70" s="2" t="inlineStr">
        <is>
          <t>qaimg_bcd3994182de42c9</t>
        </is>
      </c>
      <c r="C70" s="4" t="inlineStr">
        <is>
          <t>https://cdn.shopify.com/s/files/1/0792/5098/1063/files/74a272eaaad0da49c193041e6c07b8b7a72bb2e73361d568c3f2fcaeb910c281.jpg?v=1786596522</t>
        </is>
      </c>
      <c r="D70" s="4" t="inlineStr">
        <is>
          <t>https://cdn.shopify.com/s/files/1/0792/5098/1063/files/74a272eaaad0da49c193041e6c07b8b7a72bb2e73361d568c3f2fcaeb910c281.jpg?v=1786596522</t>
        </is>
      </c>
      <c r="E70" s="2" t="inlineStr">
        <is>
          <t>38793414410439</t>
        </is>
      </c>
      <c r="F70" s="2" t="inlineStr">
        <is>
          <t>47830540222663</t>
        </is>
      </c>
      <c r="G70" s="2" t="inlineStr"/>
      <c r="H70" s="2" t="inlineStr">
        <is>
          <t>GALLERY</t>
        </is>
      </c>
      <c r="I70" s="2" t="inlineStr">
        <is>
          <t>DIRECT_ORIGINAL_IMAGE</t>
        </is>
      </c>
      <c r="J70" s="2" t="inlineStr">
        <is>
          <t>2026-09-07T17:43:56.502970+07:00</t>
        </is>
      </c>
      <c r="K70" s="2" t="inlineStr">
        <is>
          <t>Directly inspected gallery image 8 for brown and tan God Says I Am butterfly blanket with name Elizabeth.</t>
        </is>
      </c>
      <c r="L70" s="2" t="inlineStr">
        <is>
          <t>Additional lifestyle, feature or product detail image showing personalized God Says I Am butterfly blanket for Elizabeth.</t>
        </is>
      </c>
      <c r="M70" s="2" t="inlineStr">
        <is>
          <t>Custom Inspirational Scripture Butterflies Blanket, Machine Washable</t>
        </is>
      </c>
      <c r="N70" s="2" t="inlineStr">
        <is>
          <t>SET</t>
        </is>
      </c>
      <c r="O70" s="2" t="inlineStr">
        <is>
          <t>Lifestyle use image for Personalized God Says I Am Butterfly Blanket</t>
        </is>
      </c>
      <c r="P70" s="2" t="inlineStr">
        <is>
          <t>FULL</t>
        </is>
      </c>
      <c r="Q70" s="2" t="inlineStr">
        <is>
          <t>FULL</t>
        </is>
      </c>
      <c r="R70" s="2" t="inlineStr">
        <is>
          <t>FULL</t>
        </is>
      </c>
      <c r="S70" s="2" t="inlineStr">
        <is>
          <t>FULL</t>
        </is>
      </c>
      <c r="T70" s="5">
        <f>IF(P70="FULL",40,IF(P70="PARTIAL",40/2,0))+IF(Q70="FULL",30,IF(Q70="PARTIAL",30/2,0))+IF(R70="FULL",20,IF(R70="PARTIAL",20/2,0))+IF(S70="FULL",10,IF(S70="PARTIAL",10/2,0))</f>
        <v/>
      </c>
      <c r="U70" s="5">
        <f>IF(P70="NOT_CHECKED",0,40)+IF(Q70="NOT_CHECKED",0,30)+IF(R70="NOT_CHECKED",0,20)+IF(S70="NOT_CHECKED",0,10)</f>
        <v/>
      </c>
      <c r="V70" s="5">
        <f>IF(U70=100,T70,"")</f>
        <v/>
      </c>
      <c r="W70" s="5">
        <f>T70</f>
        <v/>
      </c>
      <c r="X70" s="5">
        <f>T70+(100-U70)</f>
        <v/>
      </c>
      <c r="Y70" s="2" t="inlineStr">
        <is>
          <t>[]</t>
        </is>
      </c>
      <c r="Z70" s="2" t="inlineStr">
        <is>
          <t>["seo_runs\\jeminise.com\\20260906_234129\\evidence\\images\\80_custom-inspirational-scripture-butterflies-blanket-machine-washable\\image_08_47830540222663.jpg; seo_runs\\jeminise.com\\20260906_234129\\evidence\\contact_sheets\\80_custom-inspirational-scripture-butterflies-blanket-machine-washable.jpg", "https://jeminise.com/products/custom-inspirational-scripture-butterflies-blanket-machine-washable", "https://cdn.shopify.com/s/files/1/0792/5098/1063/files/74a272eaaad0da49c193041e6c07b8b7a72bb2e73361d568c3f2fcaeb910c281.jpg?v=1786596522"]</t>
        </is>
      </c>
    </row>
  </sheetData>
  <autoFilter ref="A1:Z70"/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C4" r:id="rId5"/>
    <hyperlink xmlns:r="http://schemas.openxmlformats.org/officeDocument/2006/relationships" ref="D4" r:id="rId6"/>
    <hyperlink xmlns:r="http://schemas.openxmlformats.org/officeDocument/2006/relationships" ref="C5" r:id="rId7"/>
    <hyperlink xmlns:r="http://schemas.openxmlformats.org/officeDocument/2006/relationships" ref="D5" r:id="rId8"/>
    <hyperlink xmlns:r="http://schemas.openxmlformats.org/officeDocument/2006/relationships" ref="C6" r:id="rId9"/>
    <hyperlink xmlns:r="http://schemas.openxmlformats.org/officeDocument/2006/relationships" ref="D6" r:id="rId10"/>
    <hyperlink xmlns:r="http://schemas.openxmlformats.org/officeDocument/2006/relationships" ref="C7" r:id="rId11"/>
    <hyperlink xmlns:r="http://schemas.openxmlformats.org/officeDocument/2006/relationships" ref="D7" r:id="rId12"/>
    <hyperlink xmlns:r="http://schemas.openxmlformats.org/officeDocument/2006/relationships" ref="C8" r:id="rId13"/>
    <hyperlink xmlns:r="http://schemas.openxmlformats.org/officeDocument/2006/relationships" ref="D8" r:id="rId14"/>
    <hyperlink xmlns:r="http://schemas.openxmlformats.org/officeDocument/2006/relationships" ref="C9" r:id="rId15"/>
    <hyperlink xmlns:r="http://schemas.openxmlformats.org/officeDocument/2006/relationships" ref="D9" r:id="rId16"/>
    <hyperlink xmlns:r="http://schemas.openxmlformats.org/officeDocument/2006/relationships" ref="C10" r:id="rId17"/>
    <hyperlink xmlns:r="http://schemas.openxmlformats.org/officeDocument/2006/relationships" ref="D10" r:id="rId18"/>
    <hyperlink xmlns:r="http://schemas.openxmlformats.org/officeDocument/2006/relationships" ref="C11" r:id="rId19"/>
    <hyperlink xmlns:r="http://schemas.openxmlformats.org/officeDocument/2006/relationships" ref="D11" r:id="rId20"/>
    <hyperlink xmlns:r="http://schemas.openxmlformats.org/officeDocument/2006/relationships" ref="C12" r:id="rId21"/>
    <hyperlink xmlns:r="http://schemas.openxmlformats.org/officeDocument/2006/relationships" ref="D12" r:id="rId22"/>
    <hyperlink xmlns:r="http://schemas.openxmlformats.org/officeDocument/2006/relationships" ref="C13" r:id="rId23"/>
    <hyperlink xmlns:r="http://schemas.openxmlformats.org/officeDocument/2006/relationships" ref="D13" r:id="rId24"/>
    <hyperlink xmlns:r="http://schemas.openxmlformats.org/officeDocument/2006/relationships" ref="C14" r:id="rId25"/>
    <hyperlink xmlns:r="http://schemas.openxmlformats.org/officeDocument/2006/relationships" ref="D14" r:id="rId26"/>
    <hyperlink xmlns:r="http://schemas.openxmlformats.org/officeDocument/2006/relationships" ref="C15" r:id="rId27"/>
    <hyperlink xmlns:r="http://schemas.openxmlformats.org/officeDocument/2006/relationships" ref="D15" r:id="rId28"/>
    <hyperlink xmlns:r="http://schemas.openxmlformats.org/officeDocument/2006/relationships" ref="C16" r:id="rId29"/>
    <hyperlink xmlns:r="http://schemas.openxmlformats.org/officeDocument/2006/relationships" ref="D16" r:id="rId30"/>
    <hyperlink xmlns:r="http://schemas.openxmlformats.org/officeDocument/2006/relationships" ref="C17" r:id="rId31"/>
    <hyperlink xmlns:r="http://schemas.openxmlformats.org/officeDocument/2006/relationships" ref="D17" r:id="rId32"/>
    <hyperlink xmlns:r="http://schemas.openxmlformats.org/officeDocument/2006/relationships" ref="C18" r:id="rId33"/>
    <hyperlink xmlns:r="http://schemas.openxmlformats.org/officeDocument/2006/relationships" ref="D18" r:id="rId34"/>
    <hyperlink xmlns:r="http://schemas.openxmlformats.org/officeDocument/2006/relationships" ref="C19" r:id="rId35"/>
    <hyperlink xmlns:r="http://schemas.openxmlformats.org/officeDocument/2006/relationships" ref="D19" r:id="rId36"/>
    <hyperlink xmlns:r="http://schemas.openxmlformats.org/officeDocument/2006/relationships" ref="C20" r:id="rId37"/>
    <hyperlink xmlns:r="http://schemas.openxmlformats.org/officeDocument/2006/relationships" ref="D20" r:id="rId38"/>
    <hyperlink xmlns:r="http://schemas.openxmlformats.org/officeDocument/2006/relationships" ref="C21" r:id="rId39"/>
    <hyperlink xmlns:r="http://schemas.openxmlformats.org/officeDocument/2006/relationships" ref="D21" r:id="rId40"/>
    <hyperlink xmlns:r="http://schemas.openxmlformats.org/officeDocument/2006/relationships" ref="C22" r:id="rId41"/>
    <hyperlink xmlns:r="http://schemas.openxmlformats.org/officeDocument/2006/relationships" ref="D22" r:id="rId42"/>
    <hyperlink xmlns:r="http://schemas.openxmlformats.org/officeDocument/2006/relationships" ref="C23" r:id="rId43"/>
    <hyperlink xmlns:r="http://schemas.openxmlformats.org/officeDocument/2006/relationships" ref="D23" r:id="rId44"/>
    <hyperlink xmlns:r="http://schemas.openxmlformats.org/officeDocument/2006/relationships" ref="C24" r:id="rId45"/>
    <hyperlink xmlns:r="http://schemas.openxmlformats.org/officeDocument/2006/relationships" ref="D24" r:id="rId46"/>
    <hyperlink xmlns:r="http://schemas.openxmlformats.org/officeDocument/2006/relationships" ref="C25" r:id="rId47"/>
    <hyperlink xmlns:r="http://schemas.openxmlformats.org/officeDocument/2006/relationships" ref="D25" r:id="rId48"/>
    <hyperlink xmlns:r="http://schemas.openxmlformats.org/officeDocument/2006/relationships" ref="C26" r:id="rId49"/>
    <hyperlink xmlns:r="http://schemas.openxmlformats.org/officeDocument/2006/relationships" ref="D26" r:id="rId50"/>
    <hyperlink xmlns:r="http://schemas.openxmlformats.org/officeDocument/2006/relationships" ref="C27" r:id="rId51"/>
    <hyperlink xmlns:r="http://schemas.openxmlformats.org/officeDocument/2006/relationships" ref="D27" r:id="rId52"/>
    <hyperlink xmlns:r="http://schemas.openxmlformats.org/officeDocument/2006/relationships" ref="C28" r:id="rId53"/>
    <hyperlink xmlns:r="http://schemas.openxmlformats.org/officeDocument/2006/relationships" ref="D28" r:id="rId54"/>
    <hyperlink xmlns:r="http://schemas.openxmlformats.org/officeDocument/2006/relationships" ref="C29" r:id="rId55"/>
    <hyperlink xmlns:r="http://schemas.openxmlformats.org/officeDocument/2006/relationships" ref="D29" r:id="rId56"/>
    <hyperlink xmlns:r="http://schemas.openxmlformats.org/officeDocument/2006/relationships" ref="C30" r:id="rId57"/>
    <hyperlink xmlns:r="http://schemas.openxmlformats.org/officeDocument/2006/relationships" ref="D30" r:id="rId58"/>
    <hyperlink xmlns:r="http://schemas.openxmlformats.org/officeDocument/2006/relationships" ref="C31" r:id="rId59"/>
    <hyperlink xmlns:r="http://schemas.openxmlformats.org/officeDocument/2006/relationships" ref="D31" r:id="rId60"/>
    <hyperlink xmlns:r="http://schemas.openxmlformats.org/officeDocument/2006/relationships" ref="C32" r:id="rId61"/>
    <hyperlink xmlns:r="http://schemas.openxmlformats.org/officeDocument/2006/relationships" ref="D32" r:id="rId62"/>
    <hyperlink xmlns:r="http://schemas.openxmlformats.org/officeDocument/2006/relationships" ref="C33" r:id="rId63"/>
    <hyperlink xmlns:r="http://schemas.openxmlformats.org/officeDocument/2006/relationships" ref="D33" r:id="rId64"/>
    <hyperlink xmlns:r="http://schemas.openxmlformats.org/officeDocument/2006/relationships" ref="C34" r:id="rId65"/>
    <hyperlink xmlns:r="http://schemas.openxmlformats.org/officeDocument/2006/relationships" ref="D34" r:id="rId66"/>
    <hyperlink xmlns:r="http://schemas.openxmlformats.org/officeDocument/2006/relationships" ref="C35" r:id="rId67"/>
    <hyperlink xmlns:r="http://schemas.openxmlformats.org/officeDocument/2006/relationships" ref="D35" r:id="rId68"/>
    <hyperlink xmlns:r="http://schemas.openxmlformats.org/officeDocument/2006/relationships" ref="C36" r:id="rId69"/>
    <hyperlink xmlns:r="http://schemas.openxmlformats.org/officeDocument/2006/relationships" ref="D36" r:id="rId70"/>
    <hyperlink xmlns:r="http://schemas.openxmlformats.org/officeDocument/2006/relationships" ref="C37" r:id="rId71"/>
    <hyperlink xmlns:r="http://schemas.openxmlformats.org/officeDocument/2006/relationships" ref="D37" r:id="rId72"/>
    <hyperlink xmlns:r="http://schemas.openxmlformats.org/officeDocument/2006/relationships" ref="C38" r:id="rId73"/>
    <hyperlink xmlns:r="http://schemas.openxmlformats.org/officeDocument/2006/relationships" ref="D38" r:id="rId74"/>
    <hyperlink xmlns:r="http://schemas.openxmlformats.org/officeDocument/2006/relationships" ref="C39" r:id="rId75"/>
    <hyperlink xmlns:r="http://schemas.openxmlformats.org/officeDocument/2006/relationships" ref="D39" r:id="rId76"/>
    <hyperlink xmlns:r="http://schemas.openxmlformats.org/officeDocument/2006/relationships" ref="C40" r:id="rId77"/>
    <hyperlink xmlns:r="http://schemas.openxmlformats.org/officeDocument/2006/relationships" ref="D40" r:id="rId78"/>
    <hyperlink xmlns:r="http://schemas.openxmlformats.org/officeDocument/2006/relationships" ref="C41" r:id="rId79"/>
    <hyperlink xmlns:r="http://schemas.openxmlformats.org/officeDocument/2006/relationships" ref="D41" r:id="rId80"/>
    <hyperlink xmlns:r="http://schemas.openxmlformats.org/officeDocument/2006/relationships" ref="C42" r:id="rId81"/>
    <hyperlink xmlns:r="http://schemas.openxmlformats.org/officeDocument/2006/relationships" ref="D42" r:id="rId82"/>
    <hyperlink xmlns:r="http://schemas.openxmlformats.org/officeDocument/2006/relationships" ref="C43" r:id="rId83"/>
    <hyperlink xmlns:r="http://schemas.openxmlformats.org/officeDocument/2006/relationships" ref="D43" r:id="rId84"/>
    <hyperlink xmlns:r="http://schemas.openxmlformats.org/officeDocument/2006/relationships" ref="C44" r:id="rId85"/>
    <hyperlink xmlns:r="http://schemas.openxmlformats.org/officeDocument/2006/relationships" ref="D44" r:id="rId86"/>
    <hyperlink xmlns:r="http://schemas.openxmlformats.org/officeDocument/2006/relationships" ref="C45" r:id="rId87"/>
    <hyperlink xmlns:r="http://schemas.openxmlformats.org/officeDocument/2006/relationships" ref="D45" r:id="rId88"/>
    <hyperlink xmlns:r="http://schemas.openxmlformats.org/officeDocument/2006/relationships" ref="C46" r:id="rId89"/>
    <hyperlink xmlns:r="http://schemas.openxmlformats.org/officeDocument/2006/relationships" ref="D46" r:id="rId90"/>
    <hyperlink xmlns:r="http://schemas.openxmlformats.org/officeDocument/2006/relationships" ref="C47" r:id="rId91"/>
    <hyperlink xmlns:r="http://schemas.openxmlformats.org/officeDocument/2006/relationships" ref="D47" r:id="rId92"/>
    <hyperlink xmlns:r="http://schemas.openxmlformats.org/officeDocument/2006/relationships" ref="C48" r:id="rId93"/>
    <hyperlink xmlns:r="http://schemas.openxmlformats.org/officeDocument/2006/relationships" ref="D48" r:id="rId94"/>
    <hyperlink xmlns:r="http://schemas.openxmlformats.org/officeDocument/2006/relationships" ref="C49" r:id="rId95"/>
    <hyperlink xmlns:r="http://schemas.openxmlformats.org/officeDocument/2006/relationships" ref="D49" r:id="rId96"/>
    <hyperlink xmlns:r="http://schemas.openxmlformats.org/officeDocument/2006/relationships" ref="C50" r:id="rId97"/>
    <hyperlink xmlns:r="http://schemas.openxmlformats.org/officeDocument/2006/relationships" ref="D50" r:id="rId98"/>
    <hyperlink xmlns:r="http://schemas.openxmlformats.org/officeDocument/2006/relationships" ref="C51" r:id="rId99"/>
    <hyperlink xmlns:r="http://schemas.openxmlformats.org/officeDocument/2006/relationships" ref="D51" r:id="rId100"/>
    <hyperlink xmlns:r="http://schemas.openxmlformats.org/officeDocument/2006/relationships" ref="C52" r:id="rId101"/>
    <hyperlink xmlns:r="http://schemas.openxmlformats.org/officeDocument/2006/relationships" ref="D52" r:id="rId102"/>
    <hyperlink xmlns:r="http://schemas.openxmlformats.org/officeDocument/2006/relationships" ref="C53" r:id="rId103"/>
    <hyperlink xmlns:r="http://schemas.openxmlformats.org/officeDocument/2006/relationships" ref="D53" r:id="rId104"/>
    <hyperlink xmlns:r="http://schemas.openxmlformats.org/officeDocument/2006/relationships" ref="C54" r:id="rId105"/>
    <hyperlink xmlns:r="http://schemas.openxmlformats.org/officeDocument/2006/relationships" ref="D54" r:id="rId106"/>
    <hyperlink xmlns:r="http://schemas.openxmlformats.org/officeDocument/2006/relationships" ref="C55" r:id="rId107"/>
    <hyperlink xmlns:r="http://schemas.openxmlformats.org/officeDocument/2006/relationships" ref="D55" r:id="rId108"/>
    <hyperlink xmlns:r="http://schemas.openxmlformats.org/officeDocument/2006/relationships" ref="C56" r:id="rId109"/>
    <hyperlink xmlns:r="http://schemas.openxmlformats.org/officeDocument/2006/relationships" ref="D56" r:id="rId110"/>
    <hyperlink xmlns:r="http://schemas.openxmlformats.org/officeDocument/2006/relationships" ref="C57" r:id="rId111"/>
    <hyperlink xmlns:r="http://schemas.openxmlformats.org/officeDocument/2006/relationships" ref="D57" r:id="rId112"/>
    <hyperlink xmlns:r="http://schemas.openxmlformats.org/officeDocument/2006/relationships" ref="C58" r:id="rId113"/>
    <hyperlink xmlns:r="http://schemas.openxmlformats.org/officeDocument/2006/relationships" ref="D58" r:id="rId114"/>
    <hyperlink xmlns:r="http://schemas.openxmlformats.org/officeDocument/2006/relationships" ref="C59" r:id="rId115"/>
    <hyperlink xmlns:r="http://schemas.openxmlformats.org/officeDocument/2006/relationships" ref="D59" r:id="rId116"/>
    <hyperlink xmlns:r="http://schemas.openxmlformats.org/officeDocument/2006/relationships" ref="C60" r:id="rId117"/>
    <hyperlink xmlns:r="http://schemas.openxmlformats.org/officeDocument/2006/relationships" ref="D60" r:id="rId118"/>
    <hyperlink xmlns:r="http://schemas.openxmlformats.org/officeDocument/2006/relationships" ref="C61" r:id="rId119"/>
    <hyperlink xmlns:r="http://schemas.openxmlformats.org/officeDocument/2006/relationships" ref="D61" r:id="rId120"/>
    <hyperlink xmlns:r="http://schemas.openxmlformats.org/officeDocument/2006/relationships" ref="C62" r:id="rId121"/>
    <hyperlink xmlns:r="http://schemas.openxmlformats.org/officeDocument/2006/relationships" ref="D62" r:id="rId122"/>
    <hyperlink xmlns:r="http://schemas.openxmlformats.org/officeDocument/2006/relationships" ref="C63" r:id="rId123"/>
    <hyperlink xmlns:r="http://schemas.openxmlformats.org/officeDocument/2006/relationships" ref="D63" r:id="rId124"/>
    <hyperlink xmlns:r="http://schemas.openxmlformats.org/officeDocument/2006/relationships" ref="C64" r:id="rId125"/>
    <hyperlink xmlns:r="http://schemas.openxmlformats.org/officeDocument/2006/relationships" ref="D64" r:id="rId126"/>
    <hyperlink xmlns:r="http://schemas.openxmlformats.org/officeDocument/2006/relationships" ref="C65" r:id="rId127"/>
    <hyperlink xmlns:r="http://schemas.openxmlformats.org/officeDocument/2006/relationships" ref="D65" r:id="rId128"/>
    <hyperlink xmlns:r="http://schemas.openxmlformats.org/officeDocument/2006/relationships" ref="C66" r:id="rId129"/>
    <hyperlink xmlns:r="http://schemas.openxmlformats.org/officeDocument/2006/relationships" ref="D66" r:id="rId130"/>
    <hyperlink xmlns:r="http://schemas.openxmlformats.org/officeDocument/2006/relationships" ref="C67" r:id="rId131"/>
    <hyperlink xmlns:r="http://schemas.openxmlformats.org/officeDocument/2006/relationships" ref="D67" r:id="rId132"/>
    <hyperlink xmlns:r="http://schemas.openxmlformats.org/officeDocument/2006/relationships" ref="C68" r:id="rId133"/>
    <hyperlink xmlns:r="http://schemas.openxmlformats.org/officeDocument/2006/relationships" ref="D68" r:id="rId134"/>
    <hyperlink xmlns:r="http://schemas.openxmlformats.org/officeDocument/2006/relationships" ref="C69" r:id="rId135"/>
    <hyperlink xmlns:r="http://schemas.openxmlformats.org/officeDocument/2006/relationships" ref="D69" r:id="rId136"/>
    <hyperlink xmlns:r="http://schemas.openxmlformats.org/officeDocument/2006/relationships" ref="C70" r:id="rId137"/>
    <hyperlink xmlns:r="http://schemas.openxmlformats.org/officeDocument/2006/relationships" ref="D70" r:id="rId138"/>
  </hyperlinks>
  <printOptions horizontalCentered="0"/>
  <pageMargins left="0.25" right="0.25" top="0.5" bottom="0.5" header="0.5" footer="0.5"/>
  <pageSetup orientation="landscape" fitToHeight="0" fitToWidth="3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20" customWidth="1" min="3" max="3"/>
    <col width="20" customWidth="1" min="4" max="4"/>
    <col width="24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</cols>
  <sheetData>
    <row r="1" ht="32" customHeight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 ht="84" customHeight="1">
      <c r="A2" s="2" t="inlineStr">
        <is>
          <t>ISS-071-IMG-04</t>
        </is>
      </c>
      <c r="B2" s="2" t="inlineStr">
        <is>
          <t>jeminise.com+custom-football-player-running-with-ball-comforter-c9c2aecff2-c9c2aecff2</t>
        </is>
      </c>
      <c r="C2" s="2" t="inlineStr">
        <is>
          <t>qaimg_a1d0709103cad07c</t>
        </is>
      </c>
      <c r="D2" s="2" t="inlineStr">
        <is>
          <t>MINOR</t>
        </is>
      </c>
      <c r="E2" s="2" t="inlineStr">
        <is>
          <t>image_alt_effective</t>
        </is>
      </c>
      <c r="F2" s="2" t="inlineStr">
        <is>
          <t>Feature or size information for Personalized Running Football Player Comforter</t>
        </is>
      </c>
      <c r="G2" s="2" t="inlineStr">
        <is>
          <t>Directly inspected gallery image 4 for teal and black running football player with orange flame trails, name Brian and number 3.</t>
        </is>
      </c>
      <c r="H2" s="2" t="inlineStr">
        <is>
          <t>Alt gọi đây là close-up nhưng không nói rõ đây là bảng tính năng soft/lightweight/durable/breathable.</t>
        </is>
      </c>
      <c r="I2" s="2" t="inlineStr">
        <is>
          <t>Feature panel for Personalized Running Football Player Comforter: soft, lightweight, durable and breathable.</t>
        </is>
      </c>
      <c r="J2" s="2" t="inlineStr">
        <is>
          <t>seo_runs\jeminise.com\20260906_234129\evidence\images\71_custom-football-player-running-with-ball-comforter-c9c2aecff2-c9c2aecff2\image_04_47540286947527.jpg; seo_runs\jeminise.com\20260906_234129\evidence\contact_sheets\71_custom-football-player-running-with-ball-comforter-c9c2aecff2-c9c2aecff2.jpg; https://jeminise.com/products/custom-football-player-running-with-ball-comforter-c9c2aecff2-c9c2aecff2; https://cdn.shopify.com/s/files/1/0792/5098/1063/files/60438aaa09409be8237de63d32769edc65c732c9d2664029795c857c7de0fe39.jpg?v=1785101684</t>
        </is>
      </c>
      <c r="K2" s="2" t="inlineStr">
        <is>
          <t>Confirm the revised alt describes the feature panel without keyword stuffing.</t>
        </is>
      </c>
    </row>
    <row r="3" ht="84" customHeight="1">
      <c r="A3" s="3" t="inlineStr">
        <is>
          <t>ISS-072-IMG-04</t>
        </is>
      </c>
      <c r="B3" s="3" t="inlineStr">
        <is>
          <t>jeminise.com+custom-football-player-running-with-ball-comforter-9fe5294804-9fe5294804</t>
        </is>
      </c>
      <c r="C3" s="3" t="inlineStr">
        <is>
          <t>qaimg_ec4cd51c12d11f2f</t>
        </is>
      </c>
      <c r="D3" s="3" t="inlineStr">
        <is>
          <t>MINOR</t>
        </is>
      </c>
      <c r="E3" s="3" t="inlineStr">
        <is>
          <t>image_alt_effective</t>
        </is>
      </c>
      <c r="F3" s="3" t="inlineStr">
        <is>
          <t>Feature or size information for Custom Electric Football Player Comforter</t>
        </is>
      </c>
      <c r="G3" s="3" t="inlineStr">
        <is>
          <t>Directly inspected gallery image 4 for blue and red electric football player running with the ball, name Michael and number 10.</t>
        </is>
      </c>
      <c r="H3" s="3" t="inlineStr">
        <is>
          <t>Alt gọi đây là close-up nhưng không nói rõ đây là bảng tính năng soft/lightweight/durable/breathable.</t>
        </is>
      </c>
      <c r="I3" s="3" t="inlineStr">
        <is>
          <t>Feature panel for Custom Electric Football Player Comforter: soft, lightweight, durable and breathable.</t>
        </is>
      </c>
      <c r="J3" s="3" t="inlineStr">
        <is>
          <t>seo_runs\jeminise.com\20260906_234129\evidence\images\72_custom-football-player-running-with-ball-comforter-9fe5294804-9fe5294804\image_04_47540177174727.jpg; seo_runs\jeminise.com\20260906_234129\evidence\contact_sheets\72_custom-football-player-running-with-ball-comforter-9fe5294804-9fe5294804.jpg; https://jeminise.com/products/custom-football-player-running-with-ball-comforter-9fe5294804-9fe5294804; https://cdn.shopify.com/s/files/1/0792/5098/1063/files/db40229d565449c2d4dde0e5aa7dea684b3c871845f33940a7097340d533b582.jpg?v=1785100549</t>
        </is>
      </c>
      <c r="K3" s="3" t="inlineStr">
        <is>
          <t>Confirm the revised alt describes the feature panel without keyword stuffing.</t>
        </is>
      </c>
    </row>
    <row r="4" ht="84" customHeight="1">
      <c r="A4" s="2" t="inlineStr">
        <is>
          <t>ISS-073-IMG-04</t>
        </is>
      </c>
      <c r="B4" s="2" t="inlineStr">
        <is>
          <t>jeminise.com+custom-football-player-with-american-flag-background-comforter-44d8108598-44d8108598</t>
        </is>
      </c>
      <c r="C4" s="2" t="inlineStr">
        <is>
          <t>qaimg_a30fb6b854f4f05b</t>
        </is>
      </c>
      <c r="D4" s="2" t="inlineStr">
        <is>
          <t>MINOR</t>
        </is>
      </c>
      <c r="E4" s="2" t="inlineStr">
        <is>
          <t>image_alt_effective</t>
        </is>
      </c>
      <c r="F4" s="2" t="inlineStr">
        <is>
          <t>Feature or size information for Personalized American Flag Football Player Comforter</t>
        </is>
      </c>
      <c r="G4" s="2" t="inlineStr">
        <is>
          <t>Directly inspected gallery image 4 for football player from behind over a torn American flag and metal texture, name David and number 33.</t>
        </is>
      </c>
      <c r="H4" s="2" t="inlineStr">
        <is>
          <t>Alt gọi đây là close-up nhưng không nói rõ đây là bảng tính năng soft/lightweight/durable/breathable.</t>
        </is>
      </c>
      <c r="I4" s="2" t="inlineStr">
        <is>
          <t>Feature panel for Personalized American Flag Football Player Comforter: soft, lightweight, durable and breathable.</t>
        </is>
      </c>
      <c r="J4" s="2" t="inlineStr">
        <is>
          <t>seo_runs\jeminise.com\20260906_234129\evidence\images\73_custom-football-player-with-american-flag-background-comforter-44d8108598-44d8108598\image_04_47540189561031.jpg; seo_runs\jeminise.com\20260906_234129\evidence\contact_sheets\73_custom-football-player-with-american-flag-background-comforter-44d8108598-44d8108598.jpg; https://jeminise.com/products/custom-football-player-with-american-flag-background-comforter-44d8108598-44d8108598; https://cdn.shopify.com/s/files/1/0792/5098/1063/files/149c548bb487ce76f43cdead9cb37850430b41022dc560514adbfe436691fe89.jpg?v=1785100785</t>
        </is>
      </c>
      <c r="K4" s="2" t="inlineStr">
        <is>
          <t>Confirm the revised alt describes the feature panel without keyword stuffing.</t>
        </is>
      </c>
    </row>
    <row r="5" ht="84" customHeight="1">
      <c r="A5" s="3" t="inlineStr">
        <is>
          <t>ISS-074-IMG-04</t>
        </is>
      </c>
      <c r="B5" s="3" t="inlineStr">
        <is>
          <t>jeminise.com+custom-football-player-with-burning-ball-comforter-and-american-football-708344de4c-708344de4c</t>
        </is>
      </c>
      <c r="C5" s="3" t="inlineStr">
        <is>
          <t>qaimg_4cfad6b6294cad5a</t>
        </is>
      </c>
      <c r="D5" s="3" t="inlineStr">
        <is>
          <t>MINOR</t>
        </is>
      </c>
      <c r="E5" s="3" t="inlineStr">
        <is>
          <t>image_alt_effective</t>
        </is>
      </c>
      <c r="F5" s="3" t="inlineStr">
        <is>
          <t>Feature or size information for Personalized Burning Football Player Comforter</t>
        </is>
      </c>
      <c r="G5" s="3" t="inlineStr">
        <is>
          <t>Directly inspected gallery image 4 for black football player holding number 24 with burning football background and name Michael.</t>
        </is>
      </c>
      <c r="H5" s="3" t="inlineStr">
        <is>
          <t>Alt gọi đây là close-up nhưng không nói rõ đây là bảng tính năng soft/lightweight/durable/breathable.</t>
        </is>
      </c>
      <c r="I5" s="3" t="inlineStr">
        <is>
          <t>Feature panel for Personalized Burning Football Player Comforter: soft, lightweight, durable and breathable.</t>
        </is>
      </c>
      <c r="J5" s="3" t="inlineStr">
        <is>
          <t>seo_runs\jeminise.com\20260906_234129\evidence\images\74_custom-football-player-with-burning-ball-comforter-and-american-football-708344de4c-708344de4c\image_04_47540147847367.jpg; seo_runs\jeminise.com\20260906_234129\evidence\contact_sheets\74_custom-football-player-with-burning-ball-comforter-and-american-football-708344de4c-708344de4c.jpg; https://jeminise.com/products/custom-football-player-with-burning-ball-comforter-and-american-football-708344de4c-708344de4c; https://cdn.shopify.com/s/files/1/0792/5098/1063/files/16850aa741a5d267737cb2131b33dda45539071a48778438df0f5ebd220e57f0.jpg?v=1785100232</t>
        </is>
      </c>
      <c r="K5" s="3" t="inlineStr">
        <is>
          <t>Confirm the revised alt describes the feature panel without keyword stuffing.</t>
        </is>
      </c>
    </row>
    <row r="6" ht="84" customHeight="1">
      <c r="A6" s="2" t="inlineStr">
        <is>
          <t>ISS-075-IMG-04</t>
        </is>
      </c>
      <c r="B6" s="2" t="inlineStr">
        <is>
          <t>jeminise.com+custom-football-players-and-large-football-close-comforter-01d72ea6a0-01d72ea6a0</t>
        </is>
      </c>
      <c r="C6" s="2" t="inlineStr">
        <is>
          <t>qaimg_095d88e29dfa3fe7</t>
        </is>
      </c>
      <c r="D6" s="2" t="inlineStr">
        <is>
          <t>MINOR</t>
        </is>
      </c>
      <c r="E6" s="2" t="inlineStr">
        <is>
          <t>image_alt_effective</t>
        </is>
      </c>
      <c r="F6" s="2" t="inlineStr">
        <is>
          <t>Feature or size information for Personalized Football Player Collage Comforter</t>
        </is>
      </c>
      <c r="G6" s="2" t="inlineStr">
        <is>
          <t>Directly inspected gallery image 4 for black comforter with large football close-up, multiple player silhouettes and name David.</t>
        </is>
      </c>
      <c r="H6" s="2" t="inlineStr">
        <is>
          <t>Alt gọi đây là close-up nhưng không nói rõ đây là bảng tính năng soft/lightweight/durable/breathable.</t>
        </is>
      </c>
      <c r="I6" s="2" t="inlineStr">
        <is>
          <t>Feature panel for Personalized Football Player Collage Comforter: soft, lightweight, durable and breathable.</t>
        </is>
      </c>
      <c r="J6" s="2" t="inlineStr">
        <is>
          <t>seo_runs\jeminise.com\20260906_234129\evidence\images\75_custom-football-players-and-large-football-close-comforter-01d72ea6a0-01d72ea6a0\image_04_47540234780871.jpg; seo_runs\jeminise.com\20260906_234129\evidence\contact_sheets\75_custom-football-players-and-large-football-close-comforter-01d72ea6a0-01d72ea6a0.jpg; https://jeminise.com/products/custom-football-players-and-large-football-close-comforter-01d72ea6a0-01d72ea6a0; https://cdn.shopify.com/s/files/1/0792/5098/1063/files/58c340a4c7fe053916f16800187530e654ac14f931a47170b18971d21ebaf1ab.jpg?v=1785101218</t>
        </is>
      </c>
      <c r="K6" s="2" t="inlineStr">
        <is>
          <t>Confirm the revised alt describes the feature panel without keyword stuffing.</t>
        </is>
      </c>
    </row>
    <row r="7" ht="84" customHeight="1">
      <c r="A7" s="3" t="inlineStr">
        <is>
          <t>ISS-076-IMG-04</t>
        </is>
      </c>
      <c r="B7" s="3" t="inlineStr">
        <is>
          <t>jeminise.com+custom-football-texture-with-prominent-laces-vintage-comforter-9be594b786-9be594b786</t>
        </is>
      </c>
      <c r="C7" s="3" t="inlineStr">
        <is>
          <t>qaimg_16cc0c5d16778b90</t>
        </is>
      </c>
      <c r="D7" s="3" t="inlineStr">
        <is>
          <t>MINOR</t>
        </is>
      </c>
      <c r="E7" s="3" t="inlineStr">
        <is>
          <t>image_alt_effective</t>
        </is>
      </c>
      <c r="F7" s="3" t="inlineStr">
        <is>
          <t>Feature or size information for Personalized Football Laces Comforter</t>
        </is>
      </c>
      <c r="G7" s="3" t="inlineStr">
        <is>
          <t>Directly inspected gallery image 4 for vintage brown football leather texture with prominent white laces, name Michael and number 33.</t>
        </is>
      </c>
      <c r="H7" s="3" t="inlineStr">
        <is>
          <t>Alt gọi đây là close-up nhưng không nói rõ đây là bảng tính năng soft/lightweight/durable/breathable.</t>
        </is>
      </c>
      <c r="I7" s="3" t="inlineStr">
        <is>
          <t>Feature panel for Personalized Football Laces Comforter: soft, lightweight, durable and breathable.</t>
        </is>
      </c>
      <c r="J7" s="3" t="inlineStr">
        <is>
          <t>seo_runs\jeminise.com\20260906_234129\evidence\images\76_custom-football-texture-with-prominent-laces-vintage-comforter-9be594b786-9be594b786\image_04_47540320305351.jpg; seo_runs\jeminise.com\20260906_234129\evidence\contact_sheets\76_custom-football-texture-with-prominent-laces-vintage-comforter-9be594b786-9be594b786.jpg; https://jeminise.com/products/custom-football-texture-with-prominent-laces-vintage-comforter-9be594b786-9be594b786; https://cdn.shopify.com/s/files/1/0792/5098/1063/files/cfd8631dbba8b37733bb37a7a070ce958cbd2a04846a637899b41f22e85eceda.jpg?v=1785102237</t>
        </is>
      </c>
      <c r="K7" s="3" t="inlineStr">
        <is>
          <t>Confirm the revised alt describes the feature panel without keyword stuffing.</t>
        </is>
      </c>
    </row>
    <row r="8" ht="84" customHeight="1">
      <c r="A8" s="2" t="inlineStr">
        <is>
          <t>ISS-077-IMG-04</t>
        </is>
      </c>
      <c r="B8" s="2" t="inlineStr">
        <is>
          <t>jeminise.com+custom-glowing-soccer-ball-trails-comforter-set-machine-washable-a6</t>
        </is>
      </c>
      <c r="C8" s="2" t="inlineStr">
        <is>
          <t>qaimg_c918132d23885ce3</t>
        </is>
      </c>
      <c r="D8" s="2" t="inlineStr">
        <is>
          <t>MINOR</t>
        </is>
      </c>
      <c r="E8" s="2" t="inlineStr">
        <is>
          <t>image_alt_effective</t>
        </is>
      </c>
      <c r="F8" s="2" t="inlineStr">
        <is>
          <t>Feature or size information for Personalized Glowing Soccer Ball Comforter</t>
        </is>
      </c>
      <c r="G8" s="2" t="inlineStr">
        <is>
          <t>Directly inspected gallery image 4 for black and blue glowing soccer ball with sweeping light trails, name Jackson and number 10.</t>
        </is>
      </c>
      <c r="H8" s="2" t="inlineStr">
        <is>
          <t>Alt gọi đây là close-up nhưng không nói rõ đây là bảng tính năng soft/lightweight/durable/breathable.</t>
        </is>
      </c>
      <c r="I8" s="2" t="inlineStr">
        <is>
          <t>Feature panel for Personalized Glowing Soccer Ball Comforter: soft, lightweight, durable and breathable.</t>
        </is>
      </c>
      <c r="J8" s="2" t="inlineStr">
        <is>
          <t>seo_runs\jeminise.com\20260906_234129\evidence\images\77_custom-glowing-soccer-ball-trails-comforter-set-machine-washable-a6\image_04_47833437143239.jpg; seo_runs\jeminise.com\20260906_234129\evidence\contact_sheets\77_custom-glowing-soccer-ball-trails-comforter-set-machine-washable-a6.jpg; https://jeminise.com/products/custom-glowing-soccer-ball-trails-comforter-set-machine-washable-a6; https://cdn.shopify.com/s/files/1/0792/5098/1063/files/0b1d1e19cab6d757366a36700f895ecca060303e705a8aece2f5fa486b6770da_95997922-66a7-46d6-9ca4-1f9633c6e408.jpg?v=1786611029</t>
        </is>
      </c>
      <c r="K8" s="2" t="inlineStr">
        <is>
          <t>Confirm the revised alt describes the feature panel without keyword stuffing.</t>
        </is>
      </c>
    </row>
    <row r="9" ht="84" customHeight="1">
      <c r="A9" s="3" t="inlineStr">
        <is>
          <t>ISS-078-IMG-04</t>
        </is>
      </c>
      <c r="B9" s="3" t="inlineStr">
        <is>
          <t>jeminise.com+custom-inspirational-bible-verse-floral-blanket-d5</t>
        </is>
      </c>
      <c r="C9" s="3" t="inlineStr">
        <is>
          <t>qaimg_46d26bf6cbfb9b0f</t>
        </is>
      </c>
      <c r="D9" s="3" t="inlineStr">
        <is>
          <t>MINOR</t>
        </is>
      </c>
      <c r="E9" s="3" t="inlineStr">
        <is>
          <t>image_alt_effective</t>
        </is>
      </c>
      <c r="F9" s="3" t="inlineStr">
        <is>
          <t>Feature or size information for Personalized God Says You Are Floral Blanket</t>
        </is>
      </c>
      <c r="G9" s="3" t="inlineStr">
        <is>
          <t>Directly inspected gallery image 4 for soft floral God Says You Are blanket with butterflies and name Jessica.</t>
        </is>
      </c>
      <c r="H9" s="3" t="inlineStr">
        <is>
          <t>Alt gọi đây là close-up nhưng không nói rõ đây là bảng tính năng soft/lightweight/durable/breathable.</t>
        </is>
      </c>
      <c r="I9" s="3" t="inlineStr">
        <is>
          <t>Feature panel for Personalized God Says You Are Floral Blanket: soft, lightweight, durable and breathable.</t>
        </is>
      </c>
      <c r="J9" s="3" t="inlineStr">
        <is>
          <t>seo_runs\jeminise.com\20260906_234129\evidence\images\78_custom-inspirational-bible-verse-floral-blanket-d5\image_04_47830481797319.jpg; seo_runs\jeminise.com\20260906_234129\evidence\contact_sheets\78_custom-inspirational-bible-verse-floral-blanket-d5.jpg; https://jeminise.com/products/custom-inspirational-bible-verse-floral-blanket-d5; https://cdn.shopify.com/s/files/1/0792/5098/1063/files/aa0fb14729de0642d8b581503e1c38b21e77beae9c61492c06a15d3a0805eee2.jpg?v=1786596390</t>
        </is>
      </c>
      <c r="K9" s="3" t="inlineStr">
        <is>
          <t>Confirm the revised alt describes the feature panel without keyword stuffing.</t>
        </is>
      </c>
    </row>
    <row r="10" ht="84" customHeight="1">
      <c r="A10" s="2" t="inlineStr">
        <is>
          <t>ISS-079-IMG-04</t>
        </is>
      </c>
      <c r="B10" s="2" t="inlineStr">
        <is>
          <t>jeminise.com+custom-inspirational-floral-butterfly-bible-verse-blanket-d4</t>
        </is>
      </c>
      <c r="C10" s="2" t="inlineStr">
        <is>
          <t>qaimg_62453a189d46039f</t>
        </is>
      </c>
      <c r="D10" s="2" t="inlineStr">
        <is>
          <t>MINOR</t>
        </is>
      </c>
      <c r="E10" s="2" t="inlineStr">
        <is>
          <t>image_alt_effective</t>
        </is>
      </c>
      <c r="F10" s="2" t="inlineStr">
        <is>
          <t>Feature or size information for Personalized Floral Butterfly Bible Verse Blanket</t>
        </is>
      </c>
      <c r="G10" s="2" t="inlineStr">
        <is>
          <t>Directly inspected gallery image 4 for cream floral butterfly Bible verse blanket with name Haley.</t>
        </is>
      </c>
      <c r="H10" s="2" t="inlineStr">
        <is>
          <t>Alt gọi đây là close-up nhưng không nói rõ đây là bảng tính năng soft/lightweight/durable/breathable.</t>
        </is>
      </c>
      <c r="I10" s="2" t="inlineStr">
        <is>
          <t>Feature panel for Personalized Floral Butterfly Bible Verse Blanket: soft, lightweight, durable and breathable.</t>
        </is>
      </c>
      <c r="J10" s="2" t="inlineStr">
        <is>
          <t>seo_runs\jeminise.com\20260906_234129\evidence\images\79_custom-inspirational-floral-butterfly-bible-verse-blanket-d4\image_04_47830498115783.jpg; seo_runs\jeminise.com\20260906_234129\evidence\contact_sheets\79_custom-inspirational-floral-butterfly-bible-verse-blanket-d4.jpg; https://jeminise.com/products/custom-inspirational-floral-butterfly-bible-verse-blanket-d4; https://cdn.shopify.com/s/files/1/0792/5098/1063/files/512b4558aee5a32e09b1e2449d22e36b2fe040840fccd2c3c21687b528773e68.jpg?v=1786596418</t>
        </is>
      </c>
      <c r="K10" s="2" t="inlineStr">
        <is>
          <t>Confirm the revised alt describes the feature panel without keyword stuffing.</t>
        </is>
      </c>
    </row>
    <row r="11" ht="84" customHeight="1">
      <c r="A11" s="3" t="inlineStr">
        <is>
          <t>ISS-080-IMG-04</t>
        </is>
      </c>
      <c r="B11" s="3" t="inlineStr">
        <is>
          <t>jeminise.com+custom-inspirational-scripture-butterflies-blanket-machine-washable</t>
        </is>
      </c>
      <c r="C11" s="3" t="inlineStr">
        <is>
          <t>qaimg_bbfc2f903749b114</t>
        </is>
      </c>
      <c r="D11" s="3" t="inlineStr">
        <is>
          <t>MINOR</t>
        </is>
      </c>
      <c r="E11" s="3" t="inlineStr">
        <is>
          <t>image_alt_effective</t>
        </is>
      </c>
      <c r="F11" s="3" t="inlineStr">
        <is>
          <t>Feature or size information for Personalized God Says I Am Butterfly Blanket</t>
        </is>
      </c>
      <c r="G11" s="3" t="inlineStr">
        <is>
          <t>Directly inspected gallery image 4 for brown and tan God Says I Am butterfly blanket with name Elizabeth.</t>
        </is>
      </c>
      <c r="H11" s="3" t="inlineStr">
        <is>
          <t>Alt gọi đây là close-up nhưng không nói rõ đây là bảng tính năng soft/lightweight/durable/breathable.</t>
        </is>
      </c>
      <c r="I11" s="3" t="inlineStr">
        <is>
          <t>Feature panel for Personalized God Says I Am Butterfly Blanket: soft, lightweight, durable and breathable.</t>
        </is>
      </c>
      <c r="J11" s="3" t="inlineStr">
        <is>
          <t>seo_runs\jeminise.com\20260906_234129\evidence\images\80_custom-inspirational-scripture-butterflies-blanket-machine-washable\image_04_47830540091591.jpg; seo_runs\jeminise.com\20260906_234129\evidence\contact_sheets\80_custom-inspirational-scripture-butterflies-blanket-machine-washable.jpg; https://jeminise.com/products/custom-inspirational-scripture-butterflies-blanket-machine-washable; https://cdn.shopify.com/s/files/1/0792/5098/1063/files/cdb8ba2bd17cab5d2811132ba45505b9e7841a8f6703b99cf8224abe7040eeb2.jpg?v=1786596522</t>
        </is>
      </c>
      <c r="K11" s="3" t="inlineStr">
        <is>
          <t>Confirm the revised alt describes the feature panel without keyword stuffing.</t>
        </is>
      </c>
    </row>
    <row r="12" ht="84" customHeight="1">
      <c r="A12" s="2" t="inlineStr">
        <is>
          <t>ISS-071-DESC</t>
        </is>
      </c>
      <c r="B12" s="2" t="inlineStr">
        <is>
          <t>jeminise.com+custom-football-player-running-with-ball-comforter-c9c2aecff2-c9c2aecff2</t>
        </is>
      </c>
      <c r="C12" s="2" t="inlineStr"/>
      <c r="D12" s="2" t="inlineStr">
        <is>
          <t>MAJOR</t>
        </is>
      </c>
      <c r="E12" s="2" t="inlineStr">
        <is>
          <t>description_proposed_html</t>
        </is>
      </c>
      <c r="F12" s="2" t="inlineStr">
        <is>
          <t>SEO Use / It needs QA and approval before import.</t>
        </is>
      </c>
      <c r="G12" s="2" t="inlineStr">
        <is>
          <t>Submitted HTML contains an internal workflow block.</t>
        </is>
      </c>
      <c r="H12" s="2" t="inlineStr">
        <is>
          <t>Câu nội bộ về SEO/QA/import không phải nội dung dành cho khách hàng.</t>
        </is>
      </c>
      <c r="I12" s="2" t="inlineStr">
        <is>
          <t>Remove the internal SEO Use block and retain only customer-facing English HTML.</t>
        </is>
      </c>
      <c r="J12" s="2" t="inlineStr">
        <is>
          <t>evidence_batch_008_071</t>
        </is>
      </c>
      <c r="K12" s="2" t="inlineStr">
        <is>
          <t>Rendered HTML contains no drafting, QA, approval or import instruction.</t>
        </is>
      </c>
    </row>
    <row r="13" ht="84" customHeight="1">
      <c r="A13" s="3" t="inlineStr">
        <is>
          <t>ISS-071-CANN</t>
        </is>
      </c>
      <c r="B13" s="3" t="inlineStr">
        <is>
          <t>jeminise.com+custom-football-player-running-with-ball-comforter-c9c2aecff2-c9c2aecff2</t>
        </is>
      </c>
      <c r="C13" s="3" t="inlineStr"/>
      <c r="D13" s="3" t="inlineStr">
        <is>
          <t>MAJOR</t>
        </is>
      </c>
      <c r="E13" s="3" t="inlineStr">
        <is>
          <t>keyword_map/intent differentiation</t>
        </is>
      </c>
      <c r="F13" s="3" t="inlineStr">
        <is>
          <t>personalized football player comforter</t>
        </is>
      </c>
      <c r="G13" s="3" t="inlineStr">
        <is>
          <t>Ten adjacent pages target near-identical personalized American-football bedding intent.</t>
        </is>
      </c>
      <c r="H13" s="3" t="inlineStr">
        <is>
          <t>Modifier hình ảnh có khác nhưng vai trò landing page và internal linking chưa đủ để tránh cạnh tranh lẫn nhau.</t>
        </is>
      </c>
      <c r="I13" s="3" t="inlineStr">
        <is>
          <t>Assign one distinct primary intent per design cluster and document canonical/internal-link roles in English metadata.</t>
        </is>
      </c>
      <c r="J13" s="3" t="inlineStr">
        <is>
          <t>https://jeminise.com/products/custom-football-player-running-with-ball-comforter-c9c2aecff2-c9c2aecff2; https://www.etsy.com/listing/4355382705/personalized-christian-blanket-god-says</t>
        </is>
      </c>
      <c r="K13" s="3" t="inlineStr">
        <is>
          <t>Keyword map shows non-overlapping primary intent for yard-line, patriotic, flame, helmet, player and camo clusters.</t>
        </is>
      </c>
    </row>
    <row r="14" ht="84" customHeight="1">
      <c r="A14" s="2" t="inlineStr">
        <is>
          <t>ISS-071-META</t>
        </is>
      </c>
      <c r="B14" s="2" t="inlineStr">
        <is>
          <t>jeminise.com+custom-football-player-running-with-ball-comforter-c9c2aecff2-c9c2aecff2</t>
        </is>
      </c>
      <c r="C14" s="2" t="inlineStr"/>
      <c r="D14" s="2" t="inlineStr">
        <is>
          <t>MINOR</t>
        </is>
      </c>
      <c r="E14" s="2" t="inlineStr">
        <is>
          <t>meta_description_seo</t>
        </is>
      </c>
      <c r="F14" s="2" t="inlineStr">
        <is>
          <t>Shop a comforter set featuring teal and black running football player artwork with orange flame trails, name Brian and #3. Review size and personalization options before checkout. (179 characters)</t>
        </is>
      </c>
      <c r="G14" s="2" t="inlineStr">
        <is>
          <t>The proposed meta description exceeds the usual concise snippet range and ends with internal-style checkout guidance.</t>
        </is>
      </c>
      <c r="H14" s="2" t="inlineStr">
        <is>
          <t>Độ dài 169–200 ký tự làm tăng nguy cơ bị cắt, còn câu review options chưa nêu rõ cơ chế Customize.</t>
        </is>
      </c>
      <c r="I14" s="2" t="inlineStr">
        <is>
          <t>Shorten to about 145–160 characters and state that name/number are entered through Customize.</t>
        </is>
      </c>
      <c r="J14" s="2" t="inlineStr">
        <is>
          <t>evidence_batch_008_071</t>
        </is>
      </c>
      <c r="K14" s="2" t="inlineStr">
        <is>
          <t>Meta is concise, product-specific and accurately explains personalization.</t>
        </is>
      </c>
    </row>
    <row r="15" ht="84" customHeight="1">
      <c r="A15" s="3" t="inlineStr">
        <is>
          <t>ISS-072-DESC</t>
        </is>
      </c>
      <c r="B15" s="3" t="inlineStr">
        <is>
          <t>jeminise.com+custom-football-player-running-with-ball-comforter-9fe5294804-9fe5294804</t>
        </is>
      </c>
      <c r="C15" s="3" t="inlineStr"/>
      <c r="D15" s="3" t="inlineStr">
        <is>
          <t>MAJOR</t>
        </is>
      </c>
      <c r="E15" s="3" t="inlineStr">
        <is>
          <t>description_proposed_html</t>
        </is>
      </c>
      <c r="F15" s="3" t="inlineStr">
        <is>
          <t>SEO Use / It needs QA and approval before import.</t>
        </is>
      </c>
      <c r="G15" s="3" t="inlineStr">
        <is>
          <t>Submitted HTML contains an internal workflow block.</t>
        </is>
      </c>
      <c r="H15" s="3" t="inlineStr">
        <is>
          <t>Câu nội bộ về SEO/QA/import không phải nội dung dành cho khách hàng.</t>
        </is>
      </c>
      <c r="I15" s="3" t="inlineStr">
        <is>
          <t>Remove the internal SEO Use block and retain only customer-facing English HTML.</t>
        </is>
      </c>
      <c r="J15" s="3" t="inlineStr">
        <is>
          <t>evidence_batch_008_072</t>
        </is>
      </c>
      <c r="K15" s="3" t="inlineStr">
        <is>
          <t>Rendered HTML contains no drafting, QA, approval or import instruction.</t>
        </is>
      </c>
    </row>
    <row r="16" ht="84" customHeight="1">
      <c r="A16" s="2" t="inlineStr">
        <is>
          <t>ISS-072-CANN</t>
        </is>
      </c>
      <c r="B16" s="2" t="inlineStr">
        <is>
          <t>jeminise.com+custom-football-player-running-with-ball-comforter-9fe5294804-9fe5294804</t>
        </is>
      </c>
      <c r="C16" s="2" t="inlineStr"/>
      <c r="D16" s="2" t="inlineStr">
        <is>
          <t>MAJOR</t>
        </is>
      </c>
      <c r="E16" s="2" t="inlineStr">
        <is>
          <t>keyword_map/intent differentiation</t>
        </is>
      </c>
      <c r="F16" s="2" t="inlineStr">
        <is>
          <t>custom football player comforter</t>
        </is>
      </c>
      <c r="G16" s="2" t="inlineStr">
        <is>
          <t>Ten adjacent pages target near-identical personalized American-football bedding intent.</t>
        </is>
      </c>
      <c r="H16" s="2" t="inlineStr">
        <is>
          <t>Modifier hình ảnh có khác nhưng vai trò landing page và internal linking chưa đủ để tránh cạnh tranh lẫn nhau.</t>
        </is>
      </c>
      <c r="I16" s="2" t="inlineStr">
        <is>
          <t>Assign one distinct primary intent per design cluster and document canonical/internal-link roles in English metadata.</t>
        </is>
      </c>
      <c r="J16" s="2" t="inlineStr">
        <is>
          <t>https://jeminise.com/products/custom-football-player-running-with-ball-comforter-9fe5294804-9fe5294804; https://www.etsy.com/listing/4355382705/personalized-christian-blanket-god-says</t>
        </is>
      </c>
      <c r="K16" s="2" t="inlineStr">
        <is>
          <t>Keyword map shows non-overlapping primary intent for yard-line, patriotic, flame, helmet, player and camo clusters.</t>
        </is>
      </c>
    </row>
    <row r="17" ht="84" customHeight="1">
      <c r="A17" s="3" t="inlineStr">
        <is>
          <t>ISS-072-META</t>
        </is>
      </c>
      <c r="B17" s="3" t="inlineStr">
        <is>
          <t>jeminise.com+custom-football-player-running-with-ball-comforter-9fe5294804-9fe5294804</t>
        </is>
      </c>
      <c r="C17" s="3" t="inlineStr"/>
      <c r="D17" s="3" t="inlineStr">
        <is>
          <t>MINOR</t>
        </is>
      </c>
      <c r="E17" s="3" t="inlineStr">
        <is>
          <t>meta_description_seo</t>
        </is>
      </c>
      <c r="F17" s="3" t="inlineStr">
        <is>
          <t>Shop a comforter set featuring blue and red electric football player running with the ball, name Michael and #10. Review size and personalization options before checkout. (170 characters)</t>
        </is>
      </c>
      <c r="G17" s="3" t="inlineStr">
        <is>
          <t>The proposed meta description exceeds the usual concise snippet range and ends with internal-style checkout guidance.</t>
        </is>
      </c>
      <c r="H17" s="3" t="inlineStr">
        <is>
          <t>Độ dài 169–200 ký tự làm tăng nguy cơ bị cắt, còn câu review options chưa nêu rõ cơ chế Customize.</t>
        </is>
      </c>
      <c r="I17" s="3" t="inlineStr">
        <is>
          <t>Shorten to about 145–160 characters and state that name/number are entered through Customize.</t>
        </is>
      </c>
      <c r="J17" s="3" t="inlineStr">
        <is>
          <t>evidence_batch_008_072</t>
        </is>
      </c>
      <c r="K17" s="3" t="inlineStr">
        <is>
          <t>Meta is concise, product-specific and accurately explains personalization.</t>
        </is>
      </c>
    </row>
    <row r="18" ht="84" customHeight="1">
      <c r="A18" s="2" t="inlineStr">
        <is>
          <t>ISS-073-DESC</t>
        </is>
      </c>
      <c r="B18" s="2" t="inlineStr">
        <is>
          <t>jeminise.com+custom-football-player-with-american-flag-background-comforter-44d8108598-44d8108598</t>
        </is>
      </c>
      <c r="C18" s="2" t="inlineStr"/>
      <c r="D18" s="2" t="inlineStr">
        <is>
          <t>MAJOR</t>
        </is>
      </c>
      <c r="E18" s="2" t="inlineStr">
        <is>
          <t>description_proposed_html</t>
        </is>
      </c>
      <c r="F18" s="2" t="inlineStr">
        <is>
          <t>SEO Use / It needs QA and approval before import.</t>
        </is>
      </c>
      <c r="G18" s="2" t="inlineStr">
        <is>
          <t>Submitted HTML contains an internal workflow block.</t>
        </is>
      </c>
      <c r="H18" s="2" t="inlineStr">
        <is>
          <t>Câu nội bộ về SEO/QA/import không phải nội dung dành cho khách hàng.</t>
        </is>
      </c>
      <c r="I18" s="2" t="inlineStr">
        <is>
          <t>Remove the internal SEO Use block and retain only customer-facing English HTML.</t>
        </is>
      </c>
      <c r="J18" s="2" t="inlineStr">
        <is>
          <t>evidence_batch_008_073</t>
        </is>
      </c>
      <c r="K18" s="2" t="inlineStr">
        <is>
          <t>Rendered HTML contains no drafting, QA, approval or import instruction.</t>
        </is>
      </c>
    </row>
    <row r="19" ht="84" customHeight="1">
      <c r="A19" s="3" t="inlineStr">
        <is>
          <t>ISS-073-CANN</t>
        </is>
      </c>
      <c r="B19" s="3" t="inlineStr">
        <is>
          <t>jeminise.com+custom-football-player-with-american-flag-background-comforter-44d8108598-44d8108598</t>
        </is>
      </c>
      <c r="C19" s="3" t="inlineStr"/>
      <c r="D19" s="3" t="inlineStr">
        <is>
          <t>MAJOR</t>
        </is>
      </c>
      <c r="E19" s="3" t="inlineStr">
        <is>
          <t>keyword_map/intent differentiation</t>
        </is>
      </c>
      <c r="F19" s="3" t="inlineStr">
        <is>
          <t>American flag football player comforter</t>
        </is>
      </c>
      <c r="G19" s="3" t="inlineStr">
        <is>
          <t>Ten adjacent pages target near-identical personalized American-football bedding intent.</t>
        </is>
      </c>
      <c r="H19" s="3" t="inlineStr">
        <is>
          <t>Modifier hình ảnh có khác nhưng vai trò landing page và internal linking chưa đủ để tránh cạnh tranh lẫn nhau.</t>
        </is>
      </c>
      <c r="I19" s="3" t="inlineStr">
        <is>
          <t>Assign one distinct primary intent per design cluster and document canonical/internal-link roles in English metadata.</t>
        </is>
      </c>
      <c r="J19" s="3" t="inlineStr">
        <is>
          <t>https://jeminise.com/products/custom-football-player-with-american-flag-background-comforter-44d8108598-44d8108598; https://www.etsy.com/listing/4355382705/personalized-christian-blanket-god-says</t>
        </is>
      </c>
      <c r="K19" s="3" t="inlineStr">
        <is>
          <t>Keyword map shows non-overlapping primary intent for yard-line, patriotic, flame, helmet, player and camo clusters.</t>
        </is>
      </c>
    </row>
    <row r="20" ht="84" customHeight="1">
      <c r="A20" s="2" t="inlineStr">
        <is>
          <t>ISS-073-META</t>
        </is>
      </c>
      <c r="B20" s="2" t="inlineStr">
        <is>
          <t>jeminise.com+custom-football-player-with-american-flag-background-comforter-44d8108598-44d8108598</t>
        </is>
      </c>
      <c r="C20" s="2" t="inlineStr"/>
      <c r="D20" s="2" t="inlineStr">
        <is>
          <t>MINOR</t>
        </is>
      </c>
      <c r="E20" s="2" t="inlineStr">
        <is>
          <t>meta_description_seo</t>
        </is>
      </c>
      <c r="F20" s="2" t="inlineStr">
        <is>
          <t>Shop a comforter set featuring football player shown from behind over a torn American flag and metal texture background with David and 33. Review size and personalization options before checkout. (195 characters)</t>
        </is>
      </c>
      <c r="G20" s="2" t="inlineStr">
        <is>
          <t>The proposed meta description exceeds the usual concise snippet range and ends with internal-style checkout guidance.</t>
        </is>
      </c>
      <c r="H20" s="2" t="inlineStr">
        <is>
          <t>Độ dài 169–200 ký tự làm tăng nguy cơ bị cắt, còn câu review options chưa nêu rõ cơ chế Customize.</t>
        </is>
      </c>
      <c r="I20" s="2" t="inlineStr">
        <is>
          <t>Shorten to about 145–160 characters and state that name/number are entered through Customize.</t>
        </is>
      </c>
      <c r="J20" s="2" t="inlineStr">
        <is>
          <t>evidence_batch_008_073</t>
        </is>
      </c>
      <c r="K20" s="2" t="inlineStr">
        <is>
          <t>Meta is concise, product-specific and accurately explains personalization.</t>
        </is>
      </c>
    </row>
    <row r="21" ht="84" customHeight="1">
      <c r="A21" s="3" t="inlineStr">
        <is>
          <t>ISS-074-DESC</t>
        </is>
      </c>
      <c r="B21" s="3" t="inlineStr">
        <is>
          <t>jeminise.com+custom-football-player-with-burning-ball-comforter-and-american-football-708344de4c-708344de4c</t>
        </is>
      </c>
      <c r="C21" s="3" t="inlineStr"/>
      <c r="D21" s="3" t="inlineStr">
        <is>
          <t>MAJOR</t>
        </is>
      </c>
      <c r="E21" s="3" t="inlineStr">
        <is>
          <t>description_proposed_html</t>
        </is>
      </c>
      <c r="F21" s="3" t="inlineStr">
        <is>
          <t>SEO Use / It needs QA and approval before import.</t>
        </is>
      </c>
      <c r="G21" s="3" t="inlineStr">
        <is>
          <t>Submitted HTML contains an internal workflow block.</t>
        </is>
      </c>
      <c r="H21" s="3" t="inlineStr">
        <is>
          <t>Câu nội bộ về SEO/QA/import không phải nội dung dành cho khách hàng.</t>
        </is>
      </c>
      <c r="I21" s="3" t="inlineStr">
        <is>
          <t>Remove the internal SEO Use block and retain only customer-facing English HTML.</t>
        </is>
      </c>
      <c r="J21" s="3" t="inlineStr">
        <is>
          <t>evidence_batch_008_074</t>
        </is>
      </c>
      <c r="K21" s="3" t="inlineStr">
        <is>
          <t>Rendered HTML contains no drafting, QA, approval or import instruction.</t>
        </is>
      </c>
    </row>
    <row r="22" ht="84" customHeight="1">
      <c r="A22" s="2" t="inlineStr">
        <is>
          <t>ISS-074-CANN</t>
        </is>
      </c>
      <c r="B22" s="2" t="inlineStr">
        <is>
          <t>jeminise.com+custom-football-player-with-burning-ball-comforter-and-american-football-708344de4c-708344de4c</t>
        </is>
      </c>
      <c r="C22" s="2" t="inlineStr"/>
      <c r="D22" s="2" t="inlineStr">
        <is>
          <t>MAJOR</t>
        </is>
      </c>
      <c r="E22" s="2" t="inlineStr">
        <is>
          <t>keyword_map/intent differentiation</t>
        </is>
      </c>
      <c r="F22" s="2" t="inlineStr">
        <is>
          <t>burning football player comforter</t>
        </is>
      </c>
      <c r="G22" s="2" t="inlineStr">
        <is>
          <t>Ten adjacent pages target near-identical personalized American-football bedding intent.</t>
        </is>
      </c>
      <c r="H22" s="2" t="inlineStr">
        <is>
          <t>Modifier hình ảnh có khác nhưng vai trò landing page và internal linking chưa đủ để tránh cạnh tranh lẫn nhau.</t>
        </is>
      </c>
      <c r="I22" s="2" t="inlineStr">
        <is>
          <t>Assign one distinct primary intent per design cluster and document canonical/internal-link roles in English metadata.</t>
        </is>
      </c>
      <c r="J22" s="2" t="inlineStr">
        <is>
          <t>https://jeminise.com/products/custom-football-player-with-burning-ball-comforter-and-american-football-708344de4c-708344de4c; https://www.etsy.com/listing/4355382705/personalized-christian-blanket-god-says</t>
        </is>
      </c>
      <c r="K22" s="2" t="inlineStr">
        <is>
          <t>Keyword map shows non-overlapping primary intent for yard-line, patriotic, flame, helmet, player and camo clusters.</t>
        </is>
      </c>
    </row>
    <row r="23" ht="84" customHeight="1">
      <c r="A23" s="3" t="inlineStr">
        <is>
          <t>ISS-074-META</t>
        </is>
      </c>
      <c r="B23" s="3" t="inlineStr">
        <is>
          <t>jeminise.com+custom-football-player-with-burning-ball-comforter-and-american-football-708344de4c-708344de4c</t>
        </is>
      </c>
      <c r="C23" s="3" t="inlineStr"/>
      <c r="D23" s="3" t="inlineStr">
        <is>
          <t>MINOR</t>
        </is>
      </c>
      <c r="E23" s="3" t="inlineStr">
        <is>
          <t>meta_description_seo</t>
        </is>
      </c>
      <c r="F23" s="3" t="inlineStr">
        <is>
          <t>Shop a comforter set featuring black football player holding the ball with number 24, name Michael and burning football background. Review size and personalization options before checkout. (188 characters)</t>
        </is>
      </c>
      <c r="G23" s="3" t="inlineStr">
        <is>
          <t>The proposed meta description exceeds the usual concise snippet range and ends with internal-style checkout guidance.</t>
        </is>
      </c>
      <c r="H23" s="3" t="inlineStr">
        <is>
          <t>Độ dài 169–200 ký tự làm tăng nguy cơ bị cắt, còn câu review options chưa nêu rõ cơ chế Customize.</t>
        </is>
      </c>
      <c r="I23" s="3" t="inlineStr">
        <is>
          <t>Shorten to about 145–160 characters and state that name/number are entered through Customize.</t>
        </is>
      </c>
      <c r="J23" s="3" t="inlineStr">
        <is>
          <t>evidence_batch_008_074</t>
        </is>
      </c>
      <c r="K23" s="3" t="inlineStr">
        <is>
          <t>Meta is concise, product-specific and accurately explains personalization.</t>
        </is>
      </c>
    </row>
    <row r="24" ht="84" customHeight="1">
      <c r="A24" s="2" t="inlineStr">
        <is>
          <t>ISS-075-DESC</t>
        </is>
      </c>
      <c r="B24" s="2" t="inlineStr">
        <is>
          <t>jeminise.com+custom-football-players-and-large-football-close-comforter-01d72ea6a0-01d72ea6a0</t>
        </is>
      </c>
      <c r="C24" s="2" t="inlineStr"/>
      <c r="D24" s="2" t="inlineStr">
        <is>
          <t>MAJOR</t>
        </is>
      </c>
      <c r="E24" s="2" t="inlineStr">
        <is>
          <t>description_proposed_html</t>
        </is>
      </c>
      <c r="F24" s="2" t="inlineStr">
        <is>
          <t>SEO Use / It needs QA and approval before import.</t>
        </is>
      </c>
      <c r="G24" s="2" t="inlineStr">
        <is>
          <t>Submitted HTML contains an internal workflow block.</t>
        </is>
      </c>
      <c r="H24" s="2" t="inlineStr">
        <is>
          <t>Câu nội bộ về SEO/QA/import không phải nội dung dành cho khách hàng.</t>
        </is>
      </c>
      <c r="I24" s="2" t="inlineStr">
        <is>
          <t>Remove the internal SEO Use block and retain only customer-facing English HTML.</t>
        </is>
      </c>
      <c r="J24" s="2" t="inlineStr">
        <is>
          <t>evidence_batch_008_075</t>
        </is>
      </c>
      <c r="K24" s="2" t="inlineStr">
        <is>
          <t>Rendered HTML contains no drafting, QA, approval or import instruction.</t>
        </is>
      </c>
    </row>
    <row r="25" ht="84" customHeight="1">
      <c r="A25" s="3" t="inlineStr">
        <is>
          <t>ISS-075-CANN</t>
        </is>
      </c>
      <c r="B25" s="3" t="inlineStr">
        <is>
          <t>jeminise.com+custom-football-players-and-large-football-close-comforter-01d72ea6a0-01d72ea6a0</t>
        </is>
      </c>
      <c r="C25" s="3" t="inlineStr"/>
      <c r="D25" s="3" t="inlineStr">
        <is>
          <t>MAJOR</t>
        </is>
      </c>
      <c r="E25" s="3" t="inlineStr">
        <is>
          <t>keyword_map/intent differentiation</t>
        </is>
      </c>
      <c r="F25" s="3" t="inlineStr">
        <is>
          <t>football player collage comforter</t>
        </is>
      </c>
      <c r="G25" s="3" t="inlineStr">
        <is>
          <t>Ten adjacent pages target near-identical personalized American-football bedding intent.</t>
        </is>
      </c>
      <c r="H25" s="3" t="inlineStr">
        <is>
          <t>Modifier hình ảnh có khác nhưng vai trò landing page và internal linking chưa đủ để tránh cạnh tranh lẫn nhau.</t>
        </is>
      </c>
      <c r="I25" s="3" t="inlineStr">
        <is>
          <t>Assign one distinct primary intent per design cluster and document canonical/internal-link roles in English metadata.</t>
        </is>
      </c>
      <c r="J25" s="3" t="inlineStr">
        <is>
          <t>https://jeminise.com/products/custom-football-players-and-large-football-close-comforter-01d72ea6a0-01d72ea6a0; https://www.etsy.com/listing/4355382705/personalized-christian-blanket-god-says</t>
        </is>
      </c>
      <c r="K25" s="3" t="inlineStr">
        <is>
          <t>Keyword map shows non-overlapping primary intent for yard-line, patriotic, flame, helmet, player and camo clusters.</t>
        </is>
      </c>
    </row>
    <row r="26" ht="84" customHeight="1">
      <c r="A26" s="2" t="inlineStr">
        <is>
          <t>ISS-075-META</t>
        </is>
      </c>
      <c r="B26" s="2" t="inlineStr">
        <is>
          <t>jeminise.com+custom-football-players-and-large-football-close-comforter-01d72ea6a0-01d72ea6a0</t>
        </is>
      </c>
      <c r="C26" s="2" t="inlineStr"/>
      <c r="D26" s="2" t="inlineStr">
        <is>
          <t>MINOR</t>
        </is>
      </c>
      <c r="E26" s="2" t="inlineStr">
        <is>
          <t>meta_description_seo</t>
        </is>
      </c>
      <c r="F26" s="2" t="inlineStr">
        <is>
          <t>Shop a comforter set featuring black comforter with large football close-up, multiple football player silhouettes and the name David. Review size and personalization options before checkout. (190 characters)</t>
        </is>
      </c>
      <c r="G26" s="2" t="inlineStr">
        <is>
          <t>The proposed meta description exceeds the usual concise snippet range and ends with internal-style checkout guidance.</t>
        </is>
      </c>
      <c r="H26" s="2" t="inlineStr">
        <is>
          <t>Độ dài 169–200 ký tự làm tăng nguy cơ bị cắt, còn câu review options chưa nêu rõ cơ chế Customize.</t>
        </is>
      </c>
      <c r="I26" s="2" t="inlineStr">
        <is>
          <t>Shorten to about 145–160 characters and state that name/number are entered through Customize.</t>
        </is>
      </c>
      <c r="J26" s="2" t="inlineStr">
        <is>
          <t>evidence_batch_008_075</t>
        </is>
      </c>
      <c r="K26" s="2" t="inlineStr">
        <is>
          <t>Meta is concise, product-specific and accurately explains personalization.</t>
        </is>
      </c>
    </row>
    <row r="27" ht="84" customHeight="1">
      <c r="A27" s="3" t="inlineStr">
        <is>
          <t>ISS-076-DESC</t>
        </is>
      </c>
      <c r="B27" s="3" t="inlineStr">
        <is>
          <t>jeminise.com+custom-football-texture-with-prominent-laces-vintage-comforter-9be594b786-9be594b786</t>
        </is>
      </c>
      <c r="C27" s="3" t="inlineStr"/>
      <c r="D27" s="3" t="inlineStr">
        <is>
          <t>MAJOR</t>
        </is>
      </c>
      <c r="E27" s="3" t="inlineStr">
        <is>
          <t>description_proposed_html</t>
        </is>
      </c>
      <c r="F27" s="3" t="inlineStr">
        <is>
          <t>SEO Use / It needs QA and approval before import.</t>
        </is>
      </c>
      <c r="G27" s="3" t="inlineStr">
        <is>
          <t>Submitted HTML contains an internal workflow block.</t>
        </is>
      </c>
      <c r="H27" s="3" t="inlineStr">
        <is>
          <t>Câu nội bộ về SEO/QA/import không phải nội dung dành cho khách hàng.</t>
        </is>
      </c>
      <c r="I27" s="3" t="inlineStr">
        <is>
          <t>Remove the internal SEO Use block and retain only customer-facing English HTML.</t>
        </is>
      </c>
      <c r="J27" s="3" t="inlineStr">
        <is>
          <t>evidence_batch_008_076</t>
        </is>
      </c>
      <c r="K27" s="3" t="inlineStr">
        <is>
          <t>Rendered HTML contains no drafting, QA, approval or import instruction.</t>
        </is>
      </c>
    </row>
    <row r="28" ht="84" customHeight="1">
      <c r="A28" s="2" t="inlineStr">
        <is>
          <t>ISS-076-CANN</t>
        </is>
      </c>
      <c r="B28" s="2" t="inlineStr">
        <is>
          <t>jeminise.com+custom-football-texture-with-prominent-laces-vintage-comforter-9be594b786-9be594b786</t>
        </is>
      </c>
      <c r="C28" s="2" t="inlineStr"/>
      <c r="D28" s="2" t="inlineStr">
        <is>
          <t>MAJOR</t>
        </is>
      </c>
      <c r="E28" s="2" t="inlineStr">
        <is>
          <t>keyword_map/intent differentiation</t>
        </is>
      </c>
      <c r="F28" s="2" t="inlineStr">
        <is>
          <t>football laces comforter</t>
        </is>
      </c>
      <c r="G28" s="2" t="inlineStr">
        <is>
          <t>Ten adjacent pages target near-identical personalized American-football bedding intent.</t>
        </is>
      </c>
      <c r="H28" s="2" t="inlineStr">
        <is>
          <t>Modifier hình ảnh có khác nhưng vai trò landing page và internal linking chưa đủ để tránh cạnh tranh lẫn nhau.</t>
        </is>
      </c>
      <c r="I28" s="2" t="inlineStr">
        <is>
          <t>Assign one distinct primary intent per design cluster and document canonical/internal-link roles in English metadata.</t>
        </is>
      </c>
      <c r="J28" s="2" t="inlineStr">
        <is>
          <t>https://jeminise.com/products/custom-football-texture-with-prominent-laces-vintage-comforter-9be594b786-9be594b786; https://www.etsy.com/listing/4355382705/personalized-christian-blanket-god-says</t>
        </is>
      </c>
      <c r="K28" s="2" t="inlineStr">
        <is>
          <t>Keyword map shows non-overlapping primary intent for yard-line, patriotic, flame, helmet, player and camo clusters.</t>
        </is>
      </c>
    </row>
    <row r="29" ht="84" customHeight="1">
      <c r="A29" s="3" t="inlineStr">
        <is>
          <t>ISS-076-META</t>
        </is>
      </c>
      <c r="B29" s="3" t="inlineStr">
        <is>
          <t>jeminise.com+custom-football-texture-with-prominent-laces-vintage-comforter-9be594b786-9be594b786</t>
        </is>
      </c>
      <c r="C29" s="3" t="inlineStr"/>
      <c r="D29" s="3" t="inlineStr">
        <is>
          <t>MINOR</t>
        </is>
      </c>
      <c r="E29" s="3" t="inlineStr">
        <is>
          <t>meta_description_seo</t>
        </is>
      </c>
      <c r="F29" s="3" t="inlineStr">
        <is>
          <t>Shop a comforter set featuring vintage brown football leather texture with prominent white laces, name Michael and number 33. Review size and personalization options before checkout. (182 characters)</t>
        </is>
      </c>
      <c r="G29" s="3" t="inlineStr">
        <is>
          <t>The proposed meta description exceeds the usual concise snippet range and ends with internal-style checkout guidance.</t>
        </is>
      </c>
      <c r="H29" s="3" t="inlineStr">
        <is>
          <t>Độ dài 169–200 ký tự làm tăng nguy cơ bị cắt, còn câu review options chưa nêu rõ cơ chế Customize.</t>
        </is>
      </c>
      <c r="I29" s="3" t="inlineStr">
        <is>
          <t>Shorten to about 145–160 characters and state that name/number are entered through Customize.</t>
        </is>
      </c>
      <c r="J29" s="3" t="inlineStr">
        <is>
          <t>evidence_batch_008_076</t>
        </is>
      </c>
      <c r="K29" s="3" t="inlineStr">
        <is>
          <t>Meta is concise, product-specific and accurately explains personalization.</t>
        </is>
      </c>
    </row>
    <row r="30" ht="84" customHeight="1">
      <c r="A30" s="2" t="inlineStr">
        <is>
          <t>ISS-077-DESC</t>
        </is>
      </c>
      <c r="B30" s="2" t="inlineStr">
        <is>
          <t>jeminise.com+custom-glowing-soccer-ball-trails-comforter-set-machine-washable-a6</t>
        </is>
      </c>
      <c r="C30" s="2" t="inlineStr"/>
      <c r="D30" s="2" t="inlineStr">
        <is>
          <t>MAJOR</t>
        </is>
      </c>
      <c r="E30" s="2" t="inlineStr">
        <is>
          <t>description_proposed_html</t>
        </is>
      </c>
      <c r="F30" s="2" t="inlineStr">
        <is>
          <t>SEO Use / It needs QA and approval before import.</t>
        </is>
      </c>
      <c r="G30" s="2" t="inlineStr">
        <is>
          <t>Submitted HTML contains an internal workflow block.</t>
        </is>
      </c>
      <c r="H30" s="2" t="inlineStr">
        <is>
          <t>Câu nội bộ về SEO/QA/import không phải nội dung dành cho khách hàng.</t>
        </is>
      </c>
      <c r="I30" s="2" t="inlineStr">
        <is>
          <t>Remove the internal SEO Use block and retain only customer-facing English HTML.</t>
        </is>
      </c>
      <c r="J30" s="2" t="inlineStr">
        <is>
          <t>evidence_batch_008_077</t>
        </is>
      </c>
      <c r="K30" s="2" t="inlineStr">
        <is>
          <t>Rendered HTML contains no drafting, QA, approval or import instruction.</t>
        </is>
      </c>
    </row>
    <row r="31" ht="84" customHeight="1">
      <c r="A31" s="3" t="inlineStr">
        <is>
          <t>ISS-077-CANN</t>
        </is>
      </c>
      <c r="B31" s="3" t="inlineStr">
        <is>
          <t>jeminise.com+custom-glowing-soccer-ball-trails-comforter-set-machine-washable-a6</t>
        </is>
      </c>
      <c r="C31" s="3" t="inlineStr"/>
      <c r="D31" s="3" t="inlineStr">
        <is>
          <t>MAJOR</t>
        </is>
      </c>
      <c r="E31" s="3" t="inlineStr">
        <is>
          <t>keyword_map/intent differentiation</t>
        </is>
      </c>
      <c r="F31" s="3" t="inlineStr">
        <is>
          <t>personalized soccer comforter</t>
        </is>
      </c>
      <c r="G31" s="3" t="inlineStr">
        <is>
          <t>Ten adjacent pages target near-identical personalized American-football bedding intent.</t>
        </is>
      </c>
      <c r="H31" s="3" t="inlineStr">
        <is>
          <t>Modifier hình ảnh có khác nhưng vai trò landing page và internal linking chưa đủ để tránh cạnh tranh lẫn nhau.</t>
        </is>
      </c>
      <c r="I31" s="3" t="inlineStr">
        <is>
          <t>Assign one distinct primary intent per design cluster and document canonical/internal-link roles in English metadata.</t>
        </is>
      </c>
      <c r="J31" s="3" t="inlineStr">
        <is>
          <t>https://jeminise.com/products/custom-glowing-soccer-ball-trails-comforter-set-machine-washable-a6; https://www.etsy.com/listing/4355382705/personalized-christian-blanket-god-says</t>
        </is>
      </c>
      <c r="K31" s="3" t="inlineStr">
        <is>
          <t>Keyword map shows non-overlapping primary intent for yard-line, patriotic, flame, helmet, player and camo clusters.</t>
        </is>
      </c>
    </row>
    <row r="32" ht="84" customHeight="1">
      <c r="A32" s="2" t="inlineStr">
        <is>
          <t>ISS-077-META</t>
        </is>
      </c>
      <c r="B32" s="2" t="inlineStr">
        <is>
          <t>jeminise.com+custom-glowing-soccer-ball-trails-comforter-set-machine-washable-a6</t>
        </is>
      </c>
      <c r="C32" s="2" t="inlineStr"/>
      <c r="D32" s="2" t="inlineStr">
        <is>
          <t>MINOR</t>
        </is>
      </c>
      <c r="E32" s="2" t="inlineStr">
        <is>
          <t>meta_description_seo</t>
        </is>
      </c>
      <c r="F32" s="2" t="inlineStr">
        <is>
          <t>Shop a comforter set featuring black and blue glowing soccer ball with sweeping light trails, name Jackson and number 10. Review size and personalization options before checkout. (178 characters)</t>
        </is>
      </c>
      <c r="G32" s="2" t="inlineStr">
        <is>
          <t>The proposed meta description exceeds the usual concise snippet range and ends with internal-style checkout guidance.</t>
        </is>
      </c>
      <c r="H32" s="2" t="inlineStr">
        <is>
          <t>Độ dài 169–200 ký tự làm tăng nguy cơ bị cắt, còn câu review options chưa nêu rõ cơ chế Customize.</t>
        </is>
      </c>
      <c r="I32" s="2" t="inlineStr">
        <is>
          <t>Shorten to about 145–160 characters and state that name/number are entered through Customize.</t>
        </is>
      </c>
      <c r="J32" s="2" t="inlineStr">
        <is>
          <t>evidence_batch_008_077</t>
        </is>
      </c>
      <c r="K32" s="2" t="inlineStr">
        <is>
          <t>Meta is concise, product-specific and accurately explains personalization.</t>
        </is>
      </c>
    </row>
    <row r="33" ht="84" customHeight="1">
      <c r="A33" s="3" t="inlineStr">
        <is>
          <t>ISS-078-DESC</t>
        </is>
      </c>
      <c r="B33" s="3" t="inlineStr">
        <is>
          <t>jeminise.com+custom-inspirational-bible-verse-floral-blanket-d5</t>
        </is>
      </c>
      <c r="C33" s="3" t="inlineStr"/>
      <c r="D33" s="3" t="inlineStr">
        <is>
          <t>MAJOR</t>
        </is>
      </c>
      <c r="E33" s="3" t="inlineStr">
        <is>
          <t>description_proposed_html</t>
        </is>
      </c>
      <c r="F33" s="3" t="inlineStr">
        <is>
          <t>SEO Use / It needs QA and approval before import.</t>
        </is>
      </c>
      <c r="G33" s="3" t="inlineStr">
        <is>
          <t>Submitted HTML contains an internal workflow block.</t>
        </is>
      </c>
      <c r="H33" s="3" t="inlineStr">
        <is>
          <t>Câu nội bộ về SEO/QA/import không phải nội dung dành cho khách hàng.</t>
        </is>
      </c>
      <c r="I33" s="3" t="inlineStr">
        <is>
          <t>Remove the internal SEO Use block and retain only customer-facing English HTML.</t>
        </is>
      </c>
      <c r="J33" s="3" t="inlineStr">
        <is>
          <t>evidence_batch_008_078</t>
        </is>
      </c>
      <c r="K33" s="3" t="inlineStr">
        <is>
          <t>Rendered HTML contains no drafting, QA, approval or import instruction.</t>
        </is>
      </c>
    </row>
    <row r="34" ht="84" customHeight="1">
      <c r="A34" s="2" t="inlineStr">
        <is>
          <t>ISS-078-CANN</t>
        </is>
      </c>
      <c r="B34" s="2" t="inlineStr">
        <is>
          <t>jeminise.com+custom-inspirational-bible-verse-floral-blanket-d5</t>
        </is>
      </c>
      <c r="C34" s="2" t="inlineStr"/>
      <c r="D34" s="2" t="inlineStr">
        <is>
          <t>MAJOR</t>
        </is>
      </c>
      <c r="E34" s="2" t="inlineStr">
        <is>
          <t>keyword_map/intent differentiation</t>
        </is>
      </c>
      <c r="F34" s="2" t="inlineStr">
        <is>
          <t>personalized God says you are blanket</t>
        </is>
      </c>
      <c r="G34" s="2" t="inlineStr">
        <is>
          <t>Ten adjacent pages target near-identical personalized American-football bedding intent.</t>
        </is>
      </c>
      <c r="H34" s="2" t="inlineStr">
        <is>
          <t>Modifier hình ảnh có khác nhưng vai trò landing page và internal linking chưa đủ để tránh cạnh tranh lẫn nhau.</t>
        </is>
      </c>
      <c r="I34" s="2" t="inlineStr">
        <is>
          <t>Assign one distinct primary intent per design cluster and document canonical/internal-link roles in English metadata.</t>
        </is>
      </c>
      <c r="J34" s="2" t="inlineStr">
        <is>
          <t>https://jeminise.com/products/custom-inspirational-bible-verse-floral-blanket-d5; https://www.etsy.com/listing/4355382705/personalized-christian-blanket-god-says</t>
        </is>
      </c>
      <c r="K34" s="2" t="inlineStr">
        <is>
          <t>Keyword map shows non-overlapping primary intent for yard-line, patriotic, flame, helmet, player and camo clusters.</t>
        </is>
      </c>
    </row>
    <row r="35" ht="84" customHeight="1">
      <c r="A35" s="3" t="inlineStr">
        <is>
          <t>ISS-078-META</t>
        </is>
      </c>
      <c r="B35" s="3" t="inlineStr">
        <is>
          <t>jeminise.com+custom-inspirational-bible-verse-floral-blanket-d5</t>
        </is>
      </c>
      <c r="C35" s="3" t="inlineStr"/>
      <c r="D35" s="3" t="inlineStr">
        <is>
          <t>MINOR</t>
        </is>
      </c>
      <c r="E35" s="3" t="inlineStr">
        <is>
          <t>meta_description_seo</t>
        </is>
      </c>
      <c r="F35" s="3" t="inlineStr">
        <is>
          <t>Shop a blanket featuring soft floral blanket with butterflies, the name Jessica and God says you are Bible verse affirmations. Review size and personalization options before checkout. (183 characters)</t>
        </is>
      </c>
      <c r="G35" s="3" t="inlineStr">
        <is>
          <t>The proposed meta description exceeds the usual concise snippet range and ends with internal-style checkout guidance.</t>
        </is>
      </c>
      <c r="H35" s="3" t="inlineStr">
        <is>
          <t>Độ dài 169–200 ký tự làm tăng nguy cơ bị cắt, còn câu review options chưa nêu rõ cơ chế Customize.</t>
        </is>
      </c>
      <c r="I35" s="3" t="inlineStr">
        <is>
          <t>Shorten to about 145–160 characters and state that name/number are entered through Customize.</t>
        </is>
      </c>
      <c r="J35" s="3" t="inlineStr">
        <is>
          <t>evidence_batch_008_078</t>
        </is>
      </c>
      <c r="K35" s="3" t="inlineStr">
        <is>
          <t>Meta is concise, product-specific and accurately explains personalization.</t>
        </is>
      </c>
    </row>
    <row r="36" ht="84" customHeight="1">
      <c r="A36" s="2" t="inlineStr">
        <is>
          <t>ISS-079-DESC</t>
        </is>
      </c>
      <c r="B36" s="2" t="inlineStr">
        <is>
          <t>jeminise.com+custom-inspirational-floral-butterfly-bible-verse-blanket-d4</t>
        </is>
      </c>
      <c r="C36" s="2" t="inlineStr"/>
      <c r="D36" s="2" t="inlineStr">
        <is>
          <t>MAJOR</t>
        </is>
      </c>
      <c r="E36" s="2" t="inlineStr">
        <is>
          <t>description_proposed_html</t>
        </is>
      </c>
      <c r="F36" s="2" t="inlineStr">
        <is>
          <t>SEO Use / It needs QA and approval before import.</t>
        </is>
      </c>
      <c r="G36" s="2" t="inlineStr">
        <is>
          <t>Submitted HTML contains an internal workflow block.</t>
        </is>
      </c>
      <c r="H36" s="2" t="inlineStr">
        <is>
          <t>Câu nội bộ về SEO/QA/import không phải nội dung dành cho khách hàng.</t>
        </is>
      </c>
      <c r="I36" s="2" t="inlineStr">
        <is>
          <t>Remove the internal SEO Use block and retain only customer-facing English HTML.</t>
        </is>
      </c>
      <c r="J36" s="2" t="inlineStr">
        <is>
          <t>evidence_batch_008_079</t>
        </is>
      </c>
      <c r="K36" s="2" t="inlineStr">
        <is>
          <t>Rendered HTML contains no drafting, QA, approval or import instruction.</t>
        </is>
      </c>
    </row>
    <row r="37" ht="84" customHeight="1">
      <c r="A37" s="3" t="inlineStr">
        <is>
          <t>ISS-079-CANN</t>
        </is>
      </c>
      <c r="B37" s="3" t="inlineStr">
        <is>
          <t>jeminise.com+custom-inspirational-floral-butterfly-bible-verse-blanket-d4</t>
        </is>
      </c>
      <c r="C37" s="3" t="inlineStr"/>
      <c r="D37" s="3" t="inlineStr">
        <is>
          <t>MAJOR</t>
        </is>
      </c>
      <c r="E37" s="3" t="inlineStr">
        <is>
          <t>keyword_map/intent differentiation</t>
        </is>
      </c>
      <c r="F37" s="3" t="inlineStr">
        <is>
          <t>personalized floral Bible verse blanket</t>
        </is>
      </c>
      <c r="G37" s="3" t="inlineStr">
        <is>
          <t>Ten adjacent pages target near-identical personalized American-football bedding intent.</t>
        </is>
      </c>
      <c r="H37" s="3" t="inlineStr">
        <is>
          <t>Modifier hình ảnh có khác nhưng vai trò landing page và internal linking chưa đủ để tránh cạnh tranh lẫn nhau.</t>
        </is>
      </c>
      <c r="I37" s="3" t="inlineStr">
        <is>
          <t>Assign one distinct primary intent per design cluster and document canonical/internal-link roles in English metadata.</t>
        </is>
      </c>
      <c r="J37" s="3" t="inlineStr">
        <is>
          <t>https://jeminise.com/products/custom-inspirational-floral-butterfly-bible-verse-blanket-d4; https://www.etsy.com/listing/4355382705/personalized-christian-blanket-god-says</t>
        </is>
      </c>
      <c r="K37" s="3" t="inlineStr">
        <is>
          <t>Keyword map shows non-overlapping primary intent for yard-line, patriotic, flame, helmet, player and camo clusters.</t>
        </is>
      </c>
    </row>
    <row r="38" ht="84" customHeight="1">
      <c r="A38" s="2" t="inlineStr">
        <is>
          <t>ISS-079-META</t>
        </is>
      </c>
      <c r="B38" s="2" t="inlineStr">
        <is>
          <t>jeminise.com+custom-inspirational-floral-butterfly-bible-verse-blanket-d4</t>
        </is>
      </c>
      <c r="C38" s="2" t="inlineStr"/>
      <c r="D38" s="2" t="inlineStr">
        <is>
          <t>MINOR</t>
        </is>
      </c>
      <c r="E38" s="2" t="inlineStr">
        <is>
          <t>meta_description_seo</t>
        </is>
      </c>
      <c r="F38" s="2" t="inlineStr">
        <is>
          <t>Shop a blanket featuring cream blanket with Haley name, colorful flowers, butterflies and vertical you are affirmation words with Bible verse references. Review size and personalization options before checkout. (210 characters)</t>
        </is>
      </c>
      <c r="G38" s="2" t="inlineStr">
        <is>
          <t>The proposed meta description exceeds the usual concise snippet range and ends with internal-style checkout guidance.</t>
        </is>
      </c>
      <c r="H38" s="2" t="inlineStr">
        <is>
          <t>Độ dài 169–200 ký tự làm tăng nguy cơ bị cắt, còn câu review options chưa nêu rõ cơ chế Customize.</t>
        </is>
      </c>
      <c r="I38" s="2" t="inlineStr">
        <is>
          <t>Shorten to about 145–160 characters and state that name/number are entered through Customize.</t>
        </is>
      </c>
      <c r="J38" s="2" t="inlineStr">
        <is>
          <t>evidence_batch_008_079</t>
        </is>
      </c>
      <c r="K38" s="2" t="inlineStr">
        <is>
          <t>Meta is concise, product-specific and accurately explains personalization.</t>
        </is>
      </c>
    </row>
    <row r="39" ht="84" customHeight="1">
      <c r="A39" s="3" t="inlineStr">
        <is>
          <t>ISS-080-DESC</t>
        </is>
      </c>
      <c r="B39" s="3" t="inlineStr">
        <is>
          <t>jeminise.com+custom-inspirational-scripture-butterflies-blanket-machine-washable</t>
        </is>
      </c>
      <c r="C39" s="3" t="inlineStr"/>
      <c r="D39" s="3" t="inlineStr">
        <is>
          <t>MAJOR</t>
        </is>
      </c>
      <c r="E39" s="3" t="inlineStr">
        <is>
          <t>description_proposed_html</t>
        </is>
      </c>
      <c r="F39" s="3" t="inlineStr">
        <is>
          <t>SEO Use / It needs QA and approval before import.</t>
        </is>
      </c>
      <c r="G39" s="3" t="inlineStr">
        <is>
          <t>Submitted HTML contains an internal workflow block.</t>
        </is>
      </c>
      <c r="H39" s="3" t="inlineStr">
        <is>
          <t>Câu nội bộ về SEO/QA/import không phải nội dung dành cho khách hàng.</t>
        </is>
      </c>
      <c r="I39" s="3" t="inlineStr">
        <is>
          <t>Remove the internal SEO Use block and retain only customer-facing English HTML.</t>
        </is>
      </c>
      <c r="J39" s="3" t="inlineStr">
        <is>
          <t>evidence_batch_008_080</t>
        </is>
      </c>
      <c r="K39" s="3" t="inlineStr">
        <is>
          <t>Rendered HTML contains no drafting, QA, approval or import instruction.</t>
        </is>
      </c>
    </row>
    <row r="40" ht="84" customHeight="1">
      <c r="A40" s="2" t="inlineStr">
        <is>
          <t>ISS-080-CANN</t>
        </is>
      </c>
      <c r="B40" s="2" t="inlineStr">
        <is>
          <t>jeminise.com+custom-inspirational-scripture-butterflies-blanket-machine-washable</t>
        </is>
      </c>
      <c r="C40" s="2" t="inlineStr"/>
      <c r="D40" s="2" t="inlineStr">
        <is>
          <t>MAJOR</t>
        </is>
      </c>
      <c r="E40" s="2" t="inlineStr">
        <is>
          <t>keyword_map/intent differentiation</t>
        </is>
      </c>
      <c r="F40" s="2" t="inlineStr">
        <is>
          <t>personalized God Says I Am butterfly blanket</t>
        </is>
      </c>
      <c r="G40" s="2" t="inlineStr">
        <is>
          <t>Ten adjacent pages target near-identical personalized American-football bedding intent.</t>
        </is>
      </c>
      <c r="H40" s="2" t="inlineStr">
        <is>
          <t>Modifier hình ảnh có khác nhưng vai trò landing page và internal linking chưa đủ để tránh cạnh tranh lẫn nhau.</t>
        </is>
      </c>
      <c r="I40" s="2" t="inlineStr">
        <is>
          <t>Assign one distinct primary intent per design cluster and document canonical/internal-link roles in English metadata.</t>
        </is>
      </c>
      <c r="J40" s="2" t="inlineStr">
        <is>
          <t>https://jeminise.com/products/custom-inspirational-scripture-butterflies-blanket-machine-washable; https://www.etsy.com/listing/4355382705/personalized-christian-blanket-god-says</t>
        </is>
      </c>
      <c r="K40" s="2" t="inlineStr">
        <is>
          <t>Keyword map shows non-overlapping primary intent for yard-line, patriotic, flame, helmet, player and camo clusters.</t>
        </is>
      </c>
    </row>
    <row r="41" ht="84" customHeight="1">
      <c r="A41" s="3" t="inlineStr">
        <is>
          <t>ISS-080-META</t>
        </is>
      </c>
      <c r="B41" s="3" t="inlineStr">
        <is>
          <t>jeminise.com+custom-inspirational-scripture-butterflies-blanket-machine-washable</t>
        </is>
      </c>
      <c r="C41" s="3" t="inlineStr"/>
      <c r="D41" s="3" t="inlineStr">
        <is>
          <t>MINOR</t>
        </is>
      </c>
      <c r="E41" s="3" t="inlineStr">
        <is>
          <t>meta_description_seo</t>
        </is>
      </c>
      <c r="F41" s="3" t="inlineStr">
        <is>
          <t>Shop a blanket featuring brown and tan God Says I Am design with monarch butterflies, the name Elizabeth and Bible verse affirmation blocks. Review size and personalization options before checkout. (197 characters)</t>
        </is>
      </c>
      <c r="G41" s="3" t="inlineStr">
        <is>
          <t>The proposed meta description exceeds the usual concise snippet range and ends with internal-style checkout guidance.</t>
        </is>
      </c>
      <c r="H41" s="3" t="inlineStr">
        <is>
          <t>Độ dài 169–200 ký tự làm tăng nguy cơ bị cắt, còn câu review options chưa nêu rõ cơ chế Customize.</t>
        </is>
      </c>
      <c r="I41" s="3" t="inlineStr">
        <is>
          <t>Shorten to about 145–160 characters and state that name/number are entered through Customize.</t>
        </is>
      </c>
      <c r="J41" s="3" t="inlineStr">
        <is>
          <t>evidence_batch_008_080</t>
        </is>
      </c>
      <c r="K41" s="3" t="inlineStr">
        <is>
          <t>Meta is concise, product-specific and accurately explains personalization.</t>
        </is>
      </c>
    </row>
    <row r="42" ht="84" customHeight="1">
      <c r="A42" s="2" t="inlineStr">
        <is>
          <t>ISS-GLOBAL-ADMIN</t>
        </is>
      </c>
      <c r="B42" s="2" t="inlineStr"/>
      <c r="C42" s="2" t="inlineStr"/>
      <c r="D42" s="2" t="inlineStr">
        <is>
          <t>LIMITATION</t>
        </is>
      </c>
      <c r="E42" s="2" t="inlineStr">
        <is>
          <t>current admin SEO fields/current admin alt</t>
        </is>
      </c>
      <c r="F42" s="2" t="inlineStr">
        <is>
          <t>Not supplied</t>
        </is>
      </c>
      <c r="G42" s="2" t="inlineStr">
        <is>
          <t>Storefront metadata and product.js media alt were readable, but no Shopify admin export was provided.</t>
        </is>
      </c>
      <c r="H42" s="2" t="inlineStr">
        <is>
          <t>Storefront values cannot prove admin fields or future import mapping.</t>
        </is>
      </c>
      <c r="I42" s="2" t="inlineStr">
        <is>
          <t>Provide a frozen Shopify admin/export snapshot before deployment approval.</t>
        </is>
      </c>
      <c r="J42" s="2" t="inlineStr">
        <is>
          <t>D:\Shopify_Workspace\jeminise_seo\resutls\jeminise.com\20260906_234129\batches\SEO_Product_Optimization_through_batch_008.xlsx</t>
        </is>
      </c>
      <c r="K42" s="2" t="inlineStr">
        <is>
          <t>Admin export revision and hash are frozen and compared.</t>
        </is>
      </c>
    </row>
    <row r="43" ht="84" customHeight="1">
      <c r="A43" s="3" t="inlineStr">
        <is>
          <t>ISS-GLOBAL-SNAPSHOT-HTML</t>
        </is>
      </c>
      <c r="B43" s="3" t="inlineStr"/>
      <c r="C43" s="3" t="inlineStr"/>
      <c r="D43" s="3" t="inlineStr">
        <is>
          <t>LIMITATION</t>
        </is>
      </c>
      <c r="E43" s="3" t="inlineStr">
        <is>
          <t>phase-1 HTML snapshot</t>
        </is>
      </c>
      <c r="F43" s="3" t="inlineStr">
        <is>
          <t>Phase-1 HTML fetch returned HTTP 403.</t>
        </is>
      </c>
      <c r="G43" s="3" t="inlineStr">
        <is>
          <t>Frozen product JSON/body/options/gallery URLs match live, but old rendered metadata cannot be compared directly.</t>
        </is>
      </c>
      <c r="H43" s="3" t="inlineStr">
        <is>
          <t>Snapshot HTML cũ không đọc được nên không thể dùng hash HTML để kết luận drift.</t>
        </is>
      </c>
      <c r="I43" s="3" t="inlineStr">
        <is>
          <t>Capture a fresh immutable HTML snapshot for the next revision.</t>
        </is>
      </c>
      <c r="J43" s="3" t="inlineStr">
        <is>
          <t>D:\Shopify_Workspace\jeminise_seo\seo_runs\jeminise.com\20260906_234129\qa\20260907_173014\live_source_comparison.json</t>
        </is>
      </c>
      <c r="K43" s="3" t="inlineStr">
        <is>
          <t>Both old and new readable HTML snapshots are available with hashes.</t>
        </is>
      </c>
    </row>
    <row r="44" ht="84" customHeight="1">
      <c r="A44" s="2" t="inlineStr">
        <is>
          <t>ISS-GLOBAL-CUSTOMIZER</t>
        </is>
      </c>
      <c r="B44" s="2" t="inlineStr"/>
      <c r="C44" s="2" t="inlineStr"/>
      <c r="D44" s="2" t="inlineStr">
        <is>
          <t>LIMITATION</t>
        </is>
      </c>
      <c r="E44" s="2" t="inlineStr">
        <is>
          <t>personalization purchase persistence</t>
        </is>
      </c>
      <c r="F44" s="2" t="inlineStr">
        <is>
          <t>Customizer root, button, upload endpoint and Name/Number schema verified in live HTML for all 10 products.</t>
        </is>
      </c>
      <c r="G44" s="2" t="inlineStr">
        <is>
          <t>An interactive browser was unavailable, so the final cart-line persistence and fulfillment payload were not executed.</t>
        </is>
      </c>
      <c r="H44" s="2" t="inlineStr">
        <is>
          <t>Cấu hình live hỗ trợ claim personalization, nhưng chưa kiểm thử end-to-end đến giỏ hàng.</t>
        </is>
      </c>
      <c r="I44" s="2" t="inlineStr">
        <is>
          <t>Run one controlled Customize-to-cart transaction per configuration revision before deployment approval.</t>
        </is>
      </c>
      <c r="J44" s="2" t="inlineStr">
        <is>
          <t>D:\Shopify_Workspace\jeminise_seo\seo_runs\jeminise.com\20260906_234129\qa\20260907_173014\customizer_audit.json</t>
        </is>
      </c>
      <c r="K44" s="2" t="inlineStr">
        <is>
          <t>Cart line retains the entered name, optional number, preview and variant mapping.</t>
        </is>
      </c>
    </row>
    <row r="45" ht="84" customHeight="1">
      <c r="A45" s="3" t="inlineStr">
        <is>
          <t>ISS-075-CUSTOMIZER-SCHEMA</t>
        </is>
      </c>
      <c r="B45" s="3" t="inlineStr">
        <is>
          <t>jeminise.com+custom-football-players-and-large-football-close-comforter-01d72ea6a0-01d72ea6a0</t>
        </is>
      </c>
      <c r="C45" s="3" t="inlineStr"/>
      <c r="D45" s="3" t="inlineStr">
        <is>
          <t>CRITICAL</t>
        </is>
      </c>
      <c r="E45" s="3" t="inlineStr">
        <is>
          <t>personalization_purchase_flow</t>
        </is>
      </c>
      <c r="F45" s="3" t="inlineStr">
        <is>
          <t>Customization / personalized claim</t>
        </is>
      </c>
      <c r="G45" s="3" t="inlineStr">
        <is>
          <t>Static live page schema mentions: name=1, number=0; root/button/upload present=True/True/True</t>
        </is>
      </c>
      <c r="H45" s="3" t="inlineStr">
        <is>
          <t>Live static evidence does not expose the claimed name/number inputs for this product; end-to-end control could not be tested.</t>
        </is>
      </c>
      <c r="I45" s="3" t="inlineStr">
        <is>
          <t>Prove the live Customize controls and fulfillment mapping, or remove personalized/custom claim from English SEO copy.</t>
        </is>
      </c>
      <c r="J45" s="3" t="inlineStr">
        <is>
          <t>D:\Shopify_Workspace\jeminise_seo\seo_runs\jeminise.com\20260906_234129\qa\20260907_173014\customizer_audit.json</t>
        </is>
      </c>
      <c r="K45" s="3" t="inlineStr">
        <is>
          <t>Reopen product, enter a test name/number where applicable, and verify cart payload before PASS.</t>
        </is>
      </c>
    </row>
    <row r="46" ht="84" customHeight="1">
      <c r="A46" s="2" t="inlineStr">
        <is>
          <t>ISS-077-CUSTOMIZER-SCHEMA</t>
        </is>
      </c>
      <c r="B46" s="2" t="inlineStr">
        <is>
          <t>jeminise.com+custom-glowing-soccer-ball-trails-comforter-set-machine-washable-a6</t>
        </is>
      </c>
      <c r="C46" s="2" t="inlineStr"/>
      <c r="D46" s="2" t="inlineStr">
        <is>
          <t>CRITICAL</t>
        </is>
      </c>
      <c r="E46" s="2" t="inlineStr">
        <is>
          <t>personalization_purchase_flow</t>
        </is>
      </c>
      <c r="F46" s="2" t="inlineStr">
        <is>
          <t>Customization / personalized claim</t>
        </is>
      </c>
      <c r="G46" s="2" t="inlineStr">
        <is>
          <t>Static live page schema mentions: name=0, number=0; root/button/upload present=True/True/True</t>
        </is>
      </c>
      <c r="H46" s="2" t="inlineStr">
        <is>
          <t>Live static evidence does not expose the claimed name/number inputs for this product; end-to-end control could not be tested.</t>
        </is>
      </c>
      <c r="I46" s="2" t="inlineStr">
        <is>
          <t>Prove the live Customize controls and fulfillment mapping, or remove personalized/custom claim from English SEO copy.</t>
        </is>
      </c>
      <c r="J46" s="2" t="inlineStr">
        <is>
          <t>D:\Shopify_Workspace\jeminise_seo\seo_runs\jeminise.com\20260906_234129\qa\20260907_173014\customizer_audit.json</t>
        </is>
      </c>
      <c r="K46" s="2" t="inlineStr">
        <is>
          <t>Reopen product, enter a test name/number where applicable, and verify cart payload before PASS.</t>
        </is>
      </c>
    </row>
    <row r="47" ht="84" customHeight="1">
      <c r="A47" s="3" t="inlineStr">
        <is>
          <t>ISS-078-CUSTOMIZER-SCHEMA</t>
        </is>
      </c>
      <c r="B47" s="3" t="inlineStr">
        <is>
          <t>jeminise.com+custom-inspirational-bible-verse-floral-blanket-d5</t>
        </is>
      </c>
      <c r="C47" s="3" t="inlineStr"/>
      <c r="D47" s="3" t="inlineStr">
        <is>
          <t>CRITICAL</t>
        </is>
      </c>
      <c r="E47" s="3" t="inlineStr">
        <is>
          <t>personalization_purchase_flow</t>
        </is>
      </c>
      <c r="F47" s="3" t="inlineStr">
        <is>
          <t>Customization / personalized claim</t>
        </is>
      </c>
      <c r="G47" s="3" t="inlineStr">
        <is>
          <t>Static live page schema mentions: name=1, number=0; root/button/upload present=True/True/True</t>
        </is>
      </c>
      <c r="H47" s="3" t="inlineStr">
        <is>
          <t>Live static evidence does not expose the claimed name/number inputs for this product; end-to-end control could not be tested.</t>
        </is>
      </c>
      <c r="I47" s="3" t="inlineStr">
        <is>
          <t>Prove the live Customize controls and fulfillment mapping, or remove personalized/custom claim from English SEO copy.</t>
        </is>
      </c>
      <c r="J47" s="3" t="inlineStr">
        <is>
          <t>D:\Shopify_Workspace\jeminise_seo\seo_runs\jeminise.com\20260906_234129\qa\20260907_173014\customizer_audit.json</t>
        </is>
      </c>
      <c r="K47" s="3" t="inlineStr">
        <is>
          <t>Reopen product, enter a test name/number where applicable, and verify cart payload before PASS.</t>
        </is>
      </c>
    </row>
    <row r="48" ht="84" customHeight="1">
      <c r="A48" s="2" t="inlineStr">
        <is>
          <t>ISS-079-CUSTOMIZER-SCHEMA</t>
        </is>
      </c>
      <c r="B48" s="2" t="inlineStr">
        <is>
          <t>jeminise.com+custom-inspirational-floral-butterfly-bible-verse-blanket-d4</t>
        </is>
      </c>
      <c r="C48" s="2" t="inlineStr"/>
      <c r="D48" s="2" t="inlineStr">
        <is>
          <t>CRITICAL</t>
        </is>
      </c>
      <c r="E48" s="2" t="inlineStr">
        <is>
          <t>personalization_purchase_flow</t>
        </is>
      </c>
      <c r="F48" s="2" t="inlineStr">
        <is>
          <t>Customization / personalized claim</t>
        </is>
      </c>
      <c r="G48" s="2" t="inlineStr">
        <is>
          <t>Static live page schema mentions: name=1, number=0; root/button/upload present=True/True/True</t>
        </is>
      </c>
      <c r="H48" s="2" t="inlineStr">
        <is>
          <t>Live static evidence does not expose the claimed name/number inputs for this product; end-to-end control could not be tested.</t>
        </is>
      </c>
      <c r="I48" s="2" t="inlineStr">
        <is>
          <t>Prove the live Customize controls and fulfillment mapping, or remove personalized/custom claim from English SEO copy.</t>
        </is>
      </c>
      <c r="J48" s="2" t="inlineStr">
        <is>
          <t>D:\Shopify_Workspace\jeminise_seo\seo_runs\jeminise.com\20260906_234129\qa\20260907_173014\customizer_audit.json</t>
        </is>
      </c>
      <c r="K48" s="2" t="inlineStr">
        <is>
          <t>Reopen product, enter a test name/number where applicable, and verify cart payload before PASS.</t>
        </is>
      </c>
    </row>
    <row r="49" ht="84" customHeight="1">
      <c r="A49" s="3" t="inlineStr">
        <is>
          <t>ISS-080-CUSTOMIZER-SCHEMA</t>
        </is>
      </c>
      <c r="B49" s="3" t="inlineStr">
        <is>
          <t>jeminise.com+custom-inspirational-scripture-butterflies-blanket-machine-washable</t>
        </is>
      </c>
      <c r="C49" s="3" t="inlineStr"/>
      <c r="D49" s="3" t="inlineStr">
        <is>
          <t>CRITICAL</t>
        </is>
      </c>
      <c r="E49" s="3" t="inlineStr">
        <is>
          <t>personalization_purchase_flow</t>
        </is>
      </c>
      <c r="F49" s="3" t="inlineStr">
        <is>
          <t>Customization / personalized claim</t>
        </is>
      </c>
      <c r="G49" s="3" t="inlineStr">
        <is>
          <t>Static live page schema mentions: name=1, number=0; root/button/upload present=True/True/True</t>
        </is>
      </c>
      <c r="H49" s="3" t="inlineStr">
        <is>
          <t>Live static evidence does not expose the claimed name/number inputs for this product; end-to-end control could not be tested.</t>
        </is>
      </c>
      <c r="I49" s="3" t="inlineStr">
        <is>
          <t>Prove the live Customize controls and fulfillment mapping, or remove personalized/custom claim from English SEO copy.</t>
        </is>
      </c>
      <c r="J49" s="3" t="inlineStr">
        <is>
          <t>D:\Shopify_Workspace\jeminise_seo\seo_runs\jeminise.com\20260906_234129\qa\20260907_173014\customizer_audit.json</t>
        </is>
      </c>
      <c r="K49" s="3" t="inlineStr">
        <is>
          <t>Reopen product, enter a test name/number where applicable, and verify cart payload before PASS.</t>
        </is>
      </c>
    </row>
  </sheetData>
  <autoFilter ref="A1:K49"/>
  <conditionalFormatting sqref="D2:D49">
    <cfRule type="expression" priority="1" dxfId="3">
      <formula>D2="CRITICAL"</formula>
    </cfRule>
    <cfRule type="expression" priority="2" dxfId="2">
      <formula>D2="MAJOR"</formula>
    </cfRule>
    <cfRule type="expression" priority="3" dxfId="1">
      <formula>D2="MINOR"</formula>
    </cfRule>
    <cfRule type="expression" priority="4" dxfId="4">
      <formula>D2="LIMITATION"</formula>
    </cfRule>
  </conditionalFormatting>
  <printOptions horizontalCentered="0"/>
  <pageMargins left="0.25" right="0.25" top="0.5" bottom="0.5" header="0.5" footer="0.5"/>
  <pageSetup orientation="landscape" fitToHeight="0" fitToWidth="2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2026-09-07T10:43:56Z</dcterms:created>
  <dcterms:modified xmlns:dcterms="http://purl.org/dc/terms/" xmlns:xsi="http://www.w3.org/2001/XMLSchema-instance" xsi:type="dcterms:W3CDTF">2026-09-07T10:43:57Z</dcterms:modified>
</cp:coreProperties>
</file>