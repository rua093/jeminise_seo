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_Summary" sheetId="1" state="visible" r:id="rId1"/>
    <sheet xmlns:r="http://schemas.openxmlformats.org/officeDocument/2006/relationships" name="QA_Products" sheetId="2" state="visible" r:id="rId2"/>
    <sheet xmlns:r="http://schemas.openxmlformats.org/officeDocument/2006/relationships" name="QA_Criteria" sheetId="3" state="visible" r:id="rId3"/>
    <sheet xmlns:r="http://schemas.openxmlformats.org/officeDocument/2006/relationships" name="QA_Images" sheetId="4" state="visible" r:id="rId4"/>
    <sheet xmlns:r="http://schemas.openxmlformats.org/officeDocument/2006/relationships" name="QA_Issues" sheetId="5" state="visible" r:id="rId5"/>
  </sheets>
  <definedNames>
    <definedName name="_xlnm._FilterDatabase" localSheetId="0" hidden="1">'QA_Summary'!$A$1:$C$14</definedName>
    <definedName name="_xlnm.Print_Titles" localSheetId="0">'QA_Summary'!$1:$1</definedName>
    <definedName name="_xlnm._FilterDatabase" localSheetId="1" hidden="1">'QA_Products'!$A$1:$W$11</definedName>
    <definedName name="_xlnm.Print_Titles" localSheetId="1">'QA_Products'!$1:$1</definedName>
    <definedName name="_xlnm._FilterDatabase" localSheetId="2" hidden="1">'QA_Criteria'!$A$1:$J$111</definedName>
    <definedName name="_xlnm.Print_Titles" localSheetId="2">'QA_Criteria'!$1:$1</definedName>
    <definedName name="_xlnm._FilterDatabase" localSheetId="3" hidden="1">'QA_Images'!$A$1:$Z$66</definedName>
    <definedName name="_xlnm.Print_Titles" localSheetId="3">'QA_Images'!$1:$1</definedName>
    <definedName name="_xlnm._FilterDatabase" localSheetId="4" hidden="1">'QA_Issues'!$A$1:$K$66</definedName>
    <definedName name="_xlnm.Print_Titles" localSheetId="4">'QA_Issues'!$1:$1</definedName>
  </definedNames>
  <calcPr calcId="124519" calcMode="auto" fullCalcOnLoad="1" forceFullCalc="1"/>
</workbook>
</file>

<file path=xl/styles.xml><?xml version="1.0" encoding="utf-8"?>
<styleSheet xmlns="http://schemas.openxmlformats.org/spreadsheetml/2006/main">
  <numFmts count="2">
    <numFmt numFmtId="164" formatCode="0.0"/>
    <numFmt numFmtId="165" formatCode="0.0%"/>
  </numFmts>
  <fonts count="4">
    <font>
      <name val="Calibri"/>
      <family val="2"/>
      <color theme="1"/>
      <sz val="11"/>
      <scheme val="minor"/>
    </font>
    <font>
      <name val="Aptos Display"/>
      <b val="1"/>
      <color rgb="00FFFFFF"/>
      <sz val="11"/>
    </font>
    <font>
      <name val="Aptos"/>
      <color rgb="001F2937"/>
      <sz val="10"/>
    </font>
    <font>
      <name val="Calibri"/>
      <family val="2"/>
      <color theme="10"/>
      <sz val="12"/>
      <scheme val="minor"/>
    </font>
  </fonts>
  <fills count="4">
    <fill>
      <patternFill/>
    </fill>
    <fill>
      <patternFill patternType="gray125"/>
    </fill>
    <fill>
      <patternFill patternType="solid">
        <fgColor rgb="0017365D"/>
      </patternFill>
    </fill>
    <fill>
      <patternFill patternType="solid">
        <fgColor rgb="00F8FAFC"/>
      </patternFill>
    </fill>
  </fills>
  <borders count="3">
    <border>
      <left/>
      <right/>
      <top/>
      <bottom/>
      <diagonal/>
    </border>
    <border>
      <bottom style="medium">
        <color rgb="002F75B5"/>
      </bottom>
    </border>
    <border>
      <bottom style="thin">
        <color rgb="00CBD5E1"/>
      </bottom>
    </border>
  </borders>
  <cellStyleXfs count="2">
    <xf numFmtId="0" fontId="0" fillId="0" borderId="0"/>
    <xf numFmtId="0" fontId="3"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vertical="top" wrapText="1"/>
    </xf>
    <xf numFmtId="0" fontId="2" fillId="0" borderId="2" applyAlignment="1" pivotButton="0" quotePrefix="0" xfId="0">
      <alignment vertical="top" wrapText="1"/>
    </xf>
    <xf numFmtId="0" fontId="3" fillId="0" borderId="0" applyAlignment="1" pivotButton="0" quotePrefix="0" xfId="1">
      <alignment vertical="top" wrapText="1"/>
    </xf>
    <xf numFmtId="164" fontId="2" fillId="3" borderId="2" applyAlignment="1" pivotButton="0" quotePrefix="0" xfId="0">
      <alignment vertical="top" wrapText="1"/>
    </xf>
    <xf numFmtId="165" fontId="2" fillId="3" borderId="2" applyAlignment="1" pivotButton="0" quotePrefix="0" xfId="0">
      <alignment vertical="top" wrapText="1"/>
    </xf>
    <xf numFmtId="164" fontId="2" fillId="0" borderId="2" applyAlignment="1" pivotButton="0" quotePrefix="0" xfId="0">
      <alignment vertical="top" wrapText="1"/>
    </xf>
    <xf numFmtId="165" fontId="2" fillId="0" borderId="2" applyAlignment="1" pivotButton="0" quotePrefix="0" xfId="0">
      <alignment vertical="top" wrapText="1"/>
    </xf>
  </cellXfs>
  <cellStyles count="2">
    <cellStyle name="Normal" xfId="0" builtinId="0" hidden="0"/>
    <cellStyle name="Hyperlink" xfId="1" builtinId="8" hidden="0"/>
  </cellStyles>
  <dxfs count="5">
    <dxf>
      <fill>
        <patternFill patternType="solid">
          <fgColor rgb="00E2F0D9"/>
        </patternFill>
      </fill>
    </dxf>
    <dxf>
      <fill>
        <patternFill patternType="solid">
          <fgColor rgb="00FFF2CC"/>
        </patternFill>
      </fill>
    </dxf>
    <dxf>
      <fill>
        <patternFill patternType="solid">
          <fgColor rgb="00FCE4D6"/>
        </patternFill>
      </fill>
    </dxf>
    <dxf>
      <fill>
        <patternFill patternType="solid">
          <fgColor rgb="00F4CCCC"/>
        </patternFill>
      </fill>
    </dxf>
    <dxf>
      <fill>
        <patternFill patternType="solid">
          <fgColor rgb="00E4DFE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jeminise.com/products/autumn-cardinals-perched-above-large-sunflowers-quilt-with-cardinal-birds-9a3b408b20-9a3b408b20" TargetMode="External" Id="rId1"/><Relationship Type="http://schemas.openxmlformats.org/officeDocument/2006/relationships/hyperlink" Target="https://jeminise.com/products/bright-teal-yellow-softball-comforter-set-premium-sports-theme" TargetMode="External" Id="rId2"/><Relationship Type="http://schemas.openxmlformats.org/officeDocument/2006/relationships/hyperlink" Target="https://jeminise.com/products/cardinals-perched-beside-decorated-christmas-tree-patchwork-winter-quilt-7cd7bc46a0-7cd7bc46a0" TargetMode="External" Id="rId3"/><Relationship Type="http://schemas.openxmlformats.org/officeDocument/2006/relationships/hyperlink" Target="https://jeminise.com/products/cardinals-perched-on-branch-with-roses-patchwork-winter-quilt-21ac904cd7-21ac904cd7" TargetMode="External" Id="rId4"/><Relationship Type="http://schemas.openxmlformats.org/officeDocument/2006/relationships/hyperlink" Target="https://jeminise.com/products/cat-patchwork-quilt-set-animal-pattern-bedding-cat-pattern-quilt-set" TargetMode="External" Id="rId5"/><Relationship Type="http://schemas.openxmlformats.org/officeDocument/2006/relationships/hyperlink" Target="https://jeminise.com/products/cat-quilt-set-cat-patchwork-style-printed-bedding-animal-patchwork" TargetMode="External" Id="rId6"/><Relationship Type="http://schemas.openxmlformats.org/officeDocument/2006/relationships/hyperlink" Target="https://jeminise.com/products/celtic-and-fantasy-quilt-set-with-twisting-tree-trunk-and-exposed-roots-c7b1460bad-c7b1460bad" TargetMode="External" Id="rId7"/><Relationship Type="http://schemas.openxmlformats.org/officeDocument/2006/relationships/hyperlink" Target="https://jeminise.com/products/celtic-mythology-tree-of-life-quilt-set-with-celtic-knotwork-border-12786aba7e-12786aba7e" TargetMode="External" Id="rId8"/><Relationship Type="http://schemas.openxmlformats.org/officeDocument/2006/relationships/hyperlink" Target="https://jeminise.com/products/chicken-pattern-quilt-set-animal-patchwork-farmhouse-quilt-set" TargetMode="External" Id="rId9"/><Relationship Type="http://schemas.openxmlformats.org/officeDocument/2006/relationships/hyperlink" Target="https://jeminise.com/products/christian-bedding-set-inspirational-bible-verse-comforte-design-01" TargetMode="External" Id="rId10"/></Relationships>
</file>

<file path=xl/worksheets/_rels/sheet4.xml.rels><Relationships xmlns="http://schemas.openxmlformats.org/package/2006/relationships"><Relationship Type="http://schemas.openxmlformats.org/officeDocument/2006/relationships/hyperlink" Target="https://cdn.shopify.com/s/files/1/0792/5098/1063/files/0754b2731a7ffd916d0ef8b214706e796d780fbd4ba38c8f47f27b6dcfbf352e.jpg?v=1785099190" TargetMode="External" Id="rId1"/><Relationship Type="http://schemas.openxmlformats.org/officeDocument/2006/relationships/hyperlink" Target="https://cdn.shopify.com/s/files/1/0792/5098/1063/files/0754b2731a7ffd916d0ef8b214706e796d780fbd4ba38c8f47f27b6dcfbf352e.jpg?v=1785099190" TargetMode="External" Id="rId2"/><Relationship Type="http://schemas.openxmlformats.org/officeDocument/2006/relationships/hyperlink" Target="https://cdn.shopify.com/s/files/1/0792/5098/1063/files/a10aa0018e665e644a60b7c4aea8b5e152ec768ebb35af1090452cddbc9e9828.jpg?v=1785099190" TargetMode="External" Id="rId3"/><Relationship Type="http://schemas.openxmlformats.org/officeDocument/2006/relationships/hyperlink" Target="https://cdn.shopify.com/s/files/1/0792/5098/1063/files/a10aa0018e665e644a60b7c4aea8b5e152ec768ebb35af1090452cddbc9e9828.jpg?v=1785099190" TargetMode="External" Id="rId4"/><Relationship Type="http://schemas.openxmlformats.org/officeDocument/2006/relationships/hyperlink" Target="https://cdn.shopify.com/s/files/1/0792/5098/1063/files/c50488380d22611c83d218b77be9cfcf5799df4d9903913c09a1798712931b22.jpg?v=1785099190" TargetMode="External" Id="rId5"/><Relationship Type="http://schemas.openxmlformats.org/officeDocument/2006/relationships/hyperlink" Target="https://cdn.shopify.com/s/files/1/0792/5098/1063/files/c50488380d22611c83d218b77be9cfcf5799df4d9903913c09a1798712931b22.jpg?v=1785099190" TargetMode="External" Id="rId6"/><Relationship Type="http://schemas.openxmlformats.org/officeDocument/2006/relationships/hyperlink" Target="https://cdn.shopify.com/s/files/1/0792/5098/1063/files/455c5869333cc7654f6c30f3d09716ec1513311734a21a6aa82bf5fe0767ac69.jpg?v=1785099191" TargetMode="External" Id="rId7"/><Relationship Type="http://schemas.openxmlformats.org/officeDocument/2006/relationships/hyperlink" Target="https://cdn.shopify.com/s/files/1/0792/5098/1063/files/455c5869333cc7654f6c30f3d09716ec1513311734a21a6aa82bf5fe0767ac69.jpg?v=1785099191" TargetMode="External" Id="rId8"/><Relationship Type="http://schemas.openxmlformats.org/officeDocument/2006/relationships/hyperlink" Target="https://cdn.shopify.com/s/files/1/0792/5098/1063/files/f17ccb354040b3320b99a1960533bd6ef949db1145d3897d55a33673489caad9.jpg?v=1785099190" TargetMode="External" Id="rId9"/><Relationship Type="http://schemas.openxmlformats.org/officeDocument/2006/relationships/hyperlink" Target="https://cdn.shopify.com/s/files/1/0792/5098/1063/files/f17ccb354040b3320b99a1960533bd6ef949db1145d3897d55a33673489caad9.jpg?v=1785099190" TargetMode="External" Id="rId10"/><Relationship Type="http://schemas.openxmlformats.org/officeDocument/2006/relationships/hyperlink" Target="https://cdn.shopify.com/s/files/1/0792/5098/1063/files/aaac3be2edd458da15620b4b48ea0557ee8e33aa5a6ff9ed0d0db11848fd4cbe.jpg?v=1787245111" TargetMode="External" Id="rId11"/><Relationship Type="http://schemas.openxmlformats.org/officeDocument/2006/relationships/hyperlink" Target="https://cdn.shopify.com/s/files/1/0792/5098/1063/files/aaac3be2edd458da15620b4b48ea0557ee8e33aa5a6ff9ed0d0db11848fd4cbe.jpg?v=1787245111" TargetMode="External" Id="rId12"/><Relationship Type="http://schemas.openxmlformats.org/officeDocument/2006/relationships/hyperlink" Target="https://cdn.shopify.com/s/files/1/0792/5098/1063/files/b4d8d185bcbb550263dadfadb3419fffc97f4c44e070091e393e7296e5d6fb3c.jpg?v=1787245111" TargetMode="External" Id="rId13"/><Relationship Type="http://schemas.openxmlformats.org/officeDocument/2006/relationships/hyperlink" Target="https://cdn.shopify.com/s/files/1/0792/5098/1063/files/b4d8d185bcbb550263dadfadb3419fffc97f4c44e070091e393e7296e5d6fb3c.jpg?v=1787245111" TargetMode="External" Id="rId14"/><Relationship Type="http://schemas.openxmlformats.org/officeDocument/2006/relationships/hyperlink" Target="https://cdn.shopify.com/s/files/1/0792/5098/1063/files/4905418785c478f3ccf76145151452929eacdfc883190607ac14b204c401e760.jpg?v=1787245111" TargetMode="External" Id="rId15"/><Relationship Type="http://schemas.openxmlformats.org/officeDocument/2006/relationships/hyperlink" Target="https://cdn.shopify.com/s/files/1/0792/5098/1063/files/4905418785c478f3ccf76145151452929eacdfc883190607ac14b204c401e760.jpg?v=1787245111" TargetMode="External" Id="rId16"/><Relationship Type="http://schemas.openxmlformats.org/officeDocument/2006/relationships/hyperlink" Target="https://cdn.shopify.com/s/files/1/0792/5098/1063/files/66e753b90ce33322bda9902192b0d181e5f65b4823b1464fb51d32bee82398ed.jpg?v=1787245111" TargetMode="External" Id="rId17"/><Relationship Type="http://schemas.openxmlformats.org/officeDocument/2006/relationships/hyperlink" Target="https://cdn.shopify.com/s/files/1/0792/5098/1063/files/66e753b90ce33322bda9902192b0d181e5f65b4823b1464fb51d32bee82398ed.jpg?v=1787245111" TargetMode="External" Id="rId18"/><Relationship Type="http://schemas.openxmlformats.org/officeDocument/2006/relationships/hyperlink" Target="https://cdn.shopify.com/s/files/1/0792/5098/1063/files/a8d8145d1b6e7b4bbc3eb1dc71a100a3f3243648810f40f7f678de166dbfd428.jpg?v=1787245111" TargetMode="External" Id="rId19"/><Relationship Type="http://schemas.openxmlformats.org/officeDocument/2006/relationships/hyperlink" Target="https://cdn.shopify.com/s/files/1/0792/5098/1063/files/a8d8145d1b6e7b4bbc3eb1dc71a100a3f3243648810f40f7f678de166dbfd428.jpg?v=1787245111" TargetMode="External" Id="rId20"/><Relationship Type="http://schemas.openxmlformats.org/officeDocument/2006/relationships/hyperlink" Target="https://cdn.shopify.com/s/files/1/0792/5098/1063/files/b5c74b68d1b4eff2209b7123e3fbe61d1e31afd73aa5ba647e17c194e2e66c44_6ab5c586-a618-40f4-b48e-38e09e6a461b.jpg?v=1787245111" TargetMode="External" Id="rId21"/><Relationship Type="http://schemas.openxmlformats.org/officeDocument/2006/relationships/hyperlink" Target="https://cdn.shopify.com/s/files/1/0792/5098/1063/files/b5c74b68d1b4eff2209b7123e3fbe61d1e31afd73aa5ba647e17c194e2e66c44_6ab5c586-a618-40f4-b48e-38e09e6a461b.jpg?v=1787245111" TargetMode="External" Id="rId22"/><Relationship Type="http://schemas.openxmlformats.org/officeDocument/2006/relationships/hyperlink" Target="https://cdn.shopify.com/s/files/1/0792/5098/1063/files/a0ebf0c8e5cb1f2c8f924529805ea1d20494460dd41a740514b8862f5d5a2f4f_b03a920f-a52a-4b39-842e-77c13ca56137.jpg?v=1787245111" TargetMode="External" Id="rId23"/><Relationship Type="http://schemas.openxmlformats.org/officeDocument/2006/relationships/hyperlink" Target="https://cdn.shopify.com/s/files/1/0792/5098/1063/files/a0ebf0c8e5cb1f2c8f924529805ea1d20494460dd41a740514b8862f5d5a2f4f_b03a920f-a52a-4b39-842e-77c13ca56137.jpg?v=1787245111" TargetMode="External" Id="rId24"/><Relationship Type="http://schemas.openxmlformats.org/officeDocument/2006/relationships/hyperlink" Target="https://cdn.shopify.com/s/files/1/0792/5098/1063/files/3a652bff5b2cdcf1fb571a14f08c2175d783a6106bb14665fb5861e23501a1fa.jpg?v=1785099109" TargetMode="External" Id="rId25"/><Relationship Type="http://schemas.openxmlformats.org/officeDocument/2006/relationships/hyperlink" Target="https://cdn.shopify.com/s/files/1/0792/5098/1063/files/3a652bff5b2cdcf1fb571a14f08c2175d783a6106bb14665fb5861e23501a1fa.jpg?v=1785099109" TargetMode="External" Id="rId26"/><Relationship Type="http://schemas.openxmlformats.org/officeDocument/2006/relationships/hyperlink" Target="https://cdn.shopify.com/s/files/1/0792/5098/1063/files/23aae70766fcc57c63f2a120721dae1baf196f15ef46a71bef7a702d11c656ca.jpg?v=1785099109" TargetMode="External" Id="rId27"/><Relationship Type="http://schemas.openxmlformats.org/officeDocument/2006/relationships/hyperlink" Target="https://cdn.shopify.com/s/files/1/0792/5098/1063/files/23aae70766fcc57c63f2a120721dae1baf196f15ef46a71bef7a702d11c656ca.jpg?v=1785099109" TargetMode="External" Id="rId28"/><Relationship Type="http://schemas.openxmlformats.org/officeDocument/2006/relationships/hyperlink" Target="https://cdn.shopify.com/s/files/1/0792/5098/1063/files/3357b4715872fc6507e88263f9aa17ed3b1495f7db35293b4d27a2a5b80d78cc.jpg?v=1785099109" TargetMode="External" Id="rId29"/><Relationship Type="http://schemas.openxmlformats.org/officeDocument/2006/relationships/hyperlink" Target="https://cdn.shopify.com/s/files/1/0792/5098/1063/files/3357b4715872fc6507e88263f9aa17ed3b1495f7db35293b4d27a2a5b80d78cc.jpg?v=1785099109" TargetMode="External" Id="rId30"/><Relationship Type="http://schemas.openxmlformats.org/officeDocument/2006/relationships/hyperlink" Target="https://cdn.shopify.com/s/files/1/0792/5098/1063/files/04eb35beff0bef995d4912767e2bdec2b80be1f53292fdd9777645dd9375b5aa.jpg?v=1785099109" TargetMode="External" Id="rId31"/><Relationship Type="http://schemas.openxmlformats.org/officeDocument/2006/relationships/hyperlink" Target="https://cdn.shopify.com/s/files/1/0792/5098/1063/files/04eb35beff0bef995d4912767e2bdec2b80be1f53292fdd9777645dd9375b5aa.jpg?v=1785099109" TargetMode="External" Id="rId32"/><Relationship Type="http://schemas.openxmlformats.org/officeDocument/2006/relationships/hyperlink" Target="https://cdn.shopify.com/s/files/1/0792/5098/1063/files/61192968c1230d5ae97babcfd885b0b0e273f4d893aaaf63a91706f8a569a358.jpg?v=1785099109" TargetMode="External" Id="rId33"/><Relationship Type="http://schemas.openxmlformats.org/officeDocument/2006/relationships/hyperlink" Target="https://cdn.shopify.com/s/files/1/0792/5098/1063/files/61192968c1230d5ae97babcfd885b0b0e273f4d893aaaf63a91706f8a569a358.jpg?v=1785099109" TargetMode="External" Id="rId34"/><Relationship Type="http://schemas.openxmlformats.org/officeDocument/2006/relationships/hyperlink" Target="https://cdn.shopify.com/s/files/1/0792/5098/1063/files/e3dd349b4f8425ce46aea21296a0670e616f15f912e8415586fd0ccdb402fadf.jpg?v=1785099574" TargetMode="External" Id="rId35"/><Relationship Type="http://schemas.openxmlformats.org/officeDocument/2006/relationships/hyperlink" Target="https://cdn.shopify.com/s/files/1/0792/5098/1063/files/e3dd349b4f8425ce46aea21296a0670e616f15f912e8415586fd0ccdb402fadf.jpg?v=1785099574" TargetMode="External" Id="rId36"/><Relationship Type="http://schemas.openxmlformats.org/officeDocument/2006/relationships/hyperlink" Target="https://cdn.shopify.com/s/files/1/0792/5098/1063/files/5df2ae7ecc00cd0ab65d149177b7575a1608763d1d943fb3e9c2f1d9d8ad8183.jpg?v=1785099574" TargetMode="External" Id="rId37"/><Relationship Type="http://schemas.openxmlformats.org/officeDocument/2006/relationships/hyperlink" Target="https://cdn.shopify.com/s/files/1/0792/5098/1063/files/5df2ae7ecc00cd0ab65d149177b7575a1608763d1d943fb3e9c2f1d9d8ad8183.jpg?v=1785099574" TargetMode="External" Id="rId38"/><Relationship Type="http://schemas.openxmlformats.org/officeDocument/2006/relationships/hyperlink" Target="https://cdn.shopify.com/s/files/1/0792/5098/1063/files/237f2056af02c2988db426ce4802f4abd6dac07ceb24c04b20a244c9be27b457.jpg?v=1785099574" TargetMode="External" Id="rId39"/><Relationship Type="http://schemas.openxmlformats.org/officeDocument/2006/relationships/hyperlink" Target="https://cdn.shopify.com/s/files/1/0792/5098/1063/files/237f2056af02c2988db426ce4802f4abd6dac07ceb24c04b20a244c9be27b457.jpg?v=1785099574" TargetMode="External" Id="rId40"/><Relationship Type="http://schemas.openxmlformats.org/officeDocument/2006/relationships/hyperlink" Target="https://cdn.shopify.com/s/files/1/0792/5098/1063/files/f1d2e21fbc5647f823f22c48940e5deec0311ead7e9b772c492ecf82b2b3ff3b.jpg?v=1785099574" TargetMode="External" Id="rId41"/><Relationship Type="http://schemas.openxmlformats.org/officeDocument/2006/relationships/hyperlink" Target="https://cdn.shopify.com/s/files/1/0792/5098/1063/files/f1d2e21fbc5647f823f22c48940e5deec0311ead7e9b772c492ecf82b2b3ff3b.jpg?v=1785099574" TargetMode="External" Id="rId42"/><Relationship Type="http://schemas.openxmlformats.org/officeDocument/2006/relationships/hyperlink" Target="https://cdn.shopify.com/s/files/1/0792/5098/1063/files/1cb933b580b777ff9fc7d527ca0ea879bde39d1f8b7faaac1505885401cf4b7b.jpg?v=1785099574" TargetMode="External" Id="rId43"/><Relationship Type="http://schemas.openxmlformats.org/officeDocument/2006/relationships/hyperlink" Target="https://cdn.shopify.com/s/files/1/0792/5098/1063/files/1cb933b580b777ff9fc7d527ca0ea879bde39d1f8b7faaac1505885401cf4b7b.jpg?v=1785099574" TargetMode="External" Id="rId44"/><Relationship Type="http://schemas.openxmlformats.org/officeDocument/2006/relationships/hyperlink" Target="https://cdn.shopify.com/s/files/1/0792/5098/1063/files/4cb58385aa64c7ba3ce5dabd48014490cd060d90ab8ef7be5d1681dbc0c68a37.jpg?v=1787233666" TargetMode="External" Id="rId45"/><Relationship Type="http://schemas.openxmlformats.org/officeDocument/2006/relationships/hyperlink" Target="https://cdn.shopify.com/s/files/1/0792/5098/1063/files/4cb58385aa64c7ba3ce5dabd48014490cd060d90ab8ef7be5d1681dbc0c68a37.jpg?v=1787233666" TargetMode="External" Id="rId46"/><Relationship Type="http://schemas.openxmlformats.org/officeDocument/2006/relationships/hyperlink" Target="https://cdn.shopify.com/s/files/1/0792/5098/1063/files/94180d9f213d8233e384ef8416ec958afd6fe38eeda43d032fd598d852a3a274.jpg?v=1787233665" TargetMode="External" Id="rId47"/><Relationship Type="http://schemas.openxmlformats.org/officeDocument/2006/relationships/hyperlink" Target="https://cdn.shopify.com/s/files/1/0792/5098/1063/files/94180d9f213d8233e384ef8416ec958afd6fe38eeda43d032fd598d852a3a274.jpg?v=1787233665" TargetMode="External" Id="rId48"/><Relationship Type="http://schemas.openxmlformats.org/officeDocument/2006/relationships/hyperlink" Target="https://cdn.shopify.com/s/files/1/0792/5098/1063/files/a98e42be7f34a03d4b9ee94c19374ef39f213c4ad9c5936eb702be120e072cb3.jpg?v=1787233666" TargetMode="External" Id="rId49"/><Relationship Type="http://schemas.openxmlformats.org/officeDocument/2006/relationships/hyperlink" Target="https://cdn.shopify.com/s/files/1/0792/5098/1063/files/a98e42be7f34a03d4b9ee94c19374ef39f213c4ad9c5936eb702be120e072cb3.jpg?v=1787233666" TargetMode="External" Id="rId50"/><Relationship Type="http://schemas.openxmlformats.org/officeDocument/2006/relationships/hyperlink" Target="https://cdn.shopify.com/s/files/1/0792/5098/1063/files/06467b270df2093a70f746e873ebb0b88964a81ef45800624c02604fd1ec068a.jpg?v=1787233666" TargetMode="External" Id="rId51"/><Relationship Type="http://schemas.openxmlformats.org/officeDocument/2006/relationships/hyperlink" Target="https://cdn.shopify.com/s/files/1/0792/5098/1063/files/06467b270df2093a70f746e873ebb0b88964a81ef45800624c02604fd1ec068a.jpg?v=1787233666" TargetMode="External" Id="rId52"/><Relationship Type="http://schemas.openxmlformats.org/officeDocument/2006/relationships/hyperlink" Target="https://cdn.shopify.com/s/files/1/0792/5098/1063/files/1869de0465a480871b4b80a13c5f44c85e64ca5f22f90032fa07b5ca5660dbfb.jpg?v=1787233666" TargetMode="External" Id="rId53"/><Relationship Type="http://schemas.openxmlformats.org/officeDocument/2006/relationships/hyperlink" Target="https://cdn.shopify.com/s/files/1/0792/5098/1063/files/1869de0465a480871b4b80a13c5f44c85e64ca5f22f90032fa07b5ca5660dbfb.jpg?v=1787233666" TargetMode="External" Id="rId54"/><Relationship Type="http://schemas.openxmlformats.org/officeDocument/2006/relationships/hyperlink" Target="https://cdn.shopify.com/s/files/1/0792/5098/1063/files/bac284f19ea6eaebff7bffc00fe351531fdc59f4eed7da6ff7803f1bb87999b1.jpg?v=1787233665" TargetMode="External" Id="rId55"/><Relationship Type="http://schemas.openxmlformats.org/officeDocument/2006/relationships/hyperlink" Target="https://cdn.shopify.com/s/files/1/0792/5098/1063/files/bac284f19ea6eaebff7bffc00fe351531fdc59f4eed7da6ff7803f1bb87999b1.jpg?v=1787233665" TargetMode="External" Id="rId56"/><Relationship Type="http://schemas.openxmlformats.org/officeDocument/2006/relationships/hyperlink" Target="https://cdn.shopify.com/s/files/1/0792/5098/1063/files/08d3fe0c396e254e929909cf54b1707f62fb396b6d05c2ab0c56c631789ab04d.jpg?v=1787233665" TargetMode="External" Id="rId57"/><Relationship Type="http://schemas.openxmlformats.org/officeDocument/2006/relationships/hyperlink" Target="https://cdn.shopify.com/s/files/1/0792/5098/1063/files/08d3fe0c396e254e929909cf54b1707f62fb396b6d05c2ab0c56c631789ab04d.jpg?v=1787233665" TargetMode="External" Id="rId58"/><Relationship Type="http://schemas.openxmlformats.org/officeDocument/2006/relationships/hyperlink" Target="https://cdn.shopify.com/s/files/1/0792/5098/1063/files/168d48c33af74fd729615aa6c0790691ec2ec8ab000886bd93c0851b05764cb5.jpg?v=1787233678" TargetMode="External" Id="rId59"/><Relationship Type="http://schemas.openxmlformats.org/officeDocument/2006/relationships/hyperlink" Target="https://cdn.shopify.com/s/files/1/0792/5098/1063/files/168d48c33af74fd729615aa6c0790691ec2ec8ab000886bd93c0851b05764cb5.jpg?v=1787233678" TargetMode="External" Id="rId60"/><Relationship Type="http://schemas.openxmlformats.org/officeDocument/2006/relationships/hyperlink" Target="https://cdn.shopify.com/s/files/1/0792/5098/1063/files/5fb11ab02ba6d7c7d6dc7b600952eeed36e59dc4fd7d78e26290c5b4432ce84a.jpg?v=1787233677" TargetMode="External" Id="rId61"/><Relationship Type="http://schemas.openxmlformats.org/officeDocument/2006/relationships/hyperlink" Target="https://cdn.shopify.com/s/files/1/0792/5098/1063/files/5fb11ab02ba6d7c7d6dc7b600952eeed36e59dc4fd7d78e26290c5b4432ce84a.jpg?v=1787233677" TargetMode="External" Id="rId62"/><Relationship Type="http://schemas.openxmlformats.org/officeDocument/2006/relationships/hyperlink" Target="https://cdn.shopify.com/s/files/1/0792/5098/1063/files/016cba1137ec3b2b7bdd46e0d797a4962a5f54c2379fde509b2301ca87b4ad35.jpg?v=1787233678" TargetMode="External" Id="rId63"/><Relationship Type="http://schemas.openxmlformats.org/officeDocument/2006/relationships/hyperlink" Target="https://cdn.shopify.com/s/files/1/0792/5098/1063/files/016cba1137ec3b2b7bdd46e0d797a4962a5f54c2379fde509b2301ca87b4ad35.jpg?v=1787233678" TargetMode="External" Id="rId64"/><Relationship Type="http://schemas.openxmlformats.org/officeDocument/2006/relationships/hyperlink" Target="https://cdn.shopify.com/s/files/1/0792/5098/1063/files/f8cc70311d22e4bc770b45756e723f2451f8d0e3a5de4035dc223375ea6ac88e.jpg?v=1787233678" TargetMode="External" Id="rId65"/><Relationship Type="http://schemas.openxmlformats.org/officeDocument/2006/relationships/hyperlink" Target="https://cdn.shopify.com/s/files/1/0792/5098/1063/files/f8cc70311d22e4bc770b45756e723f2451f8d0e3a5de4035dc223375ea6ac88e.jpg?v=1787233678" TargetMode="External" Id="rId66"/><Relationship Type="http://schemas.openxmlformats.org/officeDocument/2006/relationships/hyperlink" Target="https://cdn.shopify.com/s/files/1/0792/5098/1063/files/0b98d63f67b9b39913382ed53f2a21445b22531d2b9fff267d884d37d466742f.jpg?v=1787233678" TargetMode="External" Id="rId67"/><Relationship Type="http://schemas.openxmlformats.org/officeDocument/2006/relationships/hyperlink" Target="https://cdn.shopify.com/s/files/1/0792/5098/1063/files/0b98d63f67b9b39913382ed53f2a21445b22531d2b9fff267d884d37d466742f.jpg?v=1787233678" TargetMode="External" Id="rId68"/><Relationship Type="http://schemas.openxmlformats.org/officeDocument/2006/relationships/hyperlink" Target="https://cdn.shopify.com/s/files/1/0792/5098/1063/files/5155a60b18436e391bed973022f7062d5434ddd6d570a51bc67a5fdb0c719df7.jpg?v=1787233678" TargetMode="External" Id="rId69"/><Relationship Type="http://schemas.openxmlformats.org/officeDocument/2006/relationships/hyperlink" Target="https://cdn.shopify.com/s/files/1/0792/5098/1063/files/5155a60b18436e391bed973022f7062d5434ddd6d570a51bc67a5fdb0c719df7.jpg?v=1787233678" TargetMode="External" Id="rId70"/><Relationship Type="http://schemas.openxmlformats.org/officeDocument/2006/relationships/hyperlink" Target="https://cdn.shopify.com/s/files/1/0792/5098/1063/files/0df0c698011b3a8e7982071042b9453452548b6175c2c4076cc8bb84ebb1a277.jpg?v=1787233678" TargetMode="External" Id="rId71"/><Relationship Type="http://schemas.openxmlformats.org/officeDocument/2006/relationships/hyperlink" Target="https://cdn.shopify.com/s/files/1/0792/5098/1063/files/0df0c698011b3a8e7982071042b9453452548b6175c2c4076cc8bb84ebb1a277.jpg?v=1787233678" TargetMode="External" Id="rId72"/><Relationship Type="http://schemas.openxmlformats.org/officeDocument/2006/relationships/hyperlink" Target="https://cdn.shopify.com/s/files/1/0792/5098/1063/files/fa88df693fa60cabcd0f81ce06bcd29af56cdf7514f68810d99ef599203c821d.jpg?v=1785047367" TargetMode="External" Id="rId73"/><Relationship Type="http://schemas.openxmlformats.org/officeDocument/2006/relationships/hyperlink" Target="https://cdn.shopify.com/s/files/1/0792/5098/1063/files/fa88df693fa60cabcd0f81ce06bcd29af56cdf7514f68810d99ef599203c821d.jpg?v=1785047367" TargetMode="External" Id="rId74"/><Relationship Type="http://schemas.openxmlformats.org/officeDocument/2006/relationships/hyperlink" Target="https://cdn.shopify.com/s/files/1/0792/5098/1063/files/77672c69bdca6fa3e34e5d859164a2661a0ec26b6ac10221a3df3171a6df2791.jpg?v=1785047367" TargetMode="External" Id="rId75"/><Relationship Type="http://schemas.openxmlformats.org/officeDocument/2006/relationships/hyperlink" Target="https://cdn.shopify.com/s/files/1/0792/5098/1063/files/77672c69bdca6fa3e34e5d859164a2661a0ec26b6ac10221a3df3171a6df2791.jpg?v=1785047367" TargetMode="External" Id="rId76"/><Relationship Type="http://schemas.openxmlformats.org/officeDocument/2006/relationships/hyperlink" Target="https://cdn.shopify.com/s/files/1/0792/5098/1063/files/ef4c0af4b6e931816fba2b315617ce40f57b62cc23bc9476fc29bcd9f7fea3ed.jpg?v=1785047367" TargetMode="External" Id="rId77"/><Relationship Type="http://schemas.openxmlformats.org/officeDocument/2006/relationships/hyperlink" Target="https://cdn.shopify.com/s/files/1/0792/5098/1063/files/ef4c0af4b6e931816fba2b315617ce40f57b62cc23bc9476fc29bcd9f7fea3ed.jpg?v=1785047367" TargetMode="External" Id="rId78"/><Relationship Type="http://schemas.openxmlformats.org/officeDocument/2006/relationships/hyperlink" Target="https://cdn.shopify.com/s/files/1/0792/5098/1063/files/a0029afc03d47a3a82238a1bab89f1066c3687b3f06500badea074cba44f9e80.jpg?v=1785047367" TargetMode="External" Id="rId79"/><Relationship Type="http://schemas.openxmlformats.org/officeDocument/2006/relationships/hyperlink" Target="https://cdn.shopify.com/s/files/1/0792/5098/1063/files/a0029afc03d47a3a82238a1bab89f1066c3687b3f06500badea074cba44f9e80.jpg?v=1785047367" TargetMode="External" Id="rId80"/><Relationship Type="http://schemas.openxmlformats.org/officeDocument/2006/relationships/hyperlink" Target="https://cdn.shopify.com/s/files/1/0792/5098/1063/files/ce768ad21d8034d259875beb1f86914d1af6b1b5f584dd33080fe12b5797fde7.jpg?v=1785047367" TargetMode="External" Id="rId81"/><Relationship Type="http://schemas.openxmlformats.org/officeDocument/2006/relationships/hyperlink" Target="https://cdn.shopify.com/s/files/1/0792/5098/1063/files/ce768ad21d8034d259875beb1f86914d1af6b1b5f584dd33080fe12b5797fde7.jpg?v=1785047367" TargetMode="External" Id="rId82"/><Relationship Type="http://schemas.openxmlformats.org/officeDocument/2006/relationships/hyperlink" Target="https://cdn.shopify.com/s/files/1/0792/5098/1063/files/211a7f518d47f7ccc7aea2fcf7dd6eccdae71860c4b90e78d4de70ce53d36eb9.jpg?v=1785047367" TargetMode="External" Id="rId83"/><Relationship Type="http://schemas.openxmlformats.org/officeDocument/2006/relationships/hyperlink" Target="https://cdn.shopify.com/s/files/1/0792/5098/1063/files/211a7f518d47f7ccc7aea2fcf7dd6eccdae71860c4b90e78d4de70ce53d36eb9.jpg?v=1785047367" TargetMode="External" Id="rId84"/><Relationship Type="http://schemas.openxmlformats.org/officeDocument/2006/relationships/hyperlink" Target="https://cdn.shopify.com/s/files/1/0792/5098/1063/files/285b33441b58fd0660e7d9fbad77f1aeb4d88a3e3678d0ef0a1341e0d0cab3fa.jpg?v=1785047367" TargetMode="External" Id="rId85"/><Relationship Type="http://schemas.openxmlformats.org/officeDocument/2006/relationships/hyperlink" Target="https://cdn.shopify.com/s/files/1/0792/5098/1063/files/285b33441b58fd0660e7d9fbad77f1aeb4d88a3e3678d0ef0a1341e0d0cab3fa.jpg?v=1785047367" TargetMode="External" Id="rId86"/><Relationship Type="http://schemas.openxmlformats.org/officeDocument/2006/relationships/hyperlink" Target="https://cdn.shopify.com/s/files/1/0792/5098/1063/files/eeee3be59c912ddfb95b556144ad283287f06b56c3797e9000aed4094e9c0f46.jpg?v=1785047188" TargetMode="External" Id="rId87"/><Relationship Type="http://schemas.openxmlformats.org/officeDocument/2006/relationships/hyperlink" Target="https://cdn.shopify.com/s/files/1/0792/5098/1063/files/eeee3be59c912ddfb95b556144ad283287f06b56c3797e9000aed4094e9c0f46.jpg?v=1785047188" TargetMode="External" Id="rId88"/><Relationship Type="http://schemas.openxmlformats.org/officeDocument/2006/relationships/hyperlink" Target="https://cdn.shopify.com/s/files/1/0792/5098/1063/files/b62d307163504bede5d79d6a1894e1fb2390a7f6bb97d231a74b900c216c6f10.jpg?v=1785047189" TargetMode="External" Id="rId89"/><Relationship Type="http://schemas.openxmlformats.org/officeDocument/2006/relationships/hyperlink" Target="https://cdn.shopify.com/s/files/1/0792/5098/1063/files/b62d307163504bede5d79d6a1894e1fb2390a7f6bb97d231a74b900c216c6f10.jpg?v=1785047189" TargetMode="External" Id="rId90"/><Relationship Type="http://schemas.openxmlformats.org/officeDocument/2006/relationships/hyperlink" Target="https://cdn.shopify.com/s/files/1/0792/5098/1063/files/492ae2152294ed05b1b9c9c476c3f0407f72dd5f9231dfabab608600dfcfca18.jpg?v=1785047188" TargetMode="External" Id="rId91"/><Relationship Type="http://schemas.openxmlformats.org/officeDocument/2006/relationships/hyperlink" Target="https://cdn.shopify.com/s/files/1/0792/5098/1063/files/492ae2152294ed05b1b9c9c476c3f0407f72dd5f9231dfabab608600dfcfca18.jpg?v=1785047188" TargetMode="External" Id="rId92"/><Relationship Type="http://schemas.openxmlformats.org/officeDocument/2006/relationships/hyperlink" Target="https://cdn.shopify.com/s/files/1/0792/5098/1063/files/d9597bfb2c08a10fed85d6814082edddf7b30bf76e5108fb36b1aee207514584.jpg?v=1785047189" TargetMode="External" Id="rId93"/><Relationship Type="http://schemas.openxmlformats.org/officeDocument/2006/relationships/hyperlink" Target="https://cdn.shopify.com/s/files/1/0792/5098/1063/files/d9597bfb2c08a10fed85d6814082edddf7b30bf76e5108fb36b1aee207514584.jpg?v=1785047189" TargetMode="External" Id="rId94"/><Relationship Type="http://schemas.openxmlformats.org/officeDocument/2006/relationships/hyperlink" Target="https://cdn.shopify.com/s/files/1/0792/5098/1063/files/d48cccbb819c4ecffd7785e920fd2b840e50a24ee2a5033e47adf1a0f7ac2dd4.jpg?v=1785047189" TargetMode="External" Id="rId95"/><Relationship Type="http://schemas.openxmlformats.org/officeDocument/2006/relationships/hyperlink" Target="https://cdn.shopify.com/s/files/1/0792/5098/1063/files/d48cccbb819c4ecffd7785e920fd2b840e50a24ee2a5033e47adf1a0f7ac2dd4.jpg?v=1785047189" TargetMode="External" Id="rId96"/><Relationship Type="http://schemas.openxmlformats.org/officeDocument/2006/relationships/hyperlink" Target="https://cdn.shopify.com/s/files/1/0792/5098/1063/files/eb7addcbef4e997dedf995d8edc2c3fb7ac03e00ca967e746fc0f52cc5daca82.jpg?v=1785047189" TargetMode="External" Id="rId97"/><Relationship Type="http://schemas.openxmlformats.org/officeDocument/2006/relationships/hyperlink" Target="https://cdn.shopify.com/s/files/1/0792/5098/1063/files/eb7addcbef4e997dedf995d8edc2c3fb7ac03e00ca967e746fc0f52cc5daca82.jpg?v=1785047189" TargetMode="External" Id="rId98"/><Relationship Type="http://schemas.openxmlformats.org/officeDocument/2006/relationships/hyperlink" Target="https://cdn.shopify.com/s/files/1/0792/5098/1063/files/622bf0b0bbd2db15d18f7453d631905d39821f40d39fc016cd52742300cd6741.jpg?v=1785047189" TargetMode="External" Id="rId99"/><Relationship Type="http://schemas.openxmlformats.org/officeDocument/2006/relationships/hyperlink" Target="https://cdn.shopify.com/s/files/1/0792/5098/1063/files/622bf0b0bbd2db15d18f7453d631905d39821f40d39fc016cd52742300cd6741.jpg?v=1785047189" TargetMode="External" Id="rId100"/><Relationship Type="http://schemas.openxmlformats.org/officeDocument/2006/relationships/hyperlink" Target="https://cdn.shopify.com/s/files/1/0792/5098/1063/files/df2728478e8364bc96182ba33c31dd08dcdab3758f1c26ecd4c76bcfacdeadc5.jpg?v=1787233682" TargetMode="External" Id="rId101"/><Relationship Type="http://schemas.openxmlformats.org/officeDocument/2006/relationships/hyperlink" Target="https://cdn.shopify.com/s/files/1/0792/5098/1063/files/df2728478e8364bc96182ba33c31dd08dcdab3758f1c26ecd4c76bcfacdeadc5.jpg?v=1787233682" TargetMode="External" Id="rId102"/><Relationship Type="http://schemas.openxmlformats.org/officeDocument/2006/relationships/hyperlink" Target="https://cdn.shopify.com/s/files/1/0792/5098/1063/files/3fb22c532d2ea675077fa5f07538ad0693869d76604d9f54efbb12cf12dc3012.jpg?v=1787233682" TargetMode="External" Id="rId103"/><Relationship Type="http://schemas.openxmlformats.org/officeDocument/2006/relationships/hyperlink" Target="https://cdn.shopify.com/s/files/1/0792/5098/1063/files/3fb22c532d2ea675077fa5f07538ad0693869d76604d9f54efbb12cf12dc3012.jpg?v=1787233682" TargetMode="External" Id="rId104"/><Relationship Type="http://schemas.openxmlformats.org/officeDocument/2006/relationships/hyperlink" Target="https://cdn.shopify.com/s/files/1/0792/5098/1063/files/015c23cc578e135b61ae727b347772c42c1d51319bdc062c7e1f665e85a0a3f3.jpg?v=1787233682" TargetMode="External" Id="rId105"/><Relationship Type="http://schemas.openxmlformats.org/officeDocument/2006/relationships/hyperlink" Target="https://cdn.shopify.com/s/files/1/0792/5098/1063/files/015c23cc578e135b61ae727b347772c42c1d51319bdc062c7e1f665e85a0a3f3.jpg?v=1787233682" TargetMode="External" Id="rId106"/><Relationship Type="http://schemas.openxmlformats.org/officeDocument/2006/relationships/hyperlink" Target="https://cdn.shopify.com/s/files/1/0792/5098/1063/files/044a88434534608756b0c91fa034b5bd3e06078ac0802d9eb409cbb4177ff68e.jpg?v=1787233682" TargetMode="External" Id="rId107"/><Relationship Type="http://schemas.openxmlformats.org/officeDocument/2006/relationships/hyperlink" Target="https://cdn.shopify.com/s/files/1/0792/5098/1063/files/044a88434534608756b0c91fa034b5bd3e06078ac0802d9eb409cbb4177ff68e.jpg?v=1787233682" TargetMode="External" Id="rId108"/><Relationship Type="http://schemas.openxmlformats.org/officeDocument/2006/relationships/hyperlink" Target="https://cdn.shopify.com/s/files/1/0792/5098/1063/files/8f7c582280e89587a9220b27404f887ca04a3550cb155e58214bec320e7e7a84.jpg?v=1787233682" TargetMode="External" Id="rId109"/><Relationship Type="http://schemas.openxmlformats.org/officeDocument/2006/relationships/hyperlink" Target="https://cdn.shopify.com/s/files/1/0792/5098/1063/files/8f7c582280e89587a9220b27404f887ca04a3550cb155e58214bec320e7e7a84.jpg?v=1787233682" TargetMode="External" Id="rId110"/><Relationship Type="http://schemas.openxmlformats.org/officeDocument/2006/relationships/hyperlink" Target="https://cdn.shopify.com/s/files/1/0792/5098/1063/files/1790d972d34f1676ff9960602f32a073d75ae00ce5514be8d583a1bee054cb72.jpg?v=1787233682" TargetMode="External" Id="rId111"/><Relationship Type="http://schemas.openxmlformats.org/officeDocument/2006/relationships/hyperlink" Target="https://cdn.shopify.com/s/files/1/0792/5098/1063/files/1790d972d34f1676ff9960602f32a073d75ae00ce5514be8d583a1bee054cb72.jpg?v=1787233682" TargetMode="External" Id="rId112"/><Relationship Type="http://schemas.openxmlformats.org/officeDocument/2006/relationships/hyperlink" Target="https://cdn.shopify.com/s/files/1/0792/5098/1063/files/9b0208488bc2babfa22f4cf50f3e6213152506148e49cdd0bae5d159838e9105.jpg?v=1787233682" TargetMode="External" Id="rId113"/><Relationship Type="http://schemas.openxmlformats.org/officeDocument/2006/relationships/hyperlink" Target="https://cdn.shopify.com/s/files/1/0792/5098/1063/files/9b0208488bc2babfa22f4cf50f3e6213152506148e49cdd0bae5d159838e9105.jpg?v=1787233682" TargetMode="External" Id="rId114"/><Relationship Type="http://schemas.openxmlformats.org/officeDocument/2006/relationships/hyperlink" Target="https://cdn.shopify.com/s/files/1/0792/5098/1063/files/e0fe73b713afc62cfffb3946372bff45f6aba6f1bc25f209c29052448bc1decb.jpg?v=1787237695" TargetMode="External" Id="rId115"/><Relationship Type="http://schemas.openxmlformats.org/officeDocument/2006/relationships/hyperlink" Target="https://cdn.shopify.com/s/files/1/0792/5098/1063/files/e0fe73b713afc62cfffb3946372bff45f6aba6f1bc25f209c29052448bc1decb.jpg?v=1787237695" TargetMode="External" Id="rId116"/><Relationship Type="http://schemas.openxmlformats.org/officeDocument/2006/relationships/hyperlink" Target="https://cdn.shopify.com/s/files/1/0792/5098/1063/files/9a2ea3655358889bfb8939e5d43749d9fc1a68a15bb91eb7257e168947c5d449.jpg?v=1787237695" TargetMode="External" Id="rId117"/><Relationship Type="http://schemas.openxmlformats.org/officeDocument/2006/relationships/hyperlink" Target="https://cdn.shopify.com/s/files/1/0792/5098/1063/files/9a2ea3655358889bfb8939e5d43749d9fc1a68a15bb91eb7257e168947c5d449.jpg?v=1787237695" TargetMode="External" Id="rId118"/><Relationship Type="http://schemas.openxmlformats.org/officeDocument/2006/relationships/hyperlink" Target="https://cdn.shopify.com/s/files/1/0792/5098/1063/files/50f96559dd878ae5bbee14ba7a34337ccd740d21a8ffe86a8a1be819656d26c0.jpg?v=1787237695" TargetMode="External" Id="rId119"/><Relationship Type="http://schemas.openxmlformats.org/officeDocument/2006/relationships/hyperlink" Target="https://cdn.shopify.com/s/files/1/0792/5098/1063/files/50f96559dd878ae5bbee14ba7a34337ccd740d21a8ffe86a8a1be819656d26c0.jpg?v=1787237695" TargetMode="External" Id="rId120"/><Relationship Type="http://schemas.openxmlformats.org/officeDocument/2006/relationships/hyperlink" Target="https://cdn.shopify.com/s/files/1/0792/5098/1063/files/e177a63ec5fdef284072a06f2775ebbbf78d53d430946e0a479a9aea59e23193.jpg?v=1787237695" TargetMode="External" Id="rId121"/><Relationship Type="http://schemas.openxmlformats.org/officeDocument/2006/relationships/hyperlink" Target="https://cdn.shopify.com/s/files/1/0792/5098/1063/files/e177a63ec5fdef284072a06f2775ebbbf78d53d430946e0a479a9aea59e23193.jpg?v=1787237695" TargetMode="External" Id="rId122"/><Relationship Type="http://schemas.openxmlformats.org/officeDocument/2006/relationships/hyperlink" Target="https://cdn.shopify.com/s/files/1/0792/5098/1063/files/c0229b109e769b68f8c9f35623479c094bab31ad756f2c9dfcf50eadd39d92c5.jpg?v=1787237695" TargetMode="External" Id="rId123"/><Relationship Type="http://schemas.openxmlformats.org/officeDocument/2006/relationships/hyperlink" Target="https://cdn.shopify.com/s/files/1/0792/5098/1063/files/c0229b109e769b68f8c9f35623479c094bab31ad756f2c9dfcf50eadd39d92c5.jpg?v=1787237695" TargetMode="External" Id="rId124"/><Relationship Type="http://schemas.openxmlformats.org/officeDocument/2006/relationships/hyperlink" Target="https://cdn.shopify.com/s/files/1/0792/5098/1063/files/e22715b9d350060d7f718ca936fb51ae74bf407c9cd643e977844be314d468df.jpg?v=1787237695" TargetMode="External" Id="rId125"/><Relationship Type="http://schemas.openxmlformats.org/officeDocument/2006/relationships/hyperlink" Target="https://cdn.shopify.com/s/files/1/0792/5098/1063/files/e22715b9d350060d7f718ca936fb51ae74bf407c9cd643e977844be314d468df.jpg?v=1787237695" TargetMode="External" Id="rId126"/><Relationship Type="http://schemas.openxmlformats.org/officeDocument/2006/relationships/hyperlink" Target="https://cdn.shopify.com/s/files/1/0792/5098/1063/files/0e22a9fec09643a714af054217066178d4f7bc4d6266b6d2ff5c33c09cc10e88.jpg?v=1787237695" TargetMode="External" Id="rId127"/><Relationship Type="http://schemas.openxmlformats.org/officeDocument/2006/relationships/hyperlink" Target="https://cdn.shopify.com/s/files/1/0792/5098/1063/files/0e22a9fec09643a714af054217066178d4f7bc4d6266b6d2ff5c33c09cc10e88.jpg?v=1787237695" TargetMode="External" Id="rId128"/><Relationship Type="http://schemas.openxmlformats.org/officeDocument/2006/relationships/hyperlink" Target="https://cdn.shopify.com/s/files/1/0792/5098/1063/files/d6b8438a259ef28ba839a68ba108f40464bc9629b0bc2168779fc7776c9cbffa.jpg?v=1787237695" TargetMode="External" Id="rId129"/><Relationship Type="http://schemas.openxmlformats.org/officeDocument/2006/relationships/hyperlink" Target="https://cdn.shopify.com/s/files/1/0792/5098/1063/files/d6b8438a259ef28ba839a68ba108f40464bc9629b0bc2168779fc7776c9cbffa.jpg?v=1787237695" TargetMode="External" Id="rId130"/></Relationships>
</file>

<file path=xl/worksheets/sheet1.xml><?xml version="1.0" encoding="utf-8"?>
<worksheet xmlns="http://schemas.openxmlformats.org/spreadsheetml/2006/main">
  <sheetPr>
    <outlinePr summaryBelow="1" summaryRight="1"/>
    <pageSetUpPr fitToPage="1"/>
  </sheetPr>
  <dimension ref="A1:C14"/>
  <sheetViews>
    <sheetView showGridLines="0" workbookViewId="0">
      <pane ySplit="1" topLeftCell="A2" activePane="bottomLeft" state="frozen"/>
      <selection pane="bottomLeft" activeCell="A1" sqref="A1"/>
    </sheetView>
  </sheetViews>
  <sheetFormatPr baseColWidth="8" defaultRowHeight="15"/>
  <cols>
    <col width="24" customWidth="1" min="1" max="1"/>
    <col width="42" customWidth="1" min="2" max="2"/>
    <col width="42" customWidth="1" min="3" max="3"/>
  </cols>
  <sheetData>
    <row r="1" ht="32" customHeight="1">
      <c r="A1" s="1" t="inlineStr">
        <is>
          <t>metric</t>
        </is>
      </c>
      <c r="B1" s="1" t="inlineStr">
        <is>
          <t>value</t>
        </is>
      </c>
      <c r="C1" s="1" t="inlineStr">
        <is>
          <t>definition</t>
        </is>
      </c>
    </row>
    <row r="2" ht="42" customHeight="1">
      <c r="A2" s="2" t="inlineStr">
        <is>
          <t>rubric_version</t>
        </is>
      </c>
      <c r="B2" s="2" t="inlineStr">
        <is>
          <t>prompt_qa.md@sha256:C2C1DEFDB72362291F7DA656FA7FEA9283A02782FC8CA66D2E4637F2511500DD</t>
        </is>
      </c>
      <c r="C2" s="2" t="inlineStr">
        <is>
          <t>Independent re-QA rubric.</t>
        </is>
      </c>
    </row>
    <row r="3" ht="42" customHeight="1">
      <c r="A3" s="3" t="inlineStr">
        <is>
          <t>source_workbook</t>
        </is>
      </c>
      <c r="B3" s="3" t="inlineStr">
        <is>
          <t>D:\Shopify_Workspace\jeminise_seo\resutls\jeminise.com\20260906_234129\revisions\qa_batch_001_r2\SEO_Product_Optimization_qa_batch_001_r2.xlsx</t>
        </is>
      </c>
      <c r="C3" s="3" t="inlineStr">
        <is>
          <t>Frozen r2 revision; not edited.</t>
        </is>
      </c>
    </row>
    <row r="4" ht="42" customHeight="1">
      <c r="A4" s="2" t="inlineStr">
        <is>
          <t>source_sha256_at_handoff</t>
        </is>
      </c>
      <c r="B4" s="2" t="inlineStr">
        <is>
          <t>CD411573AA96039C53B2B3D4759BA07B46FF03E834584889BE8D358E9C08CA39</t>
        </is>
      </c>
      <c r="C4" s="2" t="inlineStr">
        <is>
          <t>Hash recalculated at handoff.</t>
        </is>
      </c>
    </row>
    <row r="5" ht="42" customHeight="1">
      <c r="A5" s="3" t="inlineStr">
        <is>
          <t>qa_run_id</t>
        </is>
      </c>
      <c r="B5" s="3" t="inlineStr">
        <is>
          <t>20260907_114114</t>
        </is>
      </c>
      <c r="C5" s="3" t="inlineStr">
        <is>
          <t>Independent re-QA run.</t>
        </is>
      </c>
    </row>
    <row r="6" ht="42" customHeight="1">
      <c r="A6" s="2" t="inlineStr">
        <is>
          <t>batch_id</t>
        </is>
      </c>
      <c r="B6" s="2" t="inlineStr">
        <is>
          <t>qa_batch_001_r2</t>
        </is>
      </c>
      <c r="C6" s="2" t="inlineStr">
        <is>
          <t>Inventory positions 1-10, revision r2.</t>
        </is>
      </c>
    </row>
    <row r="7" ht="42" customHeight="1">
      <c r="A7" s="3" t="inlineStr">
        <is>
          <t>products_checked</t>
        </is>
      </c>
      <c r="B7" s="3" t="n">
        <v>10</v>
      </c>
      <c r="C7" s="3" t="inlineStr">
        <is>
          <t>Exactly 10 product keys.</t>
        </is>
      </c>
    </row>
    <row r="8" ht="42" customHeight="1">
      <c r="A8" s="2" t="inlineStr">
        <is>
          <t>images_checked</t>
        </is>
      </c>
      <c r="B8" s="2" t="n">
        <v>65</v>
      </c>
      <c r="C8" s="2" t="inlineStr">
        <is>
          <t>65/65 images reopened directly.</t>
        </is>
      </c>
    </row>
    <row r="9" ht="42" customHeight="1">
      <c r="A9" s="3" t="inlineStr">
        <is>
          <t>batch_final_score</t>
        </is>
      </c>
      <c r="B9" s="3">
        <f>AVERAGE('QA_Products'!$K$2:$K$11)</f>
        <v/>
      </c>
      <c r="C9" s="3" t="inlineStr">
        <is>
          <t>Average product score; blockers override score.</t>
        </is>
      </c>
    </row>
    <row r="10" ht="42" customHeight="1">
      <c r="A10" s="2" t="inlineStr">
        <is>
          <t>batch_result</t>
        </is>
      </c>
      <c r="B10" s="2">
        <f>IF(COUNTIF('QA_Products'!$L$2:$L$11,"QA_PASS")=ROWS('QA_Products'!$L$2:$L$11),"PASSED","NOT_PASSED")</f>
        <v/>
      </c>
      <c r="C10" s="2" t="inlineStr">
        <is>
          <t>Batch passes only if every product is QA_PASS.</t>
        </is>
      </c>
    </row>
    <row r="11" ht="42" customHeight="1">
      <c r="A11" s="3" t="inlineStr">
        <is>
          <t>status_counts</t>
        </is>
      </c>
      <c r="B11" s="3">
        <f>"PASS="&amp;COUNTIF('QA_Products'!$L$2:$L$11,"QA_PASS")&amp;"; REVISE="&amp;COUNTIF('QA_Products'!$L$2:$L$11,"QA_REVISE")&amp;"; FAIL="&amp;COUNTIF('QA_Products'!$L$2:$L$11,"QA_FAIL")&amp;"; INCOMPLETE="&amp;COUNTIF('QA_Products'!$L$2:$L$11,"QA_INCOMPLETE")</f>
        <v/>
      </c>
      <c r="C11" s="3" t="inlineStr">
        <is>
          <t>Products by status.</t>
        </is>
      </c>
    </row>
    <row r="12" ht="42" customHeight="1">
      <c r="A12" s="2" t="inlineStr">
        <is>
          <t>issue_counts</t>
        </is>
      </c>
      <c r="B12" s="2" t="inlineStr">
        <is>
          <t>{"MINOR": 17, "MAJOR": 35, "LIMITATION": 12, "CRITICAL": 1}</t>
        </is>
      </c>
      <c r="C12" s="2" t="inlineStr">
        <is>
          <t>Findings by severity.</t>
        </is>
      </c>
    </row>
    <row r="13" ht="42" customHeight="1">
      <c r="A13" s="3" t="inlineStr">
        <is>
          <t>revision_comparison</t>
        </is>
      </c>
      <c r="B13" s="3" t="inlineStr">
        <is>
          <t>r1-&gt;r2 diff recorded</t>
        </is>
      </c>
      <c r="C13" s="3" t="inlineStr">
        <is>
          <t>revision_diff.json contains cell-level changes.</t>
        </is>
      </c>
    </row>
    <row r="14" ht="42" customHeight="1">
      <c r="A14" s="2" t="inlineStr">
        <is>
          <t>xlsx_status</t>
        </is>
      </c>
      <c r="B14" s="2" t="inlineStr">
        <is>
          <t>COMPLETE</t>
        </is>
      </c>
      <c r="C14" s="2" t="inlineStr">
        <is>
          <t>Five-sheet workbook created and verified.</t>
        </is>
      </c>
    </row>
  </sheetData>
  <autoFilter ref="A1:C14"/>
  <printOptions horizontalCentered="0"/>
  <pageMargins left="0.25" right="0.25" top="0.5" bottom="0.5"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W11"/>
  <sheetViews>
    <sheetView showGridLines="0" workbookViewId="0">
      <pane ySplit="1" topLeftCell="A2" activePane="bottomLeft" state="frozen"/>
      <selection pane="bottomLeft" activeCell="A1" sqref="A1"/>
    </sheetView>
  </sheetViews>
  <sheetFormatPr baseColWidth="8" defaultRowHeight="15"/>
  <cols>
    <col width="20" customWidth="1" min="1" max="1"/>
    <col width="42" customWidth="1" min="2" max="2"/>
    <col width="38" customWidth="1" min="3" max="3"/>
    <col width="24" customWidth="1" min="4" max="4"/>
    <col width="15" customWidth="1" min="5" max="5"/>
    <col width="11" customWidth="1" min="6" max="6"/>
    <col width="24" customWidth="1" min="7" max="7"/>
    <col width="24" customWidth="1" min="8" max="8"/>
    <col width="19" customWidth="1" min="9" max="9"/>
    <col width="19" customWidth="1" min="10" max="10"/>
    <col width="24" customWidth="1" min="11" max="11"/>
    <col width="20" customWidth="1" min="12" max="12"/>
    <col width="38" customWidth="1" min="13" max="13"/>
    <col width="17" customWidth="1" min="14" max="14"/>
    <col width="16" customWidth="1" min="15" max="15"/>
    <col width="24" customWidth="1" min="16" max="16"/>
    <col width="16" customWidth="1" min="17" max="17"/>
    <col width="24" customWidth="1" min="18" max="18"/>
    <col width="24" customWidth="1" min="19" max="19"/>
    <col width="24" customWidth="1" min="20" max="20"/>
    <col width="24" customWidth="1" min="21" max="21"/>
    <col width="42" customWidth="1" min="22" max="22"/>
    <col width="42" customWidth="1" min="23" max="23"/>
  </cols>
  <sheetData>
    <row r="1" ht="32" customHeight="1">
      <c r="A1" s="1" t="inlineStr">
        <is>
          <t>inventory_position</t>
        </is>
      </c>
      <c r="B1" s="1" t="inlineStr">
        <is>
          <t>product_key</t>
        </is>
      </c>
      <c r="C1" s="1" t="inlineStr">
        <is>
          <t>url</t>
        </is>
      </c>
      <c r="D1" s="1" t="inlineStr">
        <is>
          <t>handle</t>
        </is>
      </c>
      <c r="E1" s="1" t="inlineStr">
        <is>
          <t>product_id</t>
        </is>
      </c>
      <c r="F1" s="1" t="inlineStr">
        <is>
          <t>revision</t>
        </is>
      </c>
      <c r="G1" s="1" t="inlineStr">
        <is>
          <t>verified_points</t>
        </is>
      </c>
      <c r="H1" s="1" t="inlineStr">
        <is>
          <t>assessed_weight</t>
        </is>
      </c>
      <c r="I1" s="1" t="inlineStr">
        <is>
          <t>score_lower_bound</t>
        </is>
      </c>
      <c r="J1" s="1" t="inlineStr">
        <is>
          <t>score_upper_bound</t>
        </is>
      </c>
      <c r="K1" s="1" t="inlineStr">
        <is>
          <t>final_score</t>
        </is>
      </c>
      <c r="L1" s="1" t="inlineStr">
        <is>
          <t>qa_status</t>
        </is>
      </c>
      <c r="M1" s="1" t="inlineStr">
        <is>
          <t>keyword_evidence_level</t>
        </is>
      </c>
      <c r="N1" s="1" t="inlineStr">
        <is>
          <t>images_expected</t>
        </is>
      </c>
      <c r="O1" s="1" t="inlineStr">
        <is>
          <t>images_checked</t>
        </is>
      </c>
      <c r="P1" s="1" t="inlineStr">
        <is>
          <t>image_inventory_complete</t>
        </is>
      </c>
      <c r="Q1" s="1" t="inlineStr">
        <is>
          <t>image_coverage</t>
        </is>
      </c>
      <c r="R1" s="1" t="inlineStr">
        <is>
          <t>critical_count</t>
        </is>
      </c>
      <c r="S1" s="1" t="inlineStr">
        <is>
          <t>major_count</t>
        </is>
      </c>
      <c r="T1" s="1" t="inlineStr">
        <is>
          <t>minor_count</t>
        </is>
      </c>
      <c r="U1" s="1" t="inlineStr">
        <is>
          <t>limitation_count</t>
        </is>
      </c>
      <c r="V1" s="1" t="inlineStr">
        <is>
          <t>issue_refs</t>
        </is>
      </c>
      <c r="W1" s="1" t="inlineStr">
        <is>
          <t>evidence_refs</t>
        </is>
      </c>
    </row>
    <row r="2" ht="42" customHeight="1">
      <c r="A2" s="2" t="n">
        <v>1</v>
      </c>
      <c r="B2" s="2" t="inlineStr">
        <is>
          <t>jeminise.com+autumn-cardinals-perched-above-large-sunflowers-quilt-with-cardinal-birds-9a3b408b20-9a3b408b20</t>
        </is>
      </c>
      <c r="C2" s="4" t="inlineStr">
        <is>
          <t>https://jeminise.com/products/autumn-cardinals-perched-above-large-sunflowers-quilt-with-cardinal-birds-9a3b408b20-9a3b408b20</t>
        </is>
      </c>
      <c r="D2" s="2" t="inlineStr">
        <is>
          <t>autumn-cardinals-perched-above-large-sunflowers-quilt-with-cardinal-birds-9a3b408b20-9a3b408b20</t>
        </is>
      </c>
      <c r="E2" s="2" t="inlineStr">
        <is>
          <t>8834718105799</t>
        </is>
      </c>
      <c r="F2" s="2" t="inlineStr">
        <is>
          <t>r2</t>
        </is>
      </c>
      <c r="G2" s="5">
        <f>SUMIF('QA_Criteria'!$A$2:$A$111,B2,'QA_Criteria'!$F$2:$F$111)</f>
        <v/>
      </c>
      <c r="H2" s="5">
        <f>SUMIF('QA_Criteria'!$A$2:$A$111,B2,'QA_Criteria'!$G$2:$G$111)</f>
        <v/>
      </c>
      <c r="I2" s="5">
        <f>G2</f>
        <v/>
      </c>
      <c r="J2" s="5">
        <f>G2+(100-H2)</f>
        <v/>
      </c>
      <c r="K2" s="5">
        <f>IF(AND(H2=100,Q2=1,P2=TRUE),G2,"")</f>
        <v/>
      </c>
      <c r="L2" s="2">
        <f>IF(R2&gt;0,"QA_FAIL",IF(K2="","QA_INCOMPLETE",IF(K2&lt;70,"QA_FAIL",IF(OR(K2&lt;85,S2&gt;0),"QA_REVISE","QA_PASS"))))</f>
        <v/>
      </c>
      <c r="M2" s="2" t="inlineStr">
        <is>
          <t>HYPOTHESIS_ONLY</t>
        </is>
      </c>
      <c r="N2" s="2" t="n">
        <v>5</v>
      </c>
      <c r="O2" s="2" t="n">
        <v>5</v>
      </c>
      <c r="P2" s="2" t="b">
        <v>1</v>
      </c>
      <c r="Q2" s="6" t="n">
        <v>1</v>
      </c>
      <c r="R2" s="2">
        <f>COUNTIFS('QA_Issues'!$B$2:$B$66,B2,'QA_Issues'!$D$2:$D$66,"CRITICAL")</f>
        <v/>
      </c>
      <c r="S2" s="2">
        <f>COUNTIFS('QA_Issues'!$B$2:$B$66,B2,'QA_Issues'!$D$2:$D$66,"MAJOR")</f>
        <v/>
      </c>
      <c r="T2" s="2">
        <f>COUNTIFS('QA_Issues'!$B$2:$B$66,B2,'QA_Issues'!$D$2:$D$66,"MINOR")</f>
        <v/>
      </c>
      <c r="U2" s="2">
        <f>COUNTIFS('QA_Issues'!$B$2:$B$66,B2,'QA_Issues'!$D$2:$D$66,"LIMITATION")</f>
        <v/>
      </c>
      <c r="V2" s="2" t="inlineStr">
        <is>
          <t>["R2-ISS-001-IMG-05", "R2-ISS-001-BODY", "R2-ISS-001-ADMIN", "R2-ISS-001-CANN", "R2-ISS-001-HYP"]</t>
        </is>
      </c>
      <c r="W2" s="2" t="inlineStr">
        <is>
          <t>["evidence_batch_001_001", "https://jeminise.com/products/autumn-cardinals-perched-above-large-sunflowers-quilt-with-cardinal-birds-9a3b408b20-9a3b408b20", "serp_reqa_001", "revision_diff.json", "customizer_audit.json"]</t>
        </is>
      </c>
    </row>
    <row r="3" ht="42" customHeight="1">
      <c r="A3" s="3" t="n">
        <v>2</v>
      </c>
      <c r="B3" s="3" t="inlineStr">
        <is>
          <t>jeminise.com+bright-teal-yellow-softball-comforter-set-premium-sports-theme</t>
        </is>
      </c>
      <c r="C3" s="4" t="inlineStr">
        <is>
          <t>https://jeminise.com/products/bright-teal-yellow-softball-comforter-set-premium-sports-theme</t>
        </is>
      </c>
      <c r="D3" s="3" t="inlineStr">
        <is>
          <t>bright-teal-yellow-softball-comforter-set-premium-sports-theme</t>
        </is>
      </c>
      <c r="E3" s="3" t="inlineStr">
        <is>
          <t>8867219865799</t>
        </is>
      </c>
      <c r="F3" s="3" t="inlineStr">
        <is>
          <t>r2</t>
        </is>
      </c>
      <c r="G3" s="7">
        <f>SUMIF('QA_Criteria'!$A$2:$A$111,B3,'QA_Criteria'!$F$2:$F$111)</f>
        <v/>
      </c>
      <c r="H3" s="7">
        <f>SUMIF('QA_Criteria'!$A$2:$A$111,B3,'QA_Criteria'!$G$2:$G$111)</f>
        <v/>
      </c>
      <c r="I3" s="7">
        <f>G3</f>
        <v/>
      </c>
      <c r="J3" s="7">
        <f>G3+(100-H3)</f>
        <v/>
      </c>
      <c r="K3" s="7">
        <f>IF(AND(H3=100,Q3=1,P3=TRUE),G3,"")</f>
        <v/>
      </c>
      <c r="L3" s="3">
        <f>IF(R3&gt;0,"QA_FAIL",IF(K3="","QA_INCOMPLETE",IF(K3&lt;70,"QA_FAIL",IF(OR(K3&lt;85,S3&gt;0),"QA_REVISE","QA_PASS"))))</f>
        <v/>
      </c>
      <c r="M3" s="3" t="inlineStr">
        <is>
          <t>SERP_ONLY</t>
        </is>
      </c>
      <c r="N3" s="3" t="n">
        <v>7</v>
      </c>
      <c r="O3" s="3" t="n">
        <v>7</v>
      </c>
      <c r="P3" s="3" t="b">
        <v>1</v>
      </c>
      <c r="Q3" s="8" t="n">
        <v>1</v>
      </c>
      <c r="R3" s="3">
        <f>COUNTIFS('QA_Issues'!$B$2:$B$66,B3,'QA_Issues'!$D$2:$D$66,"CRITICAL")</f>
        <v/>
      </c>
      <c r="S3" s="3">
        <f>COUNTIFS('QA_Issues'!$B$2:$B$66,B3,'QA_Issues'!$D$2:$D$66,"MAJOR")</f>
        <v/>
      </c>
      <c r="T3" s="3">
        <f>COUNTIFS('QA_Issues'!$B$2:$B$66,B3,'QA_Issues'!$D$2:$D$66,"MINOR")</f>
        <v/>
      </c>
      <c r="U3" s="3">
        <f>COUNTIFS('QA_Issues'!$B$2:$B$66,B3,'QA_Issues'!$D$2:$D$66,"LIMITATION")</f>
        <v/>
      </c>
      <c r="V3" s="3" t="inlineStr">
        <is>
          <t>["R2-ISS-002-IMG-02", "R2-ISS-002-IMG-04", "R2-ISS-002-IMG-05", "R2-ISS-002-IMG-07", "R2-ISS-002-BODY", "R2-ISS-002-ADMIN", "R2-ISS-002-PERS", "R2-ISS-002-ENC"]</t>
        </is>
      </c>
      <c r="W3" s="3" t="inlineStr">
        <is>
          <t>["evidence_batch_001_002", "https://jeminise.com/products/bright-teal-yellow-softball-comforter-set-premium-sports-theme", "serp_reqa_002", "revision_diff.json", "customizer_audit.json"]</t>
        </is>
      </c>
    </row>
    <row r="4" ht="42" customHeight="1">
      <c r="A4" s="2" t="n">
        <v>3</v>
      </c>
      <c r="B4" s="2" t="inlineStr">
        <is>
          <t>jeminise.com+cardinals-perched-beside-decorated-christmas-tree-patchwork-winter-quilt-7cd7bc46a0-7cd7bc46a0</t>
        </is>
      </c>
      <c r="C4" s="4" t="inlineStr">
        <is>
          <t>https://jeminise.com/products/cardinals-perched-beside-decorated-christmas-tree-patchwork-winter-quilt-7cd7bc46a0-7cd7bc46a0</t>
        </is>
      </c>
      <c r="D4" s="2" t="inlineStr">
        <is>
          <t>cardinals-perched-beside-decorated-christmas-tree-patchwork-winter-quilt-7cd7bc46a0-7cd7bc46a0</t>
        </is>
      </c>
      <c r="E4" s="2" t="inlineStr">
        <is>
          <t>8834714534087</t>
        </is>
      </c>
      <c r="F4" s="2" t="inlineStr">
        <is>
          <t>r2</t>
        </is>
      </c>
      <c r="G4" s="5">
        <f>SUMIF('QA_Criteria'!$A$2:$A$111,B4,'QA_Criteria'!$F$2:$F$111)</f>
        <v/>
      </c>
      <c r="H4" s="5">
        <f>SUMIF('QA_Criteria'!$A$2:$A$111,B4,'QA_Criteria'!$G$2:$G$111)</f>
        <v/>
      </c>
      <c r="I4" s="5">
        <f>G4</f>
        <v/>
      </c>
      <c r="J4" s="5">
        <f>G4+(100-H4)</f>
        <v/>
      </c>
      <c r="K4" s="5">
        <f>IF(AND(H4=100,Q4=1,P4=TRUE),G4,"")</f>
        <v/>
      </c>
      <c r="L4" s="2">
        <f>IF(R4&gt;0,"QA_FAIL",IF(K4="","QA_INCOMPLETE",IF(K4&lt;70,"QA_FAIL",IF(OR(K4&lt;85,S4&gt;0),"QA_REVISE","QA_PASS"))))</f>
        <v/>
      </c>
      <c r="M4" s="2" t="inlineStr">
        <is>
          <t>SERP_ONLY</t>
        </is>
      </c>
      <c r="N4" s="2" t="n">
        <v>5</v>
      </c>
      <c r="O4" s="2" t="n">
        <v>5</v>
      </c>
      <c r="P4" s="2" t="b">
        <v>1</v>
      </c>
      <c r="Q4" s="6" t="n">
        <v>1</v>
      </c>
      <c r="R4" s="2">
        <f>COUNTIFS('QA_Issues'!$B$2:$B$66,B4,'QA_Issues'!$D$2:$D$66,"CRITICAL")</f>
        <v/>
      </c>
      <c r="S4" s="2">
        <f>COUNTIFS('QA_Issues'!$B$2:$B$66,B4,'QA_Issues'!$D$2:$D$66,"MAJOR")</f>
        <v/>
      </c>
      <c r="T4" s="2">
        <f>COUNTIFS('QA_Issues'!$B$2:$B$66,B4,'QA_Issues'!$D$2:$D$66,"MINOR")</f>
        <v/>
      </c>
      <c r="U4" s="2">
        <f>COUNTIFS('QA_Issues'!$B$2:$B$66,B4,'QA_Issues'!$D$2:$D$66,"LIMITATION")</f>
        <v/>
      </c>
      <c r="V4" s="2" t="inlineStr">
        <is>
          <t>["R2-ISS-003-IMG-05", "R2-ISS-003-BODY", "R2-ISS-003-ADMIN", "R2-ISS-003-CANN", "R2-ISS-003-SERP"]</t>
        </is>
      </c>
      <c r="W4" s="2" t="inlineStr">
        <is>
          <t>["evidence_batch_001_003", "https://jeminise.com/products/cardinals-perched-beside-decorated-christmas-tree-patchwork-winter-quilt-7cd7bc46a0-7cd7bc46a0", "serp_reqa_003", "revision_diff.json", "customizer_audit.json"]</t>
        </is>
      </c>
    </row>
    <row r="5" ht="42" customHeight="1">
      <c r="A5" s="3" t="n">
        <v>4</v>
      </c>
      <c r="B5" s="3" t="inlineStr">
        <is>
          <t>jeminise.com+cardinals-perched-on-branch-with-roses-patchwork-winter-quilt-21ac904cd7-21ac904cd7</t>
        </is>
      </c>
      <c r="C5" s="4" t="inlineStr">
        <is>
          <t>https://jeminise.com/products/cardinals-perched-on-branch-with-roses-patchwork-winter-quilt-21ac904cd7-21ac904cd7</t>
        </is>
      </c>
      <c r="D5" s="3" t="inlineStr">
        <is>
          <t>cardinals-perched-on-branch-with-roses-patchwork-winter-quilt-21ac904cd7-21ac904cd7</t>
        </is>
      </c>
      <c r="E5" s="3" t="inlineStr">
        <is>
          <t>8834733015239</t>
        </is>
      </c>
      <c r="F5" s="3" t="inlineStr">
        <is>
          <t>r2</t>
        </is>
      </c>
      <c r="G5" s="7">
        <f>SUMIF('QA_Criteria'!$A$2:$A$111,B5,'QA_Criteria'!$F$2:$F$111)</f>
        <v/>
      </c>
      <c r="H5" s="7">
        <f>SUMIF('QA_Criteria'!$A$2:$A$111,B5,'QA_Criteria'!$G$2:$G$111)</f>
        <v/>
      </c>
      <c r="I5" s="7">
        <f>G5</f>
        <v/>
      </c>
      <c r="J5" s="7">
        <f>G5+(100-H5)</f>
        <v/>
      </c>
      <c r="K5" s="7">
        <f>IF(AND(H5=100,Q5=1,P5=TRUE),G5,"")</f>
        <v/>
      </c>
      <c r="L5" s="3">
        <f>IF(R5&gt;0,"QA_FAIL",IF(K5="","QA_INCOMPLETE",IF(K5&lt;70,"QA_FAIL",IF(OR(K5&lt;85,S5&gt;0),"QA_REVISE","QA_PASS"))))</f>
        <v/>
      </c>
      <c r="M5" s="3" t="inlineStr">
        <is>
          <t>SERP_ONLY</t>
        </is>
      </c>
      <c r="N5" s="3" t="n">
        <v>5</v>
      </c>
      <c r="O5" s="3" t="n">
        <v>5</v>
      </c>
      <c r="P5" s="3" t="b">
        <v>1</v>
      </c>
      <c r="Q5" s="8" t="n">
        <v>1</v>
      </c>
      <c r="R5" s="3">
        <f>COUNTIFS('QA_Issues'!$B$2:$B$66,B5,'QA_Issues'!$D$2:$D$66,"CRITICAL")</f>
        <v/>
      </c>
      <c r="S5" s="3">
        <f>COUNTIFS('QA_Issues'!$B$2:$B$66,B5,'QA_Issues'!$D$2:$D$66,"MAJOR")</f>
        <v/>
      </c>
      <c r="T5" s="3">
        <f>COUNTIFS('QA_Issues'!$B$2:$B$66,B5,'QA_Issues'!$D$2:$D$66,"MINOR")</f>
        <v/>
      </c>
      <c r="U5" s="3">
        <f>COUNTIFS('QA_Issues'!$B$2:$B$66,B5,'QA_Issues'!$D$2:$D$66,"LIMITATION")</f>
        <v/>
      </c>
      <c r="V5" s="3" t="inlineStr">
        <is>
          <t>["R2-ISS-004-IMG-05", "R2-ISS-004-BODY", "R2-ISS-004-ADMIN", "R2-ISS-004-CANN", "R2-ISS-004-SERP"]</t>
        </is>
      </c>
      <c r="W5" s="3" t="inlineStr">
        <is>
          <t>["evidence_batch_001_004", "https://jeminise.com/products/cardinals-perched-on-branch-with-roses-patchwork-winter-quilt-21ac904cd7-21ac904cd7", "serp_reqa_004", "revision_diff.json", "customizer_audit.json"]</t>
        </is>
      </c>
    </row>
    <row r="6" ht="42" customHeight="1">
      <c r="A6" s="2" t="n">
        <v>5</v>
      </c>
      <c r="B6" s="2" t="inlineStr">
        <is>
          <t>jeminise.com+cat-patchwork-quilt-set-animal-pattern-bedding-cat-pattern-quilt-set</t>
        </is>
      </c>
      <c r="C6" s="4" t="inlineStr">
        <is>
          <t>https://jeminise.com/products/cat-patchwork-quilt-set-animal-pattern-bedding-cat-pattern-quilt-set</t>
        </is>
      </c>
      <c r="D6" s="2" t="inlineStr">
        <is>
          <t>cat-patchwork-quilt-set-animal-pattern-bedding-cat-pattern-quilt-set</t>
        </is>
      </c>
      <c r="E6" s="2" t="inlineStr">
        <is>
          <t>8867094823111</t>
        </is>
      </c>
      <c r="F6" s="2" t="inlineStr">
        <is>
          <t>r2</t>
        </is>
      </c>
      <c r="G6" s="5">
        <f>SUMIF('QA_Criteria'!$A$2:$A$111,B6,'QA_Criteria'!$F$2:$F$111)</f>
        <v/>
      </c>
      <c r="H6" s="5">
        <f>SUMIF('QA_Criteria'!$A$2:$A$111,B6,'QA_Criteria'!$G$2:$G$111)</f>
        <v/>
      </c>
      <c r="I6" s="5">
        <f>G6</f>
        <v/>
      </c>
      <c r="J6" s="5">
        <f>G6+(100-H6)</f>
        <v/>
      </c>
      <c r="K6" s="5">
        <f>IF(AND(H6=100,Q6=1,P6=TRUE),G6,"")</f>
        <v/>
      </c>
      <c r="L6" s="2">
        <f>IF(R6&gt;0,"QA_FAIL",IF(K6="","QA_INCOMPLETE",IF(K6&lt;70,"QA_FAIL",IF(OR(K6&lt;85,S6&gt;0),"QA_REVISE","QA_PASS"))))</f>
        <v/>
      </c>
      <c r="M6" s="2" t="inlineStr">
        <is>
          <t>SERP_ONLY</t>
        </is>
      </c>
      <c r="N6" s="2" t="n">
        <v>7</v>
      </c>
      <c r="O6" s="2" t="n">
        <v>7</v>
      </c>
      <c r="P6" s="2" t="b">
        <v>1</v>
      </c>
      <c r="Q6" s="6" t="n">
        <v>1</v>
      </c>
      <c r="R6" s="2">
        <f>COUNTIFS('QA_Issues'!$B$2:$B$66,B6,'QA_Issues'!$D$2:$D$66,"CRITICAL")</f>
        <v/>
      </c>
      <c r="S6" s="2">
        <f>COUNTIFS('QA_Issues'!$B$2:$B$66,B6,'QA_Issues'!$D$2:$D$66,"MAJOR")</f>
        <v/>
      </c>
      <c r="T6" s="2">
        <f>COUNTIFS('QA_Issues'!$B$2:$B$66,B6,'QA_Issues'!$D$2:$D$66,"MINOR")</f>
        <v/>
      </c>
      <c r="U6" s="2">
        <f>COUNTIFS('QA_Issues'!$B$2:$B$66,B6,'QA_Issues'!$D$2:$D$66,"LIMITATION")</f>
        <v/>
      </c>
      <c r="V6" s="2" t="inlineStr">
        <is>
          <t>["R2-ISS-005-IMG-02", "R2-ISS-005-IMG-03", "R2-ISS-005-IMG-04", "R2-ISS-005-BODY", "R2-ISS-005-ADMIN", "R2-ISS-005-CANN", "R2-ISS-005-SERP-CRITICAL"]</t>
        </is>
      </c>
      <c r="W6" s="2" t="inlineStr">
        <is>
          <t>["evidence_batch_001_005", "https://jeminise.com/products/cat-patchwork-quilt-set-animal-pattern-bedding-cat-pattern-quilt-set", "serp_reqa_005", "revision_diff.json", "customizer_audit.json"]</t>
        </is>
      </c>
    </row>
    <row r="7" ht="42" customHeight="1">
      <c r="A7" s="3" t="n">
        <v>6</v>
      </c>
      <c r="B7" s="3" t="inlineStr">
        <is>
          <t>jeminise.com+cat-quilt-set-cat-patchwork-style-printed-bedding-animal-patchwork</t>
        </is>
      </c>
      <c r="C7" s="4" t="inlineStr">
        <is>
          <t>https://jeminise.com/products/cat-quilt-set-cat-patchwork-style-printed-bedding-animal-patchwork</t>
        </is>
      </c>
      <c r="D7" s="3" t="inlineStr">
        <is>
          <t>cat-quilt-set-cat-patchwork-style-printed-bedding-animal-patchwork</t>
        </is>
      </c>
      <c r="E7" s="3" t="inlineStr">
        <is>
          <t>8867094986951</t>
        </is>
      </c>
      <c r="F7" s="3" t="inlineStr">
        <is>
          <t>r2</t>
        </is>
      </c>
      <c r="G7" s="7">
        <f>SUMIF('QA_Criteria'!$A$2:$A$111,B7,'QA_Criteria'!$F$2:$F$111)</f>
        <v/>
      </c>
      <c r="H7" s="7">
        <f>SUMIF('QA_Criteria'!$A$2:$A$111,B7,'QA_Criteria'!$G$2:$G$111)</f>
        <v/>
      </c>
      <c r="I7" s="7">
        <f>G7</f>
        <v/>
      </c>
      <c r="J7" s="7">
        <f>G7+(100-H7)</f>
        <v/>
      </c>
      <c r="K7" s="7">
        <f>IF(AND(H7=100,Q7=1,P7=TRUE),G7,"")</f>
        <v/>
      </c>
      <c r="L7" s="3">
        <f>IF(R7&gt;0,"QA_FAIL",IF(K7="","QA_INCOMPLETE",IF(K7&lt;70,"QA_FAIL",IF(OR(K7&lt;85,S7&gt;0),"QA_REVISE","QA_PASS"))))</f>
        <v/>
      </c>
      <c r="M7" s="3" t="inlineStr">
        <is>
          <t>HYPOTHESIS_ONLY</t>
        </is>
      </c>
      <c r="N7" s="3" t="n">
        <v>7</v>
      </c>
      <c r="O7" s="3" t="n">
        <v>7</v>
      </c>
      <c r="P7" s="3" t="b">
        <v>1</v>
      </c>
      <c r="Q7" s="8" t="n">
        <v>1</v>
      </c>
      <c r="R7" s="3">
        <f>COUNTIFS('QA_Issues'!$B$2:$B$66,B7,'QA_Issues'!$D$2:$D$66,"CRITICAL")</f>
        <v/>
      </c>
      <c r="S7" s="3">
        <f>COUNTIFS('QA_Issues'!$B$2:$B$66,B7,'QA_Issues'!$D$2:$D$66,"MAJOR")</f>
        <v/>
      </c>
      <c r="T7" s="3">
        <f>COUNTIFS('QA_Issues'!$B$2:$B$66,B7,'QA_Issues'!$D$2:$D$66,"MINOR")</f>
        <v/>
      </c>
      <c r="U7" s="3">
        <f>COUNTIFS('QA_Issues'!$B$2:$B$66,B7,'QA_Issues'!$D$2:$D$66,"LIMITATION")</f>
        <v/>
      </c>
      <c r="V7" s="3" t="inlineStr">
        <is>
          <t>["R2-ISS-006-IMG-02", "R2-ISS-006-IMG-03", "R2-ISS-006-IMG-04", "R2-ISS-006-BODY", "R2-ISS-006-ADMIN", "R2-ISS-006-CANN", "R2-ISS-006-HYP"]</t>
        </is>
      </c>
      <c r="W7" s="3" t="inlineStr">
        <is>
          <t>["evidence_batch_001_006", "https://jeminise.com/products/cat-quilt-set-cat-patchwork-style-printed-bedding-animal-patchwork", "serp_reqa_006", "revision_diff.json", "customizer_audit.json"]</t>
        </is>
      </c>
    </row>
    <row r="8" ht="42" customHeight="1">
      <c r="A8" s="2" t="n">
        <v>7</v>
      </c>
      <c r="B8" s="2" t="inlineStr">
        <is>
          <t>jeminise.com+celtic-and-fantasy-quilt-set-with-twisting-tree-trunk-and-exposed-roots-c7b1460bad-c7b1460bad</t>
        </is>
      </c>
      <c r="C8" s="4" t="inlineStr">
        <is>
          <t>https://jeminise.com/products/celtic-and-fantasy-quilt-set-with-twisting-tree-trunk-and-exposed-roots-c7b1460bad-c7b1460bad</t>
        </is>
      </c>
      <c r="D8" s="2" t="inlineStr">
        <is>
          <t>celtic-and-fantasy-quilt-set-with-twisting-tree-trunk-and-exposed-roots-c7b1460bad-c7b1460bad</t>
        </is>
      </c>
      <c r="E8" s="2" t="inlineStr">
        <is>
          <t>8833350467783</t>
        </is>
      </c>
      <c r="F8" s="2" t="inlineStr">
        <is>
          <t>r2</t>
        </is>
      </c>
      <c r="G8" s="5">
        <f>SUMIF('QA_Criteria'!$A$2:$A$111,B8,'QA_Criteria'!$F$2:$F$111)</f>
        <v/>
      </c>
      <c r="H8" s="5">
        <f>SUMIF('QA_Criteria'!$A$2:$A$111,B8,'QA_Criteria'!$G$2:$G$111)</f>
        <v/>
      </c>
      <c r="I8" s="5">
        <f>G8</f>
        <v/>
      </c>
      <c r="J8" s="5">
        <f>G8+(100-H8)</f>
        <v/>
      </c>
      <c r="K8" s="5">
        <f>IF(AND(H8=100,Q8=1,P8=TRUE),G8,"")</f>
        <v/>
      </c>
      <c r="L8" s="2">
        <f>IF(R8&gt;0,"QA_FAIL",IF(K8="","QA_INCOMPLETE",IF(K8&lt;70,"QA_FAIL",IF(OR(K8&lt;85,S8&gt;0),"QA_REVISE","QA_PASS"))))</f>
        <v/>
      </c>
      <c r="M8" s="2" t="inlineStr">
        <is>
          <t>SERP_ONLY</t>
        </is>
      </c>
      <c r="N8" s="2" t="n">
        <v>7</v>
      </c>
      <c r="O8" s="2" t="n">
        <v>7</v>
      </c>
      <c r="P8" s="2" t="b">
        <v>1</v>
      </c>
      <c r="Q8" s="6" t="n">
        <v>1</v>
      </c>
      <c r="R8" s="2">
        <f>COUNTIFS('QA_Issues'!$B$2:$B$66,B8,'QA_Issues'!$D$2:$D$66,"CRITICAL")</f>
        <v/>
      </c>
      <c r="S8" s="2">
        <f>COUNTIFS('QA_Issues'!$B$2:$B$66,B8,'QA_Issues'!$D$2:$D$66,"MAJOR")</f>
        <v/>
      </c>
      <c r="T8" s="2">
        <f>COUNTIFS('QA_Issues'!$B$2:$B$66,B8,'QA_Issues'!$D$2:$D$66,"MINOR")</f>
        <v/>
      </c>
      <c r="U8" s="2">
        <f>COUNTIFS('QA_Issues'!$B$2:$B$66,B8,'QA_Issues'!$D$2:$D$66,"LIMITATION")</f>
        <v/>
      </c>
      <c r="V8" s="2" t="inlineStr">
        <is>
          <t>["R2-ISS-007-IMG-02", "R2-ISS-007-IMG-03", "R2-ISS-007-IMG-04", "R2-ISS-007-BODY", "R2-ISS-007-ADMIN", "R2-ISS-007-CANN"]</t>
        </is>
      </c>
      <c r="W8" s="2" t="inlineStr">
        <is>
          <t>["evidence_batch_001_007", "https://jeminise.com/products/celtic-and-fantasy-quilt-set-with-twisting-tree-trunk-and-exposed-roots-c7b1460bad-c7b1460bad", "serp_reqa_007", "revision_diff.json", "customizer_audit.json"]</t>
        </is>
      </c>
    </row>
    <row r="9" ht="42" customHeight="1">
      <c r="A9" s="3" t="n">
        <v>8</v>
      </c>
      <c r="B9" s="3" t="inlineStr">
        <is>
          <t>jeminise.com+celtic-mythology-tree-of-life-quilt-set-with-celtic-knotwork-border-12786aba7e-12786aba7e</t>
        </is>
      </c>
      <c r="C9" s="4" t="inlineStr">
        <is>
          <t>https://jeminise.com/products/celtic-mythology-tree-of-life-quilt-set-with-celtic-knotwork-border-12786aba7e-12786aba7e</t>
        </is>
      </c>
      <c r="D9" s="3" t="inlineStr">
        <is>
          <t>celtic-mythology-tree-of-life-quilt-set-with-celtic-knotwork-border-12786aba7e-12786aba7e</t>
        </is>
      </c>
      <c r="E9" s="3" t="inlineStr">
        <is>
          <t>8833347518663</t>
        </is>
      </c>
      <c r="F9" s="3" t="inlineStr">
        <is>
          <t>r2</t>
        </is>
      </c>
      <c r="G9" s="7">
        <f>SUMIF('QA_Criteria'!$A$2:$A$111,B9,'QA_Criteria'!$F$2:$F$111)</f>
        <v/>
      </c>
      <c r="H9" s="7">
        <f>SUMIF('QA_Criteria'!$A$2:$A$111,B9,'QA_Criteria'!$G$2:$G$111)</f>
        <v/>
      </c>
      <c r="I9" s="7">
        <f>G9</f>
        <v/>
      </c>
      <c r="J9" s="7">
        <f>G9+(100-H9)</f>
        <v/>
      </c>
      <c r="K9" s="7">
        <f>IF(AND(H9=100,Q9=1,P9=TRUE),G9,"")</f>
        <v/>
      </c>
      <c r="L9" s="3">
        <f>IF(R9&gt;0,"QA_FAIL",IF(K9="","QA_INCOMPLETE",IF(K9&lt;70,"QA_FAIL",IF(OR(K9&lt;85,S9&gt;0),"QA_REVISE","QA_PASS"))))</f>
        <v/>
      </c>
      <c r="M9" s="3" t="inlineStr">
        <is>
          <t>SERP_ONLY</t>
        </is>
      </c>
      <c r="N9" s="3" t="n">
        <v>7</v>
      </c>
      <c r="O9" s="3" t="n">
        <v>7</v>
      </c>
      <c r="P9" s="3" t="b">
        <v>1</v>
      </c>
      <c r="Q9" s="8" t="n">
        <v>1</v>
      </c>
      <c r="R9" s="3">
        <f>COUNTIFS('QA_Issues'!$B$2:$B$66,B9,'QA_Issues'!$D$2:$D$66,"CRITICAL")</f>
        <v/>
      </c>
      <c r="S9" s="3">
        <f>COUNTIFS('QA_Issues'!$B$2:$B$66,B9,'QA_Issues'!$D$2:$D$66,"MAJOR")</f>
        <v/>
      </c>
      <c r="T9" s="3">
        <f>COUNTIFS('QA_Issues'!$B$2:$B$66,B9,'QA_Issues'!$D$2:$D$66,"MINOR")</f>
        <v/>
      </c>
      <c r="U9" s="3">
        <f>COUNTIFS('QA_Issues'!$B$2:$B$66,B9,'QA_Issues'!$D$2:$D$66,"LIMITATION")</f>
        <v/>
      </c>
      <c r="V9" s="3" t="inlineStr">
        <is>
          <t>["R2-ISS-008-IMG-02", "R2-ISS-008-IMG-03", "R2-ISS-008-IMG-04", "R2-ISS-008-BODY", "R2-ISS-008-ADMIN", "R2-ISS-008-CANN"]</t>
        </is>
      </c>
      <c r="W9" s="3" t="inlineStr">
        <is>
          <t>["evidence_batch_001_008", "https://jeminise.com/products/celtic-mythology-tree-of-life-quilt-set-with-celtic-knotwork-border-12786aba7e-12786aba7e", "serp_reqa_008", "revision_diff.json", "customizer_audit.json"]</t>
        </is>
      </c>
    </row>
    <row r="10" ht="42" customHeight="1">
      <c r="A10" s="2" t="n">
        <v>9</v>
      </c>
      <c r="B10" s="2" t="inlineStr">
        <is>
          <t>jeminise.com+chicken-pattern-quilt-set-animal-patchwork-farmhouse-quilt-set</t>
        </is>
      </c>
      <c r="C10" s="4" t="inlineStr">
        <is>
          <t>https://jeminise.com/products/chicken-pattern-quilt-set-animal-patchwork-farmhouse-quilt-set</t>
        </is>
      </c>
      <c r="D10" s="2" t="inlineStr">
        <is>
          <t>chicken-pattern-quilt-set-animal-patchwork-farmhouse-quilt-set</t>
        </is>
      </c>
      <c r="E10" s="2" t="inlineStr">
        <is>
          <t>8867095019719</t>
        </is>
      </c>
      <c r="F10" s="2" t="inlineStr">
        <is>
          <t>r2</t>
        </is>
      </c>
      <c r="G10" s="5">
        <f>SUMIF('QA_Criteria'!$A$2:$A$111,B10,'QA_Criteria'!$F$2:$F$111)</f>
        <v/>
      </c>
      <c r="H10" s="5">
        <f>SUMIF('QA_Criteria'!$A$2:$A$111,B10,'QA_Criteria'!$G$2:$G$111)</f>
        <v/>
      </c>
      <c r="I10" s="5">
        <f>G10</f>
        <v/>
      </c>
      <c r="J10" s="5">
        <f>G10+(100-H10)</f>
        <v/>
      </c>
      <c r="K10" s="5">
        <f>IF(AND(H10=100,Q10=1,P10=TRUE),G10,"")</f>
        <v/>
      </c>
      <c r="L10" s="2">
        <f>IF(R10&gt;0,"QA_FAIL",IF(K10="","QA_INCOMPLETE",IF(K10&lt;70,"QA_FAIL",IF(OR(K10&lt;85,S10&gt;0),"QA_REVISE","QA_PASS"))))</f>
        <v/>
      </c>
      <c r="M10" s="2" t="inlineStr">
        <is>
          <t>SERP_ONLY</t>
        </is>
      </c>
      <c r="N10" s="2" t="n">
        <v>7</v>
      </c>
      <c r="O10" s="2" t="n">
        <v>7</v>
      </c>
      <c r="P10" s="2" t="b">
        <v>1</v>
      </c>
      <c r="Q10" s="6" t="n">
        <v>1</v>
      </c>
      <c r="R10" s="2">
        <f>COUNTIFS('QA_Issues'!$B$2:$B$66,B10,'QA_Issues'!$D$2:$D$66,"CRITICAL")</f>
        <v/>
      </c>
      <c r="S10" s="2">
        <f>COUNTIFS('QA_Issues'!$B$2:$B$66,B10,'QA_Issues'!$D$2:$D$66,"MAJOR")</f>
        <v/>
      </c>
      <c r="T10" s="2">
        <f>COUNTIFS('QA_Issues'!$B$2:$B$66,B10,'QA_Issues'!$D$2:$D$66,"MINOR")</f>
        <v/>
      </c>
      <c r="U10" s="2">
        <f>COUNTIFS('QA_Issues'!$B$2:$B$66,B10,'QA_Issues'!$D$2:$D$66,"LIMITATION")</f>
        <v/>
      </c>
      <c r="V10" s="2" t="inlineStr">
        <is>
          <t>["R2-ISS-009-IMG-02", "R2-ISS-009-IMG-03", "R2-ISS-009-IMG-04", "R2-ISS-009-BODY", "R2-ISS-009-ADMIN"]</t>
        </is>
      </c>
      <c r="W10" s="2" t="inlineStr">
        <is>
          <t>["evidence_batch_001_009", "https://jeminise.com/products/chicken-pattern-quilt-set-animal-patchwork-farmhouse-quilt-set", "serp_reqa_009", "revision_diff.json", "customizer_audit.json"]</t>
        </is>
      </c>
    </row>
    <row r="11" ht="42" customHeight="1">
      <c r="A11" s="3" t="n">
        <v>10</v>
      </c>
      <c r="B11" s="3" t="inlineStr">
        <is>
          <t>jeminise.com+christian-bedding-set-inspirational-bible-verse-comforte-design-01</t>
        </is>
      </c>
      <c r="C11" s="4" t="inlineStr">
        <is>
          <t>https://jeminise.com/products/christian-bedding-set-inspirational-bible-verse-comforte-design-01</t>
        </is>
      </c>
      <c r="D11" s="3" t="inlineStr">
        <is>
          <t>christian-bedding-set-inspirational-bible-verse-comforte-design-01</t>
        </is>
      </c>
      <c r="E11" s="3" t="inlineStr">
        <is>
          <t>8867138240711</t>
        </is>
      </c>
      <c r="F11" s="3" t="inlineStr">
        <is>
          <t>r2</t>
        </is>
      </c>
      <c r="G11" s="7">
        <f>SUMIF('QA_Criteria'!$A$2:$A$111,B11,'QA_Criteria'!$F$2:$F$111)</f>
        <v/>
      </c>
      <c r="H11" s="7">
        <f>SUMIF('QA_Criteria'!$A$2:$A$111,B11,'QA_Criteria'!$G$2:$G$111)</f>
        <v/>
      </c>
      <c r="I11" s="7">
        <f>G11</f>
        <v/>
      </c>
      <c r="J11" s="7">
        <f>G11+(100-H11)</f>
        <v/>
      </c>
      <c r="K11" s="7">
        <f>IF(AND(H11=100,Q11=1,P11=TRUE),G11,"")</f>
        <v/>
      </c>
      <c r="L11" s="3">
        <f>IF(R11&gt;0,"QA_FAIL",IF(K11="","QA_INCOMPLETE",IF(K11&lt;70,"QA_FAIL",IF(OR(K11&lt;85,S11&gt;0),"QA_REVISE","QA_PASS"))))</f>
        <v/>
      </c>
      <c r="M11" s="3" t="inlineStr">
        <is>
          <t>SERP_ONLY</t>
        </is>
      </c>
      <c r="N11" s="3" t="n">
        <v>8</v>
      </c>
      <c r="O11" s="3" t="n">
        <v>8</v>
      </c>
      <c r="P11" s="3" t="b">
        <v>1</v>
      </c>
      <c r="Q11" s="8" t="n">
        <v>1</v>
      </c>
      <c r="R11" s="3">
        <f>COUNTIFS('QA_Issues'!$B$2:$B$66,B11,'QA_Issues'!$D$2:$D$66,"CRITICAL")</f>
        <v/>
      </c>
      <c r="S11" s="3">
        <f>COUNTIFS('QA_Issues'!$B$2:$B$66,B11,'QA_Issues'!$D$2:$D$66,"MAJOR")</f>
        <v/>
      </c>
      <c r="T11" s="3">
        <f>COUNTIFS('QA_Issues'!$B$2:$B$66,B11,'QA_Issues'!$D$2:$D$66,"MINOR")</f>
        <v/>
      </c>
      <c r="U11" s="3">
        <f>COUNTIFS('QA_Issues'!$B$2:$B$66,B11,'QA_Issues'!$D$2:$D$66,"LIMITATION")</f>
        <v/>
      </c>
      <c r="V11" s="3" t="inlineStr">
        <is>
          <t>["R2-ISS-010-IMG-02", "R2-ISS-010-IMG-03", "R2-ISS-010-IMG-04", "R2-ISS-010-IMG-05", "R2-ISS-010-IMG-06", "R2-ISS-010-IMG-07", "R2-ISS-010-IMG-08", "R2-ISS-010-BODY", "R2-ISS-010-ADMIN", "R2-ISS-010-PERS", "R2-ISS-010-ENC"]</t>
        </is>
      </c>
      <c r="W11" s="3" t="inlineStr">
        <is>
          <t>["evidence_batch_001_010", "https://jeminise.com/products/christian-bedding-set-inspirational-bible-verse-comforte-design-01", "serp_reqa_010", "revision_diff.json", "customizer_audit.json"]</t>
        </is>
      </c>
    </row>
  </sheetData>
  <autoFilter ref="A1:W11"/>
  <conditionalFormatting sqref="L2:L11">
    <cfRule type="expression" priority="1" dxfId="0">
      <formula>L2="QA_PASS"</formula>
    </cfRule>
    <cfRule type="expression" priority="2" dxfId="1">
      <formula>L2="QA_REVISE"</formula>
    </cfRule>
    <cfRule type="expression" priority="3" dxfId="2">
      <formula>L2="QA_FAIL"</formula>
    </cfRule>
  </conditionalFormatting>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s>
  <printOptions horizontalCentered="0"/>
  <pageMargins left="0.25" right="0.25" top="0.5" bottom="0.5" header="0.5" footer="0.5"/>
  <pageSetup orientation="landscape" fitToHeight="0" fitToWidth="2"/>
</worksheet>
</file>

<file path=xl/worksheets/sheet3.xml><?xml version="1.0" encoding="utf-8"?>
<worksheet xmlns="http://schemas.openxmlformats.org/spreadsheetml/2006/main">
  <sheetPr>
    <outlinePr summaryBelow="1" summaryRight="1"/>
    <pageSetUpPr fitToPage="1"/>
  </sheetPr>
  <dimension ref="A1:J111"/>
  <sheetViews>
    <sheetView showGridLines="0" workbookViewId="0">
      <pane ySplit="1" topLeftCell="A2" activePane="bottomLeft" state="frozen"/>
      <selection pane="bottomLeft" activeCell="A1" sqref="A1"/>
    </sheetView>
  </sheetViews>
  <sheetFormatPr baseColWidth="8" defaultRowHeight="15"/>
  <cols>
    <col width="42" customWidth="1" min="1" max="1"/>
    <col width="20" customWidth="1" min="2" max="2"/>
    <col width="11" customWidth="1" min="3" max="3"/>
    <col width="12" customWidth="1" min="4" max="4"/>
    <col width="24" customWidth="1" min="5" max="5"/>
    <col width="23" customWidth="1" min="6" max="6"/>
    <col width="24" customWidth="1" min="7" max="7"/>
    <col width="42" customWidth="1" min="8" max="8"/>
    <col width="42" customWidth="1" min="9" max="9"/>
    <col width="42" customWidth="1" min="10" max="10"/>
  </cols>
  <sheetData>
    <row r="1" ht="32" customHeight="1">
      <c r="A1" s="1" t="inlineStr">
        <is>
          <t>product_key</t>
        </is>
      </c>
      <c r="B1" s="1" t="inlineStr">
        <is>
          <t>criterion_id</t>
        </is>
      </c>
      <c r="C1" s="1" t="inlineStr">
        <is>
          <t>weight</t>
        </is>
      </c>
      <c r="D1" s="1" t="inlineStr">
        <is>
          <t>assessment</t>
        </is>
      </c>
      <c r="E1" s="1" t="inlineStr">
        <is>
          <t>rating</t>
        </is>
      </c>
      <c r="F1" s="1" t="inlineStr">
        <is>
          <t>earned_points</t>
        </is>
      </c>
      <c r="G1" s="1" t="inlineStr">
        <is>
          <t>assessed_weight</t>
        </is>
      </c>
      <c r="H1" s="1" t="inlineStr">
        <is>
          <t>reason</t>
        </is>
      </c>
      <c r="I1" s="1" t="inlineStr">
        <is>
          <t>evidence_refs</t>
        </is>
      </c>
      <c r="J1" s="1" t="inlineStr">
        <is>
          <t>issue_refs</t>
        </is>
      </c>
    </row>
    <row r="2" ht="42" customHeight="1">
      <c r="A2" s="2" t="inlineStr">
        <is>
          <t>jeminise.com+autumn-cardinals-perched-above-large-sunflowers-quilt-with-cardinal-birds-9a3b408b20-9a3b408b20</t>
        </is>
      </c>
      <c r="B2" s="2" t="inlineStr">
        <is>
          <t>P1</t>
        </is>
      </c>
      <c r="C2" s="2" t="n">
        <v>15</v>
      </c>
      <c r="D2" s="2" t="inlineStr">
        <is>
          <t>FULL</t>
        </is>
      </c>
      <c r="E2" s="5">
        <f>IF(B2="I1",AVERAGEIF('QA_Images'!$A$2:$A$66,A2,'QA_Images'!$T$2:$T$66)/100,IF(D2="FULL",1,IF(D2="PARTIAL",0.5,IF(D2="FAIL",0,""))))</f>
        <v/>
      </c>
      <c r="F2" s="5">
        <f>IF(E2="",0,C2*E2)</f>
        <v/>
      </c>
      <c r="G2" s="5">
        <f>IF(B2="I1",20*AVERAGEIF('QA_Images'!$A$2:$A$66,A2,'QA_Images'!$U$2:$U$66)/100,IF(D2="NOT_CHECKED",0,C2))</f>
        <v/>
      </c>
      <c r="H2" s="2" t="inlineStr">
        <is>
          <t>Product key, handle, product ID, URL, canonical, live H1 and visible motif were rechecked.</t>
        </is>
      </c>
      <c r="I2" s="2" t="inlineStr">
        <is>
          <t>["evidence_batch_001_001", "https://jeminise.com/products/autumn-cardinals-perched-above-large-sunflowers-quilt-with-cardinal-birds-9a3b408b20-9a3b408b20", "serp_reqa_001", "revision_diff.json", "customizer_audit.json"]</t>
        </is>
      </c>
      <c r="J2" s="2" t="inlineStr">
        <is>
          <t>["R2-ISS-001-IMG-05", "R2-ISS-001-BODY", "R2-ISS-001-ADMIN", "R2-ISS-001-CANN", "R2-ISS-001-HYP"]</t>
        </is>
      </c>
    </row>
    <row r="3" ht="42" customHeight="1">
      <c r="A3" s="3" t="inlineStr">
        <is>
          <t>jeminise.com+autumn-cardinals-perched-above-large-sunflowers-quilt-with-cardinal-birds-9a3b408b20-9a3b408b20</t>
        </is>
      </c>
      <c r="B3" s="3" t="inlineStr">
        <is>
          <t>P2</t>
        </is>
      </c>
      <c r="C3" s="3" t="n">
        <v>10</v>
      </c>
      <c r="D3" s="3" t="inlineStr">
        <is>
          <t>FULL</t>
        </is>
      </c>
      <c r="E3" s="7">
        <f>IF(B3="I1",AVERAGEIF('QA_Images'!$A$2:$A$66,A3,'QA_Images'!$T$2:$T$66)/100,IF(D3="FULL",1,IF(D3="PARTIAL",0.5,IF(D3="FAIL",0,""))))</f>
        <v/>
      </c>
      <c r="F3" s="7">
        <f>IF(E3="",0,C3*E3)</f>
        <v/>
      </c>
      <c r="G3" s="7">
        <f>IF(B3="I1",20*AVERAGEIF('QA_Images'!$A$2:$A$66,A3,'QA_Images'!$U$2:$U$66)/100,IF(D3="NOT_CHECKED",0,C3))</f>
        <v/>
      </c>
      <c r="H3" s="3" t="inlineStr">
        <is>
          <t>Live product JSON, variants, gallery and Customizer schema were re-read; products 2 and 10 have verified text fields.</t>
        </is>
      </c>
      <c r="I3" s="3" t="inlineStr">
        <is>
          <t>["evidence_batch_001_001", "https://jeminise.com/products/autumn-cardinals-perched-above-large-sunflowers-quilt-with-cardinal-birds-9a3b408b20-9a3b408b20", "serp_reqa_001", "revision_diff.json", "customizer_audit.json"]</t>
        </is>
      </c>
      <c r="J3" s="3" t="inlineStr">
        <is>
          <t>["R2-ISS-001-IMG-05", "R2-ISS-001-BODY", "R2-ISS-001-ADMIN", "R2-ISS-001-CANN", "R2-ISS-001-HYP"]</t>
        </is>
      </c>
    </row>
    <row r="4" ht="42" customHeight="1">
      <c r="A4" s="2" t="inlineStr">
        <is>
          <t>jeminise.com+autumn-cardinals-perched-above-large-sunflowers-quilt-with-cardinal-birds-9a3b408b20-9a3b408b20</t>
        </is>
      </c>
      <c r="B4" s="2" t="inlineStr">
        <is>
          <t>K1</t>
        </is>
      </c>
      <c r="C4" s="2" t="n">
        <v>10</v>
      </c>
      <c r="D4" s="2" t="inlineStr">
        <is>
          <t>PARTIAL</t>
        </is>
      </c>
      <c r="E4" s="5">
        <f>IF(B4="I1",AVERAGEIF('QA_Images'!$A$2:$A$66,A4,'QA_Images'!$T$2:$T$66)/100,IF(D4="FULL",1,IF(D4="PARTIAL",0.5,IF(D4="FAIL",0,""))))</f>
        <v/>
      </c>
      <c r="F4" s="5">
        <f>IF(E4="",0,C4*E4)</f>
        <v/>
      </c>
      <c r="G4" s="5">
        <f>IF(B4="I1",20*AVERAGEIF('QA_Images'!$A$2:$A$66,A4,'QA_Images'!$U$2:$U$66)/100,IF(D4="NOT_CHECKED",0,C4))</f>
        <v/>
      </c>
      <c r="H4" s="2" t="inlineStr">
        <is>
          <t>Primary query was checked against submitted evidence and fresh SERP research; product 5 retains a mismatched chicken-quilt source.</t>
        </is>
      </c>
      <c r="I4" s="2" t="inlineStr">
        <is>
          <t>["evidence_batch_001_001", "https://jeminise.com/products/autumn-cardinals-perched-above-large-sunflowers-quilt-with-cardinal-birds-9a3b408b20-9a3b408b20", "serp_reqa_001", "revision_diff.json", "customizer_audit.json"]</t>
        </is>
      </c>
      <c r="J4" s="2" t="inlineStr">
        <is>
          <t>["R2-ISS-001-IMG-05", "R2-ISS-001-BODY", "R2-ISS-001-ADMIN", "R2-ISS-001-CANN", "R2-ISS-001-HYP"]</t>
        </is>
      </c>
    </row>
    <row r="5" ht="42" customHeight="1">
      <c r="A5" s="3" t="inlineStr">
        <is>
          <t>jeminise.com+autumn-cardinals-perched-above-large-sunflowers-quilt-with-cardinal-birds-9a3b408b20-9a3b408b20</t>
        </is>
      </c>
      <c r="B5" s="3" t="inlineStr">
        <is>
          <t>K2</t>
        </is>
      </c>
      <c r="C5" s="3" t="n">
        <v>5</v>
      </c>
      <c r="D5" s="3" t="inlineStr">
        <is>
          <t>PARTIAL</t>
        </is>
      </c>
      <c r="E5" s="7">
        <f>IF(B5="I1",AVERAGEIF('QA_Images'!$A$2:$A$66,A5,'QA_Images'!$T$2:$T$66)/100,IF(D5="FULL",1,IF(D5="PARTIAL",0.5,IF(D5="FAIL",0,""))))</f>
        <v/>
      </c>
      <c r="F5" s="7">
        <f>IF(E5="",0,C5*E5)</f>
        <v/>
      </c>
      <c r="G5" s="7">
        <f>IF(B5="I1",20*AVERAGEIF('QA_Images'!$A$2:$A$66,A5,'QA_Images'!$U$2:$U$66)/100,IF(D5="NOT_CHECKED",0,C5))</f>
        <v/>
      </c>
      <c r="H5" s="3" t="inlineStr">
        <is>
          <t>Primary and nearest alternative queries were searched for US commercial/product intent.</t>
        </is>
      </c>
      <c r="I5" s="3" t="inlineStr">
        <is>
          <t>["evidence_batch_001_001", "https://jeminise.com/products/autumn-cardinals-perched-above-large-sunflowers-quilt-with-cardinal-birds-9a3b408b20-9a3b408b20", "serp_reqa_001", "revision_diff.json", "customizer_audit.json"]</t>
        </is>
      </c>
      <c r="J5" s="3" t="inlineStr">
        <is>
          <t>["R2-ISS-001-IMG-05", "R2-ISS-001-BODY", "R2-ISS-001-ADMIN", "R2-ISS-001-CANN", "R2-ISS-001-HYP"]</t>
        </is>
      </c>
    </row>
    <row r="6" ht="42" customHeight="1">
      <c r="A6" s="2" t="inlineStr">
        <is>
          <t>jeminise.com+autumn-cardinals-perched-above-large-sunflowers-quilt-with-cardinal-birds-9a3b408b20-9a3b408b20</t>
        </is>
      </c>
      <c r="B6" s="2" t="inlineStr">
        <is>
          <t>K3</t>
        </is>
      </c>
      <c r="C6" s="2" t="n">
        <v>5</v>
      </c>
      <c r="D6" s="2" t="inlineStr">
        <is>
          <t>PARTIAL</t>
        </is>
      </c>
      <c r="E6" s="5">
        <f>IF(B6="I1",AVERAGEIF('QA_Images'!$A$2:$A$66,A6,'QA_Images'!$T$2:$T$66)/100,IF(D6="FULL",1,IF(D6="PARTIAL",0.5,IF(D6="FAIL",0,""))))</f>
        <v/>
      </c>
      <c r="F6" s="5">
        <f>IF(E6="",0,C6*E6)</f>
        <v/>
      </c>
      <c r="G6" s="5">
        <f>IF(B6="I1",20*AVERAGEIF('QA_Images'!$A$2:$A$66,A6,'QA_Images'!$U$2:$U$66)/100,IF(D6="NOT_CHECKED",0,C6))</f>
        <v/>
      </c>
      <c r="H6" s="2" t="inlineStr">
        <is>
          <t>Distinct artwork helps differentiation, but cardinal, cat and Celtic sibling pages still need an explicit intent map.</t>
        </is>
      </c>
      <c r="I6" s="2" t="inlineStr">
        <is>
          <t>["evidence_batch_001_001", "https://jeminise.com/products/autumn-cardinals-perched-above-large-sunflowers-quilt-with-cardinal-birds-9a3b408b20-9a3b408b20", "serp_reqa_001", "revision_diff.json", "customizer_audit.json"]</t>
        </is>
      </c>
      <c r="J6" s="2" t="inlineStr">
        <is>
          <t>["R2-ISS-001-IMG-05", "R2-ISS-001-BODY", "R2-ISS-001-ADMIN", "R2-ISS-001-CANN", "R2-ISS-001-HYP"]</t>
        </is>
      </c>
    </row>
    <row r="7" ht="42" customHeight="1">
      <c r="A7" s="3" t="inlineStr">
        <is>
          <t>jeminise.com+autumn-cardinals-perched-above-large-sunflowers-quilt-with-cardinal-birds-9a3b408b20-9a3b408b20</t>
        </is>
      </c>
      <c r="B7" s="3" t="inlineStr">
        <is>
          <t>T1</t>
        </is>
      </c>
      <c r="C7" s="3" t="n">
        <v>10</v>
      </c>
      <c r="D7" s="3" t="inlineStr">
        <is>
          <t>FULL</t>
        </is>
      </c>
      <c r="E7" s="7">
        <f>IF(B7="I1",AVERAGEIF('QA_Images'!$A$2:$A$66,A7,'QA_Images'!$T$2:$T$66)/100,IF(D7="FULL",1,IF(D7="PARTIAL",0.5,IF(D7="FAIL",0,""))))</f>
        <v/>
      </c>
      <c r="F7" s="7">
        <f>IF(E7="",0,C7*E7)</f>
        <v/>
      </c>
      <c r="G7" s="7">
        <f>IF(B7="I1",20*AVERAGEIF('QA_Images'!$A$2:$A$66,A7,'QA_Images'!$U$2:$U$66)/100,IF(D7="NOT_CHECKED",0,C7))</f>
        <v/>
      </c>
      <c r="H7" s="3" t="inlineStr">
        <is>
          <t>Title was checked for product type, motif, keyword fit and verified personalization opportunity.</t>
        </is>
      </c>
      <c r="I7" s="3" t="inlineStr">
        <is>
          <t>["evidence_batch_001_001", "https://jeminise.com/products/autumn-cardinals-perched-above-large-sunflowers-quilt-with-cardinal-birds-9a3b408b20-9a3b408b20", "serp_reqa_001", "revision_diff.json", "customizer_audit.json"]</t>
        </is>
      </c>
      <c r="J7" s="3" t="inlineStr">
        <is>
          <t>["R2-ISS-001-IMG-05", "R2-ISS-001-BODY", "R2-ISS-001-ADMIN", "R2-ISS-001-CANN", "R2-ISS-001-HYP"]</t>
        </is>
      </c>
    </row>
    <row r="8" ht="42" customHeight="1">
      <c r="A8" s="2" t="inlineStr">
        <is>
          <t>jeminise.com+autumn-cardinals-perched-above-large-sunflowers-quilt-with-cardinal-birds-9a3b408b20-9a3b408b20</t>
        </is>
      </c>
      <c r="B8" s="2" t="inlineStr">
        <is>
          <t>T2</t>
        </is>
      </c>
      <c r="C8" s="2" t="n">
        <v>5</v>
      </c>
      <c r="D8" s="2" t="inlineStr">
        <is>
          <t>FULL</t>
        </is>
      </c>
      <c r="E8" s="5">
        <f>IF(B8="I1",AVERAGEIF('QA_Images'!$A$2:$A$66,A8,'QA_Images'!$T$2:$T$66)/100,IF(D8="FULL",1,IF(D8="PARTIAL",0.5,IF(D8="FAIL",0,""))))</f>
        <v/>
      </c>
      <c r="F8" s="5">
        <f>IF(E8="",0,C8*E8)</f>
        <v/>
      </c>
      <c r="G8" s="5">
        <f>IF(B8="I1",20*AVERAGEIF('QA_Images'!$A$2:$A$66,A8,'QA_Images'!$U$2:$U$66)/100,IF(D8="NOT_CHECKED",0,C8))</f>
        <v/>
      </c>
      <c r="H8" s="2" t="inlineStr">
        <is>
          <t>H1 was assessed independently from the SEO title and live source encoding.</t>
        </is>
      </c>
      <c r="I8" s="2" t="inlineStr">
        <is>
          <t>["evidence_batch_001_001", "https://jeminise.com/products/autumn-cardinals-perched-above-large-sunflowers-quilt-with-cardinal-birds-9a3b408b20-9a3b408b20", "serp_reqa_001", "revision_diff.json", "customizer_audit.json"]</t>
        </is>
      </c>
      <c r="J8" s="2" t="inlineStr">
        <is>
          <t>["R2-ISS-001-IMG-05", "R2-ISS-001-BODY", "R2-ISS-001-ADMIN", "R2-ISS-001-CANN", "R2-ISS-001-HYP"]</t>
        </is>
      </c>
    </row>
    <row r="9" ht="42" customHeight="1">
      <c r="A9" s="3" t="inlineStr">
        <is>
          <t>jeminise.com+autumn-cardinals-perched-above-large-sunflowers-quilt-with-cardinal-birds-9a3b408b20-9a3b408b20</t>
        </is>
      </c>
      <c r="B9" s="3" t="inlineStr">
        <is>
          <t>D1</t>
        </is>
      </c>
      <c r="C9" s="3" t="n">
        <v>5</v>
      </c>
      <c r="D9" s="3" t="inlineStr">
        <is>
          <t>FULL</t>
        </is>
      </c>
      <c r="E9" s="7">
        <f>IF(B9="I1",AVERAGEIF('QA_Images'!$A$2:$A$66,A9,'QA_Images'!$T$2:$T$66)/100,IF(D9="FULL",1,IF(D9="PARTIAL",0.5,IF(D9="FAIL",0,""))))</f>
        <v/>
      </c>
      <c r="F9" s="7">
        <f>IF(E9="",0,C9*E9)</f>
        <v/>
      </c>
      <c r="G9" s="7">
        <f>IF(B9="I1",20*AVERAGEIF('QA_Images'!$A$2:$A$66,A9,'QA_Images'!$U$2:$U$66)/100,IF(D9="NOT_CHECKED",0,C9))</f>
        <v/>
      </c>
      <c r="H9" s="3" t="inlineStr">
        <is>
          <t>Meta description is concise and claim-safe; product 10 is ambiguous about editable name text.</t>
        </is>
      </c>
      <c r="I9" s="3" t="inlineStr">
        <is>
          <t>["evidence_batch_001_001", "https://jeminise.com/products/autumn-cardinals-perched-above-large-sunflowers-quilt-with-cardinal-birds-9a3b408b20-9a3b408b20", "serp_reqa_001", "revision_diff.json", "customizer_audit.json"]</t>
        </is>
      </c>
      <c r="J9" s="3" t="inlineStr">
        <is>
          <t>["R2-ISS-001-IMG-05", "R2-ISS-001-BODY", "R2-ISS-001-ADMIN", "R2-ISS-001-CANN", "R2-ISS-001-HYP"]</t>
        </is>
      </c>
    </row>
    <row r="10" ht="42" customHeight="1">
      <c r="A10" s="2" t="inlineStr">
        <is>
          <t>jeminise.com+autumn-cardinals-perched-above-large-sunflowers-quilt-with-cardinal-birds-9a3b408b20-9a3b408b20</t>
        </is>
      </c>
      <c r="B10" s="2" t="inlineStr">
        <is>
          <t>D2</t>
        </is>
      </c>
      <c r="C10" s="2" t="n">
        <v>10</v>
      </c>
      <c r="D10" s="2" t="inlineStr">
        <is>
          <t>PARTIAL</t>
        </is>
      </c>
      <c r="E10" s="5">
        <f>IF(B10="I1",AVERAGEIF('QA_Images'!$A$2:$A$66,A10,'QA_Images'!$T$2:$T$66)/100,IF(D10="FULL",1,IF(D10="PARTIAL",0.5,IF(D10="FAIL",0,""))))</f>
        <v/>
      </c>
      <c r="F10" s="5">
        <f>IF(E10="",0,C10*E10)</f>
        <v/>
      </c>
      <c r="G10" s="5">
        <f>IF(B10="I1",20*AVERAGEIF('QA_Images'!$A$2:$A$66,A10,'QA_Images'!$U$2:$U$66)/100,IF(D10="NOT_CHECKED",0,C10))</f>
        <v/>
      </c>
      <c r="H10" s="2" t="inlineStr">
        <is>
          <t>Internal QA text and raw conflicting facts were removed, but the replacement body is repetitive and omits useful verified image/spec details.</t>
        </is>
      </c>
      <c r="I10" s="2" t="inlineStr">
        <is>
          <t>["evidence_batch_001_001", "https://jeminise.com/products/autumn-cardinals-perched-above-large-sunflowers-quilt-with-cardinal-birds-9a3b408b20-9a3b408b20", "serp_reqa_001", "revision_diff.json", "customizer_audit.json"]</t>
        </is>
      </c>
      <c r="J10" s="2" t="inlineStr">
        <is>
          <t>["R2-ISS-001-IMG-05", "R2-ISS-001-BODY", "R2-ISS-001-ADMIN", "R2-ISS-001-CANN", "R2-ISS-001-HYP"]</t>
        </is>
      </c>
    </row>
    <row r="11" ht="42" customHeight="1">
      <c r="A11" s="3" t="inlineStr">
        <is>
          <t>jeminise.com+autumn-cardinals-perched-above-large-sunflowers-quilt-with-cardinal-birds-9a3b408b20-9a3b408b20</t>
        </is>
      </c>
      <c r="B11" s="3" t="inlineStr">
        <is>
          <t>I1</t>
        </is>
      </c>
      <c r="C11" s="3" t="n">
        <v>20</v>
      </c>
      <c r="D11" s="3" t="inlineStr">
        <is>
          <t>DERIVED</t>
        </is>
      </c>
      <c r="E11" s="7">
        <f>IF(B11="I1",AVERAGEIF('QA_Images'!$A$2:$A$66,A11,'QA_Images'!$T$2:$T$66)/100,IF(D11="FULL",1,IF(D11="PARTIAL",0.5,IF(D11="FAIL",0,""))))</f>
        <v/>
      </c>
      <c r="F11" s="7">
        <f>IF(E11="",0,C11*E11)</f>
        <v/>
      </c>
      <c r="G11" s="7">
        <f>IF(B11="I1",20*AVERAGEIF('QA_Images'!$A$2:$A$66,A11,'QA_Images'!$U$2:$U$66)/100,IF(D11="NOT_CHECKED",0,C11))</f>
        <v/>
      </c>
      <c r="H11" s="3" t="inlineStr">
        <is>
          <t>Derived from 5 directly reopened images: 95.0000/100.</t>
        </is>
      </c>
      <c r="I11" s="3" t="inlineStr">
        <is>
          <t>["evidence_batch_001_001", "https://jeminise.com/products/autumn-cardinals-perched-above-large-sunflowers-quilt-with-cardinal-birds-9a3b408b20-9a3b408b20", "serp_reqa_001", "revision_diff.json", "customizer_audit.json"]</t>
        </is>
      </c>
      <c r="J11" s="3" t="inlineStr">
        <is>
          <t>["R2-ISS-001-IMG-05", "R2-ISS-001-BODY", "R2-ISS-001-ADMIN", "R2-ISS-001-CANN", "R2-ISS-001-HYP"]</t>
        </is>
      </c>
    </row>
    <row r="12" ht="42" customHeight="1">
      <c r="A12" s="2" t="inlineStr">
        <is>
          <t>jeminise.com+autumn-cardinals-perched-above-large-sunflowers-quilt-with-cardinal-birds-9a3b408b20-9a3b408b20</t>
        </is>
      </c>
      <c r="B12" s="2" t="inlineStr">
        <is>
          <t>E1</t>
        </is>
      </c>
      <c r="C12" s="2" t="n">
        <v>5</v>
      </c>
      <c r="D12" s="2" t="inlineStr">
        <is>
          <t>PARTIAL</t>
        </is>
      </c>
      <c r="E12" s="5">
        <f>IF(B12="I1",AVERAGEIF('QA_Images'!$A$2:$A$66,A12,'QA_Images'!$T$2:$T$66)/100,IF(D12="FULL",1,IF(D12="PARTIAL",0.5,IF(D12="FAIL",0,""))))</f>
        <v/>
      </c>
      <c r="F12" s="5">
        <f>IF(E12="",0,C12*E12)</f>
        <v/>
      </c>
      <c r="G12" s="5">
        <f>IF(B12="I1",20*AVERAGEIF('QA_Images'!$A$2:$A$66,A12,'QA_Images'!$U$2:$U$66)/100,IF(D12="NOT_CHECKED",0,C12))</f>
        <v/>
      </c>
      <c r="H12" s="2" t="inlineStr">
        <is>
          <t>Revision lineage, source rows, live source and evidence references were cross-checked; admin export remains unavailable.</t>
        </is>
      </c>
      <c r="I12" s="2" t="inlineStr">
        <is>
          <t>["evidence_batch_001_001", "https://jeminise.com/products/autumn-cardinals-perched-above-large-sunflowers-quilt-with-cardinal-birds-9a3b408b20-9a3b408b20", "serp_reqa_001", "revision_diff.json", "customizer_audit.json"]</t>
        </is>
      </c>
      <c r="J12" s="2" t="inlineStr">
        <is>
          <t>["R2-ISS-001-IMG-05", "R2-ISS-001-BODY", "R2-ISS-001-ADMIN", "R2-ISS-001-CANN", "R2-ISS-001-HYP"]</t>
        </is>
      </c>
    </row>
    <row r="13" ht="42" customHeight="1">
      <c r="A13" s="3" t="inlineStr">
        <is>
          <t>jeminise.com+bright-teal-yellow-softball-comforter-set-premium-sports-theme</t>
        </is>
      </c>
      <c r="B13" s="3" t="inlineStr">
        <is>
          <t>P1</t>
        </is>
      </c>
      <c r="C13" s="3" t="n">
        <v>15</v>
      </c>
      <c r="D13" s="3" t="inlineStr">
        <is>
          <t>FULL</t>
        </is>
      </c>
      <c r="E13" s="7">
        <f>IF(B13="I1",AVERAGEIF('QA_Images'!$A$2:$A$66,A13,'QA_Images'!$T$2:$T$66)/100,IF(D13="FULL",1,IF(D13="PARTIAL",0.5,IF(D13="FAIL",0,""))))</f>
        <v/>
      </c>
      <c r="F13" s="7">
        <f>IF(E13="",0,C13*E13)</f>
        <v/>
      </c>
      <c r="G13" s="7">
        <f>IF(B13="I1",20*AVERAGEIF('QA_Images'!$A$2:$A$66,A13,'QA_Images'!$U$2:$U$66)/100,IF(D13="NOT_CHECKED",0,C13))</f>
        <v/>
      </c>
      <c r="H13" s="3" t="inlineStr">
        <is>
          <t>Product key, handle, product ID, URL, canonical, live H1 and visible motif were rechecked.</t>
        </is>
      </c>
      <c r="I13" s="3" t="inlineStr">
        <is>
          <t>["evidence_batch_001_002", "https://jeminise.com/products/bright-teal-yellow-softball-comforter-set-premium-sports-theme", "serp_reqa_002", "revision_diff.json", "customizer_audit.json"]</t>
        </is>
      </c>
      <c r="J13" s="3" t="inlineStr">
        <is>
          <t>["R2-ISS-002-IMG-02", "R2-ISS-002-IMG-04", "R2-ISS-002-IMG-05", "R2-ISS-002-IMG-07", "R2-ISS-002-BODY", "R2-ISS-002-ADMIN", "R2-ISS-002-PERS", "R2-ISS-002-ENC"]</t>
        </is>
      </c>
    </row>
    <row r="14" ht="42" customHeight="1">
      <c r="A14" s="2" t="inlineStr">
        <is>
          <t>jeminise.com+bright-teal-yellow-softball-comforter-set-premium-sports-theme</t>
        </is>
      </c>
      <c r="B14" s="2" t="inlineStr">
        <is>
          <t>P2</t>
        </is>
      </c>
      <c r="C14" s="2" t="n">
        <v>10</v>
      </c>
      <c r="D14" s="2" t="inlineStr">
        <is>
          <t>FULL</t>
        </is>
      </c>
      <c r="E14" s="5">
        <f>IF(B14="I1",AVERAGEIF('QA_Images'!$A$2:$A$66,A14,'QA_Images'!$T$2:$T$66)/100,IF(D14="FULL",1,IF(D14="PARTIAL",0.5,IF(D14="FAIL",0,""))))</f>
        <v/>
      </c>
      <c r="F14" s="5">
        <f>IF(E14="",0,C14*E14)</f>
        <v/>
      </c>
      <c r="G14" s="5">
        <f>IF(B14="I1",20*AVERAGEIF('QA_Images'!$A$2:$A$66,A14,'QA_Images'!$U$2:$U$66)/100,IF(D14="NOT_CHECKED",0,C14))</f>
        <v/>
      </c>
      <c r="H14" s="2" t="inlineStr">
        <is>
          <t>Live product JSON, variants, gallery and Customizer schema were re-read; products 2 and 10 have verified text fields.</t>
        </is>
      </c>
      <c r="I14" s="2" t="inlineStr">
        <is>
          <t>["evidence_batch_001_002", "https://jeminise.com/products/bright-teal-yellow-softball-comforter-set-premium-sports-theme", "serp_reqa_002", "revision_diff.json", "customizer_audit.json"]</t>
        </is>
      </c>
      <c r="J14" s="2" t="inlineStr">
        <is>
          <t>["R2-ISS-002-IMG-02", "R2-ISS-002-IMG-04", "R2-ISS-002-IMG-05", "R2-ISS-002-IMG-07", "R2-ISS-002-BODY", "R2-ISS-002-ADMIN", "R2-ISS-002-PERS", "R2-ISS-002-ENC"]</t>
        </is>
      </c>
    </row>
    <row r="15" ht="42" customHeight="1">
      <c r="A15" s="3" t="inlineStr">
        <is>
          <t>jeminise.com+bright-teal-yellow-softball-comforter-set-premium-sports-theme</t>
        </is>
      </c>
      <c r="B15" s="3" t="inlineStr">
        <is>
          <t>K1</t>
        </is>
      </c>
      <c r="C15" s="3" t="n">
        <v>10</v>
      </c>
      <c r="D15" s="3" t="inlineStr">
        <is>
          <t>FULL</t>
        </is>
      </c>
      <c r="E15" s="7">
        <f>IF(B15="I1",AVERAGEIF('QA_Images'!$A$2:$A$66,A15,'QA_Images'!$T$2:$T$66)/100,IF(D15="FULL",1,IF(D15="PARTIAL",0.5,IF(D15="FAIL",0,""))))</f>
        <v/>
      </c>
      <c r="F15" s="7">
        <f>IF(E15="",0,C15*E15)</f>
        <v/>
      </c>
      <c r="G15" s="7">
        <f>IF(B15="I1",20*AVERAGEIF('QA_Images'!$A$2:$A$66,A15,'QA_Images'!$U$2:$U$66)/100,IF(D15="NOT_CHECKED",0,C15))</f>
        <v/>
      </c>
      <c r="H15" s="3" t="inlineStr">
        <is>
          <t>Primary query was checked against submitted evidence and fresh SERP research; product 5 retains a mismatched chicken-quilt source.</t>
        </is>
      </c>
      <c r="I15" s="3" t="inlineStr">
        <is>
          <t>["evidence_batch_001_002", "https://jeminise.com/products/bright-teal-yellow-softball-comforter-set-premium-sports-theme", "serp_reqa_002", "revision_diff.json", "customizer_audit.json"]</t>
        </is>
      </c>
      <c r="J15" s="3" t="inlineStr">
        <is>
          <t>["R2-ISS-002-IMG-02", "R2-ISS-002-IMG-04", "R2-ISS-002-IMG-05", "R2-ISS-002-IMG-07", "R2-ISS-002-BODY", "R2-ISS-002-ADMIN", "R2-ISS-002-PERS", "R2-ISS-002-ENC"]</t>
        </is>
      </c>
    </row>
    <row r="16" ht="42" customHeight="1">
      <c r="A16" s="2" t="inlineStr">
        <is>
          <t>jeminise.com+bright-teal-yellow-softball-comforter-set-premium-sports-theme</t>
        </is>
      </c>
      <c r="B16" s="2" t="inlineStr">
        <is>
          <t>K2</t>
        </is>
      </c>
      <c r="C16" s="2" t="n">
        <v>5</v>
      </c>
      <c r="D16" s="2" t="inlineStr">
        <is>
          <t>FULL</t>
        </is>
      </c>
      <c r="E16" s="5">
        <f>IF(B16="I1",AVERAGEIF('QA_Images'!$A$2:$A$66,A16,'QA_Images'!$T$2:$T$66)/100,IF(D16="FULL",1,IF(D16="PARTIAL",0.5,IF(D16="FAIL",0,""))))</f>
        <v/>
      </c>
      <c r="F16" s="5">
        <f>IF(E16="",0,C16*E16)</f>
        <v/>
      </c>
      <c r="G16" s="5">
        <f>IF(B16="I1",20*AVERAGEIF('QA_Images'!$A$2:$A$66,A16,'QA_Images'!$U$2:$U$66)/100,IF(D16="NOT_CHECKED",0,C16))</f>
        <v/>
      </c>
      <c r="H16" s="2" t="inlineStr">
        <is>
          <t>Primary and nearest alternative queries were searched for US commercial/product intent.</t>
        </is>
      </c>
      <c r="I16" s="2" t="inlineStr">
        <is>
          <t>["evidence_batch_001_002", "https://jeminise.com/products/bright-teal-yellow-softball-comforter-set-premium-sports-theme", "serp_reqa_002", "revision_diff.json", "customizer_audit.json"]</t>
        </is>
      </c>
      <c r="J16" s="2" t="inlineStr">
        <is>
          <t>["R2-ISS-002-IMG-02", "R2-ISS-002-IMG-04", "R2-ISS-002-IMG-05", "R2-ISS-002-IMG-07", "R2-ISS-002-BODY", "R2-ISS-002-ADMIN", "R2-ISS-002-PERS", "R2-ISS-002-ENC"]</t>
        </is>
      </c>
    </row>
    <row r="17" ht="42" customHeight="1">
      <c r="A17" s="3" t="inlineStr">
        <is>
          <t>jeminise.com+bright-teal-yellow-softball-comforter-set-premium-sports-theme</t>
        </is>
      </c>
      <c r="B17" s="3" t="inlineStr">
        <is>
          <t>K3</t>
        </is>
      </c>
      <c r="C17" s="3" t="n">
        <v>5</v>
      </c>
      <c r="D17" s="3" t="inlineStr">
        <is>
          <t>FULL</t>
        </is>
      </c>
      <c r="E17" s="7">
        <f>IF(B17="I1",AVERAGEIF('QA_Images'!$A$2:$A$66,A17,'QA_Images'!$T$2:$T$66)/100,IF(D17="FULL",1,IF(D17="PARTIAL",0.5,IF(D17="FAIL",0,""))))</f>
        <v/>
      </c>
      <c r="F17" s="7">
        <f>IF(E17="",0,C17*E17)</f>
        <v/>
      </c>
      <c r="G17" s="7">
        <f>IF(B17="I1",20*AVERAGEIF('QA_Images'!$A$2:$A$66,A17,'QA_Images'!$U$2:$U$66)/100,IF(D17="NOT_CHECKED",0,C17))</f>
        <v/>
      </c>
      <c r="H17" s="3" t="inlineStr">
        <is>
          <t>Distinct artwork helps differentiation, but cardinal, cat and Celtic sibling pages still need an explicit intent map.</t>
        </is>
      </c>
      <c r="I17" s="3" t="inlineStr">
        <is>
          <t>["evidence_batch_001_002", "https://jeminise.com/products/bright-teal-yellow-softball-comforter-set-premium-sports-theme", "serp_reqa_002", "revision_diff.json", "customizer_audit.json"]</t>
        </is>
      </c>
      <c r="J17" s="3" t="inlineStr">
        <is>
          <t>["R2-ISS-002-IMG-02", "R2-ISS-002-IMG-04", "R2-ISS-002-IMG-05", "R2-ISS-002-IMG-07", "R2-ISS-002-BODY", "R2-ISS-002-ADMIN", "R2-ISS-002-PERS", "R2-ISS-002-ENC"]</t>
        </is>
      </c>
    </row>
    <row r="18" ht="42" customHeight="1">
      <c r="A18" s="2" t="inlineStr">
        <is>
          <t>jeminise.com+bright-teal-yellow-softball-comforter-set-premium-sports-theme</t>
        </is>
      </c>
      <c r="B18" s="2" t="inlineStr">
        <is>
          <t>T1</t>
        </is>
      </c>
      <c r="C18" s="2" t="n">
        <v>10</v>
      </c>
      <c r="D18" s="2" t="inlineStr">
        <is>
          <t>PARTIAL</t>
        </is>
      </c>
      <c r="E18" s="5">
        <f>IF(B18="I1",AVERAGEIF('QA_Images'!$A$2:$A$66,A18,'QA_Images'!$T$2:$T$66)/100,IF(D18="FULL",1,IF(D18="PARTIAL",0.5,IF(D18="FAIL",0,""))))</f>
        <v/>
      </c>
      <c r="F18" s="5">
        <f>IF(E18="",0,C18*E18)</f>
        <v/>
      </c>
      <c r="G18" s="5">
        <f>IF(B18="I1",20*AVERAGEIF('QA_Images'!$A$2:$A$66,A18,'QA_Images'!$U$2:$U$66)/100,IF(D18="NOT_CHECKED",0,C18))</f>
        <v/>
      </c>
      <c r="H18" s="2" t="inlineStr">
        <is>
          <t>Title was checked for product type, motif, keyword fit and verified personalization opportunity.</t>
        </is>
      </c>
      <c r="I18" s="2" t="inlineStr">
        <is>
          <t>["evidence_batch_001_002", "https://jeminise.com/products/bright-teal-yellow-softball-comforter-set-premium-sports-theme", "serp_reqa_002", "revision_diff.json", "customizer_audit.json"]</t>
        </is>
      </c>
      <c r="J18" s="2" t="inlineStr">
        <is>
          <t>["R2-ISS-002-IMG-02", "R2-ISS-002-IMG-04", "R2-ISS-002-IMG-05", "R2-ISS-002-IMG-07", "R2-ISS-002-BODY", "R2-ISS-002-ADMIN", "R2-ISS-002-PERS", "R2-ISS-002-ENC"]</t>
        </is>
      </c>
    </row>
    <row r="19" ht="42" customHeight="1">
      <c r="A19" s="3" t="inlineStr">
        <is>
          <t>jeminise.com+bright-teal-yellow-softball-comforter-set-premium-sports-theme</t>
        </is>
      </c>
      <c r="B19" s="3" t="inlineStr">
        <is>
          <t>T2</t>
        </is>
      </c>
      <c r="C19" s="3" t="n">
        <v>5</v>
      </c>
      <c r="D19" s="3" t="inlineStr">
        <is>
          <t>PARTIAL</t>
        </is>
      </c>
      <c r="E19" s="7">
        <f>IF(B19="I1",AVERAGEIF('QA_Images'!$A$2:$A$66,A19,'QA_Images'!$T$2:$T$66)/100,IF(D19="FULL",1,IF(D19="PARTIAL",0.5,IF(D19="FAIL",0,""))))</f>
        <v/>
      </c>
      <c r="F19" s="7">
        <f>IF(E19="",0,C19*E19)</f>
        <v/>
      </c>
      <c r="G19" s="7">
        <f>IF(B19="I1",20*AVERAGEIF('QA_Images'!$A$2:$A$66,A19,'QA_Images'!$U$2:$U$66)/100,IF(D19="NOT_CHECKED",0,C19))</f>
        <v/>
      </c>
      <c r="H19" s="3" t="inlineStr">
        <is>
          <t>H1 was assessed independently from the SEO title and live source encoding.</t>
        </is>
      </c>
      <c r="I19" s="3" t="inlineStr">
        <is>
          <t>["evidence_batch_001_002", "https://jeminise.com/products/bright-teal-yellow-softball-comforter-set-premium-sports-theme", "serp_reqa_002", "revision_diff.json", "customizer_audit.json"]</t>
        </is>
      </c>
      <c r="J19" s="3" t="inlineStr">
        <is>
          <t>["R2-ISS-002-IMG-02", "R2-ISS-002-IMG-04", "R2-ISS-002-IMG-05", "R2-ISS-002-IMG-07", "R2-ISS-002-BODY", "R2-ISS-002-ADMIN", "R2-ISS-002-PERS", "R2-ISS-002-ENC"]</t>
        </is>
      </c>
    </row>
    <row r="20" ht="42" customHeight="1">
      <c r="A20" s="2" t="inlineStr">
        <is>
          <t>jeminise.com+bright-teal-yellow-softball-comforter-set-premium-sports-theme</t>
        </is>
      </c>
      <c r="B20" s="2" t="inlineStr">
        <is>
          <t>D1</t>
        </is>
      </c>
      <c r="C20" s="2" t="n">
        <v>5</v>
      </c>
      <c r="D20" s="2" t="inlineStr">
        <is>
          <t>FULL</t>
        </is>
      </c>
      <c r="E20" s="5">
        <f>IF(B20="I1",AVERAGEIF('QA_Images'!$A$2:$A$66,A20,'QA_Images'!$T$2:$T$66)/100,IF(D20="FULL",1,IF(D20="PARTIAL",0.5,IF(D20="FAIL",0,""))))</f>
        <v/>
      </c>
      <c r="F20" s="5">
        <f>IF(E20="",0,C20*E20)</f>
        <v/>
      </c>
      <c r="G20" s="5">
        <f>IF(B20="I1",20*AVERAGEIF('QA_Images'!$A$2:$A$66,A20,'QA_Images'!$U$2:$U$66)/100,IF(D20="NOT_CHECKED",0,C20))</f>
        <v/>
      </c>
      <c r="H20" s="2" t="inlineStr">
        <is>
          <t>Meta description is concise and claim-safe; product 10 is ambiguous about editable name text.</t>
        </is>
      </c>
      <c r="I20" s="2" t="inlineStr">
        <is>
          <t>["evidence_batch_001_002", "https://jeminise.com/products/bright-teal-yellow-softball-comforter-set-premium-sports-theme", "serp_reqa_002", "revision_diff.json", "customizer_audit.json"]</t>
        </is>
      </c>
      <c r="J20" s="2" t="inlineStr">
        <is>
          <t>["R2-ISS-002-IMG-02", "R2-ISS-002-IMG-04", "R2-ISS-002-IMG-05", "R2-ISS-002-IMG-07", "R2-ISS-002-BODY", "R2-ISS-002-ADMIN", "R2-ISS-002-PERS", "R2-ISS-002-ENC"]</t>
        </is>
      </c>
    </row>
    <row r="21" ht="42" customHeight="1">
      <c r="A21" s="3" t="inlineStr">
        <is>
          <t>jeminise.com+bright-teal-yellow-softball-comforter-set-premium-sports-theme</t>
        </is>
      </c>
      <c r="B21" s="3" t="inlineStr">
        <is>
          <t>D2</t>
        </is>
      </c>
      <c r="C21" s="3" t="n">
        <v>10</v>
      </c>
      <c r="D21" s="3" t="inlineStr">
        <is>
          <t>PARTIAL</t>
        </is>
      </c>
      <c r="E21" s="7">
        <f>IF(B21="I1",AVERAGEIF('QA_Images'!$A$2:$A$66,A21,'QA_Images'!$T$2:$T$66)/100,IF(D21="FULL",1,IF(D21="PARTIAL",0.5,IF(D21="FAIL",0,""))))</f>
        <v/>
      </c>
      <c r="F21" s="7">
        <f>IF(E21="",0,C21*E21)</f>
        <v/>
      </c>
      <c r="G21" s="7">
        <f>IF(B21="I1",20*AVERAGEIF('QA_Images'!$A$2:$A$66,A21,'QA_Images'!$U$2:$U$66)/100,IF(D21="NOT_CHECKED",0,C21))</f>
        <v/>
      </c>
      <c r="H21" s="3" t="inlineStr">
        <is>
          <t>Internal QA text and raw conflicting facts were removed, but the replacement body is repetitive and omits useful verified image/spec details.</t>
        </is>
      </c>
      <c r="I21" s="3" t="inlineStr">
        <is>
          <t>["evidence_batch_001_002", "https://jeminise.com/products/bright-teal-yellow-softball-comforter-set-premium-sports-theme", "serp_reqa_002", "revision_diff.json", "customizer_audit.json"]</t>
        </is>
      </c>
      <c r="J21" s="3" t="inlineStr">
        <is>
          <t>["R2-ISS-002-IMG-02", "R2-ISS-002-IMG-04", "R2-ISS-002-IMG-05", "R2-ISS-002-IMG-07", "R2-ISS-002-BODY", "R2-ISS-002-ADMIN", "R2-ISS-002-PERS", "R2-ISS-002-ENC"]</t>
        </is>
      </c>
    </row>
    <row r="22" ht="42" customHeight="1">
      <c r="A22" s="2" t="inlineStr">
        <is>
          <t>jeminise.com+bright-teal-yellow-softball-comforter-set-premium-sports-theme</t>
        </is>
      </c>
      <c r="B22" s="2" t="inlineStr">
        <is>
          <t>I1</t>
        </is>
      </c>
      <c r="C22" s="2" t="n">
        <v>20</v>
      </c>
      <c r="D22" s="2" t="inlineStr">
        <is>
          <t>DERIVED</t>
        </is>
      </c>
      <c r="E22" s="5">
        <f>IF(B22="I1",AVERAGEIF('QA_Images'!$A$2:$A$66,A22,'QA_Images'!$T$2:$T$66)/100,IF(D22="FULL",1,IF(D22="PARTIAL",0.5,IF(D22="FAIL",0,""))))</f>
        <v/>
      </c>
      <c r="F22" s="5">
        <f>IF(E22="",0,C22*E22)</f>
        <v/>
      </c>
      <c r="G22" s="5">
        <f>IF(B22="I1",20*AVERAGEIF('QA_Images'!$A$2:$A$66,A22,'QA_Images'!$U$2:$U$66)/100,IF(D22="NOT_CHECKED",0,C22))</f>
        <v/>
      </c>
      <c r="H22" s="2" t="inlineStr">
        <is>
          <t>Derived from 7 directly reopened images: 75.7143/100.</t>
        </is>
      </c>
      <c r="I22" s="2" t="inlineStr">
        <is>
          <t>["evidence_batch_001_002", "https://jeminise.com/products/bright-teal-yellow-softball-comforter-set-premium-sports-theme", "serp_reqa_002", "revision_diff.json", "customizer_audit.json"]</t>
        </is>
      </c>
      <c r="J22" s="2" t="inlineStr">
        <is>
          <t>["R2-ISS-002-IMG-02", "R2-ISS-002-IMG-04", "R2-ISS-002-IMG-05", "R2-ISS-002-IMG-07", "R2-ISS-002-BODY", "R2-ISS-002-ADMIN", "R2-ISS-002-PERS", "R2-ISS-002-ENC"]</t>
        </is>
      </c>
    </row>
    <row r="23" ht="42" customHeight="1">
      <c r="A23" s="3" t="inlineStr">
        <is>
          <t>jeminise.com+bright-teal-yellow-softball-comforter-set-premium-sports-theme</t>
        </is>
      </c>
      <c r="B23" s="3" t="inlineStr">
        <is>
          <t>E1</t>
        </is>
      </c>
      <c r="C23" s="3" t="n">
        <v>5</v>
      </c>
      <c r="D23" s="3" t="inlineStr">
        <is>
          <t>FULL</t>
        </is>
      </c>
      <c r="E23" s="7">
        <f>IF(B23="I1",AVERAGEIF('QA_Images'!$A$2:$A$66,A23,'QA_Images'!$T$2:$T$66)/100,IF(D23="FULL",1,IF(D23="PARTIAL",0.5,IF(D23="FAIL",0,""))))</f>
        <v/>
      </c>
      <c r="F23" s="7">
        <f>IF(E23="",0,C23*E23)</f>
        <v/>
      </c>
      <c r="G23" s="7">
        <f>IF(B23="I1",20*AVERAGEIF('QA_Images'!$A$2:$A$66,A23,'QA_Images'!$U$2:$U$66)/100,IF(D23="NOT_CHECKED",0,C23))</f>
        <v/>
      </c>
      <c r="H23" s="3" t="inlineStr">
        <is>
          <t>Revision lineage, source rows, live source and evidence references were cross-checked; admin export remains unavailable.</t>
        </is>
      </c>
      <c r="I23" s="3" t="inlineStr">
        <is>
          <t>["evidence_batch_001_002", "https://jeminise.com/products/bright-teal-yellow-softball-comforter-set-premium-sports-theme", "serp_reqa_002", "revision_diff.json", "customizer_audit.json"]</t>
        </is>
      </c>
      <c r="J23" s="3" t="inlineStr">
        <is>
          <t>["R2-ISS-002-IMG-02", "R2-ISS-002-IMG-04", "R2-ISS-002-IMG-05", "R2-ISS-002-IMG-07", "R2-ISS-002-BODY", "R2-ISS-002-ADMIN", "R2-ISS-002-PERS", "R2-ISS-002-ENC"]</t>
        </is>
      </c>
    </row>
    <row r="24" ht="42" customHeight="1">
      <c r="A24" s="2" t="inlineStr">
        <is>
          <t>jeminise.com+cardinals-perched-beside-decorated-christmas-tree-patchwork-winter-quilt-7cd7bc46a0-7cd7bc46a0</t>
        </is>
      </c>
      <c r="B24" s="2" t="inlineStr">
        <is>
          <t>P1</t>
        </is>
      </c>
      <c r="C24" s="2" t="n">
        <v>15</v>
      </c>
      <c r="D24" s="2" t="inlineStr">
        <is>
          <t>FULL</t>
        </is>
      </c>
      <c r="E24" s="5">
        <f>IF(B24="I1",AVERAGEIF('QA_Images'!$A$2:$A$66,A24,'QA_Images'!$T$2:$T$66)/100,IF(D24="FULL",1,IF(D24="PARTIAL",0.5,IF(D24="FAIL",0,""))))</f>
        <v/>
      </c>
      <c r="F24" s="5">
        <f>IF(E24="",0,C24*E24)</f>
        <v/>
      </c>
      <c r="G24" s="5">
        <f>IF(B24="I1",20*AVERAGEIF('QA_Images'!$A$2:$A$66,A24,'QA_Images'!$U$2:$U$66)/100,IF(D24="NOT_CHECKED",0,C24))</f>
        <v/>
      </c>
      <c r="H24" s="2" t="inlineStr">
        <is>
          <t>Product key, handle, product ID, URL, canonical, live H1 and visible motif were rechecked.</t>
        </is>
      </c>
      <c r="I24" s="2" t="inlineStr">
        <is>
          <t>["evidence_batch_001_003", "https://jeminise.com/products/cardinals-perched-beside-decorated-christmas-tree-patchwork-winter-quilt-7cd7bc46a0-7cd7bc46a0", "serp_reqa_003", "revision_diff.json", "customizer_audit.json"]</t>
        </is>
      </c>
      <c r="J24" s="2" t="inlineStr">
        <is>
          <t>["R2-ISS-003-IMG-05", "R2-ISS-003-BODY", "R2-ISS-003-ADMIN", "R2-ISS-003-CANN", "R2-ISS-003-SERP"]</t>
        </is>
      </c>
    </row>
    <row r="25" ht="42" customHeight="1">
      <c r="A25" s="3" t="inlineStr">
        <is>
          <t>jeminise.com+cardinals-perched-beside-decorated-christmas-tree-patchwork-winter-quilt-7cd7bc46a0-7cd7bc46a0</t>
        </is>
      </c>
      <c r="B25" s="3" t="inlineStr">
        <is>
          <t>P2</t>
        </is>
      </c>
      <c r="C25" s="3" t="n">
        <v>10</v>
      </c>
      <c r="D25" s="3" t="inlineStr">
        <is>
          <t>FULL</t>
        </is>
      </c>
      <c r="E25" s="7">
        <f>IF(B25="I1",AVERAGEIF('QA_Images'!$A$2:$A$66,A25,'QA_Images'!$T$2:$T$66)/100,IF(D25="FULL",1,IF(D25="PARTIAL",0.5,IF(D25="FAIL",0,""))))</f>
        <v/>
      </c>
      <c r="F25" s="7">
        <f>IF(E25="",0,C25*E25)</f>
        <v/>
      </c>
      <c r="G25" s="7">
        <f>IF(B25="I1",20*AVERAGEIF('QA_Images'!$A$2:$A$66,A25,'QA_Images'!$U$2:$U$66)/100,IF(D25="NOT_CHECKED",0,C25))</f>
        <v/>
      </c>
      <c r="H25" s="3" t="inlineStr">
        <is>
          <t>Live product JSON, variants, gallery and Customizer schema were re-read; products 2 and 10 have verified text fields.</t>
        </is>
      </c>
      <c r="I25" s="3" t="inlineStr">
        <is>
          <t>["evidence_batch_001_003", "https://jeminise.com/products/cardinals-perched-beside-decorated-christmas-tree-patchwork-winter-quilt-7cd7bc46a0-7cd7bc46a0", "serp_reqa_003", "revision_diff.json", "customizer_audit.json"]</t>
        </is>
      </c>
      <c r="J25" s="3" t="inlineStr">
        <is>
          <t>["R2-ISS-003-IMG-05", "R2-ISS-003-BODY", "R2-ISS-003-ADMIN", "R2-ISS-003-CANN", "R2-ISS-003-SERP"]</t>
        </is>
      </c>
    </row>
    <row r="26" ht="42" customHeight="1">
      <c r="A26" s="2" t="inlineStr">
        <is>
          <t>jeminise.com+cardinals-perched-beside-decorated-christmas-tree-patchwork-winter-quilt-7cd7bc46a0-7cd7bc46a0</t>
        </is>
      </c>
      <c r="B26" s="2" t="inlineStr">
        <is>
          <t>K1</t>
        </is>
      </c>
      <c r="C26" s="2" t="n">
        <v>10</v>
      </c>
      <c r="D26" s="2" t="inlineStr">
        <is>
          <t>FULL</t>
        </is>
      </c>
      <c r="E26" s="5">
        <f>IF(B26="I1",AVERAGEIF('QA_Images'!$A$2:$A$66,A26,'QA_Images'!$T$2:$T$66)/100,IF(D26="FULL",1,IF(D26="PARTIAL",0.5,IF(D26="FAIL",0,""))))</f>
        <v/>
      </c>
      <c r="F26" s="5">
        <f>IF(E26="",0,C26*E26)</f>
        <v/>
      </c>
      <c r="G26" s="5">
        <f>IF(B26="I1",20*AVERAGEIF('QA_Images'!$A$2:$A$66,A26,'QA_Images'!$U$2:$U$66)/100,IF(D26="NOT_CHECKED",0,C26))</f>
        <v/>
      </c>
      <c r="H26" s="2" t="inlineStr">
        <is>
          <t>Primary query was checked against submitted evidence and fresh SERP research; product 5 retains a mismatched chicken-quilt source.</t>
        </is>
      </c>
      <c r="I26" s="2" t="inlineStr">
        <is>
          <t>["evidence_batch_001_003", "https://jeminise.com/products/cardinals-perched-beside-decorated-christmas-tree-patchwork-winter-quilt-7cd7bc46a0-7cd7bc46a0", "serp_reqa_003", "revision_diff.json", "customizer_audit.json"]</t>
        </is>
      </c>
      <c r="J26" s="2" t="inlineStr">
        <is>
          <t>["R2-ISS-003-IMG-05", "R2-ISS-003-BODY", "R2-ISS-003-ADMIN", "R2-ISS-003-CANN", "R2-ISS-003-SERP"]</t>
        </is>
      </c>
    </row>
    <row r="27" ht="42" customHeight="1">
      <c r="A27" s="3" t="inlineStr">
        <is>
          <t>jeminise.com+cardinals-perched-beside-decorated-christmas-tree-patchwork-winter-quilt-7cd7bc46a0-7cd7bc46a0</t>
        </is>
      </c>
      <c r="B27" s="3" t="inlineStr">
        <is>
          <t>K2</t>
        </is>
      </c>
      <c r="C27" s="3" t="n">
        <v>5</v>
      </c>
      <c r="D27" s="3" t="inlineStr">
        <is>
          <t>PARTIAL</t>
        </is>
      </c>
      <c r="E27" s="7">
        <f>IF(B27="I1",AVERAGEIF('QA_Images'!$A$2:$A$66,A27,'QA_Images'!$T$2:$T$66)/100,IF(D27="FULL",1,IF(D27="PARTIAL",0.5,IF(D27="FAIL",0,""))))</f>
        <v/>
      </c>
      <c r="F27" s="7">
        <f>IF(E27="",0,C27*E27)</f>
        <v/>
      </c>
      <c r="G27" s="7">
        <f>IF(B27="I1",20*AVERAGEIF('QA_Images'!$A$2:$A$66,A27,'QA_Images'!$U$2:$U$66)/100,IF(D27="NOT_CHECKED",0,C27))</f>
        <v/>
      </c>
      <c r="H27" s="3" t="inlineStr">
        <is>
          <t>Primary and nearest alternative queries were searched for US commercial/product intent.</t>
        </is>
      </c>
      <c r="I27" s="3" t="inlineStr">
        <is>
          <t>["evidence_batch_001_003", "https://jeminise.com/products/cardinals-perched-beside-decorated-christmas-tree-patchwork-winter-quilt-7cd7bc46a0-7cd7bc46a0", "serp_reqa_003", "revision_diff.json", "customizer_audit.json"]</t>
        </is>
      </c>
      <c r="J27" s="3" t="inlineStr">
        <is>
          <t>["R2-ISS-003-IMG-05", "R2-ISS-003-BODY", "R2-ISS-003-ADMIN", "R2-ISS-003-CANN", "R2-ISS-003-SERP"]</t>
        </is>
      </c>
    </row>
    <row r="28" ht="42" customHeight="1">
      <c r="A28" s="2" t="inlineStr">
        <is>
          <t>jeminise.com+cardinals-perched-beside-decorated-christmas-tree-patchwork-winter-quilt-7cd7bc46a0-7cd7bc46a0</t>
        </is>
      </c>
      <c r="B28" s="2" t="inlineStr">
        <is>
          <t>K3</t>
        </is>
      </c>
      <c r="C28" s="2" t="n">
        <v>5</v>
      </c>
      <c r="D28" s="2" t="inlineStr">
        <is>
          <t>PARTIAL</t>
        </is>
      </c>
      <c r="E28" s="5">
        <f>IF(B28="I1",AVERAGEIF('QA_Images'!$A$2:$A$66,A28,'QA_Images'!$T$2:$T$66)/100,IF(D28="FULL",1,IF(D28="PARTIAL",0.5,IF(D28="FAIL",0,""))))</f>
        <v/>
      </c>
      <c r="F28" s="5">
        <f>IF(E28="",0,C28*E28)</f>
        <v/>
      </c>
      <c r="G28" s="5">
        <f>IF(B28="I1",20*AVERAGEIF('QA_Images'!$A$2:$A$66,A28,'QA_Images'!$U$2:$U$66)/100,IF(D28="NOT_CHECKED",0,C28))</f>
        <v/>
      </c>
      <c r="H28" s="2" t="inlineStr">
        <is>
          <t>Distinct artwork helps differentiation, but cardinal, cat and Celtic sibling pages still need an explicit intent map.</t>
        </is>
      </c>
      <c r="I28" s="2" t="inlineStr">
        <is>
          <t>["evidence_batch_001_003", "https://jeminise.com/products/cardinals-perched-beside-decorated-christmas-tree-patchwork-winter-quilt-7cd7bc46a0-7cd7bc46a0", "serp_reqa_003", "revision_diff.json", "customizer_audit.json"]</t>
        </is>
      </c>
      <c r="J28" s="2" t="inlineStr">
        <is>
          <t>["R2-ISS-003-IMG-05", "R2-ISS-003-BODY", "R2-ISS-003-ADMIN", "R2-ISS-003-CANN", "R2-ISS-003-SERP"]</t>
        </is>
      </c>
    </row>
    <row r="29" ht="42" customHeight="1">
      <c r="A29" s="3" t="inlineStr">
        <is>
          <t>jeminise.com+cardinals-perched-beside-decorated-christmas-tree-patchwork-winter-quilt-7cd7bc46a0-7cd7bc46a0</t>
        </is>
      </c>
      <c r="B29" s="3" t="inlineStr">
        <is>
          <t>T1</t>
        </is>
      </c>
      <c r="C29" s="3" t="n">
        <v>10</v>
      </c>
      <c r="D29" s="3" t="inlineStr">
        <is>
          <t>FULL</t>
        </is>
      </c>
      <c r="E29" s="7">
        <f>IF(B29="I1",AVERAGEIF('QA_Images'!$A$2:$A$66,A29,'QA_Images'!$T$2:$T$66)/100,IF(D29="FULL",1,IF(D29="PARTIAL",0.5,IF(D29="FAIL",0,""))))</f>
        <v/>
      </c>
      <c r="F29" s="7">
        <f>IF(E29="",0,C29*E29)</f>
        <v/>
      </c>
      <c r="G29" s="7">
        <f>IF(B29="I1",20*AVERAGEIF('QA_Images'!$A$2:$A$66,A29,'QA_Images'!$U$2:$U$66)/100,IF(D29="NOT_CHECKED",0,C29))</f>
        <v/>
      </c>
      <c r="H29" s="3" t="inlineStr">
        <is>
          <t>Title was checked for product type, motif, keyword fit and verified personalization opportunity.</t>
        </is>
      </c>
      <c r="I29" s="3" t="inlineStr">
        <is>
          <t>["evidence_batch_001_003", "https://jeminise.com/products/cardinals-perched-beside-decorated-christmas-tree-patchwork-winter-quilt-7cd7bc46a0-7cd7bc46a0", "serp_reqa_003", "revision_diff.json", "customizer_audit.json"]</t>
        </is>
      </c>
      <c r="J29" s="3" t="inlineStr">
        <is>
          <t>["R2-ISS-003-IMG-05", "R2-ISS-003-BODY", "R2-ISS-003-ADMIN", "R2-ISS-003-CANN", "R2-ISS-003-SERP"]</t>
        </is>
      </c>
    </row>
    <row r="30" ht="42" customHeight="1">
      <c r="A30" s="2" t="inlineStr">
        <is>
          <t>jeminise.com+cardinals-perched-beside-decorated-christmas-tree-patchwork-winter-quilt-7cd7bc46a0-7cd7bc46a0</t>
        </is>
      </c>
      <c r="B30" s="2" t="inlineStr">
        <is>
          <t>T2</t>
        </is>
      </c>
      <c r="C30" s="2" t="n">
        <v>5</v>
      </c>
      <c r="D30" s="2" t="inlineStr">
        <is>
          <t>FULL</t>
        </is>
      </c>
      <c r="E30" s="5">
        <f>IF(B30="I1",AVERAGEIF('QA_Images'!$A$2:$A$66,A30,'QA_Images'!$T$2:$T$66)/100,IF(D30="FULL",1,IF(D30="PARTIAL",0.5,IF(D30="FAIL",0,""))))</f>
        <v/>
      </c>
      <c r="F30" s="5">
        <f>IF(E30="",0,C30*E30)</f>
        <v/>
      </c>
      <c r="G30" s="5">
        <f>IF(B30="I1",20*AVERAGEIF('QA_Images'!$A$2:$A$66,A30,'QA_Images'!$U$2:$U$66)/100,IF(D30="NOT_CHECKED",0,C30))</f>
        <v/>
      </c>
      <c r="H30" s="2" t="inlineStr">
        <is>
          <t>H1 was assessed independently from the SEO title and live source encoding.</t>
        </is>
      </c>
      <c r="I30" s="2" t="inlineStr">
        <is>
          <t>["evidence_batch_001_003", "https://jeminise.com/products/cardinals-perched-beside-decorated-christmas-tree-patchwork-winter-quilt-7cd7bc46a0-7cd7bc46a0", "serp_reqa_003", "revision_diff.json", "customizer_audit.json"]</t>
        </is>
      </c>
      <c r="J30" s="2" t="inlineStr">
        <is>
          <t>["R2-ISS-003-IMG-05", "R2-ISS-003-BODY", "R2-ISS-003-ADMIN", "R2-ISS-003-CANN", "R2-ISS-003-SERP"]</t>
        </is>
      </c>
    </row>
    <row r="31" ht="42" customHeight="1">
      <c r="A31" s="3" t="inlineStr">
        <is>
          <t>jeminise.com+cardinals-perched-beside-decorated-christmas-tree-patchwork-winter-quilt-7cd7bc46a0-7cd7bc46a0</t>
        </is>
      </c>
      <c r="B31" s="3" t="inlineStr">
        <is>
          <t>D1</t>
        </is>
      </c>
      <c r="C31" s="3" t="n">
        <v>5</v>
      </c>
      <c r="D31" s="3" t="inlineStr">
        <is>
          <t>FULL</t>
        </is>
      </c>
      <c r="E31" s="7">
        <f>IF(B31="I1",AVERAGEIF('QA_Images'!$A$2:$A$66,A31,'QA_Images'!$T$2:$T$66)/100,IF(D31="FULL",1,IF(D31="PARTIAL",0.5,IF(D31="FAIL",0,""))))</f>
        <v/>
      </c>
      <c r="F31" s="7">
        <f>IF(E31="",0,C31*E31)</f>
        <v/>
      </c>
      <c r="G31" s="7">
        <f>IF(B31="I1",20*AVERAGEIF('QA_Images'!$A$2:$A$66,A31,'QA_Images'!$U$2:$U$66)/100,IF(D31="NOT_CHECKED",0,C31))</f>
        <v/>
      </c>
      <c r="H31" s="3" t="inlineStr">
        <is>
          <t>Meta description is concise and claim-safe; product 10 is ambiguous about editable name text.</t>
        </is>
      </c>
      <c r="I31" s="3" t="inlineStr">
        <is>
          <t>["evidence_batch_001_003", "https://jeminise.com/products/cardinals-perched-beside-decorated-christmas-tree-patchwork-winter-quilt-7cd7bc46a0-7cd7bc46a0", "serp_reqa_003", "revision_diff.json", "customizer_audit.json"]</t>
        </is>
      </c>
      <c r="J31" s="3" t="inlineStr">
        <is>
          <t>["R2-ISS-003-IMG-05", "R2-ISS-003-BODY", "R2-ISS-003-ADMIN", "R2-ISS-003-CANN", "R2-ISS-003-SERP"]</t>
        </is>
      </c>
    </row>
    <row r="32" ht="42" customHeight="1">
      <c r="A32" s="2" t="inlineStr">
        <is>
          <t>jeminise.com+cardinals-perched-beside-decorated-christmas-tree-patchwork-winter-quilt-7cd7bc46a0-7cd7bc46a0</t>
        </is>
      </c>
      <c r="B32" s="2" t="inlineStr">
        <is>
          <t>D2</t>
        </is>
      </c>
      <c r="C32" s="2" t="n">
        <v>10</v>
      </c>
      <c r="D32" s="2" t="inlineStr">
        <is>
          <t>PARTIAL</t>
        </is>
      </c>
      <c r="E32" s="5">
        <f>IF(B32="I1",AVERAGEIF('QA_Images'!$A$2:$A$66,A32,'QA_Images'!$T$2:$T$66)/100,IF(D32="FULL",1,IF(D32="PARTIAL",0.5,IF(D32="FAIL",0,""))))</f>
        <v/>
      </c>
      <c r="F32" s="5">
        <f>IF(E32="",0,C32*E32)</f>
        <v/>
      </c>
      <c r="G32" s="5">
        <f>IF(B32="I1",20*AVERAGEIF('QA_Images'!$A$2:$A$66,A32,'QA_Images'!$U$2:$U$66)/100,IF(D32="NOT_CHECKED",0,C32))</f>
        <v/>
      </c>
      <c r="H32" s="2" t="inlineStr">
        <is>
          <t>Internal QA text and raw conflicting facts were removed, but the replacement body is repetitive and omits useful verified image/spec details.</t>
        </is>
      </c>
      <c r="I32" s="2" t="inlineStr">
        <is>
          <t>["evidence_batch_001_003", "https://jeminise.com/products/cardinals-perched-beside-decorated-christmas-tree-patchwork-winter-quilt-7cd7bc46a0-7cd7bc46a0", "serp_reqa_003", "revision_diff.json", "customizer_audit.json"]</t>
        </is>
      </c>
      <c r="J32" s="2" t="inlineStr">
        <is>
          <t>["R2-ISS-003-IMG-05", "R2-ISS-003-BODY", "R2-ISS-003-ADMIN", "R2-ISS-003-CANN", "R2-ISS-003-SERP"]</t>
        </is>
      </c>
    </row>
    <row r="33" ht="42" customHeight="1">
      <c r="A33" s="3" t="inlineStr">
        <is>
          <t>jeminise.com+cardinals-perched-beside-decorated-christmas-tree-patchwork-winter-quilt-7cd7bc46a0-7cd7bc46a0</t>
        </is>
      </c>
      <c r="B33" s="3" t="inlineStr">
        <is>
          <t>I1</t>
        </is>
      </c>
      <c r="C33" s="3" t="n">
        <v>20</v>
      </c>
      <c r="D33" s="3" t="inlineStr">
        <is>
          <t>DERIVED</t>
        </is>
      </c>
      <c r="E33" s="7">
        <f>IF(B33="I1",AVERAGEIF('QA_Images'!$A$2:$A$66,A33,'QA_Images'!$T$2:$T$66)/100,IF(D33="FULL",1,IF(D33="PARTIAL",0.5,IF(D33="FAIL",0,""))))</f>
        <v/>
      </c>
      <c r="F33" s="7">
        <f>IF(E33="",0,C33*E33)</f>
        <v/>
      </c>
      <c r="G33" s="7">
        <f>IF(B33="I1",20*AVERAGEIF('QA_Images'!$A$2:$A$66,A33,'QA_Images'!$U$2:$U$66)/100,IF(D33="NOT_CHECKED",0,C33))</f>
        <v/>
      </c>
      <c r="H33" s="3" t="inlineStr">
        <is>
          <t>Derived from 5 directly reopened images: 95.0000/100.</t>
        </is>
      </c>
      <c r="I33" s="3" t="inlineStr">
        <is>
          <t>["evidence_batch_001_003", "https://jeminise.com/products/cardinals-perched-beside-decorated-christmas-tree-patchwork-winter-quilt-7cd7bc46a0-7cd7bc46a0", "serp_reqa_003", "revision_diff.json", "customizer_audit.json"]</t>
        </is>
      </c>
      <c r="J33" s="3" t="inlineStr">
        <is>
          <t>["R2-ISS-003-IMG-05", "R2-ISS-003-BODY", "R2-ISS-003-ADMIN", "R2-ISS-003-CANN", "R2-ISS-003-SERP"]</t>
        </is>
      </c>
    </row>
    <row r="34" ht="42" customHeight="1">
      <c r="A34" s="2" t="inlineStr">
        <is>
          <t>jeminise.com+cardinals-perched-beside-decorated-christmas-tree-patchwork-winter-quilt-7cd7bc46a0-7cd7bc46a0</t>
        </is>
      </c>
      <c r="B34" s="2" t="inlineStr">
        <is>
          <t>E1</t>
        </is>
      </c>
      <c r="C34" s="2" t="n">
        <v>5</v>
      </c>
      <c r="D34" s="2" t="inlineStr">
        <is>
          <t>FULL</t>
        </is>
      </c>
      <c r="E34" s="5">
        <f>IF(B34="I1",AVERAGEIF('QA_Images'!$A$2:$A$66,A34,'QA_Images'!$T$2:$T$66)/100,IF(D34="FULL",1,IF(D34="PARTIAL",0.5,IF(D34="FAIL",0,""))))</f>
        <v/>
      </c>
      <c r="F34" s="5">
        <f>IF(E34="",0,C34*E34)</f>
        <v/>
      </c>
      <c r="G34" s="5">
        <f>IF(B34="I1",20*AVERAGEIF('QA_Images'!$A$2:$A$66,A34,'QA_Images'!$U$2:$U$66)/100,IF(D34="NOT_CHECKED",0,C34))</f>
        <v/>
      </c>
      <c r="H34" s="2" t="inlineStr">
        <is>
          <t>Revision lineage, source rows, live source and evidence references were cross-checked; admin export remains unavailable.</t>
        </is>
      </c>
      <c r="I34" s="2" t="inlineStr">
        <is>
          <t>["evidence_batch_001_003", "https://jeminise.com/products/cardinals-perched-beside-decorated-christmas-tree-patchwork-winter-quilt-7cd7bc46a0-7cd7bc46a0", "serp_reqa_003", "revision_diff.json", "customizer_audit.json"]</t>
        </is>
      </c>
      <c r="J34" s="2" t="inlineStr">
        <is>
          <t>["R2-ISS-003-IMG-05", "R2-ISS-003-BODY", "R2-ISS-003-ADMIN", "R2-ISS-003-CANN", "R2-ISS-003-SERP"]</t>
        </is>
      </c>
    </row>
    <row r="35" ht="42" customHeight="1">
      <c r="A35" s="3" t="inlineStr">
        <is>
          <t>jeminise.com+cardinals-perched-on-branch-with-roses-patchwork-winter-quilt-21ac904cd7-21ac904cd7</t>
        </is>
      </c>
      <c r="B35" s="3" t="inlineStr">
        <is>
          <t>P1</t>
        </is>
      </c>
      <c r="C35" s="3" t="n">
        <v>15</v>
      </c>
      <c r="D35" s="3" t="inlineStr">
        <is>
          <t>FULL</t>
        </is>
      </c>
      <c r="E35" s="7">
        <f>IF(B35="I1",AVERAGEIF('QA_Images'!$A$2:$A$66,A35,'QA_Images'!$T$2:$T$66)/100,IF(D35="FULL",1,IF(D35="PARTIAL",0.5,IF(D35="FAIL",0,""))))</f>
        <v/>
      </c>
      <c r="F35" s="7">
        <f>IF(E35="",0,C35*E35)</f>
        <v/>
      </c>
      <c r="G35" s="7">
        <f>IF(B35="I1",20*AVERAGEIF('QA_Images'!$A$2:$A$66,A35,'QA_Images'!$U$2:$U$66)/100,IF(D35="NOT_CHECKED",0,C35))</f>
        <v/>
      </c>
      <c r="H35" s="3" t="inlineStr">
        <is>
          <t>Product key, handle, product ID, URL, canonical, live H1 and visible motif were rechecked.</t>
        </is>
      </c>
      <c r="I35" s="3" t="inlineStr">
        <is>
          <t>["evidence_batch_001_004", "https://jeminise.com/products/cardinals-perched-on-branch-with-roses-patchwork-winter-quilt-21ac904cd7-21ac904cd7", "serp_reqa_004", "revision_diff.json", "customizer_audit.json"]</t>
        </is>
      </c>
      <c r="J35" s="3" t="inlineStr">
        <is>
          <t>["R2-ISS-004-IMG-05", "R2-ISS-004-BODY", "R2-ISS-004-ADMIN", "R2-ISS-004-CANN", "R2-ISS-004-SERP"]</t>
        </is>
      </c>
    </row>
    <row r="36" ht="42" customHeight="1">
      <c r="A36" s="2" t="inlineStr">
        <is>
          <t>jeminise.com+cardinals-perched-on-branch-with-roses-patchwork-winter-quilt-21ac904cd7-21ac904cd7</t>
        </is>
      </c>
      <c r="B36" s="2" t="inlineStr">
        <is>
          <t>P2</t>
        </is>
      </c>
      <c r="C36" s="2" t="n">
        <v>10</v>
      </c>
      <c r="D36" s="2" t="inlineStr">
        <is>
          <t>FULL</t>
        </is>
      </c>
      <c r="E36" s="5">
        <f>IF(B36="I1",AVERAGEIF('QA_Images'!$A$2:$A$66,A36,'QA_Images'!$T$2:$T$66)/100,IF(D36="FULL",1,IF(D36="PARTIAL",0.5,IF(D36="FAIL",0,""))))</f>
        <v/>
      </c>
      <c r="F36" s="5">
        <f>IF(E36="",0,C36*E36)</f>
        <v/>
      </c>
      <c r="G36" s="5">
        <f>IF(B36="I1",20*AVERAGEIF('QA_Images'!$A$2:$A$66,A36,'QA_Images'!$U$2:$U$66)/100,IF(D36="NOT_CHECKED",0,C36))</f>
        <v/>
      </c>
      <c r="H36" s="2" t="inlineStr">
        <is>
          <t>Live product JSON, variants, gallery and Customizer schema were re-read; products 2 and 10 have verified text fields.</t>
        </is>
      </c>
      <c r="I36" s="2" t="inlineStr">
        <is>
          <t>["evidence_batch_001_004", "https://jeminise.com/products/cardinals-perched-on-branch-with-roses-patchwork-winter-quilt-21ac904cd7-21ac904cd7", "serp_reqa_004", "revision_diff.json", "customizer_audit.json"]</t>
        </is>
      </c>
      <c r="J36" s="2" t="inlineStr">
        <is>
          <t>["R2-ISS-004-IMG-05", "R2-ISS-004-BODY", "R2-ISS-004-ADMIN", "R2-ISS-004-CANN", "R2-ISS-004-SERP"]</t>
        </is>
      </c>
    </row>
    <row r="37" ht="42" customHeight="1">
      <c r="A37" s="3" t="inlineStr">
        <is>
          <t>jeminise.com+cardinals-perched-on-branch-with-roses-patchwork-winter-quilt-21ac904cd7-21ac904cd7</t>
        </is>
      </c>
      <c r="B37" s="3" t="inlineStr">
        <is>
          <t>K1</t>
        </is>
      </c>
      <c r="C37" s="3" t="n">
        <v>10</v>
      </c>
      <c r="D37" s="3" t="inlineStr">
        <is>
          <t>FULL</t>
        </is>
      </c>
      <c r="E37" s="7">
        <f>IF(B37="I1",AVERAGEIF('QA_Images'!$A$2:$A$66,A37,'QA_Images'!$T$2:$T$66)/100,IF(D37="FULL",1,IF(D37="PARTIAL",0.5,IF(D37="FAIL",0,""))))</f>
        <v/>
      </c>
      <c r="F37" s="7">
        <f>IF(E37="",0,C37*E37)</f>
        <v/>
      </c>
      <c r="G37" s="7">
        <f>IF(B37="I1",20*AVERAGEIF('QA_Images'!$A$2:$A$66,A37,'QA_Images'!$U$2:$U$66)/100,IF(D37="NOT_CHECKED",0,C37))</f>
        <v/>
      </c>
      <c r="H37" s="3" t="inlineStr">
        <is>
          <t>Primary query was checked against submitted evidence and fresh SERP research; product 5 retains a mismatched chicken-quilt source.</t>
        </is>
      </c>
      <c r="I37" s="3" t="inlineStr">
        <is>
          <t>["evidence_batch_001_004", "https://jeminise.com/products/cardinals-perched-on-branch-with-roses-patchwork-winter-quilt-21ac904cd7-21ac904cd7", "serp_reqa_004", "revision_diff.json", "customizer_audit.json"]</t>
        </is>
      </c>
      <c r="J37" s="3" t="inlineStr">
        <is>
          <t>["R2-ISS-004-IMG-05", "R2-ISS-004-BODY", "R2-ISS-004-ADMIN", "R2-ISS-004-CANN", "R2-ISS-004-SERP"]</t>
        </is>
      </c>
    </row>
    <row r="38" ht="42" customHeight="1">
      <c r="A38" s="2" t="inlineStr">
        <is>
          <t>jeminise.com+cardinals-perched-on-branch-with-roses-patchwork-winter-quilt-21ac904cd7-21ac904cd7</t>
        </is>
      </c>
      <c r="B38" s="2" t="inlineStr">
        <is>
          <t>K2</t>
        </is>
      </c>
      <c r="C38" s="2" t="n">
        <v>5</v>
      </c>
      <c r="D38" s="2" t="inlineStr">
        <is>
          <t>PARTIAL</t>
        </is>
      </c>
      <c r="E38" s="5">
        <f>IF(B38="I1",AVERAGEIF('QA_Images'!$A$2:$A$66,A38,'QA_Images'!$T$2:$T$66)/100,IF(D38="FULL",1,IF(D38="PARTIAL",0.5,IF(D38="FAIL",0,""))))</f>
        <v/>
      </c>
      <c r="F38" s="5">
        <f>IF(E38="",0,C38*E38)</f>
        <v/>
      </c>
      <c r="G38" s="5">
        <f>IF(B38="I1",20*AVERAGEIF('QA_Images'!$A$2:$A$66,A38,'QA_Images'!$U$2:$U$66)/100,IF(D38="NOT_CHECKED",0,C38))</f>
        <v/>
      </c>
      <c r="H38" s="2" t="inlineStr">
        <is>
          <t>Primary and nearest alternative queries were searched for US commercial/product intent.</t>
        </is>
      </c>
      <c r="I38" s="2" t="inlineStr">
        <is>
          <t>["evidence_batch_001_004", "https://jeminise.com/products/cardinals-perched-on-branch-with-roses-patchwork-winter-quilt-21ac904cd7-21ac904cd7", "serp_reqa_004", "revision_diff.json", "customizer_audit.json"]</t>
        </is>
      </c>
      <c r="J38" s="2" t="inlineStr">
        <is>
          <t>["R2-ISS-004-IMG-05", "R2-ISS-004-BODY", "R2-ISS-004-ADMIN", "R2-ISS-004-CANN", "R2-ISS-004-SERP"]</t>
        </is>
      </c>
    </row>
    <row r="39" ht="42" customHeight="1">
      <c r="A39" s="3" t="inlineStr">
        <is>
          <t>jeminise.com+cardinals-perched-on-branch-with-roses-patchwork-winter-quilt-21ac904cd7-21ac904cd7</t>
        </is>
      </c>
      <c r="B39" s="3" t="inlineStr">
        <is>
          <t>K3</t>
        </is>
      </c>
      <c r="C39" s="3" t="n">
        <v>5</v>
      </c>
      <c r="D39" s="3" t="inlineStr">
        <is>
          <t>PARTIAL</t>
        </is>
      </c>
      <c r="E39" s="7">
        <f>IF(B39="I1",AVERAGEIF('QA_Images'!$A$2:$A$66,A39,'QA_Images'!$T$2:$T$66)/100,IF(D39="FULL",1,IF(D39="PARTIAL",0.5,IF(D39="FAIL",0,""))))</f>
        <v/>
      </c>
      <c r="F39" s="7">
        <f>IF(E39="",0,C39*E39)</f>
        <v/>
      </c>
      <c r="G39" s="7">
        <f>IF(B39="I1",20*AVERAGEIF('QA_Images'!$A$2:$A$66,A39,'QA_Images'!$U$2:$U$66)/100,IF(D39="NOT_CHECKED",0,C39))</f>
        <v/>
      </c>
      <c r="H39" s="3" t="inlineStr">
        <is>
          <t>Distinct artwork helps differentiation, but cardinal, cat and Celtic sibling pages still need an explicit intent map.</t>
        </is>
      </c>
      <c r="I39" s="3" t="inlineStr">
        <is>
          <t>["evidence_batch_001_004", "https://jeminise.com/products/cardinals-perched-on-branch-with-roses-patchwork-winter-quilt-21ac904cd7-21ac904cd7", "serp_reqa_004", "revision_diff.json", "customizer_audit.json"]</t>
        </is>
      </c>
      <c r="J39" s="3" t="inlineStr">
        <is>
          <t>["R2-ISS-004-IMG-05", "R2-ISS-004-BODY", "R2-ISS-004-ADMIN", "R2-ISS-004-CANN", "R2-ISS-004-SERP"]</t>
        </is>
      </c>
    </row>
    <row r="40" ht="42" customHeight="1">
      <c r="A40" s="2" t="inlineStr">
        <is>
          <t>jeminise.com+cardinals-perched-on-branch-with-roses-patchwork-winter-quilt-21ac904cd7-21ac904cd7</t>
        </is>
      </c>
      <c r="B40" s="2" t="inlineStr">
        <is>
          <t>T1</t>
        </is>
      </c>
      <c r="C40" s="2" t="n">
        <v>10</v>
      </c>
      <c r="D40" s="2" t="inlineStr">
        <is>
          <t>FULL</t>
        </is>
      </c>
      <c r="E40" s="5">
        <f>IF(B40="I1",AVERAGEIF('QA_Images'!$A$2:$A$66,A40,'QA_Images'!$T$2:$T$66)/100,IF(D40="FULL",1,IF(D40="PARTIAL",0.5,IF(D40="FAIL",0,""))))</f>
        <v/>
      </c>
      <c r="F40" s="5">
        <f>IF(E40="",0,C40*E40)</f>
        <v/>
      </c>
      <c r="G40" s="5">
        <f>IF(B40="I1",20*AVERAGEIF('QA_Images'!$A$2:$A$66,A40,'QA_Images'!$U$2:$U$66)/100,IF(D40="NOT_CHECKED",0,C40))</f>
        <v/>
      </c>
      <c r="H40" s="2" t="inlineStr">
        <is>
          <t>Title was checked for product type, motif, keyword fit and verified personalization opportunity.</t>
        </is>
      </c>
      <c r="I40" s="2" t="inlineStr">
        <is>
          <t>["evidence_batch_001_004", "https://jeminise.com/products/cardinals-perched-on-branch-with-roses-patchwork-winter-quilt-21ac904cd7-21ac904cd7", "serp_reqa_004", "revision_diff.json", "customizer_audit.json"]</t>
        </is>
      </c>
      <c r="J40" s="2" t="inlineStr">
        <is>
          <t>["R2-ISS-004-IMG-05", "R2-ISS-004-BODY", "R2-ISS-004-ADMIN", "R2-ISS-004-CANN", "R2-ISS-004-SERP"]</t>
        </is>
      </c>
    </row>
    <row r="41" ht="42" customHeight="1">
      <c r="A41" s="3" t="inlineStr">
        <is>
          <t>jeminise.com+cardinals-perched-on-branch-with-roses-patchwork-winter-quilt-21ac904cd7-21ac904cd7</t>
        </is>
      </c>
      <c r="B41" s="3" t="inlineStr">
        <is>
          <t>T2</t>
        </is>
      </c>
      <c r="C41" s="3" t="n">
        <v>5</v>
      </c>
      <c r="D41" s="3" t="inlineStr">
        <is>
          <t>FULL</t>
        </is>
      </c>
      <c r="E41" s="7">
        <f>IF(B41="I1",AVERAGEIF('QA_Images'!$A$2:$A$66,A41,'QA_Images'!$T$2:$T$66)/100,IF(D41="FULL",1,IF(D41="PARTIAL",0.5,IF(D41="FAIL",0,""))))</f>
        <v/>
      </c>
      <c r="F41" s="7">
        <f>IF(E41="",0,C41*E41)</f>
        <v/>
      </c>
      <c r="G41" s="7">
        <f>IF(B41="I1",20*AVERAGEIF('QA_Images'!$A$2:$A$66,A41,'QA_Images'!$U$2:$U$66)/100,IF(D41="NOT_CHECKED",0,C41))</f>
        <v/>
      </c>
      <c r="H41" s="3" t="inlineStr">
        <is>
          <t>H1 was assessed independently from the SEO title and live source encoding.</t>
        </is>
      </c>
      <c r="I41" s="3" t="inlineStr">
        <is>
          <t>["evidence_batch_001_004", "https://jeminise.com/products/cardinals-perched-on-branch-with-roses-patchwork-winter-quilt-21ac904cd7-21ac904cd7", "serp_reqa_004", "revision_diff.json", "customizer_audit.json"]</t>
        </is>
      </c>
      <c r="J41" s="3" t="inlineStr">
        <is>
          <t>["R2-ISS-004-IMG-05", "R2-ISS-004-BODY", "R2-ISS-004-ADMIN", "R2-ISS-004-CANN", "R2-ISS-004-SERP"]</t>
        </is>
      </c>
    </row>
    <row r="42" ht="42" customHeight="1">
      <c r="A42" s="2" t="inlineStr">
        <is>
          <t>jeminise.com+cardinals-perched-on-branch-with-roses-patchwork-winter-quilt-21ac904cd7-21ac904cd7</t>
        </is>
      </c>
      <c r="B42" s="2" t="inlineStr">
        <is>
          <t>D1</t>
        </is>
      </c>
      <c r="C42" s="2" t="n">
        <v>5</v>
      </c>
      <c r="D42" s="2" t="inlineStr">
        <is>
          <t>FULL</t>
        </is>
      </c>
      <c r="E42" s="5">
        <f>IF(B42="I1",AVERAGEIF('QA_Images'!$A$2:$A$66,A42,'QA_Images'!$T$2:$T$66)/100,IF(D42="FULL",1,IF(D42="PARTIAL",0.5,IF(D42="FAIL",0,""))))</f>
        <v/>
      </c>
      <c r="F42" s="5">
        <f>IF(E42="",0,C42*E42)</f>
        <v/>
      </c>
      <c r="G42" s="5">
        <f>IF(B42="I1",20*AVERAGEIF('QA_Images'!$A$2:$A$66,A42,'QA_Images'!$U$2:$U$66)/100,IF(D42="NOT_CHECKED",0,C42))</f>
        <v/>
      </c>
      <c r="H42" s="2" t="inlineStr">
        <is>
          <t>Meta description is concise and claim-safe; product 10 is ambiguous about editable name text.</t>
        </is>
      </c>
      <c r="I42" s="2" t="inlineStr">
        <is>
          <t>["evidence_batch_001_004", "https://jeminise.com/products/cardinals-perched-on-branch-with-roses-patchwork-winter-quilt-21ac904cd7-21ac904cd7", "serp_reqa_004", "revision_diff.json", "customizer_audit.json"]</t>
        </is>
      </c>
      <c r="J42" s="2" t="inlineStr">
        <is>
          <t>["R2-ISS-004-IMG-05", "R2-ISS-004-BODY", "R2-ISS-004-ADMIN", "R2-ISS-004-CANN", "R2-ISS-004-SERP"]</t>
        </is>
      </c>
    </row>
    <row r="43" ht="42" customHeight="1">
      <c r="A43" s="3" t="inlineStr">
        <is>
          <t>jeminise.com+cardinals-perched-on-branch-with-roses-patchwork-winter-quilt-21ac904cd7-21ac904cd7</t>
        </is>
      </c>
      <c r="B43" s="3" t="inlineStr">
        <is>
          <t>D2</t>
        </is>
      </c>
      <c r="C43" s="3" t="n">
        <v>10</v>
      </c>
      <c r="D43" s="3" t="inlineStr">
        <is>
          <t>PARTIAL</t>
        </is>
      </c>
      <c r="E43" s="7">
        <f>IF(B43="I1",AVERAGEIF('QA_Images'!$A$2:$A$66,A43,'QA_Images'!$T$2:$T$66)/100,IF(D43="FULL",1,IF(D43="PARTIAL",0.5,IF(D43="FAIL",0,""))))</f>
        <v/>
      </c>
      <c r="F43" s="7">
        <f>IF(E43="",0,C43*E43)</f>
        <v/>
      </c>
      <c r="G43" s="7">
        <f>IF(B43="I1",20*AVERAGEIF('QA_Images'!$A$2:$A$66,A43,'QA_Images'!$U$2:$U$66)/100,IF(D43="NOT_CHECKED",0,C43))</f>
        <v/>
      </c>
      <c r="H43" s="3" t="inlineStr">
        <is>
          <t>Internal QA text and raw conflicting facts were removed, but the replacement body is repetitive and omits useful verified image/spec details.</t>
        </is>
      </c>
      <c r="I43" s="3" t="inlineStr">
        <is>
          <t>["evidence_batch_001_004", "https://jeminise.com/products/cardinals-perched-on-branch-with-roses-patchwork-winter-quilt-21ac904cd7-21ac904cd7", "serp_reqa_004", "revision_diff.json", "customizer_audit.json"]</t>
        </is>
      </c>
      <c r="J43" s="3" t="inlineStr">
        <is>
          <t>["R2-ISS-004-IMG-05", "R2-ISS-004-BODY", "R2-ISS-004-ADMIN", "R2-ISS-004-CANN", "R2-ISS-004-SERP"]</t>
        </is>
      </c>
    </row>
    <row r="44" ht="42" customHeight="1">
      <c r="A44" s="2" t="inlineStr">
        <is>
          <t>jeminise.com+cardinals-perched-on-branch-with-roses-patchwork-winter-quilt-21ac904cd7-21ac904cd7</t>
        </is>
      </c>
      <c r="B44" s="2" t="inlineStr">
        <is>
          <t>I1</t>
        </is>
      </c>
      <c r="C44" s="2" t="n">
        <v>20</v>
      </c>
      <c r="D44" s="2" t="inlineStr">
        <is>
          <t>DERIVED</t>
        </is>
      </c>
      <c r="E44" s="5">
        <f>IF(B44="I1",AVERAGEIF('QA_Images'!$A$2:$A$66,A44,'QA_Images'!$T$2:$T$66)/100,IF(D44="FULL",1,IF(D44="PARTIAL",0.5,IF(D44="FAIL",0,""))))</f>
        <v/>
      </c>
      <c r="F44" s="5">
        <f>IF(E44="",0,C44*E44)</f>
        <v/>
      </c>
      <c r="G44" s="5">
        <f>IF(B44="I1",20*AVERAGEIF('QA_Images'!$A$2:$A$66,A44,'QA_Images'!$U$2:$U$66)/100,IF(D44="NOT_CHECKED",0,C44))</f>
        <v/>
      </c>
      <c r="H44" s="2" t="inlineStr">
        <is>
          <t>Derived from 5 directly reopened images: 95.0000/100.</t>
        </is>
      </c>
      <c r="I44" s="2" t="inlineStr">
        <is>
          <t>["evidence_batch_001_004", "https://jeminise.com/products/cardinals-perched-on-branch-with-roses-patchwork-winter-quilt-21ac904cd7-21ac904cd7", "serp_reqa_004", "revision_diff.json", "customizer_audit.json"]</t>
        </is>
      </c>
      <c r="J44" s="2" t="inlineStr">
        <is>
          <t>["R2-ISS-004-IMG-05", "R2-ISS-004-BODY", "R2-ISS-004-ADMIN", "R2-ISS-004-CANN", "R2-ISS-004-SERP"]</t>
        </is>
      </c>
    </row>
    <row r="45" ht="42" customHeight="1">
      <c r="A45" s="3" t="inlineStr">
        <is>
          <t>jeminise.com+cardinals-perched-on-branch-with-roses-patchwork-winter-quilt-21ac904cd7-21ac904cd7</t>
        </is>
      </c>
      <c r="B45" s="3" t="inlineStr">
        <is>
          <t>E1</t>
        </is>
      </c>
      <c r="C45" s="3" t="n">
        <v>5</v>
      </c>
      <c r="D45" s="3" t="inlineStr">
        <is>
          <t>FULL</t>
        </is>
      </c>
      <c r="E45" s="7">
        <f>IF(B45="I1",AVERAGEIF('QA_Images'!$A$2:$A$66,A45,'QA_Images'!$T$2:$T$66)/100,IF(D45="FULL",1,IF(D45="PARTIAL",0.5,IF(D45="FAIL",0,""))))</f>
        <v/>
      </c>
      <c r="F45" s="7">
        <f>IF(E45="",0,C45*E45)</f>
        <v/>
      </c>
      <c r="G45" s="7">
        <f>IF(B45="I1",20*AVERAGEIF('QA_Images'!$A$2:$A$66,A45,'QA_Images'!$U$2:$U$66)/100,IF(D45="NOT_CHECKED",0,C45))</f>
        <v/>
      </c>
      <c r="H45" s="3" t="inlineStr">
        <is>
          <t>Revision lineage, source rows, live source and evidence references were cross-checked; admin export remains unavailable.</t>
        </is>
      </c>
      <c r="I45" s="3" t="inlineStr">
        <is>
          <t>["evidence_batch_001_004", "https://jeminise.com/products/cardinals-perched-on-branch-with-roses-patchwork-winter-quilt-21ac904cd7-21ac904cd7", "serp_reqa_004", "revision_diff.json", "customizer_audit.json"]</t>
        </is>
      </c>
      <c r="J45" s="3" t="inlineStr">
        <is>
          <t>["R2-ISS-004-IMG-05", "R2-ISS-004-BODY", "R2-ISS-004-ADMIN", "R2-ISS-004-CANN", "R2-ISS-004-SERP"]</t>
        </is>
      </c>
    </row>
    <row r="46" ht="42" customHeight="1">
      <c r="A46" s="2" t="inlineStr">
        <is>
          <t>jeminise.com+cat-patchwork-quilt-set-animal-pattern-bedding-cat-pattern-quilt-set</t>
        </is>
      </c>
      <c r="B46" s="2" t="inlineStr">
        <is>
          <t>P1</t>
        </is>
      </c>
      <c r="C46" s="2" t="n">
        <v>15</v>
      </c>
      <c r="D46" s="2" t="inlineStr">
        <is>
          <t>FULL</t>
        </is>
      </c>
      <c r="E46" s="5">
        <f>IF(B46="I1",AVERAGEIF('QA_Images'!$A$2:$A$66,A46,'QA_Images'!$T$2:$T$66)/100,IF(D46="FULL",1,IF(D46="PARTIAL",0.5,IF(D46="FAIL",0,""))))</f>
        <v/>
      </c>
      <c r="F46" s="5">
        <f>IF(E46="",0,C46*E46)</f>
        <v/>
      </c>
      <c r="G46" s="5">
        <f>IF(B46="I1",20*AVERAGEIF('QA_Images'!$A$2:$A$66,A46,'QA_Images'!$U$2:$U$66)/100,IF(D46="NOT_CHECKED",0,C46))</f>
        <v/>
      </c>
      <c r="H46" s="2" t="inlineStr">
        <is>
          <t>Product key, handle, product ID, URL, canonical, live H1 and visible motif were rechecked.</t>
        </is>
      </c>
      <c r="I46" s="2" t="inlineStr">
        <is>
          <t>["evidence_batch_001_005", "https://jeminise.com/products/cat-patchwork-quilt-set-animal-pattern-bedding-cat-pattern-quilt-set", "serp_reqa_005", "revision_diff.json", "customizer_audit.json"]</t>
        </is>
      </c>
      <c r="J46" s="2" t="inlineStr">
        <is>
          <t>["R2-ISS-005-IMG-02", "R2-ISS-005-IMG-03", "R2-ISS-005-IMG-04", "R2-ISS-005-BODY", "R2-ISS-005-ADMIN", "R2-ISS-005-CANN", "R2-ISS-005-SERP-CRITICAL"]</t>
        </is>
      </c>
    </row>
    <row r="47" ht="42" customHeight="1">
      <c r="A47" s="3" t="inlineStr">
        <is>
          <t>jeminise.com+cat-patchwork-quilt-set-animal-pattern-bedding-cat-pattern-quilt-set</t>
        </is>
      </c>
      <c r="B47" s="3" t="inlineStr">
        <is>
          <t>P2</t>
        </is>
      </c>
      <c r="C47" s="3" t="n">
        <v>10</v>
      </c>
      <c r="D47" s="3" t="inlineStr">
        <is>
          <t>FULL</t>
        </is>
      </c>
      <c r="E47" s="7">
        <f>IF(B47="I1",AVERAGEIF('QA_Images'!$A$2:$A$66,A47,'QA_Images'!$T$2:$T$66)/100,IF(D47="FULL",1,IF(D47="PARTIAL",0.5,IF(D47="FAIL",0,""))))</f>
        <v/>
      </c>
      <c r="F47" s="7">
        <f>IF(E47="",0,C47*E47)</f>
        <v/>
      </c>
      <c r="G47" s="7">
        <f>IF(B47="I1",20*AVERAGEIF('QA_Images'!$A$2:$A$66,A47,'QA_Images'!$U$2:$U$66)/100,IF(D47="NOT_CHECKED",0,C47))</f>
        <v/>
      </c>
      <c r="H47" s="3" t="inlineStr">
        <is>
          <t>Live product JSON, variants, gallery and Customizer schema were re-read; products 2 and 10 have verified text fields.</t>
        </is>
      </c>
      <c r="I47" s="3" t="inlineStr">
        <is>
          <t>["evidence_batch_001_005", "https://jeminise.com/products/cat-patchwork-quilt-set-animal-pattern-bedding-cat-pattern-quilt-set", "serp_reqa_005", "revision_diff.json", "customizer_audit.json"]</t>
        </is>
      </c>
      <c r="J47" s="3" t="inlineStr">
        <is>
          <t>["R2-ISS-005-IMG-02", "R2-ISS-005-IMG-03", "R2-ISS-005-IMG-04", "R2-ISS-005-BODY", "R2-ISS-005-ADMIN", "R2-ISS-005-CANN", "R2-ISS-005-SERP-CRITICAL"]</t>
        </is>
      </c>
    </row>
    <row r="48" ht="42" customHeight="1">
      <c r="A48" s="2" t="inlineStr">
        <is>
          <t>jeminise.com+cat-patchwork-quilt-set-animal-pattern-bedding-cat-pattern-quilt-set</t>
        </is>
      </c>
      <c r="B48" s="2" t="inlineStr">
        <is>
          <t>K1</t>
        </is>
      </c>
      <c r="C48" s="2" t="n">
        <v>10</v>
      </c>
      <c r="D48" s="2" t="inlineStr">
        <is>
          <t>FAIL</t>
        </is>
      </c>
      <c r="E48" s="5">
        <f>IF(B48="I1",AVERAGEIF('QA_Images'!$A$2:$A$66,A48,'QA_Images'!$T$2:$T$66)/100,IF(D48="FULL",1,IF(D48="PARTIAL",0.5,IF(D48="FAIL",0,""))))</f>
        <v/>
      </c>
      <c r="F48" s="5">
        <f>IF(E48="",0,C48*E48)</f>
        <v/>
      </c>
      <c r="G48" s="5">
        <f>IF(B48="I1",20*AVERAGEIF('QA_Images'!$A$2:$A$66,A48,'QA_Images'!$U$2:$U$66)/100,IF(D48="NOT_CHECKED",0,C48))</f>
        <v/>
      </c>
      <c r="H48" s="2" t="inlineStr">
        <is>
          <t>Primary query was checked against submitted evidence and fresh SERP research; product 5 retains a mismatched chicken-quilt source.</t>
        </is>
      </c>
      <c r="I48" s="2" t="inlineStr">
        <is>
          <t>["evidence_batch_001_005", "https://jeminise.com/products/cat-patchwork-quilt-set-animal-pattern-bedding-cat-pattern-quilt-set", "serp_reqa_005", "revision_diff.json", "customizer_audit.json"]</t>
        </is>
      </c>
      <c r="J48" s="2" t="inlineStr">
        <is>
          <t>["R2-ISS-005-IMG-02", "R2-ISS-005-IMG-03", "R2-ISS-005-IMG-04", "R2-ISS-005-BODY", "R2-ISS-005-ADMIN", "R2-ISS-005-CANN", "R2-ISS-005-SERP-CRITICAL"]</t>
        </is>
      </c>
    </row>
    <row r="49" ht="42" customHeight="1">
      <c r="A49" s="3" t="inlineStr">
        <is>
          <t>jeminise.com+cat-patchwork-quilt-set-animal-pattern-bedding-cat-pattern-quilt-set</t>
        </is>
      </c>
      <c r="B49" s="3" t="inlineStr">
        <is>
          <t>K2</t>
        </is>
      </c>
      <c r="C49" s="3" t="n">
        <v>5</v>
      </c>
      <c r="D49" s="3" t="inlineStr">
        <is>
          <t>PARTIAL</t>
        </is>
      </c>
      <c r="E49" s="7">
        <f>IF(B49="I1",AVERAGEIF('QA_Images'!$A$2:$A$66,A49,'QA_Images'!$T$2:$T$66)/100,IF(D49="FULL",1,IF(D49="PARTIAL",0.5,IF(D49="FAIL",0,""))))</f>
        <v/>
      </c>
      <c r="F49" s="7">
        <f>IF(E49="",0,C49*E49)</f>
        <v/>
      </c>
      <c r="G49" s="7">
        <f>IF(B49="I1",20*AVERAGEIF('QA_Images'!$A$2:$A$66,A49,'QA_Images'!$U$2:$U$66)/100,IF(D49="NOT_CHECKED",0,C49))</f>
        <v/>
      </c>
      <c r="H49" s="3" t="inlineStr">
        <is>
          <t>Primary and nearest alternative queries were searched for US commercial/product intent.</t>
        </is>
      </c>
      <c r="I49" s="3" t="inlineStr">
        <is>
          <t>["evidence_batch_001_005", "https://jeminise.com/products/cat-patchwork-quilt-set-animal-pattern-bedding-cat-pattern-quilt-set", "serp_reqa_005", "revision_diff.json", "customizer_audit.json"]</t>
        </is>
      </c>
      <c r="J49" s="3" t="inlineStr">
        <is>
          <t>["R2-ISS-005-IMG-02", "R2-ISS-005-IMG-03", "R2-ISS-005-IMG-04", "R2-ISS-005-BODY", "R2-ISS-005-ADMIN", "R2-ISS-005-CANN", "R2-ISS-005-SERP-CRITICAL"]</t>
        </is>
      </c>
    </row>
    <row r="50" ht="42" customHeight="1">
      <c r="A50" s="2" t="inlineStr">
        <is>
          <t>jeminise.com+cat-patchwork-quilt-set-animal-pattern-bedding-cat-pattern-quilt-set</t>
        </is>
      </c>
      <c r="B50" s="2" t="inlineStr">
        <is>
          <t>K3</t>
        </is>
      </c>
      <c r="C50" s="2" t="n">
        <v>5</v>
      </c>
      <c r="D50" s="2" t="inlineStr">
        <is>
          <t>FULL</t>
        </is>
      </c>
      <c r="E50" s="5">
        <f>IF(B50="I1",AVERAGEIF('QA_Images'!$A$2:$A$66,A50,'QA_Images'!$T$2:$T$66)/100,IF(D50="FULL",1,IF(D50="PARTIAL",0.5,IF(D50="FAIL",0,""))))</f>
        <v/>
      </c>
      <c r="F50" s="5">
        <f>IF(E50="",0,C50*E50)</f>
        <v/>
      </c>
      <c r="G50" s="5">
        <f>IF(B50="I1",20*AVERAGEIF('QA_Images'!$A$2:$A$66,A50,'QA_Images'!$U$2:$U$66)/100,IF(D50="NOT_CHECKED",0,C50))</f>
        <v/>
      </c>
      <c r="H50" s="2" t="inlineStr">
        <is>
          <t>Distinct artwork helps differentiation, but cardinal, cat and Celtic sibling pages still need an explicit intent map.</t>
        </is>
      </c>
      <c r="I50" s="2" t="inlineStr">
        <is>
          <t>["evidence_batch_001_005", "https://jeminise.com/products/cat-patchwork-quilt-set-animal-pattern-bedding-cat-pattern-quilt-set", "serp_reqa_005", "revision_diff.json", "customizer_audit.json"]</t>
        </is>
      </c>
      <c r="J50" s="2" t="inlineStr">
        <is>
          <t>["R2-ISS-005-IMG-02", "R2-ISS-005-IMG-03", "R2-ISS-005-IMG-04", "R2-ISS-005-BODY", "R2-ISS-005-ADMIN", "R2-ISS-005-CANN", "R2-ISS-005-SERP-CRITICAL"]</t>
        </is>
      </c>
    </row>
    <row r="51" ht="42" customHeight="1">
      <c r="A51" s="3" t="inlineStr">
        <is>
          <t>jeminise.com+cat-patchwork-quilt-set-animal-pattern-bedding-cat-pattern-quilt-set</t>
        </is>
      </c>
      <c r="B51" s="3" t="inlineStr">
        <is>
          <t>T1</t>
        </is>
      </c>
      <c r="C51" s="3" t="n">
        <v>10</v>
      </c>
      <c r="D51" s="3" t="inlineStr">
        <is>
          <t>FULL</t>
        </is>
      </c>
      <c r="E51" s="7">
        <f>IF(B51="I1",AVERAGEIF('QA_Images'!$A$2:$A$66,A51,'QA_Images'!$T$2:$T$66)/100,IF(D51="FULL",1,IF(D51="PARTIAL",0.5,IF(D51="FAIL",0,""))))</f>
        <v/>
      </c>
      <c r="F51" s="7">
        <f>IF(E51="",0,C51*E51)</f>
        <v/>
      </c>
      <c r="G51" s="7">
        <f>IF(B51="I1",20*AVERAGEIF('QA_Images'!$A$2:$A$66,A51,'QA_Images'!$U$2:$U$66)/100,IF(D51="NOT_CHECKED",0,C51))</f>
        <v/>
      </c>
      <c r="H51" s="3" t="inlineStr">
        <is>
          <t>Title was checked for product type, motif, keyword fit and verified personalization opportunity.</t>
        </is>
      </c>
      <c r="I51" s="3" t="inlineStr">
        <is>
          <t>["evidence_batch_001_005", "https://jeminise.com/products/cat-patchwork-quilt-set-animal-pattern-bedding-cat-pattern-quilt-set", "serp_reqa_005", "revision_diff.json", "customizer_audit.json"]</t>
        </is>
      </c>
      <c r="J51" s="3" t="inlineStr">
        <is>
          <t>["R2-ISS-005-IMG-02", "R2-ISS-005-IMG-03", "R2-ISS-005-IMG-04", "R2-ISS-005-BODY", "R2-ISS-005-ADMIN", "R2-ISS-005-CANN", "R2-ISS-005-SERP-CRITICAL"]</t>
        </is>
      </c>
    </row>
    <row r="52" ht="42" customHeight="1">
      <c r="A52" s="2" t="inlineStr">
        <is>
          <t>jeminise.com+cat-patchwork-quilt-set-animal-pattern-bedding-cat-pattern-quilt-set</t>
        </is>
      </c>
      <c r="B52" s="2" t="inlineStr">
        <is>
          <t>T2</t>
        </is>
      </c>
      <c r="C52" s="2" t="n">
        <v>5</v>
      </c>
      <c r="D52" s="2" t="inlineStr">
        <is>
          <t>FULL</t>
        </is>
      </c>
      <c r="E52" s="5">
        <f>IF(B52="I1",AVERAGEIF('QA_Images'!$A$2:$A$66,A52,'QA_Images'!$T$2:$T$66)/100,IF(D52="FULL",1,IF(D52="PARTIAL",0.5,IF(D52="FAIL",0,""))))</f>
        <v/>
      </c>
      <c r="F52" s="5">
        <f>IF(E52="",0,C52*E52)</f>
        <v/>
      </c>
      <c r="G52" s="5">
        <f>IF(B52="I1",20*AVERAGEIF('QA_Images'!$A$2:$A$66,A52,'QA_Images'!$U$2:$U$66)/100,IF(D52="NOT_CHECKED",0,C52))</f>
        <v/>
      </c>
      <c r="H52" s="2" t="inlineStr">
        <is>
          <t>H1 was assessed independently from the SEO title and live source encoding.</t>
        </is>
      </c>
      <c r="I52" s="2" t="inlineStr">
        <is>
          <t>["evidence_batch_001_005", "https://jeminise.com/products/cat-patchwork-quilt-set-animal-pattern-bedding-cat-pattern-quilt-set", "serp_reqa_005", "revision_diff.json", "customizer_audit.json"]</t>
        </is>
      </c>
      <c r="J52" s="2" t="inlineStr">
        <is>
          <t>["R2-ISS-005-IMG-02", "R2-ISS-005-IMG-03", "R2-ISS-005-IMG-04", "R2-ISS-005-BODY", "R2-ISS-005-ADMIN", "R2-ISS-005-CANN", "R2-ISS-005-SERP-CRITICAL"]</t>
        </is>
      </c>
    </row>
    <row r="53" ht="42" customHeight="1">
      <c r="A53" s="3" t="inlineStr">
        <is>
          <t>jeminise.com+cat-patchwork-quilt-set-animal-pattern-bedding-cat-pattern-quilt-set</t>
        </is>
      </c>
      <c r="B53" s="3" t="inlineStr">
        <is>
          <t>D1</t>
        </is>
      </c>
      <c r="C53" s="3" t="n">
        <v>5</v>
      </c>
      <c r="D53" s="3" t="inlineStr">
        <is>
          <t>FULL</t>
        </is>
      </c>
      <c r="E53" s="7">
        <f>IF(B53="I1",AVERAGEIF('QA_Images'!$A$2:$A$66,A53,'QA_Images'!$T$2:$T$66)/100,IF(D53="FULL",1,IF(D53="PARTIAL",0.5,IF(D53="FAIL",0,""))))</f>
        <v/>
      </c>
      <c r="F53" s="7">
        <f>IF(E53="",0,C53*E53)</f>
        <v/>
      </c>
      <c r="G53" s="7">
        <f>IF(B53="I1",20*AVERAGEIF('QA_Images'!$A$2:$A$66,A53,'QA_Images'!$U$2:$U$66)/100,IF(D53="NOT_CHECKED",0,C53))</f>
        <v/>
      </c>
      <c r="H53" s="3" t="inlineStr">
        <is>
          <t>Meta description is concise and claim-safe; product 10 is ambiguous about editable name text.</t>
        </is>
      </c>
      <c r="I53" s="3" t="inlineStr">
        <is>
          <t>["evidence_batch_001_005", "https://jeminise.com/products/cat-patchwork-quilt-set-animal-pattern-bedding-cat-pattern-quilt-set", "serp_reqa_005", "revision_diff.json", "customizer_audit.json"]</t>
        </is>
      </c>
      <c r="J53" s="3" t="inlineStr">
        <is>
          <t>["R2-ISS-005-IMG-02", "R2-ISS-005-IMG-03", "R2-ISS-005-IMG-04", "R2-ISS-005-BODY", "R2-ISS-005-ADMIN", "R2-ISS-005-CANN", "R2-ISS-005-SERP-CRITICAL"]</t>
        </is>
      </c>
    </row>
    <row r="54" ht="42" customHeight="1">
      <c r="A54" s="2" t="inlineStr">
        <is>
          <t>jeminise.com+cat-patchwork-quilt-set-animal-pattern-bedding-cat-pattern-quilt-set</t>
        </is>
      </c>
      <c r="B54" s="2" t="inlineStr">
        <is>
          <t>D2</t>
        </is>
      </c>
      <c r="C54" s="2" t="n">
        <v>10</v>
      </c>
      <c r="D54" s="2" t="inlineStr">
        <is>
          <t>PARTIAL</t>
        </is>
      </c>
      <c r="E54" s="5">
        <f>IF(B54="I1",AVERAGEIF('QA_Images'!$A$2:$A$66,A54,'QA_Images'!$T$2:$T$66)/100,IF(D54="FULL",1,IF(D54="PARTIAL",0.5,IF(D54="FAIL",0,""))))</f>
        <v/>
      </c>
      <c r="F54" s="5">
        <f>IF(E54="",0,C54*E54)</f>
        <v/>
      </c>
      <c r="G54" s="5">
        <f>IF(B54="I1",20*AVERAGEIF('QA_Images'!$A$2:$A$66,A54,'QA_Images'!$U$2:$U$66)/100,IF(D54="NOT_CHECKED",0,C54))</f>
        <v/>
      </c>
      <c r="H54" s="2" t="inlineStr">
        <is>
          <t>Internal QA text and raw conflicting facts were removed, but the replacement body is repetitive and omits useful verified image/spec details.</t>
        </is>
      </c>
      <c r="I54" s="2" t="inlineStr">
        <is>
          <t>["evidence_batch_001_005", "https://jeminise.com/products/cat-patchwork-quilt-set-animal-pattern-bedding-cat-pattern-quilt-set", "serp_reqa_005", "revision_diff.json", "customizer_audit.json"]</t>
        </is>
      </c>
      <c r="J54" s="2" t="inlineStr">
        <is>
          <t>["R2-ISS-005-IMG-02", "R2-ISS-005-IMG-03", "R2-ISS-005-IMG-04", "R2-ISS-005-BODY", "R2-ISS-005-ADMIN", "R2-ISS-005-CANN", "R2-ISS-005-SERP-CRITICAL"]</t>
        </is>
      </c>
    </row>
    <row r="55" ht="42" customHeight="1">
      <c r="A55" s="3" t="inlineStr">
        <is>
          <t>jeminise.com+cat-patchwork-quilt-set-animal-pattern-bedding-cat-pattern-quilt-set</t>
        </is>
      </c>
      <c r="B55" s="3" t="inlineStr">
        <is>
          <t>I1</t>
        </is>
      </c>
      <c r="C55" s="3" t="n">
        <v>20</v>
      </c>
      <c r="D55" s="3" t="inlineStr">
        <is>
          <t>DERIVED</t>
        </is>
      </c>
      <c r="E55" s="7">
        <f>IF(B55="I1",AVERAGEIF('QA_Images'!$A$2:$A$66,A55,'QA_Images'!$T$2:$T$66)/100,IF(D55="FULL",1,IF(D55="PARTIAL",0.5,IF(D55="FAIL",0,""))))</f>
        <v/>
      </c>
      <c r="F55" s="7">
        <f>IF(E55="",0,C55*E55)</f>
        <v/>
      </c>
      <c r="G55" s="7">
        <f>IF(B55="I1",20*AVERAGEIF('QA_Images'!$A$2:$A$66,A55,'QA_Images'!$U$2:$U$66)/100,IF(D55="NOT_CHECKED",0,C55))</f>
        <v/>
      </c>
      <c r="H55" s="3" t="inlineStr">
        <is>
          <t>Derived from 7 directly reopened images: 87.8571/100.</t>
        </is>
      </c>
      <c r="I55" s="3" t="inlineStr">
        <is>
          <t>["evidence_batch_001_005", "https://jeminise.com/products/cat-patchwork-quilt-set-animal-pattern-bedding-cat-pattern-quilt-set", "serp_reqa_005", "revision_diff.json", "customizer_audit.json"]</t>
        </is>
      </c>
      <c r="J55" s="3" t="inlineStr">
        <is>
          <t>["R2-ISS-005-IMG-02", "R2-ISS-005-IMG-03", "R2-ISS-005-IMG-04", "R2-ISS-005-BODY", "R2-ISS-005-ADMIN", "R2-ISS-005-CANN", "R2-ISS-005-SERP-CRITICAL"]</t>
        </is>
      </c>
    </row>
    <row r="56" ht="42" customHeight="1">
      <c r="A56" s="2" t="inlineStr">
        <is>
          <t>jeminise.com+cat-patchwork-quilt-set-animal-pattern-bedding-cat-pattern-quilt-set</t>
        </is>
      </c>
      <c r="B56" s="2" t="inlineStr">
        <is>
          <t>E1</t>
        </is>
      </c>
      <c r="C56" s="2" t="n">
        <v>5</v>
      </c>
      <c r="D56" s="2" t="inlineStr">
        <is>
          <t>FAIL</t>
        </is>
      </c>
      <c r="E56" s="5">
        <f>IF(B56="I1",AVERAGEIF('QA_Images'!$A$2:$A$66,A56,'QA_Images'!$T$2:$T$66)/100,IF(D56="FULL",1,IF(D56="PARTIAL",0.5,IF(D56="FAIL",0,""))))</f>
        <v/>
      </c>
      <c r="F56" s="5">
        <f>IF(E56="",0,C56*E56)</f>
        <v/>
      </c>
      <c r="G56" s="5">
        <f>IF(B56="I1",20*AVERAGEIF('QA_Images'!$A$2:$A$66,A56,'QA_Images'!$U$2:$U$66)/100,IF(D56="NOT_CHECKED",0,C56))</f>
        <v/>
      </c>
      <c r="H56" s="2" t="inlineStr">
        <is>
          <t>Revision lineage, source rows, live source and evidence references were cross-checked; admin export remains unavailable.</t>
        </is>
      </c>
      <c r="I56" s="2" t="inlineStr">
        <is>
          <t>["evidence_batch_001_005", "https://jeminise.com/products/cat-patchwork-quilt-set-animal-pattern-bedding-cat-pattern-quilt-set", "serp_reqa_005", "revision_diff.json", "customizer_audit.json"]</t>
        </is>
      </c>
      <c r="J56" s="2" t="inlineStr">
        <is>
          <t>["R2-ISS-005-IMG-02", "R2-ISS-005-IMG-03", "R2-ISS-005-IMG-04", "R2-ISS-005-BODY", "R2-ISS-005-ADMIN", "R2-ISS-005-CANN", "R2-ISS-005-SERP-CRITICAL"]</t>
        </is>
      </c>
    </row>
    <row r="57" ht="42" customHeight="1">
      <c r="A57" s="3" t="inlineStr">
        <is>
          <t>jeminise.com+cat-quilt-set-cat-patchwork-style-printed-bedding-animal-patchwork</t>
        </is>
      </c>
      <c r="B57" s="3" t="inlineStr">
        <is>
          <t>P1</t>
        </is>
      </c>
      <c r="C57" s="3" t="n">
        <v>15</v>
      </c>
      <c r="D57" s="3" t="inlineStr">
        <is>
          <t>FULL</t>
        </is>
      </c>
      <c r="E57" s="7">
        <f>IF(B57="I1",AVERAGEIF('QA_Images'!$A$2:$A$66,A57,'QA_Images'!$T$2:$T$66)/100,IF(D57="FULL",1,IF(D57="PARTIAL",0.5,IF(D57="FAIL",0,""))))</f>
        <v/>
      </c>
      <c r="F57" s="7">
        <f>IF(E57="",0,C57*E57)</f>
        <v/>
      </c>
      <c r="G57" s="7">
        <f>IF(B57="I1",20*AVERAGEIF('QA_Images'!$A$2:$A$66,A57,'QA_Images'!$U$2:$U$66)/100,IF(D57="NOT_CHECKED",0,C57))</f>
        <v/>
      </c>
      <c r="H57" s="3" t="inlineStr">
        <is>
          <t>Product key, handle, product ID, URL, canonical, live H1 and visible motif were rechecked.</t>
        </is>
      </c>
      <c r="I57" s="3" t="inlineStr">
        <is>
          <t>["evidence_batch_001_006", "https://jeminise.com/products/cat-quilt-set-cat-patchwork-style-printed-bedding-animal-patchwork", "serp_reqa_006", "revision_diff.json", "customizer_audit.json"]</t>
        </is>
      </c>
      <c r="J57" s="3" t="inlineStr">
        <is>
          <t>["R2-ISS-006-IMG-02", "R2-ISS-006-IMG-03", "R2-ISS-006-IMG-04", "R2-ISS-006-BODY", "R2-ISS-006-ADMIN", "R2-ISS-006-CANN", "R2-ISS-006-HYP"]</t>
        </is>
      </c>
    </row>
    <row r="58" ht="42" customHeight="1">
      <c r="A58" s="2" t="inlineStr">
        <is>
          <t>jeminise.com+cat-quilt-set-cat-patchwork-style-printed-bedding-animal-patchwork</t>
        </is>
      </c>
      <c r="B58" s="2" t="inlineStr">
        <is>
          <t>P2</t>
        </is>
      </c>
      <c r="C58" s="2" t="n">
        <v>10</v>
      </c>
      <c r="D58" s="2" t="inlineStr">
        <is>
          <t>FULL</t>
        </is>
      </c>
      <c r="E58" s="5">
        <f>IF(B58="I1",AVERAGEIF('QA_Images'!$A$2:$A$66,A58,'QA_Images'!$T$2:$T$66)/100,IF(D58="FULL",1,IF(D58="PARTIAL",0.5,IF(D58="FAIL",0,""))))</f>
        <v/>
      </c>
      <c r="F58" s="5">
        <f>IF(E58="",0,C58*E58)</f>
        <v/>
      </c>
      <c r="G58" s="5">
        <f>IF(B58="I1",20*AVERAGEIF('QA_Images'!$A$2:$A$66,A58,'QA_Images'!$U$2:$U$66)/100,IF(D58="NOT_CHECKED",0,C58))</f>
        <v/>
      </c>
      <c r="H58" s="2" t="inlineStr">
        <is>
          <t>Live product JSON, variants, gallery and Customizer schema were re-read; products 2 and 10 have verified text fields.</t>
        </is>
      </c>
      <c r="I58" s="2" t="inlineStr">
        <is>
          <t>["evidence_batch_001_006", "https://jeminise.com/products/cat-quilt-set-cat-patchwork-style-printed-bedding-animal-patchwork", "serp_reqa_006", "revision_diff.json", "customizer_audit.json"]</t>
        </is>
      </c>
      <c r="J58" s="2" t="inlineStr">
        <is>
          <t>["R2-ISS-006-IMG-02", "R2-ISS-006-IMG-03", "R2-ISS-006-IMG-04", "R2-ISS-006-BODY", "R2-ISS-006-ADMIN", "R2-ISS-006-CANN", "R2-ISS-006-HYP"]</t>
        </is>
      </c>
    </row>
    <row r="59" ht="42" customHeight="1">
      <c r="A59" s="3" t="inlineStr">
        <is>
          <t>jeminise.com+cat-quilt-set-cat-patchwork-style-printed-bedding-animal-patchwork</t>
        </is>
      </c>
      <c r="B59" s="3" t="inlineStr">
        <is>
          <t>K1</t>
        </is>
      </c>
      <c r="C59" s="3" t="n">
        <v>10</v>
      </c>
      <c r="D59" s="3" t="inlineStr">
        <is>
          <t>PARTIAL</t>
        </is>
      </c>
      <c r="E59" s="7">
        <f>IF(B59="I1",AVERAGEIF('QA_Images'!$A$2:$A$66,A59,'QA_Images'!$T$2:$T$66)/100,IF(D59="FULL",1,IF(D59="PARTIAL",0.5,IF(D59="FAIL",0,""))))</f>
        <v/>
      </c>
      <c r="F59" s="7">
        <f>IF(E59="",0,C59*E59)</f>
        <v/>
      </c>
      <c r="G59" s="7">
        <f>IF(B59="I1",20*AVERAGEIF('QA_Images'!$A$2:$A$66,A59,'QA_Images'!$U$2:$U$66)/100,IF(D59="NOT_CHECKED",0,C59))</f>
        <v/>
      </c>
      <c r="H59" s="3" t="inlineStr">
        <is>
          <t>Primary query was checked against submitted evidence and fresh SERP research; product 5 retains a mismatched chicken-quilt source.</t>
        </is>
      </c>
      <c r="I59" s="3" t="inlineStr">
        <is>
          <t>["evidence_batch_001_006", "https://jeminise.com/products/cat-quilt-set-cat-patchwork-style-printed-bedding-animal-patchwork", "serp_reqa_006", "revision_diff.json", "customizer_audit.json"]</t>
        </is>
      </c>
      <c r="J59" s="3" t="inlineStr">
        <is>
          <t>["R2-ISS-006-IMG-02", "R2-ISS-006-IMG-03", "R2-ISS-006-IMG-04", "R2-ISS-006-BODY", "R2-ISS-006-ADMIN", "R2-ISS-006-CANN", "R2-ISS-006-HYP"]</t>
        </is>
      </c>
    </row>
    <row r="60" ht="42" customHeight="1">
      <c r="A60" s="2" t="inlineStr">
        <is>
          <t>jeminise.com+cat-quilt-set-cat-patchwork-style-printed-bedding-animal-patchwork</t>
        </is>
      </c>
      <c r="B60" s="2" t="inlineStr">
        <is>
          <t>K2</t>
        </is>
      </c>
      <c r="C60" s="2" t="n">
        <v>5</v>
      </c>
      <c r="D60" s="2" t="inlineStr">
        <is>
          <t>FULL</t>
        </is>
      </c>
      <c r="E60" s="5">
        <f>IF(B60="I1",AVERAGEIF('QA_Images'!$A$2:$A$66,A60,'QA_Images'!$T$2:$T$66)/100,IF(D60="FULL",1,IF(D60="PARTIAL",0.5,IF(D60="FAIL",0,""))))</f>
        <v/>
      </c>
      <c r="F60" s="5">
        <f>IF(E60="",0,C60*E60)</f>
        <v/>
      </c>
      <c r="G60" s="5">
        <f>IF(B60="I1",20*AVERAGEIF('QA_Images'!$A$2:$A$66,A60,'QA_Images'!$U$2:$U$66)/100,IF(D60="NOT_CHECKED",0,C60))</f>
        <v/>
      </c>
      <c r="H60" s="2" t="inlineStr">
        <is>
          <t>Primary and nearest alternative queries were searched for US commercial/product intent.</t>
        </is>
      </c>
      <c r="I60" s="2" t="inlineStr">
        <is>
          <t>["evidence_batch_001_006", "https://jeminise.com/products/cat-quilt-set-cat-patchwork-style-printed-bedding-animal-patchwork", "serp_reqa_006", "revision_diff.json", "customizer_audit.json"]</t>
        </is>
      </c>
      <c r="J60" s="2" t="inlineStr">
        <is>
          <t>["R2-ISS-006-IMG-02", "R2-ISS-006-IMG-03", "R2-ISS-006-IMG-04", "R2-ISS-006-BODY", "R2-ISS-006-ADMIN", "R2-ISS-006-CANN", "R2-ISS-006-HYP"]</t>
        </is>
      </c>
    </row>
    <row r="61" ht="42" customHeight="1">
      <c r="A61" s="3" t="inlineStr">
        <is>
          <t>jeminise.com+cat-quilt-set-cat-patchwork-style-printed-bedding-animal-patchwork</t>
        </is>
      </c>
      <c r="B61" s="3" t="inlineStr">
        <is>
          <t>K3</t>
        </is>
      </c>
      <c r="C61" s="3" t="n">
        <v>5</v>
      </c>
      <c r="D61" s="3" t="inlineStr">
        <is>
          <t>PARTIAL</t>
        </is>
      </c>
      <c r="E61" s="7">
        <f>IF(B61="I1",AVERAGEIF('QA_Images'!$A$2:$A$66,A61,'QA_Images'!$T$2:$T$66)/100,IF(D61="FULL",1,IF(D61="PARTIAL",0.5,IF(D61="FAIL",0,""))))</f>
        <v/>
      </c>
      <c r="F61" s="7">
        <f>IF(E61="",0,C61*E61)</f>
        <v/>
      </c>
      <c r="G61" s="7">
        <f>IF(B61="I1",20*AVERAGEIF('QA_Images'!$A$2:$A$66,A61,'QA_Images'!$U$2:$U$66)/100,IF(D61="NOT_CHECKED",0,C61))</f>
        <v/>
      </c>
      <c r="H61" s="3" t="inlineStr">
        <is>
          <t>Distinct artwork helps differentiation, but cardinal, cat and Celtic sibling pages still need an explicit intent map.</t>
        </is>
      </c>
      <c r="I61" s="3" t="inlineStr">
        <is>
          <t>["evidence_batch_001_006", "https://jeminise.com/products/cat-quilt-set-cat-patchwork-style-printed-bedding-animal-patchwork", "serp_reqa_006", "revision_diff.json", "customizer_audit.json"]</t>
        </is>
      </c>
      <c r="J61" s="3" t="inlineStr">
        <is>
          <t>["R2-ISS-006-IMG-02", "R2-ISS-006-IMG-03", "R2-ISS-006-IMG-04", "R2-ISS-006-BODY", "R2-ISS-006-ADMIN", "R2-ISS-006-CANN", "R2-ISS-006-HYP"]</t>
        </is>
      </c>
    </row>
    <row r="62" ht="42" customHeight="1">
      <c r="A62" s="2" t="inlineStr">
        <is>
          <t>jeminise.com+cat-quilt-set-cat-patchwork-style-printed-bedding-animal-patchwork</t>
        </is>
      </c>
      <c r="B62" s="2" t="inlineStr">
        <is>
          <t>T1</t>
        </is>
      </c>
      <c r="C62" s="2" t="n">
        <v>10</v>
      </c>
      <c r="D62" s="2" t="inlineStr">
        <is>
          <t>FULL</t>
        </is>
      </c>
      <c r="E62" s="5">
        <f>IF(B62="I1",AVERAGEIF('QA_Images'!$A$2:$A$66,A62,'QA_Images'!$T$2:$T$66)/100,IF(D62="FULL",1,IF(D62="PARTIAL",0.5,IF(D62="FAIL",0,""))))</f>
        <v/>
      </c>
      <c r="F62" s="5">
        <f>IF(E62="",0,C62*E62)</f>
        <v/>
      </c>
      <c r="G62" s="5">
        <f>IF(B62="I1",20*AVERAGEIF('QA_Images'!$A$2:$A$66,A62,'QA_Images'!$U$2:$U$66)/100,IF(D62="NOT_CHECKED",0,C62))</f>
        <v/>
      </c>
      <c r="H62" s="2" t="inlineStr">
        <is>
          <t>Title was checked for product type, motif, keyword fit and verified personalization opportunity.</t>
        </is>
      </c>
      <c r="I62" s="2" t="inlineStr">
        <is>
          <t>["evidence_batch_001_006", "https://jeminise.com/products/cat-quilt-set-cat-patchwork-style-printed-bedding-animal-patchwork", "serp_reqa_006", "revision_diff.json", "customizer_audit.json"]</t>
        </is>
      </c>
      <c r="J62" s="2" t="inlineStr">
        <is>
          <t>["R2-ISS-006-IMG-02", "R2-ISS-006-IMG-03", "R2-ISS-006-IMG-04", "R2-ISS-006-BODY", "R2-ISS-006-ADMIN", "R2-ISS-006-CANN", "R2-ISS-006-HYP"]</t>
        </is>
      </c>
    </row>
    <row r="63" ht="42" customHeight="1">
      <c r="A63" s="3" t="inlineStr">
        <is>
          <t>jeminise.com+cat-quilt-set-cat-patchwork-style-printed-bedding-animal-patchwork</t>
        </is>
      </c>
      <c r="B63" s="3" t="inlineStr">
        <is>
          <t>T2</t>
        </is>
      </c>
      <c r="C63" s="3" t="n">
        <v>5</v>
      </c>
      <c r="D63" s="3" t="inlineStr">
        <is>
          <t>FULL</t>
        </is>
      </c>
      <c r="E63" s="7">
        <f>IF(B63="I1",AVERAGEIF('QA_Images'!$A$2:$A$66,A63,'QA_Images'!$T$2:$T$66)/100,IF(D63="FULL",1,IF(D63="PARTIAL",0.5,IF(D63="FAIL",0,""))))</f>
        <v/>
      </c>
      <c r="F63" s="7">
        <f>IF(E63="",0,C63*E63)</f>
        <v/>
      </c>
      <c r="G63" s="7">
        <f>IF(B63="I1",20*AVERAGEIF('QA_Images'!$A$2:$A$66,A63,'QA_Images'!$U$2:$U$66)/100,IF(D63="NOT_CHECKED",0,C63))</f>
        <v/>
      </c>
      <c r="H63" s="3" t="inlineStr">
        <is>
          <t>H1 was assessed independently from the SEO title and live source encoding.</t>
        </is>
      </c>
      <c r="I63" s="3" t="inlineStr">
        <is>
          <t>["evidence_batch_001_006", "https://jeminise.com/products/cat-quilt-set-cat-patchwork-style-printed-bedding-animal-patchwork", "serp_reqa_006", "revision_diff.json", "customizer_audit.json"]</t>
        </is>
      </c>
      <c r="J63" s="3" t="inlineStr">
        <is>
          <t>["R2-ISS-006-IMG-02", "R2-ISS-006-IMG-03", "R2-ISS-006-IMG-04", "R2-ISS-006-BODY", "R2-ISS-006-ADMIN", "R2-ISS-006-CANN", "R2-ISS-006-HYP"]</t>
        </is>
      </c>
    </row>
    <row r="64" ht="42" customHeight="1">
      <c r="A64" s="2" t="inlineStr">
        <is>
          <t>jeminise.com+cat-quilt-set-cat-patchwork-style-printed-bedding-animal-patchwork</t>
        </is>
      </c>
      <c r="B64" s="2" t="inlineStr">
        <is>
          <t>D1</t>
        </is>
      </c>
      <c r="C64" s="2" t="n">
        <v>5</v>
      </c>
      <c r="D64" s="2" t="inlineStr">
        <is>
          <t>FULL</t>
        </is>
      </c>
      <c r="E64" s="5">
        <f>IF(B64="I1",AVERAGEIF('QA_Images'!$A$2:$A$66,A64,'QA_Images'!$T$2:$T$66)/100,IF(D64="FULL",1,IF(D64="PARTIAL",0.5,IF(D64="FAIL",0,""))))</f>
        <v/>
      </c>
      <c r="F64" s="5">
        <f>IF(E64="",0,C64*E64)</f>
        <v/>
      </c>
      <c r="G64" s="5">
        <f>IF(B64="I1",20*AVERAGEIF('QA_Images'!$A$2:$A$66,A64,'QA_Images'!$U$2:$U$66)/100,IF(D64="NOT_CHECKED",0,C64))</f>
        <v/>
      </c>
      <c r="H64" s="2" t="inlineStr">
        <is>
          <t>Meta description is concise and claim-safe; product 10 is ambiguous about editable name text.</t>
        </is>
      </c>
      <c r="I64" s="2" t="inlineStr">
        <is>
          <t>["evidence_batch_001_006", "https://jeminise.com/products/cat-quilt-set-cat-patchwork-style-printed-bedding-animal-patchwork", "serp_reqa_006", "revision_diff.json", "customizer_audit.json"]</t>
        </is>
      </c>
      <c r="J64" s="2" t="inlineStr">
        <is>
          <t>["R2-ISS-006-IMG-02", "R2-ISS-006-IMG-03", "R2-ISS-006-IMG-04", "R2-ISS-006-BODY", "R2-ISS-006-ADMIN", "R2-ISS-006-CANN", "R2-ISS-006-HYP"]</t>
        </is>
      </c>
    </row>
    <row r="65" ht="42" customHeight="1">
      <c r="A65" s="3" t="inlineStr">
        <is>
          <t>jeminise.com+cat-quilt-set-cat-patchwork-style-printed-bedding-animal-patchwork</t>
        </is>
      </c>
      <c r="B65" s="3" t="inlineStr">
        <is>
          <t>D2</t>
        </is>
      </c>
      <c r="C65" s="3" t="n">
        <v>10</v>
      </c>
      <c r="D65" s="3" t="inlineStr">
        <is>
          <t>PARTIAL</t>
        </is>
      </c>
      <c r="E65" s="7">
        <f>IF(B65="I1",AVERAGEIF('QA_Images'!$A$2:$A$66,A65,'QA_Images'!$T$2:$T$66)/100,IF(D65="FULL",1,IF(D65="PARTIAL",0.5,IF(D65="FAIL",0,""))))</f>
        <v/>
      </c>
      <c r="F65" s="7">
        <f>IF(E65="",0,C65*E65)</f>
        <v/>
      </c>
      <c r="G65" s="7">
        <f>IF(B65="I1",20*AVERAGEIF('QA_Images'!$A$2:$A$66,A65,'QA_Images'!$U$2:$U$66)/100,IF(D65="NOT_CHECKED",0,C65))</f>
        <v/>
      </c>
      <c r="H65" s="3" t="inlineStr">
        <is>
          <t>Internal QA text and raw conflicting facts were removed, but the replacement body is repetitive and omits useful verified image/spec details.</t>
        </is>
      </c>
      <c r="I65" s="3" t="inlineStr">
        <is>
          <t>["evidence_batch_001_006", "https://jeminise.com/products/cat-quilt-set-cat-patchwork-style-printed-bedding-animal-patchwork", "serp_reqa_006", "revision_diff.json", "customizer_audit.json"]</t>
        </is>
      </c>
      <c r="J65" s="3" t="inlineStr">
        <is>
          <t>["R2-ISS-006-IMG-02", "R2-ISS-006-IMG-03", "R2-ISS-006-IMG-04", "R2-ISS-006-BODY", "R2-ISS-006-ADMIN", "R2-ISS-006-CANN", "R2-ISS-006-HYP"]</t>
        </is>
      </c>
    </row>
    <row r="66" ht="42" customHeight="1">
      <c r="A66" s="2" t="inlineStr">
        <is>
          <t>jeminise.com+cat-quilt-set-cat-patchwork-style-printed-bedding-animal-patchwork</t>
        </is>
      </c>
      <c r="B66" s="2" t="inlineStr">
        <is>
          <t>I1</t>
        </is>
      </c>
      <c r="C66" s="2" t="n">
        <v>20</v>
      </c>
      <c r="D66" s="2" t="inlineStr">
        <is>
          <t>DERIVED</t>
        </is>
      </c>
      <c r="E66" s="5">
        <f>IF(B66="I1",AVERAGEIF('QA_Images'!$A$2:$A$66,A66,'QA_Images'!$T$2:$T$66)/100,IF(D66="FULL",1,IF(D66="PARTIAL",0.5,IF(D66="FAIL",0,""))))</f>
        <v/>
      </c>
      <c r="F66" s="5">
        <f>IF(E66="",0,C66*E66)</f>
        <v/>
      </c>
      <c r="G66" s="5">
        <f>IF(B66="I1",20*AVERAGEIF('QA_Images'!$A$2:$A$66,A66,'QA_Images'!$U$2:$U$66)/100,IF(D66="NOT_CHECKED",0,C66))</f>
        <v/>
      </c>
      <c r="H66" s="2" t="inlineStr">
        <is>
          <t>Derived from 7 directly reopened images: 87.8571/100.</t>
        </is>
      </c>
      <c r="I66" s="2" t="inlineStr">
        <is>
          <t>["evidence_batch_001_006", "https://jeminise.com/products/cat-quilt-set-cat-patchwork-style-printed-bedding-animal-patchwork", "serp_reqa_006", "revision_diff.json", "customizer_audit.json"]</t>
        </is>
      </c>
      <c r="J66" s="2" t="inlineStr">
        <is>
          <t>["R2-ISS-006-IMG-02", "R2-ISS-006-IMG-03", "R2-ISS-006-IMG-04", "R2-ISS-006-BODY", "R2-ISS-006-ADMIN", "R2-ISS-006-CANN", "R2-ISS-006-HYP"]</t>
        </is>
      </c>
    </row>
    <row r="67" ht="42" customHeight="1">
      <c r="A67" s="3" t="inlineStr">
        <is>
          <t>jeminise.com+cat-quilt-set-cat-patchwork-style-printed-bedding-animal-patchwork</t>
        </is>
      </c>
      <c r="B67" s="3" t="inlineStr">
        <is>
          <t>E1</t>
        </is>
      </c>
      <c r="C67" s="3" t="n">
        <v>5</v>
      </c>
      <c r="D67" s="3" t="inlineStr">
        <is>
          <t>PARTIAL</t>
        </is>
      </c>
      <c r="E67" s="7">
        <f>IF(B67="I1",AVERAGEIF('QA_Images'!$A$2:$A$66,A67,'QA_Images'!$T$2:$T$66)/100,IF(D67="FULL",1,IF(D67="PARTIAL",0.5,IF(D67="FAIL",0,""))))</f>
        <v/>
      </c>
      <c r="F67" s="7">
        <f>IF(E67="",0,C67*E67)</f>
        <v/>
      </c>
      <c r="G67" s="7">
        <f>IF(B67="I1",20*AVERAGEIF('QA_Images'!$A$2:$A$66,A67,'QA_Images'!$U$2:$U$66)/100,IF(D67="NOT_CHECKED",0,C67))</f>
        <v/>
      </c>
      <c r="H67" s="3" t="inlineStr">
        <is>
          <t>Revision lineage, source rows, live source and evidence references were cross-checked; admin export remains unavailable.</t>
        </is>
      </c>
      <c r="I67" s="3" t="inlineStr">
        <is>
          <t>["evidence_batch_001_006", "https://jeminise.com/products/cat-quilt-set-cat-patchwork-style-printed-bedding-animal-patchwork", "serp_reqa_006", "revision_diff.json", "customizer_audit.json"]</t>
        </is>
      </c>
      <c r="J67" s="3" t="inlineStr">
        <is>
          <t>["R2-ISS-006-IMG-02", "R2-ISS-006-IMG-03", "R2-ISS-006-IMG-04", "R2-ISS-006-BODY", "R2-ISS-006-ADMIN", "R2-ISS-006-CANN", "R2-ISS-006-HYP"]</t>
        </is>
      </c>
    </row>
    <row r="68" ht="42" customHeight="1">
      <c r="A68" s="2" t="inlineStr">
        <is>
          <t>jeminise.com+celtic-and-fantasy-quilt-set-with-twisting-tree-trunk-and-exposed-roots-c7b1460bad-c7b1460bad</t>
        </is>
      </c>
      <c r="B68" s="2" t="inlineStr">
        <is>
          <t>P1</t>
        </is>
      </c>
      <c r="C68" s="2" t="n">
        <v>15</v>
      </c>
      <c r="D68" s="2" t="inlineStr">
        <is>
          <t>FULL</t>
        </is>
      </c>
      <c r="E68" s="5">
        <f>IF(B68="I1",AVERAGEIF('QA_Images'!$A$2:$A$66,A68,'QA_Images'!$T$2:$T$66)/100,IF(D68="FULL",1,IF(D68="PARTIAL",0.5,IF(D68="FAIL",0,""))))</f>
        <v/>
      </c>
      <c r="F68" s="5">
        <f>IF(E68="",0,C68*E68)</f>
        <v/>
      </c>
      <c r="G68" s="5">
        <f>IF(B68="I1",20*AVERAGEIF('QA_Images'!$A$2:$A$66,A68,'QA_Images'!$U$2:$U$66)/100,IF(D68="NOT_CHECKED",0,C68))</f>
        <v/>
      </c>
      <c r="H68" s="2" t="inlineStr">
        <is>
          <t>Product key, handle, product ID, URL, canonical, live H1 and visible motif were rechecked.</t>
        </is>
      </c>
      <c r="I68" s="2" t="inlineStr">
        <is>
          <t>["evidence_batch_001_007", "https://jeminise.com/products/celtic-and-fantasy-quilt-set-with-twisting-tree-trunk-and-exposed-roots-c7b1460bad-c7b1460bad", "serp_reqa_007", "revision_diff.json", "customizer_audit.json"]</t>
        </is>
      </c>
      <c r="J68" s="2" t="inlineStr">
        <is>
          <t>["R2-ISS-007-IMG-02", "R2-ISS-007-IMG-03", "R2-ISS-007-IMG-04", "R2-ISS-007-BODY", "R2-ISS-007-ADMIN", "R2-ISS-007-CANN"]</t>
        </is>
      </c>
    </row>
    <row r="69" ht="42" customHeight="1">
      <c r="A69" s="3" t="inlineStr">
        <is>
          <t>jeminise.com+celtic-and-fantasy-quilt-set-with-twisting-tree-trunk-and-exposed-roots-c7b1460bad-c7b1460bad</t>
        </is>
      </c>
      <c r="B69" s="3" t="inlineStr">
        <is>
          <t>P2</t>
        </is>
      </c>
      <c r="C69" s="3" t="n">
        <v>10</v>
      </c>
      <c r="D69" s="3" t="inlineStr">
        <is>
          <t>FULL</t>
        </is>
      </c>
      <c r="E69" s="7">
        <f>IF(B69="I1",AVERAGEIF('QA_Images'!$A$2:$A$66,A69,'QA_Images'!$T$2:$T$66)/100,IF(D69="FULL",1,IF(D69="PARTIAL",0.5,IF(D69="FAIL",0,""))))</f>
        <v/>
      </c>
      <c r="F69" s="7">
        <f>IF(E69="",0,C69*E69)</f>
        <v/>
      </c>
      <c r="G69" s="7">
        <f>IF(B69="I1",20*AVERAGEIF('QA_Images'!$A$2:$A$66,A69,'QA_Images'!$U$2:$U$66)/100,IF(D69="NOT_CHECKED",0,C69))</f>
        <v/>
      </c>
      <c r="H69" s="3" t="inlineStr">
        <is>
          <t>Live product JSON, variants, gallery and Customizer schema were re-read; products 2 and 10 have verified text fields.</t>
        </is>
      </c>
      <c r="I69" s="3" t="inlineStr">
        <is>
          <t>["evidence_batch_001_007", "https://jeminise.com/products/celtic-and-fantasy-quilt-set-with-twisting-tree-trunk-and-exposed-roots-c7b1460bad-c7b1460bad", "serp_reqa_007", "revision_diff.json", "customizer_audit.json"]</t>
        </is>
      </c>
      <c r="J69" s="3" t="inlineStr">
        <is>
          <t>["R2-ISS-007-IMG-02", "R2-ISS-007-IMG-03", "R2-ISS-007-IMG-04", "R2-ISS-007-BODY", "R2-ISS-007-ADMIN", "R2-ISS-007-CANN"]</t>
        </is>
      </c>
    </row>
    <row r="70" ht="42" customHeight="1">
      <c r="A70" s="2" t="inlineStr">
        <is>
          <t>jeminise.com+celtic-and-fantasy-quilt-set-with-twisting-tree-trunk-and-exposed-roots-c7b1460bad-c7b1460bad</t>
        </is>
      </c>
      <c r="B70" s="2" t="inlineStr">
        <is>
          <t>K1</t>
        </is>
      </c>
      <c r="C70" s="2" t="n">
        <v>10</v>
      </c>
      <c r="D70" s="2" t="inlineStr">
        <is>
          <t>FULL</t>
        </is>
      </c>
      <c r="E70" s="5">
        <f>IF(B70="I1",AVERAGEIF('QA_Images'!$A$2:$A$66,A70,'QA_Images'!$T$2:$T$66)/100,IF(D70="FULL",1,IF(D70="PARTIAL",0.5,IF(D70="FAIL",0,""))))</f>
        <v/>
      </c>
      <c r="F70" s="5">
        <f>IF(E70="",0,C70*E70)</f>
        <v/>
      </c>
      <c r="G70" s="5">
        <f>IF(B70="I1",20*AVERAGEIF('QA_Images'!$A$2:$A$66,A70,'QA_Images'!$U$2:$U$66)/100,IF(D70="NOT_CHECKED",0,C70))</f>
        <v/>
      </c>
      <c r="H70" s="2" t="inlineStr">
        <is>
          <t>Primary query was checked against submitted evidence and fresh SERP research; product 5 retains a mismatched chicken-quilt source.</t>
        </is>
      </c>
      <c r="I70" s="2" t="inlineStr">
        <is>
          <t>["evidence_batch_001_007", "https://jeminise.com/products/celtic-and-fantasy-quilt-set-with-twisting-tree-trunk-and-exposed-roots-c7b1460bad-c7b1460bad", "serp_reqa_007", "revision_diff.json", "customizer_audit.json"]</t>
        </is>
      </c>
      <c r="J70" s="2" t="inlineStr">
        <is>
          <t>["R2-ISS-007-IMG-02", "R2-ISS-007-IMG-03", "R2-ISS-007-IMG-04", "R2-ISS-007-BODY", "R2-ISS-007-ADMIN", "R2-ISS-007-CANN"]</t>
        </is>
      </c>
    </row>
    <row r="71" ht="42" customHeight="1">
      <c r="A71" s="3" t="inlineStr">
        <is>
          <t>jeminise.com+celtic-and-fantasy-quilt-set-with-twisting-tree-trunk-and-exposed-roots-c7b1460bad-c7b1460bad</t>
        </is>
      </c>
      <c r="B71" s="3" t="inlineStr">
        <is>
          <t>K2</t>
        </is>
      </c>
      <c r="C71" s="3" t="n">
        <v>5</v>
      </c>
      <c r="D71" s="3" t="inlineStr">
        <is>
          <t>FULL</t>
        </is>
      </c>
      <c r="E71" s="7">
        <f>IF(B71="I1",AVERAGEIF('QA_Images'!$A$2:$A$66,A71,'QA_Images'!$T$2:$T$66)/100,IF(D71="FULL",1,IF(D71="PARTIAL",0.5,IF(D71="FAIL",0,""))))</f>
        <v/>
      </c>
      <c r="F71" s="7">
        <f>IF(E71="",0,C71*E71)</f>
        <v/>
      </c>
      <c r="G71" s="7">
        <f>IF(B71="I1",20*AVERAGEIF('QA_Images'!$A$2:$A$66,A71,'QA_Images'!$U$2:$U$66)/100,IF(D71="NOT_CHECKED",0,C71))</f>
        <v/>
      </c>
      <c r="H71" s="3" t="inlineStr">
        <is>
          <t>Primary and nearest alternative queries were searched for US commercial/product intent.</t>
        </is>
      </c>
      <c r="I71" s="3" t="inlineStr">
        <is>
          <t>["evidence_batch_001_007", "https://jeminise.com/products/celtic-and-fantasy-quilt-set-with-twisting-tree-trunk-and-exposed-roots-c7b1460bad-c7b1460bad", "serp_reqa_007", "revision_diff.json", "customizer_audit.json"]</t>
        </is>
      </c>
      <c r="J71" s="3" t="inlineStr">
        <is>
          <t>["R2-ISS-007-IMG-02", "R2-ISS-007-IMG-03", "R2-ISS-007-IMG-04", "R2-ISS-007-BODY", "R2-ISS-007-ADMIN", "R2-ISS-007-CANN"]</t>
        </is>
      </c>
    </row>
    <row r="72" ht="42" customHeight="1">
      <c r="A72" s="2" t="inlineStr">
        <is>
          <t>jeminise.com+celtic-and-fantasy-quilt-set-with-twisting-tree-trunk-and-exposed-roots-c7b1460bad-c7b1460bad</t>
        </is>
      </c>
      <c r="B72" s="2" t="inlineStr">
        <is>
          <t>K3</t>
        </is>
      </c>
      <c r="C72" s="2" t="n">
        <v>5</v>
      </c>
      <c r="D72" s="2" t="inlineStr">
        <is>
          <t>PARTIAL</t>
        </is>
      </c>
      <c r="E72" s="5">
        <f>IF(B72="I1",AVERAGEIF('QA_Images'!$A$2:$A$66,A72,'QA_Images'!$T$2:$T$66)/100,IF(D72="FULL",1,IF(D72="PARTIAL",0.5,IF(D72="FAIL",0,""))))</f>
        <v/>
      </c>
      <c r="F72" s="5">
        <f>IF(E72="",0,C72*E72)</f>
        <v/>
      </c>
      <c r="G72" s="5">
        <f>IF(B72="I1",20*AVERAGEIF('QA_Images'!$A$2:$A$66,A72,'QA_Images'!$U$2:$U$66)/100,IF(D72="NOT_CHECKED",0,C72))</f>
        <v/>
      </c>
      <c r="H72" s="2" t="inlineStr">
        <is>
          <t>Distinct artwork helps differentiation, but cardinal, cat and Celtic sibling pages still need an explicit intent map.</t>
        </is>
      </c>
      <c r="I72" s="2" t="inlineStr">
        <is>
          <t>["evidence_batch_001_007", "https://jeminise.com/products/celtic-and-fantasy-quilt-set-with-twisting-tree-trunk-and-exposed-roots-c7b1460bad-c7b1460bad", "serp_reqa_007", "revision_diff.json", "customizer_audit.json"]</t>
        </is>
      </c>
      <c r="J72" s="2" t="inlineStr">
        <is>
          <t>["R2-ISS-007-IMG-02", "R2-ISS-007-IMG-03", "R2-ISS-007-IMG-04", "R2-ISS-007-BODY", "R2-ISS-007-ADMIN", "R2-ISS-007-CANN"]</t>
        </is>
      </c>
    </row>
    <row r="73" ht="42" customHeight="1">
      <c r="A73" s="3" t="inlineStr">
        <is>
          <t>jeminise.com+celtic-and-fantasy-quilt-set-with-twisting-tree-trunk-and-exposed-roots-c7b1460bad-c7b1460bad</t>
        </is>
      </c>
      <c r="B73" s="3" t="inlineStr">
        <is>
          <t>T1</t>
        </is>
      </c>
      <c r="C73" s="3" t="n">
        <v>10</v>
      </c>
      <c r="D73" s="3" t="inlineStr">
        <is>
          <t>FULL</t>
        </is>
      </c>
      <c r="E73" s="7">
        <f>IF(B73="I1",AVERAGEIF('QA_Images'!$A$2:$A$66,A73,'QA_Images'!$T$2:$T$66)/100,IF(D73="FULL",1,IF(D73="PARTIAL",0.5,IF(D73="FAIL",0,""))))</f>
        <v/>
      </c>
      <c r="F73" s="7">
        <f>IF(E73="",0,C73*E73)</f>
        <v/>
      </c>
      <c r="G73" s="7">
        <f>IF(B73="I1",20*AVERAGEIF('QA_Images'!$A$2:$A$66,A73,'QA_Images'!$U$2:$U$66)/100,IF(D73="NOT_CHECKED",0,C73))</f>
        <v/>
      </c>
      <c r="H73" s="3" t="inlineStr">
        <is>
          <t>Title was checked for product type, motif, keyword fit and verified personalization opportunity.</t>
        </is>
      </c>
      <c r="I73" s="3" t="inlineStr">
        <is>
          <t>["evidence_batch_001_007", "https://jeminise.com/products/celtic-and-fantasy-quilt-set-with-twisting-tree-trunk-and-exposed-roots-c7b1460bad-c7b1460bad", "serp_reqa_007", "revision_diff.json", "customizer_audit.json"]</t>
        </is>
      </c>
      <c r="J73" s="3" t="inlineStr">
        <is>
          <t>["R2-ISS-007-IMG-02", "R2-ISS-007-IMG-03", "R2-ISS-007-IMG-04", "R2-ISS-007-BODY", "R2-ISS-007-ADMIN", "R2-ISS-007-CANN"]</t>
        </is>
      </c>
    </row>
    <row r="74" ht="42" customHeight="1">
      <c r="A74" s="2" t="inlineStr">
        <is>
          <t>jeminise.com+celtic-and-fantasy-quilt-set-with-twisting-tree-trunk-and-exposed-roots-c7b1460bad-c7b1460bad</t>
        </is>
      </c>
      <c r="B74" s="2" t="inlineStr">
        <is>
          <t>T2</t>
        </is>
      </c>
      <c r="C74" s="2" t="n">
        <v>5</v>
      </c>
      <c r="D74" s="2" t="inlineStr">
        <is>
          <t>FULL</t>
        </is>
      </c>
      <c r="E74" s="5">
        <f>IF(B74="I1",AVERAGEIF('QA_Images'!$A$2:$A$66,A74,'QA_Images'!$T$2:$T$66)/100,IF(D74="FULL",1,IF(D74="PARTIAL",0.5,IF(D74="FAIL",0,""))))</f>
        <v/>
      </c>
      <c r="F74" s="5">
        <f>IF(E74="",0,C74*E74)</f>
        <v/>
      </c>
      <c r="G74" s="5">
        <f>IF(B74="I1",20*AVERAGEIF('QA_Images'!$A$2:$A$66,A74,'QA_Images'!$U$2:$U$66)/100,IF(D74="NOT_CHECKED",0,C74))</f>
        <v/>
      </c>
      <c r="H74" s="2" t="inlineStr">
        <is>
          <t>H1 was assessed independently from the SEO title and live source encoding.</t>
        </is>
      </c>
      <c r="I74" s="2" t="inlineStr">
        <is>
          <t>["evidence_batch_001_007", "https://jeminise.com/products/celtic-and-fantasy-quilt-set-with-twisting-tree-trunk-and-exposed-roots-c7b1460bad-c7b1460bad", "serp_reqa_007", "revision_diff.json", "customizer_audit.json"]</t>
        </is>
      </c>
      <c r="J74" s="2" t="inlineStr">
        <is>
          <t>["R2-ISS-007-IMG-02", "R2-ISS-007-IMG-03", "R2-ISS-007-IMG-04", "R2-ISS-007-BODY", "R2-ISS-007-ADMIN", "R2-ISS-007-CANN"]</t>
        </is>
      </c>
    </row>
    <row r="75" ht="42" customHeight="1">
      <c r="A75" s="3" t="inlineStr">
        <is>
          <t>jeminise.com+celtic-and-fantasy-quilt-set-with-twisting-tree-trunk-and-exposed-roots-c7b1460bad-c7b1460bad</t>
        </is>
      </c>
      <c r="B75" s="3" t="inlineStr">
        <is>
          <t>D1</t>
        </is>
      </c>
      <c r="C75" s="3" t="n">
        <v>5</v>
      </c>
      <c r="D75" s="3" t="inlineStr">
        <is>
          <t>FULL</t>
        </is>
      </c>
      <c r="E75" s="7">
        <f>IF(B75="I1",AVERAGEIF('QA_Images'!$A$2:$A$66,A75,'QA_Images'!$T$2:$T$66)/100,IF(D75="FULL",1,IF(D75="PARTIAL",0.5,IF(D75="FAIL",0,""))))</f>
        <v/>
      </c>
      <c r="F75" s="7">
        <f>IF(E75="",0,C75*E75)</f>
        <v/>
      </c>
      <c r="G75" s="7">
        <f>IF(B75="I1",20*AVERAGEIF('QA_Images'!$A$2:$A$66,A75,'QA_Images'!$U$2:$U$66)/100,IF(D75="NOT_CHECKED",0,C75))</f>
        <v/>
      </c>
      <c r="H75" s="3" t="inlineStr">
        <is>
          <t>Meta description is concise and claim-safe; product 10 is ambiguous about editable name text.</t>
        </is>
      </c>
      <c r="I75" s="3" t="inlineStr">
        <is>
          <t>["evidence_batch_001_007", "https://jeminise.com/products/celtic-and-fantasy-quilt-set-with-twisting-tree-trunk-and-exposed-roots-c7b1460bad-c7b1460bad", "serp_reqa_007", "revision_diff.json", "customizer_audit.json"]</t>
        </is>
      </c>
      <c r="J75" s="3" t="inlineStr">
        <is>
          <t>["R2-ISS-007-IMG-02", "R2-ISS-007-IMG-03", "R2-ISS-007-IMG-04", "R2-ISS-007-BODY", "R2-ISS-007-ADMIN", "R2-ISS-007-CANN"]</t>
        </is>
      </c>
    </row>
    <row r="76" ht="42" customHeight="1">
      <c r="A76" s="2" t="inlineStr">
        <is>
          <t>jeminise.com+celtic-and-fantasy-quilt-set-with-twisting-tree-trunk-and-exposed-roots-c7b1460bad-c7b1460bad</t>
        </is>
      </c>
      <c r="B76" s="2" t="inlineStr">
        <is>
          <t>D2</t>
        </is>
      </c>
      <c r="C76" s="2" t="n">
        <v>10</v>
      </c>
      <c r="D76" s="2" t="inlineStr">
        <is>
          <t>PARTIAL</t>
        </is>
      </c>
      <c r="E76" s="5">
        <f>IF(B76="I1",AVERAGEIF('QA_Images'!$A$2:$A$66,A76,'QA_Images'!$T$2:$T$66)/100,IF(D76="FULL",1,IF(D76="PARTIAL",0.5,IF(D76="FAIL",0,""))))</f>
        <v/>
      </c>
      <c r="F76" s="5">
        <f>IF(E76="",0,C76*E76)</f>
        <v/>
      </c>
      <c r="G76" s="5">
        <f>IF(B76="I1",20*AVERAGEIF('QA_Images'!$A$2:$A$66,A76,'QA_Images'!$U$2:$U$66)/100,IF(D76="NOT_CHECKED",0,C76))</f>
        <v/>
      </c>
      <c r="H76" s="2" t="inlineStr">
        <is>
          <t>Internal QA text and raw conflicting facts were removed, but the replacement body is repetitive and omits useful verified image/spec details.</t>
        </is>
      </c>
      <c r="I76" s="2" t="inlineStr">
        <is>
          <t>["evidence_batch_001_007", "https://jeminise.com/products/celtic-and-fantasy-quilt-set-with-twisting-tree-trunk-and-exposed-roots-c7b1460bad-c7b1460bad", "serp_reqa_007", "revision_diff.json", "customizer_audit.json"]</t>
        </is>
      </c>
      <c r="J76" s="2" t="inlineStr">
        <is>
          <t>["R2-ISS-007-IMG-02", "R2-ISS-007-IMG-03", "R2-ISS-007-IMG-04", "R2-ISS-007-BODY", "R2-ISS-007-ADMIN", "R2-ISS-007-CANN"]</t>
        </is>
      </c>
    </row>
    <row r="77" ht="42" customHeight="1">
      <c r="A77" s="3" t="inlineStr">
        <is>
          <t>jeminise.com+celtic-and-fantasy-quilt-set-with-twisting-tree-trunk-and-exposed-roots-c7b1460bad-c7b1460bad</t>
        </is>
      </c>
      <c r="B77" s="3" t="inlineStr">
        <is>
          <t>I1</t>
        </is>
      </c>
      <c r="C77" s="3" t="n">
        <v>20</v>
      </c>
      <c r="D77" s="3" t="inlineStr">
        <is>
          <t>DERIVED</t>
        </is>
      </c>
      <c r="E77" s="7">
        <f>IF(B77="I1",AVERAGEIF('QA_Images'!$A$2:$A$66,A77,'QA_Images'!$T$2:$T$66)/100,IF(D77="FULL",1,IF(D77="PARTIAL",0.5,IF(D77="FAIL",0,""))))</f>
        <v/>
      </c>
      <c r="F77" s="7">
        <f>IF(E77="",0,C77*E77)</f>
        <v/>
      </c>
      <c r="G77" s="7">
        <f>IF(B77="I1",20*AVERAGEIF('QA_Images'!$A$2:$A$66,A77,'QA_Images'!$U$2:$U$66)/100,IF(D77="NOT_CHECKED",0,C77))</f>
        <v/>
      </c>
      <c r="H77" s="3" t="inlineStr">
        <is>
          <t>Derived from 7 directly reopened images: 87.8571/100.</t>
        </is>
      </c>
      <c r="I77" s="3" t="inlineStr">
        <is>
          <t>["evidence_batch_001_007", "https://jeminise.com/products/celtic-and-fantasy-quilt-set-with-twisting-tree-trunk-and-exposed-roots-c7b1460bad-c7b1460bad", "serp_reqa_007", "revision_diff.json", "customizer_audit.json"]</t>
        </is>
      </c>
      <c r="J77" s="3" t="inlineStr">
        <is>
          <t>["R2-ISS-007-IMG-02", "R2-ISS-007-IMG-03", "R2-ISS-007-IMG-04", "R2-ISS-007-BODY", "R2-ISS-007-ADMIN", "R2-ISS-007-CANN"]</t>
        </is>
      </c>
    </row>
    <row r="78" ht="42" customHeight="1">
      <c r="A78" s="2" t="inlineStr">
        <is>
          <t>jeminise.com+celtic-and-fantasy-quilt-set-with-twisting-tree-trunk-and-exposed-roots-c7b1460bad-c7b1460bad</t>
        </is>
      </c>
      <c r="B78" s="2" t="inlineStr">
        <is>
          <t>E1</t>
        </is>
      </c>
      <c r="C78" s="2" t="n">
        <v>5</v>
      </c>
      <c r="D78" s="2" t="inlineStr">
        <is>
          <t>FULL</t>
        </is>
      </c>
      <c r="E78" s="5">
        <f>IF(B78="I1",AVERAGEIF('QA_Images'!$A$2:$A$66,A78,'QA_Images'!$T$2:$T$66)/100,IF(D78="FULL",1,IF(D78="PARTIAL",0.5,IF(D78="FAIL",0,""))))</f>
        <v/>
      </c>
      <c r="F78" s="5">
        <f>IF(E78="",0,C78*E78)</f>
        <v/>
      </c>
      <c r="G78" s="5">
        <f>IF(B78="I1",20*AVERAGEIF('QA_Images'!$A$2:$A$66,A78,'QA_Images'!$U$2:$U$66)/100,IF(D78="NOT_CHECKED",0,C78))</f>
        <v/>
      </c>
      <c r="H78" s="2" t="inlineStr">
        <is>
          <t>Revision lineage, source rows, live source and evidence references were cross-checked; admin export remains unavailable.</t>
        </is>
      </c>
      <c r="I78" s="2" t="inlineStr">
        <is>
          <t>["evidence_batch_001_007", "https://jeminise.com/products/celtic-and-fantasy-quilt-set-with-twisting-tree-trunk-and-exposed-roots-c7b1460bad-c7b1460bad", "serp_reqa_007", "revision_diff.json", "customizer_audit.json"]</t>
        </is>
      </c>
      <c r="J78" s="2" t="inlineStr">
        <is>
          <t>["R2-ISS-007-IMG-02", "R2-ISS-007-IMG-03", "R2-ISS-007-IMG-04", "R2-ISS-007-BODY", "R2-ISS-007-ADMIN", "R2-ISS-007-CANN"]</t>
        </is>
      </c>
    </row>
    <row r="79" ht="42" customHeight="1">
      <c r="A79" s="3" t="inlineStr">
        <is>
          <t>jeminise.com+celtic-mythology-tree-of-life-quilt-set-with-celtic-knotwork-border-12786aba7e-12786aba7e</t>
        </is>
      </c>
      <c r="B79" s="3" t="inlineStr">
        <is>
          <t>P1</t>
        </is>
      </c>
      <c r="C79" s="3" t="n">
        <v>15</v>
      </c>
      <c r="D79" s="3" t="inlineStr">
        <is>
          <t>FULL</t>
        </is>
      </c>
      <c r="E79" s="7">
        <f>IF(B79="I1",AVERAGEIF('QA_Images'!$A$2:$A$66,A79,'QA_Images'!$T$2:$T$66)/100,IF(D79="FULL",1,IF(D79="PARTIAL",0.5,IF(D79="FAIL",0,""))))</f>
        <v/>
      </c>
      <c r="F79" s="7">
        <f>IF(E79="",0,C79*E79)</f>
        <v/>
      </c>
      <c r="G79" s="7">
        <f>IF(B79="I1",20*AVERAGEIF('QA_Images'!$A$2:$A$66,A79,'QA_Images'!$U$2:$U$66)/100,IF(D79="NOT_CHECKED",0,C79))</f>
        <v/>
      </c>
      <c r="H79" s="3" t="inlineStr">
        <is>
          <t>Product key, handle, product ID, URL, canonical, live H1 and visible motif were rechecked.</t>
        </is>
      </c>
      <c r="I79" s="3" t="inlineStr">
        <is>
          <t>["evidence_batch_001_008", "https://jeminise.com/products/celtic-mythology-tree-of-life-quilt-set-with-celtic-knotwork-border-12786aba7e-12786aba7e", "serp_reqa_008", "revision_diff.json", "customizer_audit.json"]</t>
        </is>
      </c>
      <c r="J79" s="3" t="inlineStr">
        <is>
          <t>["R2-ISS-008-IMG-02", "R2-ISS-008-IMG-03", "R2-ISS-008-IMG-04", "R2-ISS-008-BODY", "R2-ISS-008-ADMIN", "R2-ISS-008-CANN"]</t>
        </is>
      </c>
    </row>
    <row r="80" ht="42" customHeight="1">
      <c r="A80" s="2" t="inlineStr">
        <is>
          <t>jeminise.com+celtic-mythology-tree-of-life-quilt-set-with-celtic-knotwork-border-12786aba7e-12786aba7e</t>
        </is>
      </c>
      <c r="B80" s="2" t="inlineStr">
        <is>
          <t>P2</t>
        </is>
      </c>
      <c r="C80" s="2" t="n">
        <v>10</v>
      </c>
      <c r="D80" s="2" t="inlineStr">
        <is>
          <t>FULL</t>
        </is>
      </c>
      <c r="E80" s="5">
        <f>IF(B80="I1",AVERAGEIF('QA_Images'!$A$2:$A$66,A80,'QA_Images'!$T$2:$T$66)/100,IF(D80="FULL",1,IF(D80="PARTIAL",0.5,IF(D80="FAIL",0,""))))</f>
        <v/>
      </c>
      <c r="F80" s="5">
        <f>IF(E80="",0,C80*E80)</f>
        <v/>
      </c>
      <c r="G80" s="5">
        <f>IF(B80="I1",20*AVERAGEIF('QA_Images'!$A$2:$A$66,A80,'QA_Images'!$U$2:$U$66)/100,IF(D80="NOT_CHECKED",0,C80))</f>
        <v/>
      </c>
      <c r="H80" s="2" t="inlineStr">
        <is>
          <t>Live product JSON, variants, gallery and Customizer schema were re-read; products 2 and 10 have verified text fields.</t>
        </is>
      </c>
      <c r="I80" s="2" t="inlineStr">
        <is>
          <t>["evidence_batch_001_008", "https://jeminise.com/products/celtic-mythology-tree-of-life-quilt-set-with-celtic-knotwork-border-12786aba7e-12786aba7e", "serp_reqa_008", "revision_diff.json", "customizer_audit.json"]</t>
        </is>
      </c>
      <c r="J80" s="2" t="inlineStr">
        <is>
          <t>["R2-ISS-008-IMG-02", "R2-ISS-008-IMG-03", "R2-ISS-008-IMG-04", "R2-ISS-008-BODY", "R2-ISS-008-ADMIN", "R2-ISS-008-CANN"]</t>
        </is>
      </c>
    </row>
    <row r="81" ht="42" customHeight="1">
      <c r="A81" s="3" t="inlineStr">
        <is>
          <t>jeminise.com+celtic-mythology-tree-of-life-quilt-set-with-celtic-knotwork-border-12786aba7e-12786aba7e</t>
        </is>
      </c>
      <c r="B81" s="3" t="inlineStr">
        <is>
          <t>K1</t>
        </is>
      </c>
      <c r="C81" s="3" t="n">
        <v>10</v>
      </c>
      <c r="D81" s="3" t="inlineStr">
        <is>
          <t>FULL</t>
        </is>
      </c>
      <c r="E81" s="7">
        <f>IF(B81="I1",AVERAGEIF('QA_Images'!$A$2:$A$66,A81,'QA_Images'!$T$2:$T$66)/100,IF(D81="FULL",1,IF(D81="PARTIAL",0.5,IF(D81="FAIL",0,""))))</f>
        <v/>
      </c>
      <c r="F81" s="7">
        <f>IF(E81="",0,C81*E81)</f>
        <v/>
      </c>
      <c r="G81" s="7">
        <f>IF(B81="I1",20*AVERAGEIF('QA_Images'!$A$2:$A$66,A81,'QA_Images'!$U$2:$U$66)/100,IF(D81="NOT_CHECKED",0,C81))</f>
        <v/>
      </c>
      <c r="H81" s="3" t="inlineStr">
        <is>
          <t>Primary query was checked against submitted evidence and fresh SERP research; product 5 retains a mismatched chicken-quilt source.</t>
        </is>
      </c>
      <c r="I81" s="3" t="inlineStr">
        <is>
          <t>["evidence_batch_001_008", "https://jeminise.com/products/celtic-mythology-tree-of-life-quilt-set-with-celtic-knotwork-border-12786aba7e-12786aba7e", "serp_reqa_008", "revision_diff.json", "customizer_audit.json"]</t>
        </is>
      </c>
      <c r="J81" s="3" t="inlineStr">
        <is>
          <t>["R2-ISS-008-IMG-02", "R2-ISS-008-IMG-03", "R2-ISS-008-IMG-04", "R2-ISS-008-BODY", "R2-ISS-008-ADMIN", "R2-ISS-008-CANN"]</t>
        </is>
      </c>
    </row>
    <row r="82" ht="42" customHeight="1">
      <c r="A82" s="2" t="inlineStr">
        <is>
          <t>jeminise.com+celtic-mythology-tree-of-life-quilt-set-with-celtic-knotwork-border-12786aba7e-12786aba7e</t>
        </is>
      </c>
      <c r="B82" s="2" t="inlineStr">
        <is>
          <t>K2</t>
        </is>
      </c>
      <c r="C82" s="2" t="n">
        <v>5</v>
      </c>
      <c r="D82" s="2" t="inlineStr">
        <is>
          <t>FULL</t>
        </is>
      </c>
      <c r="E82" s="5">
        <f>IF(B82="I1",AVERAGEIF('QA_Images'!$A$2:$A$66,A82,'QA_Images'!$T$2:$T$66)/100,IF(D82="FULL",1,IF(D82="PARTIAL",0.5,IF(D82="FAIL",0,""))))</f>
        <v/>
      </c>
      <c r="F82" s="5">
        <f>IF(E82="",0,C82*E82)</f>
        <v/>
      </c>
      <c r="G82" s="5">
        <f>IF(B82="I1",20*AVERAGEIF('QA_Images'!$A$2:$A$66,A82,'QA_Images'!$U$2:$U$66)/100,IF(D82="NOT_CHECKED",0,C82))</f>
        <v/>
      </c>
      <c r="H82" s="2" t="inlineStr">
        <is>
          <t>Primary and nearest alternative queries were searched for US commercial/product intent.</t>
        </is>
      </c>
      <c r="I82" s="2" t="inlineStr">
        <is>
          <t>["evidence_batch_001_008", "https://jeminise.com/products/celtic-mythology-tree-of-life-quilt-set-with-celtic-knotwork-border-12786aba7e-12786aba7e", "serp_reqa_008", "revision_diff.json", "customizer_audit.json"]</t>
        </is>
      </c>
      <c r="J82" s="2" t="inlineStr">
        <is>
          <t>["R2-ISS-008-IMG-02", "R2-ISS-008-IMG-03", "R2-ISS-008-IMG-04", "R2-ISS-008-BODY", "R2-ISS-008-ADMIN", "R2-ISS-008-CANN"]</t>
        </is>
      </c>
    </row>
    <row r="83" ht="42" customHeight="1">
      <c r="A83" s="3" t="inlineStr">
        <is>
          <t>jeminise.com+celtic-mythology-tree-of-life-quilt-set-with-celtic-knotwork-border-12786aba7e-12786aba7e</t>
        </is>
      </c>
      <c r="B83" s="3" t="inlineStr">
        <is>
          <t>K3</t>
        </is>
      </c>
      <c r="C83" s="3" t="n">
        <v>5</v>
      </c>
      <c r="D83" s="3" t="inlineStr">
        <is>
          <t>PARTIAL</t>
        </is>
      </c>
      <c r="E83" s="7">
        <f>IF(B83="I1",AVERAGEIF('QA_Images'!$A$2:$A$66,A83,'QA_Images'!$T$2:$T$66)/100,IF(D83="FULL",1,IF(D83="PARTIAL",0.5,IF(D83="FAIL",0,""))))</f>
        <v/>
      </c>
      <c r="F83" s="7">
        <f>IF(E83="",0,C83*E83)</f>
        <v/>
      </c>
      <c r="G83" s="7">
        <f>IF(B83="I1",20*AVERAGEIF('QA_Images'!$A$2:$A$66,A83,'QA_Images'!$U$2:$U$66)/100,IF(D83="NOT_CHECKED",0,C83))</f>
        <v/>
      </c>
      <c r="H83" s="3" t="inlineStr">
        <is>
          <t>Distinct artwork helps differentiation, but cardinal, cat and Celtic sibling pages still need an explicit intent map.</t>
        </is>
      </c>
      <c r="I83" s="3" t="inlineStr">
        <is>
          <t>["evidence_batch_001_008", "https://jeminise.com/products/celtic-mythology-tree-of-life-quilt-set-with-celtic-knotwork-border-12786aba7e-12786aba7e", "serp_reqa_008", "revision_diff.json", "customizer_audit.json"]</t>
        </is>
      </c>
      <c r="J83" s="3" t="inlineStr">
        <is>
          <t>["R2-ISS-008-IMG-02", "R2-ISS-008-IMG-03", "R2-ISS-008-IMG-04", "R2-ISS-008-BODY", "R2-ISS-008-ADMIN", "R2-ISS-008-CANN"]</t>
        </is>
      </c>
    </row>
    <row r="84" ht="42" customHeight="1">
      <c r="A84" s="2" t="inlineStr">
        <is>
          <t>jeminise.com+celtic-mythology-tree-of-life-quilt-set-with-celtic-knotwork-border-12786aba7e-12786aba7e</t>
        </is>
      </c>
      <c r="B84" s="2" t="inlineStr">
        <is>
          <t>T1</t>
        </is>
      </c>
      <c r="C84" s="2" t="n">
        <v>10</v>
      </c>
      <c r="D84" s="2" t="inlineStr">
        <is>
          <t>FULL</t>
        </is>
      </c>
      <c r="E84" s="5">
        <f>IF(B84="I1",AVERAGEIF('QA_Images'!$A$2:$A$66,A84,'QA_Images'!$T$2:$T$66)/100,IF(D84="FULL",1,IF(D84="PARTIAL",0.5,IF(D84="FAIL",0,""))))</f>
        <v/>
      </c>
      <c r="F84" s="5">
        <f>IF(E84="",0,C84*E84)</f>
        <v/>
      </c>
      <c r="G84" s="5">
        <f>IF(B84="I1",20*AVERAGEIF('QA_Images'!$A$2:$A$66,A84,'QA_Images'!$U$2:$U$66)/100,IF(D84="NOT_CHECKED",0,C84))</f>
        <v/>
      </c>
      <c r="H84" s="2" t="inlineStr">
        <is>
          <t>Title was checked for product type, motif, keyword fit and verified personalization opportunity.</t>
        </is>
      </c>
      <c r="I84" s="2" t="inlineStr">
        <is>
          <t>["evidence_batch_001_008", "https://jeminise.com/products/celtic-mythology-tree-of-life-quilt-set-with-celtic-knotwork-border-12786aba7e-12786aba7e", "serp_reqa_008", "revision_diff.json", "customizer_audit.json"]</t>
        </is>
      </c>
      <c r="J84" s="2" t="inlineStr">
        <is>
          <t>["R2-ISS-008-IMG-02", "R2-ISS-008-IMG-03", "R2-ISS-008-IMG-04", "R2-ISS-008-BODY", "R2-ISS-008-ADMIN", "R2-ISS-008-CANN"]</t>
        </is>
      </c>
    </row>
    <row r="85" ht="42" customHeight="1">
      <c r="A85" s="3" t="inlineStr">
        <is>
          <t>jeminise.com+celtic-mythology-tree-of-life-quilt-set-with-celtic-knotwork-border-12786aba7e-12786aba7e</t>
        </is>
      </c>
      <c r="B85" s="3" t="inlineStr">
        <is>
          <t>T2</t>
        </is>
      </c>
      <c r="C85" s="3" t="n">
        <v>5</v>
      </c>
      <c r="D85" s="3" t="inlineStr">
        <is>
          <t>FULL</t>
        </is>
      </c>
      <c r="E85" s="7">
        <f>IF(B85="I1",AVERAGEIF('QA_Images'!$A$2:$A$66,A85,'QA_Images'!$T$2:$T$66)/100,IF(D85="FULL",1,IF(D85="PARTIAL",0.5,IF(D85="FAIL",0,""))))</f>
        <v/>
      </c>
      <c r="F85" s="7">
        <f>IF(E85="",0,C85*E85)</f>
        <v/>
      </c>
      <c r="G85" s="7">
        <f>IF(B85="I1",20*AVERAGEIF('QA_Images'!$A$2:$A$66,A85,'QA_Images'!$U$2:$U$66)/100,IF(D85="NOT_CHECKED",0,C85))</f>
        <v/>
      </c>
      <c r="H85" s="3" t="inlineStr">
        <is>
          <t>H1 was assessed independently from the SEO title and live source encoding.</t>
        </is>
      </c>
      <c r="I85" s="3" t="inlineStr">
        <is>
          <t>["evidence_batch_001_008", "https://jeminise.com/products/celtic-mythology-tree-of-life-quilt-set-with-celtic-knotwork-border-12786aba7e-12786aba7e", "serp_reqa_008", "revision_diff.json", "customizer_audit.json"]</t>
        </is>
      </c>
      <c r="J85" s="3" t="inlineStr">
        <is>
          <t>["R2-ISS-008-IMG-02", "R2-ISS-008-IMG-03", "R2-ISS-008-IMG-04", "R2-ISS-008-BODY", "R2-ISS-008-ADMIN", "R2-ISS-008-CANN"]</t>
        </is>
      </c>
    </row>
    <row r="86" ht="42" customHeight="1">
      <c r="A86" s="2" t="inlineStr">
        <is>
          <t>jeminise.com+celtic-mythology-tree-of-life-quilt-set-with-celtic-knotwork-border-12786aba7e-12786aba7e</t>
        </is>
      </c>
      <c r="B86" s="2" t="inlineStr">
        <is>
          <t>D1</t>
        </is>
      </c>
      <c r="C86" s="2" t="n">
        <v>5</v>
      </c>
      <c r="D86" s="2" t="inlineStr">
        <is>
          <t>FULL</t>
        </is>
      </c>
      <c r="E86" s="5">
        <f>IF(B86="I1",AVERAGEIF('QA_Images'!$A$2:$A$66,A86,'QA_Images'!$T$2:$T$66)/100,IF(D86="FULL",1,IF(D86="PARTIAL",0.5,IF(D86="FAIL",0,""))))</f>
        <v/>
      </c>
      <c r="F86" s="5">
        <f>IF(E86="",0,C86*E86)</f>
        <v/>
      </c>
      <c r="G86" s="5">
        <f>IF(B86="I1",20*AVERAGEIF('QA_Images'!$A$2:$A$66,A86,'QA_Images'!$U$2:$U$66)/100,IF(D86="NOT_CHECKED",0,C86))</f>
        <v/>
      </c>
      <c r="H86" s="2" t="inlineStr">
        <is>
          <t>Meta description is concise and claim-safe; product 10 is ambiguous about editable name text.</t>
        </is>
      </c>
      <c r="I86" s="2" t="inlineStr">
        <is>
          <t>["evidence_batch_001_008", "https://jeminise.com/products/celtic-mythology-tree-of-life-quilt-set-with-celtic-knotwork-border-12786aba7e-12786aba7e", "serp_reqa_008", "revision_diff.json", "customizer_audit.json"]</t>
        </is>
      </c>
      <c r="J86" s="2" t="inlineStr">
        <is>
          <t>["R2-ISS-008-IMG-02", "R2-ISS-008-IMG-03", "R2-ISS-008-IMG-04", "R2-ISS-008-BODY", "R2-ISS-008-ADMIN", "R2-ISS-008-CANN"]</t>
        </is>
      </c>
    </row>
    <row r="87" ht="42" customHeight="1">
      <c r="A87" s="3" t="inlineStr">
        <is>
          <t>jeminise.com+celtic-mythology-tree-of-life-quilt-set-with-celtic-knotwork-border-12786aba7e-12786aba7e</t>
        </is>
      </c>
      <c r="B87" s="3" t="inlineStr">
        <is>
          <t>D2</t>
        </is>
      </c>
      <c r="C87" s="3" t="n">
        <v>10</v>
      </c>
      <c r="D87" s="3" t="inlineStr">
        <is>
          <t>PARTIAL</t>
        </is>
      </c>
      <c r="E87" s="7">
        <f>IF(B87="I1",AVERAGEIF('QA_Images'!$A$2:$A$66,A87,'QA_Images'!$T$2:$T$66)/100,IF(D87="FULL",1,IF(D87="PARTIAL",0.5,IF(D87="FAIL",0,""))))</f>
        <v/>
      </c>
      <c r="F87" s="7">
        <f>IF(E87="",0,C87*E87)</f>
        <v/>
      </c>
      <c r="G87" s="7">
        <f>IF(B87="I1",20*AVERAGEIF('QA_Images'!$A$2:$A$66,A87,'QA_Images'!$U$2:$U$66)/100,IF(D87="NOT_CHECKED",0,C87))</f>
        <v/>
      </c>
      <c r="H87" s="3" t="inlineStr">
        <is>
          <t>Internal QA text and raw conflicting facts were removed, but the replacement body is repetitive and omits useful verified image/spec details.</t>
        </is>
      </c>
      <c r="I87" s="3" t="inlineStr">
        <is>
          <t>["evidence_batch_001_008", "https://jeminise.com/products/celtic-mythology-tree-of-life-quilt-set-with-celtic-knotwork-border-12786aba7e-12786aba7e", "serp_reqa_008", "revision_diff.json", "customizer_audit.json"]</t>
        </is>
      </c>
      <c r="J87" s="3" t="inlineStr">
        <is>
          <t>["R2-ISS-008-IMG-02", "R2-ISS-008-IMG-03", "R2-ISS-008-IMG-04", "R2-ISS-008-BODY", "R2-ISS-008-ADMIN", "R2-ISS-008-CANN"]</t>
        </is>
      </c>
    </row>
    <row r="88" ht="42" customHeight="1">
      <c r="A88" s="2" t="inlineStr">
        <is>
          <t>jeminise.com+celtic-mythology-tree-of-life-quilt-set-with-celtic-knotwork-border-12786aba7e-12786aba7e</t>
        </is>
      </c>
      <c r="B88" s="2" t="inlineStr">
        <is>
          <t>I1</t>
        </is>
      </c>
      <c r="C88" s="2" t="n">
        <v>20</v>
      </c>
      <c r="D88" s="2" t="inlineStr">
        <is>
          <t>DERIVED</t>
        </is>
      </c>
      <c r="E88" s="5">
        <f>IF(B88="I1",AVERAGEIF('QA_Images'!$A$2:$A$66,A88,'QA_Images'!$T$2:$T$66)/100,IF(D88="FULL",1,IF(D88="PARTIAL",0.5,IF(D88="FAIL",0,""))))</f>
        <v/>
      </c>
      <c r="F88" s="5">
        <f>IF(E88="",0,C88*E88)</f>
        <v/>
      </c>
      <c r="G88" s="5">
        <f>IF(B88="I1",20*AVERAGEIF('QA_Images'!$A$2:$A$66,A88,'QA_Images'!$U$2:$U$66)/100,IF(D88="NOT_CHECKED",0,C88))</f>
        <v/>
      </c>
      <c r="H88" s="2" t="inlineStr">
        <is>
          <t>Derived from 7 directly reopened images: 87.8571/100.</t>
        </is>
      </c>
      <c r="I88" s="2" t="inlineStr">
        <is>
          <t>["evidence_batch_001_008", "https://jeminise.com/products/celtic-mythology-tree-of-life-quilt-set-with-celtic-knotwork-border-12786aba7e-12786aba7e", "serp_reqa_008", "revision_diff.json", "customizer_audit.json"]</t>
        </is>
      </c>
      <c r="J88" s="2" t="inlineStr">
        <is>
          <t>["R2-ISS-008-IMG-02", "R2-ISS-008-IMG-03", "R2-ISS-008-IMG-04", "R2-ISS-008-BODY", "R2-ISS-008-ADMIN", "R2-ISS-008-CANN"]</t>
        </is>
      </c>
    </row>
    <row r="89" ht="42" customHeight="1">
      <c r="A89" s="3" t="inlineStr">
        <is>
          <t>jeminise.com+celtic-mythology-tree-of-life-quilt-set-with-celtic-knotwork-border-12786aba7e-12786aba7e</t>
        </is>
      </c>
      <c r="B89" s="3" t="inlineStr">
        <is>
          <t>E1</t>
        </is>
      </c>
      <c r="C89" s="3" t="n">
        <v>5</v>
      </c>
      <c r="D89" s="3" t="inlineStr">
        <is>
          <t>FULL</t>
        </is>
      </c>
      <c r="E89" s="7">
        <f>IF(B89="I1",AVERAGEIF('QA_Images'!$A$2:$A$66,A89,'QA_Images'!$T$2:$T$66)/100,IF(D89="FULL",1,IF(D89="PARTIAL",0.5,IF(D89="FAIL",0,""))))</f>
        <v/>
      </c>
      <c r="F89" s="7">
        <f>IF(E89="",0,C89*E89)</f>
        <v/>
      </c>
      <c r="G89" s="7">
        <f>IF(B89="I1",20*AVERAGEIF('QA_Images'!$A$2:$A$66,A89,'QA_Images'!$U$2:$U$66)/100,IF(D89="NOT_CHECKED",0,C89))</f>
        <v/>
      </c>
      <c r="H89" s="3" t="inlineStr">
        <is>
          <t>Revision lineage, source rows, live source and evidence references were cross-checked; admin export remains unavailable.</t>
        </is>
      </c>
      <c r="I89" s="3" t="inlineStr">
        <is>
          <t>["evidence_batch_001_008", "https://jeminise.com/products/celtic-mythology-tree-of-life-quilt-set-with-celtic-knotwork-border-12786aba7e-12786aba7e", "serp_reqa_008", "revision_diff.json", "customizer_audit.json"]</t>
        </is>
      </c>
      <c r="J89" s="3" t="inlineStr">
        <is>
          <t>["R2-ISS-008-IMG-02", "R2-ISS-008-IMG-03", "R2-ISS-008-IMG-04", "R2-ISS-008-BODY", "R2-ISS-008-ADMIN", "R2-ISS-008-CANN"]</t>
        </is>
      </c>
    </row>
    <row r="90" ht="42" customHeight="1">
      <c r="A90" s="2" t="inlineStr">
        <is>
          <t>jeminise.com+chicken-pattern-quilt-set-animal-patchwork-farmhouse-quilt-set</t>
        </is>
      </c>
      <c r="B90" s="2" t="inlineStr">
        <is>
          <t>P1</t>
        </is>
      </c>
      <c r="C90" s="2" t="n">
        <v>15</v>
      </c>
      <c r="D90" s="2" t="inlineStr">
        <is>
          <t>FULL</t>
        </is>
      </c>
      <c r="E90" s="5">
        <f>IF(B90="I1",AVERAGEIF('QA_Images'!$A$2:$A$66,A90,'QA_Images'!$T$2:$T$66)/100,IF(D90="FULL",1,IF(D90="PARTIAL",0.5,IF(D90="FAIL",0,""))))</f>
        <v/>
      </c>
      <c r="F90" s="5">
        <f>IF(E90="",0,C90*E90)</f>
        <v/>
      </c>
      <c r="G90" s="5">
        <f>IF(B90="I1",20*AVERAGEIF('QA_Images'!$A$2:$A$66,A90,'QA_Images'!$U$2:$U$66)/100,IF(D90="NOT_CHECKED",0,C90))</f>
        <v/>
      </c>
      <c r="H90" s="2" t="inlineStr">
        <is>
          <t>Product key, handle, product ID, URL, canonical, live H1 and visible motif were rechecked.</t>
        </is>
      </c>
      <c r="I90" s="2" t="inlineStr">
        <is>
          <t>["evidence_batch_001_009", "https://jeminise.com/products/chicken-pattern-quilt-set-animal-patchwork-farmhouse-quilt-set", "serp_reqa_009", "revision_diff.json", "customizer_audit.json"]</t>
        </is>
      </c>
      <c r="J90" s="2" t="inlineStr">
        <is>
          <t>["R2-ISS-009-IMG-02", "R2-ISS-009-IMG-03", "R2-ISS-009-IMG-04", "R2-ISS-009-BODY", "R2-ISS-009-ADMIN"]</t>
        </is>
      </c>
    </row>
    <row r="91" ht="42" customHeight="1">
      <c r="A91" s="3" t="inlineStr">
        <is>
          <t>jeminise.com+chicken-pattern-quilt-set-animal-patchwork-farmhouse-quilt-set</t>
        </is>
      </c>
      <c r="B91" s="3" t="inlineStr">
        <is>
          <t>P2</t>
        </is>
      </c>
      <c r="C91" s="3" t="n">
        <v>10</v>
      </c>
      <c r="D91" s="3" t="inlineStr">
        <is>
          <t>FULL</t>
        </is>
      </c>
      <c r="E91" s="7">
        <f>IF(B91="I1",AVERAGEIF('QA_Images'!$A$2:$A$66,A91,'QA_Images'!$T$2:$T$66)/100,IF(D91="FULL",1,IF(D91="PARTIAL",0.5,IF(D91="FAIL",0,""))))</f>
        <v/>
      </c>
      <c r="F91" s="7">
        <f>IF(E91="",0,C91*E91)</f>
        <v/>
      </c>
      <c r="G91" s="7">
        <f>IF(B91="I1",20*AVERAGEIF('QA_Images'!$A$2:$A$66,A91,'QA_Images'!$U$2:$U$66)/100,IF(D91="NOT_CHECKED",0,C91))</f>
        <v/>
      </c>
      <c r="H91" s="3" t="inlineStr">
        <is>
          <t>Live product JSON, variants, gallery and Customizer schema were re-read; products 2 and 10 have verified text fields.</t>
        </is>
      </c>
      <c r="I91" s="3" t="inlineStr">
        <is>
          <t>["evidence_batch_001_009", "https://jeminise.com/products/chicken-pattern-quilt-set-animal-patchwork-farmhouse-quilt-set", "serp_reqa_009", "revision_diff.json", "customizer_audit.json"]</t>
        </is>
      </c>
      <c r="J91" s="3" t="inlineStr">
        <is>
          <t>["R2-ISS-009-IMG-02", "R2-ISS-009-IMG-03", "R2-ISS-009-IMG-04", "R2-ISS-009-BODY", "R2-ISS-009-ADMIN"]</t>
        </is>
      </c>
    </row>
    <row r="92" ht="42" customHeight="1">
      <c r="A92" s="2" t="inlineStr">
        <is>
          <t>jeminise.com+chicken-pattern-quilt-set-animal-patchwork-farmhouse-quilt-set</t>
        </is>
      </c>
      <c r="B92" s="2" t="inlineStr">
        <is>
          <t>K1</t>
        </is>
      </c>
      <c r="C92" s="2" t="n">
        <v>10</v>
      </c>
      <c r="D92" s="2" t="inlineStr">
        <is>
          <t>FULL</t>
        </is>
      </c>
      <c r="E92" s="5">
        <f>IF(B92="I1",AVERAGEIF('QA_Images'!$A$2:$A$66,A92,'QA_Images'!$T$2:$T$66)/100,IF(D92="FULL",1,IF(D92="PARTIAL",0.5,IF(D92="FAIL",0,""))))</f>
        <v/>
      </c>
      <c r="F92" s="5">
        <f>IF(E92="",0,C92*E92)</f>
        <v/>
      </c>
      <c r="G92" s="5">
        <f>IF(B92="I1",20*AVERAGEIF('QA_Images'!$A$2:$A$66,A92,'QA_Images'!$U$2:$U$66)/100,IF(D92="NOT_CHECKED",0,C92))</f>
        <v/>
      </c>
      <c r="H92" s="2" t="inlineStr">
        <is>
          <t>Primary query was checked against submitted evidence and fresh SERP research; product 5 retains a mismatched chicken-quilt source.</t>
        </is>
      </c>
      <c r="I92" s="2" t="inlineStr">
        <is>
          <t>["evidence_batch_001_009", "https://jeminise.com/products/chicken-pattern-quilt-set-animal-patchwork-farmhouse-quilt-set", "serp_reqa_009", "revision_diff.json", "customizer_audit.json"]</t>
        </is>
      </c>
      <c r="J92" s="2" t="inlineStr">
        <is>
          <t>["R2-ISS-009-IMG-02", "R2-ISS-009-IMG-03", "R2-ISS-009-IMG-04", "R2-ISS-009-BODY", "R2-ISS-009-ADMIN"]</t>
        </is>
      </c>
    </row>
    <row r="93" ht="42" customHeight="1">
      <c r="A93" s="3" t="inlineStr">
        <is>
          <t>jeminise.com+chicken-pattern-quilt-set-animal-patchwork-farmhouse-quilt-set</t>
        </is>
      </c>
      <c r="B93" s="3" t="inlineStr">
        <is>
          <t>K2</t>
        </is>
      </c>
      <c r="C93" s="3" t="n">
        <v>5</v>
      </c>
      <c r="D93" s="3" t="inlineStr">
        <is>
          <t>FULL</t>
        </is>
      </c>
      <c r="E93" s="7">
        <f>IF(B93="I1",AVERAGEIF('QA_Images'!$A$2:$A$66,A93,'QA_Images'!$T$2:$T$66)/100,IF(D93="FULL",1,IF(D93="PARTIAL",0.5,IF(D93="FAIL",0,""))))</f>
        <v/>
      </c>
      <c r="F93" s="7">
        <f>IF(E93="",0,C93*E93)</f>
        <v/>
      </c>
      <c r="G93" s="7">
        <f>IF(B93="I1",20*AVERAGEIF('QA_Images'!$A$2:$A$66,A93,'QA_Images'!$U$2:$U$66)/100,IF(D93="NOT_CHECKED",0,C93))</f>
        <v/>
      </c>
      <c r="H93" s="3" t="inlineStr">
        <is>
          <t>Primary and nearest alternative queries were searched for US commercial/product intent.</t>
        </is>
      </c>
      <c r="I93" s="3" t="inlineStr">
        <is>
          <t>["evidence_batch_001_009", "https://jeminise.com/products/chicken-pattern-quilt-set-animal-patchwork-farmhouse-quilt-set", "serp_reqa_009", "revision_diff.json", "customizer_audit.json"]</t>
        </is>
      </c>
      <c r="J93" s="3" t="inlineStr">
        <is>
          <t>["R2-ISS-009-IMG-02", "R2-ISS-009-IMG-03", "R2-ISS-009-IMG-04", "R2-ISS-009-BODY", "R2-ISS-009-ADMIN"]</t>
        </is>
      </c>
    </row>
    <row r="94" ht="42" customHeight="1">
      <c r="A94" s="2" t="inlineStr">
        <is>
          <t>jeminise.com+chicken-pattern-quilt-set-animal-patchwork-farmhouse-quilt-set</t>
        </is>
      </c>
      <c r="B94" s="2" t="inlineStr">
        <is>
          <t>K3</t>
        </is>
      </c>
      <c r="C94" s="2" t="n">
        <v>5</v>
      </c>
      <c r="D94" s="2" t="inlineStr">
        <is>
          <t>FULL</t>
        </is>
      </c>
      <c r="E94" s="5">
        <f>IF(B94="I1",AVERAGEIF('QA_Images'!$A$2:$A$66,A94,'QA_Images'!$T$2:$T$66)/100,IF(D94="FULL",1,IF(D94="PARTIAL",0.5,IF(D94="FAIL",0,""))))</f>
        <v/>
      </c>
      <c r="F94" s="5">
        <f>IF(E94="",0,C94*E94)</f>
        <v/>
      </c>
      <c r="G94" s="5">
        <f>IF(B94="I1",20*AVERAGEIF('QA_Images'!$A$2:$A$66,A94,'QA_Images'!$U$2:$U$66)/100,IF(D94="NOT_CHECKED",0,C94))</f>
        <v/>
      </c>
      <c r="H94" s="2" t="inlineStr">
        <is>
          <t>Distinct artwork helps differentiation, but cardinal, cat and Celtic sibling pages still need an explicit intent map.</t>
        </is>
      </c>
      <c r="I94" s="2" t="inlineStr">
        <is>
          <t>["evidence_batch_001_009", "https://jeminise.com/products/chicken-pattern-quilt-set-animal-patchwork-farmhouse-quilt-set", "serp_reqa_009", "revision_diff.json", "customizer_audit.json"]</t>
        </is>
      </c>
      <c r="J94" s="2" t="inlineStr">
        <is>
          <t>["R2-ISS-009-IMG-02", "R2-ISS-009-IMG-03", "R2-ISS-009-IMG-04", "R2-ISS-009-BODY", "R2-ISS-009-ADMIN"]</t>
        </is>
      </c>
    </row>
    <row r="95" ht="42" customHeight="1">
      <c r="A95" s="3" t="inlineStr">
        <is>
          <t>jeminise.com+chicken-pattern-quilt-set-animal-patchwork-farmhouse-quilt-set</t>
        </is>
      </c>
      <c r="B95" s="3" t="inlineStr">
        <is>
          <t>T1</t>
        </is>
      </c>
      <c r="C95" s="3" t="n">
        <v>10</v>
      </c>
      <c r="D95" s="3" t="inlineStr">
        <is>
          <t>FULL</t>
        </is>
      </c>
      <c r="E95" s="7">
        <f>IF(B95="I1",AVERAGEIF('QA_Images'!$A$2:$A$66,A95,'QA_Images'!$T$2:$T$66)/100,IF(D95="FULL",1,IF(D95="PARTIAL",0.5,IF(D95="FAIL",0,""))))</f>
        <v/>
      </c>
      <c r="F95" s="7">
        <f>IF(E95="",0,C95*E95)</f>
        <v/>
      </c>
      <c r="G95" s="7">
        <f>IF(B95="I1",20*AVERAGEIF('QA_Images'!$A$2:$A$66,A95,'QA_Images'!$U$2:$U$66)/100,IF(D95="NOT_CHECKED",0,C95))</f>
        <v/>
      </c>
      <c r="H95" s="3" t="inlineStr">
        <is>
          <t>Title was checked for product type, motif, keyword fit and verified personalization opportunity.</t>
        </is>
      </c>
      <c r="I95" s="3" t="inlineStr">
        <is>
          <t>["evidence_batch_001_009", "https://jeminise.com/products/chicken-pattern-quilt-set-animal-patchwork-farmhouse-quilt-set", "serp_reqa_009", "revision_diff.json", "customizer_audit.json"]</t>
        </is>
      </c>
      <c r="J95" s="3" t="inlineStr">
        <is>
          <t>["R2-ISS-009-IMG-02", "R2-ISS-009-IMG-03", "R2-ISS-009-IMG-04", "R2-ISS-009-BODY", "R2-ISS-009-ADMIN"]</t>
        </is>
      </c>
    </row>
    <row r="96" ht="42" customHeight="1">
      <c r="A96" s="2" t="inlineStr">
        <is>
          <t>jeminise.com+chicken-pattern-quilt-set-animal-patchwork-farmhouse-quilt-set</t>
        </is>
      </c>
      <c r="B96" s="2" t="inlineStr">
        <is>
          <t>T2</t>
        </is>
      </c>
      <c r="C96" s="2" t="n">
        <v>5</v>
      </c>
      <c r="D96" s="2" t="inlineStr">
        <is>
          <t>FULL</t>
        </is>
      </c>
      <c r="E96" s="5">
        <f>IF(B96="I1",AVERAGEIF('QA_Images'!$A$2:$A$66,A96,'QA_Images'!$T$2:$T$66)/100,IF(D96="FULL",1,IF(D96="PARTIAL",0.5,IF(D96="FAIL",0,""))))</f>
        <v/>
      </c>
      <c r="F96" s="5">
        <f>IF(E96="",0,C96*E96)</f>
        <v/>
      </c>
      <c r="G96" s="5">
        <f>IF(B96="I1",20*AVERAGEIF('QA_Images'!$A$2:$A$66,A96,'QA_Images'!$U$2:$U$66)/100,IF(D96="NOT_CHECKED",0,C96))</f>
        <v/>
      </c>
      <c r="H96" s="2" t="inlineStr">
        <is>
          <t>H1 was assessed independently from the SEO title and live source encoding.</t>
        </is>
      </c>
      <c r="I96" s="2" t="inlineStr">
        <is>
          <t>["evidence_batch_001_009", "https://jeminise.com/products/chicken-pattern-quilt-set-animal-patchwork-farmhouse-quilt-set", "serp_reqa_009", "revision_diff.json", "customizer_audit.json"]</t>
        </is>
      </c>
      <c r="J96" s="2" t="inlineStr">
        <is>
          <t>["R2-ISS-009-IMG-02", "R2-ISS-009-IMG-03", "R2-ISS-009-IMG-04", "R2-ISS-009-BODY", "R2-ISS-009-ADMIN"]</t>
        </is>
      </c>
    </row>
    <row r="97" ht="42" customHeight="1">
      <c r="A97" s="3" t="inlineStr">
        <is>
          <t>jeminise.com+chicken-pattern-quilt-set-animal-patchwork-farmhouse-quilt-set</t>
        </is>
      </c>
      <c r="B97" s="3" t="inlineStr">
        <is>
          <t>D1</t>
        </is>
      </c>
      <c r="C97" s="3" t="n">
        <v>5</v>
      </c>
      <c r="D97" s="3" t="inlineStr">
        <is>
          <t>FULL</t>
        </is>
      </c>
      <c r="E97" s="7">
        <f>IF(B97="I1",AVERAGEIF('QA_Images'!$A$2:$A$66,A97,'QA_Images'!$T$2:$T$66)/100,IF(D97="FULL",1,IF(D97="PARTIAL",0.5,IF(D97="FAIL",0,""))))</f>
        <v/>
      </c>
      <c r="F97" s="7">
        <f>IF(E97="",0,C97*E97)</f>
        <v/>
      </c>
      <c r="G97" s="7">
        <f>IF(B97="I1",20*AVERAGEIF('QA_Images'!$A$2:$A$66,A97,'QA_Images'!$U$2:$U$66)/100,IF(D97="NOT_CHECKED",0,C97))</f>
        <v/>
      </c>
      <c r="H97" s="3" t="inlineStr">
        <is>
          <t>Meta description is concise and claim-safe; product 10 is ambiguous about editable name text.</t>
        </is>
      </c>
      <c r="I97" s="3" t="inlineStr">
        <is>
          <t>["evidence_batch_001_009", "https://jeminise.com/products/chicken-pattern-quilt-set-animal-patchwork-farmhouse-quilt-set", "serp_reqa_009", "revision_diff.json", "customizer_audit.json"]</t>
        </is>
      </c>
      <c r="J97" s="3" t="inlineStr">
        <is>
          <t>["R2-ISS-009-IMG-02", "R2-ISS-009-IMG-03", "R2-ISS-009-IMG-04", "R2-ISS-009-BODY", "R2-ISS-009-ADMIN"]</t>
        </is>
      </c>
    </row>
    <row r="98" ht="42" customHeight="1">
      <c r="A98" s="2" t="inlineStr">
        <is>
          <t>jeminise.com+chicken-pattern-quilt-set-animal-patchwork-farmhouse-quilt-set</t>
        </is>
      </c>
      <c r="B98" s="2" t="inlineStr">
        <is>
          <t>D2</t>
        </is>
      </c>
      <c r="C98" s="2" t="n">
        <v>10</v>
      </c>
      <c r="D98" s="2" t="inlineStr">
        <is>
          <t>PARTIAL</t>
        </is>
      </c>
      <c r="E98" s="5">
        <f>IF(B98="I1",AVERAGEIF('QA_Images'!$A$2:$A$66,A98,'QA_Images'!$T$2:$T$66)/100,IF(D98="FULL",1,IF(D98="PARTIAL",0.5,IF(D98="FAIL",0,""))))</f>
        <v/>
      </c>
      <c r="F98" s="5">
        <f>IF(E98="",0,C98*E98)</f>
        <v/>
      </c>
      <c r="G98" s="5">
        <f>IF(B98="I1",20*AVERAGEIF('QA_Images'!$A$2:$A$66,A98,'QA_Images'!$U$2:$U$66)/100,IF(D98="NOT_CHECKED",0,C98))</f>
        <v/>
      </c>
      <c r="H98" s="2" t="inlineStr">
        <is>
          <t>Internal QA text and raw conflicting facts were removed, but the replacement body is repetitive and omits useful verified image/spec details.</t>
        </is>
      </c>
      <c r="I98" s="2" t="inlineStr">
        <is>
          <t>["evidence_batch_001_009", "https://jeminise.com/products/chicken-pattern-quilt-set-animal-patchwork-farmhouse-quilt-set", "serp_reqa_009", "revision_diff.json", "customizer_audit.json"]</t>
        </is>
      </c>
      <c r="J98" s="2" t="inlineStr">
        <is>
          <t>["R2-ISS-009-IMG-02", "R2-ISS-009-IMG-03", "R2-ISS-009-IMG-04", "R2-ISS-009-BODY", "R2-ISS-009-ADMIN"]</t>
        </is>
      </c>
    </row>
    <row r="99" ht="42" customHeight="1">
      <c r="A99" s="3" t="inlineStr">
        <is>
          <t>jeminise.com+chicken-pattern-quilt-set-animal-patchwork-farmhouse-quilt-set</t>
        </is>
      </c>
      <c r="B99" s="3" t="inlineStr">
        <is>
          <t>I1</t>
        </is>
      </c>
      <c r="C99" s="3" t="n">
        <v>20</v>
      </c>
      <c r="D99" s="3" t="inlineStr">
        <is>
          <t>DERIVED</t>
        </is>
      </c>
      <c r="E99" s="7">
        <f>IF(B99="I1",AVERAGEIF('QA_Images'!$A$2:$A$66,A99,'QA_Images'!$T$2:$T$66)/100,IF(D99="FULL",1,IF(D99="PARTIAL",0.5,IF(D99="FAIL",0,""))))</f>
        <v/>
      </c>
      <c r="F99" s="7">
        <f>IF(E99="",0,C99*E99)</f>
        <v/>
      </c>
      <c r="G99" s="7">
        <f>IF(B99="I1",20*AVERAGEIF('QA_Images'!$A$2:$A$66,A99,'QA_Images'!$U$2:$U$66)/100,IF(D99="NOT_CHECKED",0,C99))</f>
        <v/>
      </c>
      <c r="H99" s="3" t="inlineStr">
        <is>
          <t>Derived from 7 directly reopened images: 87.8571/100.</t>
        </is>
      </c>
      <c r="I99" s="3" t="inlineStr">
        <is>
          <t>["evidence_batch_001_009", "https://jeminise.com/products/chicken-pattern-quilt-set-animal-patchwork-farmhouse-quilt-set", "serp_reqa_009", "revision_diff.json", "customizer_audit.json"]</t>
        </is>
      </c>
      <c r="J99" s="3" t="inlineStr">
        <is>
          <t>["R2-ISS-009-IMG-02", "R2-ISS-009-IMG-03", "R2-ISS-009-IMG-04", "R2-ISS-009-BODY", "R2-ISS-009-ADMIN"]</t>
        </is>
      </c>
    </row>
    <row r="100" ht="42" customHeight="1">
      <c r="A100" s="2" t="inlineStr">
        <is>
          <t>jeminise.com+chicken-pattern-quilt-set-animal-patchwork-farmhouse-quilt-set</t>
        </is>
      </c>
      <c r="B100" s="2" t="inlineStr">
        <is>
          <t>E1</t>
        </is>
      </c>
      <c r="C100" s="2" t="n">
        <v>5</v>
      </c>
      <c r="D100" s="2" t="inlineStr">
        <is>
          <t>FULL</t>
        </is>
      </c>
      <c r="E100" s="5">
        <f>IF(B100="I1",AVERAGEIF('QA_Images'!$A$2:$A$66,A100,'QA_Images'!$T$2:$T$66)/100,IF(D100="FULL",1,IF(D100="PARTIAL",0.5,IF(D100="FAIL",0,""))))</f>
        <v/>
      </c>
      <c r="F100" s="5">
        <f>IF(E100="",0,C100*E100)</f>
        <v/>
      </c>
      <c r="G100" s="5">
        <f>IF(B100="I1",20*AVERAGEIF('QA_Images'!$A$2:$A$66,A100,'QA_Images'!$U$2:$U$66)/100,IF(D100="NOT_CHECKED",0,C100))</f>
        <v/>
      </c>
      <c r="H100" s="2" t="inlineStr">
        <is>
          <t>Revision lineage, source rows, live source and evidence references were cross-checked; admin export remains unavailable.</t>
        </is>
      </c>
      <c r="I100" s="2" t="inlineStr">
        <is>
          <t>["evidence_batch_001_009", "https://jeminise.com/products/chicken-pattern-quilt-set-animal-patchwork-farmhouse-quilt-set", "serp_reqa_009", "revision_diff.json", "customizer_audit.json"]</t>
        </is>
      </c>
      <c r="J100" s="2" t="inlineStr">
        <is>
          <t>["R2-ISS-009-IMG-02", "R2-ISS-009-IMG-03", "R2-ISS-009-IMG-04", "R2-ISS-009-BODY", "R2-ISS-009-ADMIN"]</t>
        </is>
      </c>
    </row>
    <row r="101" ht="42" customHeight="1">
      <c r="A101" s="3" t="inlineStr">
        <is>
          <t>jeminise.com+christian-bedding-set-inspirational-bible-verse-comforte-design-01</t>
        </is>
      </c>
      <c r="B101" s="3" t="inlineStr">
        <is>
          <t>P1</t>
        </is>
      </c>
      <c r="C101" s="3" t="n">
        <v>15</v>
      </c>
      <c r="D101" s="3" t="inlineStr">
        <is>
          <t>FULL</t>
        </is>
      </c>
      <c r="E101" s="7">
        <f>IF(B101="I1",AVERAGEIF('QA_Images'!$A$2:$A$66,A101,'QA_Images'!$T$2:$T$66)/100,IF(D101="FULL",1,IF(D101="PARTIAL",0.5,IF(D101="FAIL",0,""))))</f>
        <v/>
      </c>
      <c r="F101" s="7">
        <f>IF(E101="",0,C101*E101)</f>
        <v/>
      </c>
      <c r="G101" s="7">
        <f>IF(B101="I1",20*AVERAGEIF('QA_Images'!$A$2:$A$66,A101,'QA_Images'!$U$2:$U$66)/100,IF(D101="NOT_CHECKED",0,C101))</f>
        <v/>
      </c>
      <c r="H101" s="3" t="inlineStr">
        <is>
          <t>Product key, handle, product ID, URL, canonical, live H1 and visible motif were rechecked.</t>
        </is>
      </c>
      <c r="I101" s="3" t="inlineStr">
        <is>
          <t>["evidence_batch_001_010", "https://jeminise.com/products/christian-bedding-set-inspirational-bible-verse-comforte-design-01", "serp_reqa_010", "revision_diff.json", "customizer_audit.json"]</t>
        </is>
      </c>
      <c r="J101" s="3" t="inlineStr">
        <is>
          <t>["R2-ISS-010-IMG-02", "R2-ISS-010-IMG-03", "R2-ISS-010-IMG-04", "R2-ISS-010-IMG-05", "R2-ISS-010-IMG-06", "R2-ISS-010-IMG-07", "R2-ISS-010-IMG-08", "R2-ISS-010-BODY", "R2-ISS-010-ADMIN", "R2-ISS-010-PERS", "R2-ISS-010-ENC"]</t>
        </is>
      </c>
    </row>
    <row r="102" ht="42" customHeight="1">
      <c r="A102" s="2" t="inlineStr">
        <is>
          <t>jeminise.com+christian-bedding-set-inspirational-bible-verse-comforte-design-01</t>
        </is>
      </c>
      <c r="B102" s="2" t="inlineStr">
        <is>
          <t>P2</t>
        </is>
      </c>
      <c r="C102" s="2" t="n">
        <v>10</v>
      </c>
      <c r="D102" s="2" t="inlineStr">
        <is>
          <t>FULL</t>
        </is>
      </c>
      <c r="E102" s="5">
        <f>IF(B102="I1",AVERAGEIF('QA_Images'!$A$2:$A$66,A102,'QA_Images'!$T$2:$T$66)/100,IF(D102="FULL",1,IF(D102="PARTIAL",0.5,IF(D102="FAIL",0,""))))</f>
        <v/>
      </c>
      <c r="F102" s="5">
        <f>IF(E102="",0,C102*E102)</f>
        <v/>
      </c>
      <c r="G102" s="5">
        <f>IF(B102="I1",20*AVERAGEIF('QA_Images'!$A$2:$A$66,A102,'QA_Images'!$U$2:$U$66)/100,IF(D102="NOT_CHECKED",0,C102))</f>
        <v/>
      </c>
      <c r="H102" s="2" t="inlineStr">
        <is>
          <t>Live product JSON, variants, gallery and Customizer schema were re-read; products 2 and 10 have verified text fields.</t>
        </is>
      </c>
      <c r="I102" s="2" t="inlineStr">
        <is>
          <t>["evidence_batch_001_010", "https://jeminise.com/products/christian-bedding-set-inspirational-bible-verse-comforte-design-01", "serp_reqa_010", "revision_diff.json", "customizer_audit.json"]</t>
        </is>
      </c>
      <c r="J102" s="2" t="inlineStr">
        <is>
          <t>["R2-ISS-010-IMG-02", "R2-ISS-010-IMG-03", "R2-ISS-010-IMG-04", "R2-ISS-010-IMG-05", "R2-ISS-010-IMG-06", "R2-ISS-010-IMG-07", "R2-ISS-010-IMG-08", "R2-ISS-010-BODY", "R2-ISS-010-ADMIN", "R2-ISS-010-PERS", "R2-ISS-010-ENC"]</t>
        </is>
      </c>
    </row>
    <row r="103" ht="42" customHeight="1">
      <c r="A103" s="3" t="inlineStr">
        <is>
          <t>jeminise.com+christian-bedding-set-inspirational-bible-verse-comforte-design-01</t>
        </is>
      </c>
      <c r="B103" s="3" t="inlineStr">
        <is>
          <t>K1</t>
        </is>
      </c>
      <c r="C103" s="3" t="n">
        <v>10</v>
      </c>
      <c r="D103" s="3" t="inlineStr">
        <is>
          <t>FULL</t>
        </is>
      </c>
      <c r="E103" s="7">
        <f>IF(B103="I1",AVERAGEIF('QA_Images'!$A$2:$A$66,A103,'QA_Images'!$T$2:$T$66)/100,IF(D103="FULL",1,IF(D103="PARTIAL",0.5,IF(D103="FAIL",0,""))))</f>
        <v/>
      </c>
      <c r="F103" s="7">
        <f>IF(E103="",0,C103*E103)</f>
        <v/>
      </c>
      <c r="G103" s="7">
        <f>IF(B103="I1",20*AVERAGEIF('QA_Images'!$A$2:$A$66,A103,'QA_Images'!$U$2:$U$66)/100,IF(D103="NOT_CHECKED",0,C103))</f>
        <v/>
      </c>
      <c r="H103" s="3" t="inlineStr">
        <is>
          <t>Primary query was checked against submitted evidence and fresh SERP research; product 5 retains a mismatched chicken-quilt source.</t>
        </is>
      </c>
      <c r="I103" s="3" t="inlineStr">
        <is>
          <t>["evidence_batch_001_010", "https://jeminise.com/products/christian-bedding-set-inspirational-bible-verse-comforte-design-01", "serp_reqa_010", "revision_diff.json", "customizer_audit.json"]</t>
        </is>
      </c>
      <c r="J103" s="3" t="inlineStr">
        <is>
          <t>["R2-ISS-010-IMG-02", "R2-ISS-010-IMG-03", "R2-ISS-010-IMG-04", "R2-ISS-010-IMG-05", "R2-ISS-010-IMG-06", "R2-ISS-010-IMG-07", "R2-ISS-010-IMG-08", "R2-ISS-010-BODY", "R2-ISS-010-ADMIN", "R2-ISS-010-PERS", "R2-ISS-010-ENC"]</t>
        </is>
      </c>
    </row>
    <row r="104" ht="42" customHeight="1">
      <c r="A104" s="2" t="inlineStr">
        <is>
          <t>jeminise.com+christian-bedding-set-inspirational-bible-verse-comforte-design-01</t>
        </is>
      </c>
      <c r="B104" s="2" t="inlineStr">
        <is>
          <t>K2</t>
        </is>
      </c>
      <c r="C104" s="2" t="n">
        <v>5</v>
      </c>
      <c r="D104" s="2" t="inlineStr">
        <is>
          <t>FULL</t>
        </is>
      </c>
      <c r="E104" s="5">
        <f>IF(B104="I1",AVERAGEIF('QA_Images'!$A$2:$A$66,A104,'QA_Images'!$T$2:$T$66)/100,IF(D104="FULL",1,IF(D104="PARTIAL",0.5,IF(D104="FAIL",0,""))))</f>
        <v/>
      </c>
      <c r="F104" s="5">
        <f>IF(E104="",0,C104*E104)</f>
        <v/>
      </c>
      <c r="G104" s="5">
        <f>IF(B104="I1",20*AVERAGEIF('QA_Images'!$A$2:$A$66,A104,'QA_Images'!$U$2:$U$66)/100,IF(D104="NOT_CHECKED",0,C104))</f>
        <v/>
      </c>
      <c r="H104" s="2" t="inlineStr">
        <is>
          <t>Primary and nearest alternative queries were searched for US commercial/product intent.</t>
        </is>
      </c>
      <c r="I104" s="2" t="inlineStr">
        <is>
          <t>["evidence_batch_001_010", "https://jeminise.com/products/christian-bedding-set-inspirational-bible-verse-comforte-design-01", "serp_reqa_010", "revision_diff.json", "customizer_audit.json"]</t>
        </is>
      </c>
      <c r="J104" s="2" t="inlineStr">
        <is>
          <t>["R2-ISS-010-IMG-02", "R2-ISS-010-IMG-03", "R2-ISS-010-IMG-04", "R2-ISS-010-IMG-05", "R2-ISS-010-IMG-06", "R2-ISS-010-IMG-07", "R2-ISS-010-IMG-08", "R2-ISS-010-BODY", "R2-ISS-010-ADMIN", "R2-ISS-010-PERS", "R2-ISS-010-ENC"]</t>
        </is>
      </c>
    </row>
    <row r="105" ht="42" customHeight="1">
      <c r="A105" s="3" t="inlineStr">
        <is>
          <t>jeminise.com+christian-bedding-set-inspirational-bible-verse-comforte-design-01</t>
        </is>
      </c>
      <c r="B105" s="3" t="inlineStr">
        <is>
          <t>K3</t>
        </is>
      </c>
      <c r="C105" s="3" t="n">
        <v>5</v>
      </c>
      <c r="D105" s="3" t="inlineStr">
        <is>
          <t>FULL</t>
        </is>
      </c>
      <c r="E105" s="7">
        <f>IF(B105="I1",AVERAGEIF('QA_Images'!$A$2:$A$66,A105,'QA_Images'!$T$2:$T$66)/100,IF(D105="FULL",1,IF(D105="PARTIAL",0.5,IF(D105="FAIL",0,""))))</f>
        <v/>
      </c>
      <c r="F105" s="7">
        <f>IF(E105="",0,C105*E105)</f>
        <v/>
      </c>
      <c r="G105" s="7">
        <f>IF(B105="I1",20*AVERAGEIF('QA_Images'!$A$2:$A$66,A105,'QA_Images'!$U$2:$U$66)/100,IF(D105="NOT_CHECKED",0,C105))</f>
        <v/>
      </c>
      <c r="H105" s="3" t="inlineStr">
        <is>
          <t>Distinct artwork helps differentiation, but cardinal, cat and Celtic sibling pages still need an explicit intent map.</t>
        </is>
      </c>
      <c r="I105" s="3" t="inlineStr">
        <is>
          <t>["evidence_batch_001_010", "https://jeminise.com/products/christian-bedding-set-inspirational-bible-verse-comforte-design-01", "serp_reqa_010", "revision_diff.json", "customizer_audit.json"]</t>
        </is>
      </c>
      <c r="J105" s="3" t="inlineStr">
        <is>
          <t>["R2-ISS-010-IMG-02", "R2-ISS-010-IMG-03", "R2-ISS-010-IMG-04", "R2-ISS-010-IMG-05", "R2-ISS-010-IMG-06", "R2-ISS-010-IMG-07", "R2-ISS-010-IMG-08", "R2-ISS-010-BODY", "R2-ISS-010-ADMIN", "R2-ISS-010-PERS", "R2-ISS-010-ENC"]</t>
        </is>
      </c>
    </row>
    <row r="106" ht="42" customHeight="1">
      <c r="A106" s="2" t="inlineStr">
        <is>
          <t>jeminise.com+christian-bedding-set-inspirational-bible-verse-comforte-design-01</t>
        </is>
      </c>
      <c r="B106" s="2" t="inlineStr">
        <is>
          <t>T1</t>
        </is>
      </c>
      <c r="C106" s="2" t="n">
        <v>10</v>
      </c>
      <c r="D106" s="2" t="inlineStr">
        <is>
          <t>PARTIAL</t>
        </is>
      </c>
      <c r="E106" s="5">
        <f>IF(B106="I1",AVERAGEIF('QA_Images'!$A$2:$A$66,A106,'QA_Images'!$T$2:$T$66)/100,IF(D106="FULL",1,IF(D106="PARTIAL",0.5,IF(D106="FAIL",0,""))))</f>
        <v/>
      </c>
      <c r="F106" s="5">
        <f>IF(E106="",0,C106*E106)</f>
        <v/>
      </c>
      <c r="G106" s="5">
        <f>IF(B106="I1",20*AVERAGEIF('QA_Images'!$A$2:$A$66,A106,'QA_Images'!$U$2:$U$66)/100,IF(D106="NOT_CHECKED",0,C106))</f>
        <v/>
      </c>
      <c r="H106" s="2" t="inlineStr">
        <is>
          <t>Title was checked for product type, motif, keyword fit and verified personalization opportunity.</t>
        </is>
      </c>
      <c r="I106" s="2" t="inlineStr">
        <is>
          <t>["evidence_batch_001_010", "https://jeminise.com/products/christian-bedding-set-inspirational-bible-verse-comforte-design-01", "serp_reqa_010", "revision_diff.json", "customizer_audit.json"]</t>
        </is>
      </c>
      <c r="J106" s="2" t="inlineStr">
        <is>
          <t>["R2-ISS-010-IMG-02", "R2-ISS-010-IMG-03", "R2-ISS-010-IMG-04", "R2-ISS-010-IMG-05", "R2-ISS-010-IMG-06", "R2-ISS-010-IMG-07", "R2-ISS-010-IMG-08", "R2-ISS-010-BODY", "R2-ISS-010-ADMIN", "R2-ISS-010-PERS", "R2-ISS-010-ENC"]</t>
        </is>
      </c>
    </row>
    <row r="107" ht="42" customHeight="1">
      <c r="A107" s="3" t="inlineStr">
        <is>
          <t>jeminise.com+christian-bedding-set-inspirational-bible-verse-comforte-design-01</t>
        </is>
      </c>
      <c r="B107" s="3" t="inlineStr">
        <is>
          <t>T2</t>
        </is>
      </c>
      <c r="C107" s="3" t="n">
        <v>5</v>
      </c>
      <c r="D107" s="3" t="inlineStr">
        <is>
          <t>PARTIAL</t>
        </is>
      </c>
      <c r="E107" s="7">
        <f>IF(B107="I1",AVERAGEIF('QA_Images'!$A$2:$A$66,A107,'QA_Images'!$T$2:$T$66)/100,IF(D107="FULL",1,IF(D107="PARTIAL",0.5,IF(D107="FAIL",0,""))))</f>
        <v/>
      </c>
      <c r="F107" s="7">
        <f>IF(E107="",0,C107*E107)</f>
        <v/>
      </c>
      <c r="G107" s="7">
        <f>IF(B107="I1",20*AVERAGEIF('QA_Images'!$A$2:$A$66,A107,'QA_Images'!$U$2:$U$66)/100,IF(D107="NOT_CHECKED",0,C107))</f>
        <v/>
      </c>
      <c r="H107" s="3" t="inlineStr">
        <is>
          <t>H1 was assessed independently from the SEO title and live source encoding.</t>
        </is>
      </c>
      <c r="I107" s="3" t="inlineStr">
        <is>
          <t>["evidence_batch_001_010", "https://jeminise.com/products/christian-bedding-set-inspirational-bible-verse-comforte-design-01", "serp_reqa_010", "revision_diff.json", "customizer_audit.json"]</t>
        </is>
      </c>
      <c r="J107" s="3" t="inlineStr">
        <is>
          <t>["R2-ISS-010-IMG-02", "R2-ISS-010-IMG-03", "R2-ISS-010-IMG-04", "R2-ISS-010-IMG-05", "R2-ISS-010-IMG-06", "R2-ISS-010-IMG-07", "R2-ISS-010-IMG-08", "R2-ISS-010-BODY", "R2-ISS-010-ADMIN", "R2-ISS-010-PERS", "R2-ISS-010-ENC"]</t>
        </is>
      </c>
    </row>
    <row r="108" ht="42" customHeight="1">
      <c r="A108" s="2" t="inlineStr">
        <is>
          <t>jeminise.com+christian-bedding-set-inspirational-bible-verse-comforte-design-01</t>
        </is>
      </c>
      <c r="B108" s="2" t="inlineStr">
        <is>
          <t>D1</t>
        </is>
      </c>
      <c r="C108" s="2" t="n">
        <v>5</v>
      </c>
      <c r="D108" s="2" t="inlineStr">
        <is>
          <t>PARTIAL</t>
        </is>
      </c>
      <c r="E108" s="5">
        <f>IF(B108="I1",AVERAGEIF('QA_Images'!$A$2:$A$66,A108,'QA_Images'!$T$2:$T$66)/100,IF(D108="FULL",1,IF(D108="PARTIAL",0.5,IF(D108="FAIL",0,""))))</f>
        <v/>
      </c>
      <c r="F108" s="5">
        <f>IF(E108="",0,C108*E108)</f>
        <v/>
      </c>
      <c r="G108" s="5">
        <f>IF(B108="I1",20*AVERAGEIF('QA_Images'!$A$2:$A$66,A108,'QA_Images'!$U$2:$U$66)/100,IF(D108="NOT_CHECKED",0,C108))</f>
        <v/>
      </c>
      <c r="H108" s="2" t="inlineStr">
        <is>
          <t>Meta description is concise and claim-safe; product 10 is ambiguous about editable name text.</t>
        </is>
      </c>
      <c r="I108" s="2" t="inlineStr">
        <is>
          <t>["evidence_batch_001_010", "https://jeminise.com/products/christian-bedding-set-inspirational-bible-verse-comforte-design-01", "serp_reqa_010", "revision_diff.json", "customizer_audit.json"]</t>
        </is>
      </c>
      <c r="J108" s="2" t="inlineStr">
        <is>
          <t>["R2-ISS-010-IMG-02", "R2-ISS-010-IMG-03", "R2-ISS-010-IMG-04", "R2-ISS-010-IMG-05", "R2-ISS-010-IMG-06", "R2-ISS-010-IMG-07", "R2-ISS-010-IMG-08", "R2-ISS-010-BODY", "R2-ISS-010-ADMIN", "R2-ISS-010-PERS", "R2-ISS-010-ENC"]</t>
        </is>
      </c>
    </row>
    <row r="109" ht="42" customHeight="1">
      <c r="A109" s="3" t="inlineStr">
        <is>
          <t>jeminise.com+christian-bedding-set-inspirational-bible-verse-comforte-design-01</t>
        </is>
      </c>
      <c r="B109" s="3" t="inlineStr">
        <is>
          <t>D2</t>
        </is>
      </c>
      <c r="C109" s="3" t="n">
        <v>10</v>
      </c>
      <c r="D109" s="3" t="inlineStr">
        <is>
          <t>PARTIAL</t>
        </is>
      </c>
      <c r="E109" s="7">
        <f>IF(B109="I1",AVERAGEIF('QA_Images'!$A$2:$A$66,A109,'QA_Images'!$T$2:$T$66)/100,IF(D109="FULL",1,IF(D109="PARTIAL",0.5,IF(D109="FAIL",0,""))))</f>
        <v/>
      </c>
      <c r="F109" s="7">
        <f>IF(E109="",0,C109*E109)</f>
        <v/>
      </c>
      <c r="G109" s="7">
        <f>IF(B109="I1",20*AVERAGEIF('QA_Images'!$A$2:$A$66,A109,'QA_Images'!$U$2:$U$66)/100,IF(D109="NOT_CHECKED",0,C109))</f>
        <v/>
      </c>
      <c r="H109" s="3" t="inlineStr">
        <is>
          <t>Internal QA text and raw conflicting facts were removed, but the replacement body is repetitive and omits useful verified image/spec details.</t>
        </is>
      </c>
      <c r="I109" s="3" t="inlineStr">
        <is>
          <t>["evidence_batch_001_010", "https://jeminise.com/products/christian-bedding-set-inspirational-bible-verse-comforte-design-01", "serp_reqa_010", "revision_diff.json", "customizer_audit.json"]</t>
        </is>
      </c>
      <c r="J109" s="3" t="inlineStr">
        <is>
          <t>["R2-ISS-010-IMG-02", "R2-ISS-010-IMG-03", "R2-ISS-010-IMG-04", "R2-ISS-010-IMG-05", "R2-ISS-010-IMG-06", "R2-ISS-010-IMG-07", "R2-ISS-010-IMG-08", "R2-ISS-010-BODY", "R2-ISS-010-ADMIN", "R2-ISS-010-PERS", "R2-ISS-010-ENC"]</t>
        </is>
      </c>
    </row>
    <row r="110" ht="42" customHeight="1">
      <c r="A110" s="2" t="inlineStr">
        <is>
          <t>jeminise.com+christian-bedding-set-inspirational-bible-verse-comforte-design-01</t>
        </is>
      </c>
      <c r="B110" s="2" t="inlineStr">
        <is>
          <t>I1</t>
        </is>
      </c>
      <c r="C110" s="2" t="n">
        <v>20</v>
      </c>
      <c r="D110" s="2" t="inlineStr">
        <is>
          <t>DERIVED</t>
        </is>
      </c>
      <c r="E110" s="5">
        <f>IF(B110="I1",AVERAGEIF('QA_Images'!$A$2:$A$66,A110,'QA_Images'!$T$2:$T$66)/100,IF(D110="FULL",1,IF(D110="PARTIAL",0.5,IF(D110="FAIL",0,""))))</f>
        <v/>
      </c>
      <c r="F110" s="5">
        <f>IF(E110="",0,C110*E110)</f>
        <v/>
      </c>
      <c r="G110" s="5">
        <f>IF(B110="I1",20*AVERAGEIF('QA_Images'!$A$2:$A$66,A110,'QA_Images'!$U$2:$U$66)/100,IF(D110="NOT_CHECKED",0,C110))</f>
        <v/>
      </c>
      <c r="H110" s="2" t="inlineStr">
        <is>
          <t>Derived from 8 directly reopened images: 66.2500/100.</t>
        </is>
      </c>
      <c r="I110" s="2" t="inlineStr">
        <is>
          <t>["evidence_batch_001_010", "https://jeminise.com/products/christian-bedding-set-inspirational-bible-verse-comforte-design-01", "serp_reqa_010", "revision_diff.json", "customizer_audit.json"]</t>
        </is>
      </c>
      <c r="J110" s="2" t="inlineStr">
        <is>
          <t>["R2-ISS-010-IMG-02", "R2-ISS-010-IMG-03", "R2-ISS-010-IMG-04", "R2-ISS-010-IMG-05", "R2-ISS-010-IMG-06", "R2-ISS-010-IMG-07", "R2-ISS-010-IMG-08", "R2-ISS-010-BODY", "R2-ISS-010-ADMIN", "R2-ISS-010-PERS", "R2-ISS-010-ENC"]</t>
        </is>
      </c>
    </row>
    <row r="111" ht="42" customHeight="1">
      <c r="A111" s="3" t="inlineStr">
        <is>
          <t>jeminise.com+christian-bedding-set-inspirational-bible-verse-comforte-design-01</t>
        </is>
      </c>
      <c r="B111" s="3" t="inlineStr">
        <is>
          <t>E1</t>
        </is>
      </c>
      <c r="C111" s="3" t="n">
        <v>5</v>
      </c>
      <c r="D111" s="3" t="inlineStr">
        <is>
          <t>FULL</t>
        </is>
      </c>
      <c r="E111" s="7">
        <f>IF(B111="I1",AVERAGEIF('QA_Images'!$A$2:$A$66,A111,'QA_Images'!$T$2:$T$66)/100,IF(D111="FULL",1,IF(D111="PARTIAL",0.5,IF(D111="FAIL",0,""))))</f>
        <v/>
      </c>
      <c r="F111" s="7">
        <f>IF(E111="",0,C111*E111)</f>
        <v/>
      </c>
      <c r="G111" s="7">
        <f>IF(B111="I1",20*AVERAGEIF('QA_Images'!$A$2:$A$66,A111,'QA_Images'!$U$2:$U$66)/100,IF(D111="NOT_CHECKED",0,C111))</f>
        <v/>
      </c>
      <c r="H111" s="3" t="inlineStr">
        <is>
          <t>Revision lineage, source rows, live source and evidence references were cross-checked; admin export remains unavailable.</t>
        </is>
      </c>
      <c r="I111" s="3" t="inlineStr">
        <is>
          <t>["evidence_batch_001_010", "https://jeminise.com/products/christian-bedding-set-inspirational-bible-verse-comforte-design-01", "serp_reqa_010", "revision_diff.json", "customizer_audit.json"]</t>
        </is>
      </c>
      <c r="J111" s="3" t="inlineStr">
        <is>
          <t>["R2-ISS-010-IMG-02", "R2-ISS-010-IMG-03", "R2-ISS-010-IMG-04", "R2-ISS-010-IMG-05", "R2-ISS-010-IMG-06", "R2-ISS-010-IMG-07", "R2-ISS-010-IMG-08", "R2-ISS-010-BODY", "R2-ISS-010-ADMIN", "R2-ISS-010-PERS", "R2-ISS-010-ENC"]</t>
        </is>
      </c>
    </row>
  </sheetData>
  <autoFilter ref="A1:J111"/>
  <printOptions horizontalCentered="0"/>
  <pageMargins left="0.25" right="0.25" top="0.5" bottom="0.5"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Z66"/>
  <sheetViews>
    <sheetView showGridLines="0" workbookViewId="0">
      <pane ySplit="1" topLeftCell="A2" activePane="bottomLeft" state="frozen"/>
      <selection pane="bottomLeft" activeCell="A1" sqref="A1"/>
    </sheetView>
  </sheetViews>
  <sheetFormatPr baseColWidth="8" defaultRowHeight="15"/>
  <cols>
    <col width="42" customWidth="1" min="1" max="1"/>
    <col width="20" customWidth="1" min="2" max="2"/>
    <col width="38" customWidth="1" min="3" max="3"/>
    <col width="38" customWidth="1" min="4" max="4"/>
    <col width="20" customWidth="1" min="5" max="5"/>
    <col width="38" customWidth="1" min="6" max="6"/>
    <col width="11" customWidth="1" min="7" max="7"/>
    <col width="16" customWidth="1" min="8" max="8"/>
    <col width="24" customWidth="1" min="9" max="9"/>
    <col width="24" customWidth="1" min="10" max="10"/>
    <col width="42" customWidth="1" min="11" max="11"/>
    <col width="42" customWidth="1" min="12" max="12"/>
    <col width="24" customWidth="1" min="13" max="13"/>
    <col width="12" customWidth="1" min="14" max="14"/>
    <col width="42" customWidth="1" min="15" max="15"/>
    <col width="11" customWidth="1" min="16" max="16"/>
    <col width="11" customWidth="1" min="17" max="17"/>
    <col width="11" customWidth="1" min="18" max="18"/>
    <col width="11" customWidth="1" min="19" max="19"/>
    <col width="24" customWidth="1" min="20" max="20"/>
    <col width="24" customWidth="1" min="21" max="21"/>
    <col width="21" customWidth="1" min="22" max="22"/>
    <col width="24" customWidth="1" min="23" max="23"/>
    <col width="24" customWidth="1" min="24" max="24"/>
    <col width="42" customWidth="1" min="25" max="25"/>
    <col width="42" customWidth="1" min="26" max="26"/>
  </cols>
  <sheetData>
    <row r="1" ht="32" customHeight="1">
      <c r="A1" s="1" t="inlineStr">
        <is>
          <t>product_key</t>
        </is>
      </c>
      <c r="B1" s="1" t="inlineStr">
        <is>
          <t>qa_image_key</t>
        </is>
      </c>
      <c r="C1" s="1" t="inlineStr">
        <is>
          <t>image_url_source</t>
        </is>
      </c>
      <c r="D1" s="1" t="inlineStr">
        <is>
          <t>image_url_workbook</t>
        </is>
      </c>
      <c r="E1" s="1" t="inlineStr">
        <is>
          <t>media_id</t>
        </is>
      </c>
      <c r="F1" s="1" t="inlineStr">
        <is>
          <t>workbook_image_id</t>
        </is>
      </c>
      <c r="G1" s="1" t="inlineStr">
        <is>
          <t>variant</t>
        </is>
      </c>
      <c r="H1" s="1" t="inlineStr">
        <is>
          <t>image_location</t>
        </is>
      </c>
      <c r="I1" s="1" t="inlineStr">
        <is>
          <t>check_method</t>
        </is>
      </c>
      <c r="J1" s="1" t="inlineStr">
        <is>
          <t>checked_at</t>
        </is>
      </c>
      <c r="K1" s="1" t="inlineStr">
        <is>
          <t>qa_observation</t>
        </is>
      </c>
      <c r="L1" s="1" t="inlineStr">
        <is>
          <t>submitted_observation</t>
        </is>
      </c>
      <c r="M1" s="1" t="inlineStr">
        <is>
          <t>storefront_alt_observed</t>
        </is>
      </c>
      <c r="N1" s="1" t="inlineStr">
        <is>
          <t>alt_action</t>
        </is>
      </c>
      <c r="O1" s="1" t="inlineStr">
        <is>
          <t>alt_effective</t>
        </is>
      </c>
      <c r="P1" s="1" t="inlineStr">
        <is>
          <t>IM1</t>
        </is>
      </c>
      <c r="Q1" s="1" t="inlineStr">
        <is>
          <t>IM2</t>
        </is>
      </c>
      <c r="R1" s="1" t="inlineStr">
        <is>
          <t>IM3</t>
        </is>
      </c>
      <c r="S1" s="1" t="inlineStr">
        <is>
          <t>IM4</t>
        </is>
      </c>
      <c r="T1" s="1" t="inlineStr">
        <is>
          <t>image_verified_points</t>
        </is>
      </c>
      <c r="U1" s="1" t="inlineStr">
        <is>
          <t>image_assessed_weight</t>
        </is>
      </c>
      <c r="V1" s="1" t="inlineStr">
        <is>
          <t>image_final_score</t>
        </is>
      </c>
      <c r="W1" s="1" t="inlineStr">
        <is>
          <t>image_score_lower_bound</t>
        </is>
      </c>
      <c r="X1" s="1" t="inlineStr">
        <is>
          <t>image_score_upper_bound</t>
        </is>
      </c>
      <c r="Y1" s="1" t="inlineStr">
        <is>
          <t>issue_refs</t>
        </is>
      </c>
      <c r="Z1" s="1" t="inlineStr">
        <is>
          <t>evidence_refs</t>
        </is>
      </c>
    </row>
    <row r="2" ht="66" customHeight="1">
      <c r="A2" s="2" t="inlineStr">
        <is>
          <t>jeminise.com+autumn-cardinals-perched-above-large-sunflowers-quilt-with-cardinal-birds-9a3b408b20-9a3b408b20</t>
        </is>
      </c>
      <c r="B2" s="2" t="inlineStr">
        <is>
          <t>qaimg_9808a3488a22128b</t>
        </is>
      </c>
      <c r="C2" s="4" t="inlineStr">
        <is>
          <t>https://cdn.shopify.com/s/files/1/0792/5098/1063/files/0754b2731a7ffd916d0ef8b214706e796d780fbd4ba38c8f47f27b6dcfbf352e.jpg?v=1785099190</t>
        </is>
      </c>
      <c r="D2" s="4" t="inlineStr">
        <is>
          <t>https://cdn.shopify.com/s/files/1/0792/5098/1063/files/0754b2731a7ffd916d0ef8b214706e796d780fbd4ba38c8f47f27b6dcfbf352e.jpg?v=1785099190</t>
        </is>
      </c>
      <c r="E2" s="2" t="inlineStr">
        <is>
          <t>38506577854663</t>
        </is>
      </c>
      <c r="F2" s="2" t="inlineStr">
        <is>
          <t>47540016382151</t>
        </is>
      </c>
      <c r="G2" s="2" t="inlineStr"/>
      <c r="H2" s="2" t="inlineStr">
        <is>
          <t>GALLERY</t>
        </is>
      </c>
      <c r="I2" s="2" t="inlineStr">
        <is>
          <t>DIRECT_ORIGINAL_IMAGE_REQA</t>
        </is>
      </c>
      <c r="J2" s="2" t="inlineStr">
        <is>
          <t>2026-09-07T12:03:49.582466+07:00</t>
        </is>
      </c>
      <c r="K2" s="2" t="inlineStr">
        <is>
          <t>Bed mockup with two red cardinals, large yellow sunflowers and autumn leaves.</t>
        </is>
      </c>
      <c r="L2" s="2" t="inlineStr">
        <is>
          <t>Main bed mockup showing red cardinals, large yellow sunflowers, autumn leaves.</t>
        </is>
      </c>
      <c r="M2" s="2" t="inlineStr">
        <is>
          <t>Autumn Cardinals Perched Above Large Sunflowers Quilt with Cardinal Birds</t>
        </is>
      </c>
      <c r="N2" s="2" t="inlineStr">
        <is>
          <t>SET</t>
        </is>
      </c>
      <c r="O2" s="2" t="inlineStr">
        <is>
          <t>Cardinal Sunflower Patchwork Quilt Set displayed on a bed</t>
        </is>
      </c>
      <c r="P2" s="2" t="inlineStr">
        <is>
          <t>FULL</t>
        </is>
      </c>
      <c r="Q2" s="2" t="inlineStr">
        <is>
          <t>FULL</t>
        </is>
      </c>
      <c r="R2" s="2" t="inlineStr">
        <is>
          <t>FULL</t>
        </is>
      </c>
      <c r="S2" s="2" t="inlineStr">
        <is>
          <t>FULL</t>
        </is>
      </c>
      <c r="T2" s="5">
        <f>IF(P2="FULL",40,IF(P2="PARTIAL",40/2,0))+IF(Q2="FULL",30,IF(Q2="PARTIAL",30/2,0))+IF(R2="FULL",20,IF(R2="PARTIAL",20/2,0))+IF(S2="FULL",10,IF(S2="PARTIAL",10/2,0))</f>
        <v/>
      </c>
      <c r="U2" s="5">
        <f>IF(P2="NOT_CHECKED",0,40)+IF(Q2="NOT_CHECKED",0,30)+IF(R2="NOT_CHECKED",0,20)+IF(S2="NOT_CHECKED",0,10)</f>
        <v/>
      </c>
      <c r="V2" s="5">
        <f>IF(U2=100,T2,"")</f>
        <v/>
      </c>
      <c r="W2" s="5">
        <f>T2</f>
        <v/>
      </c>
      <c r="X2" s="5">
        <f>T2+(100-U2)</f>
        <v/>
      </c>
      <c r="Y2" s="2" t="inlineStr">
        <is>
          <t>[]</t>
        </is>
      </c>
      <c r="Z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 "https://jeminise.com/products/autumn-cardinals-perched-above-large-sunflowers-quilt-with-cardinal-birds-9a3b408b20-9a3b408b20", "https://cdn.shopify.com/s/files/1/0792/5098/1063/files/0754b2731a7ffd916d0ef8b214706e796d780fbd4ba38c8f47f27b6dcfbf352e.jpg?v=1785099190"]</t>
        </is>
      </c>
    </row>
    <row r="3" ht="66" customHeight="1">
      <c r="A3" s="3" t="inlineStr">
        <is>
          <t>jeminise.com+autumn-cardinals-perched-above-large-sunflowers-quilt-with-cardinal-birds-9a3b408b20-9a3b408b20</t>
        </is>
      </c>
      <c r="B3" s="3" t="inlineStr">
        <is>
          <t>qaimg_c8e0c4111df9742a</t>
        </is>
      </c>
      <c r="C3" s="4" t="inlineStr">
        <is>
          <t>https://cdn.shopify.com/s/files/1/0792/5098/1063/files/a10aa0018e665e644a60b7c4aea8b5e152ec768ebb35af1090452cddbc9e9828.jpg?v=1785099190</t>
        </is>
      </c>
      <c r="D3" s="4" t="inlineStr">
        <is>
          <t>https://cdn.shopify.com/s/files/1/0792/5098/1063/files/a10aa0018e665e644a60b7c4aea8b5e152ec768ebb35af1090452cddbc9e9828.jpg?v=1785099190</t>
        </is>
      </c>
      <c r="E3" s="3" t="inlineStr">
        <is>
          <t>38506577887431</t>
        </is>
      </c>
      <c r="F3" s="3" t="inlineStr">
        <is>
          <t>47540016414919</t>
        </is>
      </c>
      <c r="G3" s="3" t="inlineStr"/>
      <c r="H3" s="3" t="inlineStr">
        <is>
          <t>GALLERY</t>
        </is>
      </c>
      <c r="I3" s="3" t="inlineStr">
        <is>
          <t>DIRECT_ORIGINAL_IMAGE_REQA</t>
        </is>
      </c>
      <c r="J3" s="3" t="inlineStr">
        <is>
          <t>2026-09-07T12:03:49.582466+07:00</t>
        </is>
      </c>
      <c r="K3" s="3" t="inlineStr">
        <is>
          <t>Close-up of the cardinal-and-sunflower print and quilted stitching.</t>
        </is>
      </c>
      <c r="L3" s="3" t="inlineStr">
        <is>
          <t>Secondary detail or room mockup showing red cardinals, large yellow sunflowers, autumn leaves and visible quilted/printed texture.</t>
        </is>
      </c>
      <c r="M3" s="3" t="inlineStr">
        <is>
          <t>Autumn Cardinals Perched Above Large Sunflowers Quilt with Cardinal Birds</t>
        </is>
      </c>
      <c r="N3" s="3" t="inlineStr">
        <is>
          <t>SET</t>
        </is>
      </c>
      <c r="O3" s="3" t="inlineStr">
        <is>
          <t>Close view of red cardinals, large yellow sunflowers, autumn leaves on the quilt set</t>
        </is>
      </c>
      <c r="P3" s="3" t="inlineStr">
        <is>
          <t>FULL</t>
        </is>
      </c>
      <c r="Q3" s="3" t="inlineStr">
        <is>
          <t>FULL</t>
        </is>
      </c>
      <c r="R3" s="3" t="inlineStr">
        <is>
          <t>FULL</t>
        </is>
      </c>
      <c r="S3" s="3" t="inlineStr">
        <is>
          <t>FULL</t>
        </is>
      </c>
      <c r="T3" s="7">
        <f>IF(P3="FULL",40,IF(P3="PARTIAL",40/2,0))+IF(Q3="FULL",30,IF(Q3="PARTIAL",30/2,0))+IF(R3="FULL",20,IF(R3="PARTIAL",20/2,0))+IF(S3="FULL",10,IF(S3="PARTIAL",10/2,0))</f>
        <v/>
      </c>
      <c r="U3" s="7">
        <f>IF(P3="NOT_CHECKED",0,40)+IF(Q3="NOT_CHECKED",0,30)+IF(R3="NOT_CHECKED",0,20)+IF(S3="NOT_CHECKED",0,10)</f>
        <v/>
      </c>
      <c r="V3" s="7">
        <f>IF(U3=100,T3,"")</f>
        <v/>
      </c>
      <c r="W3" s="7">
        <f>T3</f>
        <v/>
      </c>
      <c r="X3" s="7">
        <f>T3+(100-U3)</f>
        <v/>
      </c>
      <c r="Y3" s="3" t="inlineStr">
        <is>
          <t>[]</t>
        </is>
      </c>
      <c r="Z3" s="3"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 "https://jeminise.com/products/autumn-cardinals-perched-above-large-sunflowers-quilt-with-cardinal-birds-9a3b408b20-9a3b408b20", "https://cdn.shopify.com/s/files/1/0792/5098/1063/files/a10aa0018e665e644a60b7c4aea8b5e152ec768ebb35af1090452cddbc9e9828.jpg?v=1785099190"]</t>
        </is>
      </c>
    </row>
    <row r="4" ht="66" customHeight="1">
      <c r="A4" s="2" t="inlineStr">
        <is>
          <t>jeminise.com+autumn-cardinals-perched-above-large-sunflowers-quilt-with-cardinal-birds-9a3b408b20-9a3b408b20</t>
        </is>
      </c>
      <c r="B4" s="2" t="inlineStr">
        <is>
          <t>qaimg_151738926e676561</t>
        </is>
      </c>
      <c r="C4" s="4" t="inlineStr">
        <is>
          <t>https://cdn.shopify.com/s/files/1/0792/5098/1063/files/c50488380d22611c83d218b77be9cfcf5799df4d9903913c09a1798712931b22.jpg?v=1785099190</t>
        </is>
      </c>
      <c r="D4" s="4" t="inlineStr">
        <is>
          <t>https://cdn.shopify.com/s/files/1/0792/5098/1063/files/c50488380d22611c83d218b77be9cfcf5799df4d9903913c09a1798712931b22.jpg?v=1785099190</t>
        </is>
      </c>
      <c r="E4" s="2" t="inlineStr">
        <is>
          <t>38506577920199</t>
        </is>
      </c>
      <c r="F4" s="2" t="inlineStr">
        <is>
          <t>47540016447687</t>
        </is>
      </c>
      <c r="G4" s="2" t="inlineStr"/>
      <c r="H4" s="2" t="inlineStr">
        <is>
          <t>GALLERY</t>
        </is>
      </c>
      <c r="I4" s="2" t="inlineStr">
        <is>
          <t>DIRECT_ORIGINAL_IMAGE_REQA</t>
        </is>
      </c>
      <c r="J4" s="2" t="inlineStr">
        <is>
          <t>2026-09-07T12:03:49.582466+07:00</t>
        </is>
      </c>
      <c r="K4" s="2" t="inlineStr">
        <is>
          <t>Pillow sham using the cardinal-and-sunflower artwork.</t>
        </is>
      </c>
      <c r="L4" s="2" t="inlineStr">
        <is>
          <t>Matching pillow sham or bedding detail using the same red cardinals, large yellow sunflowers, autumn leaves artwork.</t>
        </is>
      </c>
      <c r="M4" s="2" t="inlineStr">
        <is>
          <t>Autumn Cardinals Perched Above Large Sunflowers Quilt with Cardinal Birds</t>
        </is>
      </c>
      <c r="N4" s="2" t="inlineStr">
        <is>
          <t>SET</t>
        </is>
      </c>
      <c r="O4" s="2" t="inlineStr">
        <is>
          <t>Matching pillow sham for Cardinal Sunflower Patchwork Quilt Set</t>
        </is>
      </c>
      <c r="P4" s="2" t="inlineStr">
        <is>
          <t>FULL</t>
        </is>
      </c>
      <c r="Q4" s="2" t="inlineStr">
        <is>
          <t>FULL</t>
        </is>
      </c>
      <c r="R4" s="2" t="inlineStr">
        <is>
          <t>FULL</t>
        </is>
      </c>
      <c r="S4" s="2" t="inlineStr">
        <is>
          <t>FULL</t>
        </is>
      </c>
      <c r="T4" s="5">
        <f>IF(P4="FULL",40,IF(P4="PARTIAL",40/2,0))+IF(Q4="FULL",30,IF(Q4="PARTIAL",30/2,0))+IF(R4="FULL",20,IF(R4="PARTIAL",20/2,0))+IF(S4="FULL",10,IF(S4="PARTIAL",10/2,0))</f>
        <v/>
      </c>
      <c r="U4" s="5">
        <f>IF(P4="NOT_CHECKED",0,40)+IF(Q4="NOT_CHECKED",0,30)+IF(R4="NOT_CHECKED",0,20)+IF(S4="NOT_CHECKED",0,10)</f>
        <v/>
      </c>
      <c r="V4" s="5">
        <f>IF(U4=100,T4,"")</f>
        <v/>
      </c>
      <c r="W4" s="5">
        <f>T4</f>
        <v/>
      </c>
      <c r="X4" s="5">
        <f>T4+(100-U4)</f>
        <v/>
      </c>
      <c r="Y4" s="2" t="inlineStr">
        <is>
          <t>[]</t>
        </is>
      </c>
      <c r="Z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 "https://jeminise.com/products/autumn-cardinals-perched-above-large-sunflowers-quilt-with-cardinal-birds-9a3b408b20-9a3b408b20", "https://cdn.shopify.com/s/files/1/0792/5098/1063/files/c50488380d22611c83d218b77be9cfcf5799df4d9903913c09a1798712931b22.jpg?v=1785099190"]</t>
        </is>
      </c>
    </row>
    <row r="5" ht="66" customHeight="1">
      <c r="A5" s="3" t="inlineStr">
        <is>
          <t>jeminise.com+autumn-cardinals-perched-above-large-sunflowers-quilt-with-cardinal-birds-9a3b408b20-9a3b408b20</t>
        </is>
      </c>
      <c r="B5" s="3" t="inlineStr">
        <is>
          <t>qaimg_e40aceb16ae7429c</t>
        </is>
      </c>
      <c r="C5" s="4" t="inlineStr">
        <is>
          <t>https://cdn.shopify.com/s/files/1/0792/5098/1063/files/455c5869333cc7654f6c30f3d09716ec1513311734a21a6aa82bf5fe0767ac69.jpg?v=1785099191</t>
        </is>
      </c>
      <c r="D5" s="4" t="inlineStr">
        <is>
          <t>https://cdn.shopify.com/s/files/1/0792/5098/1063/files/455c5869333cc7654f6c30f3d09716ec1513311734a21a6aa82bf5fe0767ac69.jpg?v=1785099191</t>
        </is>
      </c>
      <c r="E5" s="3" t="inlineStr">
        <is>
          <t>38506577952967</t>
        </is>
      </c>
      <c r="F5" s="3" t="inlineStr">
        <is>
          <t>47540016480455</t>
        </is>
      </c>
      <c r="G5" s="3" t="inlineStr"/>
      <c r="H5" s="3" t="inlineStr">
        <is>
          <t>GALLERY</t>
        </is>
      </c>
      <c r="I5" s="3" t="inlineStr">
        <is>
          <t>DIRECT_ORIGINAL_IMAGE_REQA</t>
        </is>
      </c>
      <c r="J5" s="3" t="inlineStr">
        <is>
          <t>2026-09-07T12:03:49.582466+07:00</t>
        </is>
      </c>
      <c r="K5" s="3" t="inlineStr">
        <is>
          <t>Alternate bedroom angle showing the cardinal-and-sunflower quilt.</t>
        </is>
      </c>
      <c r="L5" s="3" t="inlineStr">
        <is>
          <t>Room/folded product or fabric information image tied to the red cardinals, large yellow sunflowers, autumn leaves design.</t>
        </is>
      </c>
      <c r="M5" s="3" t="inlineStr">
        <is>
          <t>Autumn Cardinals Perched Above Large Sunflowers Quilt with Cardinal Birds</t>
        </is>
      </c>
      <c r="N5" s="3" t="inlineStr">
        <is>
          <t>SET</t>
        </is>
      </c>
      <c r="O5" s="3" t="inlineStr">
        <is>
          <t>Cardinal Sunflower Patchwork Quilt Set shown in a bedroom setting</t>
        </is>
      </c>
      <c r="P5" s="3" t="inlineStr">
        <is>
          <t>FULL</t>
        </is>
      </c>
      <c r="Q5" s="3" t="inlineStr">
        <is>
          <t>FULL</t>
        </is>
      </c>
      <c r="R5" s="3" t="inlineStr">
        <is>
          <t>FULL</t>
        </is>
      </c>
      <c r="S5" s="3" t="inlineStr">
        <is>
          <t>FULL</t>
        </is>
      </c>
      <c r="T5" s="7">
        <f>IF(P5="FULL",40,IF(P5="PARTIAL",40/2,0))+IF(Q5="FULL",30,IF(Q5="PARTIAL",30/2,0))+IF(R5="FULL",20,IF(R5="PARTIAL",20/2,0))+IF(S5="FULL",10,IF(S5="PARTIAL",10/2,0))</f>
        <v/>
      </c>
      <c r="U5" s="7">
        <f>IF(P5="NOT_CHECKED",0,40)+IF(Q5="NOT_CHECKED",0,30)+IF(R5="NOT_CHECKED",0,20)+IF(S5="NOT_CHECKED",0,10)</f>
        <v/>
      </c>
      <c r="V5" s="7">
        <f>IF(U5=100,T5,"")</f>
        <v/>
      </c>
      <c r="W5" s="7">
        <f>T5</f>
        <v/>
      </c>
      <c r="X5" s="7">
        <f>T5+(100-U5)</f>
        <v/>
      </c>
      <c r="Y5" s="3" t="inlineStr">
        <is>
          <t>[]</t>
        </is>
      </c>
      <c r="Z5" s="3"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 "https://jeminise.com/products/autumn-cardinals-perched-above-large-sunflowers-quilt-with-cardinal-birds-9a3b408b20-9a3b408b20", "https://cdn.shopify.com/s/files/1/0792/5098/1063/files/455c5869333cc7654f6c30f3d09716ec1513311734a21a6aa82bf5fe0767ac69.jpg?v=1785099191"]</t>
        </is>
      </c>
    </row>
    <row r="6" ht="66" customHeight="1">
      <c r="A6" s="2" t="inlineStr">
        <is>
          <t>jeminise.com+autumn-cardinals-perched-above-large-sunflowers-quilt-with-cardinal-birds-9a3b408b20-9a3b408b20</t>
        </is>
      </c>
      <c r="B6" s="2" t="inlineStr">
        <is>
          <t>qaimg_8a56044406ccfa03</t>
        </is>
      </c>
      <c r="C6" s="4" t="inlineStr">
        <is>
          <t>https://cdn.shopify.com/s/files/1/0792/5098/1063/files/f17ccb354040b3320b99a1960533bd6ef949db1145d3897d55a33673489caad9.jpg?v=1785099190</t>
        </is>
      </c>
      <c r="D6" s="4" t="inlineStr">
        <is>
          <t>https://cdn.shopify.com/s/files/1/0792/5098/1063/files/f17ccb354040b3320b99a1960533bd6ef949db1145d3897d55a33673489caad9.jpg?v=1785099190</t>
        </is>
      </c>
      <c r="E6" s="2" t="inlineStr">
        <is>
          <t>38506577985735</t>
        </is>
      </c>
      <c r="F6" s="2" t="inlineStr">
        <is>
          <t>47540016513223</t>
        </is>
      </c>
      <c r="G6" s="2" t="inlineStr"/>
      <c r="H6" s="2" t="inlineStr">
        <is>
          <t>GALLERY</t>
        </is>
      </c>
      <c r="I6" s="2" t="inlineStr">
        <is>
          <t>DIRECT_ORIGINAL_IMAGE_REQA</t>
        </is>
      </c>
      <c r="J6" s="2" t="inlineStr">
        <is>
          <t>2026-09-07T12:03:49.582466+07:00</t>
        </is>
      </c>
      <c r="K6" s="2" t="inlineStr">
        <is>
          <t>Included-components and dimensions graphic: one quilt; two standard shams are optional; Throw/Twin/Queen/King sizes shown.</t>
        </is>
      </c>
      <c r="L6" s="2" t="inlineStr">
        <is>
          <t>Sizing or included-components information image for the bedding set.</t>
        </is>
      </c>
      <c r="M6" s="2" t="inlineStr">
        <is>
          <t>Autumn Cardinals Perched Above Large Sunflowers Quilt with Cardinal Birds</t>
        </is>
      </c>
      <c r="N6" s="2" t="inlineStr">
        <is>
          <t>SET</t>
        </is>
      </c>
      <c r="O6" s="2" t="inlineStr">
        <is>
          <t>Size guide for Cardinal Sunflower Patchwork Quilt Set</t>
        </is>
      </c>
      <c r="P6" s="2" t="inlineStr">
        <is>
          <t>FULL</t>
        </is>
      </c>
      <c r="Q6" s="2" t="inlineStr">
        <is>
          <t>PARTIAL</t>
        </is>
      </c>
      <c r="R6" s="2" t="inlineStr">
        <is>
          <t>PARTIAL</t>
        </is>
      </c>
      <c r="S6" s="2" t="inlineStr">
        <is>
          <t>FULL</t>
        </is>
      </c>
      <c r="T6" s="5">
        <f>IF(P6="FULL",40,IF(P6="PARTIAL",40/2,0))+IF(Q6="FULL",30,IF(Q6="PARTIAL",30/2,0))+IF(R6="FULL",20,IF(R6="PARTIAL",20/2,0))+IF(S6="FULL",10,IF(S6="PARTIAL",10/2,0))</f>
        <v/>
      </c>
      <c r="U6" s="5">
        <f>IF(P6="NOT_CHECKED",0,40)+IF(Q6="NOT_CHECKED",0,30)+IF(R6="NOT_CHECKED",0,20)+IF(S6="NOT_CHECKED",0,10)</f>
        <v/>
      </c>
      <c r="V6" s="5">
        <f>IF(U6=100,T6,"")</f>
        <v/>
      </c>
      <c r="W6" s="5">
        <f>T6</f>
        <v/>
      </c>
      <c r="X6" s="5">
        <f>T6+(100-U6)</f>
        <v/>
      </c>
      <c r="Y6" s="2" t="inlineStr">
        <is>
          <t>["R2-ISS-001-IMG-05"]</t>
        </is>
      </c>
      <c r="Z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 "https://jeminise.com/products/autumn-cardinals-perched-above-large-sunflowers-quilt-with-cardinal-birds-9a3b408b20-9a3b408b20", "https://cdn.shopify.com/s/files/1/0792/5098/1063/files/f17ccb354040b3320b99a1960533bd6ef949db1145d3897d55a33673489caad9.jpg?v=1785099190"]</t>
        </is>
      </c>
    </row>
    <row r="7" ht="66" customHeight="1">
      <c r="A7" s="3" t="inlineStr">
        <is>
          <t>jeminise.com+bright-teal-yellow-softball-comforter-set-premium-sports-theme</t>
        </is>
      </c>
      <c r="B7" s="3" t="inlineStr">
        <is>
          <t>qaimg_1fd378044829575a</t>
        </is>
      </c>
      <c r="C7" s="4" t="inlineStr">
        <is>
          <t>https://cdn.shopify.com/s/files/1/0792/5098/1063/files/aaac3be2edd458da15620b4b48ea0557ee8e33aa5a6ff9ed0d0db11848fd4cbe.jpg?v=1787245111</t>
        </is>
      </c>
      <c r="D7" s="4" t="inlineStr">
        <is>
          <t>https://cdn.shopify.com/s/files/1/0792/5098/1063/files/aaac3be2edd458da15620b4b48ea0557ee8e33aa5a6ff9ed0d0db11848fd4cbe.jpg?v=1787245111</t>
        </is>
      </c>
      <c r="E7" s="3" t="inlineStr">
        <is>
          <t>38895967404231</t>
        </is>
      </c>
      <c r="F7" s="3" t="inlineStr">
        <is>
          <t>47934735909063</t>
        </is>
      </c>
      <c r="G7" s="3" t="inlineStr"/>
      <c r="H7" s="3" t="inlineStr">
        <is>
          <t>GALLERY</t>
        </is>
      </c>
      <c r="I7" s="3" t="inlineStr">
        <is>
          <t>DIRECT_ORIGINAL_IMAGE_REQA</t>
        </is>
      </c>
      <c r="J7" s="3" t="inlineStr">
        <is>
          <t>2026-09-07T12:03:49.582466+07:00</t>
        </is>
      </c>
      <c r="K7" s="3" t="inlineStr">
        <is>
          <t>Front bed mockup: teal, black and white softball patchwork, player silhouettes, number 88, RILEY and EAT SLEEP SOFTBALL text.</t>
        </is>
      </c>
      <c r="L7" s="3" t="inlineStr">
        <is>
          <t>Main bed mockup showing softball patchwork in teal, black and white with player silhouettes and text.</t>
        </is>
      </c>
      <c r="M7" s="3" t="inlineStr">
        <is>
          <t>Bright Teal Yellow Softball Comforter Set – Premium Sports Theme Bedding for Girls, Teens &amp; Women Who Love Softball, Offered in Twin, Queen, King Bed Sizes</t>
        </is>
      </c>
      <c r="N7" s="3" t="inlineStr">
        <is>
          <t>SET</t>
        </is>
      </c>
      <c r="O7" s="3" t="inlineStr">
        <is>
          <t>Bright Teal Softball Comforter Set displayed on a bed</t>
        </is>
      </c>
      <c r="P7" s="3" t="inlineStr">
        <is>
          <t>FULL</t>
        </is>
      </c>
      <c r="Q7" s="3" t="inlineStr">
        <is>
          <t>FULL</t>
        </is>
      </c>
      <c r="R7" s="3" t="inlineStr">
        <is>
          <t>FULL</t>
        </is>
      </c>
      <c r="S7" s="3" t="inlineStr">
        <is>
          <t>FULL</t>
        </is>
      </c>
      <c r="T7" s="7">
        <f>IF(P7="FULL",40,IF(P7="PARTIAL",40/2,0))+IF(Q7="FULL",30,IF(Q7="PARTIAL",30/2,0))+IF(R7="FULL",20,IF(R7="PARTIAL",20/2,0))+IF(S7="FULL",10,IF(S7="PARTIAL",10/2,0))</f>
        <v/>
      </c>
      <c r="U7" s="7">
        <f>IF(P7="NOT_CHECKED",0,40)+IF(Q7="NOT_CHECKED",0,30)+IF(R7="NOT_CHECKED",0,20)+IF(S7="NOT_CHECKED",0,10)</f>
        <v/>
      </c>
      <c r="V7" s="7">
        <f>IF(U7=100,T7,"")</f>
        <v/>
      </c>
      <c r="W7" s="7">
        <f>T7</f>
        <v/>
      </c>
      <c r="X7" s="7">
        <f>T7+(100-U7)</f>
        <v/>
      </c>
      <c r="Y7" s="3" t="inlineStr">
        <is>
          <t>[]</t>
        </is>
      </c>
      <c r="Z7" s="3" t="inlineStr">
        <is>
          <t>["seo_runs\\jeminise.com\\20260906_234129\\evidence\\images\\2_bright-teal-yellow-softball-comforter-set-premium-sports-theme\\image_01_47934735909063.jpg; seo_runs\\jeminise.com\\20260906_234129\\evidence\\contact_sheets\\2_bright-teal-yellow-softball-comforter-set-premium-sports-theme.jpg", "https://jeminise.com/products/bright-teal-yellow-softball-comforter-set-premium-sports-theme", "https://cdn.shopify.com/s/files/1/0792/5098/1063/files/aaac3be2edd458da15620b4b48ea0557ee8e33aa5a6ff9ed0d0db11848fd4cbe.jpg?v=1787245111"]</t>
        </is>
      </c>
    </row>
    <row r="8" ht="66" customHeight="1">
      <c r="A8" s="2" t="inlineStr">
        <is>
          <t>jeminise.com+bright-teal-yellow-softball-comforter-set-premium-sports-theme</t>
        </is>
      </c>
      <c r="B8" s="2" t="inlineStr">
        <is>
          <t>qaimg_e4eff0625849f778</t>
        </is>
      </c>
      <c r="C8" s="4" t="inlineStr">
        <is>
          <t>https://cdn.shopify.com/s/files/1/0792/5098/1063/files/b4d8d185bcbb550263dadfadb3419fffc97f4c44e070091e393e7296e5d6fb3c.jpg?v=1787245111</t>
        </is>
      </c>
      <c r="D8" s="4" t="inlineStr">
        <is>
          <t>https://cdn.shopify.com/s/files/1/0792/5098/1063/files/b4d8d185bcbb550263dadfadb3419fffc97f4c44e070091e393e7296e5d6fb3c.jpg?v=1787245111</t>
        </is>
      </c>
      <c r="E8" s="2" t="inlineStr">
        <is>
          <t>38895967436999</t>
        </is>
      </c>
      <c r="F8" s="2" t="inlineStr">
        <is>
          <t>47934735941831</t>
        </is>
      </c>
      <c r="G8" s="2" t="inlineStr"/>
      <c r="H8" s="2" t="inlineStr">
        <is>
          <t>GALLERY</t>
        </is>
      </c>
      <c r="I8" s="2" t="inlineStr">
        <is>
          <t>DIRECT_ORIGINAL_IMAGE_REQA</t>
        </is>
      </c>
      <c r="J8" s="2" t="inlineStr">
        <is>
          <t>2026-09-07T12:03:49.582466+07:00</t>
        </is>
      </c>
      <c r="K8" s="2" t="inlineStr">
        <is>
          <t>Angled bedroom mockup of the same softball comforter design.</t>
        </is>
      </c>
      <c r="L8" s="2" t="inlineStr">
        <is>
          <t>Secondary detail or room mockup showing softball patchwork in teal, black and white with player silhouettes and text and visible quilted/printed texture.</t>
        </is>
      </c>
      <c r="M8" s="2" t="inlineStr">
        <is>
          <t>Bright Teal Yellow Softball Comforter Set – Premium Sports Theme Bedding for Girls, Teens &amp; Women Who Love Softball, Offered in Twin, Queen, King Bed Sizes</t>
        </is>
      </c>
      <c r="N8" s="2" t="inlineStr">
        <is>
          <t>SET</t>
        </is>
      </c>
      <c r="O8" s="2" t="inlineStr">
        <is>
          <t>Close view of softball patchwork in teal, black and white with player silhouettes and text on the comforter set</t>
        </is>
      </c>
      <c r="P8" s="2" t="inlineStr">
        <is>
          <t>FULL</t>
        </is>
      </c>
      <c r="Q8" s="2" t="inlineStr">
        <is>
          <t>PARTIAL</t>
        </is>
      </c>
      <c r="R8" s="2" t="inlineStr">
        <is>
          <t>FAIL</t>
        </is>
      </c>
      <c r="S8" s="2" t="inlineStr">
        <is>
          <t>FULL</t>
        </is>
      </c>
      <c r="T8" s="5">
        <f>IF(P8="FULL",40,IF(P8="PARTIAL",40/2,0))+IF(Q8="FULL",30,IF(Q8="PARTIAL",30/2,0))+IF(R8="FULL",20,IF(R8="PARTIAL",20/2,0))+IF(S8="FULL",10,IF(S8="PARTIAL",10/2,0))</f>
        <v/>
      </c>
      <c r="U8" s="5">
        <f>IF(P8="NOT_CHECKED",0,40)+IF(Q8="NOT_CHECKED",0,30)+IF(R8="NOT_CHECKED",0,20)+IF(S8="NOT_CHECKED",0,10)</f>
        <v/>
      </c>
      <c r="V8" s="5">
        <f>IF(U8=100,T8,"")</f>
        <v/>
      </c>
      <c r="W8" s="5">
        <f>T8</f>
        <v/>
      </c>
      <c r="X8" s="5">
        <f>T8+(100-U8)</f>
        <v/>
      </c>
      <c r="Y8" s="2" t="inlineStr">
        <is>
          <t>["R2-ISS-002-IMG-02"]</t>
        </is>
      </c>
      <c r="Z8" s="2" t="inlineStr">
        <is>
          <t>["seo_runs\\jeminise.com\\20260906_234129\\evidence\\images\\2_bright-teal-yellow-softball-comforter-set-premium-sports-theme\\image_02_47934735941831.jpg; seo_runs\\jeminise.com\\20260906_234129\\evidence\\contact_sheets\\2_bright-teal-yellow-softball-comforter-set-premium-sports-theme.jpg", "https://jeminise.com/products/bright-teal-yellow-softball-comforter-set-premium-sports-theme", "https://cdn.shopify.com/s/files/1/0792/5098/1063/files/b4d8d185bcbb550263dadfadb3419fffc97f4c44e070091e393e7296e5d6fb3c.jpg?v=1787245111"]</t>
        </is>
      </c>
    </row>
    <row r="9" ht="66" customHeight="1">
      <c r="A9" s="3" t="inlineStr">
        <is>
          <t>jeminise.com+bright-teal-yellow-softball-comforter-set-premium-sports-theme</t>
        </is>
      </c>
      <c r="B9" s="3" t="inlineStr">
        <is>
          <t>qaimg_818a7f1a1cf31342</t>
        </is>
      </c>
      <c r="C9" s="4" t="inlineStr">
        <is>
          <t>https://cdn.shopify.com/s/files/1/0792/5098/1063/files/4905418785c478f3ccf76145151452929eacdfc883190607ac14b204c401e760.jpg?v=1787245111</t>
        </is>
      </c>
      <c r="D9" s="4" t="inlineStr">
        <is>
          <t>https://cdn.shopify.com/s/files/1/0792/5098/1063/files/4905418785c478f3ccf76145151452929eacdfc883190607ac14b204c401e760.jpg?v=1787245111</t>
        </is>
      </c>
      <c r="E9" s="3" t="inlineStr">
        <is>
          <t>38895967469767</t>
        </is>
      </c>
      <c r="F9" s="3" t="inlineStr">
        <is>
          <t>47934735974599</t>
        </is>
      </c>
      <c r="G9" s="3" t="inlineStr"/>
      <c r="H9" s="3" t="inlineStr">
        <is>
          <t>GALLERY</t>
        </is>
      </c>
      <c r="I9" s="3" t="inlineStr">
        <is>
          <t>DIRECT_ORIGINAL_IMAGE_REQA</t>
        </is>
      </c>
      <c r="J9" s="3" t="inlineStr">
        <is>
          <t>2026-09-07T12:03:49.582466+07:00</t>
        </is>
      </c>
      <c r="K9" s="3" t="inlineStr">
        <is>
          <t>Close view of two pillowcases with number 88 and a batter silhouette.</t>
        </is>
      </c>
      <c r="L9" s="3" t="inlineStr">
        <is>
          <t>Matching pillow sham or bedding detail using the same softball patchwork in teal, black and white with player silhouettes and text artwork.</t>
        </is>
      </c>
      <c r="M9" s="3" t="inlineStr">
        <is>
          <t>Bright Teal Yellow Softball Comforter Set – Premium Sports Theme Bedding for Girls, Teens &amp; Women Who Love Softball, Offered in Twin, Queen, King Bed Sizes</t>
        </is>
      </c>
      <c r="N9" s="3" t="inlineStr">
        <is>
          <t>SET</t>
        </is>
      </c>
      <c r="O9" s="3" t="inlineStr">
        <is>
          <t>Matching pillow sham for Bright Teal Softball Comforter Set</t>
        </is>
      </c>
      <c r="P9" s="3" t="inlineStr">
        <is>
          <t>FULL</t>
        </is>
      </c>
      <c r="Q9" s="3" t="inlineStr">
        <is>
          <t>FULL</t>
        </is>
      </c>
      <c r="R9" s="3" t="inlineStr">
        <is>
          <t>FULL</t>
        </is>
      </c>
      <c r="S9" s="3" t="inlineStr">
        <is>
          <t>FULL</t>
        </is>
      </c>
      <c r="T9" s="7">
        <f>IF(P9="FULL",40,IF(P9="PARTIAL",40/2,0))+IF(Q9="FULL",30,IF(Q9="PARTIAL",30/2,0))+IF(R9="FULL",20,IF(R9="PARTIAL",20/2,0))+IF(S9="FULL",10,IF(S9="PARTIAL",10/2,0))</f>
        <v/>
      </c>
      <c r="U9" s="7">
        <f>IF(P9="NOT_CHECKED",0,40)+IF(Q9="NOT_CHECKED",0,30)+IF(R9="NOT_CHECKED",0,20)+IF(S9="NOT_CHECKED",0,10)</f>
        <v/>
      </c>
      <c r="V9" s="7">
        <f>IF(U9=100,T9,"")</f>
        <v/>
      </c>
      <c r="W9" s="7">
        <f>T9</f>
        <v/>
      </c>
      <c r="X9" s="7">
        <f>T9+(100-U9)</f>
        <v/>
      </c>
      <c r="Y9" s="3" t="inlineStr">
        <is>
          <t>[]</t>
        </is>
      </c>
      <c r="Z9" s="3" t="inlineStr">
        <is>
          <t>["seo_runs\\jeminise.com\\20260906_234129\\evidence\\images\\2_bright-teal-yellow-softball-comforter-set-premium-sports-theme\\image_03_47934735974599.jpg; seo_runs\\jeminise.com\\20260906_234129\\evidence\\contact_sheets\\2_bright-teal-yellow-softball-comforter-set-premium-sports-theme.jpg", "https://jeminise.com/products/bright-teal-yellow-softball-comforter-set-premium-sports-theme", "https://cdn.shopify.com/s/files/1/0792/5098/1063/files/4905418785c478f3ccf76145151452929eacdfc883190607ac14b204c401e760.jpg?v=1787245111"]</t>
        </is>
      </c>
    </row>
    <row r="10" ht="66" customHeight="1">
      <c r="A10" s="2" t="inlineStr">
        <is>
          <t>jeminise.com+bright-teal-yellow-softball-comforter-set-premium-sports-theme</t>
        </is>
      </c>
      <c r="B10" s="2" t="inlineStr">
        <is>
          <t>qaimg_e39a0722bea43dc5</t>
        </is>
      </c>
      <c r="C10" s="4" t="inlineStr">
        <is>
          <t>https://cdn.shopify.com/s/files/1/0792/5098/1063/files/66e753b90ce33322bda9902192b0d181e5f65b4823b1464fb51d32bee82398ed.jpg?v=1787245111</t>
        </is>
      </c>
      <c r="D10" s="4" t="inlineStr">
        <is>
          <t>https://cdn.shopify.com/s/files/1/0792/5098/1063/files/66e753b90ce33322bda9902192b0d181e5f65b4823b1464fb51d32bee82398ed.jpg?v=1787245111</t>
        </is>
      </c>
      <c r="E10" s="2" t="inlineStr">
        <is>
          <t>38895967502535</t>
        </is>
      </c>
      <c r="F10" s="2" t="inlineStr">
        <is>
          <t>47934736007367</t>
        </is>
      </c>
      <c r="G10" s="2" t="inlineStr"/>
      <c r="H10" s="2" t="inlineStr">
        <is>
          <t>GALLERY</t>
        </is>
      </c>
      <c r="I10" s="2" t="inlineStr">
        <is>
          <t>DIRECT_ORIGINAL_IMAGE_REQA</t>
        </is>
      </c>
      <c r="J10" s="2" t="inlineStr">
        <is>
          <t>2026-09-07T12:03:49.582466+07:00</t>
        </is>
      </c>
      <c r="K10" s="2" t="inlineStr">
        <is>
          <t>Folded comforter showing the printed face and plain white reverse.</t>
        </is>
      </c>
      <c r="L10" s="2" t="inlineStr">
        <is>
          <t>Room/folded product or fabric information image tied to the softball patchwork in teal, black and white with player silhouettes and text design.</t>
        </is>
      </c>
      <c r="M10" s="2" t="inlineStr">
        <is>
          <t>Bright Teal Yellow Softball Comforter Set – Premium Sports Theme Bedding for Girls, Teens &amp; Women Who Love Softball, Offered in Twin, Queen, King Bed Sizes</t>
        </is>
      </c>
      <c r="N10" s="2" t="inlineStr">
        <is>
          <t>SET</t>
        </is>
      </c>
      <c r="O10" s="2" t="inlineStr">
        <is>
          <t>Bright Teal Softball Comforter Set shown in a bedroom setting</t>
        </is>
      </c>
      <c r="P10" s="2" t="inlineStr">
        <is>
          <t>FULL</t>
        </is>
      </c>
      <c r="Q10" s="2" t="inlineStr">
        <is>
          <t>PARTIAL</t>
        </is>
      </c>
      <c r="R10" s="2" t="inlineStr">
        <is>
          <t>FAIL</t>
        </is>
      </c>
      <c r="S10" s="2" t="inlineStr">
        <is>
          <t>FULL</t>
        </is>
      </c>
      <c r="T10" s="5">
        <f>IF(P10="FULL",40,IF(P10="PARTIAL",40/2,0))+IF(Q10="FULL",30,IF(Q10="PARTIAL",30/2,0))+IF(R10="FULL",20,IF(R10="PARTIAL",20/2,0))+IF(S10="FULL",10,IF(S10="PARTIAL",10/2,0))</f>
        <v/>
      </c>
      <c r="U10" s="5">
        <f>IF(P10="NOT_CHECKED",0,40)+IF(Q10="NOT_CHECKED",0,30)+IF(R10="NOT_CHECKED",0,20)+IF(S10="NOT_CHECKED",0,10)</f>
        <v/>
      </c>
      <c r="V10" s="5">
        <f>IF(U10=100,T10,"")</f>
        <v/>
      </c>
      <c r="W10" s="5">
        <f>T10</f>
        <v/>
      </c>
      <c r="X10" s="5">
        <f>T10+(100-U10)</f>
        <v/>
      </c>
      <c r="Y10" s="2" t="inlineStr">
        <is>
          <t>["R2-ISS-002-IMG-04"]</t>
        </is>
      </c>
      <c r="Z10" s="2" t="inlineStr">
        <is>
          <t>["seo_runs\\jeminise.com\\20260906_234129\\evidence\\images\\2_bright-teal-yellow-softball-comforter-set-premium-sports-theme\\image_04_47934736007367.jpg; seo_runs\\jeminise.com\\20260906_234129\\evidence\\contact_sheets\\2_bright-teal-yellow-softball-comforter-set-premium-sports-theme.jpg", "https://jeminise.com/products/bright-teal-yellow-softball-comforter-set-premium-sports-theme", "https://cdn.shopify.com/s/files/1/0792/5098/1063/files/66e753b90ce33322bda9902192b0d181e5f65b4823b1464fb51d32bee82398ed.jpg?v=1787245111"]</t>
        </is>
      </c>
    </row>
    <row r="11" ht="66" customHeight="1">
      <c r="A11" s="3" t="inlineStr">
        <is>
          <t>jeminise.com+bright-teal-yellow-softball-comforter-set-premium-sports-theme</t>
        </is>
      </c>
      <c r="B11" s="3" t="inlineStr">
        <is>
          <t>qaimg_d6033fe2a892182c</t>
        </is>
      </c>
      <c r="C11" s="4" t="inlineStr">
        <is>
          <t>https://cdn.shopify.com/s/files/1/0792/5098/1063/files/a8d8145d1b6e7b4bbc3eb1dc71a100a3f3243648810f40f7f678de166dbfd428.jpg?v=1787245111</t>
        </is>
      </c>
      <c r="D11" s="4" t="inlineStr">
        <is>
          <t>https://cdn.shopify.com/s/files/1/0792/5098/1063/files/a8d8145d1b6e7b4bbc3eb1dc71a100a3f3243648810f40f7f678de166dbfd428.jpg?v=1787245111</t>
        </is>
      </c>
      <c r="E11" s="3" t="inlineStr">
        <is>
          <t>38895967535303</t>
        </is>
      </c>
      <c r="F11" s="3" t="inlineStr">
        <is>
          <t>47934736040135</t>
        </is>
      </c>
      <c r="G11" s="3" t="inlineStr"/>
      <c r="H11" s="3" t="inlineStr">
        <is>
          <t>GALLERY</t>
        </is>
      </c>
      <c r="I11" s="3" t="inlineStr">
        <is>
          <t>DIRECT_ORIGINAL_IMAGE_REQA</t>
        </is>
      </c>
      <c r="J11" s="3" t="inlineStr">
        <is>
          <t>2026-09-07T12:03:49.582466+07:00</t>
        </is>
      </c>
      <c r="K11" s="3" t="inlineStr">
        <is>
          <t>Close-up comparing the plain reverse with the printed face; no size chart is present.</t>
        </is>
      </c>
      <c r="L11" s="3" t="inlineStr">
        <is>
          <t>Sizing or included-components information image for the bedding set.</t>
        </is>
      </c>
      <c r="M11" s="3" t="inlineStr">
        <is>
          <t>Bright Teal Yellow Softball Comforter Set – Premium Sports Theme Bedding for Girls, Teens &amp; Women Who Love Softball, Offered in Twin, Queen, King Bed Sizes</t>
        </is>
      </c>
      <c r="N11" s="3" t="inlineStr">
        <is>
          <t>SET</t>
        </is>
      </c>
      <c r="O11" s="3" t="inlineStr">
        <is>
          <t>Size guide for Bright Teal Softball Comforter Set</t>
        </is>
      </c>
      <c r="P11" s="3" t="inlineStr">
        <is>
          <t>FULL</t>
        </is>
      </c>
      <c r="Q11" s="3" t="inlineStr">
        <is>
          <t>FAIL</t>
        </is>
      </c>
      <c r="R11" s="3" t="inlineStr">
        <is>
          <t>FAIL</t>
        </is>
      </c>
      <c r="S11" s="3" t="inlineStr">
        <is>
          <t>FULL</t>
        </is>
      </c>
      <c r="T11" s="7">
        <f>IF(P11="FULL",40,IF(P11="PARTIAL",40/2,0))+IF(Q11="FULL",30,IF(Q11="PARTIAL",30/2,0))+IF(R11="FULL",20,IF(R11="PARTIAL",20/2,0))+IF(S11="FULL",10,IF(S11="PARTIAL",10/2,0))</f>
        <v/>
      </c>
      <c r="U11" s="7">
        <f>IF(P11="NOT_CHECKED",0,40)+IF(Q11="NOT_CHECKED",0,30)+IF(R11="NOT_CHECKED",0,20)+IF(S11="NOT_CHECKED",0,10)</f>
        <v/>
      </c>
      <c r="V11" s="7">
        <f>IF(U11=100,T11,"")</f>
        <v/>
      </c>
      <c r="W11" s="7">
        <f>T11</f>
        <v/>
      </c>
      <c r="X11" s="7">
        <f>T11+(100-U11)</f>
        <v/>
      </c>
      <c r="Y11" s="3" t="inlineStr">
        <is>
          <t>["R2-ISS-002-IMG-05"]</t>
        </is>
      </c>
      <c r="Z11" s="3" t="inlineStr">
        <is>
          <t>["seo_runs\\jeminise.com\\20260906_234129\\evidence\\images\\2_bright-teal-yellow-softball-comforter-set-premium-sports-theme\\image_05_47934736040135.jpg; seo_runs\\jeminise.com\\20260906_234129\\evidence\\contact_sheets\\2_bright-teal-yellow-softball-comforter-set-premium-sports-theme.jpg", "https://jeminise.com/products/bright-teal-yellow-softball-comforter-set-premium-sports-theme", "https://cdn.shopify.com/s/files/1/0792/5098/1063/files/a8d8145d1b6e7b4bbc3eb1dc71a100a3f3243648810f40f7f678de166dbfd428.jpg?v=1787245111"]</t>
        </is>
      </c>
    </row>
    <row r="12" ht="66" customHeight="1">
      <c r="A12" s="2" t="inlineStr">
        <is>
          <t>jeminise.com+bright-teal-yellow-softball-comforter-set-premium-sports-theme</t>
        </is>
      </c>
      <c r="B12" s="2" t="inlineStr">
        <is>
          <t>qaimg_fef8ad032f828b5c</t>
        </is>
      </c>
      <c r="C12" s="4" t="inlineStr">
        <is>
          <t>https://cdn.shopify.com/s/files/1/0792/5098/1063/files/b5c74b68d1b4eff2209b7123e3fbe61d1e31afd73aa5ba647e17c194e2e66c44_6ab5c586-a618-40f4-b48e-38e09e6a461b.jpg?v=1787245111</t>
        </is>
      </c>
      <c r="D12" s="4" t="inlineStr">
        <is>
          <t>https://cdn.shopify.com/s/files/1/0792/5098/1063/files/b5c74b68d1b4eff2209b7123e3fbe61d1e31afd73aa5ba647e17c194e2e66c44_6ab5c586-a618-40f4-b48e-38e09e6a461b.jpg?v=1787245111</t>
        </is>
      </c>
      <c r="E12" s="2" t="inlineStr">
        <is>
          <t>38895967568071</t>
        </is>
      </c>
      <c r="F12" s="2" t="inlineStr">
        <is>
          <t>47934736072903</t>
        </is>
      </c>
      <c r="G12" s="2" t="inlineStr"/>
      <c r="H12" s="2" t="inlineStr">
        <is>
          <t>GALLERY</t>
        </is>
      </c>
      <c r="I12" s="2" t="inlineStr">
        <is>
          <t>DIRECT_ORIGINAL_IMAGE_REQA</t>
        </is>
      </c>
      <c r="J12" s="2" t="inlineStr">
        <is>
          <t>2026-09-07T12:03:49.582466+07:00</t>
        </is>
      </c>
      <c r="K12" s="2" t="inlineStr">
        <is>
          <t>Feature graphic stating machine washable, soft microfiber filling, lightweight and breathable.</t>
        </is>
      </c>
      <c r="L12" s="2" t="inlineStr">
        <is>
          <t>Feature image describing fabric layers, softness, breathability or care details.</t>
        </is>
      </c>
      <c r="M12" s="2" t="inlineStr">
        <is>
          <t>Bright Teal Yellow Softball Comforter Set – Premium Sports Theme Bedding for Girls, Teens &amp; Women Who Love Softball, Offered in Twin, Queen, King Bed Sizes</t>
        </is>
      </c>
      <c r="N12" s="2" t="inlineStr">
        <is>
          <t>SET</t>
        </is>
      </c>
      <c r="O12" s="2" t="inlineStr">
        <is>
          <t>Fabric feature graphic for Bright Teal Softball Comforter Set</t>
        </is>
      </c>
      <c r="P12" s="2" t="inlineStr">
        <is>
          <t>FULL</t>
        </is>
      </c>
      <c r="Q12" s="2" t="inlineStr">
        <is>
          <t>FULL</t>
        </is>
      </c>
      <c r="R12" s="2" t="inlineStr">
        <is>
          <t>FULL</t>
        </is>
      </c>
      <c r="S12" s="2" t="inlineStr">
        <is>
          <t>FULL</t>
        </is>
      </c>
      <c r="T12" s="5">
        <f>IF(P12="FULL",40,IF(P12="PARTIAL",40/2,0))+IF(Q12="FULL",30,IF(Q12="PARTIAL",30/2,0))+IF(R12="FULL",20,IF(R12="PARTIAL",20/2,0))+IF(S12="FULL",10,IF(S12="PARTIAL",10/2,0))</f>
        <v/>
      </c>
      <c r="U12" s="5">
        <f>IF(P12="NOT_CHECKED",0,40)+IF(Q12="NOT_CHECKED",0,30)+IF(R12="NOT_CHECKED",0,20)+IF(S12="NOT_CHECKED",0,10)</f>
        <v/>
      </c>
      <c r="V12" s="5">
        <f>IF(U12=100,T12,"")</f>
        <v/>
      </c>
      <c r="W12" s="5">
        <f>T12</f>
        <v/>
      </c>
      <c r="X12" s="5">
        <f>T12+(100-U12)</f>
        <v/>
      </c>
      <c r="Y12" s="2" t="inlineStr">
        <is>
          <t>[]</t>
        </is>
      </c>
      <c r="Z12" s="2" t="inlineStr">
        <is>
          <t>["seo_runs\\jeminise.com\\20260906_234129\\evidence\\images\\2_bright-teal-yellow-softball-comforter-set-premium-sports-theme\\image_06_47934736072903.jpg; seo_runs\\jeminise.com\\20260906_234129\\evidence\\contact_sheets\\2_bright-teal-yellow-softball-comforter-set-premium-sports-theme.jpg", "https://jeminise.com/products/bright-teal-yellow-softball-comforter-set-premium-sports-theme", "https://cdn.shopify.com/s/files/1/0792/5098/1063/files/b5c74b68d1b4eff2209b7123e3fbe61d1e31afd73aa5ba647e17c194e2e66c44_6ab5c586-a618-40f4-b48e-38e09e6a461b.jpg?v=1787245111"]</t>
        </is>
      </c>
    </row>
    <row r="13" ht="66" customHeight="1">
      <c r="A13" s="3" t="inlineStr">
        <is>
          <t>jeminise.com+bright-teal-yellow-softball-comforter-set-premium-sports-theme</t>
        </is>
      </c>
      <c r="B13" s="3" t="inlineStr">
        <is>
          <t>qaimg_f68e96fb788aa5d7</t>
        </is>
      </c>
      <c r="C13" s="4" t="inlineStr">
        <is>
          <t>https://cdn.shopify.com/s/files/1/0792/5098/1063/files/a0ebf0c8e5cb1f2c8f924529805ea1d20494460dd41a740514b8862f5d5a2f4f_b03a920f-a52a-4b39-842e-77c13ca56137.jpg?v=1787245111</t>
        </is>
      </c>
      <c r="D13" s="4" t="inlineStr">
        <is>
          <t>https://cdn.shopify.com/s/files/1/0792/5098/1063/files/a0ebf0c8e5cb1f2c8f924529805ea1d20494460dd41a740514b8862f5d5a2f4f_b03a920f-a52a-4b39-842e-77c13ca56137.jpg?v=1787245111</t>
        </is>
      </c>
      <c r="E13" s="3" t="inlineStr">
        <is>
          <t>38895967600839</t>
        </is>
      </c>
      <c r="F13" s="3" t="inlineStr">
        <is>
          <t>47934736105671</t>
        </is>
      </c>
      <c r="G13" s="3" t="inlineStr"/>
      <c r="H13" s="3" t="inlineStr">
        <is>
          <t>GALLERY</t>
        </is>
      </c>
      <c r="I13" s="3" t="inlineStr">
        <is>
          <t>DIRECT_ORIGINAL_IMAGE_REQA</t>
        </is>
      </c>
      <c r="J13" s="3" t="inlineStr">
        <is>
          <t>2026-09-07T12:03:49.582466+07:00</t>
        </is>
      </c>
      <c r="K13" s="3" t="inlineStr">
        <is>
          <t>Included-components graphic stating one comforter and two pillowcases included.</t>
        </is>
      </c>
      <c r="L13" s="3" t="inlineStr">
        <is>
          <t>Additional bedroom mockup showing the softball patchwork in teal, black and white with player silhouettes and text design on a bed.</t>
        </is>
      </c>
      <c r="M13" s="3" t="inlineStr">
        <is>
          <t>Bright Teal Yellow Softball Comforter Set – Premium Sports Theme Bedding for Girls, Teens &amp; Women Who Love Softball, Offered in Twin, Queen, King Bed Sizes</t>
        </is>
      </c>
      <c r="N13" s="3" t="inlineStr">
        <is>
          <t>SET</t>
        </is>
      </c>
      <c r="O13" s="3" t="inlineStr">
        <is>
          <t>Bedroom mockup of Bright Teal Softball Comforter Set</t>
        </is>
      </c>
      <c r="P13" s="3" t="inlineStr">
        <is>
          <t>FULL</t>
        </is>
      </c>
      <c r="Q13" s="3" t="inlineStr">
        <is>
          <t>FAIL</t>
        </is>
      </c>
      <c r="R13" s="3" t="inlineStr">
        <is>
          <t>FAIL</t>
        </is>
      </c>
      <c r="S13" s="3" t="inlineStr">
        <is>
          <t>FULL</t>
        </is>
      </c>
      <c r="T13" s="7">
        <f>IF(P13="FULL",40,IF(P13="PARTIAL",40/2,0))+IF(Q13="FULL",30,IF(Q13="PARTIAL",30/2,0))+IF(R13="FULL",20,IF(R13="PARTIAL",20/2,0))+IF(S13="FULL",10,IF(S13="PARTIAL",10/2,0))</f>
        <v/>
      </c>
      <c r="U13" s="7">
        <f>IF(P13="NOT_CHECKED",0,40)+IF(Q13="NOT_CHECKED",0,30)+IF(R13="NOT_CHECKED",0,20)+IF(S13="NOT_CHECKED",0,10)</f>
        <v/>
      </c>
      <c r="V13" s="7">
        <f>IF(U13=100,T13,"")</f>
        <v/>
      </c>
      <c r="W13" s="7">
        <f>T13</f>
        <v/>
      </c>
      <c r="X13" s="7">
        <f>T13+(100-U13)</f>
        <v/>
      </c>
      <c r="Y13" s="3" t="inlineStr">
        <is>
          <t>["R2-ISS-002-IMG-07"]</t>
        </is>
      </c>
      <c r="Z13" s="3" t="inlineStr">
        <is>
          <t>["seo_runs\\jeminise.com\\20260906_234129\\evidence\\images\\2_bright-teal-yellow-softball-comforter-set-premium-sports-theme\\image_07_47934736105671.jpg; seo_runs\\jeminise.com\\20260906_234129\\evidence\\contact_sheets\\2_bright-teal-yellow-softball-comforter-set-premium-sports-theme.jpg", "https://jeminise.com/products/bright-teal-yellow-softball-comforter-set-premium-sports-theme", "https://cdn.shopify.com/s/files/1/0792/5098/1063/files/a0ebf0c8e5cb1f2c8f924529805ea1d20494460dd41a740514b8862f5d5a2f4f_b03a920f-a52a-4b39-842e-77c13ca56137.jpg?v=1787245111"]</t>
        </is>
      </c>
    </row>
    <row r="14" ht="66" customHeight="1">
      <c r="A14" s="2" t="inlineStr">
        <is>
          <t>jeminise.com+cardinals-perched-beside-decorated-christmas-tree-patchwork-winter-quilt-7cd7bc46a0-7cd7bc46a0</t>
        </is>
      </c>
      <c r="B14" s="2" t="inlineStr">
        <is>
          <t>qaimg_d074ca80051530d5</t>
        </is>
      </c>
      <c r="C14" s="4" t="inlineStr">
        <is>
          <t>https://cdn.shopify.com/s/files/1/0792/5098/1063/files/3a652bff5b2cdcf1fb571a14f08c2175d783a6106bb14665fb5861e23501a1fa.jpg?v=1785099109</t>
        </is>
      </c>
      <c r="D14" s="4" t="inlineStr">
        <is>
          <t>https://cdn.shopify.com/s/files/1/0792/5098/1063/files/3a652bff5b2cdcf1fb571a14f08c2175d783a6106bb14665fb5861e23501a1fa.jpg?v=1785099109</t>
        </is>
      </c>
      <c r="E14" s="2" t="inlineStr">
        <is>
          <t>38506565566663</t>
        </is>
      </c>
      <c r="F14" s="2" t="inlineStr">
        <is>
          <t>47540004094151</t>
        </is>
      </c>
      <c r="G14" s="2" t="inlineStr"/>
      <c r="H14" s="2" t="inlineStr">
        <is>
          <t>GALLERY</t>
        </is>
      </c>
      <c r="I14" s="2" t="inlineStr">
        <is>
          <t>DIRECT_ORIGINAL_IMAGE_REQA</t>
        </is>
      </c>
      <c r="J14" s="2" t="inlineStr">
        <is>
          <t>2026-09-07T12:03:49.582466+07:00</t>
        </is>
      </c>
      <c r="K14" s="2" t="inlineStr">
        <is>
          <t>Bed mockup with red cardinals, a decorated snowy Christmas tree, ornaments and I Am Always with You text.</t>
        </is>
      </c>
      <c r="L14" s="2" t="inlineStr">
        <is>
          <t>Main bed mockup showing red cardinals beside a decorated Christmas tree with memorial text.</t>
        </is>
      </c>
      <c r="M14" s="2" t="inlineStr">
        <is>
          <t>Cardinals Perched Beside Decorated Christmas Tree Patchwork Winter Quilt</t>
        </is>
      </c>
      <c r="N14" s="2" t="inlineStr">
        <is>
          <t>SET</t>
        </is>
      </c>
      <c r="O14" s="2" t="inlineStr">
        <is>
          <t>Cardinal Christmas Memorial Patchwork Quilt displayed on a bed</t>
        </is>
      </c>
      <c r="P14" s="2" t="inlineStr">
        <is>
          <t>FULL</t>
        </is>
      </c>
      <c r="Q14" s="2" t="inlineStr">
        <is>
          <t>FULL</t>
        </is>
      </c>
      <c r="R14" s="2" t="inlineStr">
        <is>
          <t>FULL</t>
        </is>
      </c>
      <c r="S14" s="2" t="inlineStr">
        <is>
          <t>FULL</t>
        </is>
      </c>
      <c r="T14" s="5">
        <f>IF(P14="FULL",40,IF(P14="PARTIAL",40/2,0))+IF(Q14="FULL",30,IF(Q14="PARTIAL",30/2,0))+IF(R14="FULL",20,IF(R14="PARTIAL",20/2,0))+IF(S14="FULL",10,IF(S14="PARTIAL",10/2,0))</f>
        <v/>
      </c>
      <c r="U14" s="5">
        <f>IF(P14="NOT_CHECKED",0,40)+IF(Q14="NOT_CHECKED",0,30)+IF(R14="NOT_CHECKED",0,20)+IF(S14="NOT_CHECKED",0,10)</f>
        <v/>
      </c>
      <c r="V14" s="5">
        <f>IF(U14=100,T14,"")</f>
        <v/>
      </c>
      <c r="W14" s="5">
        <f>T14</f>
        <v/>
      </c>
      <c r="X14" s="5">
        <f>T14+(100-U14)</f>
        <v/>
      </c>
      <c r="Y14" s="2" t="inlineStr">
        <is>
          <t>[]</t>
        </is>
      </c>
      <c r="Z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 "https://jeminise.com/products/cardinals-perched-beside-decorated-christmas-tree-patchwork-winter-quilt-7cd7bc46a0-7cd7bc46a0", "https://cdn.shopify.com/s/files/1/0792/5098/1063/files/3a652bff5b2cdcf1fb571a14f08c2175d783a6106bb14665fb5861e23501a1fa.jpg?v=1785099109"]</t>
        </is>
      </c>
    </row>
    <row r="15" ht="66" customHeight="1">
      <c r="A15" s="3" t="inlineStr">
        <is>
          <t>jeminise.com+cardinals-perched-beside-decorated-christmas-tree-patchwork-winter-quilt-7cd7bc46a0-7cd7bc46a0</t>
        </is>
      </c>
      <c r="B15" s="3" t="inlineStr">
        <is>
          <t>qaimg_84ef68ebb3b01805</t>
        </is>
      </c>
      <c r="C15" s="4" t="inlineStr">
        <is>
          <t>https://cdn.shopify.com/s/files/1/0792/5098/1063/files/23aae70766fcc57c63f2a120721dae1baf196f15ef46a71bef7a702d11c656ca.jpg?v=1785099109</t>
        </is>
      </c>
      <c r="D15" s="4" t="inlineStr">
        <is>
          <t>https://cdn.shopify.com/s/files/1/0792/5098/1063/files/23aae70766fcc57c63f2a120721dae1baf196f15ef46a71bef7a702d11c656ca.jpg?v=1785099109</t>
        </is>
      </c>
      <c r="E15" s="3" t="inlineStr">
        <is>
          <t>38506565599431</t>
        </is>
      </c>
      <c r="F15" s="3" t="inlineStr">
        <is>
          <t>47540004126919</t>
        </is>
      </c>
      <c r="G15" s="3" t="inlineStr"/>
      <c r="H15" s="3" t="inlineStr">
        <is>
          <t>GALLERY</t>
        </is>
      </c>
      <c r="I15" s="3" t="inlineStr">
        <is>
          <t>DIRECT_ORIGINAL_IMAGE_REQA</t>
        </is>
      </c>
      <c r="J15" s="3" t="inlineStr">
        <is>
          <t>2026-09-07T12:03:49.582466+07:00</t>
        </is>
      </c>
      <c r="K15" s="3" t="inlineStr">
        <is>
          <t>Close-up of the Christmas cardinal print and quilted stitching.</t>
        </is>
      </c>
      <c r="L15" s="3" t="inlineStr">
        <is>
          <t>Secondary detail or room mockup showing red cardinals beside a decorated Christmas tree with memorial text and visible quilted/printed texture.</t>
        </is>
      </c>
      <c r="M15" s="3" t="inlineStr">
        <is>
          <t>Cardinals Perched Beside Decorated Christmas Tree Patchwork Winter Quilt</t>
        </is>
      </c>
      <c r="N15" s="3" t="inlineStr">
        <is>
          <t>SET</t>
        </is>
      </c>
      <c r="O15" s="3" t="inlineStr">
        <is>
          <t>Close view of red cardinals beside a decorated Christmas tree with memorial text on the quilt set</t>
        </is>
      </c>
      <c r="P15" s="3" t="inlineStr">
        <is>
          <t>FULL</t>
        </is>
      </c>
      <c r="Q15" s="3" t="inlineStr">
        <is>
          <t>FULL</t>
        </is>
      </c>
      <c r="R15" s="3" t="inlineStr">
        <is>
          <t>FULL</t>
        </is>
      </c>
      <c r="S15" s="3" t="inlineStr">
        <is>
          <t>FULL</t>
        </is>
      </c>
      <c r="T15" s="7">
        <f>IF(P15="FULL",40,IF(P15="PARTIAL",40/2,0))+IF(Q15="FULL",30,IF(Q15="PARTIAL",30/2,0))+IF(R15="FULL",20,IF(R15="PARTIAL",20/2,0))+IF(S15="FULL",10,IF(S15="PARTIAL",10/2,0))</f>
        <v/>
      </c>
      <c r="U15" s="7">
        <f>IF(P15="NOT_CHECKED",0,40)+IF(Q15="NOT_CHECKED",0,30)+IF(R15="NOT_CHECKED",0,20)+IF(S15="NOT_CHECKED",0,10)</f>
        <v/>
      </c>
      <c r="V15" s="7">
        <f>IF(U15=100,T15,"")</f>
        <v/>
      </c>
      <c r="W15" s="7">
        <f>T15</f>
        <v/>
      </c>
      <c r="X15" s="7">
        <f>T15+(100-U15)</f>
        <v/>
      </c>
      <c r="Y15" s="3" t="inlineStr">
        <is>
          <t>[]</t>
        </is>
      </c>
      <c r="Z15" s="3"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 "https://jeminise.com/products/cardinals-perched-beside-decorated-christmas-tree-patchwork-winter-quilt-7cd7bc46a0-7cd7bc46a0", "https://cdn.shopify.com/s/files/1/0792/5098/1063/files/23aae70766fcc57c63f2a120721dae1baf196f15ef46a71bef7a702d11c656ca.jpg?v=1785099109"]</t>
        </is>
      </c>
    </row>
    <row r="16" ht="66" customHeight="1">
      <c r="A16" s="2" t="inlineStr">
        <is>
          <t>jeminise.com+cardinals-perched-beside-decorated-christmas-tree-patchwork-winter-quilt-7cd7bc46a0-7cd7bc46a0</t>
        </is>
      </c>
      <c r="B16" s="2" t="inlineStr">
        <is>
          <t>qaimg_70729ec5a2b04039</t>
        </is>
      </c>
      <c r="C16" s="4" t="inlineStr">
        <is>
          <t>https://cdn.shopify.com/s/files/1/0792/5098/1063/files/3357b4715872fc6507e88263f9aa17ed3b1495f7db35293b4d27a2a5b80d78cc.jpg?v=1785099109</t>
        </is>
      </c>
      <c r="D16" s="4" t="inlineStr">
        <is>
          <t>https://cdn.shopify.com/s/files/1/0792/5098/1063/files/3357b4715872fc6507e88263f9aa17ed3b1495f7db35293b4d27a2a5b80d78cc.jpg?v=1785099109</t>
        </is>
      </c>
      <c r="E16" s="2" t="inlineStr">
        <is>
          <t>38506565632199</t>
        </is>
      </c>
      <c r="F16" s="2" t="inlineStr">
        <is>
          <t>47540004159687</t>
        </is>
      </c>
      <c r="G16" s="2" t="inlineStr"/>
      <c r="H16" s="2" t="inlineStr">
        <is>
          <t>GALLERY</t>
        </is>
      </c>
      <c r="I16" s="2" t="inlineStr">
        <is>
          <t>DIRECT_ORIGINAL_IMAGE_REQA</t>
        </is>
      </c>
      <c r="J16" s="2" t="inlineStr">
        <is>
          <t>2026-09-07T12:03:49.582466+07:00</t>
        </is>
      </c>
      <c r="K16" s="2" t="inlineStr">
        <is>
          <t>Pillow sham using the Christmas cardinal artwork.</t>
        </is>
      </c>
      <c r="L16" s="2" t="inlineStr">
        <is>
          <t>Matching pillow sham or bedding detail using the same red cardinals beside a decorated Christmas tree with memorial text artwork.</t>
        </is>
      </c>
      <c r="M16" s="2" t="inlineStr">
        <is>
          <t>Cardinals Perched Beside Decorated Christmas Tree Patchwork Winter Quilt</t>
        </is>
      </c>
      <c r="N16" s="2" t="inlineStr">
        <is>
          <t>SET</t>
        </is>
      </c>
      <c r="O16" s="2" t="inlineStr">
        <is>
          <t>Matching pillow sham for Cardinal Christmas Memorial Patchwork Quilt</t>
        </is>
      </c>
      <c r="P16" s="2" t="inlineStr">
        <is>
          <t>FULL</t>
        </is>
      </c>
      <c r="Q16" s="2" t="inlineStr">
        <is>
          <t>FULL</t>
        </is>
      </c>
      <c r="R16" s="2" t="inlineStr">
        <is>
          <t>FULL</t>
        </is>
      </c>
      <c r="S16" s="2" t="inlineStr">
        <is>
          <t>FULL</t>
        </is>
      </c>
      <c r="T16" s="5">
        <f>IF(P16="FULL",40,IF(P16="PARTIAL",40/2,0))+IF(Q16="FULL",30,IF(Q16="PARTIAL",30/2,0))+IF(R16="FULL",20,IF(R16="PARTIAL",20/2,0))+IF(S16="FULL",10,IF(S16="PARTIAL",10/2,0))</f>
        <v/>
      </c>
      <c r="U16" s="5">
        <f>IF(P16="NOT_CHECKED",0,40)+IF(Q16="NOT_CHECKED",0,30)+IF(R16="NOT_CHECKED",0,20)+IF(S16="NOT_CHECKED",0,10)</f>
        <v/>
      </c>
      <c r="V16" s="5">
        <f>IF(U16=100,T16,"")</f>
        <v/>
      </c>
      <c r="W16" s="5">
        <f>T16</f>
        <v/>
      </c>
      <c r="X16" s="5">
        <f>T16+(100-U16)</f>
        <v/>
      </c>
      <c r="Y16" s="2" t="inlineStr">
        <is>
          <t>[]</t>
        </is>
      </c>
      <c r="Z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 "https://jeminise.com/products/cardinals-perched-beside-decorated-christmas-tree-patchwork-winter-quilt-7cd7bc46a0-7cd7bc46a0", "https://cdn.shopify.com/s/files/1/0792/5098/1063/files/3357b4715872fc6507e88263f9aa17ed3b1495f7db35293b4d27a2a5b80d78cc.jpg?v=1785099109"]</t>
        </is>
      </c>
    </row>
    <row r="17" ht="66" customHeight="1">
      <c r="A17" s="3" t="inlineStr">
        <is>
          <t>jeminise.com+cardinals-perched-beside-decorated-christmas-tree-patchwork-winter-quilt-7cd7bc46a0-7cd7bc46a0</t>
        </is>
      </c>
      <c r="B17" s="3" t="inlineStr">
        <is>
          <t>qaimg_69dd8be14caf7f96</t>
        </is>
      </c>
      <c r="C17" s="4" t="inlineStr">
        <is>
          <t>https://cdn.shopify.com/s/files/1/0792/5098/1063/files/04eb35beff0bef995d4912767e2bdec2b80be1f53292fdd9777645dd9375b5aa.jpg?v=1785099109</t>
        </is>
      </c>
      <c r="D17" s="4" t="inlineStr">
        <is>
          <t>https://cdn.shopify.com/s/files/1/0792/5098/1063/files/04eb35beff0bef995d4912767e2bdec2b80be1f53292fdd9777645dd9375b5aa.jpg?v=1785099109</t>
        </is>
      </c>
      <c r="E17" s="3" t="inlineStr">
        <is>
          <t>38506565664967</t>
        </is>
      </c>
      <c r="F17" s="3" t="inlineStr">
        <is>
          <t>47540004192455</t>
        </is>
      </c>
      <c r="G17" s="3" t="inlineStr"/>
      <c r="H17" s="3" t="inlineStr">
        <is>
          <t>GALLERY</t>
        </is>
      </c>
      <c r="I17" s="3" t="inlineStr">
        <is>
          <t>DIRECT_ORIGINAL_IMAGE_REQA</t>
        </is>
      </c>
      <c r="J17" s="3" t="inlineStr">
        <is>
          <t>2026-09-07T12:03:49.582466+07:00</t>
        </is>
      </c>
      <c r="K17" s="3" t="inlineStr">
        <is>
          <t>Alternate bedroom angle showing the Christmas cardinal quilt.</t>
        </is>
      </c>
      <c r="L17" s="3" t="inlineStr">
        <is>
          <t>Room/folded product or fabric information image tied to the red cardinals beside a decorated Christmas tree with memorial text design.</t>
        </is>
      </c>
      <c r="M17" s="3" t="inlineStr">
        <is>
          <t>Cardinals Perched Beside Decorated Christmas Tree Patchwork Winter Quilt</t>
        </is>
      </c>
      <c r="N17" s="3" t="inlineStr">
        <is>
          <t>SET</t>
        </is>
      </c>
      <c r="O17" s="3" t="inlineStr">
        <is>
          <t>Cardinal Christmas Memorial Patchwork Quilt shown in a bedroom setting</t>
        </is>
      </c>
      <c r="P17" s="3" t="inlineStr">
        <is>
          <t>FULL</t>
        </is>
      </c>
      <c r="Q17" s="3" t="inlineStr">
        <is>
          <t>FULL</t>
        </is>
      </c>
      <c r="R17" s="3" t="inlineStr">
        <is>
          <t>FULL</t>
        </is>
      </c>
      <c r="S17" s="3" t="inlineStr">
        <is>
          <t>FULL</t>
        </is>
      </c>
      <c r="T17" s="7">
        <f>IF(P17="FULL",40,IF(P17="PARTIAL",40/2,0))+IF(Q17="FULL",30,IF(Q17="PARTIAL",30/2,0))+IF(R17="FULL",20,IF(R17="PARTIAL",20/2,0))+IF(S17="FULL",10,IF(S17="PARTIAL",10/2,0))</f>
        <v/>
      </c>
      <c r="U17" s="7">
        <f>IF(P17="NOT_CHECKED",0,40)+IF(Q17="NOT_CHECKED",0,30)+IF(R17="NOT_CHECKED",0,20)+IF(S17="NOT_CHECKED",0,10)</f>
        <v/>
      </c>
      <c r="V17" s="7">
        <f>IF(U17=100,T17,"")</f>
        <v/>
      </c>
      <c r="W17" s="7">
        <f>T17</f>
        <v/>
      </c>
      <c r="X17" s="7">
        <f>T17+(100-U17)</f>
        <v/>
      </c>
      <c r="Y17" s="3" t="inlineStr">
        <is>
          <t>[]</t>
        </is>
      </c>
      <c r="Z17" s="3"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 "https://jeminise.com/products/cardinals-perched-beside-decorated-christmas-tree-patchwork-winter-quilt-7cd7bc46a0-7cd7bc46a0", "https://cdn.shopify.com/s/files/1/0792/5098/1063/files/04eb35beff0bef995d4912767e2bdec2b80be1f53292fdd9777645dd9375b5aa.jpg?v=1785099109"]</t>
        </is>
      </c>
    </row>
    <row r="18" ht="66" customHeight="1">
      <c r="A18" s="2" t="inlineStr">
        <is>
          <t>jeminise.com+cardinals-perched-beside-decorated-christmas-tree-patchwork-winter-quilt-7cd7bc46a0-7cd7bc46a0</t>
        </is>
      </c>
      <c r="B18" s="2" t="inlineStr">
        <is>
          <t>qaimg_5ee8cd8c5a75c19e</t>
        </is>
      </c>
      <c r="C18" s="4" t="inlineStr">
        <is>
          <t>https://cdn.shopify.com/s/files/1/0792/5098/1063/files/61192968c1230d5ae97babcfd885b0b0e273f4d893aaaf63a91706f8a569a358.jpg?v=1785099109</t>
        </is>
      </c>
      <c r="D18" s="4" t="inlineStr">
        <is>
          <t>https://cdn.shopify.com/s/files/1/0792/5098/1063/files/61192968c1230d5ae97babcfd885b0b0e273f4d893aaaf63a91706f8a569a358.jpg?v=1785099109</t>
        </is>
      </c>
      <c r="E18" s="2" t="inlineStr">
        <is>
          <t>38506565697735</t>
        </is>
      </c>
      <c r="F18" s="2" t="inlineStr">
        <is>
          <t>47540004225223</t>
        </is>
      </c>
      <c r="G18" s="2" t="inlineStr"/>
      <c r="H18" s="2" t="inlineStr">
        <is>
          <t>GALLERY</t>
        </is>
      </c>
      <c r="I18" s="2" t="inlineStr">
        <is>
          <t>DIRECT_ORIGINAL_IMAGE_REQA</t>
        </is>
      </c>
      <c r="J18" s="2" t="inlineStr">
        <is>
          <t>2026-09-07T12:03:49.582466+07:00</t>
        </is>
      </c>
      <c r="K18" s="2" t="inlineStr">
        <is>
          <t>Included-components and dimensions graphic for the quilt and optional shams.</t>
        </is>
      </c>
      <c r="L18" s="2" t="inlineStr">
        <is>
          <t>Sizing or included-components information image for the bedding set.</t>
        </is>
      </c>
      <c r="M18" s="2" t="inlineStr">
        <is>
          <t>Cardinals Perched Beside Decorated Christmas Tree Patchwork Winter Quilt</t>
        </is>
      </c>
      <c r="N18" s="2" t="inlineStr">
        <is>
          <t>SET</t>
        </is>
      </c>
      <c r="O18" s="2" t="inlineStr">
        <is>
          <t>Size guide for Cardinal Christmas Memorial Patchwork Quilt</t>
        </is>
      </c>
      <c r="P18" s="2" t="inlineStr">
        <is>
          <t>FULL</t>
        </is>
      </c>
      <c r="Q18" s="2" t="inlineStr">
        <is>
          <t>PARTIAL</t>
        </is>
      </c>
      <c r="R18" s="2" t="inlineStr">
        <is>
          <t>PARTIAL</t>
        </is>
      </c>
      <c r="S18" s="2" t="inlineStr">
        <is>
          <t>FULL</t>
        </is>
      </c>
      <c r="T18" s="5">
        <f>IF(P18="FULL",40,IF(P18="PARTIAL",40/2,0))+IF(Q18="FULL",30,IF(Q18="PARTIAL",30/2,0))+IF(R18="FULL",20,IF(R18="PARTIAL",20/2,0))+IF(S18="FULL",10,IF(S18="PARTIAL",10/2,0))</f>
        <v/>
      </c>
      <c r="U18" s="5">
        <f>IF(P18="NOT_CHECKED",0,40)+IF(Q18="NOT_CHECKED",0,30)+IF(R18="NOT_CHECKED",0,20)+IF(S18="NOT_CHECKED",0,10)</f>
        <v/>
      </c>
      <c r="V18" s="5">
        <f>IF(U18=100,T18,"")</f>
        <v/>
      </c>
      <c r="W18" s="5">
        <f>T18</f>
        <v/>
      </c>
      <c r="X18" s="5">
        <f>T18+(100-U18)</f>
        <v/>
      </c>
      <c r="Y18" s="2" t="inlineStr">
        <is>
          <t>["R2-ISS-003-IMG-05"]</t>
        </is>
      </c>
      <c r="Z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 "https://jeminise.com/products/cardinals-perched-beside-decorated-christmas-tree-patchwork-winter-quilt-7cd7bc46a0-7cd7bc46a0", "https://cdn.shopify.com/s/files/1/0792/5098/1063/files/61192968c1230d5ae97babcfd885b0b0e273f4d893aaaf63a91706f8a569a358.jpg?v=1785099109"]</t>
        </is>
      </c>
    </row>
    <row r="19" ht="66" customHeight="1">
      <c r="A19" s="3" t="inlineStr">
        <is>
          <t>jeminise.com+cardinals-perched-on-branch-with-roses-patchwork-winter-quilt-21ac904cd7-21ac904cd7</t>
        </is>
      </c>
      <c r="B19" s="3" t="inlineStr">
        <is>
          <t>qaimg_ee51e6c474a57ba1</t>
        </is>
      </c>
      <c r="C19" s="4" t="inlineStr">
        <is>
          <t>https://cdn.shopify.com/s/files/1/0792/5098/1063/files/e3dd349b4f8425ce46aea21296a0670e616f15f912e8415586fd0ccdb402fadf.jpg?v=1785099574</t>
        </is>
      </c>
      <c r="D19" s="4" t="inlineStr">
        <is>
          <t>https://cdn.shopify.com/s/files/1/0792/5098/1063/files/e3dd349b4f8425ce46aea21296a0670e616f15f912e8415586fd0ccdb402fadf.jpg?v=1785099574</t>
        </is>
      </c>
      <c r="E19" s="3" t="inlineStr">
        <is>
          <t>38506618847431</t>
        </is>
      </c>
      <c r="F19" s="3" t="inlineStr">
        <is>
          <t>47540058390727</t>
        </is>
      </c>
      <c r="G19" s="3" t="inlineStr"/>
      <c r="H19" s="3" t="inlineStr">
        <is>
          <t>GALLERY</t>
        </is>
      </c>
      <c r="I19" s="3" t="inlineStr">
        <is>
          <t>DIRECT_ORIGINAL_IMAGE_REQA</t>
        </is>
      </c>
      <c r="J19" s="3" t="inlineStr">
        <is>
          <t>2026-09-07T12:03:49.582466+07:00</t>
        </is>
      </c>
      <c r="K19" s="3" t="inlineStr">
        <is>
          <t>Bed mockup with a red male cardinal, tan female cardinal, red roses and I Am Always with You text.</t>
        </is>
      </c>
      <c r="L19" s="3" t="inlineStr">
        <is>
          <t>Main bed mockup showing male and female cardinal pair on a branch with red roses and memorial text.</t>
        </is>
      </c>
      <c r="M19" s="3" t="inlineStr">
        <is>
          <t>Cardinals Perched on Branch with Roses Patchwork Winter Quilt</t>
        </is>
      </c>
      <c r="N19" s="3" t="inlineStr">
        <is>
          <t>SET</t>
        </is>
      </c>
      <c r="O19" s="3" t="inlineStr">
        <is>
          <t>Cardinal and Roses Memorial Quilt Set displayed on a bed</t>
        </is>
      </c>
      <c r="P19" s="3" t="inlineStr">
        <is>
          <t>FULL</t>
        </is>
      </c>
      <c r="Q19" s="3" t="inlineStr">
        <is>
          <t>FULL</t>
        </is>
      </c>
      <c r="R19" s="3" t="inlineStr">
        <is>
          <t>FULL</t>
        </is>
      </c>
      <c r="S19" s="3" t="inlineStr">
        <is>
          <t>FULL</t>
        </is>
      </c>
      <c r="T19" s="7">
        <f>IF(P19="FULL",40,IF(P19="PARTIAL",40/2,0))+IF(Q19="FULL",30,IF(Q19="PARTIAL",30/2,0))+IF(R19="FULL",20,IF(R19="PARTIAL",20/2,0))+IF(S19="FULL",10,IF(S19="PARTIAL",10/2,0))</f>
        <v/>
      </c>
      <c r="U19" s="7">
        <f>IF(P19="NOT_CHECKED",0,40)+IF(Q19="NOT_CHECKED",0,30)+IF(R19="NOT_CHECKED",0,20)+IF(S19="NOT_CHECKED",0,10)</f>
        <v/>
      </c>
      <c r="V19" s="7">
        <f>IF(U19=100,T19,"")</f>
        <v/>
      </c>
      <c r="W19" s="7">
        <f>T19</f>
        <v/>
      </c>
      <c r="X19" s="7">
        <f>T19+(100-U19)</f>
        <v/>
      </c>
      <c r="Y19" s="3" t="inlineStr">
        <is>
          <t>[]</t>
        </is>
      </c>
      <c r="Z19" s="3"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 "https://jeminise.com/products/cardinals-perched-on-branch-with-roses-patchwork-winter-quilt-21ac904cd7-21ac904cd7", "https://cdn.shopify.com/s/files/1/0792/5098/1063/files/e3dd349b4f8425ce46aea21296a0670e616f15f912e8415586fd0ccdb402fadf.jpg?v=1785099574"]</t>
        </is>
      </c>
    </row>
    <row r="20" ht="66" customHeight="1">
      <c r="A20" s="2" t="inlineStr">
        <is>
          <t>jeminise.com+cardinals-perched-on-branch-with-roses-patchwork-winter-quilt-21ac904cd7-21ac904cd7</t>
        </is>
      </c>
      <c r="B20" s="2" t="inlineStr">
        <is>
          <t>qaimg_c95b0e3c51c94796</t>
        </is>
      </c>
      <c r="C20" s="4" t="inlineStr">
        <is>
          <t>https://cdn.shopify.com/s/files/1/0792/5098/1063/files/5df2ae7ecc00cd0ab65d149177b7575a1608763d1d943fb3e9c2f1d9d8ad8183.jpg?v=1785099574</t>
        </is>
      </c>
      <c r="D20" s="4" t="inlineStr">
        <is>
          <t>https://cdn.shopify.com/s/files/1/0792/5098/1063/files/5df2ae7ecc00cd0ab65d149177b7575a1608763d1d943fb3e9c2f1d9d8ad8183.jpg?v=1785099574</t>
        </is>
      </c>
      <c r="E20" s="2" t="inlineStr">
        <is>
          <t>38506618880199</t>
        </is>
      </c>
      <c r="F20" s="2" t="inlineStr">
        <is>
          <t>47540058423495</t>
        </is>
      </c>
      <c r="G20" s="2" t="inlineStr"/>
      <c r="H20" s="2" t="inlineStr">
        <is>
          <t>GALLERY</t>
        </is>
      </c>
      <c r="I20" s="2" t="inlineStr">
        <is>
          <t>DIRECT_ORIGINAL_IMAGE_REQA</t>
        </is>
      </c>
      <c r="J20" s="2" t="inlineStr">
        <is>
          <t>2026-09-07T12:03:49.582466+07:00</t>
        </is>
      </c>
      <c r="K20" s="2" t="inlineStr">
        <is>
          <t>Close-up of the cardinal-and-roses print and quilted stitching.</t>
        </is>
      </c>
      <c r="L20" s="2" t="inlineStr">
        <is>
          <t>Secondary detail or room mockup showing male and female cardinal pair on a branch with red roses and memorial text and visible quilted/printed texture.</t>
        </is>
      </c>
      <c r="M20" s="2" t="inlineStr">
        <is>
          <t>Cardinals Perched on Branch with Roses Patchwork Winter Quilt</t>
        </is>
      </c>
      <c r="N20" s="2" t="inlineStr">
        <is>
          <t>SET</t>
        </is>
      </c>
      <c r="O20" s="2" t="inlineStr">
        <is>
          <t>Close view of male and female cardinal pair on a branch with red roses and memorial text on the quilt set</t>
        </is>
      </c>
      <c r="P20" s="2" t="inlineStr">
        <is>
          <t>FULL</t>
        </is>
      </c>
      <c r="Q20" s="2" t="inlineStr">
        <is>
          <t>FULL</t>
        </is>
      </c>
      <c r="R20" s="2" t="inlineStr">
        <is>
          <t>FULL</t>
        </is>
      </c>
      <c r="S20" s="2" t="inlineStr">
        <is>
          <t>FULL</t>
        </is>
      </c>
      <c r="T20" s="5">
        <f>IF(P20="FULL",40,IF(P20="PARTIAL",40/2,0))+IF(Q20="FULL",30,IF(Q20="PARTIAL",30/2,0))+IF(R20="FULL",20,IF(R20="PARTIAL",20/2,0))+IF(S20="FULL",10,IF(S20="PARTIAL",10/2,0))</f>
        <v/>
      </c>
      <c r="U20" s="5">
        <f>IF(P20="NOT_CHECKED",0,40)+IF(Q20="NOT_CHECKED",0,30)+IF(R20="NOT_CHECKED",0,20)+IF(S20="NOT_CHECKED",0,10)</f>
        <v/>
      </c>
      <c r="V20" s="5">
        <f>IF(U20=100,T20,"")</f>
        <v/>
      </c>
      <c r="W20" s="5">
        <f>T20</f>
        <v/>
      </c>
      <c r="X20" s="5">
        <f>T20+(100-U20)</f>
        <v/>
      </c>
      <c r="Y20" s="2" t="inlineStr">
        <is>
          <t>[]</t>
        </is>
      </c>
      <c r="Z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 "https://jeminise.com/products/cardinals-perched-on-branch-with-roses-patchwork-winter-quilt-21ac904cd7-21ac904cd7", "https://cdn.shopify.com/s/files/1/0792/5098/1063/files/5df2ae7ecc00cd0ab65d149177b7575a1608763d1d943fb3e9c2f1d9d8ad8183.jpg?v=1785099574"]</t>
        </is>
      </c>
    </row>
    <row r="21" ht="66" customHeight="1">
      <c r="A21" s="3" t="inlineStr">
        <is>
          <t>jeminise.com+cardinals-perched-on-branch-with-roses-patchwork-winter-quilt-21ac904cd7-21ac904cd7</t>
        </is>
      </c>
      <c r="B21" s="3" t="inlineStr">
        <is>
          <t>qaimg_39dddcc1006bd994</t>
        </is>
      </c>
      <c r="C21" s="4" t="inlineStr">
        <is>
          <t>https://cdn.shopify.com/s/files/1/0792/5098/1063/files/237f2056af02c2988db426ce4802f4abd6dac07ceb24c04b20a244c9be27b457.jpg?v=1785099574</t>
        </is>
      </c>
      <c r="D21" s="4" t="inlineStr">
        <is>
          <t>https://cdn.shopify.com/s/files/1/0792/5098/1063/files/237f2056af02c2988db426ce4802f4abd6dac07ceb24c04b20a244c9be27b457.jpg?v=1785099574</t>
        </is>
      </c>
      <c r="E21" s="3" t="inlineStr">
        <is>
          <t>38506618912967</t>
        </is>
      </c>
      <c r="F21" s="3" t="inlineStr">
        <is>
          <t>47540058456263</t>
        </is>
      </c>
      <c r="G21" s="3" t="inlineStr"/>
      <c r="H21" s="3" t="inlineStr">
        <is>
          <t>GALLERY</t>
        </is>
      </c>
      <c r="I21" s="3" t="inlineStr">
        <is>
          <t>DIRECT_ORIGINAL_IMAGE_REQA</t>
        </is>
      </c>
      <c r="J21" s="3" t="inlineStr">
        <is>
          <t>2026-09-07T12:03:49.582466+07:00</t>
        </is>
      </c>
      <c r="K21" s="3" t="inlineStr">
        <is>
          <t>Pillow sham using the cardinal-and-roses artwork.</t>
        </is>
      </c>
      <c r="L21" s="3" t="inlineStr">
        <is>
          <t>Matching pillow sham or bedding detail using the same male and female cardinal pair on a branch with red roses and memorial text artwork.</t>
        </is>
      </c>
      <c r="M21" s="3" t="inlineStr">
        <is>
          <t>Cardinals Perched on Branch with Roses Patchwork Winter Quilt</t>
        </is>
      </c>
      <c r="N21" s="3" t="inlineStr">
        <is>
          <t>SET</t>
        </is>
      </c>
      <c r="O21" s="3" t="inlineStr">
        <is>
          <t>Matching pillow sham for Cardinal and Roses Memorial Quilt Set</t>
        </is>
      </c>
      <c r="P21" s="3" t="inlineStr">
        <is>
          <t>FULL</t>
        </is>
      </c>
      <c r="Q21" s="3" t="inlineStr">
        <is>
          <t>FULL</t>
        </is>
      </c>
      <c r="R21" s="3" t="inlineStr">
        <is>
          <t>FULL</t>
        </is>
      </c>
      <c r="S21" s="3" t="inlineStr">
        <is>
          <t>FULL</t>
        </is>
      </c>
      <c r="T21" s="7">
        <f>IF(P21="FULL",40,IF(P21="PARTIAL",40/2,0))+IF(Q21="FULL",30,IF(Q21="PARTIAL",30/2,0))+IF(R21="FULL",20,IF(R21="PARTIAL",20/2,0))+IF(S21="FULL",10,IF(S21="PARTIAL",10/2,0))</f>
        <v/>
      </c>
      <c r="U21" s="7">
        <f>IF(P21="NOT_CHECKED",0,40)+IF(Q21="NOT_CHECKED",0,30)+IF(R21="NOT_CHECKED",0,20)+IF(S21="NOT_CHECKED",0,10)</f>
        <v/>
      </c>
      <c r="V21" s="7">
        <f>IF(U21=100,T21,"")</f>
        <v/>
      </c>
      <c r="W21" s="7">
        <f>T21</f>
        <v/>
      </c>
      <c r="X21" s="7">
        <f>T21+(100-U21)</f>
        <v/>
      </c>
      <c r="Y21" s="3" t="inlineStr">
        <is>
          <t>[]</t>
        </is>
      </c>
      <c r="Z21" s="3"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 "https://jeminise.com/products/cardinals-perched-on-branch-with-roses-patchwork-winter-quilt-21ac904cd7-21ac904cd7", "https://cdn.shopify.com/s/files/1/0792/5098/1063/files/237f2056af02c2988db426ce4802f4abd6dac07ceb24c04b20a244c9be27b457.jpg?v=1785099574"]</t>
        </is>
      </c>
    </row>
    <row r="22" ht="66" customHeight="1">
      <c r="A22" s="2" t="inlineStr">
        <is>
          <t>jeminise.com+cardinals-perched-on-branch-with-roses-patchwork-winter-quilt-21ac904cd7-21ac904cd7</t>
        </is>
      </c>
      <c r="B22" s="2" t="inlineStr">
        <is>
          <t>qaimg_f5020eb5719b5e5a</t>
        </is>
      </c>
      <c r="C22" s="4" t="inlineStr">
        <is>
          <t>https://cdn.shopify.com/s/files/1/0792/5098/1063/files/f1d2e21fbc5647f823f22c48940e5deec0311ead7e9b772c492ecf82b2b3ff3b.jpg?v=1785099574</t>
        </is>
      </c>
      <c r="D22" s="4" t="inlineStr">
        <is>
          <t>https://cdn.shopify.com/s/files/1/0792/5098/1063/files/f1d2e21fbc5647f823f22c48940e5deec0311ead7e9b772c492ecf82b2b3ff3b.jpg?v=1785099574</t>
        </is>
      </c>
      <c r="E22" s="2" t="inlineStr">
        <is>
          <t>38506618945735</t>
        </is>
      </c>
      <c r="F22" s="2" t="inlineStr">
        <is>
          <t>47540058489031</t>
        </is>
      </c>
      <c r="G22" s="2" t="inlineStr"/>
      <c r="H22" s="2" t="inlineStr">
        <is>
          <t>GALLERY</t>
        </is>
      </c>
      <c r="I22" s="2" t="inlineStr">
        <is>
          <t>DIRECT_ORIGINAL_IMAGE_REQA</t>
        </is>
      </c>
      <c r="J22" s="2" t="inlineStr">
        <is>
          <t>2026-09-07T12:03:49.582466+07:00</t>
        </is>
      </c>
      <c r="K22" s="2" t="inlineStr">
        <is>
          <t>Alternate bedroom angle showing the cardinal-and-roses quilt.</t>
        </is>
      </c>
      <c r="L22" s="2" t="inlineStr">
        <is>
          <t>Room/folded product or fabric information image tied to the male and female cardinal pair on a branch with red roses and memorial text design.</t>
        </is>
      </c>
      <c r="M22" s="2" t="inlineStr">
        <is>
          <t>Cardinals Perched on Branch with Roses Patchwork Winter Quilt</t>
        </is>
      </c>
      <c r="N22" s="2" t="inlineStr">
        <is>
          <t>SET</t>
        </is>
      </c>
      <c r="O22" s="2" t="inlineStr">
        <is>
          <t>Cardinal and Roses Memorial Quilt Set shown in a bedroom setting</t>
        </is>
      </c>
      <c r="P22" s="2" t="inlineStr">
        <is>
          <t>FULL</t>
        </is>
      </c>
      <c r="Q22" s="2" t="inlineStr">
        <is>
          <t>FULL</t>
        </is>
      </c>
      <c r="R22" s="2" t="inlineStr">
        <is>
          <t>FULL</t>
        </is>
      </c>
      <c r="S22" s="2" t="inlineStr">
        <is>
          <t>FULL</t>
        </is>
      </c>
      <c r="T22" s="5">
        <f>IF(P22="FULL",40,IF(P22="PARTIAL",40/2,0))+IF(Q22="FULL",30,IF(Q22="PARTIAL",30/2,0))+IF(R22="FULL",20,IF(R22="PARTIAL",20/2,0))+IF(S22="FULL",10,IF(S22="PARTIAL",10/2,0))</f>
        <v/>
      </c>
      <c r="U22" s="5">
        <f>IF(P22="NOT_CHECKED",0,40)+IF(Q22="NOT_CHECKED",0,30)+IF(R22="NOT_CHECKED",0,20)+IF(S22="NOT_CHECKED",0,10)</f>
        <v/>
      </c>
      <c r="V22" s="5">
        <f>IF(U22=100,T22,"")</f>
        <v/>
      </c>
      <c r="W22" s="5">
        <f>T22</f>
        <v/>
      </c>
      <c r="X22" s="5">
        <f>T22+(100-U22)</f>
        <v/>
      </c>
      <c r="Y22" s="2" t="inlineStr">
        <is>
          <t>[]</t>
        </is>
      </c>
      <c r="Z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 "https://jeminise.com/products/cardinals-perched-on-branch-with-roses-patchwork-winter-quilt-21ac904cd7-21ac904cd7", "https://cdn.shopify.com/s/files/1/0792/5098/1063/files/f1d2e21fbc5647f823f22c48940e5deec0311ead7e9b772c492ecf82b2b3ff3b.jpg?v=1785099574"]</t>
        </is>
      </c>
    </row>
    <row r="23" ht="66" customHeight="1">
      <c r="A23" s="3" t="inlineStr">
        <is>
          <t>jeminise.com+cardinals-perched-on-branch-with-roses-patchwork-winter-quilt-21ac904cd7-21ac904cd7</t>
        </is>
      </c>
      <c r="B23" s="3" t="inlineStr">
        <is>
          <t>qaimg_71cd069a035cbcd3</t>
        </is>
      </c>
      <c r="C23" s="4" t="inlineStr">
        <is>
          <t>https://cdn.shopify.com/s/files/1/0792/5098/1063/files/1cb933b580b777ff9fc7d527ca0ea879bde39d1f8b7faaac1505885401cf4b7b.jpg?v=1785099574</t>
        </is>
      </c>
      <c r="D23" s="4" t="inlineStr">
        <is>
          <t>https://cdn.shopify.com/s/files/1/0792/5098/1063/files/1cb933b580b777ff9fc7d527ca0ea879bde39d1f8b7faaac1505885401cf4b7b.jpg?v=1785099574</t>
        </is>
      </c>
      <c r="E23" s="3" t="inlineStr">
        <is>
          <t>38506618978503</t>
        </is>
      </c>
      <c r="F23" s="3" t="inlineStr">
        <is>
          <t>47540058521799</t>
        </is>
      </c>
      <c r="G23" s="3" t="inlineStr"/>
      <c r="H23" s="3" t="inlineStr">
        <is>
          <t>GALLERY</t>
        </is>
      </c>
      <c r="I23" s="3" t="inlineStr">
        <is>
          <t>DIRECT_ORIGINAL_IMAGE_REQA</t>
        </is>
      </c>
      <c r="J23" s="3" t="inlineStr">
        <is>
          <t>2026-09-07T12:03:49.582466+07:00</t>
        </is>
      </c>
      <c r="K23" s="3" t="inlineStr">
        <is>
          <t>Included-components and dimensions graphic for the quilt and optional shams.</t>
        </is>
      </c>
      <c r="L23" s="3" t="inlineStr">
        <is>
          <t>Sizing or included-components information image for the bedding set.</t>
        </is>
      </c>
      <c r="M23" s="3" t="inlineStr">
        <is>
          <t>Cardinals Perched on Branch with Roses Patchwork Winter Quilt</t>
        </is>
      </c>
      <c r="N23" s="3" t="inlineStr">
        <is>
          <t>SET</t>
        </is>
      </c>
      <c r="O23" s="3" t="inlineStr">
        <is>
          <t>Size guide for Cardinal and Roses Memorial Quilt Set</t>
        </is>
      </c>
      <c r="P23" s="3" t="inlineStr">
        <is>
          <t>FULL</t>
        </is>
      </c>
      <c r="Q23" s="3" t="inlineStr">
        <is>
          <t>PARTIAL</t>
        </is>
      </c>
      <c r="R23" s="3" t="inlineStr">
        <is>
          <t>PARTIAL</t>
        </is>
      </c>
      <c r="S23" s="3" t="inlineStr">
        <is>
          <t>FULL</t>
        </is>
      </c>
      <c r="T23" s="7">
        <f>IF(P23="FULL",40,IF(P23="PARTIAL",40/2,0))+IF(Q23="FULL",30,IF(Q23="PARTIAL",30/2,0))+IF(R23="FULL",20,IF(R23="PARTIAL",20/2,0))+IF(S23="FULL",10,IF(S23="PARTIAL",10/2,0))</f>
        <v/>
      </c>
      <c r="U23" s="7">
        <f>IF(P23="NOT_CHECKED",0,40)+IF(Q23="NOT_CHECKED",0,30)+IF(R23="NOT_CHECKED",0,20)+IF(S23="NOT_CHECKED",0,10)</f>
        <v/>
      </c>
      <c r="V23" s="7">
        <f>IF(U23=100,T23,"")</f>
        <v/>
      </c>
      <c r="W23" s="7">
        <f>T23</f>
        <v/>
      </c>
      <c r="X23" s="7">
        <f>T23+(100-U23)</f>
        <v/>
      </c>
      <c r="Y23" s="3" t="inlineStr">
        <is>
          <t>["R2-ISS-004-IMG-05"]</t>
        </is>
      </c>
      <c r="Z23" s="3"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 "https://jeminise.com/products/cardinals-perched-on-branch-with-roses-patchwork-winter-quilt-21ac904cd7-21ac904cd7", "https://cdn.shopify.com/s/files/1/0792/5098/1063/files/1cb933b580b777ff9fc7d527ca0ea879bde39d1f8b7faaac1505885401cf4b7b.jpg?v=1785099574"]</t>
        </is>
      </c>
    </row>
    <row r="24" ht="66" customHeight="1">
      <c r="A24" s="2" t="inlineStr">
        <is>
          <t>jeminise.com+cat-patchwork-quilt-set-animal-pattern-bedding-cat-pattern-quilt-set</t>
        </is>
      </c>
      <c r="B24" s="2" t="inlineStr">
        <is>
          <t>qaimg_0900bd26aa91fc70</t>
        </is>
      </c>
      <c r="C24" s="4" t="inlineStr">
        <is>
          <t>https://cdn.shopify.com/s/files/1/0792/5098/1063/files/4cb58385aa64c7ba3ce5dabd48014490cd060d90ab8ef7be5d1681dbc0c68a37.jpg?v=1787233666</t>
        </is>
      </c>
      <c r="D24" s="4" t="inlineStr">
        <is>
          <t>https://cdn.shopify.com/s/files/1/0792/5098/1063/files/4cb58385aa64c7ba3ce5dabd48014490cd060d90ab8ef7be5d1681dbc0c68a37.jpg?v=1787233666</t>
        </is>
      </c>
      <c r="E24" s="2" t="inlineStr">
        <is>
          <t>38894702166215</t>
        </is>
      </c>
      <c r="F24" s="2" t="inlineStr">
        <is>
          <t>47933460349127</t>
        </is>
      </c>
      <c r="G24" s="2" t="inlineStr"/>
      <c r="H24" s="2" t="inlineStr">
        <is>
          <t>GALLERY</t>
        </is>
      </c>
      <c r="I24" s="2" t="inlineStr">
        <is>
          <t>DIRECT_ORIGINAL_IMAGE_REQA</t>
        </is>
      </c>
      <c r="J24" s="2" t="inlineStr">
        <is>
          <t>2026-09-07T12:03:49.582466+07:00</t>
        </is>
      </c>
      <c r="K24" s="2" t="inlineStr">
        <is>
          <t>Front bed mockup with a large colorful patchwork cat face.</t>
        </is>
      </c>
      <c r="L24" s="2" t="inlineStr">
        <is>
          <t>Main bed mockup showing large colorful cat face in patchwork blocks.</t>
        </is>
      </c>
      <c r="M24" s="2" t="inlineStr">
        <is>
          <t>Cat Patchwork Quilt Set, Animal Pattern Bedding, Cat Pattern Quilt Set Patchwork Style, Colorful Quilts Bedspread Twin Size, Throw Full Queen King Quilt Blanket</t>
        </is>
      </c>
      <c r="N24" s="2" t="inlineStr">
        <is>
          <t>SET</t>
        </is>
      </c>
      <c r="O24" s="2" t="inlineStr">
        <is>
          <t>Colorful Cat Patchwork Quilt Set displayed on a bed</t>
        </is>
      </c>
      <c r="P24" s="2" t="inlineStr">
        <is>
          <t>FULL</t>
        </is>
      </c>
      <c r="Q24" s="2" t="inlineStr">
        <is>
          <t>FULL</t>
        </is>
      </c>
      <c r="R24" s="2" t="inlineStr">
        <is>
          <t>FULL</t>
        </is>
      </c>
      <c r="S24" s="2" t="inlineStr">
        <is>
          <t>FULL</t>
        </is>
      </c>
      <c r="T24" s="5">
        <f>IF(P24="FULL",40,IF(P24="PARTIAL",40/2,0))+IF(Q24="FULL",30,IF(Q24="PARTIAL",30/2,0))+IF(R24="FULL",20,IF(R24="PARTIAL",20/2,0))+IF(S24="FULL",10,IF(S24="PARTIAL",10/2,0))</f>
        <v/>
      </c>
      <c r="U24" s="5">
        <f>IF(P24="NOT_CHECKED",0,40)+IF(Q24="NOT_CHECKED",0,30)+IF(R24="NOT_CHECKED",0,20)+IF(S24="NOT_CHECKED",0,10)</f>
        <v/>
      </c>
      <c r="V24" s="5">
        <f>IF(U24=100,T24,"")</f>
        <v/>
      </c>
      <c r="W24" s="5">
        <f>T24</f>
        <v/>
      </c>
      <c r="X24" s="5">
        <f>T24+(100-U24)</f>
        <v/>
      </c>
      <c r="Y24" s="2" t="inlineStr">
        <is>
          <t>[]</t>
        </is>
      </c>
      <c r="Z24" s="2" t="inlineStr">
        <is>
          <t>["seo_runs\\jeminise.com\\20260906_234129\\evidence\\images\\5_cat-patchwork-quilt-set-animal-pattern-bedding-cat-pattern-quilt-set\\image_01_47933460349127.jpg; seo_runs\\jeminise.com\\20260906_234129\\evidence\\contact_sheets\\5_cat-patchwork-quilt-set-animal-pattern-bedding-cat-pattern-quilt-set.jpg", "https://jeminise.com/products/cat-patchwork-quilt-set-animal-pattern-bedding-cat-pattern-quilt-set", "https://cdn.shopify.com/s/files/1/0792/5098/1063/files/4cb58385aa64c7ba3ce5dabd48014490cd060d90ab8ef7be5d1681dbc0c68a37.jpg?v=1787233666"]</t>
        </is>
      </c>
    </row>
    <row r="25" ht="66" customHeight="1">
      <c r="A25" s="3" t="inlineStr">
        <is>
          <t>jeminise.com+cat-patchwork-quilt-set-animal-pattern-bedding-cat-pattern-quilt-set</t>
        </is>
      </c>
      <c r="B25" s="3" t="inlineStr">
        <is>
          <t>qaimg_9c314e0a1d7d0ddc</t>
        </is>
      </c>
      <c r="C25" s="4" t="inlineStr">
        <is>
          <t>https://cdn.shopify.com/s/files/1/0792/5098/1063/files/94180d9f213d8233e384ef8416ec958afd6fe38eeda43d032fd598d852a3a274.jpg?v=1787233665</t>
        </is>
      </c>
      <c r="D25" s="4" t="inlineStr">
        <is>
          <t>https://cdn.shopify.com/s/files/1/0792/5098/1063/files/94180d9f213d8233e384ef8416ec958afd6fe38eeda43d032fd598d852a3a274.jpg?v=1787233665</t>
        </is>
      </c>
      <c r="E25" s="3" t="inlineStr">
        <is>
          <t>38894702198983</t>
        </is>
      </c>
      <c r="F25" s="3" t="inlineStr">
        <is>
          <t>47933460381895</t>
        </is>
      </c>
      <c r="G25" s="3" t="inlineStr"/>
      <c r="H25" s="3" t="inlineStr">
        <is>
          <t>GALLERY</t>
        </is>
      </c>
      <c r="I25" s="3" t="inlineStr">
        <is>
          <t>DIRECT_ORIGINAL_IMAGE_REQA</t>
        </is>
      </c>
      <c r="J25" s="3" t="inlineStr">
        <is>
          <t>2026-09-07T12:03:49.582466+07:00</t>
        </is>
      </c>
      <c r="K25" s="3" t="inlineStr">
        <is>
          <t>Bedroom/feature graphic with premium print, no fading and skin-friendly callouts.</t>
        </is>
      </c>
      <c r="L25" s="3" t="inlineStr">
        <is>
          <t>Secondary detail or room mockup showing large colorful cat face in patchwork blocks and visible quilted/printed texture.</t>
        </is>
      </c>
      <c r="M25" s="3" t="inlineStr">
        <is>
          <t>Cat Patchwork Quilt Set, Animal Pattern Bedding, Cat Pattern Quilt Set Patchwork Style, Colorful Quilts Bedspread Twin Size, Throw Full Queen King Quilt Blanket</t>
        </is>
      </c>
      <c r="N25" s="3" t="inlineStr">
        <is>
          <t>SET</t>
        </is>
      </c>
      <c r="O25" s="3" t="inlineStr">
        <is>
          <t>Close view of large colorful cat face in patchwork blocks on the quilt set</t>
        </is>
      </c>
      <c r="P25" s="3" t="inlineStr">
        <is>
          <t>FULL</t>
        </is>
      </c>
      <c r="Q25" s="3" t="inlineStr">
        <is>
          <t>PARTIAL</t>
        </is>
      </c>
      <c r="R25" s="3" t="inlineStr">
        <is>
          <t>FAIL</t>
        </is>
      </c>
      <c r="S25" s="3" t="inlineStr">
        <is>
          <t>FULL</t>
        </is>
      </c>
      <c r="T25" s="7">
        <f>IF(P25="FULL",40,IF(P25="PARTIAL",40/2,0))+IF(Q25="FULL",30,IF(Q25="PARTIAL",30/2,0))+IF(R25="FULL",20,IF(R25="PARTIAL",20/2,0))+IF(S25="FULL",10,IF(S25="PARTIAL",10/2,0))</f>
        <v/>
      </c>
      <c r="U25" s="7">
        <f>IF(P25="NOT_CHECKED",0,40)+IF(Q25="NOT_CHECKED",0,30)+IF(R25="NOT_CHECKED",0,20)+IF(S25="NOT_CHECKED",0,10)</f>
        <v/>
      </c>
      <c r="V25" s="7">
        <f>IF(U25=100,T25,"")</f>
        <v/>
      </c>
      <c r="W25" s="7">
        <f>T25</f>
        <v/>
      </c>
      <c r="X25" s="7">
        <f>T25+(100-U25)</f>
        <v/>
      </c>
      <c r="Y25" s="3" t="inlineStr">
        <is>
          <t>["R2-ISS-005-IMG-02"]</t>
        </is>
      </c>
      <c r="Z25" s="3" t="inlineStr">
        <is>
          <t>["seo_runs\\jeminise.com\\20260906_234129\\evidence\\images\\5_cat-patchwork-quilt-set-animal-pattern-bedding-cat-pattern-quilt-set\\image_02_47933460381895.jpg; seo_runs\\jeminise.com\\20260906_234129\\evidence\\contact_sheets\\5_cat-patchwork-quilt-set-animal-pattern-bedding-cat-pattern-quilt-set.jpg", "https://jeminise.com/products/cat-patchwork-quilt-set-animal-pattern-bedding-cat-pattern-quilt-set", "https://cdn.shopify.com/s/files/1/0792/5098/1063/files/94180d9f213d8233e384ef8416ec958afd6fe38eeda43d032fd598d852a3a274.jpg?v=1787233665"]</t>
        </is>
      </c>
    </row>
    <row r="26" ht="66" customHeight="1">
      <c r="A26" s="2" t="inlineStr">
        <is>
          <t>jeminise.com+cat-patchwork-quilt-set-animal-pattern-bedding-cat-pattern-quilt-set</t>
        </is>
      </c>
      <c r="B26" s="2" t="inlineStr">
        <is>
          <t>qaimg_8ee331aeea047210</t>
        </is>
      </c>
      <c r="C26" s="4" t="inlineStr">
        <is>
          <t>https://cdn.shopify.com/s/files/1/0792/5098/1063/files/a98e42be7f34a03d4b9ee94c19374ef39f213c4ad9c5936eb702be120e072cb3.jpg?v=1787233666</t>
        </is>
      </c>
      <c r="D26" s="4" t="inlineStr">
        <is>
          <t>https://cdn.shopify.com/s/files/1/0792/5098/1063/files/a98e42be7f34a03d4b9ee94c19374ef39f213c4ad9c5936eb702be120e072cb3.jpg?v=1787233666</t>
        </is>
      </c>
      <c r="E26" s="2" t="inlineStr">
        <is>
          <t>38894702231751</t>
        </is>
      </c>
      <c r="F26" s="2" t="inlineStr">
        <is>
          <t>47933460414663</t>
        </is>
      </c>
      <c r="G26" s="2" t="inlineStr"/>
      <c r="H26" s="2" t="inlineStr">
        <is>
          <t>GALLERY</t>
        </is>
      </c>
      <c r="I26" s="2" t="inlineStr">
        <is>
          <t>DIRECT_ORIGINAL_IMAGE_REQA</t>
        </is>
      </c>
      <c r="J26" s="2" t="inlineStr">
        <is>
          <t>2026-09-07T12:03:49.582466+07:00</t>
        </is>
      </c>
      <c r="K26" s="2" t="inlineStr">
        <is>
          <t>Pillow shams plus lightweight, soft, anti-pill and anti-static feature callouts.</t>
        </is>
      </c>
      <c r="L26" s="2" t="inlineStr">
        <is>
          <t>Matching pillow sham or bedding detail using the same large colorful cat face in patchwork blocks artwork.</t>
        </is>
      </c>
      <c r="M26" s="2" t="inlineStr">
        <is>
          <t>Cat Patchwork Quilt Set, Animal Pattern Bedding, Cat Pattern Quilt Set Patchwork Style, Colorful Quilts Bedspread Twin Size, Throw Full Queen King Quilt Blanket</t>
        </is>
      </c>
      <c r="N26" s="2" t="inlineStr">
        <is>
          <t>SET</t>
        </is>
      </c>
      <c r="O26" s="2" t="inlineStr">
        <is>
          <t>Matching pillow sham for Colorful Cat Patchwork Quilt Set</t>
        </is>
      </c>
      <c r="P26" s="2" t="inlineStr">
        <is>
          <t>FULL</t>
        </is>
      </c>
      <c r="Q26" s="2" t="inlineStr">
        <is>
          <t>PARTIAL</t>
        </is>
      </c>
      <c r="R26" s="2" t="inlineStr">
        <is>
          <t>PARTIAL</t>
        </is>
      </c>
      <c r="S26" s="2" t="inlineStr">
        <is>
          <t>FULL</t>
        </is>
      </c>
      <c r="T26" s="5">
        <f>IF(P26="FULL",40,IF(P26="PARTIAL",40/2,0))+IF(Q26="FULL",30,IF(Q26="PARTIAL",30/2,0))+IF(R26="FULL",20,IF(R26="PARTIAL",20/2,0))+IF(S26="FULL",10,IF(S26="PARTIAL",10/2,0))</f>
        <v/>
      </c>
      <c r="U26" s="5">
        <f>IF(P26="NOT_CHECKED",0,40)+IF(Q26="NOT_CHECKED",0,30)+IF(R26="NOT_CHECKED",0,20)+IF(S26="NOT_CHECKED",0,10)</f>
        <v/>
      </c>
      <c r="V26" s="5">
        <f>IF(U26=100,T26,"")</f>
        <v/>
      </c>
      <c r="W26" s="5">
        <f>T26</f>
        <v/>
      </c>
      <c r="X26" s="5">
        <f>T26+(100-U26)</f>
        <v/>
      </c>
      <c r="Y26" s="2" t="inlineStr">
        <is>
          <t>["R2-ISS-005-IMG-03"]</t>
        </is>
      </c>
      <c r="Z26" s="2" t="inlineStr">
        <is>
          <t>["seo_runs\\jeminise.com\\20260906_234129\\evidence\\images\\5_cat-patchwork-quilt-set-animal-pattern-bedding-cat-pattern-quilt-set\\image_03_47933460414663.jpg; seo_runs\\jeminise.com\\20260906_234129\\evidence\\contact_sheets\\5_cat-patchwork-quilt-set-animal-pattern-bedding-cat-pattern-quilt-set.jpg", "https://jeminise.com/products/cat-patchwork-quilt-set-animal-pattern-bedding-cat-pattern-quilt-set", "https://cdn.shopify.com/s/files/1/0792/5098/1063/files/a98e42be7f34a03d4b9ee94c19374ef39f213c4ad9c5936eb702be120e072cb3.jpg?v=1787233666"]</t>
        </is>
      </c>
    </row>
    <row r="27" ht="66" customHeight="1">
      <c r="A27" s="3" t="inlineStr">
        <is>
          <t>jeminise.com+cat-patchwork-quilt-set-animal-pattern-bedding-cat-pattern-quilt-set</t>
        </is>
      </c>
      <c r="B27" s="3" t="inlineStr">
        <is>
          <t>qaimg_e489694ea785f60c</t>
        </is>
      </c>
      <c r="C27" s="4" t="inlineStr">
        <is>
          <t>https://cdn.shopify.com/s/files/1/0792/5098/1063/files/06467b270df2093a70f746e873ebb0b88964a81ef45800624c02604fd1ec068a.jpg?v=1787233666</t>
        </is>
      </c>
      <c r="D27" s="4" t="inlineStr">
        <is>
          <t>https://cdn.shopify.com/s/files/1/0792/5098/1063/files/06467b270df2093a70f746e873ebb0b88964a81ef45800624c02604fd1ec068a.jpg?v=1787233666</t>
        </is>
      </c>
      <c r="E27" s="3" t="inlineStr">
        <is>
          <t>38894702264519</t>
        </is>
      </c>
      <c r="F27" s="3" t="inlineStr">
        <is>
          <t>47933460447431</t>
        </is>
      </c>
      <c r="G27" s="3" t="inlineStr"/>
      <c r="H27" s="3" t="inlineStr">
        <is>
          <t>GALLERY</t>
        </is>
      </c>
      <c r="I27" s="3" t="inlineStr">
        <is>
          <t>DIRECT_ORIGINAL_IMAGE_REQA</t>
        </is>
      </c>
      <c r="J27" s="3" t="inlineStr">
        <is>
          <t>2026-09-07T12:03:49.582466+07:00</t>
        </is>
      </c>
      <c r="K27" s="3" t="inlineStr">
        <is>
          <t>All-season and fabric-quality feature graphic with a small bed mockup.</t>
        </is>
      </c>
      <c r="L27" s="3" t="inlineStr">
        <is>
          <t>Room/folded product or fabric information image tied to the large colorful cat face in patchwork blocks design.</t>
        </is>
      </c>
      <c r="M27" s="3" t="inlineStr">
        <is>
          <t>Cat Patchwork Quilt Set, Animal Pattern Bedding, Cat Pattern Quilt Set Patchwork Style, Colorful Quilts Bedspread Twin Size, Throw Full Queen King Quilt Blanket</t>
        </is>
      </c>
      <c r="N27" s="3" t="inlineStr">
        <is>
          <t>SET</t>
        </is>
      </c>
      <c r="O27" s="3" t="inlineStr">
        <is>
          <t>Colorful Cat Patchwork Quilt Set shown in a bedroom setting</t>
        </is>
      </c>
      <c r="P27" s="3" t="inlineStr">
        <is>
          <t>FULL</t>
        </is>
      </c>
      <c r="Q27" s="3" t="inlineStr">
        <is>
          <t>PARTIAL</t>
        </is>
      </c>
      <c r="R27" s="3" t="inlineStr">
        <is>
          <t>PARTIAL</t>
        </is>
      </c>
      <c r="S27" s="3" t="inlineStr">
        <is>
          <t>FULL</t>
        </is>
      </c>
      <c r="T27" s="7">
        <f>IF(P27="FULL",40,IF(P27="PARTIAL",40/2,0))+IF(Q27="FULL",30,IF(Q27="PARTIAL",30/2,0))+IF(R27="FULL",20,IF(R27="PARTIAL",20/2,0))+IF(S27="FULL",10,IF(S27="PARTIAL",10/2,0))</f>
        <v/>
      </c>
      <c r="U27" s="7">
        <f>IF(P27="NOT_CHECKED",0,40)+IF(Q27="NOT_CHECKED",0,30)+IF(R27="NOT_CHECKED",0,20)+IF(S27="NOT_CHECKED",0,10)</f>
        <v/>
      </c>
      <c r="V27" s="7">
        <f>IF(U27=100,T27,"")</f>
        <v/>
      </c>
      <c r="W27" s="7">
        <f>T27</f>
        <v/>
      </c>
      <c r="X27" s="7">
        <f>T27+(100-U27)</f>
        <v/>
      </c>
      <c r="Y27" s="3" t="inlineStr">
        <is>
          <t>["R2-ISS-005-IMG-04"]</t>
        </is>
      </c>
      <c r="Z27" s="3" t="inlineStr">
        <is>
          <t>["seo_runs\\jeminise.com\\20260906_234129\\evidence\\images\\5_cat-patchwork-quilt-set-animal-pattern-bedding-cat-pattern-quilt-set\\image_04_47933460447431.jpg; seo_runs\\jeminise.com\\20260906_234129\\evidence\\contact_sheets\\5_cat-patchwork-quilt-set-animal-pattern-bedding-cat-pattern-quilt-set.jpg", "https://jeminise.com/products/cat-patchwork-quilt-set-animal-pattern-bedding-cat-pattern-quilt-set", "https://cdn.shopify.com/s/files/1/0792/5098/1063/files/06467b270df2093a70f746e873ebb0b88964a81ef45800624c02604fd1ec068a.jpg?v=1787233666"]</t>
        </is>
      </c>
    </row>
    <row r="28" ht="66" customHeight="1">
      <c r="A28" s="2" t="inlineStr">
        <is>
          <t>jeminise.com+cat-patchwork-quilt-set-animal-pattern-bedding-cat-pattern-quilt-set</t>
        </is>
      </c>
      <c r="B28" s="2" t="inlineStr">
        <is>
          <t>qaimg_6722a038b55780ad</t>
        </is>
      </c>
      <c r="C28" s="4" t="inlineStr">
        <is>
          <t>https://cdn.shopify.com/s/files/1/0792/5098/1063/files/1869de0465a480871b4b80a13c5f44c85e64ca5f22f90032fa07b5ca5660dbfb.jpg?v=1787233666</t>
        </is>
      </c>
      <c r="D28" s="4" t="inlineStr">
        <is>
          <t>https://cdn.shopify.com/s/files/1/0792/5098/1063/files/1869de0465a480871b4b80a13c5f44c85e64ca5f22f90032fa07b5ca5660dbfb.jpg?v=1787233666</t>
        </is>
      </c>
      <c r="E28" s="2" t="inlineStr">
        <is>
          <t>38894702297287</t>
        </is>
      </c>
      <c r="F28" s="2" t="inlineStr">
        <is>
          <t>47933460480199</t>
        </is>
      </c>
      <c r="G28" s="2" t="inlineStr"/>
      <c r="H28" s="2" t="inlineStr">
        <is>
          <t>GALLERY</t>
        </is>
      </c>
      <c r="I28" s="2" t="inlineStr">
        <is>
          <t>DIRECT_ORIGINAL_IMAGE_REQA</t>
        </is>
      </c>
      <c r="J28" s="2" t="inlineStr">
        <is>
          <t>2026-09-07T12:03:49.582466+07:00</t>
        </is>
      </c>
      <c r="K28" s="2" t="inlineStr">
        <is>
          <t>Quilt size chart.</t>
        </is>
      </c>
      <c r="L28" s="2" t="inlineStr">
        <is>
          <t>Sizing or included-components information image for the bedding set.</t>
        </is>
      </c>
      <c r="M28" s="2" t="inlineStr">
        <is>
          <t>Cat Patchwork Quilt Set, Animal Pattern Bedding, Cat Pattern Quilt Set Patchwork Style, Colorful Quilts Bedspread Twin Size, Throw Full Queen King Quilt Blanket</t>
        </is>
      </c>
      <c r="N28" s="2" t="inlineStr">
        <is>
          <t>SET</t>
        </is>
      </c>
      <c r="O28" s="2" t="inlineStr">
        <is>
          <t>Size guide for Colorful Cat Patchwork Quilt Set</t>
        </is>
      </c>
      <c r="P28" s="2" t="inlineStr">
        <is>
          <t>FULL</t>
        </is>
      </c>
      <c r="Q28" s="2" t="inlineStr">
        <is>
          <t>FULL</t>
        </is>
      </c>
      <c r="R28" s="2" t="inlineStr">
        <is>
          <t>FULL</t>
        </is>
      </c>
      <c r="S28" s="2" t="inlineStr">
        <is>
          <t>FULL</t>
        </is>
      </c>
      <c r="T28" s="5">
        <f>IF(P28="FULL",40,IF(P28="PARTIAL",40/2,0))+IF(Q28="FULL",30,IF(Q28="PARTIAL",30/2,0))+IF(R28="FULL",20,IF(R28="PARTIAL",20/2,0))+IF(S28="FULL",10,IF(S28="PARTIAL",10/2,0))</f>
        <v/>
      </c>
      <c r="U28" s="5">
        <f>IF(P28="NOT_CHECKED",0,40)+IF(Q28="NOT_CHECKED",0,30)+IF(R28="NOT_CHECKED",0,20)+IF(S28="NOT_CHECKED",0,10)</f>
        <v/>
      </c>
      <c r="V28" s="5">
        <f>IF(U28=100,T28,"")</f>
        <v/>
      </c>
      <c r="W28" s="5">
        <f>T28</f>
        <v/>
      </c>
      <c r="X28" s="5">
        <f>T28+(100-U28)</f>
        <v/>
      </c>
      <c r="Y28" s="2" t="inlineStr">
        <is>
          <t>[]</t>
        </is>
      </c>
      <c r="Z28" s="2" t="inlineStr">
        <is>
          <t>["seo_runs\\jeminise.com\\20260906_234129\\evidence\\images\\5_cat-patchwork-quilt-set-animal-pattern-bedding-cat-pattern-quilt-set\\image_05_47933460480199.jpg; seo_runs\\jeminise.com\\20260906_234129\\evidence\\contact_sheets\\5_cat-patchwork-quilt-set-animal-pattern-bedding-cat-pattern-quilt-set.jpg", "https://jeminise.com/products/cat-patchwork-quilt-set-animal-pattern-bedding-cat-pattern-quilt-set", "https://cdn.shopify.com/s/files/1/0792/5098/1063/files/1869de0465a480871b4b80a13c5f44c85e64ca5f22f90032fa07b5ca5660dbfb.jpg?v=1787233666"]</t>
        </is>
      </c>
    </row>
    <row r="29" ht="66" customHeight="1">
      <c r="A29" s="3" t="inlineStr">
        <is>
          <t>jeminise.com+cat-patchwork-quilt-set-animal-pattern-bedding-cat-pattern-quilt-set</t>
        </is>
      </c>
      <c r="B29" s="3" t="inlineStr">
        <is>
          <t>qaimg_1c3c5b263938ef5b</t>
        </is>
      </c>
      <c r="C29" s="4" t="inlineStr">
        <is>
          <t>https://cdn.shopify.com/s/files/1/0792/5098/1063/files/bac284f19ea6eaebff7bffc00fe351531fdc59f4eed7da6ff7803f1bb87999b1.jpg?v=1787233665</t>
        </is>
      </c>
      <c r="D29" s="4" t="inlineStr">
        <is>
          <t>https://cdn.shopify.com/s/files/1/0792/5098/1063/files/bac284f19ea6eaebff7bffc00fe351531fdc59f4eed7da6ff7803f1bb87999b1.jpg?v=1787233665</t>
        </is>
      </c>
      <c r="E29" s="3" t="inlineStr">
        <is>
          <t>38894702330055</t>
        </is>
      </c>
      <c r="F29" s="3" t="inlineStr">
        <is>
          <t>47933460512967</t>
        </is>
      </c>
      <c r="G29" s="3" t="inlineStr"/>
      <c r="H29" s="3" t="inlineStr">
        <is>
          <t>GALLERY</t>
        </is>
      </c>
      <c r="I29" s="3" t="inlineStr">
        <is>
          <t>DIRECT_ORIGINAL_IMAGE_REQA</t>
        </is>
      </c>
      <c r="J29" s="3" t="inlineStr">
        <is>
          <t>2026-09-07T12:03:49.582466+07:00</t>
        </is>
      </c>
      <c r="K29" s="3" t="inlineStr">
        <is>
          <t>Bedspread construction-layer and fabric-feature graphic.</t>
        </is>
      </c>
      <c r="L29" s="3" t="inlineStr">
        <is>
          <t>Feature image describing fabric layers, softness, breathability or care details.</t>
        </is>
      </c>
      <c r="M29" s="3" t="inlineStr">
        <is>
          <t>Cat Patchwork Quilt Set, Animal Pattern Bedding, Cat Pattern Quilt Set Patchwork Style, Colorful Quilts Bedspread Twin Size, Throw Full Queen King Quilt Blanket</t>
        </is>
      </c>
      <c r="N29" s="3" t="inlineStr">
        <is>
          <t>SET</t>
        </is>
      </c>
      <c r="O29" s="3" t="inlineStr">
        <is>
          <t>Fabric feature graphic for Colorful Cat Patchwork Quilt Set</t>
        </is>
      </c>
      <c r="P29" s="3" t="inlineStr">
        <is>
          <t>FULL</t>
        </is>
      </c>
      <c r="Q29" s="3" t="inlineStr">
        <is>
          <t>FULL</t>
        </is>
      </c>
      <c r="R29" s="3" t="inlineStr">
        <is>
          <t>FULL</t>
        </is>
      </c>
      <c r="S29" s="3" t="inlineStr">
        <is>
          <t>FULL</t>
        </is>
      </c>
      <c r="T29" s="7">
        <f>IF(P29="FULL",40,IF(P29="PARTIAL",40/2,0))+IF(Q29="FULL",30,IF(Q29="PARTIAL",30/2,0))+IF(R29="FULL",20,IF(R29="PARTIAL",20/2,0))+IF(S29="FULL",10,IF(S29="PARTIAL",10/2,0))</f>
        <v/>
      </c>
      <c r="U29" s="7">
        <f>IF(P29="NOT_CHECKED",0,40)+IF(Q29="NOT_CHECKED",0,30)+IF(R29="NOT_CHECKED",0,20)+IF(S29="NOT_CHECKED",0,10)</f>
        <v/>
      </c>
      <c r="V29" s="7">
        <f>IF(U29=100,T29,"")</f>
        <v/>
      </c>
      <c r="W29" s="7">
        <f>T29</f>
        <v/>
      </c>
      <c r="X29" s="7">
        <f>T29+(100-U29)</f>
        <v/>
      </c>
      <c r="Y29" s="3" t="inlineStr">
        <is>
          <t>[]</t>
        </is>
      </c>
      <c r="Z29" s="3" t="inlineStr">
        <is>
          <t>["seo_runs\\jeminise.com\\20260906_234129\\evidence\\images\\5_cat-patchwork-quilt-set-animal-pattern-bedding-cat-pattern-quilt-set\\image_06_47933460512967.jpg; seo_runs\\jeminise.com\\20260906_234129\\evidence\\contact_sheets\\5_cat-patchwork-quilt-set-animal-pattern-bedding-cat-pattern-quilt-set.jpg", "https://jeminise.com/products/cat-patchwork-quilt-set-animal-pattern-bedding-cat-pattern-quilt-set", "https://cdn.shopify.com/s/files/1/0792/5098/1063/files/bac284f19ea6eaebff7bffc00fe351531fdc59f4eed7da6ff7803f1bb87999b1.jpg?v=1787233665"]</t>
        </is>
      </c>
    </row>
    <row r="30" ht="66" customHeight="1">
      <c r="A30" s="2" t="inlineStr">
        <is>
          <t>jeminise.com+cat-patchwork-quilt-set-animal-pattern-bedding-cat-pattern-quilt-set</t>
        </is>
      </c>
      <c r="B30" s="2" t="inlineStr">
        <is>
          <t>qaimg_983bf2587d60a7f8</t>
        </is>
      </c>
      <c r="C30" s="4" t="inlineStr">
        <is>
          <t>https://cdn.shopify.com/s/files/1/0792/5098/1063/files/08d3fe0c396e254e929909cf54b1707f62fb396b6d05c2ab0c56c631789ab04d.jpg?v=1787233665</t>
        </is>
      </c>
      <c r="D30" s="4" t="inlineStr">
        <is>
          <t>https://cdn.shopify.com/s/files/1/0792/5098/1063/files/08d3fe0c396e254e929909cf54b1707f62fb396b6d05c2ab0c56c631789ab04d.jpg?v=1787233665</t>
        </is>
      </c>
      <c r="E30" s="2" t="inlineStr">
        <is>
          <t>38894702362823</t>
        </is>
      </c>
      <c r="F30" s="2" t="inlineStr">
        <is>
          <t>47933460545735</t>
        </is>
      </c>
      <c r="G30" s="2" t="inlineStr"/>
      <c r="H30" s="2" t="inlineStr">
        <is>
          <t>GALLERY</t>
        </is>
      </c>
      <c r="I30" s="2" t="inlineStr">
        <is>
          <t>DIRECT_ORIGINAL_IMAGE_REQA</t>
        </is>
      </c>
      <c r="J30" s="2" t="inlineStr">
        <is>
          <t>2026-09-07T12:03:49.582466+07:00</t>
        </is>
      </c>
      <c r="K30" s="2" t="inlineStr">
        <is>
          <t>Overhead bedroom mockup of the colorful cat quilt.</t>
        </is>
      </c>
      <c r="L30" s="2" t="inlineStr">
        <is>
          <t>Additional bedroom mockup showing the large colorful cat face in patchwork blocks design on a bed.</t>
        </is>
      </c>
      <c r="M30" s="2" t="inlineStr">
        <is>
          <t>Cat Patchwork Quilt Set, Animal Pattern Bedding, Cat Pattern Quilt Set Patchwork Style, Colorful Quilts Bedspread Twin Size, Throw Full Queen King Quilt Blanket</t>
        </is>
      </c>
      <c r="N30" s="2" t="inlineStr">
        <is>
          <t>SET</t>
        </is>
      </c>
      <c r="O30" s="2" t="inlineStr">
        <is>
          <t>Bedroom mockup of Colorful Cat Patchwork Quilt Set</t>
        </is>
      </c>
      <c r="P30" s="2" t="inlineStr">
        <is>
          <t>FULL</t>
        </is>
      </c>
      <c r="Q30" s="2" t="inlineStr">
        <is>
          <t>FULL</t>
        </is>
      </c>
      <c r="R30" s="2" t="inlineStr">
        <is>
          <t>FULL</t>
        </is>
      </c>
      <c r="S30" s="2" t="inlineStr">
        <is>
          <t>FULL</t>
        </is>
      </c>
      <c r="T30" s="5">
        <f>IF(P30="FULL",40,IF(P30="PARTIAL",40/2,0))+IF(Q30="FULL",30,IF(Q30="PARTIAL",30/2,0))+IF(R30="FULL",20,IF(R30="PARTIAL",20/2,0))+IF(S30="FULL",10,IF(S30="PARTIAL",10/2,0))</f>
        <v/>
      </c>
      <c r="U30" s="5">
        <f>IF(P30="NOT_CHECKED",0,40)+IF(Q30="NOT_CHECKED",0,30)+IF(R30="NOT_CHECKED",0,20)+IF(S30="NOT_CHECKED",0,10)</f>
        <v/>
      </c>
      <c r="V30" s="5">
        <f>IF(U30=100,T30,"")</f>
        <v/>
      </c>
      <c r="W30" s="5">
        <f>T30</f>
        <v/>
      </c>
      <c r="X30" s="5">
        <f>T30+(100-U30)</f>
        <v/>
      </c>
      <c r="Y30" s="2" t="inlineStr">
        <is>
          <t>[]</t>
        </is>
      </c>
      <c r="Z30" s="2" t="inlineStr">
        <is>
          <t>["seo_runs\\jeminise.com\\20260906_234129\\evidence\\images\\5_cat-patchwork-quilt-set-animal-pattern-bedding-cat-pattern-quilt-set\\image_07_47933460545735.jpg; seo_runs\\jeminise.com\\20260906_234129\\evidence\\contact_sheets\\5_cat-patchwork-quilt-set-animal-pattern-bedding-cat-pattern-quilt-set.jpg", "https://jeminise.com/products/cat-patchwork-quilt-set-animal-pattern-bedding-cat-pattern-quilt-set", "https://cdn.shopify.com/s/files/1/0792/5098/1063/files/08d3fe0c396e254e929909cf54b1707f62fb396b6d05c2ab0c56c631789ab04d.jpg?v=1787233665"]</t>
        </is>
      </c>
    </row>
    <row r="31" ht="66" customHeight="1">
      <c r="A31" s="3" t="inlineStr">
        <is>
          <t>jeminise.com+cat-quilt-set-cat-patchwork-style-printed-bedding-animal-patchwork</t>
        </is>
      </c>
      <c r="B31" s="3" t="inlineStr">
        <is>
          <t>qaimg_5a5f2cb07e2d367d</t>
        </is>
      </c>
      <c r="C31" s="4" t="inlineStr">
        <is>
          <t>https://cdn.shopify.com/s/files/1/0792/5098/1063/files/168d48c33af74fd729615aa6c0790691ec2ec8ab000886bd93c0851b05764cb5.jpg?v=1787233678</t>
        </is>
      </c>
      <c r="D31" s="4" t="inlineStr">
        <is>
          <t>https://cdn.shopify.com/s/files/1/0792/5098/1063/files/168d48c33af74fd729615aa6c0790691ec2ec8ab000886bd93c0851b05764cb5.jpg?v=1787233678</t>
        </is>
      </c>
      <c r="E31" s="3" t="inlineStr">
        <is>
          <t>38894703575239</t>
        </is>
      </c>
      <c r="F31" s="3" t="inlineStr">
        <is>
          <t>47933461725383</t>
        </is>
      </c>
      <c r="G31" s="3" t="inlineStr"/>
      <c r="H31" s="3" t="inlineStr">
        <is>
          <t>GALLERY</t>
        </is>
      </c>
      <c r="I31" s="3" t="inlineStr">
        <is>
          <t>DIRECT_ORIGINAL_IMAGE_REQA</t>
        </is>
      </c>
      <c r="J31" s="3" t="inlineStr">
        <is>
          <t>2026-09-07T12:03:49.582466+07:00</t>
        </is>
      </c>
      <c r="K31" s="3" t="inlineStr">
        <is>
          <t>Front bed mockup with a seated geometric calico cat on a beige leaf background.</t>
        </is>
      </c>
      <c r="L31" s="3" t="inlineStr">
        <is>
          <t>Main bed mockup showing sitting cat in geometric patchwork colors on beige leaf background.</t>
        </is>
      </c>
      <c r="M31" s="3" t="inlineStr">
        <is>
          <t>Cat Quilt Set - Cat Patchwork Style Printed Bedding, Animal Patchwork Bedset, Farmhouse Blanket with Pillowcases, Premium Quilt Pattern Bedding Set, Twin Full Queen Size</t>
        </is>
      </c>
      <c r="N31" s="3" t="inlineStr">
        <is>
          <t>SET</t>
        </is>
      </c>
      <c r="O31" s="3" t="inlineStr">
        <is>
          <t>Geometric Cat Patchwork Quilt Set displayed on a bed</t>
        </is>
      </c>
      <c r="P31" s="3" t="inlineStr">
        <is>
          <t>FULL</t>
        </is>
      </c>
      <c r="Q31" s="3" t="inlineStr">
        <is>
          <t>FULL</t>
        </is>
      </c>
      <c r="R31" s="3" t="inlineStr">
        <is>
          <t>FULL</t>
        </is>
      </c>
      <c r="S31" s="3" t="inlineStr">
        <is>
          <t>FULL</t>
        </is>
      </c>
      <c r="T31" s="7">
        <f>IF(P31="FULL",40,IF(P31="PARTIAL",40/2,0))+IF(Q31="FULL",30,IF(Q31="PARTIAL",30/2,0))+IF(R31="FULL",20,IF(R31="PARTIAL",20/2,0))+IF(S31="FULL",10,IF(S31="PARTIAL",10/2,0))</f>
        <v/>
      </c>
      <c r="U31" s="7">
        <f>IF(P31="NOT_CHECKED",0,40)+IF(Q31="NOT_CHECKED",0,30)+IF(R31="NOT_CHECKED",0,20)+IF(S31="NOT_CHECKED",0,10)</f>
        <v/>
      </c>
      <c r="V31" s="7">
        <f>IF(U31=100,T31,"")</f>
        <v/>
      </c>
      <c r="W31" s="7">
        <f>T31</f>
        <v/>
      </c>
      <c r="X31" s="7">
        <f>T31+(100-U31)</f>
        <v/>
      </c>
      <c r="Y31" s="3" t="inlineStr">
        <is>
          <t>[]</t>
        </is>
      </c>
      <c r="Z31" s="3" t="inlineStr">
        <is>
          <t>["seo_runs\\jeminise.com\\20260906_234129\\evidence\\images\\6_cat-quilt-set-cat-patchwork-style-printed-bedding-animal-patchwork\\image_01_47933461725383.jpg; seo_runs\\jeminise.com\\20260906_234129\\evidence\\contact_sheets\\6_cat-quilt-set-cat-patchwork-style-printed-bedding-animal-patchwork.jpg", "https://jeminise.com/products/cat-quilt-set-cat-patchwork-style-printed-bedding-animal-patchwork", "https://cdn.shopify.com/s/files/1/0792/5098/1063/files/168d48c33af74fd729615aa6c0790691ec2ec8ab000886bd93c0851b05764cb5.jpg?v=1787233678"]</t>
        </is>
      </c>
    </row>
    <row r="32" ht="66" customHeight="1">
      <c r="A32" s="2" t="inlineStr">
        <is>
          <t>jeminise.com+cat-quilt-set-cat-patchwork-style-printed-bedding-animal-patchwork</t>
        </is>
      </c>
      <c r="B32" s="2" t="inlineStr">
        <is>
          <t>qaimg_58238be182b433d2</t>
        </is>
      </c>
      <c r="C32" s="4" t="inlineStr">
        <is>
          <t>https://cdn.shopify.com/s/files/1/0792/5098/1063/files/5fb11ab02ba6d7c7d6dc7b600952eeed36e59dc4fd7d78e26290c5b4432ce84a.jpg?v=1787233677</t>
        </is>
      </c>
      <c r="D32" s="4" t="inlineStr">
        <is>
          <t>https://cdn.shopify.com/s/files/1/0792/5098/1063/files/5fb11ab02ba6d7c7d6dc7b600952eeed36e59dc4fd7d78e26290c5b4432ce84a.jpg?v=1787233677</t>
        </is>
      </c>
      <c r="E32" s="2" t="inlineStr">
        <is>
          <t>38894703608007</t>
        </is>
      </c>
      <c r="F32" s="2" t="inlineStr">
        <is>
          <t>47933461758151</t>
        </is>
      </c>
      <c r="G32" s="2" t="inlineStr"/>
      <c r="H32" s="2" t="inlineStr">
        <is>
          <t>GALLERY</t>
        </is>
      </c>
      <c r="I32" s="2" t="inlineStr">
        <is>
          <t>DIRECT_ORIGINAL_IMAGE_REQA</t>
        </is>
      </c>
      <c r="J32" s="2" t="inlineStr">
        <is>
          <t>2026-09-07T12:03:49.582466+07:00</t>
        </is>
      </c>
      <c r="K32" s="2" t="inlineStr">
        <is>
          <t>Bedroom/feature graphic with premium print, no fading and skin-friendly callouts.</t>
        </is>
      </c>
      <c r="L32" s="2" t="inlineStr">
        <is>
          <t>Secondary detail or room mockup showing sitting cat in geometric patchwork colors on beige leaf background and visible quilted/printed texture.</t>
        </is>
      </c>
      <c r="M32" s="2" t="inlineStr">
        <is>
          <t>Cat Quilt Set - Cat Patchwork Style Printed Bedding, Animal Patchwork Bedset, Farmhouse Blanket with Pillowcases, Premium Quilt Pattern Bedding Set, Twin Full Queen Size</t>
        </is>
      </c>
      <c r="N32" s="2" t="inlineStr">
        <is>
          <t>SET</t>
        </is>
      </c>
      <c r="O32" s="2" t="inlineStr">
        <is>
          <t>Close view of sitting cat in geometric patchwork colors on beige leaf background on the quilt set</t>
        </is>
      </c>
      <c r="P32" s="2" t="inlineStr">
        <is>
          <t>FULL</t>
        </is>
      </c>
      <c r="Q32" s="2" t="inlineStr">
        <is>
          <t>PARTIAL</t>
        </is>
      </c>
      <c r="R32" s="2" t="inlineStr">
        <is>
          <t>FAIL</t>
        </is>
      </c>
      <c r="S32" s="2" t="inlineStr">
        <is>
          <t>FULL</t>
        </is>
      </c>
      <c r="T32" s="5">
        <f>IF(P32="FULL",40,IF(P32="PARTIAL",40/2,0))+IF(Q32="FULL",30,IF(Q32="PARTIAL",30/2,0))+IF(R32="FULL",20,IF(R32="PARTIAL",20/2,0))+IF(S32="FULL",10,IF(S32="PARTIAL",10/2,0))</f>
        <v/>
      </c>
      <c r="U32" s="5">
        <f>IF(P32="NOT_CHECKED",0,40)+IF(Q32="NOT_CHECKED",0,30)+IF(R32="NOT_CHECKED",0,20)+IF(S32="NOT_CHECKED",0,10)</f>
        <v/>
      </c>
      <c r="V32" s="5">
        <f>IF(U32=100,T32,"")</f>
        <v/>
      </c>
      <c r="W32" s="5">
        <f>T32</f>
        <v/>
      </c>
      <c r="X32" s="5">
        <f>T32+(100-U32)</f>
        <v/>
      </c>
      <c r="Y32" s="2" t="inlineStr">
        <is>
          <t>["R2-ISS-006-IMG-02"]</t>
        </is>
      </c>
      <c r="Z32" s="2" t="inlineStr">
        <is>
          <t>["seo_runs\\jeminise.com\\20260906_234129\\evidence\\images\\6_cat-quilt-set-cat-patchwork-style-printed-bedding-animal-patchwork\\image_02_47933461758151.jpg; seo_runs\\jeminise.com\\20260906_234129\\evidence\\contact_sheets\\6_cat-quilt-set-cat-patchwork-style-printed-bedding-animal-patchwork.jpg", "https://jeminise.com/products/cat-quilt-set-cat-patchwork-style-printed-bedding-animal-patchwork", "https://cdn.shopify.com/s/files/1/0792/5098/1063/files/5fb11ab02ba6d7c7d6dc7b600952eeed36e59dc4fd7d78e26290c5b4432ce84a.jpg?v=1787233677"]</t>
        </is>
      </c>
    </row>
    <row r="33" ht="66" customHeight="1">
      <c r="A33" s="3" t="inlineStr">
        <is>
          <t>jeminise.com+cat-quilt-set-cat-patchwork-style-printed-bedding-animal-patchwork</t>
        </is>
      </c>
      <c r="B33" s="3" t="inlineStr">
        <is>
          <t>qaimg_38a990d7377750d0</t>
        </is>
      </c>
      <c r="C33" s="4" t="inlineStr">
        <is>
          <t>https://cdn.shopify.com/s/files/1/0792/5098/1063/files/016cba1137ec3b2b7bdd46e0d797a4962a5f54c2379fde509b2301ca87b4ad35.jpg?v=1787233678</t>
        </is>
      </c>
      <c r="D33" s="4" t="inlineStr">
        <is>
          <t>https://cdn.shopify.com/s/files/1/0792/5098/1063/files/016cba1137ec3b2b7bdd46e0d797a4962a5f54c2379fde509b2301ca87b4ad35.jpg?v=1787233678</t>
        </is>
      </c>
      <c r="E33" s="3" t="inlineStr">
        <is>
          <t>38894703640775</t>
        </is>
      </c>
      <c r="F33" s="3" t="inlineStr">
        <is>
          <t>47933461790919</t>
        </is>
      </c>
      <c r="G33" s="3" t="inlineStr"/>
      <c r="H33" s="3" t="inlineStr">
        <is>
          <t>GALLERY</t>
        </is>
      </c>
      <c r="I33" s="3" t="inlineStr">
        <is>
          <t>DIRECT_ORIGINAL_IMAGE_REQA</t>
        </is>
      </c>
      <c r="J33" s="3" t="inlineStr">
        <is>
          <t>2026-09-07T12:03:49.582466+07:00</t>
        </is>
      </c>
      <c r="K33" s="3" t="inlineStr">
        <is>
          <t>Pillow shams plus lightweight, soft, anti-pill and anti-static feature callouts.</t>
        </is>
      </c>
      <c r="L33" s="3" t="inlineStr">
        <is>
          <t>Matching pillow sham or bedding detail using the same sitting cat in geometric patchwork colors on beige leaf background artwork.</t>
        </is>
      </c>
      <c r="M33" s="3" t="inlineStr">
        <is>
          <t>Cat Quilt Set - Cat Patchwork Style Printed Bedding, Animal Patchwork Bedset, Farmhouse Blanket with Pillowcases, Premium Quilt Pattern Bedding Set, Twin Full Queen Size</t>
        </is>
      </c>
      <c r="N33" s="3" t="inlineStr">
        <is>
          <t>SET</t>
        </is>
      </c>
      <c r="O33" s="3" t="inlineStr">
        <is>
          <t>Matching pillow sham for Geometric Cat Patchwork Quilt Set</t>
        </is>
      </c>
      <c r="P33" s="3" t="inlineStr">
        <is>
          <t>FULL</t>
        </is>
      </c>
      <c r="Q33" s="3" t="inlineStr">
        <is>
          <t>PARTIAL</t>
        </is>
      </c>
      <c r="R33" s="3" t="inlineStr">
        <is>
          <t>PARTIAL</t>
        </is>
      </c>
      <c r="S33" s="3" t="inlineStr">
        <is>
          <t>FULL</t>
        </is>
      </c>
      <c r="T33" s="7">
        <f>IF(P33="FULL",40,IF(P33="PARTIAL",40/2,0))+IF(Q33="FULL",30,IF(Q33="PARTIAL",30/2,0))+IF(R33="FULL",20,IF(R33="PARTIAL",20/2,0))+IF(S33="FULL",10,IF(S33="PARTIAL",10/2,0))</f>
        <v/>
      </c>
      <c r="U33" s="7">
        <f>IF(P33="NOT_CHECKED",0,40)+IF(Q33="NOT_CHECKED",0,30)+IF(R33="NOT_CHECKED",0,20)+IF(S33="NOT_CHECKED",0,10)</f>
        <v/>
      </c>
      <c r="V33" s="7">
        <f>IF(U33=100,T33,"")</f>
        <v/>
      </c>
      <c r="W33" s="7">
        <f>T33</f>
        <v/>
      </c>
      <c r="X33" s="7">
        <f>T33+(100-U33)</f>
        <v/>
      </c>
      <c r="Y33" s="3" t="inlineStr">
        <is>
          <t>["R2-ISS-006-IMG-03"]</t>
        </is>
      </c>
      <c r="Z33" s="3" t="inlineStr">
        <is>
          <t>["seo_runs\\jeminise.com\\20260906_234129\\evidence\\images\\6_cat-quilt-set-cat-patchwork-style-printed-bedding-animal-patchwork\\image_03_47933461790919.jpg; seo_runs\\jeminise.com\\20260906_234129\\evidence\\contact_sheets\\6_cat-quilt-set-cat-patchwork-style-printed-bedding-animal-patchwork.jpg", "https://jeminise.com/products/cat-quilt-set-cat-patchwork-style-printed-bedding-animal-patchwork", "https://cdn.shopify.com/s/files/1/0792/5098/1063/files/016cba1137ec3b2b7bdd46e0d797a4962a5f54c2379fde509b2301ca87b4ad35.jpg?v=1787233678"]</t>
        </is>
      </c>
    </row>
    <row r="34" ht="66" customHeight="1">
      <c r="A34" s="2" t="inlineStr">
        <is>
          <t>jeminise.com+cat-quilt-set-cat-patchwork-style-printed-bedding-animal-patchwork</t>
        </is>
      </c>
      <c r="B34" s="2" t="inlineStr">
        <is>
          <t>qaimg_ea46fac1ea4531f6</t>
        </is>
      </c>
      <c r="C34" s="4" t="inlineStr">
        <is>
          <t>https://cdn.shopify.com/s/files/1/0792/5098/1063/files/f8cc70311d22e4bc770b45756e723f2451f8d0e3a5de4035dc223375ea6ac88e.jpg?v=1787233678</t>
        </is>
      </c>
      <c r="D34" s="4" t="inlineStr">
        <is>
          <t>https://cdn.shopify.com/s/files/1/0792/5098/1063/files/f8cc70311d22e4bc770b45756e723f2451f8d0e3a5de4035dc223375ea6ac88e.jpg?v=1787233678</t>
        </is>
      </c>
      <c r="E34" s="2" t="inlineStr">
        <is>
          <t>38894703673543</t>
        </is>
      </c>
      <c r="F34" s="2" t="inlineStr">
        <is>
          <t>47933461823687</t>
        </is>
      </c>
      <c r="G34" s="2" t="inlineStr"/>
      <c r="H34" s="2" t="inlineStr">
        <is>
          <t>GALLERY</t>
        </is>
      </c>
      <c r="I34" s="2" t="inlineStr">
        <is>
          <t>DIRECT_ORIGINAL_IMAGE_REQA</t>
        </is>
      </c>
      <c r="J34" s="2" t="inlineStr">
        <is>
          <t>2026-09-07T12:03:49.582466+07:00</t>
        </is>
      </c>
      <c r="K34" s="2" t="inlineStr">
        <is>
          <t>All-season and fabric-quality feature graphic with a small bed mockup.</t>
        </is>
      </c>
      <c r="L34" s="2" t="inlineStr">
        <is>
          <t>Room/folded product or fabric information image tied to the sitting cat in geometric patchwork colors on beige leaf background design.</t>
        </is>
      </c>
      <c r="M34" s="2" t="inlineStr">
        <is>
          <t>Cat Quilt Set - Cat Patchwork Style Printed Bedding, Animal Patchwork Bedset, Farmhouse Blanket with Pillowcases, Premium Quilt Pattern Bedding Set, Twin Full Queen Size</t>
        </is>
      </c>
      <c r="N34" s="2" t="inlineStr">
        <is>
          <t>SET</t>
        </is>
      </c>
      <c r="O34" s="2" t="inlineStr">
        <is>
          <t>Geometric Cat Patchwork Quilt Set shown in a bedroom setting</t>
        </is>
      </c>
      <c r="P34" s="2" t="inlineStr">
        <is>
          <t>FULL</t>
        </is>
      </c>
      <c r="Q34" s="2" t="inlineStr">
        <is>
          <t>PARTIAL</t>
        </is>
      </c>
      <c r="R34" s="2" t="inlineStr">
        <is>
          <t>PARTIAL</t>
        </is>
      </c>
      <c r="S34" s="2" t="inlineStr">
        <is>
          <t>FULL</t>
        </is>
      </c>
      <c r="T34" s="5">
        <f>IF(P34="FULL",40,IF(P34="PARTIAL",40/2,0))+IF(Q34="FULL",30,IF(Q34="PARTIAL",30/2,0))+IF(R34="FULL",20,IF(R34="PARTIAL",20/2,0))+IF(S34="FULL",10,IF(S34="PARTIAL",10/2,0))</f>
        <v/>
      </c>
      <c r="U34" s="5">
        <f>IF(P34="NOT_CHECKED",0,40)+IF(Q34="NOT_CHECKED",0,30)+IF(R34="NOT_CHECKED",0,20)+IF(S34="NOT_CHECKED",0,10)</f>
        <v/>
      </c>
      <c r="V34" s="5">
        <f>IF(U34=100,T34,"")</f>
        <v/>
      </c>
      <c r="W34" s="5">
        <f>T34</f>
        <v/>
      </c>
      <c r="X34" s="5">
        <f>T34+(100-U34)</f>
        <v/>
      </c>
      <c r="Y34" s="2" t="inlineStr">
        <is>
          <t>["R2-ISS-006-IMG-04"]</t>
        </is>
      </c>
      <c r="Z34" s="2" t="inlineStr">
        <is>
          <t>["seo_runs\\jeminise.com\\20260906_234129\\evidence\\images\\6_cat-quilt-set-cat-patchwork-style-printed-bedding-animal-patchwork\\image_04_47933461823687.jpg; seo_runs\\jeminise.com\\20260906_234129\\evidence\\contact_sheets\\6_cat-quilt-set-cat-patchwork-style-printed-bedding-animal-patchwork.jpg", "https://jeminise.com/products/cat-quilt-set-cat-patchwork-style-printed-bedding-animal-patchwork", "https://cdn.shopify.com/s/files/1/0792/5098/1063/files/f8cc70311d22e4bc770b45756e723f2451f8d0e3a5de4035dc223375ea6ac88e.jpg?v=1787233678"]</t>
        </is>
      </c>
    </row>
    <row r="35" ht="66" customHeight="1">
      <c r="A35" s="3" t="inlineStr">
        <is>
          <t>jeminise.com+cat-quilt-set-cat-patchwork-style-printed-bedding-animal-patchwork</t>
        </is>
      </c>
      <c r="B35" s="3" t="inlineStr">
        <is>
          <t>qaimg_b2b44d883616dea8</t>
        </is>
      </c>
      <c r="C35" s="4" t="inlineStr">
        <is>
          <t>https://cdn.shopify.com/s/files/1/0792/5098/1063/files/0b98d63f67b9b39913382ed53f2a21445b22531d2b9fff267d884d37d466742f.jpg?v=1787233678</t>
        </is>
      </c>
      <c r="D35" s="4" t="inlineStr">
        <is>
          <t>https://cdn.shopify.com/s/files/1/0792/5098/1063/files/0b98d63f67b9b39913382ed53f2a21445b22531d2b9fff267d884d37d466742f.jpg?v=1787233678</t>
        </is>
      </c>
      <c r="E35" s="3" t="inlineStr">
        <is>
          <t>38894703706311</t>
        </is>
      </c>
      <c r="F35" s="3" t="inlineStr">
        <is>
          <t>47933461856455</t>
        </is>
      </c>
      <c r="G35" s="3" t="inlineStr"/>
      <c r="H35" s="3" t="inlineStr">
        <is>
          <t>GALLERY</t>
        </is>
      </c>
      <c r="I35" s="3" t="inlineStr">
        <is>
          <t>DIRECT_ORIGINAL_IMAGE_REQA</t>
        </is>
      </c>
      <c r="J35" s="3" t="inlineStr">
        <is>
          <t>2026-09-07T12:03:49.582466+07:00</t>
        </is>
      </c>
      <c r="K35" s="3" t="inlineStr">
        <is>
          <t>Quilt size chart.</t>
        </is>
      </c>
      <c r="L35" s="3" t="inlineStr">
        <is>
          <t>Sizing or included-components information image for the bedding set.</t>
        </is>
      </c>
      <c r="M35" s="3" t="inlineStr">
        <is>
          <t>Cat Quilt Set - Cat Patchwork Style Printed Bedding, Animal Patchwork Bedset, Farmhouse Blanket with Pillowcases, Premium Quilt Pattern Bedding Set, Twin Full Queen Size</t>
        </is>
      </c>
      <c r="N35" s="3" t="inlineStr">
        <is>
          <t>SET</t>
        </is>
      </c>
      <c r="O35" s="3" t="inlineStr">
        <is>
          <t>Size guide for Geometric Cat Patchwork Quilt Set</t>
        </is>
      </c>
      <c r="P35" s="3" t="inlineStr">
        <is>
          <t>FULL</t>
        </is>
      </c>
      <c r="Q35" s="3" t="inlineStr">
        <is>
          <t>FULL</t>
        </is>
      </c>
      <c r="R35" s="3" t="inlineStr">
        <is>
          <t>FULL</t>
        </is>
      </c>
      <c r="S35" s="3" t="inlineStr">
        <is>
          <t>FULL</t>
        </is>
      </c>
      <c r="T35" s="7">
        <f>IF(P35="FULL",40,IF(P35="PARTIAL",40/2,0))+IF(Q35="FULL",30,IF(Q35="PARTIAL",30/2,0))+IF(R35="FULL",20,IF(R35="PARTIAL",20/2,0))+IF(S35="FULL",10,IF(S35="PARTIAL",10/2,0))</f>
        <v/>
      </c>
      <c r="U35" s="7">
        <f>IF(P35="NOT_CHECKED",0,40)+IF(Q35="NOT_CHECKED",0,30)+IF(R35="NOT_CHECKED",0,20)+IF(S35="NOT_CHECKED",0,10)</f>
        <v/>
      </c>
      <c r="V35" s="7">
        <f>IF(U35=100,T35,"")</f>
        <v/>
      </c>
      <c r="W35" s="7">
        <f>T35</f>
        <v/>
      </c>
      <c r="X35" s="7">
        <f>T35+(100-U35)</f>
        <v/>
      </c>
      <c r="Y35" s="3" t="inlineStr">
        <is>
          <t>[]</t>
        </is>
      </c>
      <c r="Z35" s="3" t="inlineStr">
        <is>
          <t>["seo_runs\\jeminise.com\\20260906_234129\\evidence\\images\\6_cat-quilt-set-cat-patchwork-style-printed-bedding-animal-patchwork\\image_05_47933461856455.jpg; seo_runs\\jeminise.com\\20260906_234129\\evidence\\contact_sheets\\6_cat-quilt-set-cat-patchwork-style-printed-bedding-animal-patchwork.jpg", "https://jeminise.com/products/cat-quilt-set-cat-patchwork-style-printed-bedding-animal-patchwork", "https://cdn.shopify.com/s/files/1/0792/5098/1063/files/0b98d63f67b9b39913382ed53f2a21445b22531d2b9fff267d884d37d466742f.jpg?v=1787233678"]</t>
        </is>
      </c>
    </row>
    <row r="36" ht="66" customHeight="1">
      <c r="A36" s="2" t="inlineStr">
        <is>
          <t>jeminise.com+cat-quilt-set-cat-patchwork-style-printed-bedding-animal-patchwork</t>
        </is>
      </c>
      <c r="B36" s="2" t="inlineStr">
        <is>
          <t>qaimg_b1148a843758595a</t>
        </is>
      </c>
      <c r="C36" s="4" t="inlineStr">
        <is>
          <t>https://cdn.shopify.com/s/files/1/0792/5098/1063/files/5155a60b18436e391bed973022f7062d5434ddd6d570a51bc67a5fdb0c719df7.jpg?v=1787233678</t>
        </is>
      </c>
      <c r="D36" s="4" t="inlineStr">
        <is>
          <t>https://cdn.shopify.com/s/files/1/0792/5098/1063/files/5155a60b18436e391bed973022f7062d5434ddd6d570a51bc67a5fdb0c719df7.jpg?v=1787233678</t>
        </is>
      </c>
      <c r="E36" s="2" t="inlineStr">
        <is>
          <t>38894703739079</t>
        </is>
      </c>
      <c r="F36" s="2" t="inlineStr">
        <is>
          <t>47933461889223</t>
        </is>
      </c>
      <c r="G36" s="2" t="inlineStr"/>
      <c r="H36" s="2" t="inlineStr">
        <is>
          <t>GALLERY</t>
        </is>
      </c>
      <c r="I36" s="2" t="inlineStr">
        <is>
          <t>DIRECT_ORIGINAL_IMAGE_REQA</t>
        </is>
      </c>
      <c r="J36" s="2" t="inlineStr">
        <is>
          <t>2026-09-07T12:03:49.582466+07:00</t>
        </is>
      </c>
      <c r="K36" s="2" t="inlineStr">
        <is>
          <t>Bedspread construction-layer and fabric-feature graphic.</t>
        </is>
      </c>
      <c r="L36" s="2" t="inlineStr">
        <is>
          <t>Feature image describing fabric layers, softness, breathability or care details.</t>
        </is>
      </c>
      <c r="M36" s="2" t="inlineStr">
        <is>
          <t>Cat Quilt Set - Cat Patchwork Style Printed Bedding, Animal Patchwork Bedset, Farmhouse Blanket with Pillowcases, Premium Quilt Pattern Bedding Set, Twin Full Queen Size</t>
        </is>
      </c>
      <c r="N36" s="2" t="inlineStr">
        <is>
          <t>SET</t>
        </is>
      </c>
      <c r="O36" s="2" t="inlineStr">
        <is>
          <t>Fabric feature graphic for Geometric Cat Patchwork Quilt Set</t>
        </is>
      </c>
      <c r="P36" s="2" t="inlineStr">
        <is>
          <t>FULL</t>
        </is>
      </c>
      <c r="Q36" s="2" t="inlineStr">
        <is>
          <t>FULL</t>
        </is>
      </c>
      <c r="R36" s="2" t="inlineStr">
        <is>
          <t>FULL</t>
        </is>
      </c>
      <c r="S36" s="2" t="inlineStr">
        <is>
          <t>FULL</t>
        </is>
      </c>
      <c r="T36" s="5">
        <f>IF(P36="FULL",40,IF(P36="PARTIAL",40/2,0))+IF(Q36="FULL",30,IF(Q36="PARTIAL",30/2,0))+IF(R36="FULL",20,IF(R36="PARTIAL",20/2,0))+IF(S36="FULL",10,IF(S36="PARTIAL",10/2,0))</f>
        <v/>
      </c>
      <c r="U36" s="5">
        <f>IF(P36="NOT_CHECKED",0,40)+IF(Q36="NOT_CHECKED",0,30)+IF(R36="NOT_CHECKED",0,20)+IF(S36="NOT_CHECKED",0,10)</f>
        <v/>
      </c>
      <c r="V36" s="5">
        <f>IF(U36=100,T36,"")</f>
        <v/>
      </c>
      <c r="W36" s="5">
        <f>T36</f>
        <v/>
      </c>
      <c r="X36" s="5">
        <f>T36+(100-U36)</f>
        <v/>
      </c>
      <c r="Y36" s="2" t="inlineStr">
        <is>
          <t>[]</t>
        </is>
      </c>
      <c r="Z36" s="2" t="inlineStr">
        <is>
          <t>["seo_runs\\jeminise.com\\20260906_234129\\evidence\\images\\6_cat-quilt-set-cat-patchwork-style-printed-bedding-animal-patchwork\\image_06_47933461889223.jpg; seo_runs\\jeminise.com\\20260906_234129\\evidence\\contact_sheets\\6_cat-quilt-set-cat-patchwork-style-printed-bedding-animal-patchwork.jpg", "https://jeminise.com/products/cat-quilt-set-cat-patchwork-style-printed-bedding-animal-patchwork", "https://cdn.shopify.com/s/files/1/0792/5098/1063/files/5155a60b18436e391bed973022f7062d5434ddd6d570a51bc67a5fdb0c719df7.jpg?v=1787233678"]</t>
        </is>
      </c>
    </row>
    <row r="37" ht="66" customHeight="1">
      <c r="A37" s="3" t="inlineStr">
        <is>
          <t>jeminise.com+cat-quilt-set-cat-patchwork-style-printed-bedding-animal-patchwork</t>
        </is>
      </c>
      <c r="B37" s="3" t="inlineStr">
        <is>
          <t>qaimg_0551983ac01ea8e3</t>
        </is>
      </c>
      <c r="C37" s="4" t="inlineStr">
        <is>
          <t>https://cdn.shopify.com/s/files/1/0792/5098/1063/files/0df0c698011b3a8e7982071042b9453452548b6175c2c4076cc8bb84ebb1a277.jpg?v=1787233678</t>
        </is>
      </c>
      <c r="D37" s="4" t="inlineStr">
        <is>
          <t>https://cdn.shopify.com/s/files/1/0792/5098/1063/files/0df0c698011b3a8e7982071042b9453452548b6175c2c4076cc8bb84ebb1a277.jpg?v=1787233678</t>
        </is>
      </c>
      <c r="E37" s="3" t="inlineStr">
        <is>
          <t>38894703771847</t>
        </is>
      </c>
      <c r="F37" s="3" t="inlineStr">
        <is>
          <t>47933461921991</t>
        </is>
      </c>
      <c r="G37" s="3" t="inlineStr"/>
      <c r="H37" s="3" t="inlineStr">
        <is>
          <t>GALLERY</t>
        </is>
      </c>
      <c r="I37" s="3" t="inlineStr">
        <is>
          <t>DIRECT_ORIGINAL_IMAGE_REQA</t>
        </is>
      </c>
      <c r="J37" s="3" t="inlineStr">
        <is>
          <t>2026-09-07T12:03:49.582466+07:00</t>
        </is>
      </c>
      <c r="K37" s="3" t="inlineStr">
        <is>
          <t>Overhead bedroom mockup of the geometric cat quilt.</t>
        </is>
      </c>
      <c r="L37" s="3" t="inlineStr">
        <is>
          <t>Additional bedroom mockup showing the sitting cat in geometric patchwork colors on beige leaf background design on a bed.</t>
        </is>
      </c>
      <c r="M37" s="3" t="inlineStr">
        <is>
          <t>Cat Quilt Set - Cat Patchwork Style Printed Bedding, Animal Patchwork Bedset, Farmhouse Blanket with Pillowcases, Premium Quilt Pattern Bedding Set, Twin Full Queen Size</t>
        </is>
      </c>
      <c r="N37" s="3" t="inlineStr">
        <is>
          <t>SET</t>
        </is>
      </c>
      <c r="O37" s="3" t="inlineStr">
        <is>
          <t>Bedroom mockup of Geometric Cat Patchwork Quilt Set</t>
        </is>
      </c>
      <c r="P37" s="3" t="inlineStr">
        <is>
          <t>FULL</t>
        </is>
      </c>
      <c r="Q37" s="3" t="inlineStr">
        <is>
          <t>FULL</t>
        </is>
      </c>
      <c r="R37" s="3" t="inlineStr">
        <is>
          <t>FULL</t>
        </is>
      </c>
      <c r="S37" s="3" t="inlineStr">
        <is>
          <t>FULL</t>
        </is>
      </c>
      <c r="T37" s="7">
        <f>IF(P37="FULL",40,IF(P37="PARTIAL",40/2,0))+IF(Q37="FULL",30,IF(Q37="PARTIAL",30/2,0))+IF(R37="FULL",20,IF(R37="PARTIAL",20/2,0))+IF(S37="FULL",10,IF(S37="PARTIAL",10/2,0))</f>
        <v/>
      </c>
      <c r="U37" s="7">
        <f>IF(P37="NOT_CHECKED",0,40)+IF(Q37="NOT_CHECKED",0,30)+IF(R37="NOT_CHECKED",0,20)+IF(S37="NOT_CHECKED",0,10)</f>
        <v/>
      </c>
      <c r="V37" s="7">
        <f>IF(U37=100,T37,"")</f>
        <v/>
      </c>
      <c r="W37" s="7">
        <f>T37</f>
        <v/>
      </c>
      <c r="X37" s="7">
        <f>T37+(100-U37)</f>
        <v/>
      </c>
      <c r="Y37" s="3" t="inlineStr">
        <is>
          <t>[]</t>
        </is>
      </c>
      <c r="Z37" s="3" t="inlineStr">
        <is>
          <t>["seo_runs\\jeminise.com\\20260906_234129\\evidence\\images\\6_cat-quilt-set-cat-patchwork-style-printed-bedding-animal-patchwork\\image_07_47933461921991.jpg; seo_runs\\jeminise.com\\20260906_234129\\evidence\\contact_sheets\\6_cat-quilt-set-cat-patchwork-style-printed-bedding-animal-patchwork.jpg", "https://jeminise.com/products/cat-quilt-set-cat-patchwork-style-printed-bedding-animal-patchwork", "https://cdn.shopify.com/s/files/1/0792/5098/1063/files/0df0c698011b3a8e7982071042b9453452548b6175c2c4076cc8bb84ebb1a277.jpg?v=1787233678"]</t>
        </is>
      </c>
    </row>
    <row r="38" ht="66" customHeight="1">
      <c r="A38" s="2" t="inlineStr">
        <is>
          <t>jeminise.com+celtic-and-fantasy-quilt-set-with-twisting-tree-trunk-and-exposed-roots-c7b1460bad-c7b1460bad</t>
        </is>
      </c>
      <c r="B38" s="2" t="inlineStr">
        <is>
          <t>qaimg_6b99be0f184fc3c9</t>
        </is>
      </c>
      <c r="C38" s="4" t="inlineStr">
        <is>
          <t>https://cdn.shopify.com/s/files/1/0792/5098/1063/files/fa88df693fa60cabcd0f81ce06bcd29af56cdf7514f68810d99ef599203c821d.jpg?v=1785047367</t>
        </is>
      </c>
      <c r="D38" s="4" t="inlineStr">
        <is>
          <t>https://cdn.shopify.com/s/files/1/0792/5098/1063/files/fa88df693fa60cabcd0f81ce06bcd29af56cdf7514f68810d99ef599203c821d.jpg?v=1785047367</t>
        </is>
      </c>
      <c r="E38" s="2" t="inlineStr">
        <is>
          <t>38498696233159</t>
        </is>
      </c>
      <c r="F38" s="2" t="inlineStr">
        <is>
          <t>47531997331655</t>
        </is>
      </c>
      <c r="G38" s="2" t="inlineStr"/>
      <c r="H38" s="2" t="inlineStr">
        <is>
          <t>GALLERY</t>
        </is>
      </c>
      <c r="I38" s="2" t="inlineStr">
        <is>
          <t>DIRECT_ORIGINAL_IMAGE_REQA</t>
        </is>
      </c>
      <c r="J38" s="2" t="inlineStr">
        <is>
          <t>2026-09-07T12:03:49.582466+07:00</t>
        </is>
      </c>
      <c r="K38" s="2" t="inlineStr">
        <is>
          <t>Front bed mockup with a twisting tree, exposed roots, teal night sky and Celtic knot border.</t>
        </is>
      </c>
      <c r="L38" s="2" t="inlineStr">
        <is>
          <t>Main bed mockup showing twisting tree trunk with exposed roots and Celtic knot border.</t>
        </is>
      </c>
      <c r="M38" s="2" t="inlineStr">
        <is>
          <t>Celtic and Fantasy Quilt Set with Twisting Tree Trunk And Exposed Roots</t>
        </is>
      </c>
      <c r="N38" s="2" t="inlineStr">
        <is>
          <t>SET</t>
        </is>
      </c>
      <c r="O38" s="2" t="inlineStr">
        <is>
          <t>Celtic Fantasy Tree Quilt Set displayed on a bed</t>
        </is>
      </c>
      <c r="P38" s="2" t="inlineStr">
        <is>
          <t>FULL</t>
        </is>
      </c>
      <c r="Q38" s="2" t="inlineStr">
        <is>
          <t>FULL</t>
        </is>
      </c>
      <c r="R38" s="2" t="inlineStr">
        <is>
          <t>FULL</t>
        </is>
      </c>
      <c r="S38" s="2" t="inlineStr">
        <is>
          <t>FULL</t>
        </is>
      </c>
      <c r="T38" s="5">
        <f>IF(P38="FULL",40,IF(P38="PARTIAL",40/2,0))+IF(Q38="FULL",30,IF(Q38="PARTIAL",30/2,0))+IF(R38="FULL",20,IF(R38="PARTIAL",20/2,0))+IF(S38="FULL",10,IF(S38="PARTIAL",10/2,0))</f>
        <v/>
      </c>
      <c r="U38" s="5">
        <f>IF(P38="NOT_CHECKED",0,40)+IF(Q38="NOT_CHECKED",0,30)+IF(R38="NOT_CHECKED",0,20)+IF(S38="NOT_CHECKED",0,10)</f>
        <v/>
      </c>
      <c r="V38" s="5">
        <f>IF(U38=100,T38,"")</f>
        <v/>
      </c>
      <c r="W38" s="5">
        <f>T38</f>
        <v/>
      </c>
      <c r="X38" s="5">
        <f>T38+(100-U38)</f>
        <v/>
      </c>
      <c r="Y38" s="2" t="inlineStr">
        <is>
          <t>[]</t>
        </is>
      </c>
      <c r="Z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 "https://jeminise.com/products/celtic-and-fantasy-quilt-set-with-twisting-tree-trunk-and-exposed-roots-c7b1460bad-c7b1460bad", "https://cdn.shopify.com/s/files/1/0792/5098/1063/files/fa88df693fa60cabcd0f81ce06bcd29af56cdf7514f68810d99ef599203c821d.jpg?v=1785047367"]</t>
        </is>
      </c>
    </row>
    <row r="39" ht="66" customHeight="1">
      <c r="A39" s="3" t="inlineStr">
        <is>
          <t>jeminise.com+celtic-and-fantasy-quilt-set-with-twisting-tree-trunk-and-exposed-roots-c7b1460bad-c7b1460bad</t>
        </is>
      </c>
      <c r="B39" s="3" t="inlineStr">
        <is>
          <t>qaimg_ffc42bf7184918e6</t>
        </is>
      </c>
      <c r="C39" s="4" t="inlineStr">
        <is>
          <t>https://cdn.shopify.com/s/files/1/0792/5098/1063/files/77672c69bdca6fa3e34e5d859164a2661a0ec26b6ac10221a3df3171a6df2791.jpg?v=1785047367</t>
        </is>
      </c>
      <c r="D39" s="4" t="inlineStr">
        <is>
          <t>https://cdn.shopify.com/s/files/1/0792/5098/1063/files/77672c69bdca6fa3e34e5d859164a2661a0ec26b6ac10221a3df3171a6df2791.jpg?v=1785047367</t>
        </is>
      </c>
      <c r="E39" s="3" t="inlineStr">
        <is>
          <t>38498696265927</t>
        </is>
      </c>
      <c r="F39" s="3" t="inlineStr">
        <is>
          <t>47531997364423</t>
        </is>
      </c>
      <c r="G39" s="3" t="inlineStr"/>
      <c r="H39" s="3" t="inlineStr">
        <is>
          <t>GALLERY</t>
        </is>
      </c>
      <c r="I39" s="3" t="inlineStr">
        <is>
          <t>DIRECT_ORIGINAL_IMAGE_REQA</t>
        </is>
      </c>
      <c r="J39" s="3" t="inlineStr">
        <is>
          <t>2026-09-07T12:03:49.582466+07:00</t>
        </is>
      </c>
      <c r="K39" s="3" t="inlineStr">
        <is>
          <t>Bedroom/feature graphic with premium print, no fading and skin-friendly callouts.</t>
        </is>
      </c>
      <c r="L39" s="3" t="inlineStr">
        <is>
          <t>Secondary detail or room mockup showing twisting tree trunk with exposed roots and Celtic knot border and visible quilted/printed texture.</t>
        </is>
      </c>
      <c r="M39" s="3" t="inlineStr">
        <is>
          <t>Celtic and Fantasy Quilt Set with Twisting Tree Trunk And Exposed Roots</t>
        </is>
      </c>
      <c r="N39" s="3" t="inlineStr">
        <is>
          <t>SET</t>
        </is>
      </c>
      <c r="O39" s="3" t="inlineStr">
        <is>
          <t>Close view of twisting tree trunk with exposed roots and Celtic knot border on the quilt set</t>
        </is>
      </c>
      <c r="P39" s="3" t="inlineStr">
        <is>
          <t>FULL</t>
        </is>
      </c>
      <c r="Q39" s="3" t="inlineStr">
        <is>
          <t>PARTIAL</t>
        </is>
      </c>
      <c r="R39" s="3" t="inlineStr">
        <is>
          <t>FAIL</t>
        </is>
      </c>
      <c r="S39" s="3" t="inlineStr">
        <is>
          <t>FULL</t>
        </is>
      </c>
      <c r="T39" s="7">
        <f>IF(P39="FULL",40,IF(P39="PARTIAL",40/2,0))+IF(Q39="FULL",30,IF(Q39="PARTIAL",30/2,0))+IF(R39="FULL",20,IF(R39="PARTIAL",20/2,0))+IF(S39="FULL",10,IF(S39="PARTIAL",10/2,0))</f>
        <v/>
      </c>
      <c r="U39" s="7">
        <f>IF(P39="NOT_CHECKED",0,40)+IF(Q39="NOT_CHECKED",0,30)+IF(R39="NOT_CHECKED",0,20)+IF(S39="NOT_CHECKED",0,10)</f>
        <v/>
      </c>
      <c r="V39" s="7">
        <f>IF(U39=100,T39,"")</f>
        <v/>
      </c>
      <c r="W39" s="7">
        <f>T39</f>
        <v/>
      </c>
      <c r="X39" s="7">
        <f>T39+(100-U39)</f>
        <v/>
      </c>
      <c r="Y39" s="3" t="inlineStr">
        <is>
          <t>["R2-ISS-007-IMG-02"]</t>
        </is>
      </c>
      <c r="Z39" s="3"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 "https://jeminise.com/products/celtic-and-fantasy-quilt-set-with-twisting-tree-trunk-and-exposed-roots-c7b1460bad-c7b1460bad", "https://cdn.shopify.com/s/files/1/0792/5098/1063/files/77672c69bdca6fa3e34e5d859164a2661a0ec26b6ac10221a3df3171a6df2791.jpg?v=1785047367"]</t>
        </is>
      </c>
    </row>
    <row r="40" ht="66" customHeight="1">
      <c r="A40" s="2" t="inlineStr">
        <is>
          <t>jeminise.com+celtic-and-fantasy-quilt-set-with-twisting-tree-trunk-and-exposed-roots-c7b1460bad-c7b1460bad</t>
        </is>
      </c>
      <c r="B40" s="2" t="inlineStr">
        <is>
          <t>qaimg_99f7cdc5b247185b</t>
        </is>
      </c>
      <c r="C40" s="4" t="inlineStr">
        <is>
          <t>https://cdn.shopify.com/s/files/1/0792/5098/1063/files/ef4c0af4b6e931816fba2b315617ce40f57b62cc23bc9476fc29bcd9f7fea3ed.jpg?v=1785047367</t>
        </is>
      </c>
      <c r="D40" s="4" t="inlineStr">
        <is>
          <t>https://cdn.shopify.com/s/files/1/0792/5098/1063/files/ef4c0af4b6e931816fba2b315617ce40f57b62cc23bc9476fc29bcd9f7fea3ed.jpg?v=1785047367</t>
        </is>
      </c>
      <c r="E40" s="2" t="inlineStr">
        <is>
          <t>38498696298695</t>
        </is>
      </c>
      <c r="F40" s="2" t="inlineStr">
        <is>
          <t>47531997397191</t>
        </is>
      </c>
      <c r="G40" s="2" t="inlineStr"/>
      <c r="H40" s="2" t="inlineStr">
        <is>
          <t>GALLERY</t>
        </is>
      </c>
      <c r="I40" s="2" t="inlineStr">
        <is>
          <t>DIRECT_ORIGINAL_IMAGE_REQA</t>
        </is>
      </c>
      <c r="J40" s="2" t="inlineStr">
        <is>
          <t>2026-09-07T12:03:49.582466+07:00</t>
        </is>
      </c>
      <c r="K40" s="2" t="inlineStr">
        <is>
          <t>Pillow shams plus lightweight, soft, anti-pill and anti-static feature callouts.</t>
        </is>
      </c>
      <c r="L40" s="2" t="inlineStr">
        <is>
          <t>Matching pillow sham or bedding detail using the same twisting tree trunk with exposed roots and Celtic knot border artwork.</t>
        </is>
      </c>
      <c r="M40" s="2" t="inlineStr">
        <is>
          <t>Celtic and Fantasy Quilt Set with Twisting Tree Trunk And Exposed Roots</t>
        </is>
      </c>
      <c r="N40" s="2" t="inlineStr">
        <is>
          <t>SET</t>
        </is>
      </c>
      <c r="O40" s="2" t="inlineStr">
        <is>
          <t>Matching pillow sham for Celtic Fantasy Tree Quilt Set</t>
        </is>
      </c>
      <c r="P40" s="2" t="inlineStr">
        <is>
          <t>FULL</t>
        </is>
      </c>
      <c r="Q40" s="2" t="inlineStr">
        <is>
          <t>PARTIAL</t>
        </is>
      </c>
      <c r="R40" s="2" t="inlineStr">
        <is>
          <t>PARTIAL</t>
        </is>
      </c>
      <c r="S40" s="2" t="inlineStr">
        <is>
          <t>FULL</t>
        </is>
      </c>
      <c r="T40" s="5">
        <f>IF(P40="FULL",40,IF(P40="PARTIAL",40/2,0))+IF(Q40="FULL",30,IF(Q40="PARTIAL",30/2,0))+IF(R40="FULL",20,IF(R40="PARTIAL",20/2,0))+IF(S40="FULL",10,IF(S40="PARTIAL",10/2,0))</f>
        <v/>
      </c>
      <c r="U40" s="5">
        <f>IF(P40="NOT_CHECKED",0,40)+IF(Q40="NOT_CHECKED",0,30)+IF(R40="NOT_CHECKED",0,20)+IF(S40="NOT_CHECKED",0,10)</f>
        <v/>
      </c>
      <c r="V40" s="5">
        <f>IF(U40=100,T40,"")</f>
        <v/>
      </c>
      <c r="W40" s="5">
        <f>T40</f>
        <v/>
      </c>
      <c r="X40" s="5">
        <f>T40+(100-U40)</f>
        <v/>
      </c>
      <c r="Y40" s="2" t="inlineStr">
        <is>
          <t>["R2-ISS-007-IMG-03"]</t>
        </is>
      </c>
      <c r="Z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 "https://jeminise.com/products/celtic-and-fantasy-quilt-set-with-twisting-tree-trunk-and-exposed-roots-c7b1460bad-c7b1460bad", "https://cdn.shopify.com/s/files/1/0792/5098/1063/files/ef4c0af4b6e931816fba2b315617ce40f57b62cc23bc9476fc29bcd9f7fea3ed.jpg?v=1785047367"]</t>
        </is>
      </c>
    </row>
    <row r="41" ht="66" customHeight="1">
      <c r="A41" s="3" t="inlineStr">
        <is>
          <t>jeminise.com+celtic-and-fantasy-quilt-set-with-twisting-tree-trunk-and-exposed-roots-c7b1460bad-c7b1460bad</t>
        </is>
      </c>
      <c r="B41" s="3" t="inlineStr">
        <is>
          <t>qaimg_0d3e7de6663733e5</t>
        </is>
      </c>
      <c r="C41" s="4" t="inlineStr">
        <is>
          <t>https://cdn.shopify.com/s/files/1/0792/5098/1063/files/a0029afc03d47a3a82238a1bab89f1066c3687b3f06500badea074cba44f9e80.jpg?v=1785047367</t>
        </is>
      </c>
      <c r="D41" s="4" t="inlineStr">
        <is>
          <t>https://cdn.shopify.com/s/files/1/0792/5098/1063/files/a0029afc03d47a3a82238a1bab89f1066c3687b3f06500badea074cba44f9e80.jpg?v=1785047367</t>
        </is>
      </c>
      <c r="E41" s="3" t="inlineStr">
        <is>
          <t>38498696331463</t>
        </is>
      </c>
      <c r="F41" s="3" t="inlineStr">
        <is>
          <t>47531997429959</t>
        </is>
      </c>
      <c r="G41" s="3" t="inlineStr"/>
      <c r="H41" s="3" t="inlineStr">
        <is>
          <t>GALLERY</t>
        </is>
      </c>
      <c r="I41" s="3" t="inlineStr">
        <is>
          <t>DIRECT_ORIGINAL_IMAGE_REQA</t>
        </is>
      </c>
      <c r="J41" s="3" t="inlineStr">
        <is>
          <t>2026-09-07T12:03:49.582466+07:00</t>
        </is>
      </c>
      <c r="K41" s="3" t="inlineStr">
        <is>
          <t>All-season and fabric-quality feature graphic with a small bed mockup.</t>
        </is>
      </c>
      <c r="L41" s="3" t="inlineStr">
        <is>
          <t>Room/folded product or fabric information image tied to the twisting tree trunk with exposed roots and Celtic knot border design.</t>
        </is>
      </c>
      <c r="M41" s="3" t="inlineStr">
        <is>
          <t>Celtic and Fantasy Quilt Set with Twisting Tree Trunk And Exposed Roots</t>
        </is>
      </c>
      <c r="N41" s="3" t="inlineStr">
        <is>
          <t>SET</t>
        </is>
      </c>
      <c r="O41" s="3" t="inlineStr">
        <is>
          <t>Celtic Fantasy Tree Quilt Set shown in a bedroom setting</t>
        </is>
      </c>
      <c r="P41" s="3" t="inlineStr">
        <is>
          <t>FULL</t>
        </is>
      </c>
      <c r="Q41" s="3" t="inlineStr">
        <is>
          <t>PARTIAL</t>
        </is>
      </c>
      <c r="R41" s="3" t="inlineStr">
        <is>
          <t>PARTIAL</t>
        </is>
      </c>
      <c r="S41" s="3" t="inlineStr">
        <is>
          <t>FULL</t>
        </is>
      </c>
      <c r="T41" s="7">
        <f>IF(P41="FULL",40,IF(P41="PARTIAL",40/2,0))+IF(Q41="FULL",30,IF(Q41="PARTIAL",30/2,0))+IF(R41="FULL",20,IF(R41="PARTIAL",20/2,0))+IF(S41="FULL",10,IF(S41="PARTIAL",10/2,0))</f>
        <v/>
      </c>
      <c r="U41" s="7">
        <f>IF(P41="NOT_CHECKED",0,40)+IF(Q41="NOT_CHECKED",0,30)+IF(R41="NOT_CHECKED",0,20)+IF(S41="NOT_CHECKED",0,10)</f>
        <v/>
      </c>
      <c r="V41" s="7">
        <f>IF(U41=100,T41,"")</f>
        <v/>
      </c>
      <c r="W41" s="7">
        <f>T41</f>
        <v/>
      </c>
      <c r="X41" s="7">
        <f>T41+(100-U41)</f>
        <v/>
      </c>
      <c r="Y41" s="3" t="inlineStr">
        <is>
          <t>["R2-ISS-007-IMG-04"]</t>
        </is>
      </c>
      <c r="Z41" s="3"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 "https://jeminise.com/products/celtic-and-fantasy-quilt-set-with-twisting-tree-trunk-and-exposed-roots-c7b1460bad-c7b1460bad", "https://cdn.shopify.com/s/files/1/0792/5098/1063/files/a0029afc03d47a3a82238a1bab89f1066c3687b3f06500badea074cba44f9e80.jpg?v=1785047367"]</t>
        </is>
      </c>
    </row>
    <row r="42" ht="66" customHeight="1">
      <c r="A42" s="2" t="inlineStr">
        <is>
          <t>jeminise.com+celtic-and-fantasy-quilt-set-with-twisting-tree-trunk-and-exposed-roots-c7b1460bad-c7b1460bad</t>
        </is>
      </c>
      <c r="B42" s="2" t="inlineStr">
        <is>
          <t>qaimg_818f0207514cb1d1</t>
        </is>
      </c>
      <c r="C42" s="4" t="inlineStr">
        <is>
          <t>https://cdn.shopify.com/s/files/1/0792/5098/1063/files/ce768ad21d8034d259875beb1f86914d1af6b1b5f584dd33080fe12b5797fde7.jpg?v=1785047367</t>
        </is>
      </c>
      <c r="D42" s="4" t="inlineStr">
        <is>
          <t>https://cdn.shopify.com/s/files/1/0792/5098/1063/files/ce768ad21d8034d259875beb1f86914d1af6b1b5f584dd33080fe12b5797fde7.jpg?v=1785047367</t>
        </is>
      </c>
      <c r="E42" s="2" t="inlineStr">
        <is>
          <t>38498696364231</t>
        </is>
      </c>
      <c r="F42" s="2" t="inlineStr">
        <is>
          <t>47531997462727</t>
        </is>
      </c>
      <c r="G42" s="2" t="inlineStr"/>
      <c r="H42" s="2" t="inlineStr">
        <is>
          <t>GALLERY</t>
        </is>
      </c>
      <c r="I42" s="2" t="inlineStr">
        <is>
          <t>DIRECT_ORIGINAL_IMAGE_REQA</t>
        </is>
      </c>
      <c r="J42" s="2" t="inlineStr">
        <is>
          <t>2026-09-07T12:03:49.582466+07:00</t>
        </is>
      </c>
      <c r="K42" s="2" t="inlineStr">
        <is>
          <t>Quilt size chart.</t>
        </is>
      </c>
      <c r="L42" s="2" t="inlineStr">
        <is>
          <t>Sizing or included-components information image for the bedding set.</t>
        </is>
      </c>
      <c r="M42" s="2" t="inlineStr">
        <is>
          <t>Celtic and Fantasy Quilt Set with Twisting Tree Trunk And Exposed Roots</t>
        </is>
      </c>
      <c r="N42" s="2" t="inlineStr">
        <is>
          <t>SET</t>
        </is>
      </c>
      <c r="O42" s="2" t="inlineStr">
        <is>
          <t>Size guide for Celtic Fantasy Tree Quilt Set</t>
        </is>
      </c>
      <c r="P42" s="2" t="inlineStr">
        <is>
          <t>FULL</t>
        </is>
      </c>
      <c r="Q42" s="2" t="inlineStr">
        <is>
          <t>FULL</t>
        </is>
      </c>
      <c r="R42" s="2" t="inlineStr">
        <is>
          <t>FULL</t>
        </is>
      </c>
      <c r="S42" s="2" t="inlineStr">
        <is>
          <t>FULL</t>
        </is>
      </c>
      <c r="T42" s="5">
        <f>IF(P42="FULL",40,IF(P42="PARTIAL",40/2,0))+IF(Q42="FULL",30,IF(Q42="PARTIAL",30/2,0))+IF(R42="FULL",20,IF(R42="PARTIAL",20/2,0))+IF(S42="FULL",10,IF(S42="PARTIAL",10/2,0))</f>
        <v/>
      </c>
      <c r="U42" s="5">
        <f>IF(P42="NOT_CHECKED",0,40)+IF(Q42="NOT_CHECKED",0,30)+IF(R42="NOT_CHECKED",0,20)+IF(S42="NOT_CHECKED",0,10)</f>
        <v/>
      </c>
      <c r="V42" s="5">
        <f>IF(U42=100,T42,"")</f>
        <v/>
      </c>
      <c r="W42" s="5">
        <f>T42</f>
        <v/>
      </c>
      <c r="X42" s="5">
        <f>T42+(100-U42)</f>
        <v/>
      </c>
      <c r="Y42" s="2" t="inlineStr">
        <is>
          <t>[]</t>
        </is>
      </c>
      <c r="Z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 "https://jeminise.com/products/celtic-and-fantasy-quilt-set-with-twisting-tree-trunk-and-exposed-roots-c7b1460bad-c7b1460bad", "https://cdn.shopify.com/s/files/1/0792/5098/1063/files/ce768ad21d8034d259875beb1f86914d1af6b1b5f584dd33080fe12b5797fde7.jpg?v=1785047367"]</t>
        </is>
      </c>
    </row>
    <row r="43" ht="66" customHeight="1">
      <c r="A43" s="3" t="inlineStr">
        <is>
          <t>jeminise.com+celtic-and-fantasy-quilt-set-with-twisting-tree-trunk-and-exposed-roots-c7b1460bad-c7b1460bad</t>
        </is>
      </c>
      <c r="B43" s="3" t="inlineStr">
        <is>
          <t>qaimg_8b91368a5a5d58f6</t>
        </is>
      </c>
      <c r="C43" s="4" t="inlineStr">
        <is>
          <t>https://cdn.shopify.com/s/files/1/0792/5098/1063/files/211a7f518d47f7ccc7aea2fcf7dd6eccdae71860c4b90e78d4de70ce53d36eb9.jpg?v=1785047367</t>
        </is>
      </c>
      <c r="D43" s="4" t="inlineStr">
        <is>
          <t>https://cdn.shopify.com/s/files/1/0792/5098/1063/files/211a7f518d47f7ccc7aea2fcf7dd6eccdae71860c4b90e78d4de70ce53d36eb9.jpg?v=1785047367</t>
        </is>
      </c>
      <c r="E43" s="3" t="inlineStr">
        <is>
          <t>38498696396999</t>
        </is>
      </c>
      <c r="F43" s="3" t="inlineStr">
        <is>
          <t>47531997495495</t>
        </is>
      </c>
      <c r="G43" s="3" t="inlineStr"/>
      <c r="H43" s="3" t="inlineStr">
        <is>
          <t>GALLERY</t>
        </is>
      </c>
      <c r="I43" s="3" t="inlineStr">
        <is>
          <t>DIRECT_ORIGINAL_IMAGE_REQA</t>
        </is>
      </c>
      <c r="J43" s="3" t="inlineStr">
        <is>
          <t>2026-09-07T12:03:49.582466+07:00</t>
        </is>
      </c>
      <c r="K43" s="3" t="inlineStr">
        <is>
          <t>Bedspread construction-layer and fabric-feature graphic.</t>
        </is>
      </c>
      <c r="L43" s="3" t="inlineStr">
        <is>
          <t>Feature image describing fabric layers, softness, breathability or care details.</t>
        </is>
      </c>
      <c r="M43" s="3" t="inlineStr">
        <is>
          <t>Celtic and Fantasy Quilt Set with Twisting Tree Trunk And Exposed Roots</t>
        </is>
      </c>
      <c r="N43" s="3" t="inlineStr">
        <is>
          <t>SET</t>
        </is>
      </c>
      <c r="O43" s="3" t="inlineStr">
        <is>
          <t>Fabric feature graphic for Celtic Fantasy Tree Quilt Set</t>
        </is>
      </c>
      <c r="P43" s="3" t="inlineStr">
        <is>
          <t>FULL</t>
        </is>
      </c>
      <c r="Q43" s="3" t="inlineStr">
        <is>
          <t>FULL</t>
        </is>
      </c>
      <c r="R43" s="3" t="inlineStr">
        <is>
          <t>FULL</t>
        </is>
      </c>
      <c r="S43" s="3" t="inlineStr">
        <is>
          <t>FULL</t>
        </is>
      </c>
      <c r="T43" s="7">
        <f>IF(P43="FULL",40,IF(P43="PARTIAL",40/2,0))+IF(Q43="FULL",30,IF(Q43="PARTIAL",30/2,0))+IF(R43="FULL",20,IF(R43="PARTIAL",20/2,0))+IF(S43="FULL",10,IF(S43="PARTIAL",10/2,0))</f>
        <v/>
      </c>
      <c r="U43" s="7">
        <f>IF(P43="NOT_CHECKED",0,40)+IF(Q43="NOT_CHECKED",0,30)+IF(R43="NOT_CHECKED",0,20)+IF(S43="NOT_CHECKED",0,10)</f>
        <v/>
      </c>
      <c r="V43" s="7">
        <f>IF(U43=100,T43,"")</f>
        <v/>
      </c>
      <c r="W43" s="7">
        <f>T43</f>
        <v/>
      </c>
      <c r="X43" s="7">
        <f>T43+(100-U43)</f>
        <v/>
      </c>
      <c r="Y43" s="3" t="inlineStr">
        <is>
          <t>[]</t>
        </is>
      </c>
      <c r="Z43" s="3"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 "https://jeminise.com/products/celtic-and-fantasy-quilt-set-with-twisting-tree-trunk-and-exposed-roots-c7b1460bad-c7b1460bad", "https://cdn.shopify.com/s/files/1/0792/5098/1063/files/211a7f518d47f7ccc7aea2fcf7dd6eccdae71860c4b90e78d4de70ce53d36eb9.jpg?v=1785047367"]</t>
        </is>
      </c>
    </row>
    <row r="44" ht="66" customHeight="1">
      <c r="A44" s="2" t="inlineStr">
        <is>
          <t>jeminise.com+celtic-and-fantasy-quilt-set-with-twisting-tree-trunk-and-exposed-roots-c7b1460bad-c7b1460bad</t>
        </is>
      </c>
      <c r="B44" s="2" t="inlineStr">
        <is>
          <t>qaimg_e1eafb43df382a3c</t>
        </is>
      </c>
      <c r="C44" s="4" t="inlineStr">
        <is>
          <t>https://cdn.shopify.com/s/files/1/0792/5098/1063/files/285b33441b58fd0660e7d9fbad77f1aeb4d88a3e3678d0ef0a1341e0d0cab3fa.jpg?v=1785047367</t>
        </is>
      </c>
      <c r="D44" s="4" t="inlineStr">
        <is>
          <t>https://cdn.shopify.com/s/files/1/0792/5098/1063/files/285b33441b58fd0660e7d9fbad77f1aeb4d88a3e3678d0ef0a1341e0d0cab3fa.jpg?v=1785047367</t>
        </is>
      </c>
      <c r="E44" s="2" t="inlineStr">
        <is>
          <t>38498696429767</t>
        </is>
      </c>
      <c r="F44" s="2" t="inlineStr">
        <is>
          <t>47531997528263</t>
        </is>
      </c>
      <c r="G44" s="2" t="inlineStr"/>
      <c r="H44" s="2" t="inlineStr">
        <is>
          <t>GALLERY</t>
        </is>
      </c>
      <c r="I44" s="2" t="inlineStr">
        <is>
          <t>DIRECT_ORIGINAL_IMAGE_REQA</t>
        </is>
      </c>
      <c r="J44" s="2" t="inlineStr">
        <is>
          <t>2026-09-07T12:03:49.582466+07:00</t>
        </is>
      </c>
      <c r="K44" s="2" t="inlineStr">
        <is>
          <t>Overhead bedroom mockup of the Celtic fantasy tree quilt.</t>
        </is>
      </c>
      <c r="L44" s="2" t="inlineStr">
        <is>
          <t>Additional bedroom mockup showing the twisting tree trunk with exposed roots and Celtic knot border design on a bed.</t>
        </is>
      </c>
      <c r="M44" s="2" t="inlineStr">
        <is>
          <t>Celtic and Fantasy Quilt Set with Twisting Tree Trunk And Exposed Roots</t>
        </is>
      </c>
      <c r="N44" s="2" t="inlineStr">
        <is>
          <t>SET</t>
        </is>
      </c>
      <c r="O44" s="2" t="inlineStr">
        <is>
          <t>Bedroom mockup of Celtic Fantasy Tree Quilt Set</t>
        </is>
      </c>
      <c r="P44" s="2" t="inlineStr">
        <is>
          <t>FULL</t>
        </is>
      </c>
      <c r="Q44" s="2" t="inlineStr">
        <is>
          <t>FULL</t>
        </is>
      </c>
      <c r="R44" s="2" t="inlineStr">
        <is>
          <t>FULL</t>
        </is>
      </c>
      <c r="S44" s="2" t="inlineStr">
        <is>
          <t>FULL</t>
        </is>
      </c>
      <c r="T44" s="5">
        <f>IF(P44="FULL",40,IF(P44="PARTIAL",40/2,0))+IF(Q44="FULL",30,IF(Q44="PARTIAL",30/2,0))+IF(R44="FULL",20,IF(R44="PARTIAL",20/2,0))+IF(S44="FULL",10,IF(S44="PARTIAL",10/2,0))</f>
        <v/>
      </c>
      <c r="U44" s="5">
        <f>IF(P44="NOT_CHECKED",0,40)+IF(Q44="NOT_CHECKED",0,30)+IF(R44="NOT_CHECKED",0,20)+IF(S44="NOT_CHECKED",0,10)</f>
        <v/>
      </c>
      <c r="V44" s="5">
        <f>IF(U44=100,T44,"")</f>
        <v/>
      </c>
      <c r="W44" s="5">
        <f>T44</f>
        <v/>
      </c>
      <c r="X44" s="5">
        <f>T44+(100-U44)</f>
        <v/>
      </c>
      <c r="Y44" s="2" t="inlineStr">
        <is>
          <t>[]</t>
        </is>
      </c>
      <c r="Z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 "https://jeminise.com/products/celtic-and-fantasy-quilt-set-with-twisting-tree-trunk-and-exposed-roots-c7b1460bad-c7b1460bad", "https://cdn.shopify.com/s/files/1/0792/5098/1063/files/285b33441b58fd0660e7d9fbad77f1aeb4d88a3e3678d0ef0a1341e0d0cab3fa.jpg?v=1785047367"]</t>
        </is>
      </c>
    </row>
    <row r="45" ht="66" customHeight="1">
      <c r="A45" s="3" t="inlineStr">
        <is>
          <t>jeminise.com+celtic-mythology-tree-of-life-quilt-set-with-celtic-knotwork-border-12786aba7e-12786aba7e</t>
        </is>
      </c>
      <c r="B45" s="3" t="inlineStr">
        <is>
          <t>qaimg_d13255335d186826</t>
        </is>
      </c>
      <c r="C45" s="4" t="inlineStr">
        <is>
          <t>https://cdn.shopify.com/s/files/1/0792/5098/1063/files/eeee3be59c912ddfb95b556144ad283287f06b56c3797e9000aed4094e9c0f46.jpg?v=1785047188</t>
        </is>
      </c>
      <c r="D45" s="4" t="inlineStr">
        <is>
          <t>https://cdn.shopify.com/s/files/1/0792/5098/1063/files/eeee3be59c912ddfb95b556144ad283287f06b56c3797e9000aed4094e9c0f46.jpg?v=1785047188</t>
        </is>
      </c>
      <c r="E45" s="3" t="inlineStr">
        <is>
          <t>38498652651719</t>
        </is>
      </c>
      <c r="F45" s="3" t="inlineStr">
        <is>
          <t>47531950571719</t>
        </is>
      </c>
      <c r="G45" s="3" t="inlineStr"/>
      <c r="H45" s="3" t="inlineStr">
        <is>
          <t>GALLERY</t>
        </is>
      </c>
      <c r="I45" s="3" t="inlineStr">
        <is>
          <t>DIRECT_ORIGINAL_IMAGE_REQA</t>
        </is>
      </c>
      <c r="J45" s="3" t="inlineStr">
        <is>
          <t>2026-09-07T12:03:49.582466+07:00</t>
        </is>
      </c>
      <c r="K45" s="3" t="inlineStr">
        <is>
          <t>Front bed mockup with a green Tree of Life medallion and Celtic knotwork border.</t>
        </is>
      </c>
      <c r="L45" s="3" t="inlineStr">
        <is>
          <t>Main bed mockup showing green tree of life medallion with Celtic knotwork border.</t>
        </is>
      </c>
      <c r="M45" s="3" t="inlineStr">
        <is>
          <t>Celtic Mythology Tree of Life Quilt Set With Celtic Knotwork Border</t>
        </is>
      </c>
      <c r="N45" s="3" t="inlineStr">
        <is>
          <t>SET</t>
        </is>
      </c>
      <c r="O45" s="3" t="inlineStr">
        <is>
          <t>Celtic Tree of Life Quilt Set displayed on a bed</t>
        </is>
      </c>
      <c r="P45" s="3" t="inlineStr">
        <is>
          <t>FULL</t>
        </is>
      </c>
      <c r="Q45" s="3" t="inlineStr">
        <is>
          <t>FULL</t>
        </is>
      </c>
      <c r="R45" s="3" t="inlineStr">
        <is>
          <t>FULL</t>
        </is>
      </c>
      <c r="S45" s="3" t="inlineStr">
        <is>
          <t>FULL</t>
        </is>
      </c>
      <c r="T45" s="7">
        <f>IF(P45="FULL",40,IF(P45="PARTIAL",40/2,0))+IF(Q45="FULL",30,IF(Q45="PARTIAL",30/2,0))+IF(R45="FULL",20,IF(R45="PARTIAL",20/2,0))+IF(S45="FULL",10,IF(S45="PARTIAL",10/2,0))</f>
        <v/>
      </c>
      <c r="U45" s="7">
        <f>IF(P45="NOT_CHECKED",0,40)+IF(Q45="NOT_CHECKED",0,30)+IF(R45="NOT_CHECKED",0,20)+IF(S45="NOT_CHECKED",0,10)</f>
        <v/>
      </c>
      <c r="V45" s="7">
        <f>IF(U45=100,T45,"")</f>
        <v/>
      </c>
      <c r="W45" s="7">
        <f>T45</f>
        <v/>
      </c>
      <c r="X45" s="7">
        <f>T45+(100-U45)</f>
        <v/>
      </c>
      <c r="Y45" s="3" t="inlineStr">
        <is>
          <t>[]</t>
        </is>
      </c>
      <c r="Z45" s="3"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 "https://jeminise.com/products/celtic-mythology-tree-of-life-quilt-set-with-celtic-knotwork-border-12786aba7e-12786aba7e", "https://cdn.shopify.com/s/files/1/0792/5098/1063/files/eeee3be59c912ddfb95b556144ad283287f06b56c3797e9000aed4094e9c0f46.jpg?v=1785047188"]</t>
        </is>
      </c>
    </row>
    <row r="46" ht="66" customHeight="1">
      <c r="A46" s="2" t="inlineStr">
        <is>
          <t>jeminise.com+celtic-mythology-tree-of-life-quilt-set-with-celtic-knotwork-border-12786aba7e-12786aba7e</t>
        </is>
      </c>
      <c r="B46" s="2" t="inlineStr">
        <is>
          <t>qaimg_fcc661342df8f7e6</t>
        </is>
      </c>
      <c r="C46" s="4" t="inlineStr">
        <is>
          <t>https://cdn.shopify.com/s/files/1/0792/5098/1063/files/b62d307163504bede5d79d6a1894e1fb2390a7f6bb97d231a74b900c216c6f10.jpg?v=1785047189</t>
        </is>
      </c>
      <c r="D46" s="4" t="inlineStr">
        <is>
          <t>https://cdn.shopify.com/s/files/1/0792/5098/1063/files/b62d307163504bede5d79d6a1894e1fb2390a7f6bb97d231a74b900c216c6f10.jpg?v=1785047189</t>
        </is>
      </c>
      <c r="E46" s="2" t="inlineStr">
        <is>
          <t>38498652684487</t>
        </is>
      </c>
      <c r="F46" s="2" t="inlineStr">
        <is>
          <t>47531950604487</t>
        </is>
      </c>
      <c r="G46" s="2" t="inlineStr"/>
      <c r="H46" s="2" t="inlineStr">
        <is>
          <t>GALLERY</t>
        </is>
      </c>
      <c r="I46" s="2" t="inlineStr">
        <is>
          <t>DIRECT_ORIGINAL_IMAGE_REQA</t>
        </is>
      </c>
      <c r="J46" s="2" t="inlineStr">
        <is>
          <t>2026-09-07T12:03:49.582466+07:00</t>
        </is>
      </c>
      <c r="K46" s="2" t="inlineStr">
        <is>
          <t>Bedroom/feature graphic with premium print, no fading and skin-friendly callouts.</t>
        </is>
      </c>
      <c r="L46" s="2" t="inlineStr">
        <is>
          <t>Secondary detail or room mockup showing green tree of life medallion with Celtic knotwork border and visible quilted/printed texture.</t>
        </is>
      </c>
      <c r="M46" s="2" t="inlineStr">
        <is>
          <t>Celtic Mythology Tree of Life Quilt Set With Celtic Knotwork Border</t>
        </is>
      </c>
      <c r="N46" s="2" t="inlineStr">
        <is>
          <t>SET</t>
        </is>
      </c>
      <c r="O46" s="2" t="inlineStr">
        <is>
          <t>Close view of green tree of life medallion with Celtic knotwork border on the quilt set</t>
        </is>
      </c>
      <c r="P46" s="2" t="inlineStr">
        <is>
          <t>FULL</t>
        </is>
      </c>
      <c r="Q46" s="2" t="inlineStr">
        <is>
          <t>PARTIAL</t>
        </is>
      </c>
      <c r="R46" s="2" t="inlineStr">
        <is>
          <t>FAIL</t>
        </is>
      </c>
      <c r="S46" s="2" t="inlineStr">
        <is>
          <t>FULL</t>
        </is>
      </c>
      <c r="T46" s="5">
        <f>IF(P46="FULL",40,IF(P46="PARTIAL",40/2,0))+IF(Q46="FULL",30,IF(Q46="PARTIAL",30/2,0))+IF(R46="FULL",20,IF(R46="PARTIAL",20/2,0))+IF(S46="FULL",10,IF(S46="PARTIAL",10/2,0))</f>
        <v/>
      </c>
      <c r="U46" s="5">
        <f>IF(P46="NOT_CHECKED",0,40)+IF(Q46="NOT_CHECKED",0,30)+IF(R46="NOT_CHECKED",0,20)+IF(S46="NOT_CHECKED",0,10)</f>
        <v/>
      </c>
      <c r="V46" s="5">
        <f>IF(U46=100,T46,"")</f>
        <v/>
      </c>
      <c r="W46" s="5">
        <f>T46</f>
        <v/>
      </c>
      <c r="X46" s="5">
        <f>T46+(100-U46)</f>
        <v/>
      </c>
      <c r="Y46" s="2" t="inlineStr">
        <is>
          <t>["R2-ISS-008-IMG-02"]</t>
        </is>
      </c>
      <c r="Z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 "https://jeminise.com/products/celtic-mythology-tree-of-life-quilt-set-with-celtic-knotwork-border-12786aba7e-12786aba7e", "https://cdn.shopify.com/s/files/1/0792/5098/1063/files/b62d307163504bede5d79d6a1894e1fb2390a7f6bb97d231a74b900c216c6f10.jpg?v=1785047189"]</t>
        </is>
      </c>
    </row>
    <row r="47" ht="66" customHeight="1">
      <c r="A47" s="3" t="inlineStr">
        <is>
          <t>jeminise.com+celtic-mythology-tree-of-life-quilt-set-with-celtic-knotwork-border-12786aba7e-12786aba7e</t>
        </is>
      </c>
      <c r="B47" s="3" t="inlineStr">
        <is>
          <t>qaimg_a448f078c92e2bb0</t>
        </is>
      </c>
      <c r="C47" s="4" t="inlineStr">
        <is>
          <t>https://cdn.shopify.com/s/files/1/0792/5098/1063/files/492ae2152294ed05b1b9c9c476c3f0407f72dd5f9231dfabab608600dfcfca18.jpg?v=1785047188</t>
        </is>
      </c>
      <c r="D47" s="4" t="inlineStr">
        <is>
          <t>https://cdn.shopify.com/s/files/1/0792/5098/1063/files/492ae2152294ed05b1b9c9c476c3f0407f72dd5f9231dfabab608600dfcfca18.jpg?v=1785047188</t>
        </is>
      </c>
      <c r="E47" s="3" t="inlineStr">
        <is>
          <t>38498652717255</t>
        </is>
      </c>
      <c r="F47" s="3" t="inlineStr">
        <is>
          <t>47531950637255</t>
        </is>
      </c>
      <c r="G47" s="3" t="inlineStr"/>
      <c r="H47" s="3" t="inlineStr">
        <is>
          <t>GALLERY</t>
        </is>
      </c>
      <c r="I47" s="3" t="inlineStr">
        <is>
          <t>DIRECT_ORIGINAL_IMAGE_REQA</t>
        </is>
      </c>
      <c r="J47" s="3" t="inlineStr">
        <is>
          <t>2026-09-07T12:03:49.582466+07:00</t>
        </is>
      </c>
      <c r="K47" s="3" t="inlineStr">
        <is>
          <t>Pillow shams plus lightweight, soft, anti-pill and anti-static feature callouts.</t>
        </is>
      </c>
      <c r="L47" s="3" t="inlineStr">
        <is>
          <t>Matching pillow sham or bedding detail using the same green tree of life medallion with Celtic knotwork border artwork.</t>
        </is>
      </c>
      <c r="M47" s="3" t="inlineStr">
        <is>
          <t>Celtic Mythology Tree of Life Quilt Set With Celtic Knotwork Border</t>
        </is>
      </c>
      <c r="N47" s="3" t="inlineStr">
        <is>
          <t>SET</t>
        </is>
      </c>
      <c r="O47" s="3" t="inlineStr">
        <is>
          <t>Matching pillow sham for Celtic Tree of Life Quilt Set</t>
        </is>
      </c>
      <c r="P47" s="3" t="inlineStr">
        <is>
          <t>FULL</t>
        </is>
      </c>
      <c r="Q47" s="3" t="inlineStr">
        <is>
          <t>PARTIAL</t>
        </is>
      </c>
      <c r="R47" s="3" t="inlineStr">
        <is>
          <t>PARTIAL</t>
        </is>
      </c>
      <c r="S47" s="3" t="inlineStr">
        <is>
          <t>FULL</t>
        </is>
      </c>
      <c r="T47" s="7">
        <f>IF(P47="FULL",40,IF(P47="PARTIAL",40/2,0))+IF(Q47="FULL",30,IF(Q47="PARTIAL",30/2,0))+IF(R47="FULL",20,IF(R47="PARTIAL",20/2,0))+IF(S47="FULL",10,IF(S47="PARTIAL",10/2,0))</f>
        <v/>
      </c>
      <c r="U47" s="7">
        <f>IF(P47="NOT_CHECKED",0,40)+IF(Q47="NOT_CHECKED",0,30)+IF(R47="NOT_CHECKED",0,20)+IF(S47="NOT_CHECKED",0,10)</f>
        <v/>
      </c>
      <c r="V47" s="7">
        <f>IF(U47=100,T47,"")</f>
        <v/>
      </c>
      <c r="W47" s="7">
        <f>T47</f>
        <v/>
      </c>
      <c r="X47" s="7">
        <f>T47+(100-U47)</f>
        <v/>
      </c>
      <c r="Y47" s="3" t="inlineStr">
        <is>
          <t>["R2-ISS-008-IMG-03"]</t>
        </is>
      </c>
      <c r="Z47" s="3"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 "https://jeminise.com/products/celtic-mythology-tree-of-life-quilt-set-with-celtic-knotwork-border-12786aba7e-12786aba7e", "https://cdn.shopify.com/s/files/1/0792/5098/1063/files/492ae2152294ed05b1b9c9c476c3f0407f72dd5f9231dfabab608600dfcfca18.jpg?v=1785047188"]</t>
        </is>
      </c>
    </row>
    <row r="48" ht="66" customHeight="1">
      <c r="A48" s="2" t="inlineStr">
        <is>
          <t>jeminise.com+celtic-mythology-tree-of-life-quilt-set-with-celtic-knotwork-border-12786aba7e-12786aba7e</t>
        </is>
      </c>
      <c r="B48" s="2" t="inlineStr">
        <is>
          <t>qaimg_3828d6eeb0c0036a</t>
        </is>
      </c>
      <c r="C48" s="4" t="inlineStr">
        <is>
          <t>https://cdn.shopify.com/s/files/1/0792/5098/1063/files/d9597bfb2c08a10fed85d6814082edddf7b30bf76e5108fb36b1aee207514584.jpg?v=1785047189</t>
        </is>
      </c>
      <c r="D48" s="4" t="inlineStr">
        <is>
          <t>https://cdn.shopify.com/s/files/1/0792/5098/1063/files/d9597bfb2c08a10fed85d6814082edddf7b30bf76e5108fb36b1aee207514584.jpg?v=1785047189</t>
        </is>
      </c>
      <c r="E48" s="2" t="inlineStr">
        <is>
          <t>38498652750023</t>
        </is>
      </c>
      <c r="F48" s="2" t="inlineStr">
        <is>
          <t>47531950670023</t>
        </is>
      </c>
      <c r="G48" s="2" t="inlineStr"/>
      <c r="H48" s="2" t="inlineStr">
        <is>
          <t>GALLERY</t>
        </is>
      </c>
      <c r="I48" s="2" t="inlineStr">
        <is>
          <t>DIRECT_ORIGINAL_IMAGE_REQA</t>
        </is>
      </c>
      <c r="J48" s="2" t="inlineStr">
        <is>
          <t>2026-09-07T12:03:49.582466+07:00</t>
        </is>
      </c>
      <c r="K48" s="2" t="inlineStr">
        <is>
          <t>All-season and fabric-quality feature graphic with a small bed mockup.</t>
        </is>
      </c>
      <c r="L48" s="2" t="inlineStr">
        <is>
          <t>Room/folded product or fabric information image tied to the green tree of life medallion with Celtic knotwork border design.</t>
        </is>
      </c>
      <c r="M48" s="2" t="inlineStr">
        <is>
          <t>Celtic Mythology Tree of Life Quilt Set With Celtic Knotwork Border</t>
        </is>
      </c>
      <c r="N48" s="2" t="inlineStr">
        <is>
          <t>SET</t>
        </is>
      </c>
      <c r="O48" s="2" t="inlineStr">
        <is>
          <t>Celtic Tree of Life Quilt Set shown in a bedroom setting</t>
        </is>
      </c>
      <c r="P48" s="2" t="inlineStr">
        <is>
          <t>FULL</t>
        </is>
      </c>
      <c r="Q48" s="2" t="inlineStr">
        <is>
          <t>PARTIAL</t>
        </is>
      </c>
      <c r="R48" s="2" t="inlineStr">
        <is>
          <t>PARTIAL</t>
        </is>
      </c>
      <c r="S48" s="2" t="inlineStr">
        <is>
          <t>FULL</t>
        </is>
      </c>
      <c r="T48" s="5">
        <f>IF(P48="FULL",40,IF(P48="PARTIAL",40/2,0))+IF(Q48="FULL",30,IF(Q48="PARTIAL",30/2,0))+IF(R48="FULL",20,IF(R48="PARTIAL",20/2,0))+IF(S48="FULL",10,IF(S48="PARTIAL",10/2,0))</f>
        <v/>
      </c>
      <c r="U48" s="5">
        <f>IF(P48="NOT_CHECKED",0,40)+IF(Q48="NOT_CHECKED",0,30)+IF(R48="NOT_CHECKED",0,20)+IF(S48="NOT_CHECKED",0,10)</f>
        <v/>
      </c>
      <c r="V48" s="5">
        <f>IF(U48=100,T48,"")</f>
        <v/>
      </c>
      <c r="W48" s="5">
        <f>T48</f>
        <v/>
      </c>
      <c r="X48" s="5">
        <f>T48+(100-U48)</f>
        <v/>
      </c>
      <c r="Y48" s="2" t="inlineStr">
        <is>
          <t>["R2-ISS-008-IMG-04"]</t>
        </is>
      </c>
      <c r="Z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 "https://jeminise.com/products/celtic-mythology-tree-of-life-quilt-set-with-celtic-knotwork-border-12786aba7e-12786aba7e", "https://cdn.shopify.com/s/files/1/0792/5098/1063/files/d9597bfb2c08a10fed85d6814082edddf7b30bf76e5108fb36b1aee207514584.jpg?v=1785047189"]</t>
        </is>
      </c>
    </row>
    <row r="49" ht="66" customHeight="1">
      <c r="A49" s="3" t="inlineStr">
        <is>
          <t>jeminise.com+celtic-mythology-tree-of-life-quilt-set-with-celtic-knotwork-border-12786aba7e-12786aba7e</t>
        </is>
      </c>
      <c r="B49" s="3" t="inlineStr">
        <is>
          <t>qaimg_6f372352ca4346d8</t>
        </is>
      </c>
      <c r="C49" s="4" t="inlineStr">
        <is>
          <t>https://cdn.shopify.com/s/files/1/0792/5098/1063/files/d48cccbb819c4ecffd7785e920fd2b840e50a24ee2a5033e47adf1a0f7ac2dd4.jpg?v=1785047189</t>
        </is>
      </c>
      <c r="D49" s="4" t="inlineStr">
        <is>
          <t>https://cdn.shopify.com/s/files/1/0792/5098/1063/files/d48cccbb819c4ecffd7785e920fd2b840e50a24ee2a5033e47adf1a0f7ac2dd4.jpg?v=1785047189</t>
        </is>
      </c>
      <c r="E49" s="3" t="inlineStr">
        <is>
          <t>38498652782791</t>
        </is>
      </c>
      <c r="F49" s="3" t="inlineStr">
        <is>
          <t>47531950702791</t>
        </is>
      </c>
      <c r="G49" s="3" t="inlineStr"/>
      <c r="H49" s="3" t="inlineStr">
        <is>
          <t>GALLERY</t>
        </is>
      </c>
      <c r="I49" s="3" t="inlineStr">
        <is>
          <t>DIRECT_ORIGINAL_IMAGE_REQA</t>
        </is>
      </c>
      <c r="J49" s="3" t="inlineStr">
        <is>
          <t>2026-09-07T12:03:49.582466+07:00</t>
        </is>
      </c>
      <c r="K49" s="3" t="inlineStr">
        <is>
          <t>Quilt size chart.</t>
        </is>
      </c>
      <c r="L49" s="3" t="inlineStr">
        <is>
          <t>Sizing or included-components information image for the bedding set.</t>
        </is>
      </c>
      <c r="M49" s="3" t="inlineStr">
        <is>
          <t>Celtic Mythology Tree of Life Quilt Set With Celtic Knotwork Border</t>
        </is>
      </c>
      <c r="N49" s="3" t="inlineStr">
        <is>
          <t>SET</t>
        </is>
      </c>
      <c r="O49" s="3" t="inlineStr">
        <is>
          <t>Size guide for Celtic Tree of Life Quilt Set</t>
        </is>
      </c>
      <c r="P49" s="3" t="inlineStr">
        <is>
          <t>FULL</t>
        </is>
      </c>
      <c r="Q49" s="3" t="inlineStr">
        <is>
          <t>FULL</t>
        </is>
      </c>
      <c r="R49" s="3" t="inlineStr">
        <is>
          <t>FULL</t>
        </is>
      </c>
      <c r="S49" s="3" t="inlineStr">
        <is>
          <t>FULL</t>
        </is>
      </c>
      <c r="T49" s="7">
        <f>IF(P49="FULL",40,IF(P49="PARTIAL",40/2,0))+IF(Q49="FULL",30,IF(Q49="PARTIAL",30/2,0))+IF(R49="FULL",20,IF(R49="PARTIAL",20/2,0))+IF(S49="FULL",10,IF(S49="PARTIAL",10/2,0))</f>
        <v/>
      </c>
      <c r="U49" s="7">
        <f>IF(P49="NOT_CHECKED",0,40)+IF(Q49="NOT_CHECKED",0,30)+IF(R49="NOT_CHECKED",0,20)+IF(S49="NOT_CHECKED",0,10)</f>
        <v/>
      </c>
      <c r="V49" s="7">
        <f>IF(U49=100,T49,"")</f>
        <v/>
      </c>
      <c r="W49" s="7">
        <f>T49</f>
        <v/>
      </c>
      <c r="X49" s="7">
        <f>T49+(100-U49)</f>
        <v/>
      </c>
      <c r="Y49" s="3" t="inlineStr">
        <is>
          <t>[]</t>
        </is>
      </c>
      <c r="Z49" s="3"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 "https://jeminise.com/products/celtic-mythology-tree-of-life-quilt-set-with-celtic-knotwork-border-12786aba7e-12786aba7e", "https://cdn.shopify.com/s/files/1/0792/5098/1063/files/d48cccbb819c4ecffd7785e920fd2b840e50a24ee2a5033e47adf1a0f7ac2dd4.jpg?v=1785047189"]</t>
        </is>
      </c>
    </row>
    <row r="50" ht="66" customHeight="1">
      <c r="A50" s="2" t="inlineStr">
        <is>
          <t>jeminise.com+celtic-mythology-tree-of-life-quilt-set-with-celtic-knotwork-border-12786aba7e-12786aba7e</t>
        </is>
      </c>
      <c r="B50" s="2" t="inlineStr">
        <is>
          <t>qaimg_7755084158711bce</t>
        </is>
      </c>
      <c r="C50" s="4" t="inlineStr">
        <is>
          <t>https://cdn.shopify.com/s/files/1/0792/5098/1063/files/eb7addcbef4e997dedf995d8edc2c3fb7ac03e00ca967e746fc0f52cc5daca82.jpg?v=1785047189</t>
        </is>
      </c>
      <c r="D50" s="4" t="inlineStr">
        <is>
          <t>https://cdn.shopify.com/s/files/1/0792/5098/1063/files/eb7addcbef4e997dedf995d8edc2c3fb7ac03e00ca967e746fc0f52cc5daca82.jpg?v=1785047189</t>
        </is>
      </c>
      <c r="E50" s="2" t="inlineStr">
        <is>
          <t>38498652815559</t>
        </is>
      </c>
      <c r="F50" s="2" t="inlineStr">
        <is>
          <t>47531950735559</t>
        </is>
      </c>
      <c r="G50" s="2" t="inlineStr"/>
      <c r="H50" s="2" t="inlineStr">
        <is>
          <t>GALLERY</t>
        </is>
      </c>
      <c r="I50" s="2" t="inlineStr">
        <is>
          <t>DIRECT_ORIGINAL_IMAGE_REQA</t>
        </is>
      </c>
      <c r="J50" s="2" t="inlineStr">
        <is>
          <t>2026-09-07T12:03:49.582466+07:00</t>
        </is>
      </c>
      <c r="K50" s="2" t="inlineStr">
        <is>
          <t>Bedspread construction-layer and fabric-feature graphic.</t>
        </is>
      </c>
      <c r="L50" s="2" t="inlineStr">
        <is>
          <t>Feature image describing fabric layers, softness, breathability or care details.</t>
        </is>
      </c>
      <c r="M50" s="2" t="inlineStr">
        <is>
          <t>Celtic Mythology Tree of Life Quilt Set With Celtic Knotwork Border</t>
        </is>
      </c>
      <c r="N50" s="2" t="inlineStr">
        <is>
          <t>SET</t>
        </is>
      </c>
      <c r="O50" s="2" t="inlineStr">
        <is>
          <t>Fabric feature graphic for Celtic Tree of Life Quilt Set</t>
        </is>
      </c>
      <c r="P50" s="2" t="inlineStr">
        <is>
          <t>FULL</t>
        </is>
      </c>
      <c r="Q50" s="2" t="inlineStr">
        <is>
          <t>FULL</t>
        </is>
      </c>
      <c r="R50" s="2" t="inlineStr">
        <is>
          <t>FULL</t>
        </is>
      </c>
      <c r="S50" s="2" t="inlineStr">
        <is>
          <t>FULL</t>
        </is>
      </c>
      <c r="T50" s="5">
        <f>IF(P50="FULL",40,IF(P50="PARTIAL",40/2,0))+IF(Q50="FULL",30,IF(Q50="PARTIAL",30/2,0))+IF(R50="FULL",20,IF(R50="PARTIAL",20/2,0))+IF(S50="FULL",10,IF(S50="PARTIAL",10/2,0))</f>
        <v/>
      </c>
      <c r="U50" s="5">
        <f>IF(P50="NOT_CHECKED",0,40)+IF(Q50="NOT_CHECKED",0,30)+IF(R50="NOT_CHECKED",0,20)+IF(S50="NOT_CHECKED",0,10)</f>
        <v/>
      </c>
      <c r="V50" s="5">
        <f>IF(U50=100,T50,"")</f>
        <v/>
      </c>
      <c r="W50" s="5">
        <f>T50</f>
        <v/>
      </c>
      <c r="X50" s="5">
        <f>T50+(100-U50)</f>
        <v/>
      </c>
      <c r="Y50" s="2" t="inlineStr">
        <is>
          <t>[]</t>
        </is>
      </c>
      <c r="Z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 "https://jeminise.com/products/celtic-mythology-tree-of-life-quilt-set-with-celtic-knotwork-border-12786aba7e-12786aba7e", "https://cdn.shopify.com/s/files/1/0792/5098/1063/files/eb7addcbef4e997dedf995d8edc2c3fb7ac03e00ca967e746fc0f52cc5daca82.jpg?v=1785047189"]</t>
        </is>
      </c>
    </row>
    <row r="51" ht="66" customHeight="1">
      <c r="A51" s="3" t="inlineStr">
        <is>
          <t>jeminise.com+celtic-mythology-tree-of-life-quilt-set-with-celtic-knotwork-border-12786aba7e-12786aba7e</t>
        </is>
      </c>
      <c r="B51" s="3" t="inlineStr">
        <is>
          <t>qaimg_37745ca08ec72780</t>
        </is>
      </c>
      <c r="C51" s="4" t="inlineStr">
        <is>
          <t>https://cdn.shopify.com/s/files/1/0792/5098/1063/files/622bf0b0bbd2db15d18f7453d631905d39821f40d39fc016cd52742300cd6741.jpg?v=1785047189</t>
        </is>
      </c>
      <c r="D51" s="4" t="inlineStr">
        <is>
          <t>https://cdn.shopify.com/s/files/1/0792/5098/1063/files/622bf0b0bbd2db15d18f7453d631905d39821f40d39fc016cd52742300cd6741.jpg?v=1785047189</t>
        </is>
      </c>
      <c r="E51" s="3" t="inlineStr">
        <is>
          <t>38498652848327</t>
        </is>
      </c>
      <c r="F51" s="3" t="inlineStr">
        <is>
          <t>47531950768327</t>
        </is>
      </c>
      <c r="G51" s="3" t="inlineStr"/>
      <c r="H51" s="3" t="inlineStr">
        <is>
          <t>GALLERY</t>
        </is>
      </c>
      <c r="I51" s="3" t="inlineStr">
        <is>
          <t>DIRECT_ORIGINAL_IMAGE_REQA</t>
        </is>
      </c>
      <c r="J51" s="3" t="inlineStr">
        <is>
          <t>2026-09-07T12:03:49.582466+07:00</t>
        </is>
      </c>
      <c r="K51" s="3" t="inlineStr">
        <is>
          <t>Overhead bedroom mockup of the green Celtic Tree of Life quilt.</t>
        </is>
      </c>
      <c r="L51" s="3" t="inlineStr">
        <is>
          <t>Additional bedroom mockup showing the green tree of life medallion with Celtic knotwork border design on a bed.</t>
        </is>
      </c>
      <c r="M51" s="3" t="inlineStr">
        <is>
          <t>Celtic Mythology Tree of Life Quilt Set With Celtic Knotwork Border</t>
        </is>
      </c>
      <c r="N51" s="3" t="inlineStr">
        <is>
          <t>SET</t>
        </is>
      </c>
      <c r="O51" s="3" t="inlineStr">
        <is>
          <t>Bedroom mockup of Celtic Tree of Life Quilt Set</t>
        </is>
      </c>
      <c r="P51" s="3" t="inlineStr">
        <is>
          <t>FULL</t>
        </is>
      </c>
      <c r="Q51" s="3" t="inlineStr">
        <is>
          <t>FULL</t>
        </is>
      </c>
      <c r="R51" s="3" t="inlineStr">
        <is>
          <t>FULL</t>
        </is>
      </c>
      <c r="S51" s="3" t="inlineStr">
        <is>
          <t>FULL</t>
        </is>
      </c>
      <c r="T51" s="7">
        <f>IF(P51="FULL",40,IF(P51="PARTIAL",40/2,0))+IF(Q51="FULL",30,IF(Q51="PARTIAL",30/2,0))+IF(R51="FULL",20,IF(R51="PARTIAL",20/2,0))+IF(S51="FULL",10,IF(S51="PARTIAL",10/2,0))</f>
        <v/>
      </c>
      <c r="U51" s="7">
        <f>IF(P51="NOT_CHECKED",0,40)+IF(Q51="NOT_CHECKED",0,30)+IF(R51="NOT_CHECKED",0,20)+IF(S51="NOT_CHECKED",0,10)</f>
        <v/>
      </c>
      <c r="V51" s="7">
        <f>IF(U51=100,T51,"")</f>
        <v/>
      </c>
      <c r="W51" s="7">
        <f>T51</f>
        <v/>
      </c>
      <c r="X51" s="7">
        <f>T51+(100-U51)</f>
        <v/>
      </c>
      <c r="Y51" s="3" t="inlineStr">
        <is>
          <t>[]</t>
        </is>
      </c>
      <c r="Z51" s="3"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 "https://jeminise.com/products/celtic-mythology-tree-of-life-quilt-set-with-celtic-knotwork-border-12786aba7e-12786aba7e", "https://cdn.shopify.com/s/files/1/0792/5098/1063/files/622bf0b0bbd2db15d18f7453d631905d39821f40d39fc016cd52742300cd6741.jpg?v=1785047189"]</t>
        </is>
      </c>
    </row>
    <row r="52" ht="66" customHeight="1">
      <c r="A52" s="2" t="inlineStr">
        <is>
          <t>jeminise.com+chicken-pattern-quilt-set-animal-patchwork-farmhouse-quilt-set</t>
        </is>
      </c>
      <c r="B52" s="2" t="inlineStr">
        <is>
          <t>qaimg_beee33be559c29b5</t>
        </is>
      </c>
      <c r="C52" s="4" t="inlineStr">
        <is>
          <t>https://cdn.shopify.com/s/files/1/0792/5098/1063/files/df2728478e8364bc96182ba33c31dd08dcdab3758f1c26ecd4c76bcfacdeadc5.jpg?v=1787233682</t>
        </is>
      </c>
      <c r="D52" s="4" t="inlineStr">
        <is>
          <t>https://cdn.shopify.com/s/files/1/0792/5098/1063/files/df2728478e8364bc96182ba33c31dd08dcdab3758f1c26ecd4c76bcfacdeadc5.jpg?v=1787233682</t>
        </is>
      </c>
      <c r="E52" s="2" t="inlineStr">
        <is>
          <t>38894703968455</t>
        </is>
      </c>
      <c r="F52" s="2" t="inlineStr">
        <is>
          <t>47933462118599</t>
        </is>
      </c>
      <c r="G52" s="2" t="inlineStr"/>
      <c r="H52" s="2" t="inlineStr">
        <is>
          <t>GALLERY</t>
        </is>
      </c>
      <c r="I52" s="2" t="inlineStr">
        <is>
          <t>DIRECT_ORIGINAL_IMAGE_REQA</t>
        </is>
      </c>
      <c r="J52" s="2" t="inlineStr">
        <is>
          <t>2026-09-07T12:03:49.582466+07:00</t>
        </is>
      </c>
      <c r="K52" s="2" t="inlineStr">
        <is>
          <t>Front bed mockup with farmhouse hens, a nest with eggs and black patchwork accents.</t>
        </is>
      </c>
      <c r="L52" s="2" t="inlineStr">
        <is>
          <t>Main bed mockup showing farmhouse chicken and hen pattern with nest and eggs.</t>
        </is>
      </c>
      <c r="M52" s="2" t="inlineStr">
        <is>
          <t>Chicken Pattern Quilt Set, Animal Patchwork Farmhouse Quilt Set Bedspread, Premium Pattern Quilt Bedspread, Bedding Gift for Lover Daughter Son Father Mother</t>
        </is>
      </c>
      <c r="N52" s="2" t="inlineStr">
        <is>
          <t>SET</t>
        </is>
      </c>
      <c r="O52" s="2" t="inlineStr">
        <is>
          <t>Farmhouse Chicken Patchwork Quilt Set displayed on a bed</t>
        </is>
      </c>
      <c r="P52" s="2" t="inlineStr">
        <is>
          <t>FULL</t>
        </is>
      </c>
      <c r="Q52" s="2" t="inlineStr">
        <is>
          <t>FULL</t>
        </is>
      </c>
      <c r="R52" s="2" t="inlineStr">
        <is>
          <t>FULL</t>
        </is>
      </c>
      <c r="S52" s="2" t="inlineStr">
        <is>
          <t>FULL</t>
        </is>
      </c>
      <c r="T52" s="5">
        <f>IF(P52="FULL",40,IF(P52="PARTIAL",40/2,0))+IF(Q52="FULL",30,IF(Q52="PARTIAL",30/2,0))+IF(R52="FULL",20,IF(R52="PARTIAL",20/2,0))+IF(S52="FULL",10,IF(S52="PARTIAL",10/2,0))</f>
        <v/>
      </c>
      <c r="U52" s="5">
        <f>IF(P52="NOT_CHECKED",0,40)+IF(Q52="NOT_CHECKED",0,30)+IF(R52="NOT_CHECKED",0,20)+IF(S52="NOT_CHECKED",0,10)</f>
        <v/>
      </c>
      <c r="V52" s="5">
        <f>IF(U52=100,T52,"")</f>
        <v/>
      </c>
      <c r="W52" s="5">
        <f>T52</f>
        <v/>
      </c>
      <c r="X52" s="5">
        <f>T52+(100-U52)</f>
        <v/>
      </c>
      <c r="Y52" s="2" t="inlineStr">
        <is>
          <t>[]</t>
        </is>
      </c>
      <c r="Z52" s="2" t="inlineStr">
        <is>
          <t>["seo_runs\\jeminise.com\\20260906_234129\\evidence\\images\\9_chicken-pattern-quilt-set-animal-patchwork-farmhouse-quilt-set\\image_01_47933462118599.jpg; seo_runs\\jeminise.com\\20260906_234129\\evidence\\contact_sheets\\9_chicken-pattern-quilt-set-animal-patchwork-farmhouse-quilt-set.jpg", "https://jeminise.com/products/chicken-pattern-quilt-set-animal-patchwork-farmhouse-quilt-set", "https://cdn.shopify.com/s/files/1/0792/5098/1063/files/df2728478e8364bc96182ba33c31dd08dcdab3758f1c26ecd4c76bcfacdeadc5.jpg?v=1787233682"]</t>
        </is>
      </c>
    </row>
    <row r="53" ht="66" customHeight="1">
      <c r="A53" s="3" t="inlineStr">
        <is>
          <t>jeminise.com+chicken-pattern-quilt-set-animal-patchwork-farmhouse-quilt-set</t>
        </is>
      </c>
      <c r="B53" s="3" t="inlineStr">
        <is>
          <t>qaimg_506f7cb7e11bab27</t>
        </is>
      </c>
      <c r="C53" s="4" t="inlineStr">
        <is>
          <t>https://cdn.shopify.com/s/files/1/0792/5098/1063/files/3fb22c532d2ea675077fa5f07538ad0693869d76604d9f54efbb12cf12dc3012.jpg?v=1787233682</t>
        </is>
      </c>
      <c r="D53" s="4" t="inlineStr">
        <is>
          <t>https://cdn.shopify.com/s/files/1/0792/5098/1063/files/3fb22c532d2ea675077fa5f07538ad0693869d76604d9f54efbb12cf12dc3012.jpg?v=1787233682</t>
        </is>
      </c>
      <c r="E53" s="3" t="inlineStr">
        <is>
          <t>38894704001223</t>
        </is>
      </c>
      <c r="F53" s="3" t="inlineStr">
        <is>
          <t>47933462151367</t>
        </is>
      </c>
      <c r="G53" s="3" t="inlineStr"/>
      <c r="H53" s="3" t="inlineStr">
        <is>
          <t>GALLERY</t>
        </is>
      </c>
      <c r="I53" s="3" t="inlineStr">
        <is>
          <t>DIRECT_ORIGINAL_IMAGE_REQA</t>
        </is>
      </c>
      <c r="J53" s="3" t="inlineStr">
        <is>
          <t>2026-09-07T12:03:49.582466+07:00</t>
        </is>
      </c>
      <c r="K53" s="3" t="inlineStr">
        <is>
          <t>Bedroom/feature graphic with premium print, no fading and skin-friendly callouts.</t>
        </is>
      </c>
      <c r="L53" s="3" t="inlineStr">
        <is>
          <t>Secondary detail or room mockup showing farmhouse chicken and hen pattern with nest and eggs and visible quilted/printed texture.</t>
        </is>
      </c>
      <c r="M53" s="3" t="inlineStr">
        <is>
          <t>Chicken Pattern Quilt Set, Animal Patchwork Farmhouse Quilt Set Bedspread, Premium Pattern Quilt Bedspread, Bedding Gift for Lover Daughter Son Father Mother</t>
        </is>
      </c>
      <c r="N53" s="3" t="inlineStr">
        <is>
          <t>SET</t>
        </is>
      </c>
      <c r="O53" s="3" t="inlineStr">
        <is>
          <t>Close view of farmhouse chicken and hen pattern with nest and eggs on the quilt set</t>
        </is>
      </c>
      <c r="P53" s="3" t="inlineStr">
        <is>
          <t>FULL</t>
        </is>
      </c>
      <c r="Q53" s="3" t="inlineStr">
        <is>
          <t>PARTIAL</t>
        </is>
      </c>
      <c r="R53" s="3" t="inlineStr">
        <is>
          <t>FAIL</t>
        </is>
      </c>
      <c r="S53" s="3" t="inlineStr">
        <is>
          <t>FULL</t>
        </is>
      </c>
      <c r="T53" s="7">
        <f>IF(P53="FULL",40,IF(P53="PARTIAL",40/2,0))+IF(Q53="FULL",30,IF(Q53="PARTIAL",30/2,0))+IF(R53="FULL",20,IF(R53="PARTIAL",20/2,0))+IF(S53="FULL",10,IF(S53="PARTIAL",10/2,0))</f>
        <v/>
      </c>
      <c r="U53" s="7">
        <f>IF(P53="NOT_CHECKED",0,40)+IF(Q53="NOT_CHECKED",0,30)+IF(R53="NOT_CHECKED",0,20)+IF(S53="NOT_CHECKED",0,10)</f>
        <v/>
      </c>
      <c r="V53" s="7">
        <f>IF(U53=100,T53,"")</f>
        <v/>
      </c>
      <c r="W53" s="7">
        <f>T53</f>
        <v/>
      </c>
      <c r="X53" s="7">
        <f>T53+(100-U53)</f>
        <v/>
      </c>
      <c r="Y53" s="3" t="inlineStr">
        <is>
          <t>["R2-ISS-009-IMG-02"]</t>
        </is>
      </c>
      <c r="Z53" s="3" t="inlineStr">
        <is>
          <t>["seo_runs\\jeminise.com\\20260906_234129\\evidence\\images\\9_chicken-pattern-quilt-set-animal-patchwork-farmhouse-quilt-set\\image_02_47933462151367.jpg; seo_runs\\jeminise.com\\20260906_234129\\evidence\\contact_sheets\\9_chicken-pattern-quilt-set-animal-patchwork-farmhouse-quilt-set.jpg", "https://jeminise.com/products/chicken-pattern-quilt-set-animal-patchwork-farmhouse-quilt-set", "https://cdn.shopify.com/s/files/1/0792/5098/1063/files/3fb22c532d2ea675077fa5f07538ad0693869d76604d9f54efbb12cf12dc3012.jpg?v=1787233682"]</t>
        </is>
      </c>
    </row>
    <row r="54" ht="66" customHeight="1">
      <c r="A54" s="2" t="inlineStr">
        <is>
          <t>jeminise.com+chicken-pattern-quilt-set-animal-patchwork-farmhouse-quilt-set</t>
        </is>
      </c>
      <c r="B54" s="2" t="inlineStr">
        <is>
          <t>qaimg_ab9d2b121f273ff8</t>
        </is>
      </c>
      <c r="C54" s="4" t="inlineStr">
        <is>
          <t>https://cdn.shopify.com/s/files/1/0792/5098/1063/files/015c23cc578e135b61ae727b347772c42c1d51319bdc062c7e1f665e85a0a3f3.jpg?v=1787233682</t>
        </is>
      </c>
      <c r="D54" s="4" t="inlineStr">
        <is>
          <t>https://cdn.shopify.com/s/files/1/0792/5098/1063/files/015c23cc578e135b61ae727b347772c42c1d51319bdc062c7e1f665e85a0a3f3.jpg?v=1787233682</t>
        </is>
      </c>
      <c r="E54" s="2" t="inlineStr">
        <is>
          <t>38894704033991</t>
        </is>
      </c>
      <c r="F54" s="2" t="inlineStr">
        <is>
          <t>47933462184135</t>
        </is>
      </c>
      <c r="G54" s="2" t="inlineStr"/>
      <c r="H54" s="2" t="inlineStr">
        <is>
          <t>GALLERY</t>
        </is>
      </c>
      <c r="I54" s="2" t="inlineStr">
        <is>
          <t>DIRECT_ORIGINAL_IMAGE_REQA</t>
        </is>
      </c>
      <c r="J54" s="2" t="inlineStr">
        <is>
          <t>2026-09-07T12:03:49.582466+07:00</t>
        </is>
      </c>
      <c r="K54" s="2" t="inlineStr">
        <is>
          <t>Pillow shams plus lightweight, soft, anti-pill and anti-static feature callouts.</t>
        </is>
      </c>
      <c r="L54" s="2" t="inlineStr">
        <is>
          <t>Matching pillow sham or bedding detail using the same farmhouse chicken and hen pattern with nest and eggs artwork.</t>
        </is>
      </c>
      <c r="M54" s="2" t="inlineStr">
        <is>
          <t>Chicken Pattern Quilt Set, Animal Patchwork Farmhouse Quilt Set Bedspread, Premium Pattern Quilt Bedspread, Bedding Gift for Lover Daughter Son Father Mother</t>
        </is>
      </c>
      <c r="N54" s="2" t="inlineStr">
        <is>
          <t>SET</t>
        </is>
      </c>
      <c r="O54" s="2" t="inlineStr">
        <is>
          <t>Matching pillow sham for Farmhouse Chicken Patchwork Quilt Set</t>
        </is>
      </c>
      <c r="P54" s="2" t="inlineStr">
        <is>
          <t>FULL</t>
        </is>
      </c>
      <c r="Q54" s="2" t="inlineStr">
        <is>
          <t>PARTIAL</t>
        </is>
      </c>
      <c r="R54" s="2" t="inlineStr">
        <is>
          <t>PARTIAL</t>
        </is>
      </c>
      <c r="S54" s="2" t="inlineStr">
        <is>
          <t>FULL</t>
        </is>
      </c>
      <c r="T54" s="5">
        <f>IF(P54="FULL",40,IF(P54="PARTIAL",40/2,0))+IF(Q54="FULL",30,IF(Q54="PARTIAL",30/2,0))+IF(R54="FULL",20,IF(R54="PARTIAL",20/2,0))+IF(S54="FULL",10,IF(S54="PARTIAL",10/2,0))</f>
        <v/>
      </c>
      <c r="U54" s="5">
        <f>IF(P54="NOT_CHECKED",0,40)+IF(Q54="NOT_CHECKED",0,30)+IF(R54="NOT_CHECKED",0,20)+IF(S54="NOT_CHECKED",0,10)</f>
        <v/>
      </c>
      <c r="V54" s="5">
        <f>IF(U54=100,T54,"")</f>
        <v/>
      </c>
      <c r="W54" s="5">
        <f>T54</f>
        <v/>
      </c>
      <c r="X54" s="5">
        <f>T54+(100-U54)</f>
        <v/>
      </c>
      <c r="Y54" s="2" t="inlineStr">
        <is>
          <t>["R2-ISS-009-IMG-03"]</t>
        </is>
      </c>
      <c r="Z54" s="2" t="inlineStr">
        <is>
          <t>["seo_runs\\jeminise.com\\20260906_234129\\evidence\\images\\9_chicken-pattern-quilt-set-animal-patchwork-farmhouse-quilt-set\\image_03_47933462184135.jpg; seo_runs\\jeminise.com\\20260906_234129\\evidence\\contact_sheets\\9_chicken-pattern-quilt-set-animal-patchwork-farmhouse-quilt-set.jpg", "https://jeminise.com/products/chicken-pattern-quilt-set-animal-patchwork-farmhouse-quilt-set", "https://cdn.shopify.com/s/files/1/0792/5098/1063/files/015c23cc578e135b61ae727b347772c42c1d51319bdc062c7e1f665e85a0a3f3.jpg?v=1787233682"]</t>
        </is>
      </c>
    </row>
    <row r="55" ht="66" customHeight="1">
      <c r="A55" s="3" t="inlineStr">
        <is>
          <t>jeminise.com+chicken-pattern-quilt-set-animal-patchwork-farmhouse-quilt-set</t>
        </is>
      </c>
      <c r="B55" s="3" t="inlineStr">
        <is>
          <t>qaimg_f427ee73b00f9112</t>
        </is>
      </c>
      <c r="C55" s="4" t="inlineStr">
        <is>
          <t>https://cdn.shopify.com/s/files/1/0792/5098/1063/files/044a88434534608756b0c91fa034b5bd3e06078ac0802d9eb409cbb4177ff68e.jpg?v=1787233682</t>
        </is>
      </c>
      <c r="D55" s="4" t="inlineStr">
        <is>
          <t>https://cdn.shopify.com/s/files/1/0792/5098/1063/files/044a88434534608756b0c91fa034b5bd3e06078ac0802d9eb409cbb4177ff68e.jpg?v=1787233682</t>
        </is>
      </c>
      <c r="E55" s="3" t="inlineStr">
        <is>
          <t>38894704066759</t>
        </is>
      </c>
      <c r="F55" s="3" t="inlineStr">
        <is>
          <t>47933462216903</t>
        </is>
      </c>
      <c r="G55" s="3" t="inlineStr"/>
      <c r="H55" s="3" t="inlineStr">
        <is>
          <t>GALLERY</t>
        </is>
      </c>
      <c r="I55" s="3" t="inlineStr">
        <is>
          <t>DIRECT_ORIGINAL_IMAGE_REQA</t>
        </is>
      </c>
      <c r="J55" s="3" t="inlineStr">
        <is>
          <t>2026-09-07T12:03:49.582466+07:00</t>
        </is>
      </c>
      <c r="K55" s="3" t="inlineStr">
        <is>
          <t>All-season and fabric-quality feature graphic with a small bed mockup.</t>
        </is>
      </c>
      <c r="L55" s="3" t="inlineStr">
        <is>
          <t>Room/folded product or fabric information image tied to the farmhouse chicken and hen pattern with nest and eggs design.</t>
        </is>
      </c>
      <c r="M55" s="3" t="inlineStr">
        <is>
          <t>Chicken Pattern Quilt Set, Animal Patchwork Farmhouse Quilt Set Bedspread, Premium Pattern Quilt Bedspread, Bedding Gift for Lover Daughter Son Father Mother</t>
        </is>
      </c>
      <c r="N55" s="3" t="inlineStr">
        <is>
          <t>SET</t>
        </is>
      </c>
      <c r="O55" s="3" t="inlineStr">
        <is>
          <t>Farmhouse Chicken Patchwork Quilt Set shown in a bedroom setting</t>
        </is>
      </c>
      <c r="P55" s="3" t="inlineStr">
        <is>
          <t>FULL</t>
        </is>
      </c>
      <c r="Q55" s="3" t="inlineStr">
        <is>
          <t>PARTIAL</t>
        </is>
      </c>
      <c r="R55" s="3" t="inlineStr">
        <is>
          <t>PARTIAL</t>
        </is>
      </c>
      <c r="S55" s="3" t="inlineStr">
        <is>
          <t>FULL</t>
        </is>
      </c>
      <c r="T55" s="7">
        <f>IF(P55="FULL",40,IF(P55="PARTIAL",40/2,0))+IF(Q55="FULL",30,IF(Q55="PARTIAL",30/2,0))+IF(R55="FULL",20,IF(R55="PARTIAL",20/2,0))+IF(S55="FULL",10,IF(S55="PARTIAL",10/2,0))</f>
        <v/>
      </c>
      <c r="U55" s="7">
        <f>IF(P55="NOT_CHECKED",0,40)+IF(Q55="NOT_CHECKED",0,30)+IF(R55="NOT_CHECKED",0,20)+IF(S55="NOT_CHECKED",0,10)</f>
        <v/>
      </c>
      <c r="V55" s="7">
        <f>IF(U55=100,T55,"")</f>
        <v/>
      </c>
      <c r="W55" s="7">
        <f>T55</f>
        <v/>
      </c>
      <c r="X55" s="7">
        <f>T55+(100-U55)</f>
        <v/>
      </c>
      <c r="Y55" s="3" t="inlineStr">
        <is>
          <t>["R2-ISS-009-IMG-04"]</t>
        </is>
      </c>
      <c r="Z55" s="3" t="inlineStr">
        <is>
          <t>["seo_runs\\jeminise.com\\20260906_234129\\evidence\\images\\9_chicken-pattern-quilt-set-animal-patchwork-farmhouse-quilt-set\\image_04_47933462216903.jpg; seo_runs\\jeminise.com\\20260906_234129\\evidence\\contact_sheets\\9_chicken-pattern-quilt-set-animal-patchwork-farmhouse-quilt-set.jpg", "https://jeminise.com/products/chicken-pattern-quilt-set-animal-patchwork-farmhouse-quilt-set", "https://cdn.shopify.com/s/files/1/0792/5098/1063/files/044a88434534608756b0c91fa034b5bd3e06078ac0802d9eb409cbb4177ff68e.jpg?v=1787233682"]</t>
        </is>
      </c>
    </row>
    <row r="56" ht="66" customHeight="1">
      <c r="A56" s="2" t="inlineStr">
        <is>
          <t>jeminise.com+chicken-pattern-quilt-set-animal-patchwork-farmhouse-quilt-set</t>
        </is>
      </c>
      <c r="B56" s="2" t="inlineStr">
        <is>
          <t>qaimg_6eb75a31eb3bed4c</t>
        </is>
      </c>
      <c r="C56" s="4" t="inlineStr">
        <is>
          <t>https://cdn.shopify.com/s/files/1/0792/5098/1063/files/8f7c582280e89587a9220b27404f887ca04a3550cb155e58214bec320e7e7a84.jpg?v=1787233682</t>
        </is>
      </c>
      <c r="D56" s="4" t="inlineStr">
        <is>
          <t>https://cdn.shopify.com/s/files/1/0792/5098/1063/files/8f7c582280e89587a9220b27404f887ca04a3550cb155e58214bec320e7e7a84.jpg?v=1787233682</t>
        </is>
      </c>
      <c r="E56" s="2" t="inlineStr">
        <is>
          <t>38894704099527</t>
        </is>
      </c>
      <c r="F56" s="2" t="inlineStr">
        <is>
          <t>47933462249671</t>
        </is>
      </c>
      <c r="G56" s="2" t="inlineStr"/>
      <c r="H56" s="2" t="inlineStr">
        <is>
          <t>GALLERY</t>
        </is>
      </c>
      <c r="I56" s="2" t="inlineStr">
        <is>
          <t>DIRECT_ORIGINAL_IMAGE_REQA</t>
        </is>
      </c>
      <c r="J56" s="2" t="inlineStr">
        <is>
          <t>2026-09-07T12:03:49.582466+07:00</t>
        </is>
      </c>
      <c r="K56" s="2" t="inlineStr">
        <is>
          <t>Quilt size chart.</t>
        </is>
      </c>
      <c r="L56" s="2" t="inlineStr">
        <is>
          <t>Sizing or included-components information image for the bedding set.</t>
        </is>
      </c>
      <c r="M56" s="2" t="inlineStr">
        <is>
          <t>Chicken Pattern Quilt Set, Animal Patchwork Farmhouse Quilt Set Bedspread, Premium Pattern Quilt Bedspread, Bedding Gift for Lover Daughter Son Father Mother</t>
        </is>
      </c>
      <c r="N56" s="2" t="inlineStr">
        <is>
          <t>SET</t>
        </is>
      </c>
      <c r="O56" s="2" t="inlineStr">
        <is>
          <t>Size guide for Farmhouse Chicken Patchwork Quilt Set</t>
        </is>
      </c>
      <c r="P56" s="2" t="inlineStr">
        <is>
          <t>FULL</t>
        </is>
      </c>
      <c r="Q56" s="2" t="inlineStr">
        <is>
          <t>FULL</t>
        </is>
      </c>
      <c r="R56" s="2" t="inlineStr">
        <is>
          <t>FULL</t>
        </is>
      </c>
      <c r="S56" s="2" t="inlineStr">
        <is>
          <t>FULL</t>
        </is>
      </c>
      <c r="T56" s="5">
        <f>IF(P56="FULL",40,IF(P56="PARTIAL",40/2,0))+IF(Q56="FULL",30,IF(Q56="PARTIAL",30/2,0))+IF(R56="FULL",20,IF(R56="PARTIAL",20/2,0))+IF(S56="FULL",10,IF(S56="PARTIAL",10/2,0))</f>
        <v/>
      </c>
      <c r="U56" s="5">
        <f>IF(P56="NOT_CHECKED",0,40)+IF(Q56="NOT_CHECKED",0,30)+IF(R56="NOT_CHECKED",0,20)+IF(S56="NOT_CHECKED",0,10)</f>
        <v/>
      </c>
      <c r="V56" s="5">
        <f>IF(U56=100,T56,"")</f>
        <v/>
      </c>
      <c r="W56" s="5">
        <f>T56</f>
        <v/>
      </c>
      <c r="X56" s="5">
        <f>T56+(100-U56)</f>
        <v/>
      </c>
      <c r="Y56" s="2" t="inlineStr">
        <is>
          <t>[]</t>
        </is>
      </c>
      <c r="Z56" s="2" t="inlineStr">
        <is>
          <t>["seo_runs\\jeminise.com\\20260906_234129\\evidence\\images\\9_chicken-pattern-quilt-set-animal-patchwork-farmhouse-quilt-set\\image_05_47933462249671.jpg; seo_runs\\jeminise.com\\20260906_234129\\evidence\\contact_sheets\\9_chicken-pattern-quilt-set-animal-patchwork-farmhouse-quilt-set.jpg", "https://jeminise.com/products/chicken-pattern-quilt-set-animal-patchwork-farmhouse-quilt-set", "https://cdn.shopify.com/s/files/1/0792/5098/1063/files/8f7c582280e89587a9220b27404f887ca04a3550cb155e58214bec320e7e7a84.jpg?v=1787233682"]</t>
        </is>
      </c>
    </row>
    <row r="57" ht="66" customHeight="1">
      <c r="A57" s="3" t="inlineStr">
        <is>
          <t>jeminise.com+chicken-pattern-quilt-set-animal-patchwork-farmhouse-quilt-set</t>
        </is>
      </c>
      <c r="B57" s="3" t="inlineStr">
        <is>
          <t>qaimg_be10ae77ff56c1f9</t>
        </is>
      </c>
      <c r="C57" s="4" t="inlineStr">
        <is>
          <t>https://cdn.shopify.com/s/files/1/0792/5098/1063/files/1790d972d34f1676ff9960602f32a073d75ae00ce5514be8d583a1bee054cb72.jpg?v=1787233682</t>
        </is>
      </c>
      <c r="D57" s="4" t="inlineStr">
        <is>
          <t>https://cdn.shopify.com/s/files/1/0792/5098/1063/files/1790d972d34f1676ff9960602f32a073d75ae00ce5514be8d583a1bee054cb72.jpg?v=1787233682</t>
        </is>
      </c>
      <c r="E57" s="3" t="inlineStr">
        <is>
          <t>38894704132295</t>
        </is>
      </c>
      <c r="F57" s="3" t="inlineStr">
        <is>
          <t>47933462282439</t>
        </is>
      </c>
      <c r="G57" s="3" t="inlineStr"/>
      <c r="H57" s="3" t="inlineStr">
        <is>
          <t>GALLERY</t>
        </is>
      </c>
      <c r="I57" s="3" t="inlineStr">
        <is>
          <t>DIRECT_ORIGINAL_IMAGE_REQA</t>
        </is>
      </c>
      <c r="J57" s="3" t="inlineStr">
        <is>
          <t>2026-09-07T12:03:49.582466+07:00</t>
        </is>
      </c>
      <c r="K57" s="3" t="inlineStr">
        <is>
          <t>Bedspread construction-layer and fabric-feature graphic.</t>
        </is>
      </c>
      <c r="L57" s="3" t="inlineStr">
        <is>
          <t>Feature image describing fabric layers, softness, breathability or care details.</t>
        </is>
      </c>
      <c r="M57" s="3" t="inlineStr">
        <is>
          <t>Chicken Pattern Quilt Set, Animal Patchwork Farmhouse Quilt Set Bedspread, Premium Pattern Quilt Bedspread, Bedding Gift for Lover Daughter Son Father Mother</t>
        </is>
      </c>
      <c r="N57" s="3" t="inlineStr">
        <is>
          <t>SET</t>
        </is>
      </c>
      <c r="O57" s="3" t="inlineStr">
        <is>
          <t>Fabric feature graphic for Farmhouse Chicken Patchwork Quilt Set</t>
        </is>
      </c>
      <c r="P57" s="3" t="inlineStr">
        <is>
          <t>FULL</t>
        </is>
      </c>
      <c r="Q57" s="3" t="inlineStr">
        <is>
          <t>FULL</t>
        </is>
      </c>
      <c r="R57" s="3" t="inlineStr">
        <is>
          <t>FULL</t>
        </is>
      </c>
      <c r="S57" s="3" t="inlineStr">
        <is>
          <t>FULL</t>
        </is>
      </c>
      <c r="T57" s="7">
        <f>IF(P57="FULL",40,IF(P57="PARTIAL",40/2,0))+IF(Q57="FULL",30,IF(Q57="PARTIAL",30/2,0))+IF(R57="FULL",20,IF(R57="PARTIAL",20/2,0))+IF(S57="FULL",10,IF(S57="PARTIAL",10/2,0))</f>
        <v/>
      </c>
      <c r="U57" s="7">
        <f>IF(P57="NOT_CHECKED",0,40)+IF(Q57="NOT_CHECKED",0,30)+IF(R57="NOT_CHECKED",0,20)+IF(S57="NOT_CHECKED",0,10)</f>
        <v/>
      </c>
      <c r="V57" s="7">
        <f>IF(U57=100,T57,"")</f>
        <v/>
      </c>
      <c r="W57" s="7">
        <f>T57</f>
        <v/>
      </c>
      <c r="X57" s="7">
        <f>T57+(100-U57)</f>
        <v/>
      </c>
      <c r="Y57" s="3" t="inlineStr">
        <is>
          <t>[]</t>
        </is>
      </c>
      <c r="Z57" s="3" t="inlineStr">
        <is>
          <t>["seo_runs\\jeminise.com\\20260906_234129\\evidence\\images\\9_chicken-pattern-quilt-set-animal-patchwork-farmhouse-quilt-set\\image_06_47933462282439.jpg; seo_runs\\jeminise.com\\20260906_234129\\evidence\\contact_sheets\\9_chicken-pattern-quilt-set-animal-patchwork-farmhouse-quilt-set.jpg", "https://jeminise.com/products/chicken-pattern-quilt-set-animal-patchwork-farmhouse-quilt-set", "https://cdn.shopify.com/s/files/1/0792/5098/1063/files/1790d972d34f1676ff9960602f32a073d75ae00ce5514be8d583a1bee054cb72.jpg?v=1787233682"]</t>
        </is>
      </c>
    </row>
    <row r="58" ht="66" customHeight="1">
      <c r="A58" s="2" t="inlineStr">
        <is>
          <t>jeminise.com+chicken-pattern-quilt-set-animal-patchwork-farmhouse-quilt-set</t>
        </is>
      </c>
      <c r="B58" s="2" t="inlineStr">
        <is>
          <t>qaimg_e84d78a19c537db2</t>
        </is>
      </c>
      <c r="C58" s="4" t="inlineStr">
        <is>
          <t>https://cdn.shopify.com/s/files/1/0792/5098/1063/files/9b0208488bc2babfa22f4cf50f3e6213152506148e49cdd0bae5d159838e9105.jpg?v=1787233682</t>
        </is>
      </c>
      <c r="D58" s="4" t="inlineStr">
        <is>
          <t>https://cdn.shopify.com/s/files/1/0792/5098/1063/files/9b0208488bc2babfa22f4cf50f3e6213152506148e49cdd0bae5d159838e9105.jpg?v=1787233682</t>
        </is>
      </c>
      <c r="E58" s="2" t="inlineStr">
        <is>
          <t>38894704165063</t>
        </is>
      </c>
      <c r="F58" s="2" t="inlineStr">
        <is>
          <t>47933462315207</t>
        </is>
      </c>
      <c r="G58" s="2" t="inlineStr"/>
      <c r="H58" s="2" t="inlineStr">
        <is>
          <t>GALLERY</t>
        </is>
      </c>
      <c r="I58" s="2" t="inlineStr">
        <is>
          <t>DIRECT_ORIGINAL_IMAGE_REQA</t>
        </is>
      </c>
      <c r="J58" s="2" t="inlineStr">
        <is>
          <t>2026-09-07T12:03:49.582466+07:00</t>
        </is>
      </c>
      <c r="K58" s="2" t="inlineStr">
        <is>
          <t>Overhead bedroom mockup of the farmhouse chicken quilt.</t>
        </is>
      </c>
      <c r="L58" s="2" t="inlineStr">
        <is>
          <t>Additional bedroom mockup showing the farmhouse chicken and hen pattern with nest and eggs design on a bed.</t>
        </is>
      </c>
      <c r="M58" s="2" t="inlineStr">
        <is>
          <t>Chicken Pattern Quilt Set, Animal Patchwork Farmhouse Quilt Set Bedspread, Premium Pattern Quilt Bedspread, Bedding Gift for Lover Daughter Son Father Mother</t>
        </is>
      </c>
      <c r="N58" s="2" t="inlineStr">
        <is>
          <t>SET</t>
        </is>
      </c>
      <c r="O58" s="2" t="inlineStr">
        <is>
          <t>Bedroom mockup of Farmhouse Chicken Patchwork Quilt Set</t>
        </is>
      </c>
      <c r="P58" s="2" t="inlineStr">
        <is>
          <t>FULL</t>
        </is>
      </c>
      <c r="Q58" s="2" t="inlineStr">
        <is>
          <t>FULL</t>
        </is>
      </c>
      <c r="R58" s="2" t="inlineStr">
        <is>
          <t>FULL</t>
        </is>
      </c>
      <c r="S58" s="2" t="inlineStr">
        <is>
          <t>FULL</t>
        </is>
      </c>
      <c r="T58" s="5">
        <f>IF(P58="FULL",40,IF(P58="PARTIAL",40/2,0))+IF(Q58="FULL",30,IF(Q58="PARTIAL",30/2,0))+IF(R58="FULL",20,IF(R58="PARTIAL",20/2,0))+IF(S58="FULL",10,IF(S58="PARTIAL",10/2,0))</f>
        <v/>
      </c>
      <c r="U58" s="5">
        <f>IF(P58="NOT_CHECKED",0,40)+IF(Q58="NOT_CHECKED",0,30)+IF(R58="NOT_CHECKED",0,20)+IF(S58="NOT_CHECKED",0,10)</f>
        <v/>
      </c>
      <c r="V58" s="5">
        <f>IF(U58=100,T58,"")</f>
        <v/>
      </c>
      <c r="W58" s="5">
        <f>T58</f>
        <v/>
      </c>
      <c r="X58" s="5">
        <f>T58+(100-U58)</f>
        <v/>
      </c>
      <c r="Y58" s="2" t="inlineStr">
        <is>
          <t>[]</t>
        </is>
      </c>
      <c r="Z58" s="2" t="inlineStr">
        <is>
          <t>["seo_runs\\jeminise.com\\20260906_234129\\evidence\\images\\9_chicken-pattern-quilt-set-animal-patchwork-farmhouse-quilt-set\\image_07_47933462315207.jpg; seo_runs\\jeminise.com\\20260906_234129\\evidence\\contact_sheets\\9_chicken-pattern-quilt-set-animal-patchwork-farmhouse-quilt-set.jpg", "https://jeminise.com/products/chicken-pattern-quilt-set-animal-patchwork-farmhouse-quilt-set", "https://cdn.shopify.com/s/files/1/0792/5098/1063/files/9b0208488bc2babfa22f4cf50f3e6213152506148e49cdd0bae5d159838e9105.jpg?v=1787233682"]</t>
        </is>
      </c>
    </row>
    <row r="59" ht="66" customHeight="1">
      <c r="A59" s="3" t="inlineStr">
        <is>
          <t>jeminise.com+christian-bedding-set-inspirational-bible-verse-comforte-design-01</t>
        </is>
      </c>
      <c r="B59" s="3" t="inlineStr">
        <is>
          <t>qaimg_eb118c0f2373e1a0</t>
        </is>
      </c>
      <c r="C59" s="4" t="inlineStr">
        <is>
          <t>https://cdn.shopify.com/s/files/1/0792/5098/1063/files/e0fe73b713afc62cfffb3946372bff45f6aba6f1bc25f209c29052448bc1decb.jpg?v=1787237695</t>
        </is>
      </c>
      <c r="D59" s="4" t="inlineStr">
        <is>
          <t>https://cdn.shopify.com/s/files/1/0792/5098/1063/files/e0fe73b713afc62cfffb3946372bff45f6aba6f1bc25f209c29052448bc1decb.jpg?v=1787237695</t>
        </is>
      </c>
      <c r="E59" s="3" t="inlineStr">
        <is>
          <t>38895075492039</t>
        </is>
      </c>
      <c r="F59" s="3" t="inlineStr">
        <is>
          <t>47933837967559</t>
        </is>
      </c>
      <c r="G59" s="3" t="inlineStr"/>
      <c r="H59" s="3" t="inlineStr">
        <is>
          <t>GALLERY</t>
        </is>
      </c>
      <c r="I59" s="3" t="inlineStr">
        <is>
          <t>DIRECT_ORIGINAL_IMAGE_REQA</t>
        </is>
      </c>
      <c r="J59" s="3" t="inlineStr">
        <is>
          <t>2026-09-07T12:03:49.582466+07:00</t>
        </is>
      </c>
      <c r="K59" s="3" t="inlineStr">
        <is>
          <t>Main bed mockup with God Says I Am, the sample name Jessica, floral artwork and butterflies.</t>
        </is>
      </c>
      <c r="L59" s="3" t="inlineStr">
        <is>
          <t>Main bed mockup showing personalized Christian God Says I Am design with name Jessica, flowers and butterflies.</t>
        </is>
      </c>
      <c r="M59" s="3" t="inlineStr">
        <is>
          <t>Christian Bedding Set – Inspirational Bible Verse Comforter – Religious Bedding for Women, Faith Gift for Mom, Daughter, Sister, Birthday &amp; Religious Gifts (God Says I am #1)</t>
        </is>
      </c>
      <c r="N59" s="3" t="inlineStr">
        <is>
          <t>SET</t>
        </is>
      </c>
      <c r="O59" s="3" t="inlineStr">
        <is>
          <t>God Says I Am Christian Bedding Set displayed on a bed</t>
        </is>
      </c>
      <c r="P59" s="3" t="inlineStr">
        <is>
          <t>FULL</t>
        </is>
      </c>
      <c r="Q59" s="3" t="inlineStr">
        <is>
          <t>FULL</t>
        </is>
      </c>
      <c r="R59" s="3" t="inlineStr">
        <is>
          <t>FULL</t>
        </is>
      </c>
      <c r="S59" s="3" t="inlineStr">
        <is>
          <t>FULL</t>
        </is>
      </c>
      <c r="T59" s="7">
        <f>IF(P59="FULL",40,IF(P59="PARTIAL",40/2,0))+IF(Q59="FULL",30,IF(Q59="PARTIAL",30/2,0))+IF(R59="FULL",20,IF(R59="PARTIAL",20/2,0))+IF(S59="FULL",10,IF(S59="PARTIAL",10/2,0))</f>
        <v/>
      </c>
      <c r="U59" s="7">
        <f>IF(P59="NOT_CHECKED",0,40)+IF(Q59="NOT_CHECKED",0,30)+IF(R59="NOT_CHECKED",0,20)+IF(S59="NOT_CHECKED",0,10)</f>
        <v/>
      </c>
      <c r="V59" s="7">
        <f>IF(U59=100,T59,"")</f>
        <v/>
      </c>
      <c r="W59" s="7">
        <f>T59</f>
        <v/>
      </c>
      <c r="X59" s="7">
        <f>T59+(100-U59)</f>
        <v/>
      </c>
      <c r="Y59" s="3" t="inlineStr">
        <is>
          <t>[]</t>
        </is>
      </c>
      <c r="Z59" s="3" t="inlineStr">
        <is>
          <t>["seo_runs\\jeminise.com\\20260906_234129\\evidence\\images\\10_christian-bedding-set-inspirational-bible-verse-comforte-design-01\\image_01_47933837967559.jpg; seo_runs\\jeminise.com\\20260906_234129\\evidence\\contact_sheets\\10_christian-bedding-set-inspirational-bible-verse-comforte-design-01.jpg", "https://jeminise.com/products/christian-bedding-set-inspirational-bible-verse-comforte-design-01", "https://cdn.shopify.com/s/files/1/0792/5098/1063/files/e0fe73b713afc62cfffb3946372bff45f6aba6f1bc25f209c29052448bc1decb.jpg?v=1787237695"]</t>
        </is>
      </c>
    </row>
    <row r="60" ht="66" customHeight="1">
      <c r="A60" s="2" t="inlineStr">
        <is>
          <t>jeminise.com+christian-bedding-set-inspirational-bible-verse-comforte-design-01</t>
        </is>
      </c>
      <c r="B60" s="2" t="inlineStr">
        <is>
          <t>qaimg_f47acf64a83d52b7</t>
        </is>
      </c>
      <c r="C60" s="4" t="inlineStr">
        <is>
          <t>https://cdn.shopify.com/s/files/1/0792/5098/1063/files/9a2ea3655358889bfb8939e5d43749d9fc1a68a15bb91eb7257e168947c5d449.jpg?v=1787237695</t>
        </is>
      </c>
      <c r="D60" s="4" t="inlineStr">
        <is>
          <t>https://cdn.shopify.com/s/files/1/0792/5098/1063/files/9a2ea3655358889bfb8939e5d43749d9fc1a68a15bb91eb7257e168947c5d449.jpg?v=1787237695</t>
        </is>
      </c>
      <c r="E60" s="2" t="inlineStr">
        <is>
          <t>38895075524807</t>
        </is>
      </c>
      <c r="F60" s="2" t="inlineStr">
        <is>
          <t>47933838000327</t>
        </is>
      </c>
      <c r="G60" s="2" t="inlineStr"/>
      <c r="H60" s="2" t="inlineStr">
        <is>
          <t>GALLERY</t>
        </is>
      </c>
      <c r="I60" s="2" t="inlineStr">
        <is>
          <t>DIRECT_ORIGINAL_IMAGE_REQA</t>
        </is>
      </c>
      <c r="J60" s="2" t="inlineStr">
        <is>
          <t>2026-09-07T12:03:49.582466+07:00</t>
        </is>
      </c>
      <c r="K60" s="2" t="inlineStr">
        <is>
          <t>Alternate bed mockup of the same Christian affirmation design.</t>
        </is>
      </c>
      <c r="L60" s="2" t="inlineStr">
        <is>
          <t>Secondary detail or room mockup showing personalized Christian God Says I Am design with name Jessica, flowers and butterflies and visible quilted/printed texture.</t>
        </is>
      </c>
      <c r="M60" s="2" t="inlineStr">
        <is>
          <t>Christian Bedding Set – Inspirational Bible Verse Comforter – Religious Bedding for Women, Faith Gift for Mom, Daughter, Sister, Birthday &amp; Religious Gifts (God Says I am #1)</t>
        </is>
      </c>
      <c r="N60" s="2" t="inlineStr">
        <is>
          <t>SET</t>
        </is>
      </c>
      <c r="O60" s="2" t="inlineStr">
        <is>
          <t>Close view of Christian God Says I Am design with themed artwork Jessica, flowers and butterflies on the comforter set</t>
        </is>
      </c>
      <c r="P60" s="2" t="inlineStr">
        <is>
          <t>FULL</t>
        </is>
      </c>
      <c r="Q60" s="2" t="inlineStr">
        <is>
          <t>PARTIAL</t>
        </is>
      </c>
      <c r="R60" s="2" t="inlineStr">
        <is>
          <t>FAIL</t>
        </is>
      </c>
      <c r="S60" s="2" t="inlineStr">
        <is>
          <t>FULL</t>
        </is>
      </c>
      <c r="T60" s="5">
        <f>IF(P60="FULL",40,IF(P60="PARTIAL",40/2,0))+IF(Q60="FULL",30,IF(Q60="PARTIAL",30/2,0))+IF(R60="FULL",20,IF(R60="PARTIAL",20/2,0))+IF(S60="FULL",10,IF(S60="PARTIAL",10/2,0))</f>
        <v/>
      </c>
      <c r="U60" s="5">
        <f>IF(P60="NOT_CHECKED",0,40)+IF(Q60="NOT_CHECKED",0,30)+IF(R60="NOT_CHECKED",0,20)+IF(S60="NOT_CHECKED",0,10)</f>
        <v/>
      </c>
      <c r="V60" s="5">
        <f>IF(U60=100,T60,"")</f>
        <v/>
      </c>
      <c r="W60" s="5">
        <f>T60</f>
        <v/>
      </c>
      <c r="X60" s="5">
        <f>T60+(100-U60)</f>
        <v/>
      </c>
      <c r="Y60" s="2" t="inlineStr">
        <is>
          <t>["R2-ISS-010-IMG-02"]</t>
        </is>
      </c>
      <c r="Z60" s="2" t="inlineStr">
        <is>
          <t>["seo_runs\\jeminise.com\\20260906_234129\\evidence\\images\\10_christian-bedding-set-inspirational-bible-verse-comforte-design-01\\image_02_47933838000327.jpg; seo_runs\\jeminise.com\\20260906_234129\\evidence\\contact_sheets\\10_christian-bedding-set-inspirational-bible-verse-comforte-design-01.jpg", "https://jeminise.com/products/christian-bedding-set-inspirational-bible-verse-comforte-design-01", "https://cdn.shopify.com/s/files/1/0792/5098/1063/files/9a2ea3655358889bfb8939e5d43749d9fc1a68a15bb91eb7257e168947c5d449.jpg?v=1787237695"]</t>
        </is>
      </c>
    </row>
    <row r="61" ht="66" customHeight="1">
      <c r="A61" s="3" t="inlineStr">
        <is>
          <t>jeminise.com+christian-bedding-set-inspirational-bible-verse-comforte-design-01</t>
        </is>
      </c>
      <c r="B61" s="3" t="inlineStr">
        <is>
          <t>qaimg_6d1025fe7e8d137a</t>
        </is>
      </c>
      <c r="C61" s="4" t="inlineStr">
        <is>
          <t>https://cdn.shopify.com/s/files/1/0792/5098/1063/files/50f96559dd878ae5bbee14ba7a34337ccd740d21a8ffe86a8a1be819656d26c0.jpg?v=1787237695</t>
        </is>
      </c>
      <c r="D61" s="4" t="inlineStr">
        <is>
          <t>https://cdn.shopify.com/s/files/1/0792/5098/1063/files/50f96559dd878ae5bbee14ba7a34337ccd740d21a8ffe86a8a1be819656d26c0.jpg?v=1787237695</t>
        </is>
      </c>
      <c r="E61" s="3" t="inlineStr">
        <is>
          <t>38895075557575</t>
        </is>
      </c>
      <c r="F61" s="3" t="inlineStr">
        <is>
          <t>47933838033095</t>
        </is>
      </c>
      <c r="G61" s="3" t="inlineStr"/>
      <c r="H61" s="3" t="inlineStr">
        <is>
          <t>GALLERY</t>
        </is>
      </c>
      <c r="I61" s="3" t="inlineStr">
        <is>
          <t>DIRECT_ORIGINAL_IMAGE_REQA</t>
        </is>
      </c>
      <c r="J61" s="3" t="inlineStr">
        <is>
          <t>2026-09-07T12:03:49.582466+07:00</t>
        </is>
      </c>
      <c r="K61" s="3" t="inlineStr">
        <is>
          <t>Comparison graphic for Duvet Cover Set versus Comforter Set.</t>
        </is>
      </c>
      <c r="L61" s="3" t="inlineStr">
        <is>
          <t>Matching pillow sham or bedding detail using the same personalized Christian God Says I Am design with name Jessica, flowers and butterflies artwork.</t>
        </is>
      </c>
      <c r="M61" s="3" t="inlineStr">
        <is>
          <t>Christian Bedding Set – Inspirational Bible Verse Comforter – Religious Bedding for Women, Faith Gift for Mom, Daughter, Sister, Birthday &amp; Religious Gifts (God Says I am #1)</t>
        </is>
      </c>
      <c r="N61" s="3" t="inlineStr">
        <is>
          <t>SET</t>
        </is>
      </c>
      <c r="O61" s="3" t="inlineStr">
        <is>
          <t>Matching pillow sham for God Says I Am Christian Bedding Set</t>
        </is>
      </c>
      <c r="P61" s="3" t="inlineStr">
        <is>
          <t>FULL</t>
        </is>
      </c>
      <c r="Q61" s="3" t="inlineStr">
        <is>
          <t>FAIL</t>
        </is>
      </c>
      <c r="R61" s="3" t="inlineStr">
        <is>
          <t>FAIL</t>
        </is>
      </c>
      <c r="S61" s="3" t="inlineStr">
        <is>
          <t>FULL</t>
        </is>
      </c>
      <c r="T61" s="7">
        <f>IF(P61="FULL",40,IF(P61="PARTIAL",40/2,0))+IF(Q61="FULL",30,IF(Q61="PARTIAL",30/2,0))+IF(R61="FULL",20,IF(R61="PARTIAL",20/2,0))+IF(S61="FULL",10,IF(S61="PARTIAL",10/2,0))</f>
        <v/>
      </c>
      <c r="U61" s="7">
        <f>IF(P61="NOT_CHECKED",0,40)+IF(Q61="NOT_CHECKED",0,30)+IF(R61="NOT_CHECKED",0,20)+IF(S61="NOT_CHECKED",0,10)</f>
        <v/>
      </c>
      <c r="V61" s="7">
        <f>IF(U61=100,T61,"")</f>
        <v/>
      </c>
      <c r="W61" s="7">
        <f>T61</f>
        <v/>
      </c>
      <c r="X61" s="7">
        <f>T61+(100-U61)</f>
        <v/>
      </c>
      <c r="Y61" s="3" t="inlineStr">
        <is>
          <t>["R2-ISS-010-IMG-03"]</t>
        </is>
      </c>
      <c r="Z61" s="3" t="inlineStr">
        <is>
          <t>["seo_runs\\jeminise.com\\20260906_234129\\evidence\\images\\10_christian-bedding-set-inspirational-bible-verse-comforte-design-01\\image_03_47933838033095.jpg; seo_runs\\jeminise.com\\20260906_234129\\evidence\\contact_sheets\\10_christian-bedding-set-inspirational-bible-verse-comforte-design-01.jpg", "https://jeminise.com/products/christian-bedding-set-inspirational-bible-verse-comforte-design-01", "https://cdn.shopify.com/s/files/1/0792/5098/1063/files/50f96559dd878ae5bbee14ba7a34337ccd740d21a8ffe86a8a1be819656d26c0.jpg?v=1787237695"]</t>
        </is>
      </c>
    </row>
    <row r="62" ht="66" customHeight="1">
      <c r="A62" s="2" t="inlineStr">
        <is>
          <t>jeminise.com+christian-bedding-set-inspirational-bible-verse-comforte-design-01</t>
        </is>
      </c>
      <c r="B62" s="2" t="inlineStr">
        <is>
          <t>qaimg_07763f3daebff903</t>
        </is>
      </c>
      <c r="C62" s="4" t="inlineStr">
        <is>
          <t>https://cdn.shopify.com/s/files/1/0792/5098/1063/files/e177a63ec5fdef284072a06f2775ebbbf78d53d430946e0a479a9aea59e23193.jpg?v=1787237695</t>
        </is>
      </c>
      <c r="D62" s="4" t="inlineStr">
        <is>
          <t>https://cdn.shopify.com/s/files/1/0792/5098/1063/files/e177a63ec5fdef284072a06f2775ebbbf78d53d430946e0a479a9aea59e23193.jpg?v=1787237695</t>
        </is>
      </c>
      <c r="E62" s="2" t="inlineStr">
        <is>
          <t>38895075590343</t>
        </is>
      </c>
      <c r="F62" s="2" t="inlineStr">
        <is>
          <t>47933838065863</t>
        </is>
      </c>
      <c r="G62" s="2" t="inlineStr"/>
      <c r="H62" s="2" t="inlineStr">
        <is>
          <t>GALLERY</t>
        </is>
      </c>
      <c r="I62" s="2" t="inlineStr">
        <is>
          <t>DIRECT_ORIGINAL_IMAGE_REQA</t>
        </is>
      </c>
      <c r="J62" s="2" t="inlineStr">
        <is>
          <t>2026-09-07T12:03:49.582466+07:00</t>
        </is>
      </c>
      <c r="K62" s="2" t="inlineStr">
        <is>
          <t>Feature graphic stating 100% microfiber, 3D print, soft, lightweight and breathable.</t>
        </is>
      </c>
      <c r="L62" s="2" t="inlineStr">
        <is>
          <t>Room/folded product or fabric information image tied to the personalized Christian God Says I Am design with name Jessica, flowers and butterflies design.</t>
        </is>
      </c>
      <c r="M62" s="2" t="inlineStr">
        <is>
          <t>Christian Bedding Set – Inspirational Bible Verse Comforter – Religious Bedding for Women, Faith Gift for Mom, Daughter, Sister, Birthday &amp; Religious Gifts (God Says I am #1)</t>
        </is>
      </c>
      <c r="N62" s="2" t="inlineStr">
        <is>
          <t>SET</t>
        </is>
      </c>
      <c r="O62" s="2" t="inlineStr">
        <is>
          <t>God Says I Am Christian Bedding Set shown in a bedroom setting</t>
        </is>
      </c>
      <c r="P62" s="2" t="inlineStr">
        <is>
          <t>FULL</t>
        </is>
      </c>
      <c r="Q62" s="2" t="inlineStr">
        <is>
          <t>FAIL</t>
        </is>
      </c>
      <c r="R62" s="2" t="inlineStr">
        <is>
          <t>FAIL</t>
        </is>
      </c>
      <c r="S62" s="2" t="inlineStr">
        <is>
          <t>FULL</t>
        </is>
      </c>
      <c r="T62" s="5">
        <f>IF(P62="FULL",40,IF(P62="PARTIAL",40/2,0))+IF(Q62="FULL",30,IF(Q62="PARTIAL",30/2,0))+IF(R62="FULL",20,IF(R62="PARTIAL",20/2,0))+IF(S62="FULL",10,IF(S62="PARTIAL",10/2,0))</f>
        <v/>
      </c>
      <c r="U62" s="5">
        <f>IF(P62="NOT_CHECKED",0,40)+IF(Q62="NOT_CHECKED",0,30)+IF(R62="NOT_CHECKED",0,20)+IF(S62="NOT_CHECKED",0,10)</f>
        <v/>
      </c>
      <c r="V62" s="5">
        <f>IF(U62=100,T62,"")</f>
        <v/>
      </c>
      <c r="W62" s="5">
        <f>T62</f>
        <v/>
      </c>
      <c r="X62" s="5">
        <f>T62+(100-U62)</f>
        <v/>
      </c>
      <c r="Y62" s="2" t="inlineStr">
        <is>
          <t>["R2-ISS-010-IMG-04"]</t>
        </is>
      </c>
      <c r="Z62" s="2" t="inlineStr">
        <is>
          <t>["seo_runs\\jeminise.com\\20260906_234129\\evidence\\images\\10_christian-bedding-set-inspirational-bible-verse-comforte-design-01\\image_04_47933838065863.jpg; seo_runs\\jeminise.com\\20260906_234129\\evidence\\contact_sheets\\10_christian-bedding-set-inspirational-bible-verse-comforte-design-01.jpg", "https://jeminise.com/products/christian-bedding-set-inspirational-bible-verse-comforte-design-01", "https://cdn.shopify.com/s/files/1/0792/5098/1063/files/e177a63ec5fdef284072a06f2775ebbbf78d53d430946e0a479a9aea59e23193.jpg?v=1787237695"]</t>
        </is>
      </c>
    </row>
    <row r="63" ht="66" customHeight="1">
      <c r="A63" s="3" t="inlineStr">
        <is>
          <t>jeminise.com+christian-bedding-set-inspirational-bible-verse-comforte-design-01</t>
        </is>
      </c>
      <c r="B63" s="3" t="inlineStr">
        <is>
          <t>qaimg_529e4c8d486051e5</t>
        </is>
      </c>
      <c r="C63" s="4" t="inlineStr">
        <is>
          <t>https://cdn.shopify.com/s/files/1/0792/5098/1063/files/c0229b109e769b68f8c9f35623479c094bab31ad756f2c9dfcf50eadd39d92c5.jpg?v=1787237695</t>
        </is>
      </c>
      <c r="D63" s="4" t="inlineStr">
        <is>
          <t>https://cdn.shopify.com/s/files/1/0792/5098/1063/files/c0229b109e769b68f8c9f35623479c094bab31ad756f2c9dfcf50eadd39d92c5.jpg?v=1787237695</t>
        </is>
      </c>
      <c r="E63" s="3" t="inlineStr">
        <is>
          <t>38895075623111</t>
        </is>
      </c>
      <c r="F63" s="3" t="inlineStr">
        <is>
          <t>47933838098631</t>
        </is>
      </c>
      <c r="G63" s="3" t="inlineStr"/>
      <c r="H63" s="3" t="inlineStr">
        <is>
          <t>GALLERY</t>
        </is>
      </c>
      <c r="I63" s="3" t="inlineStr">
        <is>
          <t>DIRECT_ORIGINAL_IMAGE_REQA</t>
        </is>
      </c>
      <c r="J63" s="3" t="inlineStr">
        <is>
          <t>2026-09-07T12:03:49.582466+07:00</t>
        </is>
      </c>
      <c r="K63" s="3" t="inlineStr">
        <is>
          <t>Birth Month Flowers chart from January through December.</t>
        </is>
      </c>
      <c r="L63" s="3" t="inlineStr">
        <is>
          <t>Sizing or included-components information image for the bedding set.</t>
        </is>
      </c>
      <c r="M63" s="3" t="inlineStr">
        <is>
          <t>Christian Bedding Set – Inspirational Bible Verse Comforter – Religious Bedding for Women, Faith Gift for Mom, Daughter, Sister, Birthday &amp; Religious Gifts (God Says I am #1)</t>
        </is>
      </c>
      <c r="N63" s="3" t="inlineStr">
        <is>
          <t>SET</t>
        </is>
      </c>
      <c r="O63" s="3" t="inlineStr">
        <is>
          <t>Size guide for God Says I Am Christian Bedding Set</t>
        </is>
      </c>
      <c r="P63" s="3" t="inlineStr">
        <is>
          <t>FULL</t>
        </is>
      </c>
      <c r="Q63" s="3" t="inlineStr">
        <is>
          <t>FAIL</t>
        </is>
      </c>
      <c r="R63" s="3" t="inlineStr">
        <is>
          <t>FAIL</t>
        </is>
      </c>
      <c r="S63" s="3" t="inlineStr">
        <is>
          <t>FULL</t>
        </is>
      </c>
      <c r="T63" s="7">
        <f>IF(P63="FULL",40,IF(P63="PARTIAL",40/2,0))+IF(Q63="FULL",30,IF(Q63="PARTIAL",30/2,0))+IF(R63="FULL",20,IF(R63="PARTIAL",20/2,0))+IF(S63="FULL",10,IF(S63="PARTIAL",10/2,0))</f>
        <v/>
      </c>
      <c r="U63" s="7">
        <f>IF(P63="NOT_CHECKED",0,40)+IF(Q63="NOT_CHECKED",0,30)+IF(R63="NOT_CHECKED",0,20)+IF(S63="NOT_CHECKED",0,10)</f>
        <v/>
      </c>
      <c r="V63" s="7">
        <f>IF(U63=100,T63,"")</f>
        <v/>
      </c>
      <c r="W63" s="7">
        <f>T63</f>
        <v/>
      </c>
      <c r="X63" s="7">
        <f>T63+(100-U63)</f>
        <v/>
      </c>
      <c r="Y63" s="3" t="inlineStr">
        <is>
          <t>["R2-ISS-010-IMG-05"]</t>
        </is>
      </c>
      <c r="Z63" s="3" t="inlineStr">
        <is>
          <t>["seo_runs\\jeminise.com\\20260906_234129\\evidence\\images\\10_christian-bedding-set-inspirational-bible-verse-comforte-design-01\\image_05_47933838098631.jpg; seo_runs\\jeminise.com\\20260906_234129\\evidence\\contact_sheets\\10_christian-bedding-set-inspirational-bible-verse-comforte-design-01.jpg", "https://jeminise.com/products/christian-bedding-set-inspirational-bible-verse-comforte-design-01", "https://cdn.shopify.com/s/files/1/0792/5098/1063/files/c0229b109e769b68f8c9f35623479c094bab31ad756f2c9dfcf50eadd39d92c5.jpg?v=1787237695"]</t>
        </is>
      </c>
    </row>
    <row r="64" ht="66" customHeight="1">
      <c r="A64" s="2" t="inlineStr">
        <is>
          <t>jeminise.com+christian-bedding-set-inspirational-bible-verse-comforte-design-01</t>
        </is>
      </c>
      <c r="B64" s="2" t="inlineStr">
        <is>
          <t>qaimg_0fc13a12a35a3633</t>
        </is>
      </c>
      <c r="C64" s="4" t="inlineStr">
        <is>
          <t>https://cdn.shopify.com/s/files/1/0792/5098/1063/files/e22715b9d350060d7f718ca936fb51ae74bf407c9cd643e977844be314d468df.jpg?v=1787237695</t>
        </is>
      </c>
      <c r="D64" s="4" t="inlineStr">
        <is>
          <t>https://cdn.shopify.com/s/files/1/0792/5098/1063/files/e22715b9d350060d7f718ca936fb51ae74bf407c9cd643e977844be314d468df.jpg?v=1787237695</t>
        </is>
      </c>
      <c r="E64" s="2" t="inlineStr">
        <is>
          <t>38895075655879</t>
        </is>
      </c>
      <c r="F64" s="2" t="inlineStr">
        <is>
          <t>47933838131399</t>
        </is>
      </c>
      <c r="G64" s="2" t="inlineStr"/>
      <c r="H64" s="2" t="inlineStr">
        <is>
          <t>GALLERY</t>
        </is>
      </c>
      <c r="I64" s="2" t="inlineStr">
        <is>
          <t>DIRECT_ORIGINAL_IMAGE_REQA</t>
        </is>
      </c>
      <c r="J64" s="2" t="inlineStr">
        <is>
          <t>2026-09-07T12:03:49.582466+07:00</t>
        </is>
      </c>
      <c r="K64" s="2" t="inlineStr">
        <is>
          <t>Bedroom feature graphic with soft, lightweight, durable and breathable callouts.</t>
        </is>
      </c>
      <c r="L64" s="2" t="inlineStr">
        <is>
          <t>Feature image describing fabric layers, softness, breathability or care details.</t>
        </is>
      </c>
      <c r="M64" s="2" t="inlineStr">
        <is>
          <t>Christian Bedding Set – Inspirational Bible Verse Comforter – Religious Bedding for Women, Faith Gift for Mom, Daughter, Sister, Birthday &amp; Religious Gifts (God Says I am #1)</t>
        </is>
      </c>
      <c r="N64" s="2" t="inlineStr">
        <is>
          <t>SET</t>
        </is>
      </c>
      <c r="O64" s="2" t="inlineStr">
        <is>
          <t>Fabric feature graphic for God Says I Am Christian Bedding Set</t>
        </is>
      </c>
      <c r="P64" s="2" t="inlineStr">
        <is>
          <t>FULL</t>
        </is>
      </c>
      <c r="Q64" s="2" t="inlineStr">
        <is>
          <t>FULL</t>
        </is>
      </c>
      <c r="R64" s="2" t="inlineStr">
        <is>
          <t>PARTIAL</t>
        </is>
      </c>
      <c r="S64" s="2" t="inlineStr">
        <is>
          <t>FULL</t>
        </is>
      </c>
      <c r="T64" s="5">
        <f>IF(P64="FULL",40,IF(P64="PARTIAL",40/2,0))+IF(Q64="FULL",30,IF(Q64="PARTIAL",30/2,0))+IF(R64="FULL",20,IF(R64="PARTIAL",20/2,0))+IF(S64="FULL",10,IF(S64="PARTIAL",10/2,0))</f>
        <v/>
      </c>
      <c r="U64" s="5">
        <f>IF(P64="NOT_CHECKED",0,40)+IF(Q64="NOT_CHECKED",0,30)+IF(R64="NOT_CHECKED",0,20)+IF(S64="NOT_CHECKED",0,10)</f>
        <v/>
      </c>
      <c r="V64" s="5">
        <f>IF(U64=100,T64,"")</f>
        <v/>
      </c>
      <c r="W64" s="5">
        <f>T64</f>
        <v/>
      </c>
      <c r="X64" s="5">
        <f>T64+(100-U64)</f>
        <v/>
      </c>
      <c r="Y64" s="2" t="inlineStr">
        <is>
          <t>["R2-ISS-010-IMG-06"]</t>
        </is>
      </c>
      <c r="Z64" s="2" t="inlineStr">
        <is>
          <t>["seo_runs\\jeminise.com\\20260906_234129\\evidence\\images\\10_christian-bedding-set-inspirational-bible-verse-comforte-design-01\\image_06_47933838131399.jpg; seo_runs\\jeminise.com\\20260906_234129\\evidence\\contact_sheets\\10_christian-bedding-set-inspirational-bible-verse-comforte-design-01.jpg", "https://jeminise.com/products/christian-bedding-set-inspirational-bible-verse-comforte-design-01", "https://cdn.shopify.com/s/files/1/0792/5098/1063/files/e22715b9d350060d7f718ca936fb51ae74bf407c9cd643e977844be314d468df.jpg?v=1787237695"]</t>
        </is>
      </c>
    </row>
    <row r="65" ht="66" customHeight="1">
      <c r="A65" s="3" t="inlineStr">
        <is>
          <t>jeminise.com+christian-bedding-set-inspirational-bible-verse-comforte-design-01</t>
        </is>
      </c>
      <c r="B65" s="3" t="inlineStr">
        <is>
          <t>qaimg_b90439d89675fae5</t>
        </is>
      </c>
      <c r="C65" s="4" t="inlineStr">
        <is>
          <t>https://cdn.shopify.com/s/files/1/0792/5098/1063/files/0e22a9fec09643a714af054217066178d4f7bc4d6266b6d2ff5c33c09cc10e88.jpg?v=1787237695</t>
        </is>
      </c>
      <c r="D65" s="4" t="inlineStr">
        <is>
          <t>https://cdn.shopify.com/s/files/1/0792/5098/1063/files/0e22a9fec09643a714af054217066178d4f7bc4d6266b6d2ff5c33c09cc10e88.jpg?v=1787237695</t>
        </is>
      </c>
      <c r="E65" s="3" t="inlineStr">
        <is>
          <t>38895075688647</t>
        </is>
      </c>
      <c r="F65" s="3" t="inlineStr">
        <is>
          <t>47933838164167</t>
        </is>
      </c>
      <c r="G65" s="3" t="inlineStr"/>
      <c r="H65" s="3" t="inlineStr">
        <is>
          <t>GALLERY</t>
        </is>
      </c>
      <c r="I65" s="3" t="inlineStr">
        <is>
          <t>DIRECT_ORIGINAL_IMAGE_REQA</t>
        </is>
      </c>
      <c r="J65" s="3" t="inlineStr">
        <is>
          <t>2026-09-07T12:03:49.582466+07:00</t>
        </is>
      </c>
      <c r="K65" s="3" t="inlineStr">
        <is>
          <t>Easy-care graphic with wrinkle-free, stain-proof, anti-pilling and won't-fade claims.</t>
        </is>
      </c>
      <c r="L65" s="3" t="inlineStr">
        <is>
          <t>Additional bedroom mockup showing the personalized Christian God Says I Am design with name Jessica, flowers and butterflies design on a bed.</t>
        </is>
      </c>
      <c r="M65" s="3" t="inlineStr">
        <is>
          <t>Christian Bedding Set – Inspirational Bible Verse Comforter – Religious Bedding for Women, Faith Gift for Mom, Daughter, Sister, Birthday &amp; Religious Gifts (God Says I am #1)</t>
        </is>
      </c>
      <c r="N65" s="3" t="inlineStr">
        <is>
          <t>SET</t>
        </is>
      </c>
      <c r="O65" s="3" t="inlineStr">
        <is>
          <t>Bedroom mockup of God Says I Am Christian Bedding Set</t>
        </is>
      </c>
      <c r="P65" s="3" t="inlineStr">
        <is>
          <t>FULL</t>
        </is>
      </c>
      <c r="Q65" s="3" t="inlineStr">
        <is>
          <t>FAIL</t>
        </is>
      </c>
      <c r="R65" s="3" t="inlineStr">
        <is>
          <t>FAIL</t>
        </is>
      </c>
      <c r="S65" s="3" t="inlineStr">
        <is>
          <t>FULL</t>
        </is>
      </c>
      <c r="T65" s="7">
        <f>IF(P65="FULL",40,IF(P65="PARTIAL",40/2,0))+IF(Q65="FULL",30,IF(Q65="PARTIAL",30/2,0))+IF(R65="FULL",20,IF(R65="PARTIAL",20/2,0))+IF(S65="FULL",10,IF(S65="PARTIAL",10/2,0))</f>
        <v/>
      </c>
      <c r="U65" s="7">
        <f>IF(P65="NOT_CHECKED",0,40)+IF(Q65="NOT_CHECKED",0,30)+IF(R65="NOT_CHECKED",0,20)+IF(S65="NOT_CHECKED",0,10)</f>
        <v/>
      </c>
      <c r="V65" s="7">
        <f>IF(U65=100,T65,"")</f>
        <v/>
      </c>
      <c r="W65" s="7">
        <f>T65</f>
        <v/>
      </c>
      <c r="X65" s="7">
        <f>T65+(100-U65)</f>
        <v/>
      </c>
      <c r="Y65" s="3" t="inlineStr">
        <is>
          <t>["R2-ISS-010-IMG-07"]</t>
        </is>
      </c>
      <c r="Z65" s="3" t="inlineStr">
        <is>
          <t>["seo_runs\\jeminise.com\\20260906_234129\\evidence\\images\\10_christian-bedding-set-inspirational-bible-verse-comforte-design-01\\image_07_47933838164167.jpg; seo_runs\\jeminise.com\\20260906_234129\\evidence\\contact_sheets\\10_christian-bedding-set-inspirational-bible-verse-comforte-design-01.jpg", "https://jeminise.com/products/christian-bedding-set-inspirational-bible-verse-comforte-design-01", "https://cdn.shopify.com/s/files/1/0792/5098/1063/files/0e22a9fec09643a714af054217066178d4f7bc4d6266b6d2ff5c33c09cc10e88.jpg?v=1787237695"]</t>
        </is>
      </c>
    </row>
    <row r="66" ht="66" customHeight="1">
      <c r="A66" s="2" t="inlineStr">
        <is>
          <t>jeminise.com+christian-bedding-set-inspirational-bible-verse-comforte-design-01</t>
        </is>
      </c>
      <c r="B66" s="2" t="inlineStr">
        <is>
          <t>qaimg_734f2f8be24b67c2</t>
        </is>
      </c>
      <c r="C66" s="4" t="inlineStr">
        <is>
          <t>https://cdn.shopify.com/s/files/1/0792/5098/1063/files/d6b8438a259ef28ba839a68ba108f40464bc9629b0bc2168779fc7776c9cbffa.jpg?v=1787237695</t>
        </is>
      </c>
      <c r="D66" s="4" t="inlineStr">
        <is>
          <t>https://cdn.shopify.com/s/files/1/0792/5098/1063/files/d6b8438a259ef28ba839a68ba108f40464bc9629b0bc2168779fc7776c9cbffa.jpg?v=1787237695</t>
        </is>
      </c>
      <c r="E66" s="2" t="inlineStr">
        <is>
          <t>38895075721415</t>
        </is>
      </c>
      <c r="F66" s="2" t="inlineStr">
        <is>
          <t>47933838196935</t>
        </is>
      </c>
      <c r="G66" s="2" t="inlineStr"/>
      <c r="H66" s="2" t="inlineStr">
        <is>
          <t>GALLERY</t>
        </is>
      </c>
      <c r="I66" s="2" t="inlineStr">
        <is>
          <t>DIRECT_ORIGINAL_IMAGE_REQA</t>
        </is>
      </c>
      <c r="J66" s="2" t="inlineStr">
        <is>
          <t>2026-09-07T12:03:49.582466+07:00</t>
        </is>
      </c>
      <c r="K66" s="2" t="inlineStr">
        <is>
          <t>Twin, Full, Queen and King dimension chart.</t>
        </is>
      </c>
      <c r="L66" s="2" t="inlineStr">
        <is>
          <t>Additional product information image for size, care, personalization or bedding type.</t>
        </is>
      </c>
      <c r="M66" s="2" t="inlineStr">
        <is>
          <t>Christian Bedding Set – Inspirational Bible Verse Comforter – Religious Bedding for Women, Faith Gift for Mom, Daughter, Sister, Birthday &amp; Religious Gifts (God Says I am #1)</t>
        </is>
      </c>
      <c r="N66" s="2" t="inlineStr">
        <is>
          <t>SET</t>
        </is>
      </c>
      <c r="O66" s="2" t="inlineStr">
        <is>
          <t>Size or product option guide for God Says I Am Christian Bedding Set</t>
        </is>
      </c>
      <c r="P66" s="2" t="inlineStr">
        <is>
          <t>FULL</t>
        </is>
      </c>
      <c r="Q66" s="2" t="inlineStr">
        <is>
          <t>PARTIAL</t>
        </is>
      </c>
      <c r="R66" s="2" t="inlineStr">
        <is>
          <t>PARTIAL</t>
        </is>
      </c>
      <c r="S66" s="2" t="inlineStr">
        <is>
          <t>FULL</t>
        </is>
      </c>
      <c r="T66" s="5">
        <f>IF(P66="FULL",40,IF(P66="PARTIAL",40/2,0))+IF(Q66="FULL",30,IF(Q66="PARTIAL",30/2,0))+IF(R66="FULL",20,IF(R66="PARTIAL",20/2,0))+IF(S66="FULL",10,IF(S66="PARTIAL",10/2,0))</f>
        <v/>
      </c>
      <c r="U66" s="5">
        <f>IF(P66="NOT_CHECKED",0,40)+IF(Q66="NOT_CHECKED",0,30)+IF(R66="NOT_CHECKED",0,20)+IF(S66="NOT_CHECKED",0,10)</f>
        <v/>
      </c>
      <c r="V66" s="5">
        <f>IF(U66=100,T66,"")</f>
        <v/>
      </c>
      <c r="W66" s="5">
        <f>T66</f>
        <v/>
      </c>
      <c r="X66" s="5">
        <f>T66+(100-U66)</f>
        <v/>
      </c>
      <c r="Y66" s="2" t="inlineStr">
        <is>
          <t>["R2-ISS-010-IMG-08"]</t>
        </is>
      </c>
      <c r="Z66" s="2" t="inlineStr">
        <is>
          <t>["seo_runs\\jeminise.com\\20260906_234129\\evidence\\images\\10_christian-bedding-set-inspirational-bible-verse-comforte-design-01\\image_08_47933838196935.jpg; seo_runs\\jeminise.com\\20260906_234129\\evidence\\contact_sheets\\10_christian-bedding-set-inspirational-bible-verse-comforte-design-01.jpg", "https://jeminise.com/products/christian-bedding-set-inspirational-bible-verse-comforte-design-01", "https://cdn.shopify.com/s/files/1/0792/5098/1063/files/d6b8438a259ef28ba839a68ba108f40464bc9629b0bc2168779fc7776c9cbffa.jpg?v=1787237695"]</t>
        </is>
      </c>
    </row>
  </sheetData>
  <autoFilter ref="A1:Z66"/>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 xmlns:r="http://schemas.openxmlformats.org/officeDocument/2006/relationships" ref="C22" r:id="rId41"/>
    <hyperlink xmlns:r="http://schemas.openxmlformats.org/officeDocument/2006/relationships" ref="D22" r:id="rId42"/>
    <hyperlink xmlns:r="http://schemas.openxmlformats.org/officeDocument/2006/relationships" ref="C23" r:id="rId43"/>
    <hyperlink xmlns:r="http://schemas.openxmlformats.org/officeDocument/2006/relationships" ref="D23" r:id="rId44"/>
    <hyperlink xmlns:r="http://schemas.openxmlformats.org/officeDocument/2006/relationships" ref="C24" r:id="rId45"/>
    <hyperlink xmlns:r="http://schemas.openxmlformats.org/officeDocument/2006/relationships" ref="D24" r:id="rId46"/>
    <hyperlink xmlns:r="http://schemas.openxmlformats.org/officeDocument/2006/relationships" ref="C25" r:id="rId47"/>
    <hyperlink xmlns:r="http://schemas.openxmlformats.org/officeDocument/2006/relationships" ref="D25" r:id="rId48"/>
    <hyperlink xmlns:r="http://schemas.openxmlformats.org/officeDocument/2006/relationships" ref="C26" r:id="rId49"/>
    <hyperlink xmlns:r="http://schemas.openxmlformats.org/officeDocument/2006/relationships" ref="D26" r:id="rId50"/>
    <hyperlink xmlns:r="http://schemas.openxmlformats.org/officeDocument/2006/relationships" ref="C27" r:id="rId51"/>
    <hyperlink xmlns:r="http://schemas.openxmlformats.org/officeDocument/2006/relationships" ref="D27" r:id="rId52"/>
    <hyperlink xmlns:r="http://schemas.openxmlformats.org/officeDocument/2006/relationships" ref="C28" r:id="rId53"/>
    <hyperlink xmlns:r="http://schemas.openxmlformats.org/officeDocument/2006/relationships" ref="D28" r:id="rId54"/>
    <hyperlink xmlns:r="http://schemas.openxmlformats.org/officeDocument/2006/relationships" ref="C29" r:id="rId55"/>
    <hyperlink xmlns:r="http://schemas.openxmlformats.org/officeDocument/2006/relationships" ref="D29" r:id="rId56"/>
    <hyperlink xmlns:r="http://schemas.openxmlformats.org/officeDocument/2006/relationships" ref="C30" r:id="rId57"/>
    <hyperlink xmlns:r="http://schemas.openxmlformats.org/officeDocument/2006/relationships" ref="D30" r:id="rId58"/>
    <hyperlink xmlns:r="http://schemas.openxmlformats.org/officeDocument/2006/relationships" ref="C31" r:id="rId59"/>
    <hyperlink xmlns:r="http://schemas.openxmlformats.org/officeDocument/2006/relationships" ref="D31" r:id="rId60"/>
    <hyperlink xmlns:r="http://schemas.openxmlformats.org/officeDocument/2006/relationships" ref="C32" r:id="rId61"/>
    <hyperlink xmlns:r="http://schemas.openxmlformats.org/officeDocument/2006/relationships" ref="D32" r:id="rId62"/>
    <hyperlink xmlns:r="http://schemas.openxmlformats.org/officeDocument/2006/relationships" ref="C33" r:id="rId63"/>
    <hyperlink xmlns:r="http://schemas.openxmlformats.org/officeDocument/2006/relationships" ref="D33" r:id="rId64"/>
    <hyperlink xmlns:r="http://schemas.openxmlformats.org/officeDocument/2006/relationships" ref="C34" r:id="rId65"/>
    <hyperlink xmlns:r="http://schemas.openxmlformats.org/officeDocument/2006/relationships" ref="D34" r:id="rId66"/>
    <hyperlink xmlns:r="http://schemas.openxmlformats.org/officeDocument/2006/relationships" ref="C35" r:id="rId67"/>
    <hyperlink xmlns:r="http://schemas.openxmlformats.org/officeDocument/2006/relationships" ref="D35" r:id="rId68"/>
    <hyperlink xmlns:r="http://schemas.openxmlformats.org/officeDocument/2006/relationships" ref="C36" r:id="rId69"/>
    <hyperlink xmlns:r="http://schemas.openxmlformats.org/officeDocument/2006/relationships" ref="D36" r:id="rId70"/>
    <hyperlink xmlns:r="http://schemas.openxmlformats.org/officeDocument/2006/relationships" ref="C37" r:id="rId71"/>
    <hyperlink xmlns:r="http://schemas.openxmlformats.org/officeDocument/2006/relationships" ref="D37" r:id="rId72"/>
    <hyperlink xmlns:r="http://schemas.openxmlformats.org/officeDocument/2006/relationships" ref="C38" r:id="rId73"/>
    <hyperlink xmlns:r="http://schemas.openxmlformats.org/officeDocument/2006/relationships" ref="D38" r:id="rId74"/>
    <hyperlink xmlns:r="http://schemas.openxmlformats.org/officeDocument/2006/relationships" ref="C39" r:id="rId75"/>
    <hyperlink xmlns:r="http://schemas.openxmlformats.org/officeDocument/2006/relationships" ref="D39" r:id="rId76"/>
    <hyperlink xmlns:r="http://schemas.openxmlformats.org/officeDocument/2006/relationships" ref="C40" r:id="rId77"/>
    <hyperlink xmlns:r="http://schemas.openxmlformats.org/officeDocument/2006/relationships" ref="D40" r:id="rId78"/>
    <hyperlink xmlns:r="http://schemas.openxmlformats.org/officeDocument/2006/relationships" ref="C41" r:id="rId79"/>
    <hyperlink xmlns:r="http://schemas.openxmlformats.org/officeDocument/2006/relationships" ref="D41" r:id="rId80"/>
    <hyperlink xmlns:r="http://schemas.openxmlformats.org/officeDocument/2006/relationships" ref="C42" r:id="rId81"/>
    <hyperlink xmlns:r="http://schemas.openxmlformats.org/officeDocument/2006/relationships" ref="D42" r:id="rId82"/>
    <hyperlink xmlns:r="http://schemas.openxmlformats.org/officeDocument/2006/relationships" ref="C43" r:id="rId83"/>
    <hyperlink xmlns:r="http://schemas.openxmlformats.org/officeDocument/2006/relationships" ref="D43" r:id="rId84"/>
    <hyperlink xmlns:r="http://schemas.openxmlformats.org/officeDocument/2006/relationships" ref="C44" r:id="rId85"/>
    <hyperlink xmlns:r="http://schemas.openxmlformats.org/officeDocument/2006/relationships" ref="D44" r:id="rId86"/>
    <hyperlink xmlns:r="http://schemas.openxmlformats.org/officeDocument/2006/relationships" ref="C45" r:id="rId87"/>
    <hyperlink xmlns:r="http://schemas.openxmlformats.org/officeDocument/2006/relationships" ref="D45" r:id="rId88"/>
    <hyperlink xmlns:r="http://schemas.openxmlformats.org/officeDocument/2006/relationships" ref="C46" r:id="rId89"/>
    <hyperlink xmlns:r="http://schemas.openxmlformats.org/officeDocument/2006/relationships" ref="D46" r:id="rId90"/>
    <hyperlink xmlns:r="http://schemas.openxmlformats.org/officeDocument/2006/relationships" ref="C47" r:id="rId91"/>
    <hyperlink xmlns:r="http://schemas.openxmlformats.org/officeDocument/2006/relationships" ref="D47" r:id="rId92"/>
    <hyperlink xmlns:r="http://schemas.openxmlformats.org/officeDocument/2006/relationships" ref="C48" r:id="rId93"/>
    <hyperlink xmlns:r="http://schemas.openxmlformats.org/officeDocument/2006/relationships" ref="D48" r:id="rId94"/>
    <hyperlink xmlns:r="http://schemas.openxmlformats.org/officeDocument/2006/relationships" ref="C49" r:id="rId95"/>
    <hyperlink xmlns:r="http://schemas.openxmlformats.org/officeDocument/2006/relationships" ref="D49" r:id="rId96"/>
    <hyperlink xmlns:r="http://schemas.openxmlformats.org/officeDocument/2006/relationships" ref="C50" r:id="rId97"/>
    <hyperlink xmlns:r="http://schemas.openxmlformats.org/officeDocument/2006/relationships" ref="D50" r:id="rId98"/>
    <hyperlink xmlns:r="http://schemas.openxmlformats.org/officeDocument/2006/relationships" ref="C51" r:id="rId99"/>
    <hyperlink xmlns:r="http://schemas.openxmlformats.org/officeDocument/2006/relationships" ref="D51" r:id="rId100"/>
    <hyperlink xmlns:r="http://schemas.openxmlformats.org/officeDocument/2006/relationships" ref="C52" r:id="rId101"/>
    <hyperlink xmlns:r="http://schemas.openxmlformats.org/officeDocument/2006/relationships" ref="D52" r:id="rId102"/>
    <hyperlink xmlns:r="http://schemas.openxmlformats.org/officeDocument/2006/relationships" ref="C53" r:id="rId103"/>
    <hyperlink xmlns:r="http://schemas.openxmlformats.org/officeDocument/2006/relationships" ref="D53" r:id="rId104"/>
    <hyperlink xmlns:r="http://schemas.openxmlformats.org/officeDocument/2006/relationships" ref="C54" r:id="rId105"/>
    <hyperlink xmlns:r="http://schemas.openxmlformats.org/officeDocument/2006/relationships" ref="D54" r:id="rId106"/>
    <hyperlink xmlns:r="http://schemas.openxmlformats.org/officeDocument/2006/relationships" ref="C55" r:id="rId107"/>
    <hyperlink xmlns:r="http://schemas.openxmlformats.org/officeDocument/2006/relationships" ref="D55" r:id="rId108"/>
    <hyperlink xmlns:r="http://schemas.openxmlformats.org/officeDocument/2006/relationships" ref="C56" r:id="rId109"/>
    <hyperlink xmlns:r="http://schemas.openxmlformats.org/officeDocument/2006/relationships" ref="D56" r:id="rId110"/>
    <hyperlink xmlns:r="http://schemas.openxmlformats.org/officeDocument/2006/relationships" ref="C57" r:id="rId111"/>
    <hyperlink xmlns:r="http://schemas.openxmlformats.org/officeDocument/2006/relationships" ref="D57" r:id="rId112"/>
    <hyperlink xmlns:r="http://schemas.openxmlformats.org/officeDocument/2006/relationships" ref="C58" r:id="rId113"/>
    <hyperlink xmlns:r="http://schemas.openxmlformats.org/officeDocument/2006/relationships" ref="D58" r:id="rId114"/>
    <hyperlink xmlns:r="http://schemas.openxmlformats.org/officeDocument/2006/relationships" ref="C59" r:id="rId115"/>
    <hyperlink xmlns:r="http://schemas.openxmlformats.org/officeDocument/2006/relationships" ref="D59" r:id="rId116"/>
    <hyperlink xmlns:r="http://schemas.openxmlformats.org/officeDocument/2006/relationships" ref="C60" r:id="rId117"/>
    <hyperlink xmlns:r="http://schemas.openxmlformats.org/officeDocument/2006/relationships" ref="D60" r:id="rId118"/>
    <hyperlink xmlns:r="http://schemas.openxmlformats.org/officeDocument/2006/relationships" ref="C61" r:id="rId119"/>
    <hyperlink xmlns:r="http://schemas.openxmlformats.org/officeDocument/2006/relationships" ref="D61" r:id="rId120"/>
    <hyperlink xmlns:r="http://schemas.openxmlformats.org/officeDocument/2006/relationships" ref="C62" r:id="rId121"/>
    <hyperlink xmlns:r="http://schemas.openxmlformats.org/officeDocument/2006/relationships" ref="D62" r:id="rId122"/>
    <hyperlink xmlns:r="http://schemas.openxmlformats.org/officeDocument/2006/relationships" ref="C63" r:id="rId123"/>
    <hyperlink xmlns:r="http://schemas.openxmlformats.org/officeDocument/2006/relationships" ref="D63" r:id="rId124"/>
    <hyperlink xmlns:r="http://schemas.openxmlformats.org/officeDocument/2006/relationships" ref="C64" r:id="rId125"/>
    <hyperlink xmlns:r="http://schemas.openxmlformats.org/officeDocument/2006/relationships" ref="D64" r:id="rId126"/>
    <hyperlink xmlns:r="http://schemas.openxmlformats.org/officeDocument/2006/relationships" ref="C65" r:id="rId127"/>
    <hyperlink xmlns:r="http://schemas.openxmlformats.org/officeDocument/2006/relationships" ref="D65" r:id="rId128"/>
    <hyperlink xmlns:r="http://schemas.openxmlformats.org/officeDocument/2006/relationships" ref="C66" r:id="rId129"/>
    <hyperlink xmlns:r="http://schemas.openxmlformats.org/officeDocument/2006/relationships" ref="D66" r:id="rId130"/>
  </hyperlinks>
  <printOptions horizontalCentered="0"/>
  <pageMargins left="0.25" right="0.25" top="0.5" bottom="0.5" header="0.5" footer="0.5"/>
  <pageSetup orientation="landscape" fitToHeight="0" fitToWidth="3"/>
</worksheet>
</file>

<file path=xl/worksheets/sheet5.xml><?xml version="1.0" encoding="utf-8"?>
<worksheet xmlns="http://schemas.openxmlformats.org/spreadsheetml/2006/main">
  <sheetPr>
    <outlinePr summaryBelow="1" summaryRight="1"/>
    <pageSetUpPr fitToPage="1"/>
  </sheetPr>
  <dimension ref="A1:K66"/>
  <sheetViews>
    <sheetView showGridLines="0" workbookViewId="0">
      <pane ySplit="1" topLeftCell="A2" activePane="bottomLeft" state="frozen"/>
      <selection pane="bottomLeft" activeCell="A1" sqref="A1"/>
    </sheetView>
  </sheetViews>
  <sheetFormatPr baseColWidth="8" defaultRowHeight="15"/>
  <cols>
    <col width="24" customWidth="1" min="1" max="1"/>
    <col width="42" customWidth="1" min="2" max="2"/>
    <col width="20" customWidth="1" min="3" max="3"/>
    <col width="20" customWidth="1" min="4" max="4"/>
    <col width="24" customWidth="1" min="5" max="5"/>
    <col width="42" customWidth="1" min="6" max="6"/>
    <col width="42" customWidth="1" min="7" max="7"/>
    <col width="42" customWidth="1" min="8" max="8"/>
    <col width="42" customWidth="1" min="9" max="9"/>
    <col width="42" customWidth="1" min="10" max="10"/>
    <col width="42" customWidth="1" min="11" max="11"/>
  </cols>
  <sheetData>
    <row r="1" ht="32" customHeight="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row>
    <row r="2" ht="84" customHeight="1">
      <c r="A2" s="2" t="inlineStr">
        <is>
          <t>R2-ISS-001-IMG-05</t>
        </is>
      </c>
      <c r="B2" s="2" t="inlineStr">
        <is>
          <t>jeminise.com+autumn-cardinals-perched-above-large-sunflowers-quilt-with-cardinal-birds-9a3b408b20-9a3b408b20</t>
        </is>
      </c>
      <c r="C2" s="2" t="inlineStr">
        <is>
          <t>qaimg_8a56044406ccfa03</t>
        </is>
      </c>
      <c r="D2" s="2" t="inlineStr">
        <is>
          <t>MINOR</t>
        </is>
      </c>
      <c r="E2" s="2" t="inlineStr">
        <is>
          <t>image_observation/alt_effective</t>
        </is>
      </c>
      <c r="F2" s="2" t="inlineStr">
        <is>
          <t>Sizing or included-components information image for the bedding set. | Size guide for Cardinal Sunflower Patchwork Quilt Set</t>
        </is>
      </c>
      <c r="G2" s="2" t="inlineStr">
        <is>
          <t>Included-components and dimensions graphic: one quilt; two standard shams are optional; Throw/Twin/Queen/King sizes shown.</t>
        </is>
      </c>
      <c r="H2" s="2" t="inlineStr">
        <is>
          <t>Alt/observation r2 still does not identify the exact scene or information panel opened during re-QA.</t>
        </is>
      </c>
      <c r="I2" s="2" t="inlineStr">
        <is>
          <t>Cardinal sunflower quilt size and optional sham guide</t>
        </is>
      </c>
      <c r="J2"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 https://jeminise.com/products/autumn-cardinals-perched-above-large-sunflowers-quilt-with-cardinal-birds-9a3b408b20-9a3b408b20; https://cdn.shopify.com/s/files/1/0792/5098/1063/files/f17ccb354040b3320b99a1960533bd6ef949db1145d3897d55a33673489caad9.jpg?v=1785099190</t>
        </is>
      </c>
      <c r="K2" s="2" t="inlineStr">
        <is>
          <t>Open the original image and confirm the revised alt matches the exact scene and visible text.</t>
        </is>
      </c>
    </row>
    <row r="3" ht="84" customHeight="1">
      <c r="A3" s="3" t="inlineStr">
        <is>
          <t>R2-ISS-002-IMG-02</t>
        </is>
      </c>
      <c r="B3" s="3" t="inlineStr">
        <is>
          <t>jeminise.com+bright-teal-yellow-softball-comforter-set-premium-sports-theme</t>
        </is>
      </c>
      <c r="C3" s="3" t="inlineStr">
        <is>
          <t>qaimg_e4eff0625849f778</t>
        </is>
      </c>
      <c r="D3" s="3" t="inlineStr">
        <is>
          <t>MAJOR</t>
        </is>
      </c>
      <c r="E3" s="3" t="inlineStr">
        <is>
          <t>image_observation/alt_effective</t>
        </is>
      </c>
      <c r="F3" s="3" t="inlineStr">
        <is>
          <t>Secondary detail or room mockup showing softball patchwork in teal, black and white with player silhouettes and text and visible quilted/printed texture. | Close view of softball patchwork in teal, black and white with player silhouettes and text on the comforter set</t>
        </is>
      </c>
      <c r="G3" s="3" t="inlineStr">
        <is>
          <t>Angled bedroom mockup of the same softball comforter design.</t>
        </is>
      </c>
      <c r="H3" s="3" t="inlineStr">
        <is>
          <t>Alt/observation r2 still does not identify the exact scene or information panel opened during re-QA.</t>
        </is>
      </c>
      <c r="I3" s="3" t="inlineStr">
        <is>
          <t>Teal softball comforter set in an angled bedroom view</t>
        </is>
      </c>
      <c r="J3" s="3" t="inlineStr">
        <is>
          <t>seo_runs\jeminise.com\20260906_234129\evidence\images\2_bright-teal-yellow-softball-comforter-set-premium-sports-theme\image_02_47934735941831.jpg; seo_runs\jeminise.com\20260906_234129\evidence\contact_sheets\2_bright-teal-yellow-softball-comforter-set-premium-sports-theme.jpg; https://jeminise.com/products/bright-teal-yellow-softball-comforter-set-premium-sports-theme; https://cdn.shopify.com/s/files/1/0792/5098/1063/files/b4d8d185bcbb550263dadfadb3419fffc97f4c44e070091e393e7296e5d6fb3c.jpg?v=1787245111</t>
        </is>
      </c>
      <c r="K3" s="3" t="inlineStr">
        <is>
          <t>Open the original image and confirm the revised alt matches the exact scene and visible text.</t>
        </is>
      </c>
    </row>
    <row r="4" ht="84" customHeight="1">
      <c r="A4" s="2" t="inlineStr">
        <is>
          <t>R2-ISS-002-IMG-04</t>
        </is>
      </c>
      <c r="B4" s="2" t="inlineStr">
        <is>
          <t>jeminise.com+bright-teal-yellow-softball-comforter-set-premium-sports-theme</t>
        </is>
      </c>
      <c r="C4" s="2" t="inlineStr">
        <is>
          <t>qaimg_e39a0722bea43dc5</t>
        </is>
      </c>
      <c r="D4" s="2" t="inlineStr">
        <is>
          <t>MAJOR</t>
        </is>
      </c>
      <c r="E4" s="2" t="inlineStr">
        <is>
          <t>image_observation/alt_effective</t>
        </is>
      </c>
      <c r="F4" s="2" t="inlineStr">
        <is>
          <t>Room/folded product or fabric information image tied to the softball patchwork in teal, black and white with player silhouettes and text design. | Bright Teal Softball Comforter Set shown in a bedroom setting</t>
        </is>
      </c>
      <c r="G4" s="2" t="inlineStr">
        <is>
          <t>Folded comforter showing the printed face and plain white reverse.</t>
        </is>
      </c>
      <c r="H4" s="2" t="inlineStr">
        <is>
          <t>Alt/observation r2 still does not identify the exact scene or information panel opened during re-QA.</t>
        </is>
      </c>
      <c r="I4" s="2" t="inlineStr">
        <is>
          <t>Folded teal softball comforter showing the white reverse</t>
        </is>
      </c>
      <c r="J4" s="2" t="inlineStr">
        <is>
          <t>seo_runs\jeminise.com\20260906_234129\evidence\images\2_bright-teal-yellow-softball-comforter-set-premium-sports-theme\image_04_47934736007367.jpg; seo_runs\jeminise.com\20260906_234129\evidence\contact_sheets\2_bright-teal-yellow-softball-comforter-set-premium-sports-theme.jpg; https://jeminise.com/products/bright-teal-yellow-softball-comforter-set-premium-sports-theme; https://cdn.shopify.com/s/files/1/0792/5098/1063/files/66e753b90ce33322bda9902192b0d181e5f65b4823b1464fb51d32bee82398ed.jpg?v=1787245111</t>
        </is>
      </c>
      <c r="K4" s="2" t="inlineStr">
        <is>
          <t>Open the original image and confirm the revised alt matches the exact scene and visible text.</t>
        </is>
      </c>
    </row>
    <row r="5" ht="84" customHeight="1">
      <c r="A5" s="3" t="inlineStr">
        <is>
          <t>R2-ISS-002-IMG-05</t>
        </is>
      </c>
      <c r="B5" s="3" t="inlineStr">
        <is>
          <t>jeminise.com+bright-teal-yellow-softball-comforter-set-premium-sports-theme</t>
        </is>
      </c>
      <c r="C5" s="3" t="inlineStr">
        <is>
          <t>qaimg_d6033fe2a892182c</t>
        </is>
      </c>
      <c r="D5" s="3" t="inlineStr">
        <is>
          <t>MAJOR</t>
        </is>
      </c>
      <c r="E5" s="3" t="inlineStr">
        <is>
          <t>image_observation/alt_effective</t>
        </is>
      </c>
      <c r="F5" s="3" t="inlineStr">
        <is>
          <t>Sizing or included-components information image for the bedding set. | Size guide for Bright Teal Softball Comforter Set</t>
        </is>
      </c>
      <c r="G5" s="3" t="inlineStr">
        <is>
          <t>Close-up comparing the plain reverse with the printed face; no size chart is present.</t>
        </is>
      </c>
      <c r="H5" s="3" t="inlineStr">
        <is>
          <t>Alt/observation r2 still does not identify the exact scene or information panel opened during re-QA.</t>
        </is>
      </c>
      <c r="I5" s="3" t="inlineStr">
        <is>
          <t>Close-up of teal softball comforter print and white reverse</t>
        </is>
      </c>
      <c r="J5" s="3" t="inlineStr">
        <is>
          <t>seo_runs\jeminise.com\20260906_234129\evidence\images\2_bright-teal-yellow-softball-comforter-set-premium-sports-theme\image_05_47934736040135.jpg; seo_runs\jeminise.com\20260906_234129\evidence\contact_sheets\2_bright-teal-yellow-softball-comforter-set-premium-sports-theme.jpg; https://jeminise.com/products/bright-teal-yellow-softball-comforter-set-premium-sports-theme; https://cdn.shopify.com/s/files/1/0792/5098/1063/files/a8d8145d1b6e7b4bbc3eb1dc71a100a3f3243648810f40f7f678de166dbfd428.jpg?v=1787245111</t>
        </is>
      </c>
      <c r="K5" s="3" t="inlineStr">
        <is>
          <t>Open the original image and confirm the revised alt matches the exact scene and visible text.</t>
        </is>
      </c>
    </row>
    <row r="6" ht="84" customHeight="1">
      <c r="A6" s="2" t="inlineStr">
        <is>
          <t>R2-ISS-002-IMG-07</t>
        </is>
      </c>
      <c r="B6" s="2" t="inlineStr">
        <is>
          <t>jeminise.com+bright-teal-yellow-softball-comforter-set-premium-sports-theme</t>
        </is>
      </c>
      <c r="C6" s="2" t="inlineStr">
        <is>
          <t>qaimg_f68e96fb788aa5d7</t>
        </is>
      </c>
      <c r="D6" s="2" t="inlineStr">
        <is>
          <t>MAJOR</t>
        </is>
      </c>
      <c r="E6" s="2" t="inlineStr">
        <is>
          <t>image_observation/alt_effective</t>
        </is>
      </c>
      <c r="F6" s="2" t="inlineStr">
        <is>
          <t>Additional bedroom mockup showing the softball patchwork in teal, black and white with player silhouettes and text design on a bed. | Bedroom mockup of Bright Teal Softball Comforter Set</t>
        </is>
      </c>
      <c r="G6" s="2" t="inlineStr">
        <is>
          <t>Included-components graphic stating one comforter and two pillowcases included.</t>
        </is>
      </c>
      <c r="H6" s="2" t="inlineStr">
        <is>
          <t>Alt/observation r2 still does not identify the exact scene or information panel opened during re-QA.</t>
        </is>
      </c>
      <c r="I6" s="2" t="inlineStr">
        <is>
          <t>Teal softball comforter set with two included pillowcases</t>
        </is>
      </c>
      <c r="J6" s="2" t="inlineStr">
        <is>
          <t>seo_runs\jeminise.com\20260906_234129\evidence\images\2_bright-teal-yellow-softball-comforter-set-premium-sports-theme\image_07_47934736105671.jpg; seo_runs\jeminise.com\20260906_234129\evidence\contact_sheets\2_bright-teal-yellow-softball-comforter-set-premium-sports-theme.jpg; https://jeminise.com/products/bright-teal-yellow-softball-comforter-set-premium-sports-theme; https://cdn.shopify.com/s/files/1/0792/5098/1063/files/a0ebf0c8e5cb1f2c8f924529805ea1d20494460dd41a740514b8862f5d5a2f4f_b03a920f-a52a-4b39-842e-77c13ca56137.jpg?v=1787245111</t>
        </is>
      </c>
      <c r="K6" s="2" t="inlineStr">
        <is>
          <t>Open the original image and confirm the revised alt matches the exact scene and visible text.</t>
        </is>
      </c>
    </row>
    <row r="7" ht="84" customHeight="1">
      <c r="A7" s="3" t="inlineStr">
        <is>
          <t>R2-ISS-003-IMG-05</t>
        </is>
      </c>
      <c r="B7" s="3" t="inlineStr">
        <is>
          <t>jeminise.com+cardinals-perched-beside-decorated-christmas-tree-patchwork-winter-quilt-7cd7bc46a0-7cd7bc46a0</t>
        </is>
      </c>
      <c r="C7" s="3" t="inlineStr">
        <is>
          <t>qaimg_5ee8cd8c5a75c19e</t>
        </is>
      </c>
      <c r="D7" s="3" t="inlineStr">
        <is>
          <t>MINOR</t>
        </is>
      </c>
      <c r="E7" s="3" t="inlineStr">
        <is>
          <t>image_observation/alt_effective</t>
        </is>
      </c>
      <c r="F7" s="3" t="inlineStr">
        <is>
          <t>Sizing or included-components information image for the bedding set. | Size guide for Cardinal Christmas Memorial Patchwork Quilt</t>
        </is>
      </c>
      <c r="G7" s="3" t="inlineStr">
        <is>
          <t>Included-components and dimensions graphic for the quilt and optional shams.</t>
        </is>
      </c>
      <c r="H7" s="3" t="inlineStr">
        <is>
          <t>Alt/observation r2 still does not identify the exact scene or information panel opened during re-QA.</t>
        </is>
      </c>
      <c r="I7" s="3" t="inlineStr">
        <is>
          <t>Christmas cardinal quilt size and optional sham guide</t>
        </is>
      </c>
      <c r="J7" s="3"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 https://jeminise.com/products/cardinals-perched-beside-decorated-christmas-tree-patchwork-winter-quilt-7cd7bc46a0-7cd7bc46a0; https://cdn.shopify.com/s/files/1/0792/5098/1063/files/61192968c1230d5ae97babcfd885b0b0e273f4d893aaaf63a91706f8a569a358.jpg?v=1785099109</t>
        </is>
      </c>
      <c r="K7" s="3" t="inlineStr">
        <is>
          <t>Open the original image and confirm the revised alt matches the exact scene and visible text.</t>
        </is>
      </c>
    </row>
    <row r="8" ht="84" customHeight="1">
      <c r="A8" s="2" t="inlineStr">
        <is>
          <t>R2-ISS-004-IMG-05</t>
        </is>
      </c>
      <c r="B8" s="2" t="inlineStr">
        <is>
          <t>jeminise.com+cardinals-perched-on-branch-with-roses-patchwork-winter-quilt-21ac904cd7-21ac904cd7</t>
        </is>
      </c>
      <c r="C8" s="2" t="inlineStr">
        <is>
          <t>qaimg_71cd069a035cbcd3</t>
        </is>
      </c>
      <c r="D8" s="2" t="inlineStr">
        <is>
          <t>MINOR</t>
        </is>
      </c>
      <c r="E8" s="2" t="inlineStr">
        <is>
          <t>image_observation/alt_effective</t>
        </is>
      </c>
      <c r="F8" s="2" t="inlineStr">
        <is>
          <t>Sizing or included-components information image for the bedding set. | Size guide for Cardinal and Roses Memorial Quilt Set</t>
        </is>
      </c>
      <c r="G8" s="2" t="inlineStr">
        <is>
          <t>Included-components and dimensions graphic for the quilt and optional shams.</t>
        </is>
      </c>
      <c r="H8" s="2" t="inlineStr">
        <is>
          <t>Alt/observation r2 still does not identify the exact scene or information panel opened during re-QA.</t>
        </is>
      </c>
      <c r="I8" s="2" t="inlineStr">
        <is>
          <t>Cardinal and roses quilt size and optional sham guide</t>
        </is>
      </c>
      <c r="J8"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 https://jeminise.com/products/cardinals-perched-on-branch-with-roses-patchwork-winter-quilt-21ac904cd7-21ac904cd7; https://cdn.shopify.com/s/files/1/0792/5098/1063/files/1cb933b580b777ff9fc7d527ca0ea879bde39d1f8b7faaac1505885401cf4b7b.jpg?v=1785099574</t>
        </is>
      </c>
      <c r="K8" s="2" t="inlineStr">
        <is>
          <t>Open the original image and confirm the revised alt matches the exact scene and visible text.</t>
        </is>
      </c>
    </row>
    <row r="9" ht="84" customHeight="1">
      <c r="A9" s="3" t="inlineStr">
        <is>
          <t>R2-ISS-005-IMG-02</t>
        </is>
      </c>
      <c r="B9" s="3" t="inlineStr">
        <is>
          <t>jeminise.com+cat-patchwork-quilt-set-animal-pattern-bedding-cat-pattern-quilt-set</t>
        </is>
      </c>
      <c r="C9" s="3" t="inlineStr">
        <is>
          <t>qaimg_9c314e0a1d7d0ddc</t>
        </is>
      </c>
      <c r="D9" s="3" t="inlineStr">
        <is>
          <t>MAJOR</t>
        </is>
      </c>
      <c r="E9" s="3" t="inlineStr">
        <is>
          <t>image_observation/alt_effective</t>
        </is>
      </c>
      <c r="F9" s="3" t="inlineStr">
        <is>
          <t>Secondary detail or room mockup showing large colorful cat face in patchwork blocks and visible quilted/printed texture. | Close view of large colorful cat face in patchwork blocks on the quilt set</t>
        </is>
      </c>
      <c r="G9" s="3" t="inlineStr">
        <is>
          <t>Bedroom/feature graphic with premium print, no fading and skin-friendly callouts.</t>
        </is>
      </c>
      <c r="H9" s="3" t="inlineStr">
        <is>
          <t>Alt/observation r2 still does not identify the exact scene or information panel opened during re-QA.</t>
        </is>
      </c>
      <c r="I9" s="3" t="inlineStr">
        <is>
          <t>Colorful cat quilt with print and fabric feature callouts</t>
        </is>
      </c>
      <c r="J9" s="3" t="inlineStr">
        <is>
          <t>seo_runs\jeminise.com\20260906_234129\evidence\images\5_cat-patchwork-quilt-set-animal-pattern-bedding-cat-pattern-quilt-set\image_02_47933460381895.jpg; seo_runs\jeminise.com\20260906_234129\evidence\contact_sheets\5_cat-patchwork-quilt-set-animal-pattern-bedding-cat-pattern-quilt-set.jpg; https://jeminise.com/products/cat-patchwork-quilt-set-animal-pattern-bedding-cat-pattern-quilt-set; https://cdn.shopify.com/s/files/1/0792/5098/1063/files/94180d9f213d8233e384ef8416ec958afd6fe38eeda43d032fd598d852a3a274.jpg?v=1787233665</t>
        </is>
      </c>
      <c r="K9" s="3" t="inlineStr">
        <is>
          <t>Open the original image and confirm the revised alt matches the exact scene and visible text.</t>
        </is>
      </c>
    </row>
    <row r="10" ht="84" customHeight="1">
      <c r="A10" s="2" t="inlineStr">
        <is>
          <t>R2-ISS-005-IMG-03</t>
        </is>
      </c>
      <c r="B10" s="2" t="inlineStr">
        <is>
          <t>jeminise.com+cat-patchwork-quilt-set-animal-pattern-bedding-cat-pattern-quilt-set</t>
        </is>
      </c>
      <c r="C10" s="2" t="inlineStr">
        <is>
          <t>qaimg_8ee331aeea047210</t>
        </is>
      </c>
      <c r="D10" s="2" t="inlineStr">
        <is>
          <t>MINOR</t>
        </is>
      </c>
      <c r="E10" s="2" t="inlineStr">
        <is>
          <t>image_observation/alt_effective</t>
        </is>
      </c>
      <c r="F10" s="2" t="inlineStr">
        <is>
          <t>Matching pillow sham or bedding detail using the same large colorful cat face in patchwork blocks artwork. | Matching pillow sham for Colorful Cat Patchwork Quilt Set</t>
        </is>
      </c>
      <c r="G10" s="2" t="inlineStr">
        <is>
          <t>Pillow shams plus lightweight, soft, anti-pill and anti-static feature callouts.</t>
        </is>
      </c>
      <c r="H10" s="2" t="inlineStr">
        <is>
          <t>Alt/observation r2 still does not identify the exact scene or information panel opened during re-QA.</t>
        </is>
      </c>
      <c r="I10" s="2" t="inlineStr">
        <is>
          <t>Colorful cat pillow shams with lightweight fabric features</t>
        </is>
      </c>
      <c r="J10" s="2" t="inlineStr">
        <is>
          <t>seo_runs\jeminise.com\20260906_234129\evidence\images\5_cat-patchwork-quilt-set-animal-pattern-bedding-cat-pattern-quilt-set\image_03_47933460414663.jpg; seo_runs\jeminise.com\20260906_234129\evidence\contact_sheets\5_cat-patchwork-quilt-set-animal-pattern-bedding-cat-pattern-quilt-set.jpg; https://jeminise.com/products/cat-patchwork-quilt-set-animal-pattern-bedding-cat-pattern-quilt-set; https://cdn.shopify.com/s/files/1/0792/5098/1063/files/a98e42be7f34a03d4b9ee94c19374ef39f213c4ad9c5936eb702be120e072cb3.jpg?v=1787233666</t>
        </is>
      </c>
      <c r="K10" s="2" t="inlineStr">
        <is>
          <t>Open the original image and confirm the revised alt matches the exact scene and visible text.</t>
        </is>
      </c>
    </row>
    <row r="11" ht="84" customHeight="1">
      <c r="A11" s="3" t="inlineStr">
        <is>
          <t>R2-ISS-005-IMG-04</t>
        </is>
      </c>
      <c r="B11" s="3" t="inlineStr">
        <is>
          <t>jeminise.com+cat-patchwork-quilt-set-animal-pattern-bedding-cat-pattern-quilt-set</t>
        </is>
      </c>
      <c r="C11" s="3" t="inlineStr">
        <is>
          <t>qaimg_e489694ea785f60c</t>
        </is>
      </c>
      <c r="D11" s="3" t="inlineStr">
        <is>
          <t>MINOR</t>
        </is>
      </c>
      <c r="E11" s="3" t="inlineStr">
        <is>
          <t>image_observation/alt_effective</t>
        </is>
      </c>
      <c r="F11" s="3" t="inlineStr">
        <is>
          <t>Room/folded product or fabric information image tied to the large colorful cat face in patchwork blocks design. | Colorful Cat Patchwork Quilt Set shown in a bedroom setting</t>
        </is>
      </c>
      <c r="G11" s="3" t="inlineStr">
        <is>
          <t>All-season and fabric-quality feature graphic with a small bed mockup.</t>
        </is>
      </c>
      <c r="H11" s="3" t="inlineStr">
        <is>
          <t>Alt/observation r2 still does not identify the exact scene or information panel opened during re-QA.</t>
        </is>
      </c>
      <c r="I11" s="3" t="inlineStr">
        <is>
          <t>Colorful cat quilt all-season fabric feature graphic</t>
        </is>
      </c>
      <c r="J11" s="3" t="inlineStr">
        <is>
          <t>seo_runs\jeminise.com\20260906_234129\evidence\images\5_cat-patchwork-quilt-set-animal-pattern-bedding-cat-pattern-quilt-set\image_04_47933460447431.jpg; seo_runs\jeminise.com\20260906_234129\evidence\contact_sheets\5_cat-patchwork-quilt-set-animal-pattern-bedding-cat-pattern-quilt-set.jpg; https://jeminise.com/products/cat-patchwork-quilt-set-animal-pattern-bedding-cat-pattern-quilt-set; https://cdn.shopify.com/s/files/1/0792/5098/1063/files/06467b270df2093a70f746e873ebb0b88964a81ef45800624c02604fd1ec068a.jpg?v=1787233666</t>
        </is>
      </c>
      <c r="K11" s="3" t="inlineStr">
        <is>
          <t>Open the original image and confirm the revised alt matches the exact scene and visible text.</t>
        </is>
      </c>
    </row>
    <row r="12" ht="84" customHeight="1">
      <c r="A12" s="2" t="inlineStr">
        <is>
          <t>R2-ISS-006-IMG-02</t>
        </is>
      </c>
      <c r="B12" s="2" t="inlineStr">
        <is>
          <t>jeminise.com+cat-quilt-set-cat-patchwork-style-printed-bedding-animal-patchwork</t>
        </is>
      </c>
      <c r="C12" s="2" t="inlineStr">
        <is>
          <t>qaimg_58238be182b433d2</t>
        </is>
      </c>
      <c r="D12" s="2" t="inlineStr">
        <is>
          <t>MAJOR</t>
        </is>
      </c>
      <c r="E12" s="2" t="inlineStr">
        <is>
          <t>image_observation/alt_effective</t>
        </is>
      </c>
      <c r="F12" s="2" t="inlineStr">
        <is>
          <t>Secondary detail or room mockup showing sitting cat in geometric patchwork colors on beige leaf background and visible quilted/printed texture. | Close view of sitting cat in geometric patchwork colors on beige leaf background on the quilt set</t>
        </is>
      </c>
      <c r="G12" s="2" t="inlineStr">
        <is>
          <t>Bedroom/feature graphic with premium print, no fading and skin-friendly callouts.</t>
        </is>
      </c>
      <c r="H12" s="2" t="inlineStr">
        <is>
          <t>Alt/observation r2 still does not identify the exact scene or information panel opened during re-QA.</t>
        </is>
      </c>
      <c r="I12" s="2" t="inlineStr">
        <is>
          <t>Geometric cat quilt with print and fabric feature callouts</t>
        </is>
      </c>
      <c r="J12" s="2" t="inlineStr">
        <is>
          <t>seo_runs\jeminise.com\20260906_234129\evidence\images\6_cat-quilt-set-cat-patchwork-style-printed-bedding-animal-patchwork\image_02_47933461758151.jpg; seo_runs\jeminise.com\20260906_234129\evidence\contact_sheets\6_cat-quilt-set-cat-patchwork-style-printed-bedding-animal-patchwork.jpg; https://jeminise.com/products/cat-quilt-set-cat-patchwork-style-printed-bedding-animal-patchwork; https://cdn.shopify.com/s/files/1/0792/5098/1063/files/5fb11ab02ba6d7c7d6dc7b600952eeed36e59dc4fd7d78e26290c5b4432ce84a.jpg?v=1787233677</t>
        </is>
      </c>
      <c r="K12" s="2" t="inlineStr">
        <is>
          <t>Open the original image and confirm the revised alt matches the exact scene and visible text.</t>
        </is>
      </c>
    </row>
    <row r="13" ht="84" customHeight="1">
      <c r="A13" s="3" t="inlineStr">
        <is>
          <t>R2-ISS-006-IMG-03</t>
        </is>
      </c>
      <c r="B13" s="3" t="inlineStr">
        <is>
          <t>jeminise.com+cat-quilt-set-cat-patchwork-style-printed-bedding-animal-patchwork</t>
        </is>
      </c>
      <c r="C13" s="3" t="inlineStr">
        <is>
          <t>qaimg_38a990d7377750d0</t>
        </is>
      </c>
      <c r="D13" s="3" t="inlineStr">
        <is>
          <t>MINOR</t>
        </is>
      </c>
      <c r="E13" s="3" t="inlineStr">
        <is>
          <t>image_observation/alt_effective</t>
        </is>
      </c>
      <c r="F13" s="3" t="inlineStr">
        <is>
          <t>Matching pillow sham or bedding detail using the same sitting cat in geometric patchwork colors on beige leaf background artwork. | Matching pillow sham for Geometric Cat Patchwork Quilt Set</t>
        </is>
      </c>
      <c r="G13" s="3" t="inlineStr">
        <is>
          <t>Pillow shams plus lightweight, soft, anti-pill and anti-static feature callouts.</t>
        </is>
      </c>
      <c r="H13" s="3" t="inlineStr">
        <is>
          <t>Alt/observation r2 still does not identify the exact scene or information panel opened during re-QA.</t>
        </is>
      </c>
      <c r="I13" s="3" t="inlineStr">
        <is>
          <t>Geometric cat pillow shams with lightweight fabric features</t>
        </is>
      </c>
      <c r="J13" s="3" t="inlineStr">
        <is>
          <t>seo_runs\jeminise.com\20260906_234129\evidence\images\6_cat-quilt-set-cat-patchwork-style-printed-bedding-animal-patchwork\image_03_47933461790919.jpg; seo_runs\jeminise.com\20260906_234129\evidence\contact_sheets\6_cat-quilt-set-cat-patchwork-style-printed-bedding-animal-patchwork.jpg; https://jeminise.com/products/cat-quilt-set-cat-patchwork-style-printed-bedding-animal-patchwork; https://cdn.shopify.com/s/files/1/0792/5098/1063/files/016cba1137ec3b2b7bdd46e0d797a4962a5f54c2379fde509b2301ca87b4ad35.jpg?v=1787233678</t>
        </is>
      </c>
      <c r="K13" s="3" t="inlineStr">
        <is>
          <t>Open the original image and confirm the revised alt matches the exact scene and visible text.</t>
        </is>
      </c>
    </row>
    <row r="14" ht="84" customHeight="1">
      <c r="A14" s="2" t="inlineStr">
        <is>
          <t>R2-ISS-006-IMG-04</t>
        </is>
      </c>
      <c r="B14" s="2" t="inlineStr">
        <is>
          <t>jeminise.com+cat-quilt-set-cat-patchwork-style-printed-bedding-animal-patchwork</t>
        </is>
      </c>
      <c r="C14" s="2" t="inlineStr">
        <is>
          <t>qaimg_ea46fac1ea4531f6</t>
        </is>
      </c>
      <c r="D14" s="2" t="inlineStr">
        <is>
          <t>MINOR</t>
        </is>
      </c>
      <c r="E14" s="2" t="inlineStr">
        <is>
          <t>image_observation/alt_effective</t>
        </is>
      </c>
      <c r="F14" s="2" t="inlineStr">
        <is>
          <t>Room/folded product or fabric information image tied to the sitting cat in geometric patchwork colors on beige leaf background design. | Geometric Cat Patchwork Quilt Set shown in a bedroom setting</t>
        </is>
      </c>
      <c r="G14" s="2" t="inlineStr">
        <is>
          <t>All-season and fabric-quality feature graphic with a small bed mockup.</t>
        </is>
      </c>
      <c r="H14" s="2" t="inlineStr">
        <is>
          <t>Alt/observation r2 still does not identify the exact scene or information panel opened during re-QA.</t>
        </is>
      </c>
      <c r="I14" s="2" t="inlineStr">
        <is>
          <t>Geometric cat quilt all-season fabric feature graphic</t>
        </is>
      </c>
      <c r="J14" s="2" t="inlineStr">
        <is>
          <t>seo_runs\jeminise.com\20260906_234129\evidence\images\6_cat-quilt-set-cat-patchwork-style-printed-bedding-animal-patchwork\image_04_47933461823687.jpg; seo_runs\jeminise.com\20260906_234129\evidence\contact_sheets\6_cat-quilt-set-cat-patchwork-style-printed-bedding-animal-patchwork.jpg; https://jeminise.com/products/cat-quilt-set-cat-patchwork-style-printed-bedding-animal-patchwork; https://cdn.shopify.com/s/files/1/0792/5098/1063/files/f8cc70311d22e4bc770b45756e723f2451f8d0e3a5de4035dc223375ea6ac88e.jpg?v=1787233678</t>
        </is>
      </c>
      <c r="K14" s="2" t="inlineStr">
        <is>
          <t>Open the original image and confirm the revised alt matches the exact scene and visible text.</t>
        </is>
      </c>
    </row>
    <row r="15" ht="84" customHeight="1">
      <c r="A15" s="3" t="inlineStr">
        <is>
          <t>R2-ISS-007-IMG-02</t>
        </is>
      </c>
      <c r="B15" s="3" t="inlineStr">
        <is>
          <t>jeminise.com+celtic-and-fantasy-quilt-set-with-twisting-tree-trunk-and-exposed-roots-c7b1460bad-c7b1460bad</t>
        </is>
      </c>
      <c r="C15" s="3" t="inlineStr">
        <is>
          <t>qaimg_ffc42bf7184918e6</t>
        </is>
      </c>
      <c r="D15" s="3" t="inlineStr">
        <is>
          <t>MAJOR</t>
        </is>
      </c>
      <c r="E15" s="3" t="inlineStr">
        <is>
          <t>image_observation/alt_effective</t>
        </is>
      </c>
      <c r="F15" s="3" t="inlineStr">
        <is>
          <t>Secondary detail or room mockup showing twisting tree trunk with exposed roots and Celtic knot border and visible quilted/printed texture. | Close view of twisting tree trunk with exposed roots and Celtic knot border on the quilt set</t>
        </is>
      </c>
      <c r="G15" s="3" t="inlineStr">
        <is>
          <t>Bedroom/feature graphic with premium print, no fading and skin-friendly callouts.</t>
        </is>
      </c>
      <c r="H15" s="3" t="inlineStr">
        <is>
          <t>Alt/observation r2 still does not identify the exact scene or information panel opened during re-QA.</t>
        </is>
      </c>
      <c r="I15" s="3" t="inlineStr">
        <is>
          <t>Celtic fantasy tree quilt with print and fabric feature callouts</t>
        </is>
      </c>
      <c r="J15" s="3"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 https://jeminise.com/products/celtic-and-fantasy-quilt-set-with-twisting-tree-trunk-and-exposed-roots-c7b1460bad-c7b1460bad; https://cdn.shopify.com/s/files/1/0792/5098/1063/files/77672c69bdca6fa3e34e5d859164a2661a0ec26b6ac10221a3df3171a6df2791.jpg?v=1785047367</t>
        </is>
      </c>
      <c r="K15" s="3" t="inlineStr">
        <is>
          <t>Open the original image and confirm the revised alt matches the exact scene and visible text.</t>
        </is>
      </c>
    </row>
    <row r="16" ht="84" customHeight="1">
      <c r="A16" s="2" t="inlineStr">
        <is>
          <t>R2-ISS-007-IMG-03</t>
        </is>
      </c>
      <c r="B16" s="2" t="inlineStr">
        <is>
          <t>jeminise.com+celtic-and-fantasy-quilt-set-with-twisting-tree-trunk-and-exposed-roots-c7b1460bad-c7b1460bad</t>
        </is>
      </c>
      <c r="C16" s="2" t="inlineStr">
        <is>
          <t>qaimg_99f7cdc5b247185b</t>
        </is>
      </c>
      <c r="D16" s="2" t="inlineStr">
        <is>
          <t>MINOR</t>
        </is>
      </c>
      <c r="E16" s="2" t="inlineStr">
        <is>
          <t>image_observation/alt_effective</t>
        </is>
      </c>
      <c r="F16" s="2" t="inlineStr">
        <is>
          <t>Matching pillow sham or bedding detail using the same twisting tree trunk with exposed roots and Celtic knot border artwork. | Matching pillow sham for Celtic Fantasy Tree Quilt Set</t>
        </is>
      </c>
      <c r="G16" s="2" t="inlineStr">
        <is>
          <t>Pillow shams plus lightweight, soft, anti-pill and anti-static feature callouts.</t>
        </is>
      </c>
      <c r="H16" s="2" t="inlineStr">
        <is>
          <t>Alt/observation r2 still does not identify the exact scene or information panel opened during re-QA.</t>
        </is>
      </c>
      <c r="I16" s="2" t="inlineStr">
        <is>
          <t>Celtic tree pillow shams with lightweight fabric features</t>
        </is>
      </c>
      <c r="J16"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 https://jeminise.com/products/celtic-and-fantasy-quilt-set-with-twisting-tree-trunk-and-exposed-roots-c7b1460bad-c7b1460bad; https://cdn.shopify.com/s/files/1/0792/5098/1063/files/ef4c0af4b6e931816fba2b315617ce40f57b62cc23bc9476fc29bcd9f7fea3ed.jpg?v=1785047367</t>
        </is>
      </c>
      <c r="K16" s="2" t="inlineStr">
        <is>
          <t>Open the original image and confirm the revised alt matches the exact scene and visible text.</t>
        </is>
      </c>
    </row>
    <row r="17" ht="84" customHeight="1">
      <c r="A17" s="3" t="inlineStr">
        <is>
          <t>R2-ISS-007-IMG-04</t>
        </is>
      </c>
      <c r="B17" s="3" t="inlineStr">
        <is>
          <t>jeminise.com+celtic-and-fantasy-quilt-set-with-twisting-tree-trunk-and-exposed-roots-c7b1460bad-c7b1460bad</t>
        </is>
      </c>
      <c r="C17" s="3" t="inlineStr">
        <is>
          <t>qaimg_0d3e7de6663733e5</t>
        </is>
      </c>
      <c r="D17" s="3" t="inlineStr">
        <is>
          <t>MINOR</t>
        </is>
      </c>
      <c r="E17" s="3" t="inlineStr">
        <is>
          <t>image_observation/alt_effective</t>
        </is>
      </c>
      <c r="F17" s="3" t="inlineStr">
        <is>
          <t>Room/folded product or fabric information image tied to the twisting tree trunk with exposed roots and Celtic knot border design. | Celtic Fantasy Tree Quilt Set shown in a bedroom setting</t>
        </is>
      </c>
      <c r="G17" s="3" t="inlineStr">
        <is>
          <t>All-season and fabric-quality feature graphic with a small bed mockup.</t>
        </is>
      </c>
      <c r="H17" s="3" t="inlineStr">
        <is>
          <t>Alt/observation r2 still does not identify the exact scene or information panel opened during re-QA.</t>
        </is>
      </c>
      <c r="I17" s="3" t="inlineStr">
        <is>
          <t>Celtic fantasy tree quilt all-season fabric feature graphic</t>
        </is>
      </c>
      <c r="J17" s="3"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 https://jeminise.com/products/celtic-and-fantasy-quilt-set-with-twisting-tree-trunk-and-exposed-roots-c7b1460bad-c7b1460bad; https://cdn.shopify.com/s/files/1/0792/5098/1063/files/a0029afc03d47a3a82238a1bab89f1066c3687b3f06500badea074cba44f9e80.jpg?v=1785047367</t>
        </is>
      </c>
      <c r="K17" s="3" t="inlineStr">
        <is>
          <t>Open the original image and confirm the revised alt matches the exact scene and visible text.</t>
        </is>
      </c>
    </row>
    <row r="18" ht="84" customHeight="1">
      <c r="A18" s="2" t="inlineStr">
        <is>
          <t>R2-ISS-008-IMG-02</t>
        </is>
      </c>
      <c r="B18" s="2" t="inlineStr">
        <is>
          <t>jeminise.com+celtic-mythology-tree-of-life-quilt-set-with-celtic-knotwork-border-12786aba7e-12786aba7e</t>
        </is>
      </c>
      <c r="C18" s="2" t="inlineStr">
        <is>
          <t>qaimg_fcc661342df8f7e6</t>
        </is>
      </c>
      <c r="D18" s="2" t="inlineStr">
        <is>
          <t>MAJOR</t>
        </is>
      </c>
      <c r="E18" s="2" t="inlineStr">
        <is>
          <t>image_observation/alt_effective</t>
        </is>
      </c>
      <c r="F18" s="2" t="inlineStr">
        <is>
          <t>Secondary detail or room mockup showing green tree of life medallion with Celtic knotwork border and visible quilted/printed texture. | Close view of green tree of life medallion with Celtic knotwork border on the quilt set</t>
        </is>
      </c>
      <c r="G18" s="2" t="inlineStr">
        <is>
          <t>Bedroom/feature graphic with premium print, no fading and skin-friendly callouts.</t>
        </is>
      </c>
      <c r="H18" s="2" t="inlineStr">
        <is>
          <t>Alt/observation r2 still does not identify the exact scene or information panel opened during re-QA.</t>
        </is>
      </c>
      <c r="I18" s="2" t="inlineStr">
        <is>
          <t>Celtic Tree of Life quilt with print and fabric feature callouts</t>
        </is>
      </c>
      <c r="J18"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 https://jeminise.com/products/celtic-mythology-tree-of-life-quilt-set-with-celtic-knotwork-border-12786aba7e-12786aba7e; https://cdn.shopify.com/s/files/1/0792/5098/1063/files/b62d307163504bede5d79d6a1894e1fb2390a7f6bb97d231a74b900c216c6f10.jpg?v=1785047189</t>
        </is>
      </c>
      <c r="K18" s="2" t="inlineStr">
        <is>
          <t>Open the original image and confirm the revised alt matches the exact scene and visible text.</t>
        </is>
      </c>
    </row>
    <row r="19" ht="84" customHeight="1">
      <c r="A19" s="3" t="inlineStr">
        <is>
          <t>R2-ISS-008-IMG-03</t>
        </is>
      </c>
      <c r="B19" s="3" t="inlineStr">
        <is>
          <t>jeminise.com+celtic-mythology-tree-of-life-quilt-set-with-celtic-knotwork-border-12786aba7e-12786aba7e</t>
        </is>
      </c>
      <c r="C19" s="3" t="inlineStr">
        <is>
          <t>qaimg_a448f078c92e2bb0</t>
        </is>
      </c>
      <c r="D19" s="3" t="inlineStr">
        <is>
          <t>MINOR</t>
        </is>
      </c>
      <c r="E19" s="3" t="inlineStr">
        <is>
          <t>image_observation/alt_effective</t>
        </is>
      </c>
      <c r="F19" s="3" t="inlineStr">
        <is>
          <t>Matching pillow sham or bedding detail using the same green tree of life medallion with Celtic knotwork border artwork. | Matching pillow sham for Celtic Tree of Life Quilt Set</t>
        </is>
      </c>
      <c r="G19" s="3" t="inlineStr">
        <is>
          <t>Pillow shams plus lightweight, soft, anti-pill and anti-static feature callouts.</t>
        </is>
      </c>
      <c r="H19" s="3" t="inlineStr">
        <is>
          <t>Alt/observation r2 still does not identify the exact scene or information panel opened during re-QA.</t>
        </is>
      </c>
      <c r="I19" s="3" t="inlineStr">
        <is>
          <t>Celtic Tree of Life shams with lightweight fabric features</t>
        </is>
      </c>
      <c r="J19" s="3"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 https://jeminise.com/products/celtic-mythology-tree-of-life-quilt-set-with-celtic-knotwork-border-12786aba7e-12786aba7e; https://cdn.shopify.com/s/files/1/0792/5098/1063/files/492ae2152294ed05b1b9c9c476c3f0407f72dd5f9231dfabab608600dfcfca18.jpg?v=1785047188</t>
        </is>
      </c>
      <c r="K19" s="3" t="inlineStr">
        <is>
          <t>Open the original image and confirm the revised alt matches the exact scene and visible text.</t>
        </is>
      </c>
    </row>
    <row r="20" ht="84" customHeight="1">
      <c r="A20" s="2" t="inlineStr">
        <is>
          <t>R2-ISS-008-IMG-04</t>
        </is>
      </c>
      <c r="B20" s="2" t="inlineStr">
        <is>
          <t>jeminise.com+celtic-mythology-tree-of-life-quilt-set-with-celtic-knotwork-border-12786aba7e-12786aba7e</t>
        </is>
      </c>
      <c r="C20" s="2" t="inlineStr">
        <is>
          <t>qaimg_3828d6eeb0c0036a</t>
        </is>
      </c>
      <c r="D20" s="2" t="inlineStr">
        <is>
          <t>MINOR</t>
        </is>
      </c>
      <c r="E20" s="2" t="inlineStr">
        <is>
          <t>image_observation/alt_effective</t>
        </is>
      </c>
      <c r="F20" s="2" t="inlineStr">
        <is>
          <t>Room/folded product or fabric information image tied to the green tree of life medallion with Celtic knotwork border design. | Celtic Tree of Life Quilt Set shown in a bedroom setting</t>
        </is>
      </c>
      <c r="G20" s="2" t="inlineStr">
        <is>
          <t>All-season and fabric-quality feature graphic with a small bed mockup.</t>
        </is>
      </c>
      <c r="H20" s="2" t="inlineStr">
        <is>
          <t>Alt/observation r2 still does not identify the exact scene or information panel opened during re-QA.</t>
        </is>
      </c>
      <c r="I20" s="2" t="inlineStr">
        <is>
          <t>Celtic Tree of Life quilt all-season fabric feature graphic</t>
        </is>
      </c>
      <c r="J20"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 https://jeminise.com/products/celtic-mythology-tree-of-life-quilt-set-with-celtic-knotwork-border-12786aba7e-12786aba7e; https://cdn.shopify.com/s/files/1/0792/5098/1063/files/d9597bfb2c08a10fed85d6814082edddf7b30bf76e5108fb36b1aee207514584.jpg?v=1785047189</t>
        </is>
      </c>
      <c r="K20" s="2" t="inlineStr">
        <is>
          <t>Open the original image and confirm the revised alt matches the exact scene and visible text.</t>
        </is>
      </c>
    </row>
    <row r="21" ht="84" customHeight="1">
      <c r="A21" s="3" t="inlineStr">
        <is>
          <t>R2-ISS-009-IMG-02</t>
        </is>
      </c>
      <c r="B21" s="3" t="inlineStr">
        <is>
          <t>jeminise.com+chicken-pattern-quilt-set-animal-patchwork-farmhouse-quilt-set</t>
        </is>
      </c>
      <c r="C21" s="3" t="inlineStr">
        <is>
          <t>qaimg_506f7cb7e11bab27</t>
        </is>
      </c>
      <c r="D21" s="3" t="inlineStr">
        <is>
          <t>MAJOR</t>
        </is>
      </c>
      <c r="E21" s="3" t="inlineStr">
        <is>
          <t>image_observation/alt_effective</t>
        </is>
      </c>
      <c r="F21" s="3" t="inlineStr">
        <is>
          <t>Secondary detail or room mockup showing farmhouse chicken and hen pattern with nest and eggs and visible quilted/printed texture. | Close view of farmhouse chicken and hen pattern with nest and eggs on the quilt set</t>
        </is>
      </c>
      <c r="G21" s="3" t="inlineStr">
        <is>
          <t>Bedroom/feature graphic with premium print, no fading and skin-friendly callouts.</t>
        </is>
      </c>
      <c r="H21" s="3" t="inlineStr">
        <is>
          <t>Alt/observation r2 still does not identify the exact scene or information panel opened during re-QA.</t>
        </is>
      </c>
      <c r="I21" s="3" t="inlineStr">
        <is>
          <t>Farmhouse chicken quilt with print and fabric feature callouts</t>
        </is>
      </c>
      <c r="J21" s="3" t="inlineStr">
        <is>
          <t>seo_runs\jeminise.com\20260906_234129\evidence\images\9_chicken-pattern-quilt-set-animal-patchwork-farmhouse-quilt-set\image_02_47933462151367.jpg; seo_runs\jeminise.com\20260906_234129\evidence\contact_sheets\9_chicken-pattern-quilt-set-animal-patchwork-farmhouse-quilt-set.jpg; https://jeminise.com/products/chicken-pattern-quilt-set-animal-patchwork-farmhouse-quilt-set; https://cdn.shopify.com/s/files/1/0792/5098/1063/files/3fb22c532d2ea675077fa5f07538ad0693869d76604d9f54efbb12cf12dc3012.jpg?v=1787233682</t>
        </is>
      </c>
      <c r="K21" s="3" t="inlineStr">
        <is>
          <t>Open the original image and confirm the revised alt matches the exact scene and visible text.</t>
        </is>
      </c>
    </row>
    <row r="22" ht="84" customHeight="1">
      <c r="A22" s="2" t="inlineStr">
        <is>
          <t>R2-ISS-009-IMG-03</t>
        </is>
      </c>
      <c r="B22" s="2" t="inlineStr">
        <is>
          <t>jeminise.com+chicken-pattern-quilt-set-animal-patchwork-farmhouse-quilt-set</t>
        </is>
      </c>
      <c r="C22" s="2" t="inlineStr">
        <is>
          <t>qaimg_ab9d2b121f273ff8</t>
        </is>
      </c>
      <c r="D22" s="2" t="inlineStr">
        <is>
          <t>MINOR</t>
        </is>
      </c>
      <c r="E22" s="2" t="inlineStr">
        <is>
          <t>image_observation/alt_effective</t>
        </is>
      </c>
      <c r="F22" s="2" t="inlineStr">
        <is>
          <t>Matching pillow sham or bedding detail using the same farmhouse chicken and hen pattern with nest and eggs artwork. | Matching pillow sham for Farmhouse Chicken Patchwork Quilt Set</t>
        </is>
      </c>
      <c r="G22" s="2" t="inlineStr">
        <is>
          <t>Pillow shams plus lightweight, soft, anti-pill and anti-static feature callouts.</t>
        </is>
      </c>
      <c r="H22" s="2" t="inlineStr">
        <is>
          <t>Alt/observation r2 still does not identify the exact scene or information panel opened during re-QA.</t>
        </is>
      </c>
      <c r="I22" s="2" t="inlineStr">
        <is>
          <t>Farmhouse chicken shams with lightweight fabric features</t>
        </is>
      </c>
      <c r="J22" s="2" t="inlineStr">
        <is>
          <t>seo_runs\jeminise.com\20260906_234129\evidence\images\9_chicken-pattern-quilt-set-animal-patchwork-farmhouse-quilt-set\image_03_47933462184135.jpg; seo_runs\jeminise.com\20260906_234129\evidence\contact_sheets\9_chicken-pattern-quilt-set-animal-patchwork-farmhouse-quilt-set.jpg; https://jeminise.com/products/chicken-pattern-quilt-set-animal-patchwork-farmhouse-quilt-set; https://cdn.shopify.com/s/files/1/0792/5098/1063/files/015c23cc578e135b61ae727b347772c42c1d51319bdc062c7e1f665e85a0a3f3.jpg?v=1787233682</t>
        </is>
      </c>
      <c r="K22" s="2" t="inlineStr">
        <is>
          <t>Open the original image and confirm the revised alt matches the exact scene and visible text.</t>
        </is>
      </c>
    </row>
    <row r="23" ht="84" customHeight="1">
      <c r="A23" s="3" t="inlineStr">
        <is>
          <t>R2-ISS-009-IMG-04</t>
        </is>
      </c>
      <c r="B23" s="3" t="inlineStr">
        <is>
          <t>jeminise.com+chicken-pattern-quilt-set-animal-patchwork-farmhouse-quilt-set</t>
        </is>
      </c>
      <c r="C23" s="3" t="inlineStr">
        <is>
          <t>qaimg_f427ee73b00f9112</t>
        </is>
      </c>
      <c r="D23" s="3" t="inlineStr">
        <is>
          <t>MINOR</t>
        </is>
      </c>
      <c r="E23" s="3" t="inlineStr">
        <is>
          <t>image_observation/alt_effective</t>
        </is>
      </c>
      <c r="F23" s="3" t="inlineStr">
        <is>
          <t>Room/folded product or fabric information image tied to the farmhouse chicken and hen pattern with nest and eggs design. | Farmhouse Chicken Patchwork Quilt Set shown in a bedroom setting</t>
        </is>
      </c>
      <c r="G23" s="3" t="inlineStr">
        <is>
          <t>All-season and fabric-quality feature graphic with a small bed mockup.</t>
        </is>
      </c>
      <c r="H23" s="3" t="inlineStr">
        <is>
          <t>Alt/observation r2 still does not identify the exact scene or information panel opened during re-QA.</t>
        </is>
      </c>
      <c r="I23" s="3" t="inlineStr">
        <is>
          <t>Farmhouse chicken quilt all-season fabric feature graphic</t>
        </is>
      </c>
      <c r="J23" s="3" t="inlineStr">
        <is>
          <t>seo_runs\jeminise.com\20260906_234129\evidence\images\9_chicken-pattern-quilt-set-animal-patchwork-farmhouse-quilt-set\image_04_47933462216903.jpg; seo_runs\jeminise.com\20260906_234129\evidence\contact_sheets\9_chicken-pattern-quilt-set-animal-patchwork-farmhouse-quilt-set.jpg; https://jeminise.com/products/chicken-pattern-quilt-set-animal-patchwork-farmhouse-quilt-set; https://cdn.shopify.com/s/files/1/0792/5098/1063/files/044a88434534608756b0c91fa034b5bd3e06078ac0802d9eb409cbb4177ff68e.jpg?v=1787233682</t>
        </is>
      </c>
      <c r="K23" s="3" t="inlineStr">
        <is>
          <t>Open the original image and confirm the revised alt matches the exact scene and visible text.</t>
        </is>
      </c>
    </row>
    <row r="24" ht="84" customHeight="1">
      <c r="A24" s="2" t="inlineStr">
        <is>
          <t>R2-ISS-010-IMG-02</t>
        </is>
      </c>
      <c r="B24" s="2" t="inlineStr">
        <is>
          <t>jeminise.com+christian-bedding-set-inspirational-bible-verse-comforte-design-01</t>
        </is>
      </c>
      <c r="C24" s="2" t="inlineStr">
        <is>
          <t>qaimg_f47acf64a83d52b7</t>
        </is>
      </c>
      <c r="D24" s="2" t="inlineStr">
        <is>
          <t>MAJOR</t>
        </is>
      </c>
      <c r="E24" s="2" t="inlineStr">
        <is>
          <t>image_observation/alt_effective</t>
        </is>
      </c>
      <c r="F24" s="2" t="inlineStr">
        <is>
          <t>Secondary detail or room mockup showing personalized Christian God Says I Am design with name Jessica, flowers and butterflies and visible quilted/printed texture. | Close view of Christian God Says I Am design with themed artwork Jessica, flowers and butterflies on the comforter set</t>
        </is>
      </c>
      <c r="G24" s="2" t="inlineStr">
        <is>
          <t>Alternate bed mockup of the same Christian affirmation design.</t>
        </is>
      </c>
      <c r="H24" s="2" t="inlineStr">
        <is>
          <t>Alt/observation r2 still does not identify the exact scene or information panel opened during re-QA.</t>
        </is>
      </c>
      <c r="I24" s="2" t="inlineStr">
        <is>
          <t>Christian God Says I Am bedding in an alternate bedroom view</t>
        </is>
      </c>
      <c r="J24" s="2" t="inlineStr">
        <is>
          <t>seo_runs\jeminise.com\20260906_234129\evidence\images\10_christian-bedding-set-inspirational-bible-verse-comforte-design-01\image_02_47933838000327.jpg; seo_runs\jeminise.com\20260906_234129\evidence\contact_sheets\10_christian-bedding-set-inspirational-bible-verse-comforte-design-01.jpg; https://jeminise.com/products/christian-bedding-set-inspirational-bible-verse-comforte-design-01; https://cdn.shopify.com/s/files/1/0792/5098/1063/files/9a2ea3655358889bfb8939e5d43749d9fc1a68a15bb91eb7257e168947c5d449.jpg?v=1787237695</t>
        </is>
      </c>
      <c r="K24" s="2" t="inlineStr">
        <is>
          <t>Open the original image and confirm the revised alt matches the exact scene and visible text.</t>
        </is>
      </c>
    </row>
    <row r="25" ht="84" customHeight="1">
      <c r="A25" s="3" t="inlineStr">
        <is>
          <t>R2-ISS-010-IMG-03</t>
        </is>
      </c>
      <c r="B25" s="3" t="inlineStr">
        <is>
          <t>jeminise.com+christian-bedding-set-inspirational-bible-verse-comforte-design-01</t>
        </is>
      </c>
      <c r="C25" s="3" t="inlineStr">
        <is>
          <t>qaimg_6d1025fe7e8d137a</t>
        </is>
      </c>
      <c r="D25" s="3" t="inlineStr">
        <is>
          <t>MAJOR</t>
        </is>
      </c>
      <c r="E25" s="3" t="inlineStr">
        <is>
          <t>image_observation/alt_effective</t>
        </is>
      </c>
      <c r="F25" s="3" t="inlineStr">
        <is>
          <t>Matching pillow sham or bedding detail using the same personalized Christian God Says I Am design with name Jessica, flowers and butterflies artwork. | Matching pillow sham for God Says I Am Christian Bedding Set</t>
        </is>
      </c>
      <c r="G25" s="3" t="inlineStr">
        <is>
          <t>Comparison graphic for Duvet Cover Set versus Comforter Set.</t>
        </is>
      </c>
      <c r="H25" s="3" t="inlineStr">
        <is>
          <t>Alt/observation r2 still does not identify the exact scene or information panel opened during re-QA.</t>
        </is>
      </c>
      <c r="I25" s="3" t="inlineStr">
        <is>
          <t>Duvet cover and comforter set construction comparison</t>
        </is>
      </c>
      <c r="J25" s="3" t="inlineStr">
        <is>
          <t>seo_runs\jeminise.com\20260906_234129\evidence\images\10_christian-bedding-set-inspirational-bible-verse-comforte-design-01\image_03_47933838033095.jpg; seo_runs\jeminise.com\20260906_234129\evidence\contact_sheets\10_christian-bedding-set-inspirational-bible-verse-comforte-design-01.jpg; https://jeminise.com/products/christian-bedding-set-inspirational-bible-verse-comforte-design-01; https://cdn.shopify.com/s/files/1/0792/5098/1063/files/50f96559dd878ae5bbee14ba7a34337ccd740d21a8ffe86a8a1be819656d26c0.jpg?v=1787237695</t>
        </is>
      </c>
      <c r="K25" s="3" t="inlineStr">
        <is>
          <t>Open the original image and confirm the revised alt matches the exact scene and visible text.</t>
        </is>
      </c>
    </row>
    <row r="26" ht="84" customHeight="1">
      <c r="A26" s="2" t="inlineStr">
        <is>
          <t>R2-ISS-010-IMG-04</t>
        </is>
      </c>
      <c r="B26" s="2" t="inlineStr">
        <is>
          <t>jeminise.com+christian-bedding-set-inspirational-bible-verse-comforte-design-01</t>
        </is>
      </c>
      <c r="C26" s="2" t="inlineStr">
        <is>
          <t>qaimg_07763f3daebff903</t>
        </is>
      </c>
      <c r="D26" s="2" t="inlineStr">
        <is>
          <t>MAJOR</t>
        </is>
      </c>
      <c r="E26" s="2" t="inlineStr">
        <is>
          <t>image_observation/alt_effective</t>
        </is>
      </c>
      <c r="F26" s="2" t="inlineStr">
        <is>
          <t>Room/folded product or fabric information image tied to the personalized Christian God Says I Am design with name Jessica, flowers and butterflies design. | God Says I Am Christian Bedding Set shown in a bedroom setting</t>
        </is>
      </c>
      <c r="G26" s="2" t="inlineStr">
        <is>
          <t>Feature graphic stating 100% microfiber, 3D print, soft, lightweight and breathable.</t>
        </is>
      </c>
      <c r="H26" s="2" t="inlineStr">
        <is>
          <t>Alt/observation r2 still does not identify the exact scene or information panel opened during re-QA.</t>
        </is>
      </c>
      <c r="I26" s="2" t="inlineStr">
        <is>
          <t>Christian bedding microfiber and breathable fabric features</t>
        </is>
      </c>
      <c r="J26" s="2" t="inlineStr">
        <is>
          <t>seo_runs\jeminise.com\20260906_234129\evidence\images\10_christian-bedding-set-inspirational-bible-verse-comforte-design-01\image_04_47933838065863.jpg; seo_runs\jeminise.com\20260906_234129\evidence\contact_sheets\10_christian-bedding-set-inspirational-bible-verse-comforte-design-01.jpg; https://jeminise.com/products/christian-bedding-set-inspirational-bible-verse-comforte-design-01; https://cdn.shopify.com/s/files/1/0792/5098/1063/files/e177a63ec5fdef284072a06f2775ebbbf78d53d430946e0a479a9aea59e23193.jpg?v=1787237695</t>
        </is>
      </c>
      <c r="K26" s="2" t="inlineStr">
        <is>
          <t>Open the original image and confirm the revised alt matches the exact scene and visible text.</t>
        </is>
      </c>
    </row>
    <row r="27" ht="84" customHeight="1">
      <c r="A27" s="3" t="inlineStr">
        <is>
          <t>R2-ISS-010-IMG-05</t>
        </is>
      </c>
      <c r="B27" s="3" t="inlineStr">
        <is>
          <t>jeminise.com+christian-bedding-set-inspirational-bible-verse-comforte-design-01</t>
        </is>
      </c>
      <c r="C27" s="3" t="inlineStr">
        <is>
          <t>qaimg_529e4c8d486051e5</t>
        </is>
      </c>
      <c r="D27" s="3" t="inlineStr">
        <is>
          <t>MAJOR</t>
        </is>
      </c>
      <c r="E27" s="3" t="inlineStr">
        <is>
          <t>image_observation/alt_effective</t>
        </is>
      </c>
      <c r="F27" s="3" t="inlineStr">
        <is>
          <t>Sizing or included-components information image for the bedding set. | Size guide for God Says I Am Christian Bedding Set</t>
        </is>
      </c>
      <c r="G27" s="3" t="inlineStr">
        <is>
          <t>Birth Month Flowers chart from January through December.</t>
        </is>
      </c>
      <c r="H27" s="3" t="inlineStr">
        <is>
          <t>Alt/observation r2 still does not identify the exact scene or information panel opened during re-QA.</t>
        </is>
      </c>
      <c r="I27" s="3" t="inlineStr">
        <is>
          <t>Birth month flower options from January through December</t>
        </is>
      </c>
      <c r="J27" s="3" t="inlineStr">
        <is>
          <t>seo_runs\jeminise.com\20260906_234129\evidence\images\10_christian-bedding-set-inspirational-bible-verse-comforte-design-01\image_05_47933838098631.jpg; seo_runs\jeminise.com\20260906_234129\evidence\contact_sheets\10_christian-bedding-set-inspirational-bible-verse-comforte-design-01.jpg; https://jeminise.com/products/christian-bedding-set-inspirational-bible-verse-comforte-design-01; https://cdn.shopify.com/s/files/1/0792/5098/1063/files/c0229b109e769b68f8c9f35623479c094bab31ad756f2c9dfcf50eadd39d92c5.jpg?v=1787237695</t>
        </is>
      </c>
      <c r="K27" s="3" t="inlineStr">
        <is>
          <t>Open the original image and confirm the revised alt matches the exact scene and visible text.</t>
        </is>
      </c>
    </row>
    <row r="28" ht="84" customHeight="1">
      <c r="A28" s="2" t="inlineStr">
        <is>
          <t>R2-ISS-010-IMG-06</t>
        </is>
      </c>
      <c r="B28" s="2" t="inlineStr">
        <is>
          <t>jeminise.com+christian-bedding-set-inspirational-bible-verse-comforte-design-01</t>
        </is>
      </c>
      <c r="C28" s="2" t="inlineStr">
        <is>
          <t>qaimg_0fc13a12a35a3633</t>
        </is>
      </c>
      <c r="D28" s="2" t="inlineStr">
        <is>
          <t>MINOR</t>
        </is>
      </c>
      <c r="E28" s="2" t="inlineStr">
        <is>
          <t>image_observation/alt_effective</t>
        </is>
      </c>
      <c r="F28" s="2" t="inlineStr">
        <is>
          <t>Feature image describing fabric layers, softness, breathability or care details. | Fabric feature graphic for God Says I Am Christian Bedding Set</t>
        </is>
      </c>
      <c r="G28" s="2" t="inlineStr">
        <is>
          <t>Bedroom feature graphic with soft, lightweight, durable and breathable callouts.</t>
        </is>
      </c>
      <c r="H28" s="2" t="inlineStr">
        <is>
          <t>Alt/observation r2 still does not identify the exact scene or information panel opened during re-QA.</t>
        </is>
      </c>
      <c r="I28" s="2" t="inlineStr">
        <is>
          <t>Christian bedding softness and durability feature graphic</t>
        </is>
      </c>
      <c r="J28" s="2" t="inlineStr">
        <is>
          <t>seo_runs\jeminise.com\20260906_234129\evidence\images\10_christian-bedding-set-inspirational-bible-verse-comforte-design-01\image_06_47933838131399.jpg; seo_runs\jeminise.com\20260906_234129\evidence\contact_sheets\10_christian-bedding-set-inspirational-bible-verse-comforte-design-01.jpg; https://jeminise.com/products/christian-bedding-set-inspirational-bible-verse-comforte-design-01; https://cdn.shopify.com/s/files/1/0792/5098/1063/files/e22715b9d350060d7f718ca936fb51ae74bf407c9cd643e977844be314d468df.jpg?v=1787237695</t>
        </is>
      </c>
      <c r="K28" s="2" t="inlineStr">
        <is>
          <t>Open the original image and confirm the revised alt matches the exact scene and visible text.</t>
        </is>
      </c>
    </row>
    <row r="29" ht="84" customHeight="1">
      <c r="A29" s="3" t="inlineStr">
        <is>
          <t>R2-ISS-010-IMG-07</t>
        </is>
      </c>
      <c r="B29" s="3" t="inlineStr">
        <is>
          <t>jeminise.com+christian-bedding-set-inspirational-bible-verse-comforte-design-01</t>
        </is>
      </c>
      <c r="C29" s="3" t="inlineStr">
        <is>
          <t>qaimg_b90439d89675fae5</t>
        </is>
      </c>
      <c r="D29" s="3" t="inlineStr">
        <is>
          <t>MAJOR</t>
        </is>
      </c>
      <c r="E29" s="3" t="inlineStr">
        <is>
          <t>image_observation/alt_effective</t>
        </is>
      </c>
      <c r="F29" s="3" t="inlineStr">
        <is>
          <t>Additional bedroom mockup showing the personalized Christian God Says I Am design with name Jessica, flowers and butterflies design on a bed. | Bedroom mockup of God Says I Am Christian Bedding Set</t>
        </is>
      </c>
      <c r="G29" s="3" t="inlineStr">
        <is>
          <t>Easy-care graphic with wrinkle-free, stain-proof, anti-pilling and won't-fade claims.</t>
        </is>
      </c>
      <c r="H29" s="3" t="inlineStr">
        <is>
          <t>Alt/observation r2 still does not identify the exact scene or information panel opened during re-QA.</t>
        </is>
      </c>
      <c r="I29" s="3" t="inlineStr">
        <is>
          <t>Christian bedding easy-care and fade-resistance features</t>
        </is>
      </c>
      <c r="J29" s="3" t="inlineStr">
        <is>
          <t>seo_runs\jeminise.com\20260906_234129\evidence\images\10_christian-bedding-set-inspirational-bible-verse-comforte-design-01\image_07_47933838164167.jpg; seo_runs\jeminise.com\20260906_234129\evidence\contact_sheets\10_christian-bedding-set-inspirational-bible-verse-comforte-design-01.jpg; https://jeminise.com/products/christian-bedding-set-inspirational-bible-verse-comforte-design-01; https://cdn.shopify.com/s/files/1/0792/5098/1063/files/0e22a9fec09643a714af054217066178d4f7bc4d6266b6d2ff5c33c09cc10e88.jpg?v=1787237695</t>
        </is>
      </c>
      <c r="K29" s="3" t="inlineStr">
        <is>
          <t>Open the original image and confirm the revised alt matches the exact scene and visible text.</t>
        </is>
      </c>
    </row>
    <row r="30" ht="84" customHeight="1">
      <c r="A30" s="2" t="inlineStr">
        <is>
          <t>R2-ISS-010-IMG-08</t>
        </is>
      </c>
      <c r="B30" s="2" t="inlineStr">
        <is>
          <t>jeminise.com+christian-bedding-set-inspirational-bible-verse-comforte-design-01</t>
        </is>
      </c>
      <c r="C30" s="2" t="inlineStr">
        <is>
          <t>qaimg_734f2f8be24b67c2</t>
        </is>
      </c>
      <c r="D30" s="2" t="inlineStr">
        <is>
          <t>MINOR</t>
        </is>
      </c>
      <c r="E30" s="2" t="inlineStr">
        <is>
          <t>image_observation/alt_effective</t>
        </is>
      </c>
      <c r="F30" s="2" t="inlineStr">
        <is>
          <t>Additional product information image for size, care, personalization or bedding type. | Size or product option guide for God Says I Am Christian Bedding Set</t>
        </is>
      </c>
      <c r="G30" s="2" t="inlineStr">
        <is>
          <t>Twin, Full, Queen and King dimension chart.</t>
        </is>
      </c>
      <c r="H30" s="2" t="inlineStr">
        <is>
          <t>Alt/observation r2 still does not identify the exact scene or information panel opened during re-QA.</t>
        </is>
      </c>
      <c r="I30" s="2" t="inlineStr">
        <is>
          <t>Christian bedding size chart for Twin through King</t>
        </is>
      </c>
      <c r="J30" s="2" t="inlineStr">
        <is>
          <t>seo_runs\jeminise.com\20260906_234129\evidence\images\10_christian-bedding-set-inspirational-bible-verse-comforte-design-01\image_08_47933838196935.jpg; seo_runs\jeminise.com\20260906_234129\evidence\contact_sheets\10_christian-bedding-set-inspirational-bible-verse-comforte-design-01.jpg; https://jeminise.com/products/christian-bedding-set-inspirational-bible-verse-comforte-design-01; https://cdn.shopify.com/s/files/1/0792/5098/1063/files/d6b8438a259ef28ba839a68ba108f40464bc9629b0bc2168779fc7776c9cbffa.jpg?v=1787237695</t>
        </is>
      </c>
      <c r="K30" s="2" t="inlineStr">
        <is>
          <t>Open the original image and confirm the revised alt matches the exact scene and visible text.</t>
        </is>
      </c>
    </row>
    <row r="31" ht="84" customHeight="1">
      <c r="A31" s="3" t="inlineStr">
        <is>
          <t>R2-ISS-001-BODY</t>
        </is>
      </c>
      <c r="B31" s="3" t="inlineStr">
        <is>
          <t>jeminise.com+autumn-cardinals-perched-above-large-sunflowers-quilt-with-cardinal-birds-9a3b408b20-9a3b408b20</t>
        </is>
      </c>
      <c r="C31" s="3" t="inlineStr"/>
      <c r="D31" s="3" t="inlineStr">
        <is>
          <t>MAJOR</t>
        </is>
      </c>
      <c r="E31" s="3" t="inlineStr">
        <is>
          <t>description_proposed_html</t>
        </is>
      </c>
      <c r="F31" s="3" t="inlineStr">
        <is>
          <t>&lt;p&gt;Add themed style to the bedroom with this Jeminise quilt set featuring red cardinals, large yellow sunflowers, autumn leaves. The artwork is shown across the main bedding mockup and coordinated pillow or sham images where included.&lt;/p&gt;&lt;h3&gt;Design Details&lt;/h3&gt;&lt;ul&gt;&lt;li&gt;Artwork focus: red cardinals, large yellow sunflowers, autumn leaves.&lt;/li&gt;&lt;li&gt;Gallery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G31" s="3" t="inlineStr">
        <is>
          <t>Internal workflow language is gone, but the replacement repeats a generic template and largely defers product details to the live page.</t>
        </is>
      </c>
      <c r="H31" s="3" t="inlineStr">
        <is>
          <t>The body is safer than r1 but underuses verified dimensions, component rules, material/care panels and distinctive purchase information.</t>
        </is>
      </c>
      <c r="I31" s="3" t="inlineStr">
        <is>
          <t>Rewrite concise customer-facing English HTML using only verified product-specific facts and exact option/component wording.</t>
        </is>
      </c>
      <c r="J31" s="3" t="inlineStr">
        <is>
          <t>evidence_batch_001_001; direct gallery review</t>
        </is>
      </c>
      <c r="K31" s="3" t="inlineStr">
        <is>
          <t>No internal text remains and the body contains useful, product-specific, source-backed purchase details.</t>
        </is>
      </c>
    </row>
    <row r="32" ht="84" customHeight="1">
      <c r="A32" s="2" t="inlineStr">
        <is>
          <t>R2-ISS-001-ADMIN</t>
        </is>
      </c>
      <c r="B32" s="2" t="inlineStr">
        <is>
          <t>jeminise.com+autumn-cardinals-perched-above-large-sunflowers-quilt-with-cardinal-birds-9a3b408b20-9a3b408b20</t>
        </is>
      </c>
      <c r="C32" s="2" t="inlineStr"/>
      <c r="D32" s="2" t="inlineStr">
        <is>
          <t>LIMITATION</t>
        </is>
      </c>
      <c r="E32" s="2" t="inlineStr">
        <is>
          <t>admin SEO fields/current alt</t>
        </is>
      </c>
      <c r="F32" s="2" t="inlineStr">
        <is>
          <t>Not provided</t>
        </is>
      </c>
      <c r="G32" s="2" t="inlineStr">
        <is>
          <t>No Shopify admin export was supplied for re-QA.</t>
        </is>
      </c>
      <c r="H32" s="2" t="inlineStr">
        <is>
          <t>Stored admin SEO fields and media alt cannot be inferred from storefront data.</t>
        </is>
      </c>
      <c r="I32" s="2" t="inlineStr">
        <is>
          <t>Provide a Shopify admin export before deployment approval.</t>
        </is>
      </c>
      <c r="J32" s="2" t="inlineStr">
        <is>
          <t>https://jeminise.com/products/autumn-cardinals-perched-above-large-sunflowers-quilt-with-cardinal-birds-9a3b408b20-9a3b408b20</t>
        </is>
      </c>
      <c r="K32" s="2" t="inlineStr">
        <is>
          <t>Compare r2 with authenticated admin/export values.</t>
        </is>
      </c>
    </row>
    <row r="33" ht="84" customHeight="1">
      <c r="A33" s="3" t="inlineStr">
        <is>
          <t>R2-ISS-002-BODY</t>
        </is>
      </c>
      <c r="B33" s="3" t="inlineStr">
        <is>
          <t>jeminise.com+bright-teal-yellow-softball-comforter-set-premium-sports-theme</t>
        </is>
      </c>
      <c r="C33" s="3" t="inlineStr"/>
      <c r="D33" s="3" t="inlineStr">
        <is>
          <t>MAJOR</t>
        </is>
      </c>
      <c r="E33" s="3" t="inlineStr">
        <is>
          <t>description_proposed_html</t>
        </is>
      </c>
      <c r="F33" s="3" t="inlineStr">
        <is>
          <t>&lt;p&gt;Add themed style to the bedroom with this Jeminise comforter set featuring softball patchwork in teal, black and white with player silhouettes and text. The artwork is shown across the main bedding mockup and coordinated pillow or sham images where included.&lt;/p&gt;&lt;h3&gt;Design Details&lt;/h3&gt;&lt;ul&gt;&lt;li&gt;Artwork focus: softball patchwork in teal, black and white with player silhouettes and text.&lt;/li&gt;&lt;li&gt;Gallery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G33" s="3" t="inlineStr">
        <is>
          <t>Internal workflow language is gone, but the replacement repeats a generic template and largely defers product details to the live page.</t>
        </is>
      </c>
      <c r="H33" s="3" t="inlineStr">
        <is>
          <t>The body is safer than r1 but underuses verified dimensions, component rules, material/care panels and distinctive purchase information.</t>
        </is>
      </c>
      <c r="I33" s="3" t="inlineStr">
        <is>
          <t>Rewrite concise customer-facing English HTML using only verified product-specific facts and exact option/component wording.</t>
        </is>
      </c>
      <c r="J33" s="3" t="inlineStr">
        <is>
          <t>evidence_batch_001_002; direct gallery review</t>
        </is>
      </c>
      <c r="K33" s="3" t="inlineStr">
        <is>
          <t>No internal text remains and the body contains useful, product-specific, source-backed purchase details.</t>
        </is>
      </c>
    </row>
    <row r="34" ht="84" customHeight="1">
      <c r="A34" s="2" t="inlineStr">
        <is>
          <t>R2-ISS-002-ADMIN</t>
        </is>
      </c>
      <c r="B34" s="2" t="inlineStr">
        <is>
          <t>jeminise.com+bright-teal-yellow-softball-comforter-set-premium-sports-theme</t>
        </is>
      </c>
      <c r="C34" s="2" t="inlineStr"/>
      <c r="D34" s="2" t="inlineStr">
        <is>
          <t>LIMITATION</t>
        </is>
      </c>
      <c r="E34" s="2" t="inlineStr">
        <is>
          <t>admin SEO fields/current alt</t>
        </is>
      </c>
      <c r="F34" s="2" t="inlineStr">
        <is>
          <t>Not provided</t>
        </is>
      </c>
      <c r="G34" s="2" t="inlineStr">
        <is>
          <t>No Shopify admin export was supplied for re-QA.</t>
        </is>
      </c>
      <c r="H34" s="2" t="inlineStr">
        <is>
          <t>Stored admin SEO fields and media alt cannot be inferred from storefront data.</t>
        </is>
      </c>
      <c r="I34" s="2" t="inlineStr">
        <is>
          <t>Provide a Shopify admin export before deployment approval.</t>
        </is>
      </c>
      <c r="J34" s="2" t="inlineStr">
        <is>
          <t>https://jeminise.com/products/bright-teal-yellow-softball-comforter-set-premium-sports-theme</t>
        </is>
      </c>
      <c r="K34" s="2" t="inlineStr">
        <is>
          <t>Compare r2 with authenticated admin/export values.</t>
        </is>
      </c>
    </row>
    <row r="35" ht="84" customHeight="1">
      <c r="A35" s="3" t="inlineStr">
        <is>
          <t>R2-ISS-003-BODY</t>
        </is>
      </c>
      <c r="B35" s="3" t="inlineStr">
        <is>
          <t>jeminise.com+cardinals-perched-beside-decorated-christmas-tree-patchwork-winter-quilt-7cd7bc46a0-7cd7bc46a0</t>
        </is>
      </c>
      <c r="C35" s="3" t="inlineStr"/>
      <c r="D35" s="3" t="inlineStr">
        <is>
          <t>MAJOR</t>
        </is>
      </c>
      <c r="E35" s="3" t="inlineStr">
        <is>
          <t>description_proposed_html</t>
        </is>
      </c>
      <c r="F35" s="3" t="inlineStr">
        <is>
          <t>&lt;p&gt;Add themed style to the bedroom with this Jeminise quilt set featuring red cardinals beside a decorated Christmas tree with memorial text. The artwork is shown across the main bedding mockup and coordinated pillow or sham images where included.&lt;/p&gt;&lt;h3&gt;Design Details&lt;/h3&gt;&lt;ul&gt;&lt;li&gt;Artwork focus: red cardinals beside a decorated Christmas tree with memorial text.&lt;/li&gt;&lt;li&gt;Gallery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G35" s="3" t="inlineStr">
        <is>
          <t>Internal workflow language is gone, but the replacement repeats a generic template and largely defers product details to the live page.</t>
        </is>
      </c>
      <c r="H35" s="3" t="inlineStr">
        <is>
          <t>The body is safer than r1 but underuses verified dimensions, component rules, material/care panels and distinctive purchase information.</t>
        </is>
      </c>
      <c r="I35" s="3" t="inlineStr">
        <is>
          <t>Rewrite concise customer-facing English HTML using only verified product-specific facts and exact option/component wording.</t>
        </is>
      </c>
      <c r="J35" s="3" t="inlineStr">
        <is>
          <t>evidence_batch_001_003; direct gallery review</t>
        </is>
      </c>
      <c r="K35" s="3" t="inlineStr">
        <is>
          <t>No internal text remains and the body contains useful, product-specific, source-backed purchase details.</t>
        </is>
      </c>
    </row>
    <row r="36" ht="84" customHeight="1">
      <c r="A36" s="2" t="inlineStr">
        <is>
          <t>R2-ISS-003-ADMIN</t>
        </is>
      </c>
      <c r="B36" s="2" t="inlineStr">
        <is>
          <t>jeminise.com+cardinals-perched-beside-decorated-christmas-tree-patchwork-winter-quilt-7cd7bc46a0-7cd7bc46a0</t>
        </is>
      </c>
      <c r="C36" s="2" t="inlineStr"/>
      <c r="D36" s="2" t="inlineStr">
        <is>
          <t>LIMITATION</t>
        </is>
      </c>
      <c r="E36" s="2" t="inlineStr">
        <is>
          <t>admin SEO fields/current alt</t>
        </is>
      </c>
      <c r="F36" s="2" t="inlineStr">
        <is>
          <t>Not provided</t>
        </is>
      </c>
      <c r="G36" s="2" t="inlineStr">
        <is>
          <t>No Shopify admin export was supplied for re-QA.</t>
        </is>
      </c>
      <c r="H36" s="2" t="inlineStr">
        <is>
          <t>Stored admin SEO fields and media alt cannot be inferred from storefront data.</t>
        </is>
      </c>
      <c r="I36" s="2" t="inlineStr">
        <is>
          <t>Provide a Shopify admin export before deployment approval.</t>
        </is>
      </c>
      <c r="J36" s="2" t="inlineStr">
        <is>
          <t>https://jeminise.com/products/cardinals-perched-beside-decorated-christmas-tree-patchwork-winter-quilt-7cd7bc46a0-7cd7bc46a0</t>
        </is>
      </c>
      <c r="K36" s="2" t="inlineStr">
        <is>
          <t>Compare r2 with authenticated admin/export values.</t>
        </is>
      </c>
    </row>
    <row r="37" ht="84" customHeight="1">
      <c r="A37" s="3" t="inlineStr">
        <is>
          <t>R2-ISS-004-BODY</t>
        </is>
      </c>
      <c r="B37" s="3" t="inlineStr">
        <is>
          <t>jeminise.com+cardinals-perched-on-branch-with-roses-patchwork-winter-quilt-21ac904cd7-21ac904cd7</t>
        </is>
      </c>
      <c r="C37" s="3" t="inlineStr"/>
      <c r="D37" s="3" t="inlineStr">
        <is>
          <t>MAJOR</t>
        </is>
      </c>
      <c r="E37" s="3" t="inlineStr">
        <is>
          <t>description_proposed_html</t>
        </is>
      </c>
      <c r="F37" s="3" t="inlineStr">
        <is>
          <t>&lt;p&gt;Add themed style to the bedroom with this Jeminise quilt set featuring male and female cardinal pair on a branch with red roses and memorial text. The artwork is shown across the main bedding mockup and coordinated pillow or sham images where included.&lt;/p&gt;&lt;h3&gt;Design Details&lt;/h3&gt;&lt;ul&gt;&lt;li&gt;Artwork focus: male and female cardinal pair on a branch with red roses and memorial text.&lt;/li&gt;&lt;li&gt;Gallery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G37" s="3" t="inlineStr">
        <is>
          <t>Internal workflow language is gone, but the replacement repeats a generic template and largely defers product details to the live page.</t>
        </is>
      </c>
      <c r="H37" s="3" t="inlineStr">
        <is>
          <t>The body is safer than r1 but underuses verified dimensions, component rules, material/care panels and distinctive purchase information.</t>
        </is>
      </c>
      <c r="I37" s="3" t="inlineStr">
        <is>
          <t>Rewrite concise customer-facing English HTML using only verified product-specific facts and exact option/component wording.</t>
        </is>
      </c>
      <c r="J37" s="3" t="inlineStr">
        <is>
          <t>evidence_batch_001_004; direct gallery review</t>
        </is>
      </c>
      <c r="K37" s="3" t="inlineStr">
        <is>
          <t>No internal text remains and the body contains useful, product-specific, source-backed purchase details.</t>
        </is>
      </c>
    </row>
    <row r="38" ht="84" customHeight="1">
      <c r="A38" s="2" t="inlineStr">
        <is>
          <t>R2-ISS-004-ADMIN</t>
        </is>
      </c>
      <c r="B38" s="2" t="inlineStr">
        <is>
          <t>jeminise.com+cardinals-perched-on-branch-with-roses-patchwork-winter-quilt-21ac904cd7-21ac904cd7</t>
        </is>
      </c>
      <c r="C38" s="2" t="inlineStr"/>
      <c r="D38" s="2" t="inlineStr">
        <is>
          <t>LIMITATION</t>
        </is>
      </c>
      <c r="E38" s="2" t="inlineStr">
        <is>
          <t>admin SEO fields/current alt</t>
        </is>
      </c>
      <c r="F38" s="2" t="inlineStr">
        <is>
          <t>Not provided</t>
        </is>
      </c>
      <c r="G38" s="2" t="inlineStr">
        <is>
          <t>No Shopify admin export was supplied for re-QA.</t>
        </is>
      </c>
      <c r="H38" s="2" t="inlineStr">
        <is>
          <t>Stored admin SEO fields and media alt cannot be inferred from storefront data.</t>
        </is>
      </c>
      <c r="I38" s="2" t="inlineStr">
        <is>
          <t>Provide a Shopify admin export before deployment approval.</t>
        </is>
      </c>
      <c r="J38" s="2" t="inlineStr">
        <is>
          <t>https://jeminise.com/products/cardinals-perched-on-branch-with-roses-patchwork-winter-quilt-21ac904cd7-21ac904cd7</t>
        </is>
      </c>
      <c r="K38" s="2" t="inlineStr">
        <is>
          <t>Compare r2 with authenticated admin/export values.</t>
        </is>
      </c>
    </row>
    <row r="39" ht="84" customHeight="1">
      <c r="A39" s="3" t="inlineStr">
        <is>
          <t>R2-ISS-005-BODY</t>
        </is>
      </c>
      <c r="B39" s="3" t="inlineStr">
        <is>
          <t>jeminise.com+cat-patchwork-quilt-set-animal-pattern-bedding-cat-pattern-quilt-set</t>
        </is>
      </c>
      <c r="C39" s="3" t="inlineStr"/>
      <c r="D39" s="3" t="inlineStr">
        <is>
          <t>MAJOR</t>
        </is>
      </c>
      <c r="E39" s="3" t="inlineStr">
        <is>
          <t>description_proposed_html</t>
        </is>
      </c>
      <c r="F39" s="3" t="inlineStr">
        <is>
          <t>&lt;p&gt;Add themed style to the bedroom with this Jeminise quilt set featuring large colorful cat face in patchwork blocks. The artwork is shown across the main bedding mockup and coordinated pillow or sham images where included.&lt;/p&gt;&lt;h3&gt;Design Details&lt;/h3&gt;&lt;ul&gt;&lt;li&gt;Artwork focus: large colorful cat face in patchwork blocks.&lt;/li&gt;&lt;li&gt;Gallery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G39" s="3" t="inlineStr">
        <is>
          <t>Internal workflow language is gone, but the replacement repeats a generic template and largely defers product details to the live page.</t>
        </is>
      </c>
      <c r="H39" s="3" t="inlineStr">
        <is>
          <t>The body is safer than r1 but underuses verified dimensions, component rules, material/care panels and distinctive purchase information.</t>
        </is>
      </c>
      <c r="I39" s="3" t="inlineStr">
        <is>
          <t>Rewrite concise customer-facing English HTML using only verified product-specific facts and exact option/component wording.</t>
        </is>
      </c>
      <c r="J39" s="3" t="inlineStr">
        <is>
          <t>evidence_batch_001_005; direct gallery review</t>
        </is>
      </c>
      <c r="K39" s="3" t="inlineStr">
        <is>
          <t>No internal text remains and the body contains useful, product-specific, source-backed purchase details.</t>
        </is>
      </c>
    </row>
    <row r="40" ht="84" customHeight="1">
      <c r="A40" s="2" t="inlineStr">
        <is>
          <t>R2-ISS-005-ADMIN</t>
        </is>
      </c>
      <c r="B40" s="2" t="inlineStr">
        <is>
          <t>jeminise.com+cat-patchwork-quilt-set-animal-pattern-bedding-cat-pattern-quilt-set</t>
        </is>
      </c>
      <c r="C40" s="2" t="inlineStr"/>
      <c r="D40" s="2" t="inlineStr">
        <is>
          <t>LIMITATION</t>
        </is>
      </c>
      <c r="E40" s="2" t="inlineStr">
        <is>
          <t>admin SEO fields/current alt</t>
        </is>
      </c>
      <c r="F40" s="2" t="inlineStr">
        <is>
          <t>Not provided</t>
        </is>
      </c>
      <c r="G40" s="2" t="inlineStr">
        <is>
          <t>No Shopify admin export was supplied for re-QA.</t>
        </is>
      </c>
      <c r="H40" s="2" t="inlineStr">
        <is>
          <t>Stored admin SEO fields and media alt cannot be inferred from storefront data.</t>
        </is>
      </c>
      <c r="I40" s="2" t="inlineStr">
        <is>
          <t>Provide a Shopify admin export before deployment approval.</t>
        </is>
      </c>
      <c r="J40" s="2" t="inlineStr">
        <is>
          <t>https://jeminise.com/products/cat-patchwork-quilt-set-animal-pattern-bedding-cat-pattern-quilt-set</t>
        </is>
      </c>
      <c r="K40" s="2" t="inlineStr">
        <is>
          <t>Compare r2 with authenticated admin/export values.</t>
        </is>
      </c>
    </row>
    <row r="41" ht="84" customHeight="1">
      <c r="A41" s="3" t="inlineStr">
        <is>
          <t>R2-ISS-006-BODY</t>
        </is>
      </c>
      <c r="B41" s="3" t="inlineStr">
        <is>
          <t>jeminise.com+cat-quilt-set-cat-patchwork-style-printed-bedding-animal-patchwork</t>
        </is>
      </c>
      <c r="C41" s="3" t="inlineStr"/>
      <c r="D41" s="3" t="inlineStr">
        <is>
          <t>MAJOR</t>
        </is>
      </c>
      <c r="E41" s="3" t="inlineStr">
        <is>
          <t>description_proposed_html</t>
        </is>
      </c>
      <c r="F41" s="3" t="inlineStr">
        <is>
          <t>&lt;p&gt;Add themed style to the bedroom with this Jeminise quilt set featuring sitting cat in geometric patchwork colors on beige leaf background. The artwork is shown across the main bedding mockup and coordinated pillow or sham images where included.&lt;/p&gt;&lt;h3&gt;Design Details&lt;/h3&gt;&lt;ul&gt;&lt;li&gt;Artwork focus: sitting cat in geometric patchwork colors on beige leaf background.&lt;/li&gt;&lt;li&gt;Gallery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G41" s="3" t="inlineStr">
        <is>
          <t>Internal workflow language is gone, but the replacement repeats a generic template and largely defers product details to the live page.</t>
        </is>
      </c>
      <c r="H41" s="3" t="inlineStr">
        <is>
          <t>The body is safer than r1 but underuses verified dimensions, component rules, material/care panels and distinctive purchase information.</t>
        </is>
      </c>
      <c r="I41" s="3" t="inlineStr">
        <is>
          <t>Rewrite concise customer-facing English HTML using only verified product-specific facts and exact option/component wording.</t>
        </is>
      </c>
      <c r="J41" s="3" t="inlineStr">
        <is>
          <t>evidence_batch_001_006; direct gallery review</t>
        </is>
      </c>
      <c r="K41" s="3" t="inlineStr">
        <is>
          <t>No internal text remains and the body contains useful, product-specific, source-backed purchase details.</t>
        </is>
      </c>
    </row>
    <row r="42" ht="84" customHeight="1">
      <c r="A42" s="2" t="inlineStr">
        <is>
          <t>R2-ISS-006-ADMIN</t>
        </is>
      </c>
      <c r="B42" s="2" t="inlineStr">
        <is>
          <t>jeminise.com+cat-quilt-set-cat-patchwork-style-printed-bedding-animal-patchwork</t>
        </is>
      </c>
      <c r="C42" s="2" t="inlineStr"/>
      <c r="D42" s="2" t="inlineStr">
        <is>
          <t>LIMITATION</t>
        </is>
      </c>
      <c r="E42" s="2" t="inlineStr">
        <is>
          <t>admin SEO fields/current alt</t>
        </is>
      </c>
      <c r="F42" s="2" t="inlineStr">
        <is>
          <t>Not provided</t>
        </is>
      </c>
      <c r="G42" s="2" t="inlineStr">
        <is>
          <t>No Shopify admin export was supplied for re-QA.</t>
        </is>
      </c>
      <c r="H42" s="2" t="inlineStr">
        <is>
          <t>Stored admin SEO fields and media alt cannot be inferred from storefront data.</t>
        </is>
      </c>
      <c r="I42" s="2" t="inlineStr">
        <is>
          <t>Provide a Shopify admin export before deployment approval.</t>
        </is>
      </c>
      <c r="J42" s="2" t="inlineStr">
        <is>
          <t>https://jeminise.com/products/cat-quilt-set-cat-patchwork-style-printed-bedding-animal-patchwork</t>
        </is>
      </c>
      <c r="K42" s="2" t="inlineStr">
        <is>
          <t>Compare r2 with authenticated admin/export values.</t>
        </is>
      </c>
    </row>
    <row r="43" ht="84" customHeight="1">
      <c r="A43" s="3" t="inlineStr">
        <is>
          <t>R2-ISS-007-BODY</t>
        </is>
      </c>
      <c r="B43" s="3" t="inlineStr">
        <is>
          <t>jeminise.com+celtic-and-fantasy-quilt-set-with-twisting-tree-trunk-and-exposed-roots-c7b1460bad-c7b1460bad</t>
        </is>
      </c>
      <c r="C43" s="3" t="inlineStr"/>
      <c r="D43" s="3" t="inlineStr">
        <is>
          <t>MAJOR</t>
        </is>
      </c>
      <c r="E43" s="3" t="inlineStr">
        <is>
          <t>description_proposed_html</t>
        </is>
      </c>
      <c r="F43" s="3" t="inlineStr">
        <is>
          <t>&lt;p&gt;Add themed style to the bedroom with this Jeminise quilt set featuring twisting tree trunk with exposed roots and Celtic knot border. The artwork is shown across the main bedding mockup and coordinated pillow or sham images where included.&lt;/p&gt;&lt;h3&gt;Design Details&lt;/h3&gt;&lt;ul&gt;&lt;li&gt;Artwork focus: twisting tree trunk with exposed roots and Celtic knot border.&lt;/li&gt;&lt;li&gt;Gallery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G43" s="3" t="inlineStr">
        <is>
          <t>Internal workflow language is gone, but the replacement repeats a generic template and largely defers product details to the live page.</t>
        </is>
      </c>
      <c r="H43" s="3" t="inlineStr">
        <is>
          <t>The body is safer than r1 but underuses verified dimensions, component rules, material/care panels and distinctive purchase information.</t>
        </is>
      </c>
      <c r="I43" s="3" t="inlineStr">
        <is>
          <t>Rewrite concise customer-facing English HTML using only verified product-specific facts and exact option/component wording.</t>
        </is>
      </c>
      <c r="J43" s="3" t="inlineStr">
        <is>
          <t>evidence_batch_001_007; direct gallery review</t>
        </is>
      </c>
      <c r="K43" s="3" t="inlineStr">
        <is>
          <t>No internal text remains and the body contains useful, product-specific, source-backed purchase details.</t>
        </is>
      </c>
    </row>
    <row r="44" ht="84" customHeight="1">
      <c r="A44" s="2" t="inlineStr">
        <is>
          <t>R2-ISS-007-ADMIN</t>
        </is>
      </c>
      <c r="B44" s="2" t="inlineStr">
        <is>
          <t>jeminise.com+celtic-and-fantasy-quilt-set-with-twisting-tree-trunk-and-exposed-roots-c7b1460bad-c7b1460bad</t>
        </is>
      </c>
      <c r="C44" s="2" t="inlineStr"/>
      <c r="D44" s="2" t="inlineStr">
        <is>
          <t>LIMITATION</t>
        </is>
      </c>
      <c r="E44" s="2" t="inlineStr">
        <is>
          <t>admin SEO fields/current alt</t>
        </is>
      </c>
      <c r="F44" s="2" t="inlineStr">
        <is>
          <t>Not provided</t>
        </is>
      </c>
      <c r="G44" s="2" t="inlineStr">
        <is>
          <t>No Shopify admin export was supplied for re-QA.</t>
        </is>
      </c>
      <c r="H44" s="2" t="inlineStr">
        <is>
          <t>Stored admin SEO fields and media alt cannot be inferred from storefront data.</t>
        </is>
      </c>
      <c r="I44" s="2" t="inlineStr">
        <is>
          <t>Provide a Shopify admin export before deployment approval.</t>
        </is>
      </c>
      <c r="J44" s="2" t="inlineStr">
        <is>
          <t>https://jeminise.com/products/celtic-and-fantasy-quilt-set-with-twisting-tree-trunk-and-exposed-roots-c7b1460bad-c7b1460bad</t>
        </is>
      </c>
      <c r="K44" s="2" t="inlineStr">
        <is>
          <t>Compare r2 with authenticated admin/export values.</t>
        </is>
      </c>
    </row>
    <row r="45" ht="84" customHeight="1">
      <c r="A45" s="3" t="inlineStr">
        <is>
          <t>R2-ISS-008-BODY</t>
        </is>
      </c>
      <c r="B45" s="3" t="inlineStr">
        <is>
          <t>jeminise.com+celtic-mythology-tree-of-life-quilt-set-with-celtic-knotwork-border-12786aba7e-12786aba7e</t>
        </is>
      </c>
      <c r="C45" s="3" t="inlineStr"/>
      <c r="D45" s="3" t="inlineStr">
        <is>
          <t>MAJOR</t>
        </is>
      </c>
      <c r="E45" s="3" t="inlineStr">
        <is>
          <t>description_proposed_html</t>
        </is>
      </c>
      <c r="F45" s="3" t="inlineStr">
        <is>
          <t>&lt;p&gt;Add themed style to the bedroom with this Jeminise quilt set featuring green tree of life medallion with Celtic knotwork border. The artwork is shown across the main bedding mockup and coordinated pillow or sham images where included.&lt;/p&gt;&lt;h3&gt;Design Details&lt;/h3&gt;&lt;ul&gt;&lt;li&gt;Artwork focus: green tree of life medallion with Celtic knotwork border.&lt;/li&gt;&lt;li&gt;Gallery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G45" s="3" t="inlineStr">
        <is>
          <t>Internal workflow language is gone, but the replacement repeats a generic template and largely defers product details to the live page.</t>
        </is>
      </c>
      <c r="H45" s="3" t="inlineStr">
        <is>
          <t>The body is safer than r1 but underuses verified dimensions, component rules, material/care panels and distinctive purchase information.</t>
        </is>
      </c>
      <c r="I45" s="3" t="inlineStr">
        <is>
          <t>Rewrite concise customer-facing English HTML using only verified product-specific facts and exact option/component wording.</t>
        </is>
      </c>
      <c r="J45" s="3" t="inlineStr">
        <is>
          <t>evidence_batch_001_008; direct gallery review</t>
        </is>
      </c>
      <c r="K45" s="3" t="inlineStr">
        <is>
          <t>No internal text remains and the body contains useful, product-specific, source-backed purchase details.</t>
        </is>
      </c>
    </row>
    <row r="46" ht="84" customHeight="1">
      <c r="A46" s="2" t="inlineStr">
        <is>
          <t>R2-ISS-008-ADMIN</t>
        </is>
      </c>
      <c r="B46" s="2" t="inlineStr">
        <is>
          <t>jeminise.com+celtic-mythology-tree-of-life-quilt-set-with-celtic-knotwork-border-12786aba7e-12786aba7e</t>
        </is>
      </c>
      <c r="C46" s="2" t="inlineStr"/>
      <c r="D46" s="2" t="inlineStr">
        <is>
          <t>LIMITATION</t>
        </is>
      </c>
      <c r="E46" s="2" t="inlineStr">
        <is>
          <t>admin SEO fields/current alt</t>
        </is>
      </c>
      <c r="F46" s="2" t="inlineStr">
        <is>
          <t>Not provided</t>
        </is>
      </c>
      <c r="G46" s="2" t="inlineStr">
        <is>
          <t>No Shopify admin export was supplied for re-QA.</t>
        </is>
      </c>
      <c r="H46" s="2" t="inlineStr">
        <is>
          <t>Stored admin SEO fields and media alt cannot be inferred from storefront data.</t>
        </is>
      </c>
      <c r="I46" s="2" t="inlineStr">
        <is>
          <t>Provide a Shopify admin export before deployment approval.</t>
        </is>
      </c>
      <c r="J46" s="2" t="inlineStr">
        <is>
          <t>https://jeminise.com/products/celtic-mythology-tree-of-life-quilt-set-with-celtic-knotwork-border-12786aba7e-12786aba7e</t>
        </is>
      </c>
      <c r="K46" s="2" t="inlineStr">
        <is>
          <t>Compare r2 with authenticated admin/export values.</t>
        </is>
      </c>
    </row>
    <row r="47" ht="84" customHeight="1">
      <c r="A47" s="3" t="inlineStr">
        <is>
          <t>R2-ISS-009-BODY</t>
        </is>
      </c>
      <c r="B47" s="3" t="inlineStr">
        <is>
          <t>jeminise.com+chicken-pattern-quilt-set-animal-patchwork-farmhouse-quilt-set</t>
        </is>
      </c>
      <c r="C47" s="3" t="inlineStr"/>
      <c r="D47" s="3" t="inlineStr">
        <is>
          <t>MAJOR</t>
        </is>
      </c>
      <c r="E47" s="3" t="inlineStr">
        <is>
          <t>description_proposed_html</t>
        </is>
      </c>
      <c r="F47" s="3" t="inlineStr">
        <is>
          <t>&lt;p&gt;Add themed style to the bedroom with this Jeminise quilt set featuring farmhouse chicken and hen pattern with nest and eggs. The artwork is shown across the main bedding mockup and coordinated pillow or sham images where included.&lt;/p&gt;&lt;h3&gt;Design Details&lt;/h3&gt;&lt;ul&gt;&lt;li&gt;Artwork focus: farmhouse chicken and hen pattern with nest and eggs.&lt;/li&gt;&lt;li&gt;Gallery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G47" s="3" t="inlineStr">
        <is>
          <t>Internal workflow language is gone, but the replacement repeats a generic template and largely defers product details to the live page.</t>
        </is>
      </c>
      <c r="H47" s="3" t="inlineStr">
        <is>
          <t>The body is safer than r1 but underuses verified dimensions, component rules, material/care panels and distinctive purchase information.</t>
        </is>
      </c>
      <c r="I47" s="3" t="inlineStr">
        <is>
          <t>Rewrite concise customer-facing English HTML using only verified product-specific facts and exact option/component wording.</t>
        </is>
      </c>
      <c r="J47" s="3" t="inlineStr">
        <is>
          <t>evidence_batch_001_009; direct gallery review</t>
        </is>
      </c>
      <c r="K47" s="3" t="inlineStr">
        <is>
          <t>No internal text remains and the body contains useful, product-specific, source-backed purchase details.</t>
        </is>
      </c>
    </row>
    <row r="48" ht="84" customHeight="1">
      <c r="A48" s="2" t="inlineStr">
        <is>
          <t>R2-ISS-009-ADMIN</t>
        </is>
      </c>
      <c r="B48" s="2" t="inlineStr">
        <is>
          <t>jeminise.com+chicken-pattern-quilt-set-animal-patchwork-farmhouse-quilt-set</t>
        </is>
      </c>
      <c r="C48" s="2" t="inlineStr"/>
      <c r="D48" s="2" t="inlineStr">
        <is>
          <t>LIMITATION</t>
        </is>
      </c>
      <c r="E48" s="2" t="inlineStr">
        <is>
          <t>admin SEO fields/current alt</t>
        </is>
      </c>
      <c r="F48" s="2" t="inlineStr">
        <is>
          <t>Not provided</t>
        </is>
      </c>
      <c r="G48" s="2" t="inlineStr">
        <is>
          <t>No Shopify admin export was supplied for re-QA.</t>
        </is>
      </c>
      <c r="H48" s="2" t="inlineStr">
        <is>
          <t>Stored admin SEO fields and media alt cannot be inferred from storefront data.</t>
        </is>
      </c>
      <c r="I48" s="2" t="inlineStr">
        <is>
          <t>Provide a Shopify admin export before deployment approval.</t>
        </is>
      </c>
      <c r="J48" s="2" t="inlineStr">
        <is>
          <t>https://jeminise.com/products/chicken-pattern-quilt-set-animal-patchwork-farmhouse-quilt-set</t>
        </is>
      </c>
      <c r="K48" s="2" t="inlineStr">
        <is>
          <t>Compare r2 with authenticated admin/export values.</t>
        </is>
      </c>
    </row>
    <row r="49" ht="84" customHeight="1">
      <c r="A49" s="3" t="inlineStr">
        <is>
          <t>R2-ISS-010-BODY</t>
        </is>
      </c>
      <c r="B49" s="3" t="inlineStr">
        <is>
          <t>jeminise.com+christian-bedding-set-inspirational-bible-verse-comforte-design-01</t>
        </is>
      </c>
      <c r="C49" s="3" t="inlineStr"/>
      <c r="D49" s="3" t="inlineStr">
        <is>
          <t>MAJOR</t>
        </is>
      </c>
      <c r="E49" s="3" t="inlineStr">
        <is>
          <t>description_proposed_html</t>
        </is>
      </c>
      <c r="F49" s="3" t="inlineStr">
        <is>
          <t>&lt;p&gt;Add themed style to the bedroom with this Jeminise comforter set featuring Christian God Says I Am design with themed artwork Jessica, flowers and butterflies. The artwork is shown across the main bedding mockup and coordinated pillow or sham images where included.&lt;/p&gt;&lt;h3&gt;Design Details&lt;/h3&gt;&lt;ul&gt;&lt;li&gt;Artwork focus: Christian God Says I Am design with themed artwork Jessica, flowers and butterflies.&lt;/li&gt;&lt;li&gt;Gallery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G49" s="3" t="inlineStr">
        <is>
          <t>Internal workflow language is gone, but the replacement repeats a generic template and largely defers product details to the live page.</t>
        </is>
      </c>
      <c r="H49" s="3" t="inlineStr">
        <is>
          <t>The body is safer than r1 but underuses verified dimensions, component rules, material/care panels and distinctive purchase information.</t>
        </is>
      </c>
      <c r="I49" s="3" t="inlineStr">
        <is>
          <t>Rewrite concise customer-facing English HTML using only verified product-specific facts and exact option/component wording.</t>
        </is>
      </c>
      <c r="J49" s="3" t="inlineStr">
        <is>
          <t>evidence_batch_001_010; direct gallery review</t>
        </is>
      </c>
      <c r="K49" s="3" t="inlineStr">
        <is>
          <t>No internal text remains and the body contains useful, product-specific, source-backed purchase details.</t>
        </is>
      </c>
    </row>
    <row r="50" ht="84" customHeight="1">
      <c r="A50" s="2" t="inlineStr">
        <is>
          <t>R2-ISS-010-ADMIN</t>
        </is>
      </c>
      <c r="B50" s="2" t="inlineStr">
        <is>
          <t>jeminise.com+christian-bedding-set-inspirational-bible-verse-comforte-design-01</t>
        </is>
      </c>
      <c r="C50" s="2" t="inlineStr"/>
      <c r="D50" s="2" t="inlineStr">
        <is>
          <t>LIMITATION</t>
        </is>
      </c>
      <c r="E50" s="2" t="inlineStr">
        <is>
          <t>admin SEO fields/current alt</t>
        </is>
      </c>
      <c r="F50" s="2" t="inlineStr">
        <is>
          <t>Not provided</t>
        </is>
      </c>
      <c r="G50" s="2" t="inlineStr">
        <is>
          <t>No Shopify admin export was supplied for re-QA.</t>
        </is>
      </c>
      <c r="H50" s="2" t="inlineStr">
        <is>
          <t>Stored admin SEO fields and media alt cannot be inferred from storefront data.</t>
        </is>
      </c>
      <c r="I50" s="2" t="inlineStr">
        <is>
          <t>Provide a Shopify admin export before deployment approval.</t>
        </is>
      </c>
      <c r="J50" s="2" t="inlineStr">
        <is>
          <t>https://jeminise.com/products/christian-bedding-set-inspirational-bible-verse-comforte-design-01</t>
        </is>
      </c>
      <c r="K50" s="2" t="inlineStr">
        <is>
          <t>Compare r2 with authenticated admin/export values.</t>
        </is>
      </c>
    </row>
    <row r="51" ht="84" customHeight="1">
      <c r="A51" s="3" t="inlineStr">
        <is>
          <t>R2-ISS-001-CANN</t>
        </is>
      </c>
      <c r="B51" s="3" t="inlineStr">
        <is>
          <t>jeminise.com+autumn-cardinals-perched-above-large-sunflowers-quilt-with-cardinal-birds-9a3b408b20-9a3b408b20</t>
        </is>
      </c>
      <c r="C51" s="3" t="inlineStr"/>
      <c r="D51" s="3" t="inlineStr">
        <is>
          <t>MAJOR</t>
        </is>
      </c>
      <c r="E51" s="3" t="inlineStr">
        <is>
          <t>keyword_map/intent differentiation</t>
        </is>
      </c>
      <c r="F51" s="3" t="inlineStr">
        <is>
          <t>cardinal sunflower quilt set</t>
        </is>
      </c>
      <c r="G51" s="3" t="inlineStr">
        <is>
          <t>Sibling cardinal products target closely related product-page intent.</t>
        </is>
      </c>
      <c r="H51" s="3" t="inlineStr">
        <is>
          <t>Artwork modifiers differ, but the r2 map still does not document collection relationship, internal-link role or a no-cannibalization rule.</t>
        </is>
      </c>
      <c r="I51" s="3" t="inlineStr">
        <is>
          <t>Assign a unique primary query and internal-link role for this design within its sibling cluster.</t>
        </is>
      </c>
      <c r="J51" s="3" t="inlineStr">
        <is>
          <t>https://vantique.net/products/autumn-cardinal-3-piece-quilted-bedding-set-ncu0tv033; https://www.target.com/s/cardinal%2Bquilt</t>
        </is>
      </c>
      <c r="K51" s="3" t="inlineStr">
        <is>
          <t>Keyword map documents a unique target and its relationship to sibling products.</t>
        </is>
      </c>
    </row>
    <row r="52" ht="84" customHeight="1">
      <c r="A52" s="2" t="inlineStr">
        <is>
          <t>R2-ISS-003-CANN</t>
        </is>
      </c>
      <c r="B52" s="2" t="inlineStr">
        <is>
          <t>jeminise.com+cardinals-perched-beside-decorated-christmas-tree-patchwork-winter-quilt-7cd7bc46a0-7cd7bc46a0</t>
        </is>
      </c>
      <c r="C52" s="2" t="inlineStr"/>
      <c r="D52" s="2" t="inlineStr">
        <is>
          <t>MAJOR</t>
        </is>
      </c>
      <c r="E52" s="2" t="inlineStr">
        <is>
          <t>keyword_map/intent differentiation</t>
        </is>
      </c>
      <c r="F52" s="2" t="inlineStr">
        <is>
          <t>Christmas cardinal memorial quilt</t>
        </is>
      </c>
      <c r="G52" s="2" t="inlineStr">
        <is>
          <t>Sibling cardinal products target closely related product-page intent.</t>
        </is>
      </c>
      <c r="H52" s="2" t="inlineStr">
        <is>
          <t>Artwork modifiers differ, but the r2 map still does not document collection relationship, internal-link role or a no-cannibalization rule.</t>
        </is>
      </c>
      <c r="I52" s="2" t="inlineStr">
        <is>
          <t>Assign a unique primary query and internal-link role for this design within its sibling cluster.</t>
        </is>
      </c>
      <c r="J52" s="2" t="inlineStr">
        <is>
          <t>https://www.target.com/s/cardinal%2Bquilt; https://www.marcielobedding.com/products/marcelo-3-pcs-winter-cardinals-christmas-quilt-bedspread-set-decor</t>
        </is>
      </c>
      <c r="K52" s="2" t="inlineStr">
        <is>
          <t>Keyword map documents a unique target and its relationship to sibling products.</t>
        </is>
      </c>
    </row>
    <row r="53" ht="84" customHeight="1">
      <c r="A53" s="3" t="inlineStr">
        <is>
          <t>R2-ISS-004-CANN</t>
        </is>
      </c>
      <c r="B53" s="3" t="inlineStr">
        <is>
          <t>jeminise.com+cardinals-perched-on-branch-with-roses-patchwork-winter-quilt-21ac904cd7-21ac904cd7</t>
        </is>
      </c>
      <c r="C53" s="3" t="inlineStr"/>
      <c r="D53" s="3" t="inlineStr">
        <is>
          <t>MAJOR</t>
        </is>
      </c>
      <c r="E53" s="3" t="inlineStr">
        <is>
          <t>keyword_map/intent differentiation</t>
        </is>
      </c>
      <c r="F53" s="3" t="inlineStr">
        <is>
          <t>cardinal memorial quilt with roses</t>
        </is>
      </c>
      <c r="G53" s="3" t="inlineStr">
        <is>
          <t>Sibling cardinal products target closely related product-page intent.</t>
        </is>
      </c>
      <c r="H53" s="3" t="inlineStr">
        <is>
          <t>Artwork modifiers differ, but the r2 map still does not document collection relationship, internal-link role or a no-cannibalization rule.</t>
        </is>
      </c>
      <c r="I53" s="3" t="inlineStr">
        <is>
          <t>Assign a unique primary query and internal-link role for this design within its sibling cluster.</t>
        </is>
      </c>
      <c r="J53" s="3" t="inlineStr">
        <is>
          <t>https://www.reddit.com/r/quilting/comments/19fiv3f; https://www.reddit.com/r/quilting/comments/166n7be</t>
        </is>
      </c>
      <c r="K53" s="3" t="inlineStr">
        <is>
          <t>Keyword map documents a unique target and its relationship to sibling products.</t>
        </is>
      </c>
    </row>
    <row r="54" ht="84" customHeight="1">
      <c r="A54" s="2" t="inlineStr">
        <is>
          <t>R2-ISS-005-CANN</t>
        </is>
      </c>
      <c r="B54" s="2" t="inlineStr">
        <is>
          <t>jeminise.com+cat-patchwork-quilt-set-animal-pattern-bedding-cat-pattern-quilt-set</t>
        </is>
      </c>
      <c r="C54" s="2" t="inlineStr"/>
      <c r="D54" s="2" t="inlineStr">
        <is>
          <t>MAJOR</t>
        </is>
      </c>
      <c r="E54" s="2" t="inlineStr">
        <is>
          <t>keyword_map/intent differentiation</t>
        </is>
      </c>
      <c r="F54" s="2" t="inlineStr">
        <is>
          <t>cat patchwork quilt set</t>
        </is>
      </c>
      <c r="G54" s="2" t="inlineStr">
        <is>
          <t>Sibling cat products target closely related product-page intent.</t>
        </is>
      </c>
      <c r="H54" s="2" t="inlineStr">
        <is>
          <t>Artwork modifiers differ, but the r2 map still does not document collection relationship, internal-link role or a no-cannibalization rule.</t>
        </is>
      </c>
      <c r="I54" s="2" t="inlineStr">
        <is>
          <t>Assign a unique primary query and internal-link role for this design within its sibling cluster.</t>
        </is>
      </c>
      <c r="J54" s="2" t="inlineStr">
        <is>
          <t>https://www.walmart.com/ip/20788770071; https://www.walmart.com/ip/20076702698</t>
        </is>
      </c>
      <c r="K54" s="2" t="inlineStr">
        <is>
          <t>Keyword map documents a unique target and its relationship to sibling products.</t>
        </is>
      </c>
    </row>
    <row r="55" ht="84" customHeight="1">
      <c r="A55" s="3" t="inlineStr">
        <is>
          <t>R2-ISS-006-CANN</t>
        </is>
      </c>
      <c r="B55" s="3" t="inlineStr">
        <is>
          <t>jeminise.com+cat-quilt-set-cat-patchwork-style-printed-bedding-animal-patchwork</t>
        </is>
      </c>
      <c r="C55" s="3" t="inlineStr"/>
      <c r="D55" s="3" t="inlineStr">
        <is>
          <t>MAJOR</t>
        </is>
      </c>
      <c r="E55" s="3" t="inlineStr">
        <is>
          <t>keyword_map/intent differentiation</t>
        </is>
      </c>
      <c r="F55" s="3" t="inlineStr">
        <is>
          <t>cat patchwork bedding set</t>
        </is>
      </c>
      <c r="G55" s="3" t="inlineStr">
        <is>
          <t>Sibling cat products target closely related product-page intent.</t>
        </is>
      </c>
      <c r="H55" s="3" t="inlineStr">
        <is>
          <t>Artwork modifiers differ, but the r2 map still does not document collection relationship, internal-link role or a no-cannibalization rule.</t>
        </is>
      </c>
      <c r="I55" s="3" t="inlineStr">
        <is>
          <t>Assign a unique primary query and internal-link role for this design within its sibling cluster.</t>
        </is>
      </c>
      <c r="J55" s="3" t="inlineStr">
        <is>
          <t>https://www.wayfair.com/bed-bath/pdp/ambesonne-cat-bedspread-set-patchwork-style-silly-faces-multicolor-bbqv8335.html; https://vantique.net/products/whimsical-cat-patchwork-3-piece-quilted-bedding-set-ncu0nt5145</t>
        </is>
      </c>
      <c r="K55" s="3" t="inlineStr">
        <is>
          <t>Keyword map documents a unique target and its relationship to sibling products.</t>
        </is>
      </c>
    </row>
    <row r="56" ht="84" customHeight="1">
      <c r="A56" s="2" t="inlineStr">
        <is>
          <t>R2-ISS-007-CANN</t>
        </is>
      </c>
      <c r="B56" s="2" t="inlineStr">
        <is>
          <t>jeminise.com+celtic-and-fantasy-quilt-set-with-twisting-tree-trunk-and-exposed-roots-c7b1460bad-c7b1460bad</t>
        </is>
      </c>
      <c r="C56" s="2" t="inlineStr"/>
      <c r="D56" s="2" t="inlineStr">
        <is>
          <t>MAJOR</t>
        </is>
      </c>
      <c r="E56" s="2" t="inlineStr">
        <is>
          <t>keyword_map/intent differentiation</t>
        </is>
      </c>
      <c r="F56" s="2" t="inlineStr">
        <is>
          <t>Celtic tree quilt set</t>
        </is>
      </c>
      <c r="G56" s="2" t="inlineStr">
        <is>
          <t>Sibling Celtic tree products target closely related product-page intent.</t>
        </is>
      </c>
      <c r="H56" s="2" t="inlineStr">
        <is>
          <t>Artwork modifiers differ, but the r2 map still does not document collection relationship, internal-link role or a no-cannibalization rule.</t>
        </is>
      </c>
      <c r="I56" s="2" t="inlineStr">
        <is>
          <t>Assign a unique primary query and internal-link role for this design within its sibling cluster.</t>
        </is>
      </c>
      <c r="J56" s="2" t="inlineStr">
        <is>
          <t>https://usblanket.com/collections/tree-of-life; https://www.freshouseshop.com/products/celtic-bed-knot-tree-of-life-veru1967-quilt-bedding-set</t>
        </is>
      </c>
      <c r="K56" s="2" t="inlineStr">
        <is>
          <t>Keyword map documents a unique target and its relationship to sibling products.</t>
        </is>
      </c>
    </row>
    <row r="57" ht="84" customHeight="1">
      <c r="A57" s="3" t="inlineStr">
        <is>
          <t>R2-ISS-008-CANN</t>
        </is>
      </c>
      <c r="B57" s="3" t="inlineStr">
        <is>
          <t>jeminise.com+celtic-mythology-tree-of-life-quilt-set-with-celtic-knotwork-border-12786aba7e-12786aba7e</t>
        </is>
      </c>
      <c r="C57" s="3" t="inlineStr"/>
      <c r="D57" s="3" t="inlineStr">
        <is>
          <t>MAJOR</t>
        </is>
      </c>
      <c r="E57" s="3" t="inlineStr">
        <is>
          <t>keyword_map/intent differentiation</t>
        </is>
      </c>
      <c r="F57" s="3" t="inlineStr">
        <is>
          <t>Celtic tree of life quilt set</t>
        </is>
      </c>
      <c r="G57" s="3" t="inlineStr">
        <is>
          <t>Sibling Celtic tree products target closely related product-page intent.</t>
        </is>
      </c>
      <c r="H57" s="3" t="inlineStr">
        <is>
          <t>Artwork modifiers differ, but the r2 map still does not document collection relationship, internal-link role or a no-cannibalization rule.</t>
        </is>
      </c>
      <c r="I57" s="3" t="inlineStr">
        <is>
          <t>Assign a unique primary query and internal-link role for this design within its sibling cluster.</t>
        </is>
      </c>
      <c r="J57" s="3" t="inlineStr">
        <is>
          <t>https://quiltnest.com/products/intricate-celtic-tree-of-life-3-piece-quilted-bedding-set-ncu0pd047; https://ohaprints.com/products/ohaprints-quilt-bed-set-pillowcase-tree-of-life-yggdrasil-black-yellow-mythology-ancient-norse-nordic-blanket-bedspread-bedding-695</t>
        </is>
      </c>
      <c r="K57" s="3" t="inlineStr">
        <is>
          <t>Keyword map documents a unique target and its relationship to sibling products.</t>
        </is>
      </c>
    </row>
    <row r="58" ht="84" customHeight="1">
      <c r="A58" s="2" t="inlineStr">
        <is>
          <t>R2-ISS-002-PERS</t>
        </is>
      </c>
      <c r="B58" s="2" t="inlineStr">
        <is>
          <t>jeminise.com+bright-teal-yellow-softball-comforter-set-premium-sports-theme</t>
        </is>
      </c>
      <c r="C58" s="2" t="inlineStr"/>
      <c r="D58" s="2" t="inlineStr">
        <is>
          <t>MAJOR</t>
        </is>
      </c>
      <c r="E58" s="2" t="inlineStr">
        <is>
          <t>title/keyword/description personalization</t>
        </is>
      </c>
      <c r="F58" s="2" t="inlineStr">
        <is>
          <t>Bright Teal Softball Comforter Set | softball comforter set | body does not clearly explain live customization</t>
        </is>
      </c>
      <c r="G58" s="2" t="inlineStr">
        <is>
          <t>[{"id": "d6d3d038-7f6c-4075-aa67-79a94b867fc8", "label": "Custom Your Name", "required": true, "minLength": 1, "maxLength": 1000, "maxLines": 1, "placeholder": "Thomas", "instructions": "Enter \"NO' if you don't want", "regexChoice": "1883d0d2-a293-44a7-971b-2fc40388bdb1", "placementId": null, "groupId": null, "ancestors": ["af0e0533-9d8c-48ff-b13b-e3597c50fe2e", "b1fd4f2d-1506-4a18-bf99-b732707a33a0", "083a843e-478a-4e42-a0f5-0a08a26e3e9c", "3be824cb-4a1a-450f-aca1-27466493933c"]}, {"id": "2c9e699b-a449-4c76-8bb9-b283e4101718", "label": "Custom Your Number", "required": true, "minLength": 1, "maxLength": 1000, "maxLines": 1, "placeholder": "99", "instructions": "Enter \"NO' if you don't want", "regexChoice": "1883d0d2-a293-44a7-971b-2fc40388bdb1", "placementId": null, "groupId": null, "ancestors": ["af0e0533-9d8c-48ff-b13b-e3597c50fe2e", "b1fd4f2d-1506-4a18-bf99-b732707a33a0", "083a843e-478a-4e42-a0f5-0a08a26e3e9c", "9aa16315-3419-4d75-94a9-e8f08730a805"]}]</t>
        </is>
      </c>
      <c r="H58" s="2" t="inlineStr">
        <is>
          <t>Fresh live HTML contains customer text fields, but r2 omits or obscures this verified purchase feature.</t>
        </is>
      </c>
      <c r="I58" s="2" t="inlineStr">
        <is>
          <t>Add accurate English customization wording based on the live field labels; for product 10 explain the editable name and its 13-character limit.</t>
        </is>
      </c>
      <c r="J58" s="2" t="inlineStr">
        <is>
          <t>https://jeminise.com/products/bright-teal-yellow-softball-comforter-set-premium-sports-theme; customizer_audit.json</t>
        </is>
      </c>
      <c r="K58" s="2" t="inlineStr">
        <is>
          <t>Open Customize, confirm field labels/persistence, then verify title, keyword and body describe only supported inputs.</t>
        </is>
      </c>
    </row>
    <row r="59" ht="84" customHeight="1">
      <c r="A59" s="3" t="inlineStr">
        <is>
          <t>R2-ISS-010-PERS</t>
        </is>
      </c>
      <c r="B59" s="3" t="inlineStr">
        <is>
          <t>jeminise.com+christian-bedding-set-inspirational-bible-verse-comforte-design-01</t>
        </is>
      </c>
      <c r="C59" s="3" t="inlineStr"/>
      <c r="D59" s="3" t="inlineStr">
        <is>
          <t>MAJOR</t>
        </is>
      </c>
      <c r="E59" s="3" t="inlineStr">
        <is>
          <t>title/keyword/description personalization</t>
        </is>
      </c>
      <c r="F59" s="3" t="inlineStr">
        <is>
          <t>God Says I Am Christian Bedding Set | Christian comforter set | body does not clearly explain live customization</t>
        </is>
      </c>
      <c r="G59" s="3" t="inlineStr">
        <is>
          <t>[{"id": "Q8kF-kO-", "label": "Custom name, select number of letters in your name", "baseImage": {"url": "https://cdn.shopify.com/s/files/1/0792/5098/1063/files/amzcustom-config-118c412ebd44aaf3.jpg?v=1787237925", "width": 1000, "height": 1000}, "maskImage": null, "previewSize": 400}, {"id": "2oDM-PyS", "label": "Enter Name", "required": true, "minLength": 1, "maxLength": 13, "maxLines": 1, "placeholder": "Charlotte", "instructions": "Each letter in your custom text will have a special line design inspired by faith. Please look at the example carefully. If you have any questions, just leave a message here.", "regexChoice": "1883d0d2-a293-44a7-971b-2fc40388bdb1", "placementId": null, "groupId": null, "ancestors": ["p3fW4TC0", "Q8kF-kO-", "SYV8iQJp", "oHNQKG30"]}]</t>
        </is>
      </c>
      <c r="H59" s="3" t="inlineStr">
        <is>
          <t>Fresh live HTML contains customer text fields, but r2 omits or obscures this verified purchase feature.</t>
        </is>
      </c>
      <c r="I59" s="3" t="inlineStr">
        <is>
          <t>Add accurate English customization wording based on the live field labels; for product 10 explain the editable name and its 13-character limit.</t>
        </is>
      </c>
      <c r="J59" s="3" t="inlineStr">
        <is>
          <t>https://jeminise.com/products/christian-bedding-set-inspirational-bible-verse-comforte-design-01; customizer_audit.json</t>
        </is>
      </c>
      <c r="K59" s="3" t="inlineStr">
        <is>
          <t>Open Customize, confirm field labels/persistence, then verify title, keyword and body describe only supported inputs.</t>
        </is>
      </c>
    </row>
    <row r="60" ht="84" customHeight="1">
      <c r="A60" s="2" t="inlineStr">
        <is>
          <t>R2-ISS-003-SERP</t>
        </is>
      </c>
      <c r="B60" s="2" t="inlineStr">
        <is>
          <t>jeminise.com+cardinals-perched-beside-decorated-christmas-tree-patchwork-winter-quilt-7cd7bc46a0-7cd7bc46a0</t>
        </is>
      </c>
      <c r="C60" s="2" t="inlineStr"/>
      <c r="D60" s="2" t="inlineStr">
        <is>
          <t>MAJOR</t>
        </is>
      </c>
      <c r="E60" s="2" t="inlineStr">
        <is>
          <t>SERP evidence/intent</t>
        </is>
      </c>
      <c r="F60" s="2" t="inlineStr">
        <is>
          <t>Christmas cardinal memorial quilt</t>
        </is>
      </c>
      <c r="G60" s="2" t="inlineStr">
        <is>
          <t>Submitted evidence remains weak or hobby-led for the exact finished bedding intent.</t>
        </is>
      </c>
      <c r="H60" s="2" t="inlineStr">
        <is>
          <t>Changing mapping_status to r2 does not replace the underlying intent evidence.</t>
        </is>
      </c>
      <c r="I60" s="2" t="inlineStr">
        <is>
          <t>Replace with product-level commercial SERP URLs for finished quilt bedding and document the intent decision.</t>
        </is>
      </c>
      <c r="J60" s="2" t="inlineStr">
        <is>
          <t>https://www.target.com/s/cardinal%2Bquilt; https://www.marcielobedding.com/products/marcelo-3-pcs-winter-cardinals-christmas-quilt-bedspread-set-decor</t>
        </is>
      </c>
      <c r="K60" s="2" t="inlineStr">
        <is>
          <t>At least two read result URLs clearly represent finished bedding product intent.</t>
        </is>
      </c>
    </row>
    <row r="61" ht="84" customHeight="1">
      <c r="A61" s="3" t="inlineStr">
        <is>
          <t>R2-ISS-004-SERP</t>
        </is>
      </c>
      <c r="B61" s="3" t="inlineStr">
        <is>
          <t>jeminise.com+cardinals-perched-on-branch-with-roses-patchwork-winter-quilt-21ac904cd7-21ac904cd7</t>
        </is>
      </c>
      <c r="C61" s="3" t="inlineStr"/>
      <c r="D61" s="3" t="inlineStr">
        <is>
          <t>MAJOR</t>
        </is>
      </c>
      <c r="E61" s="3" t="inlineStr">
        <is>
          <t>SERP evidence/intent</t>
        </is>
      </c>
      <c r="F61" s="3" t="inlineStr">
        <is>
          <t>cardinal memorial quilt with roses</t>
        </is>
      </c>
      <c r="G61" s="3" t="inlineStr">
        <is>
          <t>Submitted evidence remains weak or hobby-led for the exact finished bedding intent.</t>
        </is>
      </c>
      <c r="H61" s="3" t="inlineStr">
        <is>
          <t>Changing mapping_status to r2 does not replace the underlying intent evidence.</t>
        </is>
      </c>
      <c r="I61" s="3" t="inlineStr">
        <is>
          <t>Replace with product-level commercial SERP URLs for finished quilt bedding and document the intent decision.</t>
        </is>
      </c>
      <c r="J61" s="3" t="inlineStr">
        <is>
          <t>https://www.reddit.com/r/quilting/comments/19fiv3f; https://www.reddit.com/r/quilting/comments/166n7be</t>
        </is>
      </c>
      <c r="K61" s="3" t="inlineStr">
        <is>
          <t>At least two read result URLs clearly represent finished bedding product intent.</t>
        </is>
      </c>
    </row>
    <row r="62" ht="84" customHeight="1">
      <c r="A62" s="2" t="inlineStr">
        <is>
          <t>R2-ISS-005-SERP-CRITICAL</t>
        </is>
      </c>
      <c r="B62" s="2" t="inlineStr">
        <is>
          <t>jeminise.com+cat-patchwork-quilt-set-animal-pattern-bedding-cat-pattern-quilt-set</t>
        </is>
      </c>
      <c r="C62" s="2" t="inlineStr"/>
      <c r="D62" s="2" t="inlineStr">
        <is>
          <t>CRITICAL</t>
        </is>
      </c>
      <c r="E62" s="2" t="inlineStr">
        <is>
          <t>Keyword_Map.validation_source / representative_SERP_URLs</t>
        </is>
      </c>
      <c r="F62" s="2" t="inlineStr">
        <is>
          <t>https://www.etsy.com/market/chicken_quilt</t>
        </is>
      </c>
      <c r="G62" s="2" t="inlineStr">
        <is>
          <t>Fresh cat-quilt SERP evidence was found, but the submitted r2 workbook still stores the chicken-quilt URL on all four product-5 keyword rows.</t>
        </is>
      </c>
      <c r="H62" s="2" t="inlineStr">
        <is>
          <t>The original cross-product evidence mismatch remains unresolved and breaks the submitted evidence chain.</t>
        </is>
      </c>
      <c r="I62" s="2" t="inlineStr">
        <is>
          <t>Replace every chicken-quilt reference with the actual cat-quilt pages read, update checked_at, then rerun the keyword decision.</t>
        </is>
      </c>
      <c r="J62" s="2" t="inlineStr">
        <is>
          <t>https://www.walmart.com/ip/20788770071; https://www.walmart.com/ip/20076702698</t>
        </is>
      </c>
      <c r="K62" s="2" t="inlineStr">
        <is>
          <t>No product-5 keyword row contains chicken evidence and all stored URLs resolve to cat quilt/bedding results.</t>
        </is>
      </c>
    </row>
    <row r="63" ht="84" customHeight="1">
      <c r="A63" s="3" t="inlineStr">
        <is>
          <t>R2-ISS-001-HYP</t>
        </is>
      </c>
      <c r="B63" s="3" t="inlineStr">
        <is>
          <t>jeminise.com+autumn-cardinals-perched-above-large-sunflowers-quilt-with-cardinal-birds-9a3b408b20-9a3b408b20</t>
        </is>
      </c>
      <c r="C63" s="3" t="inlineStr"/>
      <c r="D63" s="3" t="inlineStr">
        <is>
          <t>LIMITATION</t>
        </is>
      </c>
      <c r="E63" s="3" t="inlineStr">
        <is>
          <t>keyword_evidence_level</t>
        </is>
      </c>
      <c r="F63" s="3" t="inlineStr">
        <is>
          <t>HYPOTHESIS_ONLY</t>
        </is>
      </c>
      <c r="G63" s="3" t="inlineStr">
        <is>
          <t>No search-volume source was supplied; current level remains HYPOTHESIS_ONLY.</t>
        </is>
      </c>
      <c r="H63" s="3" t="inlineStr">
        <is>
          <t>Demand magnitude cannot be claimed from SERP intent alone.</t>
        </is>
      </c>
      <c r="I63" s="3" t="inlineStr">
        <is>
          <t>Keep the hypothesis label or add a dated keyword-volume source.</t>
        </is>
      </c>
      <c r="J63" s="3" t="inlineStr">
        <is>
          <t>https://vantique.net/products/autumn-cardinal-3-piece-quilted-bedding-set-ncu0tv033; https://www.target.com/s/cardinal%2Bquilt</t>
        </is>
      </c>
      <c r="K63" s="3" t="inlineStr">
        <is>
          <t>Evidence level matches the actual source type.</t>
        </is>
      </c>
    </row>
    <row r="64" ht="84" customHeight="1">
      <c r="A64" s="2" t="inlineStr">
        <is>
          <t>R2-ISS-006-HYP</t>
        </is>
      </c>
      <c r="B64" s="2" t="inlineStr">
        <is>
          <t>jeminise.com+cat-quilt-set-cat-patchwork-style-printed-bedding-animal-patchwork</t>
        </is>
      </c>
      <c r="C64" s="2" t="inlineStr"/>
      <c r="D64" s="2" t="inlineStr">
        <is>
          <t>LIMITATION</t>
        </is>
      </c>
      <c r="E64" s="2" t="inlineStr">
        <is>
          <t>keyword_evidence_level</t>
        </is>
      </c>
      <c r="F64" s="2" t="inlineStr">
        <is>
          <t>HYPOTHESIS_ONLY</t>
        </is>
      </c>
      <c r="G64" s="2" t="inlineStr">
        <is>
          <t>No search-volume source was supplied; current level remains HYPOTHESIS_ONLY.</t>
        </is>
      </c>
      <c r="H64" s="2" t="inlineStr">
        <is>
          <t>Demand magnitude cannot be claimed from SERP intent alone.</t>
        </is>
      </c>
      <c r="I64" s="2" t="inlineStr">
        <is>
          <t>Keep the hypothesis label or add a dated keyword-volume source.</t>
        </is>
      </c>
      <c r="J64" s="2" t="inlineStr">
        <is>
          <t>https://www.wayfair.com/bed-bath/pdp/ambesonne-cat-bedspread-set-patchwork-style-silly-faces-multicolor-bbqv8335.html; https://vantique.net/products/whimsical-cat-patchwork-3-piece-quilted-bedding-set-ncu0nt5145</t>
        </is>
      </c>
      <c r="K64" s="2" t="inlineStr">
        <is>
          <t>Evidence level matches the actual source type.</t>
        </is>
      </c>
    </row>
    <row r="65" ht="84" customHeight="1">
      <c r="A65" s="3" t="inlineStr">
        <is>
          <t>R2-ISS-002-ENC</t>
        </is>
      </c>
      <c r="B65" s="3" t="inlineStr">
        <is>
          <t>jeminise.com+bright-teal-yellow-softball-comforter-set-premium-sports-theme</t>
        </is>
      </c>
      <c r="C65" s="3" t="inlineStr"/>
      <c r="D65" s="3" t="inlineStr">
        <is>
          <t>MINOR</t>
        </is>
      </c>
      <c r="E65" s="3" t="inlineStr">
        <is>
          <t>source title/H1 encoding</t>
        </is>
      </c>
      <c r="F65" s="3" t="inlineStr">
        <is>
          <t>Bright Teal Yellow Softball Comforter Set – Premium Sports Theme</t>
        </is>
      </c>
      <c r="G65" s="3" t="inlineStr">
        <is>
          <t>Bright Teal Yellow Softball Comforter Set – Premium Sports Theme</t>
        </is>
      </c>
      <c r="H65" s="3" t="inlineStr">
        <is>
          <t>The source still renders a replacement character; the proposed title is clean but source evidence remains malformed.</t>
        </is>
      </c>
      <c r="I65" s="3" t="inlineStr">
        <is>
          <t>Correct the source title encoding separately before publication.</t>
        </is>
      </c>
      <c r="J65" s="3" t="inlineStr">
        <is>
          <t>https://jeminise.com/products/bright-teal-yellow-softball-comforter-set-premium-sports-theme</t>
        </is>
      </c>
      <c r="K65" s="3" t="inlineStr">
        <is>
          <t>Live title/H1 renders the intended dash without the replacement character.</t>
        </is>
      </c>
    </row>
    <row r="66" ht="84" customHeight="1">
      <c r="A66" s="2" t="inlineStr">
        <is>
          <t>R2-ISS-010-ENC</t>
        </is>
      </c>
      <c r="B66" s="2" t="inlineStr">
        <is>
          <t>jeminise.com+christian-bedding-set-inspirational-bible-verse-comforte-design-01</t>
        </is>
      </c>
      <c r="C66" s="2" t="inlineStr"/>
      <c r="D66" s="2" t="inlineStr">
        <is>
          <t>MINOR</t>
        </is>
      </c>
      <c r="E66" s="2" t="inlineStr">
        <is>
          <t>source title/H1 encoding</t>
        </is>
      </c>
      <c r="F66" s="2" t="inlineStr">
        <is>
          <t>Christian Bedding Set – Inspirational Bible Verse Comforte - Design 01</t>
        </is>
      </c>
      <c r="G66" s="2" t="inlineStr">
        <is>
          <t>Christian Bedding Set – Inspirational Bible Verse Comforte - Design 01</t>
        </is>
      </c>
      <c r="H66" s="2" t="inlineStr">
        <is>
          <t>The source still renders a replacement character; the proposed title is clean but source evidence remains malformed.</t>
        </is>
      </c>
      <c r="I66" s="2" t="inlineStr">
        <is>
          <t>Correct the source title encoding separately before publication.</t>
        </is>
      </c>
      <c r="J66" s="2" t="inlineStr">
        <is>
          <t>https://jeminise.com/products/christian-bedding-set-inspirational-bible-verse-comforte-design-01</t>
        </is>
      </c>
      <c r="K66" s="2" t="inlineStr">
        <is>
          <t>Live title/H1 renders the intended dash without the replacement character.</t>
        </is>
      </c>
    </row>
  </sheetData>
  <autoFilter ref="A1:K66"/>
  <conditionalFormatting sqref="D2:D66">
    <cfRule type="expression" priority="1" dxfId="3">
      <formula>D2="CRITICAL"</formula>
    </cfRule>
    <cfRule type="expression" priority="2" dxfId="2">
      <formula>D2="MAJOR"</formula>
    </cfRule>
    <cfRule type="expression" priority="3" dxfId="1">
      <formula>D2="MINOR"</formula>
    </cfRule>
    <cfRule type="expression" priority="4" dxfId="4">
      <formula>D2="LIMITATION"</formula>
    </cfRule>
  </conditionalFormatting>
  <printOptions horizontalCentered="0"/>
  <pageMargins left="0.25" right="0.25" top="0.5" bottom="0.5" header="0.5" footer="0.5"/>
  <pageSetup orientation="landscape" fitToHeight="0" fitToWidth="2"/>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2026-09-07T05:18:32Z</dcterms:created>
  <dcterms:modified xmlns:dcterms="http://purl.org/dc/terms/" xmlns:xsi="http://www.w3.org/2001/XMLSchema-instance" xsi:type="dcterms:W3CDTF">2026-09-07T05:18:32Z</dcterms:modified>
</cp:coreProperties>
</file>