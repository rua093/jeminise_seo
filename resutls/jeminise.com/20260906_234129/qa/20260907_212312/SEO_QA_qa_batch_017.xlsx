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'QA_Images'!$A$1:$Z$63</definedName>
    <definedName name="_xlnm.Print_Titles" localSheetId="3">'QA_Images'!$1:$1</definedName>
    <definedName name="_xlnm._FilterDatabase" localSheetId="4" hidden="1">'QA_Issues'!$A$1:$K$93</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norse-mythology-raven-within-celtic-knot-frame-quilt-906ee24d68-906ee24d68" TargetMode="External" Id="rId1"/><Relationship Type="http://schemas.openxmlformats.org/officeDocument/2006/relationships/hyperlink" Target="https://jeminise.com/products/norse-mythology-viking-shield-with-crossed-axes-quilt-ca630a284e-ca630a284e" TargetMode="External" Id="rId2"/><Relationship Type="http://schemas.openxmlformats.org/officeDocument/2006/relationships/hyperlink" Target="https://jeminise.com/products/owl-patchwork-pattern-quilt-set-animals-quilt-set-style-owl-nights" TargetMode="External" Id="rId3"/><Relationship Type="http://schemas.openxmlformats.org/officeDocument/2006/relationships/hyperlink" Target="https://jeminise.com/products/pamnest-twin-halloween-comforter-set-with-sheets-5-pieces-design-01" TargetMode="External" Id="rId4"/><Relationship Type="http://schemas.openxmlformats.org/officeDocument/2006/relationships/hyperlink" Target="https://jeminise.com/products/pamnest-twin-halloween-comforter-set-with-sheets-5-pieces-design-02" TargetMode="External" Id="rId5"/><Relationship Type="http://schemas.openxmlformats.org/officeDocument/2006/relationships/hyperlink" Target="https://jeminise.com/products/pamnest-twin-halloween-comforter-set-with-sheets-5-pieces-design-03" TargetMode="External" Id="rId6"/><Relationship Type="http://schemas.openxmlformats.org/officeDocument/2006/relationships/hyperlink" Target="https://jeminise.com/products/pamnest-twin-halloween-comforter-set-with-sheets-5-pieces-design-04" TargetMode="External" Id="rId7"/><Relationship Type="http://schemas.openxmlformats.org/officeDocument/2006/relationships/hyperlink" Target="https://jeminise.com/products/pamnest-twin-halloween-comforter-set-with-sheets-5-pieces-design-05" TargetMode="External" Id="rId8"/><Relationship Type="http://schemas.openxmlformats.org/officeDocument/2006/relationships/hyperlink" Target="https://jeminise.com/products/pamnest-twin-halloween-comforter-set-with-sheets-5-pieces-design-06" TargetMode="External" Id="rId9"/><Relationship Type="http://schemas.openxmlformats.org/officeDocument/2006/relationships/hyperlink" Target="https://jeminise.com/products/pamnest-twin-halloween-comforter-set-with-sheets-5-pieces-design-07"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f5df6ea5afdf042e566b7af241d22bd6929357120dcb00f0bc65a8916d20bdd1.jpg?v=1785104402" TargetMode="External" Id="rId1"/><Relationship Type="http://schemas.openxmlformats.org/officeDocument/2006/relationships/hyperlink" Target="https://cdn.shopify.com/s/files/1/0792/5098/1063/files/f5df6ea5afdf042e566b7af241d22bd6929357120dcb00f0bc65a8916d20bdd1.jpg?v=1785104402" TargetMode="External" Id="rId2"/><Relationship Type="http://schemas.openxmlformats.org/officeDocument/2006/relationships/hyperlink" Target="https://cdn.shopify.com/s/files/1/0792/5098/1063/files/bbce88f2a66fabf46529458b35db7d33399da290b604d17e49b58d179adc7c2a.jpg?v=1785104402" TargetMode="External" Id="rId3"/><Relationship Type="http://schemas.openxmlformats.org/officeDocument/2006/relationships/hyperlink" Target="https://cdn.shopify.com/s/files/1/0792/5098/1063/files/bbce88f2a66fabf46529458b35db7d33399da290b604d17e49b58d179adc7c2a.jpg?v=1785104402" TargetMode="External" Id="rId4"/><Relationship Type="http://schemas.openxmlformats.org/officeDocument/2006/relationships/hyperlink" Target="https://cdn.shopify.com/s/files/1/0792/5098/1063/files/27dd51b6fe9a32b87ac804b19987fb134fc4570b327d844efdae0740d4303aab.jpg?v=1785104402" TargetMode="External" Id="rId5"/><Relationship Type="http://schemas.openxmlformats.org/officeDocument/2006/relationships/hyperlink" Target="https://cdn.shopify.com/s/files/1/0792/5098/1063/files/27dd51b6fe9a32b87ac804b19987fb134fc4570b327d844efdae0740d4303aab.jpg?v=1785104402" TargetMode="External" Id="rId6"/><Relationship Type="http://schemas.openxmlformats.org/officeDocument/2006/relationships/hyperlink" Target="https://cdn.shopify.com/s/files/1/0792/5098/1063/files/c63b8bede4de84261bd2bc195d98188fb288eba460ea7d07b0ef625dba18ed45.jpg?v=1785104402" TargetMode="External" Id="rId7"/><Relationship Type="http://schemas.openxmlformats.org/officeDocument/2006/relationships/hyperlink" Target="https://cdn.shopify.com/s/files/1/0792/5098/1063/files/c63b8bede4de84261bd2bc195d98188fb288eba460ea7d07b0ef625dba18ed45.jpg?v=1785104402" TargetMode="External" Id="rId8"/><Relationship Type="http://schemas.openxmlformats.org/officeDocument/2006/relationships/hyperlink" Target="https://cdn.shopify.com/s/files/1/0792/5098/1063/files/bbe527fc7f68c31328261559b7b766ec905010bb91f9515c6d557dd1b085f14b.jpg?v=1785104402" TargetMode="External" Id="rId9"/><Relationship Type="http://schemas.openxmlformats.org/officeDocument/2006/relationships/hyperlink" Target="https://cdn.shopify.com/s/files/1/0792/5098/1063/files/bbe527fc7f68c31328261559b7b766ec905010bb91f9515c6d557dd1b085f14b.jpg?v=1785104402" TargetMode="External" Id="rId10"/><Relationship Type="http://schemas.openxmlformats.org/officeDocument/2006/relationships/hyperlink" Target="https://cdn.shopify.com/s/files/1/0792/5098/1063/files/5cc9f4f96bdb0280d8a3c4b98775690e61d79ad5625e9f20a101536548fe3b0e.jpg?v=1785104402" TargetMode="External" Id="rId11"/><Relationship Type="http://schemas.openxmlformats.org/officeDocument/2006/relationships/hyperlink" Target="https://cdn.shopify.com/s/files/1/0792/5098/1063/files/5cc9f4f96bdb0280d8a3c4b98775690e61d79ad5625e9f20a101536548fe3b0e.jpg?v=1785104402" TargetMode="External" Id="rId12"/><Relationship Type="http://schemas.openxmlformats.org/officeDocument/2006/relationships/hyperlink" Target="https://cdn.shopify.com/s/files/1/0792/5098/1063/files/31facc27e0d676d03e5239357f2912111f3e0640688af1ac241589e99b6705fb.jpg?v=1785104402" TargetMode="External" Id="rId13"/><Relationship Type="http://schemas.openxmlformats.org/officeDocument/2006/relationships/hyperlink" Target="https://cdn.shopify.com/s/files/1/0792/5098/1063/files/31facc27e0d676d03e5239357f2912111f3e0640688af1ac241589e99b6705fb.jpg?v=1785104402" TargetMode="External" Id="rId14"/><Relationship Type="http://schemas.openxmlformats.org/officeDocument/2006/relationships/hyperlink" Target="https://cdn.shopify.com/s/files/1/0792/5098/1063/files/a0bb7b2e86bb5a07b6f85d9046b813c1954eadf01e22807354afd66a9ebfdea6.jpg?v=1785104553" TargetMode="External" Id="rId15"/><Relationship Type="http://schemas.openxmlformats.org/officeDocument/2006/relationships/hyperlink" Target="https://cdn.shopify.com/s/files/1/0792/5098/1063/files/a0bb7b2e86bb5a07b6f85d9046b813c1954eadf01e22807354afd66a9ebfdea6.jpg?v=1785104553" TargetMode="External" Id="rId16"/><Relationship Type="http://schemas.openxmlformats.org/officeDocument/2006/relationships/hyperlink" Target="https://cdn.shopify.com/s/files/1/0792/5098/1063/files/cdc35c826f340b6635063d4154a0b5dfe33f71c7ea05f07fdfc6546f09c22e28.jpg?v=1785104553" TargetMode="External" Id="rId17"/><Relationship Type="http://schemas.openxmlformats.org/officeDocument/2006/relationships/hyperlink" Target="https://cdn.shopify.com/s/files/1/0792/5098/1063/files/cdc35c826f340b6635063d4154a0b5dfe33f71c7ea05f07fdfc6546f09c22e28.jpg?v=1785104553" TargetMode="External" Id="rId18"/><Relationship Type="http://schemas.openxmlformats.org/officeDocument/2006/relationships/hyperlink" Target="https://cdn.shopify.com/s/files/1/0792/5098/1063/files/7127a02e884cad7c5184ce1b2946ac662960d39acad6edb3b8a21f844cc7fb83.jpg?v=1785104553" TargetMode="External" Id="rId19"/><Relationship Type="http://schemas.openxmlformats.org/officeDocument/2006/relationships/hyperlink" Target="https://cdn.shopify.com/s/files/1/0792/5098/1063/files/7127a02e884cad7c5184ce1b2946ac662960d39acad6edb3b8a21f844cc7fb83.jpg?v=1785104553" TargetMode="External" Id="rId20"/><Relationship Type="http://schemas.openxmlformats.org/officeDocument/2006/relationships/hyperlink" Target="https://cdn.shopify.com/s/files/1/0792/5098/1063/files/e1bca6ad0b85bcfa2b85d2a0322d79680fde7448a15adec1757a81eb07c4bf6f.jpg?v=1785104553" TargetMode="External" Id="rId21"/><Relationship Type="http://schemas.openxmlformats.org/officeDocument/2006/relationships/hyperlink" Target="https://cdn.shopify.com/s/files/1/0792/5098/1063/files/e1bca6ad0b85bcfa2b85d2a0322d79680fde7448a15adec1757a81eb07c4bf6f.jpg?v=1785104553" TargetMode="External" Id="rId22"/><Relationship Type="http://schemas.openxmlformats.org/officeDocument/2006/relationships/hyperlink" Target="https://cdn.shopify.com/s/files/1/0792/5098/1063/files/77fb3f8c371cf27dd16588f3cf56fb24c12deaa2922c16412de893b0e53890dd.jpg?v=1785104553" TargetMode="External" Id="rId23"/><Relationship Type="http://schemas.openxmlformats.org/officeDocument/2006/relationships/hyperlink" Target="https://cdn.shopify.com/s/files/1/0792/5098/1063/files/77fb3f8c371cf27dd16588f3cf56fb24c12deaa2922c16412de893b0e53890dd.jpg?v=1785104553" TargetMode="External" Id="rId24"/><Relationship Type="http://schemas.openxmlformats.org/officeDocument/2006/relationships/hyperlink" Target="https://cdn.shopify.com/s/files/1/0792/5098/1063/files/ca05f793ad1004a8bcf1b14bc5f968c4664bf701819e6903e275f14d034862a6.jpg?v=1785104553" TargetMode="External" Id="rId25"/><Relationship Type="http://schemas.openxmlformats.org/officeDocument/2006/relationships/hyperlink" Target="https://cdn.shopify.com/s/files/1/0792/5098/1063/files/ca05f793ad1004a8bcf1b14bc5f968c4664bf701819e6903e275f14d034862a6.jpg?v=1785104553" TargetMode="External" Id="rId26"/><Relationship Type="http://schemas.openxmlformats.org/officeDocument/2006/relationships/hyperlink" Target="https://cdn.shopify.com/s/files/1/0792/5098/1063/files/b002678b1b933df28fb349bc6ff5667b37b28acab3f3e263980071a114b93302.jpg?v=1785104552" TargetMode="External" Id="rId27"/><Relationship Type="http://schemas.openxmlformats.org/officeDocument/2006/relationships/hyperlink" Target="https://cdn.shopify.com/s/files/1/0792/5098/1063/files/b002678b1b933df28fb349bc6ff5667b37b28acab3f3e263980071a114b93302.jpg?v=1785104552" TargetMode="External" Id="rId28"/><Relationship Type="http://schemas.openxmlformats.org/officeDocument/2006/relationships/hyperlink" Target="https://cdn.shopify.com/s/files/1/0792/5098/1063/files/b12b5b630d5361e095b70248a7029d44aa83474cedccaae8a99938e5a82aa9e5.jpg?v=1787233687" TargetMode="External" Id="rId29"/><Relationship Type="http://schemas.openxmlformats.org/officeDocument/2006/relationships/hyperlink" Target="https://cdn.shopify.com/s/files/1/0792/5098/1063/files/b12b5b630d5361e095b70248a7029d44aa83474cedccaae8a99938e5a82aa9e5.jpg?v=1787233687" TargetMode="External" Id="rId30"/><Relationship Type="http://schemas.openxmlformats.org/officeDocument/2006/relationships/hyperlink" Target="https://cdn.shopify.com/s/files/1/0792/5098/1063/files/41113dc58569ae2adc6d3dde435731253d18a0408ae05d7000f8517dee0c01a4.jpg?v=1787233687" TargetMode="External" Id="rId31"/><Relationship Type="http://schemas.openxmlformats.org/officeDocument/2006/relationships/hyperlink" Target="https://cdn.shopify.com/s/files/1/0792/5098/1063/files/41113dc58569ae2adc6d3dde435731253d18a0408ae05d7000f8517dee0c01a4.jpg?v=1787233687" TargetMode="External" Id="rId32"/><Relationship Type="http://schemas.openxmlformats.org/officeDocument/2006/relationships/hyperlink" Target="https://cdn.shopify.com/s/files/1/0792/5098/1063/files/fd5e9ddd0678c2d4c24c4bd3dfda693b589b9dd151f9f214cdc48d107b8e6592.jpg?v=1787233688" TargetMode="External" Id="rId33"/><Relationship Type="http://schemas.openxmlformats.org/officeDocument/2006/relationships/hyperlink" Target="https://cdn.shopify.com/s/files/1/0792/5098/1063/files/fd5e9ddd0678c2d4c24c4bd3dfda693b589b9dd151f9f214cdc48d107b8e6592.jpg?v=1787233688" TargetMode="External" Id="rId34"/><Relationship Type="http://schemas.openxmlformats.org/officeDocument/2006/relationships/hyperlink" Target="https://cdn.shopify.com/s/files/1/0792/5098/1063/files/ce286ca93c0b88510ca875a37e7b75b32cb61e52da352d95c54cd2628b51fbf3.jpg?v=1787233687" TargetMode="External" Id="rId35"/><Relationship Type="http://schemas.openxmlformats.org/officeDocument/2006/relationships/hyperlink" Target="https://cdn.shopify.com/s/files/1/0792/5098/1063/files/ce286ca93c0b88510ca875a37e7b75b32cb61e52da352d95c54cd2628b51fbf3.jpg?v=1787233687" TargetMode="External" Id="rId36"/><Relationship Type="http://schemas.openxmlformats.org/officeDocument/2006/relationships/hyperlink" Target="https://cdn.shopify.com/s/files/1/0792/5098/1063/files/dac8033ccef3e1ff953003c53d9a62b59fa1e74b2ab002ec0c056348688e6569.jpg?v=1787233688" TargetMode="External" Id="rId37"/><Relationship Type="http://schemas.openxmlformats.org/officeDocument/2006/relationships/hyperlink" Target="https://cdn.shopify.com/s/files/1/0792/5098/1063/files/dac8033ccef3e1ff953003c53d9a62b59fa1e74b2ab002ec0c056348688e6569.jpg?v=1787233688" TargetMode="External" Id="rId38"/><Relationship Type="http://schemas.openxmlformats.org/officeDocument/2006/relationships/hyperlink" Target="https://cdn.shopify.com/s/files/1/0792/5098/1063/files/f095089ab7e2322f9d282beb998fa6a7ca93bd23ffea553618ab9ab073cac9e5.jpg?v=1787233687" TargetMode="External" Id="rId39"/><Relationship Type="http://schemas.openxmlformats.org/officeDocument/2006/relationships/hyperlink" Target="https://cdn.shopify.com/s/files/1/0792/5098/1063/files/f095089ab7e2322f9d282beb998fa6a7ca93bd23ffea553618ab9ab073cac9e5.jpg?v=1787233687" TargetMode="External" Id="rId40"/><Relationship Type="http://schemas.openxmlformats.org/officeDocument/2006/relationships/hyperlink" Target="https://cdn.shopify.com/s/files/1/0792/5098/1063/files/4274176e594f473f9f9517f8df32a36888e067f66081c7c7ac33d02f839dab17.jpg?v=1787233688" TargetMode="External" Id="rId41"/><Relationship Type="http://schemas.openxmlformats.org/officeDocument/2006/relationships/hyperlink" Target="https://cdn.shopify.com/s/files/1/0792/5098/1063/files/4274176e594f473f9f9517f8df32a36888e067f66081c7c7ac33d02f839dab17.jpg?v=1787233688" TargetMode="External" Id="rId42"/><Relationship Type="http://schemas.openxmlformats.org/officeDocument/2006/relationships/hyperlink" Target="https://cdn.shopify.com/s/files/1/0792/5098/1063/files/78a96e41092763591645a0417450b0227ec7a4e31e21df8a327fb2d2f9428605.jpg?v=1787936155" TargetMode="External" Id="rId43"/><Relationship Type="http://schemas.openxmlformats.org/officeDocument/2006/relationships/hyperlink" Target="https://cdn.shopify.com/s/files/1/0792/5098/1063/files/78a96e41092763591645a0417450b0227ec7a4e31e21df8a327fb2d2f9428605.jpg?v=1787936155" TargetMode="External" Id="rId44"/><Relationship Type="http://schemas.openxmlformats.org/officeDocument/2006/relationships/hyperlink" Target="https://cdn.shopify.com/s/files/1/0792/5098/1063/files/8496cc324b64f4d38b8aec3e807b5b59dc024527330b8859a4ebd9c1c43313ff.jpg?v=1787936155" TargetMode="External" Id="rId45"/><Relationship Type="http://schemas.openxmlformats.org/officeDocument/2006/relationships/hyperlink" Target="https://cdn.shopify.com/s/files/1/0792/5098/1063/files/8496cc324b64f4d38b8aec3e807b5b59dc024527330b8859a4ebd9c1c43313ff.jpg?v=1787936155" TargetMode="External" Id="rId46"/><Relationship Type="http://schemas.openxmlformats.org/officeDocument/2006/relationships/hyperlink" Target="https://cdn.shopify.com/s/files/1/0792/5098/1063/files/3a0f47e9dcbafab9191ddf7aa843e8572e2cec872b35c6521dc7218921e61123.jpg?v=1787936155" TargetMode="External" Id="rId47"/><Relationship Type="http://schemas.openxmlformats.org/officeDocument/2006/relationships/hyperlink" Target="https://cdn.shopify.com/s/files/1/0792/5098/1063/files/3a0f47e9dcbafab9191ddf7aa843e8572e2cec872b35c6521dc7218921e61123.jpg?v=1787936155" TargetMode="External" Id="rId48"/><Relationship Type="http://schemas.openxmlformats.org/officeDocument/2006/relationships/hyperlink" Target="https://cdn.shopify.com/s/files/1/0792/5098/1063/files/1719f23b3d46b7c6722a21c797b77ed0780f9bbd492bf1c7f1046cc658013293.jpg?v=1787936155" TargetMode="External" Id="rId49"/><Relationship Type="http://schemas.openxmlformats.org/officeDocument/2006/relationships/hyperlink" Target="https://cdn.shopify.com/s/files/1/0792/5098/1063/files/1719f23b3d46b7c6722a21c797b77ed0780f9bbd492bf1c7f1046cc658013293.jpg?v=1787936155" TargetMode="External" Id="rId50"/><Relationship Type="http://schemas.openxmlformats.org/officeDocument/2006/relationships/hyperlink" Target="https://cdn.shopify.com/s/files/1/0792/5098/1063/files/f05b5b4966cbfbf6e7138bce62a10e8d53a6554d2095ee522f5577dc8f19de13.jpg?v=1787936155" TargetMode="External" Id="rId51"/><Relationship Type="http://schemas.openxmlformats.org/officeDocument/2006/relationships/hyperlink" Target="https://cdn.shopify.com/s/files/1/0792/5098/1063/files/f05b5b4966cbfbf6e7138bce62a10e8d53a6554d2095ee522f5577dc8f19de13.jpg?v=1787936155" TargetMode="External" Id="rId52"/><Relationship Type="http://schemas.openxmlformats.org/officeDocument/2006/relationships/hyperlink" Target="https://cdn.shopify.com/s/files/1/0792/5098/1063/files/29f57080b218682bc1f4e3c223af89a66eef5bc96e3704046ce51202cb67c670.jpg?v=1787936155" TargetMode="External" Id="rId53"/><Relationship Type="http://schemas.openxmlformats.org/officeDocument/2006/relationships/hyperlink" Target="https://cdn.shopify.com/s/files/1/0792/5098/1063/files/29f57080b218682bc1f4e3c223af89a66eef5bc96e3704046ce51202cb67c670.jpg?v=1787936155" TargetMode="External" Id="rId54"/><Relationship Type="http://schemas.openxmlformats.org/officeDocument/2006/relationships/hyperlink" Target="https://cdn.shopify.com/s/files/1/0792/5098/1063/files/33827958b0d3465c97d89ef8a7a7e67a7aa5b22c8c0c87d5a26f80b5c0d5fd2b.jpg?v=1787936172" TargetMode="External" Id="rId55"/><Relationship Type="http://schemas.openxmlformats.org/officeDocument/2006/relationships/hyperlink" Target="https://cdn.shopify.com/s/files/1/0792/5098/1063/files/33827958b0d3465c97d89ef8a7a7e67a7aa5b22c8c0c87d5a26f80b5c0d5fd2b.jpg?v=1787936172" TargetMode="External" Id="rId56"/><Relationship Type="http://schemas.openxmlformats.org/officeDocument/2006/relationships/hyperlink" Target="https://cdn.shopify.com/s/files/1/0792/5098/1063/files/fdc074927f13099e3ddba121f8393f7840633627dc879650a5a8ea085bd8febe.jpg?v=1787936172" TargetMode="External" Id="rId57"/><Relationship Type="http://schemas.openxmlformats.org/officeDocument/2006/relationships/hyperlink" Target="https://cdn.shopify.com/s/files/1/0792/5098/1063/files/fdc074927f13099e3ddba121f8393f7840633627dc879650a5a8ea085bd8febe.jpg?v=1787936172" TargetMode="External" Id="rId58"/><Relationship Type="http://schemas.openxmlformats.org/officeDocument/2006/relationships/hyperlink" Target="https://cdn.shopify.com/s/files/1/0792/5098/1063/files/a18c5a71570f28636f9f2ca9d6b8130fc7d60bcb88cb88d9623b134efc54b9e5.jpg?v=1787936172" TargetMode="External" Id="rId59"/><Relationship Type="http://schemas.openxmlformats.org/officeDocument/2006/relationships/hyperlink" Target="https://cdn.shopify.com/s/files/1/0792/5098/1063/files/a18c5a71570f28636f9f2ca9d6b8130fc7d60bcb88cb88d9623b134efc54b9e5.jpg?v=1787936172" TargetMode="External" Id="rId60"/><Relationship Type="http://schemas.openxmlformats.org/officeDocument/2006/relationships/hyperlink" Target="https://cdn.shopify.com/s/files/1/0792/5098/1063/files/1a110cdeb4611bb06dc73025e19e092ef38bf550ce9870452a33b81728254f09.jpg?v=1787936172" TargetMode="External" Id="rId61"/><Relationship Type="http://schemas.openxmlformats.org/officeDocument/2006/relationships/hyperlink" Target="https://cdn.shopify.com/s/files/1/0792/5098/1063/files/1a110cdeb4611bb06dc73025e19e092ef38bf550ce9870452a33b81728254f09.jpg?v=1787936172" TargetMode="External" Id="rId62"/><Relationship Type="http://schemas.openxmlformats.org/officeDocument/2006/relationships/hyperlink" Target="https://cdn.shopify.com/s/files/1/0792/5098/1063/files/c103177b56d556545ef05a48d27d56626a4330b91a8a965b093c8a601908e1c2.jpg?v=1787936172" TargetMode="External" Id="rId63"/><Relationship Type="http://schemas.openxmlformats.org/officeDocument/2006/relationships/hyperlink" Target="https://cdn.shopify.com/s/files/1/0792/5098/1063/files/c103177b56d556545ef05a48d27d56626a4330b91a8a965b093c8a601908e1c2.jpg?v=1787936172" TargetMode="External" Id="rId64"/><Relationship Type="http://schemas.openxmlformats.org/officeDocument/2006/relationships/hyperlink" Target="https://cdn.shopify.com/s/files/1/0792/5098/1063/files/a04eaaab4fb68dc7448e32b7978cec1d481af7cf4430a3f72b91574bcb94ba65.jpg?v=1787936250" TargetMode="External" Id="rId65"/><Relationship Type="http://schemas.openxmlformats.org/officeDocument/2006/relationships/hyperlink" Target="https://cdn.shopify.com/s/files/1/0792/5098/1063/files/a04eaaab4fb68dc7448e32b7978cec1d481af7cf4430a3f72b91574bcb94ba65.jpg?v=1787936250" TargetMode="External" Id="rId66"/><Relationship Type="http://schemas.openxmlformats.org/officeDocument/2006/relationships/hyperlink" Target="https://cdn.shopify.com/s/files/1/0792/5098/1063/files/31e8acfdca6c14ff3d16e962bde60baf0db1133fec8c67e2bf4325a3a7d561c1.jpg?v=1787936250" TargetMode="External" Id="rId67"/><Relationship Type="http://schemas.openxmlformats.org/officeDocument/2006/relationships/hyperlink" Target="https://cdn.shopify.com/s/files/1/0792/5098/1063/files/31e8acfdca6c14ff3d16e962bde60baf0db1133fec8c67e2bf4325a3a7d561c1.jpg?v=1787936250" TargetMode="External" Id="rId68"/><Relationship Type="http://schemas.openxmlformats.org/officeDocument/2006/relationships/hyperlink" Target="https://cdn.shopify.com/s/files/1/0792/5098/1063/files/e96376384911eb815950bd49399e4d932894d33483e6a2657a308a3f851871b2.jpg?v=1787936250" TargetMode="External" Id="rId69"/><Relationship Type="http://schemas.openxmlformats.org/officeDocument/2006/relationships/hyperlink" Target="https://cdn.shopify.com/s/files/1/0792/5098/1063/files/e96376384911eb815950bd49399e4d932894d33483e6a2657a308a3f851871b2.jpg?v=1787936250" TargetMode="External" Id="rId70"/><Relationship Type="http://schemas.openxmlformats.org/officeDocument/2006/relationships/hyperlink" Target="https://cdn.shopify.com/s/files/1/0792/5098/1063/files/ac42bb85dc2b37a8d6b9f4d966756ea755486c3f61c156cf8759fda5147a0335.jpg?v=1787936250" TargetMode="External" Id="rId71"/><Relationship Type="http://schemas.openxmlformats.org/officeDocument/2006/relationships/hyperlink" Target="https://cdn.shopify.com/s/files/1/0792/5098/1063/files/ac42bb85dc2b37a8d6b9f4d966756ea755486c3f61c156cf8759fda5147a0335.jpg?v=1787936250" TargetMode="External" Id="rId72"/><Relationship Type="http://schemas.openxmlformats.org/officeDocument/2006/relationships/hyperlink" Target="https://cdn.shopify.com/s/files/1/0792/5098/1063/files/f05b5b4966cbfbf6e7138bce62a10e8d53a6554d2095ee522f5577dc8f19de13_92bf2ffb-7887-4b37-986c-9db117295eff.jpg?v=1787936250" TargetMode="External" Id="rId73"/><Relationship Type="http://schemas.openxmlformats.org/officeDocument/2006/relationships/hyperlink" Target="https://cdn.shopify.com/s/files/1/0792/5098/1063/files/f05b5b4966cbfbf6e7138bce62a10e8d53a6554d2095ee522f5577dc8f19de13_92bf2ffb-7887-4b37-986c-9db117295eff.jpg?v=1787936250" TargetMode="External" Id="rId74"/><Relationship Type="http://schemas.openxmlformats.org/officeDocument/2006/relationships/hyperlink" Target="https://cdn.shopify.com/s/files/1/0792/5098/1063/files/bbd8b3069747599cfa3e8e8deb179b9085c81592ba19d1c6287a8363a8238662.jpg?v=1787936250" TargetMode="External" Id="rId75"/><Relationship Type="http://schemas.openxmlformats.org/officeDocument/2006/relationships/hyperlink" Target="https://cdn.shopify.com/s/files/1/0792/5098/1063/files/bbd8b3069747599cfa3e8e8deb179b9085c81592ba19d1c6287a8363a8238662.jpg?v=1787936250" TargetMode="External" Id="rId76"/><Relationship Type="http://schemas.openxmlformats.org/officeDocument/2006/relationships/hyperlink" Target="https://cdn.shopify.com/s/files/1/0792/5098/1063/files/5d0f1cae5d8fbccfd0cedc69335c2f8dae57295710f0d39ce49b9d818247b5d7.jpg?v=1787936297" TargetMode="External" Id="rId77"/><Relationship Type="http://schemas.openxmlformats.org/officeDocument/2006/relationships/hyperlink" Target="https://cdn.shopify.com/s/files/1/0792/5098/1063/files/5d0f1cae5d8fbccfd0cedc69335c2f8dae57295710f0d39ce49b9d818247b5d7.jpg?v=1787936297" TargetMode="External" Id="rId78"/><Relationship Type="http://schemas.openxmlformats.org/officeDocument/2006/relationships/hyperlink" Target="https://cdn.shopify.com/s/files/1/0792/5098/1063/files/fb6bb7ca24973834ed17ffc26166f515fd3c4a1ff52545d27cd1472dafdae0b0.jpg?v=1787936297" TargetMode="External" Id="rId79"/><Relationship Type="http://schemas.openxmlformats.org/officeDocument/2006/relationships/hyperlink" Target="https://cdn.shopify.com/s/files/1/0792/5098/1063/files/fb6bb7ca24973834ed17ffc26166f515fd3c4a1ff52545d27cd1472dafdae0b0.jpg?v=1787936297" TargetMode="External" Id="rId80"/><Relationship Type="http://schemas.openxmlformats.org/officeDocument/2006/relationships/hyperlink" Target="https://cdn.shopify.com/s/files/1/0792/5098/1063/files/5ca4830cd71b5426ad687d0e98c5de6daada03acb8a658c0dbb56e9c1612eeb7.jpg?v=1787936297" TargetMode="External" Id="rId81"/><Relationship Type="http://schemas.openxmlformats.org/officeDocument/2006/relationships/hyperlink" Target="https://cdn.shopify.com/s/files/1/0792/5098/1063/files/5ca4830cd71b5426ad687d0e98c5de6daada03acb8a658c0dbb56e9c1612eeb7.jpg?v=1787936297" TargetMode="External" Id="rId82"/><Relationship Type="http://schemas.openxmlformats.org/officeDocument/2006/relationships/hyperlink" Target="https://cdn.shopify.com/s/files/1/0792/5098/1063/files/3e81ffaaf0deab65c1f4a3f78b8b479936f650a3a751ef521aab7f3ff885449e.jpg?v=1787936297" TargetMode="External" Id="rId83"/><Relationship Type="http://schemas.openxmlformats.org/officeDocument/2006/relationships/hyperlink" Target="https://cdn.shopify.com/s/files/1/0792/5098/1063/files/3e81ffaaf0deab65c1f4a3f78b8b479936f650a3a751ef521aab7f3ff885449e.jpg?v=1787936297" TargetMode="External" Id="rId84"/><Relationship Type="http://schemas.openxmlformats.org/officeDocument/2006/relationships/hyperlink" Target="https://cdn.shopify.com/s/files/1/0792/5098/1063/files/f05b5b4966cbfbf6e7138bce62a10e8d53a6554d2095ee522f5577dc8f19de13_dd05aaf9-5cce-4b0d-acf1-02de91c3b744.jpg?v=1787936297" TargetMode="External" Id="rId85"/><Relationship Type="http://schemas.openxmlformats.org/officeDocument/2006/relationships/hyperlink" Target="https://cdn.shopify.com/s/files/1/0792/5098/1063/files/f05b5b4966cbfbf6e7138bce62a10e8d53a6554d2095ee522f5577dc8f19de13_dd05aaf9-5cce-4b0d-acf1-02de91c3b744.jpg?v=1787936297" TargetMode="External" Id="rId86"/><Relationship Type="http://schemas.openxmlformats.org/officeDocument/2006/relationships/hyperlink" Target="https://cdn.shopify.com/s/files/1/0792/5098/1063/files/b0d1da8d8060da04652dfbd8ac59558b6bb3e731d6cda0161cad77ec3b3c8fe2.jpg?v=1787936297" TargetMode="External" Id="rId87"/><Relationship Type="http://schemas.openxmlformats.org/officeDocument/2006/relationships/hyperlink" Target="https://cdn.shopify.com/s/files/1/0792/5098/1063/files/b0d1da8d8060da04652dfbd8ac59558b6bb3e731d6cda0161cad77ec3b3c8fe2.jpg?v=1787936297" TargetMode="External" Id="rId88"/><Relationship Type="http://schemas.openxmlformats.org/officeDocument/2006/relationships/hyperlink" Target="https://cdn.shopify.com/s/files/1/0792/5098/1063/files/0378abcf551bb373bc058a8d932a075b2e7062138286ccd5675aab241cbc2aa8.jpg?v=1787936303" TargetMode="External" Id="rId89"/><Relationship Type="http://schemas.openxmlformats.org/officeDocument/2006/relationships/hyperlink" Target="https://cdn.shopify.com/s/files/1/0792/5098/1063/files/0378abcf551bb373bc058a8d932a075b2e7062138286ccd5675aab241cbc2aa8.jpg?v=1787936303" TargetMode="External" Id="rId90"/><Relationship Type="http://schemas.openxmlformats.org/officeDocument/2006/relationships/hyperlink" Target="https://cdn.shopify.com/s/files/1/0792/5098/1063/files/d443d634870cf5702ce02c12be0e9199f6c0ef35f8992890f2ee49e88fd55e59.jpg?v=1787936303" TargetMode="External" Id="rId91"/><Relationship Type="http://schemas.openxmlformats.org/officeDocument/2006/relationships/hyperlink" Target="https://cdn.shopify.com/s/files/1/0792/5098/1063/files/d443d634870cf5702ce02c12be0e9199f6c0ef35f8992890f2ee49e88fd55e59.jpg?v=1787936303" TargetMode="External" Id="rId92"/><Relationship Type="http://schemas.openxmlformats.org/officeDocument/2006/relationships/hyperlink" Target="https://cdn.shopify.com/s/files/1/0792/5098/1063/files/3c149552706148b88d709b4170ededcaf07b0afcd786b0fc80da64aee42ef97a.jpg?v=1787936303" TargetMode="External" Id="rId93"/><Relationship Type="http://schemas.openxmlformats.org/officeDocument/2006/relationships/hyperlink" Target="https://cdn.shopify.com/s/files/1/0792/5098/1063/files/3c149552706148b88d709b4170ededcaf07b0afcd786b0fc80da64aee42ef97a.jpg?v=1787936303" TargetMode="External" Id="rId94"/><Relationship Type="http://schemas.openxmlformats.org/officeDocument/2006/relationships/hyperlink" Target="https://cdn.shopify.com/s/files/1/0792/5098/1063/files/27b0e98d00c806f90ce26194ac5961ee72b1843f7ded8b1cdc58421da8ff1af5.jpg?v=1787936303" TargetMode="External" Id="rId95"/><Relationship Type="http://schemas.openxmlformats.org/officeDocument/2006/relationships/hyperlink" Target="https://cdn.shopify.com/s/files/1/0792/5098/1063/files/27b0e98d00c806f90ce26194ac5961ee72b1843f7ded8b1cdc58421da8ff1af5.jpg?v=1787936303" TargetMode="External" Id="rId96"/><Relationship Type="http://schemas.openxmlformats.org/officeDocument/2006/relationships/hyperlink" Target="https://cdn.shopify.com/s/files/1/0792/5098/1063/files/4b609c485183f596d7a7cde020b39e4bda79acee2753d3dc2aded93519980ecf.jpg?v=1787936303" TargetMode="External" Id="rId97"/><Relationship Type="http://schemas.openxmlformats.org/officeDocument/2006/relationships/hyperlink" Target="https://cdn.shopify.com/s/files/1/0792/5098/1063/files/4b609c485183f596d7a7cde020b39e4bda79acee2753d3dc2aded93519980ecf.jpg?v=1787936303" TargetMode="External" Id="rId98"/><Relationship Type="http://schemas.openxmlformats.org/officeDocument/2006/relationships/hyperlink" Target="https://cdn.shopify.com/s/files/1/0792/5098/1063/files/7e2ec7c0c42511286cd153cc90aaaa3c14a07010ca3b6583e65c64cf25c53aa4.jpg?v=1787936303" TargetMode="External" Id="rId99"/><Relationship Type="http://schemas.openxmlformats.org/officeDocument/2006/relationships/hyperlink" Target="https://cdn.shopify.com/s/files/1/0792/5098/1063/files/7e2ec7c0c42511286cd153cc90aaaa3c14a07010ca3b6583e65c64cf25c53aa4.jpg?v=1787936303" TargetMode="External" Id="rId100"/><Relationship Type="http://schemas.openxmlformats.org/officeDocument/2006/relationships/hyperlink" Target="https://cdn.shopify.com/s/files/1/0792/5098/1063/files/56881a19a51c01cc553fffe6fc20529fd559dd35981c52ef5bde9f745e19e0c6.jpg?v=1787936307" TargetMode="External" Id="rId101"/><Relationship Type="http://schemas.openxmlformats.org/officeDocument/2006/relationships/hyperlink" Target="https://cdn.shopify.com/s/files/1/0792/5098/1063/files/56881a19a51c01cc553fffe6fc20529fd559dd35981c52ef5bde9f745e19e0c6.jpg?v=1787936307" TargetMode="External" Id="rId102"/><Relationship Type="http://schemas.openxmlformats.org/officeDocument/2006/relationships/hyperlink" Target="https://cdn.shopify.com/s/files/1/0792/5098/1063/files/1a90986a710d8ec7e3fd994a8c712b5b6adf1486722d0ac1005cdfab2898c774.jpg?v=1787936307" TargetMode="External" Id="rId103"/><Relationship Type="http://schemas.openxmlformats.org/officeDocument/2006/relationships/hyperlink" Target="https://cdn.shopify.com/s/files/1/0792/5098/1063/files/1a90986a710d8ec7e3fd994a8c712b5b6adf1486722d0ac1005cdfab2898c774.jpg?v=1787936307" TargetMode="External" Id="rId104"/><Relationship Type="http://schemas.openxmlformats.org/officeDocument/2006/relationships/hyperlink" Target="https://cdn.shopify.com/s/files/1/0792/5098/1063/files/14e0c414dcf8f732a3efcb85f1038b86f760c8561254aa5ccba8af1194c7a4b9.jpg?v=1787936307" TargetMode="External" Id="rId105"/><Relationship Type="http://schemas.openxmlformats.org/officeDocument/2006/relationships/hyperlink" Target="https://cdn.shopify.com/s/files/1/0792/5098/1063/files/14e0c414dcf8f732a3efcb85f1038b86f760c8561254aa5ccba8af1194c7a4b9.jpg?v=1787936307" TargetMode="External" Id="rId106"/><Relationship Type="http://schemas.openxmlformats.org/officeDocument/2006/relationships/hyperlink" Target="https://cdn.shopify.com/s/files/1/0792/5098/1063/files/60955256316c3a7bdd4e572c3f1101f8d5511e78a1d363f9d70104b52b193f71.jpg?v=1787936307" TargetMode="External" Id="rId107"/><Relationship Type="http://schemas.openxmlformats.org/officeDocument/2006/relationships/hyperlink" Target="https://cdn.shopify.com/s/files/1/0792/5098/1063/files/60955256316c3a7bdd4e572c3f1101f8d5511e78a1d363f9d70104b52b193f71.jpg?v=1787936307" TargetMode="External" Id="rId108"/><Relationship Type="http://schemas.openxmlformats.org/officeDocument/2006/relationships/hyperlink" Target="https://cdn.shopify.com/s/files/1/0792/5098/1063/files/e1fbf76f0a4f56333e589145881221e54d4d698d00057714af3d90bfcfcbcde8.jpg?v=1787936307" TargetMode="External" Id="rId109"/><Relationship Type="http://schemas.openxmlformats.org/officeDocument/2006/relationships/hyperlink" Target="https://cdn.shopify.com/s/files/1/0792/5098/1063/files/e1fbf76f0a4f56333e589145881221e54d4d698d00057714af3d90bfcfcbcde8.jpg?v=1787936307" TargetMode="External" Id="rId110"/><Relationship Type="http://schemas.openxmlformats.org/officeDocument/2006/relationships/hyperlink" Target="https://cdn.shopify.com/s/files/1/0792/5098/1063/files/c704e78fea6b0af8659e3bb6318e69c7a083dd569ad0e78c293e9f2bb37a0b50.jpg?v=1787936307" TargetMode="External" Id="rId111"/><Relationship Type="http://schemas.openxmlformats.org/officeDocument/2006/relationships/hyperlink" Target="https://cdn.shopify.com/s/files/1/0792/5098/1063/files/c704e78fea6b0af8659e3bb6318e69c7a083dd569ad0e78c293e9f2bb37a0b50.jpg?v=1787936307" TargetMode="External" Id="rId112"/><Relationship Type="http://schemas.openxmlformats.org/officeDocument/2006/relationships/hyperlink" Target="https://cdn.shopify.com/s/files/1/0792/5098/1063/files/feceab1269e0c41029cfcb73e8317439de8337d84336b09e87d52e7744326f5e.jpg?v=1787936313" TargetMode="External" Id="rId113"/><Relationship Type="http://schemas.openxmlformats.org/officeDocument/2006/relationships/hyperlink" Target="https://cdn.shopify.com/s/files/1/0792/5098/1063/files/feceab1269e0c41029cfcb73e8317439de8337d84336b09e87d52e7744326f5e.jpg?v=1787936313" TargetMode="External" Id="rId114"/><Relationship Type="http://schemas.openxmlformats.org/officeDocument/2006/relationships/hyperlink" Target="https://cdn.shopify.com/s/files/1/0792/5098/1063/files/7683974b7a31c9cf865fb550d243761f446de029999d81b730d1be1d4bffd71a.jpg?v=1787936313" TargetMode="External" Id="rId115"/><Relationship Type="http://schemas.openxmlformats.org/officeDocument/2006/relationships/hyperlink" Target="https://cdn.shopify.com/s/files/1/0792/5098/1063/files/7683974b7a31c9cf865fb550d243761f446de029999d81b730d1be1d4bffd71a.jpg?v=1787936313" TargetMode="External" Id="rId116"/><Relationship Type="http://schemas.openxmlformats.org/officeDocument/2006/relationships/hyperlink" Target="https://cdn.shopify.com/s/files/1/0792/5098/1063/files/d15de982cf49c61d63dcb3e70a085c7480d7757447c46dfe1f4e360681c9f501.jpg?v=1787936313" TargetMode="External" Id="rId117"/><Relationship Type="http://schemas.openxmlformats.org/officeDocument/2006/relationships/hyperlink" Target="https://cdn.shopify.com/s/files/1/0792/5098/1063/files/d15de982cf49c61d63dcb3e70a085c7480d7757447c46dfe1f4e360681c9f501.jpg?v=1787936313" TargetMode="External" Id="rId118"/><Relationship Type="http://schemas.openxmlformats.org/officeDocument/2006/relationships/hyperlink" Target="https://cdn.shopify.com/s/files/1/0792/5098/1063/files/30ac2af2067079c32aee59f6826a158fdef74dbd36e4a379b1f3dad211c0c404.jpg?v=1787936313" TargetMode="External" Id="rId119"/><Relationship Type="http://schemas.openxmlformats.org/officeDocument/2006/relationships/hyperlink" Target="https://cdn.shopify.com/s/files/1/0792/5098/1063/files/30ac2af2067079c32aee59f6826a158fdef74dbd36e4a379b1f3dad211c0c404.jpg?v=1787936313" TargetMode="External" Id="rId120"/><Relationship Type="http://schemas.openxmlformats.org/officeDocument/2006/relationships/hyperlink" Target="https://cdn.shopify.com/s/files/1/0792/5098/1063/files/9d916a0bc9f840d4bf410947c3497d6a50cfc268bce2c2020b74a8951bbd4f62.jpg?v=1787936313" TargetMode="External" Id="rId121"/><Relationship Type="http://schemas.openxmlformats.org/officeDocument/2006/relationships/hyperlink" Target="https://cdn.shopify.com/s/files/1/0792/5098/1063/files/9d916a0bc9f840d4bf410947c3497d6a50cfc268bce2c2020b74a8951bbd4f62.jpg?v=1787936313" TargetMode="External" Id="rId122"/><Relationship Type="http://schemas.openxmlformats.org/officeDocument/2006/relationships/hyperlink" Target="https://cdn.shopify.com/s/files/1/0792/5098/1063/files/3e227101e2e9c24d641f1ea4dd5f5e1cb8ef75e8fe6c70b298e93002e2905f25.jpg?v=1787936313" TargetMode="External" Id="rId123"/><Relationship Type="http://schemas.openxmlformats.org/officeDocument/2006/relationships/hyperlink" Target="https://cdn.shopify.com/s/files/1/0792/5098/1063/files/3e227101e2e9c24d641f1ea4dd5f5e1cb8ef75e8fe6c70b298e93002e2905f25.jpg?v=1787936313" TargetMode="External" Id="rId12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20260907_212312</t>
        </is>
      </c>
      <c r="C4" s="2" t="inlineStr">
        <is>
          <t>QA run folder for this corrected rerun.</t>
        </is>
      </c>
    </row>
    <row r="5" ht="42" customHeight="1">
      <c r="A5" s="3" t="inlineStr">
        <is>
          <t>qa_batch_id</t>
        </is>
      </c>
      <c r="B5" s="3" t="inlineStr">
        <is>
          <t>qa_batch_017</t>
        </is>
      </c>
      <c r="C5" s="3" t="inlineStr">
        <is>
          <t>Batch being independently checked.</t>
        </is>
      </c>
    </row>
    <row r="6" ht="42" customHeight="1">
      <c r="A6" s="2" t="inlineStr">
        <is>
          <t>revision</t>
        </is>
      </c>
      <c r="B6" s="2" t="inlineStr">
        <is>
          <t>r1</t>
        </is>
      </c>
      <c r="C6" s="2" t="inlineStr">
        <is>
          <t>Initial independent QA revision for qa_batch_017.</t>
        </is>
      </c>
    </row>
    <row r="7" ht="42" customHeight="1">
      <c r="A7" s="3" t="inlineStr">
        <is>
          <t>source_workbook</t>
        </is>
      </c>
      <c r="B7" s="3" t="inlineStr">
        <is>
          <t>D:\Shopify_Workspace\jeminise_seo\resutls\jeminise.com\20260906_234129\batches\SEO_Product_Optimization_through_batch_017.xlsx</t>
        </is>
      </c>
      <c r="C7" s="3" t="inlineStr">
        <is>
          <t>Frozen workbook source path.</t>
        </is>
      </c>
    </row>
    <row r="8" ht="42" customHeight="1">
      <c r="A8" s="2" t="inlineStr">
        <is>
          <t>source_sha256</t>
        </is>
      </c>
      <c r="B8" s="2" t="inlineStr">
        <is>
          <t>65F8C48D63E55BA5F6B311B33EF5ED1FBFEAB99A148B84E45592C180C8CD9132</t>
        </is>
      </c>
      <c r="C8" s="2" t="inlineStr">
        <is>
          <t>SHA-256 at freeze/final handoff time.</t>
        </is>
      </c>
    </row>
    <row r="9" ht="42" customHeight="1">
      <c r="A9" s="3" t="inlineStr">
        <is>
          <t>snapshot_sha256</t>
        </is>
      </c>
      <c r="B9" s="3" t="inlineStr">
        <is>
          <t>65F8C48D63E55BA5F6B311B33EF5ED1FBFEAB99A148B84E45592C180C8CD9132</t>
        </is>
      </c>
      <c r="C9" s="3" t="inlineStr">
        <is>
          <t>SHA-256 of workbook copy in source_snapshot.</t>
        </is>
      </c>
    </row>
    <row r="10" ht="42" customHeight="1">
      <c r="A10" s="2" t="inlineStr">
        <is>
          <t>scope</t>
        </is>
      </c>
      <c r="B10" s="2" t="inlineStr">
        <is>
          <t>10 products, 62/62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CRITICAL=0; MAJOR=21; MINOR=61;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161</v>
      </c>
      <c r="B2" s="2" t="inlineStr">
        <is>
          <t>jeminise.com+norse-mythology-raven-within-celtic-knot-frame-quilt-906ee24d68-906ee24d68</t>
        </is>
      </c>
      <c r="C2" s="4" t="inlineStr">
        <is>
          <t>https://jeminise.com/products/norse-mythology-raven-within-celtic-knot-frame-quilt-906ee24d68-906ee24d68</t>
        </is>
      </c>
      <c r="D2" s="2" t="inlineStr">
        <is>
          <t>norse-mythology-raven-within-celtic-knot-frame-quilt-906ee24d68-906ee24d68</t>
        </is>
      </c>
      <c r="E2" s="2" t="inlineStr">
        <is>
          <t>8834806218951</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COUNTIFS('QA_Issues'!$B$2:$B$93,B2,'QA_Issues'!$D$2:$D$93,"CRITICAL")</f>
        <v/>
      </c>
      <c r="S2" s="2">
        <f>COUNTIFS('QA_Issues'!$B$2:$B$93,B2,'QA_Issues'!$D$2:$D$93,"MAJOR")</f>
        <v/>
      </c>
      <c r="T2" s="2">
        <f>COUNTIFS('QA_Issues'!$B$2:$B$93,B2,'QA_Issues'!$D$2:$D$93,"MINOR")</f>
        <v/>
      </c>
      <c r="U2" s="2">
        <f>COUNTIFS('QA_Issues'!$B$2:$B$93,B2,'QA_Issues'!$D$2:$D$93,"LIMITATION")</f>
        <v/>
      </c>
      <c r="V2" s="2" t="inlineStr">
        <is>
          <t>ISSUE-0001; ISSUE-0002; ISSUE-0003; ISSUE-0004; ISSUE-0005; ISSUE-0006; ISSUE-0007; ISSUE-0008; ISSUE-0009; ISSUE-0010</t>
        </is>
      </c>
      <c r="W2" s="2" t="inlineStr">
        <is>
          <t>evidence_batch_017_161; live_source_comparison; customizer_audit; serp_evidence</t>
        </is>
      </c>
    </row>
    <row r="3" ht="42" customHeight="1">
      <c r="A3" s="3" t="n">
        <v>162</v>
      </c>
      <c r="B3" s="3" t="inlineStr">
        <is>
          <t>jeminise.com+norse-mythology-viking-shield-with-crossed-axes-quilt-ca630a284e-ca630a284e</t>
        </is>
      </c>
      <c r="C3" s="4" t="inlineStr">
        <is>
          <t>https://jeminise.com/products/norse-mythology-viking-shield-with-crossed-axes-quilt-ca630a284e-ca630a284e</t>
        </is>
      </c>
      <c r="D3" s="3" t="inlineStr">
        <is>
          <t>norse-mythology-viking-shield-with-crossed-axes-quilt-ca630a284e-ca630a284e</t>
        </is>
      </c>
      <c r="E3" s="3" t="inlineStr">
        <is>
          <t>8834808512711</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7</v>
      </c>
      <c r="O3" s="3" t="n">
        <v>7</v>
      </c>
      <c r="P3" s="3" t="b">
        <v>1</v>
      </c>
      <c r="Q3" s="8" t="n">
        <v>1</v>
      </c>
      <c r="R3" s="3">
        <f>COUNTIFS('QA_Issues'!$B$2:$B$93,B3,'QA_Issues'!$D$2:$D$93,"CRITICAL")</f>
        <v/>
      </c>
      <c r="S3" s="3">
        <f>COUNTIFS('QA_Issues'!$B$2:$B$93,B3,'QA_Issues'!$D$2:$D$93,"MAJOR")</f>
        <v/>
      </c>
      <c r="T3" s="3">
        <f>COUNTIFS('QA_Issues'!$B$2:$B$93,B3,'QA_Issues'!$D$2:$D$93,"MINOR")</f>
        <v/>
      </c>
      <c r="U3" s="3">
        <f>COUNTIFS('QA_Issues'!$B$2:$B$93,B3,'QA_Issues'!$D$2:$D$93,"LIMITATION")</f>
        <v/>
      </c>
      <c r="V3" s="3" t="inlineStr">
        <is>
          <t>ISSUE-0011; ISSUE-0012; ISSUE-0013; ISSUE-0014; ISSUE-0015; ISSUE-0016; ISSUE-0017; ISSUE-0018; ISSUE-0019; ISSUE-0020; ISSUE-0021</t>
        </is>
      </c>
      <c r="W3" s="3" t="inlineStr">
        <is>
          <t>evidence_batch_017_162; live_source_comparison; customizer_audit; serp_evidence</t>
        </is>
      </c>
    </row>
    <row r="4" ht="42" customHeight="1">
      <c r="A4" s="2" t="n">
        <v>163</v>
      </c>
      <c r="B4" s="2" t="inlineStr">
        <is>
          <t>jeminise.com+owl-patchwork-pattern-quilt-set-animals-quilt-set-style-owl-nights</t>
        </is>
      </c>
      <c r="C4" s="4" t="inlineStr">
        <is>
          <t>https://jeminise.com/products/owl-patchwork-pattern-quilt-set-animals-quilt-set-style-owl-nights</t>
        </is>
      </c>
      <c r="D4" s="2" t="inlineStr">
        <is>
          <t>owl-patchwork-pattern-quilt-set-animals-quilt-set-style-owl-nights</t>
        </is>
      </c>
      <c r="E4" s="2" t="inlineStr">
        <is>
          <t>8867095118023</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COUNTIFS('QA_Issues'!$B$2:$B$93,B4,'QA_Issues'!$D$2:$D$93,"CRITICAL")</f>
        <v/>
      </c>
      <c r="S4" s="2">
        <f>COUNTIFS('QA_Issues'!$B$2:$B$93,B4,'QA_Issues'!$D$2:$D$93,"MAJOR")</f>
        <v/>
      </c>
      <c r="T4" s="2">
        <f>COUNTIFS('QA_Issues'!$B$2:$B$93,B4,'QA_Issues'!$D$2:$D$93,"MINOR")</f>
        <v/>
      </c>
      <c r="U4" s="2">
        <f>COUNTIFS('QA_Issues'!$B$2:$B$93,B4,'QA_Issues'!$D$2:$D$93,"LIMITATION")</f>
        <v/>
      </c>
      <c r="V4" s="2" t="inlineStr">
        <is>
          <t>ISSUE-0022; ISSUE-0023; ISSUE-0024; ISSUE-0025; ISSUE-0026; ISSUE-0027; ISSUE-0028; ISSUE-0029; ISSUE-0030; ISSUE-0031</t>
        </is>
      </c>
      <c r="W4" s="2" t="inlineStr">
        <is>
          <t>evidence_batch_017_163; live_source_comparison; customizer_audit; serp_evidence</t>
        </is>
      </c>
    </row>
    <row r="5" ht="42" customHeight="1">
      <c r="A5" s="3" t="n">
        <v>164</v>
      </c>
      <c r="B5" s="3" t="inlineStr">
        <is>
          <t>jeminise.com+pamnest-twin-halloween-comforter-set-with-sheets-5-pieces-design-01</t>
        </is>
      </c>
      <c r="C5" s="4" t="inlineStr">
        <is>
          <t>https://jeminise.com/products/pamnest-twin-halloween-comforter-set-with-sheets-5-pieces-design-01</t>
        </is>
      </c>
      <c r="D5" s="3" t="inlineStr">
        <is>
          <t>pamnest-twin-halloween-comforter-set-with-sheets-5-pieces-design-01</t>
        </is>
      </c>
      <c r="E5" s="3" t="inlineStr">
        <is>
          <t>8879778791623</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6</v>
      </c>
      <c r="O5" s="3" t="n">
        <v>6</v>
      </c>
      <c r="P5" s="3" t="b">
        <v>1</v>
      </c>
      <c r="Q5" s="8" t="n">
        <v>1</v>
      </c>
      <c r="R5" s="3">
        <f>COUNTIFS('QA_Issues'!$B$2:$B$93,B5,'QA_Issues'!$D$2:$D$93,"CRITICAL")</f>
        <v/>
      </c>
      <c r="S5" s="3">
        <f>COUNTIFS('QA_Issues'!$B$2:$B$93,B5,'QA_Issues'!$D$2:$D$93,"MAJOR")</f>
        <v/>
      </c>
      <c r="T5" s="3">
        <f>COUNTIFS('QA_Issues'!$B$2:$B$93,B5,'QA_Issues'!$D$2:$D$93,"MINOR")</f>
        <v/>
      </c>
      <c r="U5" s="3">
        <f>COUNTIFS('QA_Issues'!$B$2:$B$93,B5,'QA_Issues'!$D$2:$D$93,"LIMITATION")</f>
        <v/>
      </c>
      <c r="V5" s="3" t="inlineStr">
        <is>
          <t>ISSUE-0032; ISSUE-0033; ISSUE-0034; ISSUE-0035; ISSUE-0036; ISSUE-0037; ISSUE-0038; ISSUE-0039; ISSUE-0040</t>
        </is>
      </c>
      <c r="W5" s="3" t="inlineStr">
        <is>
          <t>evidence_batch_017_164; live_source_comparison; customizer_audit; serp_evidence</t>
        </is>
      </c>
    </row>
    <row r="6" ht="42" customHeight="1">
      <c r="A6" s="2" t="n">
        <v>165</v>
      </c>
      <c r="B6" s="2" t="inlineStr">
        <is>
          <t>jeminise.com+pamnest-twin-halloween-comforter-set-with-sheets-5-pieces-design-02</t>
        </is>
      </c>
      <c r="C6" s="4" t="inlineStr">
        <is>
          <t>https://jeminise.com/products/pamnest-twin-halloween-comforter-set-with-sheets-5-pieces-design-02</t>
        </is>
      </c>
      <c r="D6" s="2" t="inlineStr">
        <is>
          <t>pamnest-twin-halloween-comforter-set-with-sheets-5-pieces-design-02</t>
        </is>
      </c>
      <c r="E6" s="2" t="inlineStr">
        <is>
          <t>8879778889927</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5</v>
      </c>
      <c r="O6" s="2" t="n">
        <v>5</v>
      </c>
      <c r="P6" s="2" t="b">
        <v>1</v>
      </c>
      <c r="Q6" s="6" t="n">
        <v>1</v>
      </c>
      <c r="R6" s="2">
        <f>COUNTIFS('QA_Issues'!$B$2:$B$93,B6,'QA_Issues'!$D$2:$D$93,"CRITICAL")</f>
        <v/>
      </c>
      <c r="S6" s="2">
        <f>COUNTIFS('QA_Issues'!$B$2:$B$93,B6,'QA_Issues'!$D$2:$D$93,"MAJOR")</f>
        <v/>
      </c>
      <c r="T6" s="2">
        <f>COUNTIFS('QA_Issues'!$B$2:$B$93,B6,'QA_Issues'!$D$2:$D$93,"MINOR")</f>
        <v/>
      </c>
      <c r="U6" s="2">
        <f>COUNTIFS('QA_Issues'!$B$2:$B$93,B6,'QA_Issues'!$D$2:$D$93,"LIMITATION")</f>
        <v/>
      </c>
      <c r="V6" s="2" t="inlineStr">
        <is>
          <t>ISSUE-0041; ISSUE-0042; ISSUE-0043; ISSUE-0044; ISSUE-0045; ISSUE-0046; ISSUE-0047</t>
        </is>
      </c>
      <c r="W6" s="2" t="inlineStr">
        <is>
          <t>evidence_batch_017_165; live_source_comparison; customizer_audit; serp_evidence</t>
        </is>
      </c>
    </row>
    <row r="7" ht="42" customHeight="1">
      <c r="A7" s="3" t="n">
        <v>166</v>
      </c>
      <c r="B7" s="3" t="inlineStr">
        <is>
          <t>jeminise.com+pamnest-twin-halloween-comforter-set-with-sheets-5-pieces-design-03</t>
        </is>
      </c>
      <c r="C7" s="4" t="inlineStr">
        <is>
          <t>https://jeminise.com/products/pamnest-twin-halloween-comforter-set-with-sheets-5-pieces-design-03</t>
        </is>
      </c>
      <c r="D7" s="3" t="inlineStr">
        <is>
          <t>pamnest-twin-halloween-comforter-set-with-sheets-5-pieces-design-03</t>
        </is>
      </c>
      <c r="E7" s="3" t="inlineStr">
        <is>
          <t>8879779217607</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6</v>
      </c>
      <c r="O7" s="3" t="n">
        <v>6</v>
      </c>
      <c r="P7" s="3" t="b">
        <v>1</v>
      </c>
      <c r="Q7" s="8" t="n">
        <v>1</v>
      </c>
      <c r="R7" s="3">
        <f>COUNTIFS('QA_Issues'!$B$2:$B$93,B7,'QA_Issues'!$D$2:$D$93,"CRITICAL")</f>
        <v/>
      </c>
      <c r="S7" s="3">
        <f>COUNTIFS('QA_Issues'!$B$2:$B$93,B7,'QA_Issues'!$D$2:$D$93,"MAJOR")</f>
        <v/>
      </c>
      <c r="T7" s="3">
        <f>COUNTIFS('QA_Issues'!$B$2:$B$93,B7,'QA_Issues'!$D$2:$D$93,"MINOR")</f>
        <v/>
      </c>
      <c r="U7" s="3">
        <f>COUNTIFS('QA_Issues'!$B$2:$B$93,B7,'QA_Issues'!$D$2:$D$93,"LIMITATION")</f>
        <v/>
      </c>
      <c r="V7" s="3" t="inlineStr">
        <is>
          <t>ISSUE-0048; ISSUE-0049; ISSUE-0050; ISSUE-0051; ISSUE-0052; ISSUE-0053; ISSUE-0054; ISSUE-0055; ISSUE-0056</t>
        </is>
      </c>
      <c r="W7" s="3" t="inlineStr">
        <is>
          <t>evidence_batch_017_166; live_source_comparison; customizer_audit; serp_evidence</t>
        </is>
      </c>
    </row>
    <row r="8" ht="42" customHeight="1">
      <c r="A8" s="2" t="n">
        <v>167</v>
      </c>
      <c r="B8" s="2" t="inlineStr">
        <is>
          <t>jeminise.com+pamnest-twin-halloween-comforter-set-with-sheets-5-pieces-design-04</t>
        </is>
      </c>
      <c r="C8" s="4" t="inlineStr">
        <is>
          <t>https://jeminise.com/products/pamnest-twin-halloween-comforter-set-with-sheets-5-pieces-design-04</t>
        </is>
      </c>
      <c r="D8" s="2" t="inlineStr">
        <is>
          <t>pamnest-twin-halloween-comforter-set-with-sheets-5-pieces-design-04</t>
        </is>
      </c>
      <c r="E8" s="2" t="inlineStr">
        <is>
          <t>8879779283143</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6</v>
      </c>
      <c r="O8" s="2" t="n">
        <v>6</v>
      </c>
      <c r="P8" s="2" t="b">
        <v>1</v>
      </c>
      <c r="Q8" s="6" t="n">
        <v>1</v>
      </c>
      <c r="R8" s="2">
        <f>COUNTIFS('QA_Issues'!$B$2:$B$93,B8,'QA_Issues'!$D$2:$D$93,"CRITICAL")</f>
        <v/>
      </c>
      <c r="S8" s="2">
        <f>COUNTIFS('QA_Issues'!$B$2:$B$93,B8,'QA_Issues'!$D$2:$D$93,"MAJOR")</f>
        <v/>
      </c>
      <c r="T8" s="2">
        <f>COUNTIFS('QA_Issues'!$B$2:$B$93,B8,'QA_Issues'!$D$2:$D$93,"MINOR")</f>
        <v/>
      </c>
      <c r="U8" s="2">
        <f>COUNTIFS('QA_Issues'!$B$2:$B$93,B8,'QA_Issues'!$D$2:$D$93,"LIMITATION")</f>
        <v/>
      </c>
      <c r="V8" s="2" t="inlineStr">
        <is>
          <t>ISSUE-0057; ISSUE-0058; ISSUE-0059; ISSUE-0060; ISSUE-0061; ISSUE-0062; ISSUE-0063; ISSUE-0064; ISSUE-0065</t>
        </is>
      </c>
      <c r="W8" s="2" t="inlineStr">
        <is>
          <t>evidence_batch_017_167; live_source_comparison; customizer_audit; serp_evidence</t>
        </is>
      </c>
    </row>
    <row r="9" ht="42" customHeight="1">
      <c r="A9" s="3" t="n">
        <v>168</v>
      </c>
      <c r="B9" s="3" t="inlineStr">
        <is>
          <t>jeminise.com+pamnest-twin-halloween-comforter-set-with-sheets-5-pieces-design-05</t>
        </is>
      </c>
      <c r="C9" s="4" t="inlineStr">
        <is>
          <t>https://jeminise.com/products/pamnest-twin-halloween-comforter-set-with-sheets-5-pieces-design-05</t>
        </is>
      </c>
      <c r="D9" s="3" t="inlineStr">
        <is>
          <t>pamnest-twin-halloween-comforter-set-with-sheets-5-pieces-design-05</t>
        </is>
      </c>
      <c r="E9" s="3" t="inlineStr">
        <is>
          <t>8879779348679</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6</v>
      </c>
      <c r="O9" s="3" t="n">
        <v>6</v>
      </c>
      <c r="P9" s="3" t="b">
        <v>1</v>
      </c>
      <c r="Q9" s="8" t="n">
        <v>1</v>
      </c>
      <c r="R9" s="3">
        <f>COUNTIFS('QA_Issues'!$B$2:$B$93,B9,'QA_Issues'!$D$2:$D$93,"CRITICAL")</f>
        <v/>
      </c>
      <c r="S9" s="3">
        <f>COUNTIFS('QA_Issues'!$B$2:$B$93,B9,'QA_Issues'!$D$2:$D$93,"MAJOR")</f>
        <v/>
      </c>
      <c r="T9" s="3">
        <f>COUNTIFS('QA_Issues'!$B$2:$B$93,B9,'QA_Issues'!$D$2:$D$93,"MINOR")</f>
        <v/>
      </c>
      <c r="U9" s="3">
        <f>COUNTIFS('QA_Issues'!$B$2:$B$93,B9,'QA_Issues'!$D$2:$D$93,"LIMITATION")</f>
        <v/>
      </c>
      <c r="V9" s="3" t="inlineStr">
        <is>
          <t>ISSUE-0066; ISSUE-0067; ISSUE-0068; ISSUE-0069; ISSUE-0070; ISSUE-0071; ISSUE-0072; ISSUE-0073; ISSUE-0074</t>
        </is>
      </c>
      <c r="W9" s="3" t="inlineStr">
        <is>
          <t>evidence_batch_017_168; live_source_comparison; customizer_audit; serp_evidence</t>
        </is>
      </c>
    </row>
    <row r="10" ht="42" customHeight="1">
      <c r="A10" s="2" t="n">
        <v>169</v>
      </c>
      <c r="B10" s="2" t="inlineStr">
        <is>
          <t>jeminise.com+pamnest-twin-halloween-comforter-set-with-sheets-5-pieces-design-06</t>
        </is>
      </c>
      <c r="C10" s="4" t="inlineStr">
        <is>
          <t>https://jeminise.com/products/pamnest-twin-halloween-comforter-set-with-sheets-5-pieces-design-06</t>
        </is>
      </c>
      <c r="D10" s="2" t="inlineStr">
        <is>
          <t>pamnest-twin-halloween-comforter-set-with-sheets-5-pieces-design-06</t>
        </is>
      </c>
      <c r="E10" s="2" t="inlineStr">
        <is>
          <t>8879779381447</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6</v>
      </c>
      <c r="O10" s="2" t="n">
        <v>6</v>
      </c>
      <c r="P10" s="2" t="b">
        <v>1</v>
      </c>
      <c r="Q10" s="6" t="n">
        <v>1</v>
      </c>
      <c r="R10" s="2">
        <f>COUNTIFS('QA_Issues'!$B$2:$B$93,B10,'QA_Issues'!$D$2:$D$93,"CRITICAL")</f>
        <v/>
      </c>
      <c r="S10" s="2">
        <f>COUNTIFS('QA_Issues'!$B$2:$B$93,B10,'QA_Issues'!$D$2:$D$93,"MAJOR")</f>
        <v/>
      </c>
      <c r="T10" s="2">
        <f>COUNTIFS('QA_Issues'!$B$2:$B$93,B10,'QA_Issues'!$D$2:$D$93,"MINOR")</f>
        <v/>
      </c>
      <c r="U10" s="2">
        <f>COUNTIFS('QA_Issues'!$B$2:$B$93,B10,'QA_Issues'!$D$2:$D$93,"LIMITATION")</f>
        <v/>
      </c>
      <c r="V10" s="2" t="inlineStr">
        <is>
          <t>ISSUE-0075; ISSUE-0076; ISSUE-0077; ISSUE-0078; ISSUE-0079; ISSUE-0080; ISSUE-0081; ISSUE-0082; ISSUE-0083</t>
        </is>
      </c>
      <c r="W10" s="2" t="inlineStr">
        <is>
          <t>evidence_batch_017_169; live_source_comparison; customizer_audit; serp_evidence</t>
        </is>
      </c>
    </row>
    <row r="11" ht="42" customHeight="1">
      <c r="A11" s="3" t="n">
        <v>170</v>
      </c>
      <c r="B11" s="3" t="inlineStr">
        <is>
          <t>jeminise.com+pamnest-twin-halloween-comforter-set-with-sheets-5-pieces-design-07</t>
        </is>
      </c>
      <c r="C11" s="4" t="inlineStr">
        <is>
          <t>https://jeminise.com/products/pamnest-twin-halloween-comforter-set-with-sheets-5-pieces-design-07</t>
        </is>
      </c>
      <c r="D11" s="3" t="inlineStr">
        <is>
          <t>pamnest-twin-halloween-comforter-set-with-sheets-5-pieces-design-07</t>
        </is>
      </c>
      <c r="E11" s="3" t="inlineStr">
        <is>
          <t>8879779414215</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6</v>
      </c>
      <c r="O11" s="3" t="n">
        <v>6</v>
      </c>
      <c r="P11" s="3" t="b">
        <v>1</v>
      </c>
      <c r="Q11" s="8" t="n">
        <v>1</v>
      </c>
      <c r="R11" s="3">
        <f>COUNTIFS('QA_Issues'!$B$2:$B$93,B11,'QA_Issues'!$D$2:$D$93,"CRITICAL")</f>
        <v/>
      </c>
      <c r="S11" s="3">
        <f>COUNTIFS('QA_Issues'!$B$2:$B$93,B11,'QA_Issues'!$D$2:$D$93,"MAJOR")</f>
        <v/>
      </c>
      <c r="T11" s="3">
        <f>COUNTIFS('QA_Issues'!$B$2:$B$93,B11,'QA_Issues'!$D$2:$D$93,"MINOR")</f>
        <v/>
      </c>
      <c r="U11" s="3">
        <f>COUNTIFS('QA_Issues'!$B$2:$B$93,B11,'QA_Issues'!$D$2:$D$93,"LIMITATION")</f>
        <v/>
      </c>
      <c r="V11" s="3" t="inlineStr">
        <is>
          <t>ISSUE-0084; ISSUE-0085; ISSUE-0086; ISSUE-0087; ISSUE-0088; ISSUE-0089; ISSUE-0090; ISSUE-0091; ISSUE-0092</t>
        </is>
      </c>
      <c r="W11" s="3" t="inlineStr">
        <is>
          <t>evidence_batch_017_170;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jeminise.com+norse-mythology-raven-within-celtic-knot-frame-quilt-906ee24d68-906ee24d68</t>
        </is>
      </c>
      <c r="B2" s="2" t="inlineStr">
        <is>
          <t>P1</t>
        </is>
      </c>
      <c r="C2" s="2" t="n">
        <v>15</v>
      </c>
      <c r="D2" s="2" t="inlineStr">
        <is>
          <t>FULL</t>
        </is>
      </c>
      <c r="E2" s="5">
        <f>IF(B2="I1",AVERAGEIF('QA_Images'!$A$2:$A$63,A2,'QA_Images'!$T$2:$T$63)/100,IF(D2="FULL",1,IF(D2="PARTIAL",0.5,IF(D2="FAIL",0,""))))</f>
        <v/>
      </c>
      <c r="F2" s="5">
        <f>IF(E2="",0,C2*E2)</f>
        <v/>
      </c>
      <c r="G2" s="5">
        <f>IF(B2="I1",20*AVERAGEIF('QA_Images'!$A$2:$A$63,A2,'QA_Images'!$U$2:$U$63)/100,IF(D2="NOT_CHECKED",0,C2))</f>
        <v/>
      </c>
      <c r="H2" s="2" t="inlineStr">
        <is>
          <t>Product identity, handle, product ID, URL and canonical match source/live evidence. Product key/handle/product ID/canonical checked against frozen workbook and live product evidence.</t>
        </is>
      </c>
      <c r="I2" s="2" t="inlineStr">
        <is>
          <t>evidence_batch_017_161</t>
        </is>
      </c>
      <c r="J2" s="2" t="inlineStr">
        <is>
          <t>ISSUE-0001; ISSUE-0002; ISSUE-0003; ISSUE-0004</t>
        </is>
      </c>
    </row>
    <row r="3" ht="42" customHeight="1">
      <c r="A3" s="3" t="inlineStr">
        <is>
          <t>jeminise.com+norse-mythology-raven-within-celtic-knot-frame-quilt-906ee24d68-906ee24d68</t>
        </is>
      </c>
      <c r="B3" s="3" t="inlineStr">
        <is>
          <t>P2</t>
        </is>
      </c>
      <c r="C3" s="3" t="n">
        <v>10</v>
      </c>
      <c r="D3" s="3" t="inlineStr">
        <is>
          <t>PARTIAL</t>
        </is>
      </c>
      <c r="E3" s="7">
        <f>IF(B3="I1",AVERAGEIF('QA_Images'!$A$2:$A$63,A3,'QA_Images'!$T$2:$T$63)/100,IF(D3="FULL",1,IF(D3="PARTIAL",0.5,IF(D3="FAIL",0,""))))</f>
        <v/>
      </c>
      <c r="F3" s="7">
        <f>IF(E3="",0,C3*E3)</f>
        <v/>
      </c>
      <c r="G3" s="7">
        <f>IF(B3="I1",20*AVERAGEIF('QA_Images'!$A$2:$A$63,A3,'QA_Images'!$U$2:$U$63)/100,IF(D3="NOT_CHECKED",0,C3))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evidence_batch_017_161</t>
        </is>
      </c>
      <c r="J3" s="3" t="inlineStr">
        <is>
          <t>ISSUE-0001; ISSUE-0002; ISSUE-0003; ISSUE-0004</t>
        </is>
      </c>
    </row>
    <row r="4" ht="42" customHeight="1">
      <c r="A4" s="2" t="inlineStr">
        <is>
          <t>jeminise.com+norse-mythology-raven-within-celtic-knot-frame-quilt-906ee24d68-906ee24d68</t>
        </is>
      </c>
      <c r="B4" s="2" t="inlineStr">
        <is>
          <t>K1</t>
        </is>
      </c>
      <c r="C4" s="2" t="n">
        <v>10</v>
      </c>
      <c r="D4" s="2" t="inlineStr">
        <is>
          <t>PARTIAL</t>
        </is>
      </c>
      <c r="E4" s="5">
        <f>IF(B4="I1",AVERAGEIF('QA_Images'!$A$2:$A$63,A4,'QA_Images'!$T$2:$T$63)/100,IF(D4="FULL",1,IF(D4="PARTIAL",0.5,IF(D4="FAIL",0,""))))</f>
        <v/>
      </c>
      <c r="F4" s="5">
        <f>IF(E4="",0,C4*E4)</f>
        <v/>
      </c>
      <c r="G4" s="5">
        <f>IF(B4="I1",20*AVERAGEIF('QA_Images'!$A$2:$A$63,A4,'QA_Images'!$U$2:$U$63)/100,IF(D4="NOT_CHECKED",0,C4))</f>
        <v/>
      </c>
      <c r="H4" s="2" t="inlineStr">
        <is>
          <t>Primary keyword aligns with product-level US purchase intent. Primary keyword rechecked against US product-level SERP comparables.</t>
        </is>
      </c>
      <c r="I4" s="2" t="inlineStr">
        <is>
          <t>evidence_batch_017_161</t>
        </is>
      </c>
      <c r="J4" s="2" t="inlineStr">
        <is>
          <t>ISSUE-0001; ISSUE-0002; ISSUE-0003; ISSUE-0004</t>
        </is>
      </c>
    </row>
    <row r="5" ht="42" customHeight="1">
      <c r="A5" s="3" t="inlineStr">
        <is>
          <t>jeminise.com+norse-mythology-raven-within-celtic-knot-frame-quilt-906ee24d68-906ee24d68</t>
        </is>
      </c>
      <c r="B5" s="3" t="inlineStr">
        <is>
          <t>K2</t>
        </is>
      </c>
      <c r="C5" s="3" t="n">
        <v>5</v>
      </c>
      <c r="D5" s="3" t="inlineStr">
        <is>
          <t>PARTIAL</t>
        </is>
      </c>
      <c r="E5" s="7">
        <f>IF(B5="I1",AVERAGEIF('QA_Images'!$A$2:$A$63,A5,'QA_Images'!$T$2:$T$63)/100,IF(D5="FULL",1,IF(D5="PARTIAL",0.5,IF(D5="FAIL",0,""))))</f>
        <v/>
      </c>
      <c r="F5" s="7">
        <f>IF(E5="",0,C5*E5)</f>
        <v/>
      </c>
      <c r="G5" s="7">
        <f>IF(B5="I1",20*AVERAGEIF('QA_Images'!$A$2:$A$63,A5,'QA_Images'!$U$2:$U$63)/100,IF(D5="NOT_CHECKED",0,C5))</f>
        <v/>
      </c>
      <c r="H5" s="3" t="inlineStr">
        <is>
          <t>Intent/cannibalization check distinguishes nearby products. Nearby product cluster has overlap risk, so intent distinction remains only partial.</t>
        </is>
      </c>
      <c r="I5" s="3" t="inlineStr">
        <is>
          <t>evidence_batch_017_161</t>
        </is>
      </c>
      <c r="J5" s="3" t="inlineStr">
        <is>
          <t>ISSUE-0001; ISSUE-0002; ISSUE-0003; ISSUE-0004</t>
        </is>
      </c>
    </row>
    <row r="6" ht="42" customHeight="1">
      <c r="A6" s="2" t="inlineStr">
        <is>
          <t>jeminise.com+norse-mythology-raven-within-celtic-knot-frame-quilt-906ee24d68-906ee24d68</t>
        </is>
      </c>
      <c r="B6" s="2" t="inlineStr">
        <is>
          <t>K3</t>
        </is>
      </c>
      <c r="C6" s="2" t="n">
        <v>5</v>
      </c>
      <c r="D6" s="2" t="inlineStr">
        <is>
          <t>PARTIAL</t>
        </is>
      </c>
      <c r="E6" s="5">
        <f>IF(B6="I1",AVERAGEIF('QA_Images'!$A$2:$A$63,A6,'QA_Images'!$T$2:$T$63)/100,IF(D6="FULL",1,IF(D6="PARTIAL",0.5,IF(D6="FAIL",0,""))))</f>
        <v/>
      </c>
      <c r="F6" s="5">
        <f>IF(E6="",0,C6*E6)</f>
        <v/>
      </c>
      <c r="G6" s="5">
        <f>IF(B6="I1",20*AVERAGEIF('QA_Images'!$A$2:$A$63,A6,'QA_Images'!$U$2:$U$63)/100,IF(D6="NOT_CHECKED",0,C6))</f>
        <v/>
      </c>
      <c r="H6" s="2" t="inlineStr">
        <is>
          <t>Keyword evidence is supported by SERP comparables without unsupported volume claims. Evidence is public SERP only; no Search Console, keyword volume or customer-search corpus provided.</t>
        </is>
      </c>
      <c r="I6" s="2" t="inlineStr">
        <is>
          <t>evidence_batch_017_161</t>
        </is>
      </c>
      <c r="J6" s="2" t="inlineStr">
        <is>
          <t>ISSUE-0001; ISSUE-0002; ISSUE-0003; ISSUE-0004</t>
        </is>
      </c>
    </row>
    <row r="7" ht="42" customHeight="1">
      <c r="A7" s="3" t="inlineStr">
        <is>
          <t>jeminise.com+norse-mythology-raven-within-celtic-knot-frame-quilt-906ee24d68-906ee24d68</t>
        </is>
      </c>
      <c r="B7" s="3" t="inlineStr">
        <is>
          <t>T1</t>
        </is>
      </c>
      <c r="C7" s="3" t="n">
        <v>10</v>
      </c>
      <c r="D7" s="3" t="inlineStr">
        <is>
          <t>PARTIAL</t>
        </is>
      </c>
      <c r="E7" s="7">
        <f>IF(B7="I1",AVERAGEIF('QA_Images'!$A$2:$A$63,A7,'QA_Images'!$T$2:$T$63)/100,IF(D7="FULL",1,IF(D7="PARTIAL",0.5,IF(D7="FAIL",0,""))))</f>
        <v/>
      </c>
      <c r="F7" s="7">
        <f>IF(E7="",0,C7*E7)</f>
        <v/>
      </c>
      <c r="G7" s="7">
        <f>IF(B7="I1",20*AVERAGEIF('QA_Images'!$A$2:$A$63,A7,'QA_Images'!$U$2:$U$63)/100,IF(D7="NOT_CHECKED",0,C7))</f>
        <v/>
      </c>
      <c r="H7" s="3" t="inlineStr">
        <is>
          <t>SEO title and H1 are relevant, specific and grounded in visible/source facts. Proposed H1 is blank, so the title/H1 pair cannot be fully verified.</t>
        </is>
      </c>
      <c r="I7" s="3" t="inlineStr">
        <is>
          <t>evidence_batch_017_161</t>
        </is>
      </c>
      <c r="J7" s="3" t="inlineStr">
        <is>
          <t>ISSUE-0001; ISSUE-0002; ISSUE-0003; ISSUE-0004</t>
        </is>
      </c>
    </row>
    <row r="8" ht="42" customHeight="1">
      <c r="A8" s="2" t="inlineStr">
        <is>
          <t>jeminise.com+norse-mythology-raven-within-celtic-knot-frame-quilt-906ee24d68-906ee24d68</t>
        </is>
      </c>
      <c r="B8" s="2" t="inlineStr">
        <is>
          <t>T2</t>
        </is>
      </c>
      <c r="C8" s="2" t="n">
        <v>5</v>
      </c>
      <c r="D8" s="2" t="inlineStr">
        <is>
          <t>PARTIAL</t>
        </is>
      </c>
      <c r="E8" s="5">
        <f>IF(B8="I1",AVERAGEIF('QA_Images'!$A$2:$A$63,A8,'QA_Images'!$T$2:$T$63)/100,IF(D8="FULL",1,IF(D8="PARTIAL",0.5,IF(D8="FAIL",0,""))))</f>
        <v/>
      </c>
      <c r="F8" s="5">
        <f>IF(E8="",0,C8*E8)</f>
        <v/>
      </c>
      <c r="G8" s="5">
        <f>IF(B8="I1",20*AVERAGEIF('QA_Images'!$A$2:$A$63,A8,'QA_Images'!$U$2:$U$63)/100,IF(D8="NOT_CHECKED",0,C8))</f>
        <v/>
      </c>
      <c r="H8" s="2" t="inlineStr">
        <is>
          <t>Meta description is concise, publish-ready and avoids unsupported claims. Meta description checked for length, specificity and supportable claims.</t>
        </is>
      </c>
      <c r="I8" s="2" t="inlineStr">
        <is>
          <t>evidence_batch_017_161</t>
        </is>
      </c>
      <c r="J8" s="2" t="inlineStr">
        <is>
          <t>ISSUE-0001; ISSUE-0002; ISSUE-0003; ISSUE-0004</t>
        </is>
      </c>
    </row>
    <row r="9" ht="42" customHeight="1">
      <c r="A9" s="3" t="inlineStr">
        <is>
          <t>jeminise.com+norse-mythology-raven-within-celtic-knot-frame-quilt-906ee24d68-906ee24d68</t>
        </is>
      </c>
      <c r="B9" s="3" t="inlineStr">
        <is>
          <t>D1</t>
        </is>
      </c>
      <c r="C9" s="3" t="n">
        <v>10</v>
      </c>
      <c r="D9" s="3" t="inlineStr">
        <is>
          <t>FAIL</t>
        </is>
      </c>
      <c r="E9" s="7">
        <f>IF(B9="I1",AVERAGEIF('QA_Images'!$A$2:$A$63,A9,'QA_Images'!$T$2:$T$63)/100,IF(D9="FULL",1,IF(D9="PARTIAL",0.5,IF(D9="FAIL",0,""))))</f>
        <v/>
      </c>
      <c r="F9" s="7">
        <f>IF(E9="",0,C9*E9)</f>
        <v/>
      </c>
      <c r="G9" s="7">
        <f>IF(B9="I1",20*AVERAGEIF('QA_Images'!$A$2:$A$63,A9,'QA_Images'!$U$2:$U$63)/100,IF(D9="NOT_CHECKED",0,C9))</f>
        <v/>
      </c>
      <c r="H9" s="3" t="inlineStr">
        <is>
          <t>Description HTML is publish-ready and free of internal draft/QA instructions. Description HTML still contains internal QA/import language.</t>
        </is>
      </c>
      <c r="I9" s="3" t="inlineStr">
        <is>
          <t>evidence_batch_017_161</t>
        </is>
      </c>
      <c r="J9" s="3" t="inlineStr">
        <is>
          <t>ISSUE-0001; ISSUE-0002; ISSUE-0003; ISSUE-0004</t>
        </is>
      </c>
    </row>
    <row r="10" ht="42" customHeight="1">
      <c r="A10" s="2" t="inlineStr">
        <is>
          <t>jeminise.com+norse-mythology-raven-within-celtic-knot-frame-quilt-906ee24d68-906ee24d68</t>
        </is>
      </c>
      <c r="B10" s="2" t="inlineStr">
        <is>
          <t>D2</t>
        </is>
      </c>
      <c r="C10" s="2" t="n">
        <v>5</v>
      </c>
      <c r="D10" s="2" t="inlineStr">
        <is>
          <t>PARTIAL</t>
        </is>
      </c>
      <c r="E10" s="5">
        <f>IF(B10="I1",AVERAGEIF('QA_Images'!$A$2:$A$63,A10,'QA_Images'!$T$2:$T$63)/100,IF(D10="FULL",1,IF(D10="PARTIAL",0.5,IF(D10="FAIL",0,""))))</f>
        <v/>
      </c>
      <c r="F10" s="5">
        <f>IF(E10="",0,C10*E10)</f>
        <v/>
      </c>
      <c r="G10" s="5">
        <f>IF(B10="I1",20*AVERAGEIF('QA_Images'!$A$2:$A$63,A10,'QA_Images'!$U$2:$U$63)/100,IF(D10="NOT_CHECKED",0,C10))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evidence_batch_017_161</t>
        </is>
      </c>
      <c r="J10" s="2" t="inlineStr">
        <is>
          <t>ISSUE-0001; ISSUE-0002; ISSUE-0003; ISSUE-0004</t>
        </is>
      </c>
    </row>
    <row r="11" ht="42" customHeight="1">
      <c r="A11" s="3" t="inlineStr">
        <is>
          <t>jeminise.com+norse-mythology-raven-within-celtic-knot-frame-quilt-906ee24d68-906ee24d68</t>
        </is>
      </c>
      <c r="B11" s="3" t="inlineStr">
        <is>
          <t>I1</t>
        </is>
      </c>
      <c r="C11" s="3" t="n">
        <v>20</v>
      </c>
      <c r="D11" s="3" t="inlineStr">
        <is>
          <t>FULL</t>
        </is>
      </c>
      <c r="E11" s="7">
        <f>IF(B11="I1",AVERAGEIF('QA_Images'!$A$2:$A$63,A11,'QA_Images'!$T$2:$T$63)/100,IF(D11="FULL",1,IF(D11="PARTIAL",0.5,IF(D11="FAIL",0,""))))</f>
        <v/>
      </c>
      <c r="F11" s="7">
        <f>IF(E11="",0,C11*E11)</f>
        <v/>
      </c>
      <c r="G11" s="7">
        <f>IF(B11="I1",20*AVERAGEIF('QA_Images'!$A$2:$A$63,A11,'QA_Images'!$U$2:$U$63)/100,IF(D11="NOT_CHECKED",0,C11))</f>
        <v/>
      </c>
      <c r="H11" s="3" t="inlineStr">
        <is>
          <t>Image coverage, image observations and alt text quality, derived from QA_Images. Derived from average image QA score; see QA_Images.</t>
        </is>
      </c>
      <c r="I11" s="3" t="inlineStr">
        <is>
          <t>evidence_batch_017_161</t>
        </is>
      </c>
      <c r="J11" s="3" t="inlineStr">
        <is>
          <t>ISSUE-0001; ISSUE-0002; ISSUE-0003; ISSUE-0004</t>
        </is>
      </c>
    </row>
    <row r="12" ht="42" customHeight="1">
      <c r="A12" s="2" t="inlineStr">
        <is>
          <t>jeminise.com+norse-mythology-raven-within-celtic-knot-frame-quilt-906ee24d68-906ee24d68</t>
        </is>
      </c>
      <c r="B12" s="2" t="inlineStr">
        <is>
          <t>E1</t>
        </is>
      </c>
      <c r="C12" s="2" t="n">
        <v>5</v>
      </c>
      <c r="D12" s="2" t="inlineStr">
        <is>
          <t>PARTIAL</t>
        </is>
      </c>
      <c r="E12" s="5">
        <f>IF(B12="I1",AVERAGEIF('QA_Images'!$A$2:$A$63,A12,'QA_Images'!$T$2:$T$63)/100,IF(D12="FULL",1,IF(D12="PARTIAL",0.5,IF(D12="FAIL",0,""))))</f>
        <v/>
      </c>
      <c r="F12" s="5">
        <f>IF(E12="",0,C12*E12)</f>
        <v/>
      </c>
      <c r="G12" s="5">
        <f>IF(B12="I1",20*AVERAGEIF('QA_Images'!$A$2:$A$63,A12,'QA_Images'!$U$2:$U$63)/100,IF(D12="NOT_CHECKED",0,C12))</f>
        <v/>
      </c>
      <c r="H12" s="2" t="inlineStr">
        <is>
          <t>Evidence chain is traceable and limitations are explicitly separated from failures. Evidence chain is traceable, with admin-export limitation explicitly separated.</t>
        </is>
      </c>
      <c r="I12" s="2" t="inlineStr">
        <is>
          <t>evidence_batch_017_161</t>
        </is>
      </c>
      <c r="J12" s="2" t="inlineStr">
        <is>
          <t>ISSUE-0001; ISSUE-0002; ISSUE-0003; ISSUE-0004</t>
        </is>
      </c>
    </row>
    <row r="13" ht="42" customHeight="1">
      <c r="A13" s="3" t="inlineStr">
        <is>
          <t>jeminise.com+norse-mythology-viking-shield-with-crossed-axes-quilt-ca630a284e-ca630a284e</t>
        </is>
      </c>
      <c r="B13" s="3" t="inlineStr">
        <is>
          <t>P1</t>
        </is>
      </c>
      <c r="C13" s="3" t="n">
        <v>15</v>
      </c>
      <c r="D13" s="3" t="inlineStr">
        <is>
          <t>FULL</t>
        </is>
      </c>
      <c r="E13" s="7">
        <f>IF(B13="I1",AVERAGEIF('QA_Images'!$A$2:$A$63,A13,'QA_Images'!$T$2:$T$63)/100,IF(D13="FULL",1,IF(D13="PARTIAL",0.5,IF(D13="FAIL",0,""))))</f>
        <v/>
      </c>
      <c r="F13" s="7">
        <f>IF(E13="",0,C13*E13)</f>
        <v/>
      </c>
      <c r="G13" s="7">
        <f>IF(B13="I1",20*AVERAGEIF('QA_Images'!$A$2:$A$63,A13,'QA_Images'!$U$2:$U$63)/100,IF(D13="NOT_CHECKED",0,C13))</f>
        <v/>
      </c>
      <c r="H13" s="3" t="inlineStr">
        <is>
          <t>Product identity, handle, product ID, URL and canonical match source/live evidence. Product key/handle/product ID/canonical checked against frozen workbook and live product evidence.</t>
        </is>
      </c>
      <c r="I13" s="3" t="inlineStr">
        <is>
          <t>evidence_batch_017_162</t>
        </is>
      </c>
      <c r="J13" s="3" t="inlineStr">
        <is>
          <t>ISSUE-0011; ISSUE-0012; ISSUE-0013; ISSUE-0014; ISSUE-0015</t>
        </is>
      </c>
    </row>
    <row r="14" ht="42" customHeight="1">
      <c r="A14" s="2" t="inlineStr">
        <is>
          <t>jeminise.com+norse-mythology-viking-shield-with-crossed-axes-quilt-ca630a284e-ca630a284e</t>
        </is>
      </c>
      <c r="B14" s="2" t="inlineStr">
        <is>
          <t>P2</t>
        </is>
      </c>
      <c r="C14" s="2" t="n">
        <v>10</v>
      </c>
      <c r="D14" s="2" t="inlineStr">
        <is>
          <t>PARTIAL</t>
        </is>
      </c>
      <c r="E14" s="5">
        <f>IF(B14="I1",AVERAGEIF('QA_Images'!$A$2:$A$63,A14,'QA_Images'!$T$2:$T$63)/100,IF(D14="FULL",1,IF(D14="PARTIAL",0.5,IF(D14="FAIL",0,""))))</f>
        <v/>
      </c>
      <c r="F14" s="5">
        <f>IF(E14="",0,C14*E14)</f>
        <v/>
      </c>
      <c r="G14" s="5">
        <f>IF(B14="I1",20*AVERAGEIF('QA_Images'!$A$2:$A$63,A14,'QA_Images'!$U$2:$U$63)/100,IF(D14="NOT_CHECKED",0,C14))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evidence_batch_017_162</t>
        </is>
      </c>
      <c r="J14" s="2" t="inlineStr">
        <is>
          <t>ISSUE-0011; ISSUE-0012; ISSUE-0013; ISSUE-0014; ISSUE-0015</t>
        </is>
      </c>
    </row>
    <row r="15" ht="42" customHeight="1">
      <c r="A15" s="3" t="inlineStr">
        <is>
          <t>jeminise.com+norse-mythology-viking-shield-with-crossed-axes-quilt-ca630a284e-ca630a284e</t>
        </is>
      </c>
      <c r="B15" s="3" t="inlineStr">
        <is>
          <t>K1</t>
        </is>
      </c>
      <c r="C15" s="3" t="n">
        <v>10</v>
      </c>
      <c r="D15" s="3" t="inlineStr">
        <is>
          <t>PARTIAL</t>
        </is>
      </c>
      <c r="E15" s="7">
        <f>IF(B15="I1",AVERAGEIF('QA_Images'!$A$2:$A$63,A15,'QA_Images'!$T$2:$T$63)/100,IF(D15="FULL",1,IF(D15="PARTIAL",0.5,IF(D15="FAIL",0,""))))</f>
        <v/>
      </c>
      <c r="F15" s="7">
        <f>IF(E15="",0,C15*E15)</f>
        <v/>
      </c>
      <c r="G15" s="7">
        <f>IF(B15="I1",20*AVERAGEIF('QA_Images'!$A$2:$A$63,A15,'QA_Images'!$U$2:$U$63)/100,IF(D15="NOT_CHECKED",0,C15))</f>
        <v/>
      </c>
      <c r="H15" s="3" t="inlineStr">
        <is>
          <t>Primary keyword aligns with product-level US purchase intent. Primary keyword rechecked against US product-level SERP comparables.</t>
        </is>
      </c>
      <c r="I15" s="3" t="inlineStr">
        <is>
          <t>evidence_batch_017_162</t>
        </is>
      </c>
      <c r="J15" s="3" t="inlineStr">
        <is>
          <t>ISSUE-0011; ISSUE-0012; ISSUE-0013; ISSUE-0014; ISSUE-0015</t>
        </is>
      </c>
    </row>
    <row r="16" ht="42" customHeight="1">
      <c r="A16" s="2" t="inlineStr">
        <is>
          <t>jeminise.com+norse-mythology-viking-shield-with-crossed-axes-quilt-ca630a284e-ca630a284e</t>
        </is>
      </c>
      <c r="B16" s="2" t="inlineStr">
        <is>
          <t>K2</t>
        </is>
      </c>
      <c r="C16" s="2" t="n">
        <v>5</v>
      </c>
      <c r="D16" s="2" t="inlineStr">
        <is>
          <t>PARTIAL</t>
        </is>
      </c>
      <c r="E16" s="5">
        <f>IF(B16="I1",AVERAGEIF('QA_Images'!$A$2:$A$63,A16,'QA_Images'!$T$2:$T$63)/100,IF(D16="FULL",1,IF(D16="PARTIAL",0.5,IF(D16="FAIL",0,""))))</f>
        <v/>
      </c>
      <c r="F16" s="5">
        <f>IF(E16="",0,C16*E16)</f>
        <v/>
      </c>
      <c r="G16" s="5">
        <f>IF(B16="I1",20*AVERAGEIF('QA_Images'!$A$2:$A$63,A16,'QA_Images'!$U$2:$U$63)/100,IF(D16="NOT_CHECKED",0,C16))</f>
        <v/>
      </c>
      <c r="H16" s="2" t="inlineStr">
        <is>
          <t>Intent/cannibalization check distinguishes nearby products. Nearby product cluster has overlap risk, so intent distinction remains only partial.</t>
        </is>
      </c>
      <c r="I16" s="2" t="inlineStr">
        <is>
          <t>evidence_batch_017_162</t>
        </is>
      </c>
      <c r="J16" s="2" t="inlineStr">
        <is>
          <t>ISSUE-0011; ISSUE-0012; ISSUE-0013; ISSUE-0014; ISSUE-0015</t>
        </is>
      </c>
    </row>
    <row r="17" ht="42" customHeight="1">
      <c r="A17" s="3" t="inlineStr">
        <is>
          <t>jeminise.com+norse-mythology-viking-shield-with-crossed-axes-quilt-ca630a284e-ca630a284e</t>
        </is>
      </c>
      <c r="B17" s="3" t="inlineStr">
        <is>
          <t>K3</t>
        </is>
      </c>
      <c r="C17" s="3" t="n">
        <v>5</v>
      </c>
      <c r="D17" s="3" t="inlineStr">
        <is>
          <t>PARTIAL</t>
        </is>
      </c>
      <c r="E17" s="7">
        <f>IF(B17="I1",AVERAGEIF('QA_Images'!$A$2:$A$63,A17,'QA_Images'!$T$2:$T$63)/100,IF(D17="FULL",1,IF(D17="PARTIAL",0.5,IF(D17="FAIL",0,""))))</f>
        <v/>
      </c>
      <c r="F17" s="7">
        <f>IF(E17="",0,C17*E17)</f>
        <v/>
      </c>
      <c r="G17" s="7">
        <f>IF(B17="I1",20*AVERAGEIF('QA_Images'!$A$2:$A$63,A17,'QA_Images'!$U$2:$U$63)/100,IF(D17="NOT_CHECKED",0,C17))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evidence_batch_017_162</t>
        </is>
      </c>
      <c r="J17" s="3" t="inlineStr">
        <is>
          <t>ISSUE-0011; ISSUE-0012; ISSUE-0013; ISSUE-0014; ISSUE-0015</t>
        </is>
      </c>
    </row>
    <row r="18" ht="42" customHeight="1">
      <c r="A18" s="2" t="inlineStr">
        <is>
          <t>jeminise.com+norse-mythology-viking-shield-with-crossed-axes-quilt-ca630a284e-ca630a284e</t>
        </is>
      </c>
      <c r="B18" s="2" t="inlineStr">
        <is>
          <t>T1</t>
        </is>
      </c>
      <c r="C18" s="2" t="n">
        <v>10</v>
      </c>
      <c r="D18" s="2" t="inlineStr">
        <is>
          <t>PARTIAL</t>
        </is>
      </c>
      <c r="E18" s="5">
        <f>IF(B18="I1",AVERAGEIF('QA_Images'!$A$2:$A$63,A18,'QA_Images'!$T$2:$T$63)/100,IF(D18="FULL",1,IF(D18="PARTIAL",0.5,IF(D18="FAIL",0,""))))</f>
        <v/>
      </c>
      <c r="F18" s="5">
        <f>IF(E18="",0,C18*E18)</f>
        <v/>
      </c>
      <c r="G18" s="5">
        <f>IF(B18="I1",20*AVERAGEIF('QA_Images'!$A$2:$A$63,A18,'QA_Images'!$U$2:$U$63)/100,IF(D18="NOT_CHECKED",0,C18))</f>
        <v/>
      </c>
      <c r="H18" s="2" t="inlineStr">
        <is>
          <t>SEO title and H1 are relevant, specific and grounded in visible/source facts. Proposed H1 is blank, so the title/H1 pair cannot be fully verified.</t>
        </is>
      </c>
      <c r="I18" s="2" t="inlineStr">
        <is>
          <t>evidence_batch_017_162</t>
        </is>
      </c>
      <c r="J18" s="2" t="inlineStr">
        <is>
          <t>ISSUE-0011; ISSUE-0012; ISSUE-0013; ISSUE-0014; ISSUE-0015</t>
        </is>
      </c>
    </row>
    <row r="19" ht="42" customHeight="1">
      <c r="A19" s="3" t="inlineStr">
        <is>
          <t>jeminise.com+norse-mythology-viking-shield-with-crossed-axes-quilt-ca630a284e-ca630a284e</t>
        </is>
      </c>
      <c r="B19" s="3" t="inlineStr">
        <is>
          <t>T2</t>
        </is>
      </c>
      <c r="C19" s="3" t="n">
        <v>5</v>
      </c>
      <c r="D19" s="3" t="inlineStr">
        <is>
          <t>PARTIAL</t>
        </is>
      </c>
      <c r="E19" s="7">
        <f>IF(B19="I1",AVERAGEIF('QA_Images'!$A$2:$A$63,A19,'QA_Images'!$T$2:$T$63)/100,IF(D19="FULL",1,IF(D19="PARTIAL",0.5,IF(D19="FAIL",0,""))))</f>
        <v/>
      </c>
      <c r="F19" s="7">
        <f>IF(E19="",0,C19*E19)</f>
        <v/>
      </c>
      <c r="G19" s="7">
        <f>IF(B19="I1",20*AVERAGEIF('QA_Images'!$A$2:$A$63,A19,'QA_Images'!$U$2:$U$63)/100,IF(D19="NOT_CHECKED",0,C19))</f>
        <v/>
      </c>
      <c r="H19" s="3" t="inlineStr">
        <is>
          <t>Meta description is concise, publish-ready and avoids unsupported claims. Meta description checked for length, specificity and supportable claims.</t>
        </is>
      </c>
      <c r="I19" s="3" t="inlineStr">
        <is>
          <t>evidence_batch_017_162</t>
        </is>
      </c>
      <c r="J19" s="3" t="inlineStr">
        <is>
          <t>ISSUE-0011; ISSUE-0012; ISSUE-0013; ISSUE-0014; ISSUE-0015</t>
        </is>
      </c>
    </row>
    <row r="20" ht="42" customHeight="1">
      <c r="A20" s="2" t="inlineStr">
        <is>
          <t>jeminise.com+norse-mythology-viking-shield-with-crossed-axes-quilt-ca630a284e-ca630a284e</t>
        </is>
      </c>
      <c r="B20" s="2" t="inlineStr">
        <is>
          <t>D1</t>
        </is>
      </c>
      <c r="C20" s="2" t="n">
        <v>10</v>
      </c>
      <c r="D20" s="2" t="inlineStr">
        <is>
          <t>FAIL</t>
        </is>
      </c>
      <c r="E20" s="5">
        <f>IF(B20="I1",AVERAGEIF('QA_Images'!$A$2:$A$63,A20,'QA_Images'!$T$2:$T$63)/100,IF(D20="FULL",1,IF(D20="PARTIAL",0.5,IF(D20="FAIL",0,""))))</f>
        <v/>
      </c>
      <c r="F20" s="5">
        <f>IF(E20="",0,C20*E20)</f>
        <v/>
      </c>
      <c r="G20" s="5">
        <f>IF(B20="I1",20*AVERAGEIF('QA_Images'!$A$2:$A$63,A20,'QA_Images'!$U$2:$U$63)/100,IF(D20="NOT_CHECKED",0,C20))</f>
        <v/>
      </c>
      <c r="H20" s="2" t="inlineStr">
        <is>
          <t>Description HTML is publish-ready and free of internal draft/QA instructions. Description HTML still contains internal QA/import language.</t>
        </is>
      </c>
      <c r="I20" s="2" t="inlineStr">
        <is>
          <t>evidence_batch_017_162</t>
        </is>
      </c>
      <c r="J20" s="2" t="inlineStr">
        <is>
          <t>ISSUE-0011; ISSUE-0012; ISSUE-0013; ISSUE-0014; ISSUE-0015</t>
        </is>
      </c>
    </row>
    <row r="21" ht="42" customHeight="1">
      <c r="A21" s="3" t="inlineStr">
        <is>
          <t>jeminise.com+norse-mythology-viking-shield-with-crossed-axes-quilt-ca630a284e-ca630a284e</t>
        </is>
      </c>
      <c r="B21" s="3" t="inlineStr">
        <is>
          <t>D2</t>
        </is>
      </c>
      <c r="C21" s="3" t="n">
        <v>5</v>
      </c>
      <c r="D21" s="3" t="inlineStr">
        <is>
          <t>PARTIAL</t>
        </is>
      </c>
      <c r="E21" s="7">
        <f>IF(B21="I1",AVERAGEIF('QA_Images'!$A$2:$A$63,A21,'QA_Images'!$T$2:$T$63)/100,IF(D21="FULL",1,IF(D21="PARTIAL",0.5,IF(D21="FAIL",0,""))))</f>
        <v/>
      </c>
      <c r="F21" s="7">
        <f>IF(E21="",0,C21*E21)</f>
        <v/>
      </c>
      <c r="G21" s="7">
        <f>IF(B21="I1",20*AVERAGEIF('QA_Images'!$A$2:$A$63,A21,'QA_Images'!$U$2:$U$63)/100,IF(D21="NOT_CHECKED",0,C21))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evidence_batch_017_162</t>
        </is>
      </c>
      <c r="J21" s="3" t="inlineStr">
        <is>
          <t>ISSUE-0011; ISSUE-0012; ISSUE-0013; ISSUE-0014; ISSUE-0015</t>
        </is>
      </c>
    </row>
    <row r="22" ht="42" customHeight="1">
      <c r="A22" s="2" t="inlineStr">
        <is>
          <t>jeminise.com+norse-mythology-viking-shield-with-crossed-axes-quilt-ca630a284e-ca630a284e</t>
        </is>
      </c>
      <c r="B22" s="2" t="inlineStr">
        <is>
          <t>I1</t>
        </is>
      </c>
      <c r="C22" s="2" t="n">
        <v>20</v>
      </c>
      <c r="D22" s="2" t="inlineStr">
        <is>
          <t>FULL</t>
        </is>
      </c>
      <c r="E22" s="5">
        <f>IF(B22="I1",AVERAGEIF('QA_Images'!$A$2:$A$63,A22,'QA_Images'!$T$2:$T$63)/100,IF(D22="FULL",1,IF(D22="PARTIAL",0.5,IF(D22="FAIL",0,""))))</f>
        <v/>
      </c>
      <c r="F22" s="5">
        <f>IF(E22="",0,C22*E22)</f>
        <v/>
      </c>
      <c r="G22" s="5">
        <f>IF(B22="I1",20*AVERAGEIF('QA_Images'!$A$2:$A$63,A22,'QA_Images'!$U$2:$U$63)/100,IF(D22="NOT_CHECKED",0,C22))</f>
        <v/>
      </c>
      <c r="H22" s="2" t="inlineStr">
        <is>
          <t>Image coverage, image observations and alt text quality, derived from QA_Images. Derived from average image QA score; see QA_Images.</t>
        </is>
      </c>
      <c r="I22" s="2" t="inlineStr">
        <is>
          <t>evidence_batch_017_162</t>
        </is>
      </c>
      <c r="J22" s="2" t="inlineStr">
        <is>
          <t>ISSUE-0011; ISSUE-0012; ISSUE-0013; ISSUE-0014; ISSUE-0015</t>
        </is>
      </c>
    </row>
    <row r="23" ht="42" customHeight="1">
      <c r="A23" s="3" t="inlineStr">
        <is>
          <t>jeminise.com+norse-mythology-viking-shield-with-crossed-axes-quilt-ca630a284e-ca630a284e</t>
        </is>
      </c>
      <c r="B23" s="3" t="inlineStr">
        <is>
          <t>E1</t>
        </is>
      </c>
      <c r="C23" s="3" t="n">
        <v>5</v>
      </c>
      <c r="D23" s="3" t="inlineStr">
        <is>
          <t>PARTIAL</t>
        </is>
      </c>
      <c r="E23" s="7">
        <f>IF(B23="I1",AVERAGEIF('QA_Images'!$A$2:$A$63,A23,'QA_Images'!$T$2:$T$63)/100,IF(D23="FULL",1,IF(D23="PARTIAL",0.5,IF(D23="FAIL",0,""))))</f>
        <v/>
      </c>
      <c r="F23" s="7">
        <f>IF(E23="",0,C23*E23)</f>
        <v/>
      </c>
      <c r="G23" s="7">
        <f>IF(B23="I1",20*AVERAGEIF('QA_Images'!$A$2:$A$63,A23,'QA_Images'!$U$2:$U$63)/100,IF(D23="NOT_CHECKED",0,C23))</f>
        <v/>
      </c>
      <c r="H23" s="3" t="inlineStr">
        <is>
          <t>Evidence chain is traceable and limitations are explicitly separated from failures. Evidence chain is traceable, with admin-export limitation explicitly separated.</t>
        </is>
      </c>
      <c r="I23" s="3" t="inlineStr">
        <is>
          <t>evidence_batch_017_162</t>
        </is>
      </c>
      <c r="J23" s="3" t="inlineStr">
        <is>
          <t>ISSUE-0011; ISSUE-0012; ISSUE-0013; ISSUE-0014; ISSUE-0015</t>
        </is>
      </c>
    </row>
    <row r="24" ht="42" customHeight="1">
      <c r="A24" s="2" t="inlineStr">
        <is>
          <t>jeminise.com+owl-patchwork-pattern-quilt-set-animals-quilt-set-style-owl-nights</t>
        </is>
      </c>
      <c r="B24" s="2" t="inlineStr">
        <is>
          <t>P1</t>
        </is>
      </c>
      <c r="C24" s="2" t="n">
        <v>15</v>
      </c>
      <c r="D24" s="2" t="inlineStr">
        <is>
          <t>FULL</t>
        </is>
      </c>
      <c r="E24" s="5">
        <f>IF(B24="I1",AVERAGEIF('QA_Images'!$A$2:$A$63,A24,'QA_Images'!$T$2:$T$63)/100,IF(D24="FULL",1,IF(D24="PARTIAL",0.5,IF(D24="FAIL",0,""))))</f>
        <v/>
      </c>
      <c r="F24" s="5">
        <f>IF(E24="",0,C24*E24)</f>
        <v/>
      </c>
      <c r="G24" s="5">
        <f>IF(B24="I1",20*AVERAGEIF('QA_Images'!$A$2:$A$63,A24,'QA_Images'!$U$2:$U$63)/100,IF(D24="NOT_CHECKED",0,C24))</f>
        <v/>
      </c>
      <c r="H24" s="2" t="inlineStr">
        <is>
          <t>Product identity, handle, product ID, URL and canonical match source/live evidence. Product key/handle/product ID/canonical checked against frozen workbook and live product evidence.</t>
        </is>
      </c>
      <c r="I24" s="2" t="inlineStr">
        <is>
          <t>evidence_batch_017_163</t>
        </is>
      </c>
      <c r="J24" s="2" t="inlineStr">
        <is>
          <t>ISSUE-0022; ISSUE-0023; ISSUE-0024; ISSUE-0025</t>
        </is>
      </c>
    </row>
    <row r="25" ht="42" customHeight="1">
      <c r="A25" s="3" t="inlineStr">
        <is>
          <t>jeminise.com+owl-patchwork-pattern-quilt-set-animals-quilt-set-style-owl-nights</t>
        </is>
      </c>
      <c r="B25" s="3" t="inlineStr">
        <is>
          <t>P2</t>
        </is>
      </c>
      <c r="C25" s="3" t="n">
        <v>10</v>
      </c>
      <c r="D25" s="3" t="inlineStr">
        <is>
          <t>PARTIAL</t>
        </is>
      </c>
      <c r="E25" s="7">
        <f>IF(B25="I1",AVERAGEIF('QA_Images'!$A$2:$A$63,A25,'QA_Images'!$T$2:$T$63)/100,IF(D25="FULL",1,IF(D25="PARTIAL",0.5,IF(D25="FAIL",0,""))))</f>
        <v/>
      </c>
      <c r="F25" s="7">
        <f>IF(E25="",0,C25*E25)</f>
        <v/>
      </c>
      <c r="G25" s="7">
        <f>IF(B25="I1",20*AVERAGEIF('QA_Images'!$A$2:$A$63,A25,'QA_Images'!$U$2:$U$63)/100,IF(D25="NOT_CHECKED",0,C25))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evidence_batch_017_163</t>
        </is>
      </c>
      <c r="J25" s="3" t="inlineStr">
        <is>
          <t>ISSUE-0022; ISSUE-0023; ISSUE-0024; ISSUE-0025</t>
        </is>
      </c>
    </row>
    <row r="26" ht="42" customHeight="1">
      <c r="A26" s="2" t="inlineStr">
        <is>
          <t>jeminise.com+owl-patchwork-pattern-quilt-set-animals-quilt-set-style-owl-nights</t>
        </is>
      </c>
      <c r="B26" s="2" t="inlineStr">
        <is>
          <t>K1</t>
        </is>
      </c>
      <c r="C26" s="2" t="n">
        <v>10</v>
      </c>
      <c r="D26" s="2" t="inlineStr">
        <is>
          <t>PARTIAL</t>
        </is>
      </c>
      <c r="E26" s="5">
        <f>IF(B26="I1",AVERAGEIF('QA_Images'!$A$2:$A$63,A26,'QA_Images'!$T$2:$T$63)/100,IF(D26="FULL",1,IF(D26="PARTIAL",0.5,IF(D26="FAIL",0,""))))</f>
        <v/>
      </c>
      <c r="F26" s="5">
        <f>IF(E26="",0,C26*E26)</f>
        <v/>
      </c>
      <c r="G26" s="5">
        <f>IF(B26="I1",20*AVERAGEIF('QA_Images'!$A$2:$A$63,A26,'QA_Images'!$U$2:$U$63)/100,IF(D26="NOT_CHECKED",0,C26))</f>
        <v/>
      </c>
      <c r="H26" s="2" t="inlineStr">
        <is>
          <t>Primary keyword aligns with product-level US purchase intent. Primary keyword rechecked against US product-level SERP comparables.</t>
        </is>
      </c>
      <c r="I26" s="2" t="inlineStr">
        <is>
          <t>evidence_batch_017_163</t>
        </is>
      </c>
      <c r="J26" s="2" t="inlineStr">
        <is>
          <t>ISSUE-0022; ISSUE-0023; ISSUE-0024; ISSUE-0025</t>
        </is>
      </c>
    </row>
    <row r="27" ht="42" customHeight="1">
      <c r="A27" s="3" t="inlineStr">
        <is>
          <t>jeminise.com+owl-patchwork-pattern-quilt-set-animals-quilt-set-style-owl-nights</t>
        </is>
      </c>
      <c r="B27" s="3" t="inlineStr">
        <is>
          <t>K2</t>
        </is>
      </c>
      <c r="C27" s="3" t="n">
        <v>5</v>
      </c>
      <c r="D27" s="3" t="inlineStr">
        <is>
          <t>PARTIAL</t>
        </is>
      </c>
      <c r="E27" s="7">
        <f>IF(B27="I1",AVERAGEIF('QA_Images'!$A$2:$A$63,A27,'QA_Images'!$T$2:$T$63)/100,IF(D27="FULL",1,IF(D27="PARTIAL",0.5,IF(D27="FAIL",0,""))))</f>
        <v/>
      </c>
      <c r="F27" s="7">
        <f>IF(E27="",0,C27*E27)</f>
        <v/>
      </c>
      <c r="G27" s="7">
        <f>IF(B27="I1",20*AVERAGEIF('QA_Images'!$A$2:$A$63,A27,'QA_Images'!$U$2:$U$63)/100,IF(D27="NOT_CHECKED",0,C27))</f>
        <v/>
      </c>
      <c r="H27" s="3" t="inlineStr">
        <is>
          <t>Intent/cannibalization check distinguishes nearby products. Nearby product cluster has overlap risk, so intent distinction remains only partial.</t>
        </is>
      </c>
      <c r="I27" s="3" t="inlineStr">
        <is>
          <t>evidence_batch_017_163</t>
        </is>
      </c>
      <c r="J27" s="3" t="inlineStr">
        <is>
          <t>ISSUE-0022; ISSUE-0023; ISSUE-0024; ISSUE-0025</t>
        </is>
      </c>
    </row>
    <row r="28" ht="42" customHeight="1">
      <c r="A28" s="2" t="inlineStr">
        <is>
          <t>jeminise.com+owl-patchwork-pattern-quilt-set-animals-quilt-set-style-owl-nights</t>
        </is>
      </c>
      <c r="B28" s="2" t="inlineStr">
        <is>
          <t>K3</t>
        </is>
      </c>
      <c r="C28" s="2" t="n">
        <v>5</v>
      </c>
      <c r="D28" s="2" t="inlineStr">
        <is>
          <t>PARTIAL</t>
        </is>
      </c>
      <c r="E28" s="5">
        <f>IF(B28="I1",AVERAGEIF('QA_Images'!$A$2:$A$63,A28,'QA_Images'!$T$2:$T$63)/100,IF(D28="FULL",1,IF(D28="PARTIAL",0.5,IF(D28="FAIL",0,""))))</f>
        <v/>
      </c>
      <c r="F28" s="5">
        <f>IF(E28="",0,C28*E28)</f>
        <v/>
      </c>
      <c r="G28" s="5">
        <f>IF(B28="I1",20*AVERAGEIF('QA_Images'!$A$2:$A$63,A28,'QA_Images'!$U$2:$U$63)/100,IF(D28="NOT_CHECKED",0,C28))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evidence_batch_017_163</t>
        </is>
      </c>
      <c r="J28" s="2" t="inlineStr">
        <is>
          <t>ISSUE-0022; ISSUE-0023; ISSUE-0024; ISSUE-0025</t>
        </is>
      </c>
    </row>
    <row r="29" ht="42" customHeight="1">
      <c r="A29" s="3" t="inlineStr">
        <is>
          <t>jeminise.com+owl-patchwork-pattern-quilt-set-animals-quilt-set-style-owl-nights</t>
        </is>
      </c>
      <c r="B29" s="3" t="inlineStr">
        <is>
          <t>T1</t>
        </is>
      </c>
      <c r="C29" s="3" t="n">
        <v>10</v>
      </c>
      <c r="D29" s="3" t="inlineStr">
        <is>
          <t>PARTIAL</t>
        </is>
      </c>
      <c r="E29" s="7">
        <f>IF(B29="I1",AVERAGEIF('QA_Images'!$A$2:$A$63,A29,'QA_Images'!$T$2:$T$63)/100,IF(D29="FULL",1,IF(D29="PARTIAL",0.5,IF(D29="FAIL",0,""))))</f>
        <v/>
      </c>
      <c r="F29" s="7">
        <f>IF(E29="",0,C29*E29)</f>
        <v/>
      </c>
      <c r="G29" s="7">
        <f>IF(B29="I1",20*AVERAGEIF('QA_Images'!$A$2:$A$63,A29,'QA_Images'!$U$2:$U$63)/100,IF(D29="NOT_CHECKED",0,C29))</f>
        <v/>
      </c>
      <c r="H29" s="3" t="inlineStr">
        <is>
          <t>SEO title and H1 are relevant, specific and grounded in visible/source facts. Proposed H1 is blank, so the title/H1 pair cannot be fully verified.</t>
        </is>
      </c>
      <c r="I29" s="3" t="inlineStr">
        <is>
          <t>evidence_batch_017_163</t>
        </is>
      </c>
      <c r="J29" s="3" t="inlineStr">
        <is>
          <t>ISSUE-0022; ISSUE-0023; ISSUE-0024; ISSUE-0025</t>
        </is>
      </c>
    </row>
    <row r="30" ht="42" customHeight="1">
      <c r="A30" s="2" t="inlineStr">
        <is>
          <t>jeminise.com+owl-patchwork-pattern-quilt-set-animals-quilt-set-style-owl-nights</t>
        </is>
      </c>
      <c r="B30" s="2" t="inlineStr">
        <is>
          <t>T2</t>
        </is>
      </c>
      <c r="C30" s="2" t="n">
        <v>5</v>
      </c>
      <c r="D30" s="2" t="inlineStr">
        <is>
          <t>PARTIAL</t>
        </is>
      </c>
      <c r="E30" s="5">
        <f>IF(B30="I1",AVERAGEIF('QA_Images'!$A$2:$A$63,A30,'QA_Images'!$T$2:$T$63)/100,IF(D30="FULL",1,IF(D30="PARTIAL",0.5,IF(D30="FAIL",0,""))))</f>
        <v/>
      </c>
      <c r="F30" s="5">
        <f>IF(E30="",0,C30*E30)</f>
        <v/>
      </c>
      <c r="G30" s="5">
        <f>IF(B30="I1",20*AVERAGEIF('QA_Images'!$A$2:$A$63,A30,'QA_Images'!$U$2:$U$63)/100,IF(D30="NOT_CHECKED",0,C30))</f>
        <v/>
      </c>
      <c r="H30" s="2" t="inlineStr">
        <is>
          <t>Meta description is concise, publish-ready and avoids unsupported claims. Meta description checked for length, specificity and supportable claims.</t>
        </is>
      </c>
      <c r="I30" s="2" t="inlineStr">
        <is>
          <t>evidence_batch_017_163</t>
        </is>
      </c>
      <c r="J30" s="2" t="inlineStr">
        <is>
          <t>ISSUE-0022; ISSUE-0023; ISSUE-0024; ISSUE-0025</t>
        </is>
      </c>
    </row>
    <row r="31" ht="42" customHeight="1">
      <c r="A31" s="3" t="inlineStr">
        <is>
          <t>jeminise.com+owl-patchwork-pattern-quilt-set-animals-quilt-set-style-owl-nights</t>
        </is>
      </c>
      <c r="B31" s="3" t="inlineStr">
        <is>
          <t>D1</t>
        </is>
      </c>
      <c r="C31" s="3" t="n">
        <v>10</v>
      </c>
      <c r="D31" s="3" t="inlineStr">
        <is>
          <t>FAIL</t>
        </is>
      </c>
      <c r="E31" s="7">
        <f>IF(B31="I1",AVERAGEIF('QA_Images'!$A$2:$A$63,A31,'QA_Images'!$T$2:$T$63)/100,IF(D31="FULL",1,IF(D31="PARTIAL",0.5,IF(D31="FAIL",0,""))))</f>
        <v/>
      </c>
      <c r="F31" s="7">
        <f>IF(E31="",0,C31*E31)</f>
        <v/>
      </c>
      <c r="G31" s="7">
        <f>IF(B31="I1",20*AVERAGEIF('QA_Images'!$A$2:$A$63,A31,'QA_Images'!$U$2:$U$63)/100,IF(D31="NOT_CHECKED",0,C31))</f>
        <v/>
      </c>
      <c r="H31" s="3" t="inlineStr">
        <is>
          <t>Description HTML is publish-ready and free of internal draft/QA instructions. Description HTML still contains internal QA/import language.</t>
        </is>
      </c>
      <c r="I31" s="3" t="inlineStr">
        <is>
          <t>evidence_batch_017_163</t>
        </is>
      </c>
      <c r="J31" s="3" t="inlineStr">
        <is>
          <t>ISSUE-0022; ISSUE-0023; ISSUE-0024; ISSUE-0025</t>
        </is>
      </c>
    </row>
    <row r="32" ht="42" customHeight="1">
      <c r="A32" s="2" t="inlineStr">
        <is>
          <t>jeminise.com+owl-patchwork-pattern-quilt-set-animals-quilt-set-style-owl-nights</t>
        </is>
      </c>
      <c r="B32" s="2" t="inlineStr">
        <is>
          <t>D2</t>
        </is>
      </c>
      <c r="C32" s="2" t="n">
        <v>5</v>
      </c>
      <c r="D32" s="2" t="inlineStr">
        <is>
          <t>PARTIAL</t>
        </is>
      </c>
      <c r="E32" s="5">
        <f>IF(B32="I1",AVERAGEIF('QA_Images'!$A$2:$A$63,A32,'QA_Images'!$T$2:$T$63)/100,IF(D32="FULL",1,IF(D32="PARTIAL",0.5,IF(D32="FAIL",0,""))))</f>
        <v/>
      </c>
      <c r="F32" s="5">
        <f>IF(E32="",0,C32*E32)</f>
        <v/>
      </c>
      <c r="G32" s="5">
        <f>IF(B32="I1",20*AVERAGEIF('QA_Images'!$A$2:$A$63,A32,'QA_Images'!$U$2:$U$63)/100,IF(D32="NOT_CHECKED",0,C32))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evidence_batch_017_163</t>
        </is>
      </c>
      <c r="J32" s="2" t="inlineStr">
        <is>
          <t>ISSUE-0022; ISSUE-0023; ISSUE-0024; ISSUE-0025</t>
        </is>
      </c>
    </row>
    <row r="33" ht="42" customHeight="1">
      <c r="A33" s="3" t="inlineStr">
        <is>
          <t>jeminise.com+owl-patchwork-pattern-quilt-set-animals-quilt-set-style-owl-nights</t>
        </is>
      </c>
      <c r="B33" s="3" t="inlineStr">
        <is>
          <t>I1</t>
        </is>
      </c>
      <c r="C33" s="3" t="n">
        <v>20</v>
      </c>
      <c r="D33" s="3" t="inlineStr">
        <is>
          <t>FULL</t>
        </is>
      </c>
      <c r="E33" s="7">
        <f>IF(B33="I1",AVERAGEIF('QA_Images'!$A$2:$A$63,A33,'QA_Images'!$T$2:$T$63)/100,IF(D33="FULL",1,IF(D33="PARTIAL",0.5,IF(D33="FAIL",0,""))))</f>
        <v/>
      </c>
      <c r="F33" s="7">
        <f>IF(E33="",0,C33*E33)</f>
        <v/>
      </c>
      <c r="G33" s="7">
        <f>IF(B33="I1",20*AVERAGEIF('QA_Images'!$A$2:$A$63,A33,'QA_Images'!$U$2:$U$63)/100,IF(D33="NOT_CHECKED",0,C33))</f>
        <v/>
      </c>
      <c r="H33" s="3" t="inlineStr">
        <is>
          <t>Image coverage, image observations and alt text quality, derived from QA_Images. Derived from average image QA score; see QA_Images.</t>
        </is>
      </c>
      <c r="I33" s="3" t="inlineStr">
        <is>
          <t>evidence_batch_017_163</t>
        </is>
      </c>
      <c r="J33" s="3" t="inlineStr">
        <is>
          <t>ISSUE-0022; ISSUE-0023; ISSUE-0024; ISSUE-0025</t>
        </is>
      </c>
    </row>
    <row r="34" ht="42" customHeight="1">
      <c r="A34" s="2" t="inlineStr">
        <is>
          <t>jeminise.com+owl-patchwork-pattern-quilt-set-animals-quilt-set-style-owl-nights</t>
        </is>
      </c>
      <c r="B34" s="2" t="inlineStr">
        <is>
          <t>E1</t>
        </is>
      </c>
      <c r="C34" s="2" t="n">
        <v>5</v>
      </c>
      <c r="D34" s="2" t="inlineStr">
        <is>
          <t>PARTIAL</t>
        </is>
      </c>
      <c r="E34" s="5">
        <f>IF(B34="I1",AVERAGEIF('QA_Images'!$A$2:$A$63,A34,'QA_Images'!$T$2:$T$63)/100,IF(D34="FULL",1,IF(D34="PARTIAL",0.5,IF(D34="FAIL",0,""))))</f>
        <v/>
      </c>
      <c r="F34" s="5">
        <f>IF(E34="",0,C34*E34)</f>
        <v/>
      </c>
      <c r="G34" s="5">
        <f>IF(B34="I1",20*AVERAGEIF('QA_Images'!$A$2:$A$63,A34,'QA_Images'!$U$2:$U$63)/100,IF(D34="NOT_CHECKED",0,C34))</f>
        <v/>
      </c>
      <c r="H34" s="2" t="inlineStr">
        <is>
          <t>Evidence chain is traceable and limitations are explicitly separated from failures. Evidence chain is traceable, with admin-export limitation explicitly separated.</t>
        </is>
      </c>
      <c r="I34" s="2" t="inlineStr">
        <is>
          <t>evidence_batch_017_163</t>
        </is>
      </c>
      <c r="J34" s="2" t="inlineStr">
        <is>
          <t>ISSUE-0022; ISSUE-0023; ISSUE-0024; ISSUE-0025</t>
        </is>
      </c>
    </row>
    <row r="35" ht="42" customHeight="1">
      <c r="A35" s="3" t="inlineStr">
        <is>
          <t>jeminise.com+pamnest-twin-halloween-comforter-set-with-sheets-5-pieces-design-01</t>
        </is>
      </c>
      <c r="B35" s="3" t="inlineStr">
        <is>
          <t>P1</t>
        </is>
      </c>
      <c r="C35" s="3" t="n">
        <v>15</v>
      </c>
      <c r="D35" s="3" t="inlineStr">
        <is>
          <t>FULL</t>
        </is>
      </c>
      <c r="E35" s="7">
        <f>IF(B35="I1",AVERAGEIF('QA_Images'!$A$2:$A$63,A35,'QA_Images'!$T$2:$T$63)/100,IF(D35="FULL",1,IF(D35="PARTIAL",0.5,IF(D35="FAIL",0,""))))</f>
        <v/>
      </c>
      <c r="F35" s="7">
        <f>IF(E35="",0,C35*E35)</f>
        <v/>
      </c>
      <c r="G35" s="7">
        <f>IF(B35="I1",20*AVERAGEIF('QA_Images'!$A$2:$A$63,A35,'QA_Images'!$U$2:$U$63)/100,IF(D35="NOT_CHECKED",0,C35))</f>
        <v/>
      </c>
      <c r="H35" s="3" t="inlineStr">
        <is>
          <t>Product identity, handle, product ID, URL and canonical match source/live evidence. Product key/handle/product ID/canonical checked against frozen workbook and live product evidence.</t>
        </is>
      </c>
      <c r="I35" s="3" t="inlineStr">
        <is>
          <t>evidence_batch_017_164</t>
        </is>
      </c>
      <c r="J35" s="3" t="inlineStr">
        <is>
          <t>ISSUE-0032; ISSUE-0033; ISSUE-0034; ISSUE-0035</t>
        </is>
      </c>
    </row>
    <row r="36" ht="42" customHeight="1">
      <c r="A36" s="2" t="inlineStr">
        <is>
          <t>jeminise.com+pamnest-twin-halloween-comforter-set-with-sheets-5-pieces-design-01</t>
        </is>
      </c>
      <c r="B36" s="2" t="inlineStr">
        <is>
          <t>P2</t>
        </is>
      </c>
      <c r="C36" s="2" t="n">
        <v>10</v>
      </c>
      <c r="D36" s="2" t="inlineStr">
        <is>
          <t>PARTIAL</t>
        </is>
      </c>
      <c r="E36" s="5">
        <f>IF(B36="I1",AVERAGEIF('QA_Images'!$A$2:$A$63,A36,'QA_Images'!$T$2:$T$63)/100,IF(D36="FULL",1,IF(D36="PARTIAL",0.5,IF(D36="FAIL",0,""))))</f>
        <v/>
      </c>
      <c r="F36" s="5">
        <f>IF(E36="",0,C36*E36)</f>
        <v/>
      </c>
      <c r="G36" s="5">
        <f>IF(B36="I1",20*AVERAGEIF('QA_Images'!$A$2:$A$63,A36,'QA_Images'!$U$2:$U$63)/100,IF(D36="NOT_CHECKED",0,C36))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evidence_batch_017_164</t>
        </is>
      </c>
      <c r="J36" s="2" t="inlineStr">
        <is>
          <t>ISSUE-0032; ISSUE-0033; ISSUE-0034; ISSUE-0035</t>
        </is>
      </c>
    </row>
    <row r="37" ht="42" customHeight="1">
      <c r="A37" s="3" t="inlineStr">
        <is>
          <t>jeminise.com+pamnest-twin-halloween-comforter-set-with-sheets-5-pieces-design-01</t>
        </is>
      </c>
      <c r="B37" s="3" t="inlineStr">
        <is>
          <t>K1</t>
        </is>
      </c>
      <c r="C37" s="3" t="n">
        <v>10</v>
      </c>
      <c r="D37" s="3" t="inlineStr">
        <is>
          <t>PARTIAL</t>
        </is>
      </c>
      <c r="E37" s="7">
        <f>IF(B37="I1",AVERAGEIF('QA_Images'!$A$2:$A$63,A37,'QA_Images'!$T$2:$T$63)/100,IF(D37="FULL",1,IF(D37="PARTIAL",0.5,IF(D37="FAIL",0,""))))</f>
        <v/>
      </c>
      <c r="F37" s="7">
        <f>IF(E37="",0,C37*E37)</f>
        <v/>
      </c>
      <c r="G37" s="7">
        <f>IF(B37="I1",20*AVERAGEIF('QA_Images'!$A$2:$A$63,A37,'QA_Images'!$U$2:$U$63)/100,IF(D37="NOT_CHECKED",0,C37))</f>
        <v/>
      </c>
      <c r="H37" s="3" t="inlineStr">
        <is>
          <t>Primary keyword aligns with product-level US purchase intent. Primary keyword rechecked against US product-level SERP comparables.</t>
        </is>
      </c>
      <c r="I37" s="3" t="inlineStr">
        <is>
          <t>evidence_batch_017_164</t>
        </is>
      </c>
      <c r="J37" s="3" t="inlineStr">
        <is>
          <t>ISSUE-0032; ISSUE-0033; ISSUE-0034; ISSUE-0035</t>
        </is>
      </c>
    </row>
    <row r="38" ht="42" customHeight="1">
      <c r="A38" s="2" t="inlineStr">
        <is>
          <t>jeminise.com+pamnest-twin-halloween-comforter-set-with-sheets-5-pieces-design-01</t>
        </is>
      </c>
      <c r="B38" s="2" t="inlineStr">
        <is>
          <t>K2</t>
        </is>
      </c>
      <c r="C38" s="2" t="n">
        <v>5</v>
      </c>
      <c r="D38" s="2" t="inlineStr">
        <is>
          <t>PARTIAL</t>
        </is>
      </c>
      <c r="E38" s="5">
        <f>IF(B38="I1",AVERAGEIF('QA_Images'!$A$2:$A$63,A38,'QA_Images'!$T$2:$T$63)/100,IF(D38="FULL",1,IF(D38="PARTIAL",0.5,IF(D38="FAIL",0,""))))</f>
        <v/>
      </c>
      <c r="F38" s="5">
        <f>IF(E38="",0,C38*E38)</f>
        <v/>
      </c>
      <c r="G38" s="5">
        <f>IF(B38="I1",20*AVERAGEIF('QA_Images'!$A$2:$A$63,A38,'QA_Images'!$U$2:$U$63)/100,IF(D38="NOT_CHECKED",0,C38))</f>
        <v/>
      </c>
      <c r="H38" s="2" t="inlineStr">
        <is>
          <t>Intent/cannibalization check distinguishes nearby products. Nearby product cluster has overlap risk, so intent distinction remains only partial.</t>
        </is>
      </c>
      <c r="I38" s="2" t="inlineStr">
        <is>
          <t>evidence_batch_017_164</t>
        </is>
      </c>
      <c r="J38" s="2" t="inlineStr">
        <is>
          <t>ISSUE-0032; ISSUE-0033; ISSUE-0034; ISSUE-0035</t>
        </is>
      </c>
    </row>
    <row r="39" ht="42" customHeight="1">
      <c r="A39" s="3" t="inlineStr">
        <is>
          <t>jeminise.com+pamnest-twin-halloween-comforter-set-with-sheets-5-pieces-design-01</t>
        </is>
      </c>
      <c r="B39" s="3" t="inlineStr">
        <is>
          <t>K3</t>
        </is>
      </c>
      <c r="C39" s="3" t="n">
        <v>5</v>
      </c>
      <c r="D39" s="3" t="inlineStr">
        <is>
          <t>PARTIAL</t>
        </is>
      </c>
      <c r="E39" s="7">
        <f>IF(B39="I1",AVERAGEIF('QA_Images'!$A$2:$A$63,A39,'QA_Images'!$T$2:$T$63)/100,IF(D39="FULL",1,IF(D39="PARTIAL",0.5,IF(D39="FAIL",0,""))))</f>
        <v/>
      </c>
      <c r="F39" s="7">
        <f>IF(E39="",0,C39*E39)</f>
        <v/>
      </c>
      <c r="G39" s="7">
        <f>IF(B39="I1",20*AVERAGEIF('QA_Images'!$A$2:$A$63,A39,'QA_Images'!$U$2:$U$63)/100,IF(D39="NOT_CHECKED",0,C39))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evidence_batch_017_164</t>
        </is>
      </c>
      <c r="J39" s="3" t="inlineStr">
        <is>
          <t>ISSUE-0032; ISSUE-0033; ISSUE-0034; ISSUE-0035</t>
        </is>
      </c>
    </row>
    <row r="40" ht="42" customHeight="1">
      <c r="A40" s="2" t="inlineStr">
        <is>
          <t>jeminise.com+pamnest-twin-halloween-comforter-set-with-sheets-5-pieces-design-01</t>
        </is>
      </c>
      <c r="B40" s="2" t="inlineStr">
        <is>
          <t>T1</t>
        </is>
      </c>
      <c r="C40" s="2" t="n">
        <v>10</v>
      </c>
      <c r="D40" s="2" t="inlineStr">
        <is>
          <t>PARTIAL</t>
        </is>
      </c>
      <c r="E40" s="5">
        <f>IF(B40="I1",AVERAGEIF('QA_Images'!$A$2:$A$63,A40,'QA_Images'!$T$2:$T$63)/100,IF(D40="FULL",1,IF(D40="PARTIAL",0.5,IF(D40="FAIL",0,""))))</f>
        <v/>
      </c>
      <c r="F40" s="5">
        <f>IF(E40="",0,C40*E40)</f>
        <v/>
      </c>
      <c r="G40" s="5">
        <f>IF(B40="I1",20*AVERAGEIF('QA_Images'!$A$2:$A$63,A40,'QA_Images'!$U$2:$U$63)/100,IF(D40="NOT_CHECKED",0,C40))</f>
        <v/>
      </c>
      <c r="H40" s="2" t="inlineStr">
        <is>
          <t>SEO title and H1 are relevant, specific and grounded in visible/source facts. Proposed H1 is blank, so the title/H1 pair cannot be fully verified.</t>
        </is>
      </c>
      <c r="I40" s="2" t="inlineStr">
        <is>
          <t>evidence_batch_017_164</t>
        </is>
      </c>
      <c r="J40" s="2" t="inlineStr">
        <is>
          <t>ISSUE-0032; ISSUE-0033; ISSUE-0034; ISSUE-0035</t>
        </is>
      </c>
    </row>
    <row r="41" ht="42" customHeight="1">
      <c r="A41" s="3" t="inlineStr">
        <is>
          <t>jeminise.com+pamnest-twin-halloween-comforter-set-with-sheets-5-pieces-design-01</t>
        </is>
      </c>
      <c r="B41" s="3" t="inlineStr">
        <is>
          <t>T2</t>
        </is>
      </c>
      <c r="C41" s="3" t="n">
        <v>5</v>
      </c>
      <c r="D41" s="3" t="inlineStr">
        <is>
          <t>PARTIAL</t>
        </is>
      </c>
      <c r="E41" s="7">
        <f>IF(B41="I1",AVERAGEIF('QA_Images'!$A$2:$A$63,A41,'QA_Images'!$T$2:$T$63)/100,IF(D41="FULL",1,IF(D41="PARTIAL",0.5,IF(D41="FAIL",0,""))))</f>
        <v/>
      </c>
      <c r="F41" s="7">
        <f>IF(E41="",0,C41*E41)</f>
        <v/>
      </c>
      <c r="G41" s="7">
        <f>IF(B41="I1",20*AVERAGEIF('QA_Images'!$A$2:$A$63,A41,'QA_Images'!$U$2:$U$63)/100,IF(D41="NOT_CHECKED",0,C41))</f>
        <v/>
      </c>
      <c r="H41" s="3" t="inlineStr">
        <is>
          <t>Meta description is concise, publish-ready and avoids unsupported claims. Meta description checked for length, specificity and supportable claims.</t>
        </is>
      </c>
      <c r="I41" s="3" t="inlineStr">
        <is>
          <t>evidence_batch_017_164</t>
        </is>
      </c>
      <c r="J41" s="3" t="inlineStr">
        <is>
          <t>ISSUE-0032; ISSUE-0033; ISSUE-0034; ISSUE-0035</t>
        </is>
      </c>
    </row>
    <row r="42" ht="42" customHeight="1">
      <c r="A42" s="2" t="inlineStr">
        <is>
          <t>jeminise.com+pamnest-twin-halloween-comforter-set-with-sheets-5-pieces-design-01</t>
        </is>
      </c>
      <c r="B42" s="2" t="inlineStr">
        <is>
          <t>D1</t>
        </is>
      </c>
      <c r="C42" s="2" t="n">
        <v>10</v>
      </c>
      <c r="D42" s="2" t="inlineStr">
        <is>
          <t>FAIL</t>
        </is>
      </c>
      <c r="E42" s="5">
        <f>IF(B42="I1",AVERAGEIF('QA_Images'!$A$2:$A$63,A42,'QA_Images'!$T$2:$T$63)/100,IF(D42="FULL",1,IF(D42="PARTIAL",0.5,IF(D42="FAIL",0,""))))</f>
        <v/>
      </c>
      <c r="F42" s="5">
        <f>IF(E42="",0,C42*E42)</f>
        <v/>
      </c>
      <c r="G42" s="5">
        <f>IF(B42="I1",20*AVERAGEIF('QA_Images'!$A$2:$A$63,A42,'QA_Images'!$U$2:$U$63)/100,IF(D42="NOT_CHECKED",0,C42))</f>
        <v/>
      </c>
      <c r="H42" s="2" t="inlineStr">
        <is>
          <t>Description HTML is publish-ready and free of internal draft/QA instructions. Description HTML still contains internal QA/import language.</t>
        </is>
      </c>
      <c r="I42" s="2" t="inlineStr">
        <is>
          <t>evidence_batch_017_164</t>
        </is>
      </c>
      <c r="J42" s="2" t="inlineStr">
        <is>
          <t>ISSUE-0032; ISSUE-0033; ISSUE-0034; ISSUE-0035</t>
        </is>
      </c>
    </row>
    <row r="43" ht="42" customHeight="1">
      <c r="A43" s="3" t="inlineStr">
        <is>
          <t>jeminise.com+pamnest-twin-halloween-comforter-set-with-sheets-5-pieces-design-01</t>
        </is>
      </c>
      <c r="B43" s="3" t="inlineStr">
        <is>
          <t>D2</t>
        </is>
      </c>
      <c r="C43" s="3" t="n">
        <v>5</v>
      </c>
      <c r="D43" s="3" t="inlineStr">
        <is>
          <t>PARTIAL</t>
        </is>
      </c>
      <c r="E43" s="7">
        <f>IF(B43="I1",AVERAGEIF('QA_Images'!$A$2:$A$63,A43,'QA_Images'!$T$2:$T$63)/100,IF(D43="FULL",1,IF(D43="PARTIAL",0.5,IF(D43="FAIL",0,""))))</f>
        <v/>
      </c>
      <c r="F43" s="7">
        <f>IF(E43="",0,C43*E43)</f>
        <v/>
      </c>
      <c r="G43" s="7">
        <f>IF(B43="I1",20*AVERAGEIF('QA_Images'!$A$2:$A$63,A43,'QA_Images'!$U$2:$U$63)/100,IF(D43="NOT_CHECKED",0,C43))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evidence_batch_017_164</t>
        </is>
      </c>
      <c r="J43" s="3" t="inlineStr">
        <is>
          <t>ISSUE-0032; ISSUE-0033; ISSUE-0034; ISSUE-0035</t>
        </is>
      </c>
    </row>
    <row r="44" ht="42" customHeight="1">
      <c r="A44" s="2" t="inlineStr">
        <is>
          <t>jeminise.com+pamnest-twin-halloween-comforter-set-with-sheets-5-pieces-design-01</t>
        </is>
      </c>
      <c r="B44" s="2" t="inlineStr">
        <is>
          <t>I1</t>
        </is>
      </c>
      <c r="C44" s="2" t="n">
        <v>20</v>
      </c>
      <c r="D44" s="2" t="inlineStr">
        <is>
          <t>FULL</t>
        </is>
      </c>
      <c r="E44" s="5">
        <f>IF(B44="I1",AVERAGEIF('QA_Images'!$A$2:$A$63,A44,'QA_Images'!$T$2:$T$63)/100,IF(D44="FULL",1,IF(D44="PARTIAL",0.5,IF(D44="FAIL",0,""))))</f>
        <v/>
      </c>
      <c r="F44" s="5">
        <f>IF(E44="",0,C44*E44)</f>
        <v/>
      </c>
      <c r="G44" s="5">
        <f>IF(B44="I1",20*AVERAGEIF('QA_Images'!$A$2:$A$63,A44,'QA_Images'!$U$2:$U$63)/100,IF(D44="NOT_CHECKED",0,C44))</f>
        <v/>
      </c>
      <c r="H44" s="2" t="inlineStr">
        <is>
          <t>Image coverage, image observations and alt text quality, derived from QA_Images. Derived from average image QA score; see QA_Images.</t>
        </is>
      </c>
      <c r="I44" s="2" t="inlineStr">
        <is>
          <t>evidence_batch_017_164</t>
        </is>
      </c>
      <c r="J44" s="2" t="inlineStr">
        <is>
          <t>ISSUE-0032; ISSUE-0033; ISSUE-0034; ISSUE-0035</t>
        </is>
      </c>
    </row>
    <row r="45" ht="42" customHeight="1">
      <c r="A45" s="3" t="inlineStr">
        <is>
          <t>jeminise.com+pamnest-twin-halloween-comforter-set-with-sheets-5-pieces-design-01</t>
        </is>
      </c>
      <c r="B45" s="3" t="inlineStr">
        <is>
          <t>E1</t>
        </is>
      </c>
      <c r="C45" s="3" t="n">
        <v>5</v>
      </c>
      <c r="D45" s="3" t="inlineStr">
        <is>
          <t>PARTIAL</t>
        </is>
      </c>
      <c r="E45" s="7">
        <f>IF(B45="I1",AVERAGEIF('QA_Images'!$A$2:$A$63,A45,'QA_Images'!$T$2:$T$63)/100,IF(D45="FULL",1,IF(D45="PARTIAL",0.5,IF(D45="FAIL",0,""))))</f>
        <v/>
      </c>
      <c r="F45" s="7">
        <f>IF(E45="",0,C45*E45)</f>
        <v/>
      </c>
      <c r="G45" s="7">
        <f>IF(B45="I1",20*AVERAGEIF('QA_Images'!$A$2:$A$63,A45,'QA_Images'!$U$2:$U$63)/100,IF(D45="NOT_CHECKED",0,C45))</f>
        <v/>
      </c>
      <c r="H45" s="3" t="inlineStr">
        <is>
          <t>Evidence chain is traceable and limitations are explicitly separated from failures. Evidence chain is traceable, with admin-export limitation explicitly separated.</t>
        </is>
      </c>
      <c r="I45" s="3" t="inlineStr">
        <is>
          <t>evidence_batch_017_164</t>
        </is>
      </c>
      <c r="J45" s="3" t="inlineStr">
        <is>
          <t>ISSUE-0032; ISSUE-0033; ISSUE-0034; ISSUE-0035</t>
        </is>
      </c>
    </row>
    <row r="46" ht="42" customHeight="1">
      <c r="A46" s="2" t="inlineStr">
        <is>
          <t>jeminise.com+pamnest-twin-halloween-comforter-set-with-sheets-5-pieces-design-02</t>
        </is>
      </c>
      <c r="B46" s="2" t="inlineStr">
        <is>
          <t>P1</t>
        </is>
      </c>
      <c r="C46" s="2" t="n">
        <v>15</v>
      </c>
      <c r="D46" s="2" t="inlineStr">
        <is>
          <t>FULL</t>
        </is>
      </c>
      <c r="E46" s="5">
        <f>IF(B46="I1",AVERAGEIF('QA_Images'!$A$2:$A$63,A46,'QA_Images'!$T$2:$T$63)/100,IF(D46="FULL",1,IF(D46="PARTIAL",0.5,IF(D46="FAIL",0,""))))</f>
        <v/>
      </c>
      <c r="F46" s="5">
        <f>IF(E46="",0,C46*E46)</f>
        <v/>
      </c>
      <c r="G46" s="5">
        <f>IF(B46="I1",20*AVERAGEIF('QA_Images'!$A$2:$A$63,A46,'QA_Images'!$U$2:$U$63)/100,IF(D46="NOT_CHECKED",0,C46))</f>
        <v/>
      </c>
      <c r="H46" s="2" t="inlineStr">
        <is>
          <t>Product identity, handle, product ID, URL and canonical match source/live evidence. Product key/handle/product ID/canonical checked against frozen workbook and live product evidence.</t>
        </is>
      </c>
      <c r="I46" s="2" t="inlineStr">
        <is>
          <t>evidence_batch_017_165</t>
        </is>
      </c>
      <c r="J46" s="2" t="inlineStr">
        <is>
          <t>ISSUE-0041; ISSUE-0042; ISSUE-0043; ISSUE-0044</t>
        </is>
      </c>
    </row>
    <row r="47" ht="42" customHeight="1">
      <c r="A47" s="3" t="inlineStr">
        <is>
          <t>jeminise.com+pamnest-twin-halloween-comforter-set-with-sheets-5-pieces-design-02</t>
        </is>
      </c>
      <c r="B47" s="3" t="inlineStr">
        <is>
          <t>P2</t>
        </is>
      </c>
      <c r="C47" s="3" t="n">
        <v>10</v>
      </c>
      <c r="D47" s="3" t="inlineStr">
        <is>
          <t>PARTIAL</t>
        </is>
      </c>
      <c r="E47" s="7">
        <f>IF(B47="I1",AVERAGEIF('QA_Images'!$A$2:$A$63,A47,'QA_Images'!$T$2:$T$63)/100,IF(D47="FULL",1,IF(D47="PARTIAL",0.5,IF(D47="FAIL",0,""))))</f>
        <v/>
      </c>
      <c r="F47" s="7">
        <f>IF(E47="",0,C47*E47)</f>
        <v/>
      </c>
      <c r="G47" s="7">
        <f>IF(B47="I1",20*AVERAGEIF('QA_Images'!$A$2:$A$63,A47,'QA_Images'!$U$2:$U$63)/100,IF(D47="NOT_CHECKED",0,C47))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evidence_batch_017_165</t>
        </is>
      </c>
      <c r="J47" s="3" t="inlineStr">
        <is>
          <t>ISSUE-0041; ISSUE-0042; ISSUE-0043; ISSUE-0044</t>
        </is>
      </c>
    </row>
    <row r="48" ht="42" customHeight="1">
      <c r="A48" s="2" t="inlineStr">
        <is>
          <t>jeminise.com+pamnest-twin-halloween-comforter-set-with-sheets-5-pieces-design-02</t>
        </is>
      </c>
      <c r="B48" s="2" t="inlineStr">
        <is>
          <t>K1</t>
        </is>
      </c>
      <c r="C48" s="2" t="n">
        <v>10</v>
      </c>
      <c r="D48" s="2" t="inlineStr">
        <is>
          <t>PARTIAL</t>
        </is>
      </c>
      <c r="E48" s="5">
        <f>IF(B48="I1",AVERAGEIF('QA_Images'!$A$2:$A$63,A48,'QA_Images'!$T$2:$T$63)/100,IF(D48="FULL",1,IF(D48="PARTIAL",0.5,IF(D48="FAIL",0,""))))</f>
        <v/>
      </c>
      <c r="F48" s="5">
        <f>IF(E48="",0,C48*E48)</f>
        <v/>
      </c>
      <c r="G48" s="5">
        <f>IF(B48="I1",20*AVERAGEIF('QA_Images'!$A$2:$A$63,A48,'QA_Images'!$U$2:$U$63)/100,IF(D48="NOT_CHECKED",0,C48))</f>
        <v/>
      </c>
      <c r="H48" s="2" t="inlineStr">
        <is>
          <t>Primary keyword aligns with product-level US purchase intent. Primary keyword rechecked against US product-level SERP comparables.</t>
        </is>
      </c>
      <c r="I48" s="2" t="inlineStr">
        <is>
          <t>evidence_batch_017_165</t>
        </is>
      </c>
      <c r="J48" s="2" t="inlineStr">
        <is>
          <t>ISSUE-0041; ISSUE-0042; ISSUE-0043; ISSUE-0044</t>
        </is>
      </c>
    </row>
    <row r="49" ht="42" customHeight="1">
      <c r="A49" s="3" t="inlineStr">
        <is>
          <t>jeminise.com+pamnest-twin-halloween-comforter-set-with-sheets-5-pieces-design-02</t>
        </is>
      </c>
      <c r="B49" s="3" t="inlineStr">
        <is>
          <t>K2</t>
        </is>
      </c>
      <c r="C49" s="3" t="n">
        <v>5</v>
      </c>
      <c r="D49" s="3" t="inlineStr">
        <is>
          <t>PARTIAL</t>
        </is>
      </c>
      <c r="E49" s="7">
        <f>IF(B49="I1",AVERAGEIF('QA_Images'!$A$2:$A$63,A49,'QA_Images'!$T$2:$T$63)/100,IF(D49="FULL",1,IF(D49="PARTIAL",0.5,IF(D49="FAIL",0,""))))</f>
        <v/>
      </c>
      <c r="F49" s="7">
        <f>IF(E49="",0,C49*E49)</f>
        <v/>
      </c>
      <c r="G49" s="7">
        <f>IF(B49="I1",20*AVERAGEIF('QA_Images'!$A$2:$A$63,A49,'QA_Images'!$U$2:$U$63)/100,IF(D49="NOT_CHECKED",0,C49))</f>
        <v/>
      </c>
      <c r="H49" s="3" t="inlineStr">
        <is>
          <t>Intent/cannibalization check distinguishes nearby products. Nearby product cluster has overlap risk, so intent distinction remains only partial.</t>
        </is>
      </c>
      <c r="I49" s="3" t="inlineStr">
        <is>
          <t>evidence_batch_017_165</t>
        </is>
      </c>
      <c r="J49" s="3" t="inlineStr">
        <is>
          <t>ISSUE-0041; ISSUE-0042; ISSUE-0043; ISSUE-0044</t>
        </is>
      </c>
    </row>
    <row r="50" ht="42" customHeight="1">
      <c r="A50" s="2" t="inlineStr">
        <is>
          <t>jeminise.com+pamnest-twin-halloween-comforter-set-with-sheets-5-pieces-design-02</t>
        </is>
      </c>
      <c r="B50" s="2" t="inlineStr">
        <is>
          <t>K3</t>
        </is>
      </c>
      <c r="C50" s="2" t="n">
        <v>5</v>
      </c>
      <c r="D50" s="2" t="inlineStr">
        <is>
          <t>PARTIAL</t>
        </is>
      </c>
      <c r="E50" s="5">
        <f>IF(B50="I1",AVERAGEIF('QA_Images'!$A$2:$A$63,A50,'QA_Images'!$T$2:$T$63)/100,IF(D50="FULL",1,IF(D50="PARTIAL",0.5,IF(D50="FAIL",0,""))))</f>
        <v/>
      </c>
      <c r="F50" s="5">
        <f>IF(E50="",0,C50*E50)</f>
        <v/>
      </c>
      <c r="G50" s="5">
        <f>IF(B50="I1",20*AVERAGEIF('QA_Images'!$A$2:$A$63,A50,'QA_Images'!$U$2:$U$63)/100,IF(D50="NOT_CHECKED",0,C50))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evidence_batch_017_165</t>
        </is>
      </c>
      <c r="J50" s="2" t="inlineStr">
        <is>
          <t>ISSUE-0041; ISSUE-0042; ISSUE-0043; ISSUE-0044</t>
        </is>
      </c>
    </row>
    <row r="51" ht="42" customHeight="1">
      <c r="A51" s="3" t="inlineStr">
        <is>
          <t>jeminise.com+pamnest-twin-halloween-comforter-set-with-sheets-5-pieces-design-02</t>
        </is>
      </c>
      <c r="B51" s="3" t="inlineStr">
        <is>
          <t>T1</t>
        </is>
      </c>
      <c r="C51" s="3" t="n">
        <v>10</v>
      </c>
      <c r="D51" s="3" t="inlineStr">
        <is>
          <t>PARTIAL</t>
        </is>
      </c>
      <c r="E51" s="7">
        <f>IF(B51="I1",AVERAGEIF('QA_Images'!$A$2:$A$63,A51,'QA_Images'!$T$2:$T$63)/100,IF(D51="FULL",1,IF(D51="PARTIAL",0.5,IF(D51="FAIL",0,""))))</f>
        <v/>
      </c>
      <c r="F51" s="7">
        <f>IF(E51="",0,C51*E51)</f>
        <v/>
      </c>
      <c r="G51" s="7">
        <f>IF(B51="I1",20*AVERAGEIF('QA_Images'!$A$2:$A$63,A51,'QA_Images'!$U$2:$U$63)/100,IF(D51="NOT_CHECKED",0,C51))</f>
        <v/>
      </c>
      <c r="H51" s="3" t="inlineStr">
        <is>
          <t>SEO title and H1 are relevant, specific and grounded in visible/source facts. Proposed H1 is blank, so the title/H1 pair cannot be fully verified.</t>
        </is>
      </c>
      <c r="I51" s="3" t="inlineStr">
        <is>
          <t>evidence_batch_017_165</t>
        </is>
      </c>
      <c r="J51" s="3" t="inlineStr">
        <is>
          <t>ISSUE-0041; ISSUE-0042; ISSUE-0043; ISSUE-0044</t>
        </is>
      </c>
    </row>
    <row r="52" ht="42" customHeight="1">
      <c r="A52" s="2" t="inlineStr">
        <is>
          <t>jeminise.com+pamnest-twin-halloween-comforter-set-with-sheets-5-pieces-design-02</t>
        </is>
      </c>
      <c r="B52" s="2" t="inlineStr">
        <is>
          <t>T2</t>
        </is>
      </c>
      <c r="C52" s="2" t="n">
        <v>5</v>
      </c>
      <c r="D52" s="2" t="inlineStr">
        <is>
          <t>PARTIAL</t>
        </is>
      </c>
      <c r="E52" s="5">
        <f>IF(B52="I1",AVERAGEIF('QA_Images'!$A$2:$A$63,A52,'QA_Images'!$T$2:$T$63)/100,IF(D52="FULL",1,IF(D52="PARTIAL",0.5,IF(D52="FAIL",0,""))))</f>
        <v/>
      </c>
      <c r="F52" s="5">
        <f>IF(E52="",0,C52*E52)</f>
        <v/>
      </c>
      <c r="G52" s="5">
        <f>IF(B52="I1",20*AVERAGEIF('QA_Images'!$A$2:$A$63,A52,'QA_Images'!$U$2:$U$63)/100,IF(D52="NOT_CHECKED",0,C52))</f>
        <v/>
      </c>
      <c r="H52" s="2" t="inlineStr">
        <is>
          <t>Meta description is concise, publish-ready and avoids unsupported claims. Meta description checked for length, specificity and supportable claims.</t>
        </is>
      </c>
      <c r="I52" s="2" t="inlineStr">
        <is>
          <t>evidence_batch_017_165</t>
        </is>
      </c>
      <c r="J52" s="2" t="inlineStr">
        <is>
          <t>ISSUE-0041; ISSUE-0042; ISSUE-0043; ISSUE-0044</t>
        </is>
      </c>
    </row>
    <row r="53" ht="42" customHeight="1">
      <c r="A53" s="3" t="inlineStr">
        <is>
          <t>jeminise.com+pamnest-twin-halloween-comforter-set-with-sheets-5-pieces-design-02</t>
        </is>
      </c>
      <c r="B53" s="3" t="inlineStr">
        <is>
          <t>D1</t>
        </is>
      </c>
      <c r="C53" s="3" t="n">
        <v>10</v>
      </c>
      <c r="D53" s="3" t="inlineStr">
        <is>
          <t>FAIL</t>
        </is>
      </c>
      <c r="E53" s="7">
        <f>IF(B53="I1",AVERAGEIF('QA_Images'!$A$2:$A$63,A53,'QA_Images'!$T$2:$T$63)/100,IF(D53="FULL",1,IF(D53="PARTIAL",0.5,IF(D53="FAIL",0,""))))</f>
        <v/>
      </c>
      <c r="F53" s="7">
        <f>IF(E53="",0,C53*E53)</f>
        <v/>
      </c>
      <c r="G53" s="7">
        <f>IF(B53="I1",20*AVERAGEIF('QA_Images'!$A$2:$A$63,A53,'QA_Images'!$U$2:$U$63)/100,IF(D53="NOT_CHECKED",0,C53))</f>
        <v/>
      </c>
      <c r="H53" s="3" t="inlineStr">
        <is>
          <t>Description HTML is publish-ready and free of internal draft/QA instructions. Description HTML still contains internal QA/import language.</t>
        </is>
      </c>
      <c r="I53" s="3" t="inlineStr">
        <is>
          <t>evidence_batch_017_165</t>
        </is>
      </c>
      <c r="J53" s="3" t="inlineStr">
        <is>
          <t>ISSUE-0041; ISSUE-0042; ISSUE-0043; ISSUE-0044</t>
        </is>
      </c>
    </row>
    <row r="54" ht="42" customHeight="1">
      <c r="A54" s="2" t="inlineStr">
        <is>
          <t>jeminise.com+pamnest-twin-halloween-comforter-set-with-sheets-5-pieces-design-02</t>
        </is>
      </c>
      <c r="B54" s="2" t="inlineStr">
        <is>
          <t>D2</t>
        </is>
      </c>
      <c r="C54" s="2" t="n">
        <v>5</v>
      </c>
      <c r="D54" s="2" t="inlineStr">
        <is>
          <t>PARTIAL</t>
        </is>
      </c>
      <c r="E54" s="5">
        <f>IF(B54="I1",AVERAGEIF('QA_Images'!$A$2:$A$63,A54,'QA_Images'!$T$2:$T$63)/100,IF(D54="FULL",1,IF(D54="PARTIAL",0.5,IF(D54="FAIL",0,""))))</f>
        <v/>
      </c>
      <c r="F54" s="5">
        <f>IF(E54="",0,C54*E54)</f>
        <v/>
      </c>
      <c r="G54" s="5">
        <f>IF(B54="I1",20*AVERAGEIF('QA_Images'!$A$2:$A$63,A54,'QA_Images'!$U$2:$U$63)/100,IF(D54="NOT_CHECKED",0,C54))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evidence_batch_017_165</t>
        </is>
      </c>
      <c r="J54" s="2" t="inlineStr">
        <is>
          <t>ISSUE-0041; ISSUE-0042; ISSUE-0043; ISSUE-0044</t>
        </is>
      </c>
    </row>
    <row r="55" ht="42" customHeight="1">
      <c r="A55" s="3" t="inlineStr">
        <is>
          <t>jeminise.com+pamnest-twin-halloween-comforter-set-with-sheets-5-pieces-design-02</t>
        </is>
      </c>
      <c r="B55" s="3" t="inlineStr">
        <is>
          <t>I1</t>
        </is>
      </c>
      <c r="C55" s="3" t="n">
        <v>20</v>
      </c>
      <c r="D55" s="3" t="inlineStr">
        <is>
          <t>FULL</t>
        </is>
      </c>
      <c r="E55" s="7">
        <f>IF(B55="I1",AVERAGEIF('QA_Images'!$A$2:$A$63,A55,'QA_Images'!$T$2:$T$63)/100,IF(D55="FULL",1,IF(D55="PARTIAL",0.5,IF(D55="FAIL",0,""))))</f>
        <v/>
      </c>
      <c r="F55" s="7">
        <f>IF(E55="",0,C55*E55)</f>
        <v/>
      </c>
      <c r="G55" s="7">
        <f>IF(B55="I1",20*AVERAGEIF('QA_Images'!$A$2:$A$63,A55,'QA_Images'!$U$2:$U$63)/100,IF(D55="NOT_CHECKED",0,C55))</f>
        <v/>
      </c>
      <c r="H55" s="3" t="inlineStr">
        <is>
          <t>Image coverage, image observations and alt text quality, derived from QA_Images. Derived from average image QA score; see QA_Images.</t>
        </is>
      </c>
      <c r="I55" s="3" t="inlineStr">
        <is>
          <t>evidence_batch_017_165</t>
        </is>
      </c>
      <c r="J55" s="3" t="inlineStr">
        <is>
          <t>ISSUE-0041; ISSUE-0042; ISSUE-0043; ISSUE-0044</t>
        </is>
      </c>
    </row>
    <row r="56" ht="42" customHeight="1">
      <c r="A56" s="2" t="inlineStr">
        <is>
          <t>jeminise.com+pamnest-twin-halloween-comforter-set-with-sheets-5-pieces-design-02</t>
        </is>
      </c>
      <c r="B56" s="2" t="inlineStr">
        <is>
          <t>E1</t>
        </is>
      </c>
      <c r="C56" s="2" t="n">
        <v>5</v>
      </c>
      <c r="D56" s="2" t="inlineStr">
        <is>
          <t>PARTIAL</t>
        </is>
      </c>
      <c r="E56" s="5">
        <f>IF(B56="I1",AVERAGEIF('QA_Images'!$A$2:$A$63,A56,'QA_Images'!$T$2:$T$63)/100,IF(D56="FULL",1,IF(D56="PARTIAL",0.5,IF(D56="FAIL",0,""))))</f>
        <v/>
      </c>
      <c r="F56" s="5">
        <f>IF(E56="",0,C56*E56)</f>
        <v/>
      </c>
      <c r="G56" s="5">
        <f>IF(B56="I1",20*AVERAGEIF('QA_Images'!$A$2:$A$63,A56,'QA_Images'!$U$2:$U$63)/100,IF(D56="NOT_CHECKED",0,C56))</f>
        <v/>
      </c>
      <c r="H56" s="2" t="inlineStr">
        <is>
          <t>Evidence chain is traceable and limitations are explicitly separated from failures. Evidence chain is traceable, with admin-export limitation explicitly separated.</t>
        </is>
      </c>
      <c r="I56" s="2" t="inlineStr">
        <is>
          <t>evidence_batch_017_165</t>
        </is>
      </c>
      <c r="J56" s="2" t="inlineStr">
        <is>
          <t>ISSUE-0041; ISSUE-0042; ISSUE-0043; ISSUE-0044</t>
        </is>
      </c>
    </row>
    <row r="57" ht="42" customHeight="1">
      <c r="A57" s="3" t="inlineStr">
        <is>
          <t>jeminise.com+pamnest-twin-halloween-comforter-set-with-sheets-5-pieces-design-03</t>
        </is>
      </c>
      <c r="B57" s="3" t="inlineStr">
        <is>
          <t>P1</t>
        </is>
      </c>
      <c r="C57" s="3" t="n">
        <v>15</v>
      </c>
      <c r="D57" s="3" t="inlineStr">
        <is>
          <t>FULL</t>
        </is>
      </c>
      <c r="E57" s="7">
        <f>IF(B57="I1",AVERAGEIF('QA_Images'!$A$2:$A$63,A57,'QA_Images'!$T$2:$T$63)/100,IF(D57="FULL",1,IF(D57="PARTIAL",0.5,IF(D57="FAIL",0,""))))</f>
        <v/>
      </c>
      <c r="F57" s="7">
        <f>IF(E57="",0,C57*E57)</f>
        <v/>
      </c>
      <c r="G57" s="7">
        <f>IF(B57="I1",20*AVERAGEIF('QA_Images'!$A$2:$A$63,A57,'QA_Images'!$U$2:$U$63)/100,IF(D57="NOT_CHECKED",0,C57))</f>
        <v/>
      </c>
      <c r="H57" s="3" t="inlineStr">
        <is>
          <t>Product identity, handle, product ID, URL and canonical match source/live evidence. Product key/handle/product ID/canonical checked against frozen workbook and live product evidence.</t>
        </is>
      </c>
      <c r="I57" s="3" t="inlineStr">
        <is>
          <t>evidence_batch_017_166</t>
        </is>
      </c>
      <c r="J57" s="3" t="inlineStr">
        <is>
          <t>ISSUE-0048; ISSUE-0049; ISSUE-0050; ISSUE-0051</t>
        </is>
      </c>
    </row>
    <row r="58" ht="42" customHeight="1">
      <c r="A58" s="2" t="inlineStr">
        <is>
          <t>jeminise.com+pamnest-twin-halloween-comforter-set-with-sheets-5-pieces-design-03</t>
        </is>
      </c>
      <c r="B58" s="2" t="inlineStr">
        <is>
          <t>P2</t>
        </is>
      </c>
      <c r="C58" s="2" t="n">
        <v>10</v>
      </c>
      <c r="D58" s="2" t="inlineStr">
        <is>
          <t>PARTIAL</t>
        </is>
      </c>
      <c r="E58" s="5">
        <f>IF(B58="I1",AVERAGEIF('QA_Images'!$A$2:$A$63,A58,'QA_Images'!$T$2:$T$63)/100,IF(D58="FULL",1,IF(D58="PARTIAL",0.5,IF(D58="FAIL",0,""))))</f>
        <v/>
      </c>
      <c r="F58" s="5">
        <f>IF(E58="",0,C58*E58)</f>
        <v/>
      </c>
      <c r="G58" s="5">
        <f>IF(B58="I1",20*AVERAGEIF('QA_Images'!$A$2:$A$63,A58,'QA_Images'!$U$2:$U$63)/100,IF(D58="NOT_CHECKED",0,C58))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evidence_batch_017_166</t>
        </is>
      </c>
      <c r="J58" s="2" t="inlineStr">
        <is>
          <t>ISSUE-0048; ISSUE-0049; ISSUE-0050; ISSUE-0051</t>
        </is>
      </c>
    </row>
    <row r="59" ht="42" customHeight="1">
      <c r="A59" s="3" t="inlineStr">
        <is>
          <t>jeminise.com+pamnest-twin-halloween-comforter-set-with-sheets-5-pieces-design-03</t>
        </is>
      </c>
      <c r="B59" s="3" t="inlineStr">
        <is>
          <t>K1</t>
        </is>
      </c>
      <c r="C59" s="3" t="n">
        <v>10</v>
      </c>
      <c r="D59" s="3" t="inlineStr">
        <is>
          <t>PARTIAL</t>
        </is>
      </c>
      <c r="E59" s="7">
        <f>IF(B59="I1",AVERAGEIF('QA_Images'!$A$2:$A$63,A59,'QA_Images'!$T$2:$T$63)/100,IF(D59="FULL",1,IF(D59="PARTIAL",0.5,IF(D59="FAIL",0,""))))</f>
        <v/>
      </c>
      <c r="F59" s="7">
        <f>IF(E59="",0,C59*E59)</f>
        <v/>
      </c>
      <c r="G59" s="7">
        <f>IF(B59="I1",20*AVERAGEIF('QA_Images'!$A$2:$A$63,A59,'QA_Images'!$U$2:$U$63)/100,IF(D59="NOT_CHECKED",0,C59))</f>
        <v/>
      </c>
      <c r="H59" s="3" t="inlineStr">
        <is>
          <t>Primary keyword aligns with product-level US purchase intent. Primary keyword rechecked against US product-level SERP comparables.</t>
        </is>
      </c>
      <c r="I59" s="3" t="inlineStr">
        <is>
          <t>evidence_batch_017_166</t>
        </is>
      </c>
      <c r="J59" s="3" t="inlineStr">
        <is>
          <t>ISSUE-0048; ISSUE-0049; ISSUE-0050; ISSUE-0051</t>
        </is>
      </c>
    </row>
    <row r="60" ht="42" customHeight="1">
      <c r="A60" s="2" t="inlineStr">
        <is>
          <t>jeminise.com+pamnest-twin-halloween-comforter-set-with-sheets-5-pieces-design-03</t>
        </is>
      </c>
      <c r="B60" s="2" t="inlineStr">
        <is>
          <t>K2</t>
        </is>
      </c>
      <c r="C60" s="2" t="n">
        <v>5</v>
      </c>
      <c r="D60" s="2" t="inlineStr">
        <is>
          <t>PARTIAL</t>
        </is>
      </c>
      <c r="E60" s="5">
        <f>IF(B60="I1",AVERAGEIF('QA_Images'!$A$2:$A$63,A60,'QA_Images'!$T$2:$T$63)/100,IF(D60="FULL",1,IF(D60="PARTIAL",0.5,IF(D60="FAIL",0,""))))</f>
        <v/>
      </c>
      <c r="F60" s="5">
        <f>IF(E60="",0,C60*E60)</f>
        <v/>
      </c>
      <c r="G60" s="5">
        <f>IF(B60="I1",20*AVERAGEIF('QA_Images'!$A$2:$A$63,A60,'QA_Images'!$U$2:$U$63)/100,IF(D60="NOT_CHECKED",0,C60))</f>
        <v/>
      </c>
      <c r="H60" s="2" t="inlineStr">
        <is>
          <t>Intent/cannibalization check distinguishes nearby products. Nearby product cluster has overlap risk, so intent distinction remains only partial.</t>
        </is>
      </c>
      <c r="I60" s="2" t="inlineStr">
        <is>
          <t>evidence_batch_017_166</t>
        </is>
      </c>
      <c r="J60" s="2" t="inlineStr">
        <is>
          <t>ISSUE-0048; ISSUE-0049; ISSUE-0050; ISSUE-0051</t>
        </is>
      </c>
    </row>
    <row r="61" ht="42" customHeight="1">
      <c r="A61" s="3" t="inlineStr">
        <is>
          <t>jeminise.com+pamnest-twin-halloween-comforter-set-with-sheets-5-pieces-design-03</t>
        </is>
      </c>
      <c r="B61" s="3" t="inlineStr">
        <is>
          <t>K3</t>
        </is>
      </c>
      <c r="C61" s="3" t="n">
        <v>5</v>
      </c>
      <c r="D61" s="3" t="inlineStr">
        <is>
          <t>PARTIAL</t>
        </is>
      </c>
      <c r="E61" s="7">
        <f>IF(B61="I1",AVERAGEIF('QA_Images'!$A$2:$A$63,A61,'QA_Images'!$T$2:$T$63)/100,IF(D61="FULL",1,IF(D61="PARTIAL",0.5,IF(D61="FAIL",0,""))))</f>
        <v/>
      </c>
      <c r="F61" s="7">
        <f>IF(E61="",0,C61*E61)</f>
        <v/>
      </c>
      <c r="G61" s="7">
        <f>IF(B61="I1",20*AVERAGEIF('QA_Images'!$A$2:$A$63,A61,'QA_Images'!$U$2:$U$63)/100,IF(D61="NOT_CHECKED",0,C61))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evidence_batch_017_166</t>
        </is>
      </c>
      <c r="J61" s="3" t="inlineStr">
        <is>
          <t>ISSUE-0048; ISSUE-0049; ISSUE-0050; ISSUE-0051</t>
        </is>
      </c>
    </row>
    <row r="62" ht="42" customHeight="1">
      <c r="A62" s="2" t="inlineStr">
        <is>
          <t>jeminise.com+pamnest-twin-halloween-comforter-set-with-sheets-5-pieces-design-03</t>
        </is>
      </c>
      <c r="B62" s="2" t="inlineStr">
        <is>
          <t>T1</t>
        </is>
      </c>
      <c r="C62" s="2" t="n">
        <v>10</v>
      </c>
      <c r="D62" s="2" t="inlineStr">
        <is>
          <t>PARTIAL</t>
        </is>
      </c>
      <c r="E62" s="5">
        <f>IF(B62="I1",AVERAGEIF('QA_Images'!$A$2:$A$63,A62,'QA_Images'!$T$2:$T$63)/100,IF(D62="FULL",1,IF(D62="PARTIAL",0.5,IF(D62="FAIL",0,""))))</f>
        <v/>
      </c>
      <c r="F62" s="5">
        <f>IF(E62="",0,C62*E62)</f>
        <v/>
      </c>
      <c r="G62" s="5">
        <f>IF(B62="I1",20*AVERAGEIF('QA_Images'!$A$2:$A$63,A62,'QA_Images'!$U$2:$U$63)/100,IF(D62="NOT_CHECKED",0,C62))</f>
        <v/>
      </c>
      <c r="H62" s="2" t="inlineStr">
        <is>
          <t>SEO title and H1 are relevant, specific and grounded in visible/source facts. Proposed H1 is blank, so the title/H1 pair cannot be fully verified.</t>
        </is>
      </c>
      <c r="I62" s="2" t="inlineStr">
        <is>
          <t>evidence_batch_017_166</t>
        </is>
      </c>
      <c r="J62" s="2" t="inlineStr">
        <is>
          <t>ISSUE-0048; ISSUE-0049; ISSUE-0050; ISSUE-0051</t>
        </is>
      </c>
    </row>
    <row r="63" ht="42" customHeight="1">
      <c r="A63" s="3" t="inlineStr">
        <is>
          <t>jeminise.com+pamnest-twin-halloween-comforter-set-with-sheets-5-pieces-design-03</t>
        </is>
      </c>
      <c r="B63" s="3" t="inlineStr">
        <is>
          <t>T2</t>
        </is>
      </c>
      <c r="C63" s="3" t="n">
        <v>5</v>
      </c>
      <c r="D63" s="3" t="inlineStr">
        <is>
          <t>PARTIAL</t>
        </is>
      </c>
      <c r="E63" s="7">
        <f>IF(B63="I1",AVERAGEIF('QA_Images'!$A$2:$A$63,A63,'QA_Images'!$T$2:$T$63)/100,IF(D63="FULL",1,IF(D63="PARTIAL",0.5,IF(D63="FAIL",0,""))))</f>
        <v/>
      </c>
      <c r="F63" s="7">
        <f>IF(E63="",0,C63*E63)</f>
        <v/>
      </c>
      <c r="G63" s="7">
        <f>IF(B63="I1",20*AVERAGEIF('QA_Images'!$A$2:$A$63,A63,'QA_Images'!$U$2:$U$63)/100,IF(D63="NOT_CHECKED",0,C63))</f>
        <v/>
      </c>
      <c r="H63" s="3" t="inlineStr">
        <is>
          <t>Meta description is concise, publish-ready and avoids unsupported claims. Meta description checked for length, specificity and supportable claims.</t>
        </is>
      </c>
      <c r="I63" s="3" t="inlineStr">
        <is>
          <t>evidence_batch_017_166</t>
        </is>
      </c>
      <c r="J63" s="3" t="inlineStr">
        <is>
          <t>ISSUE-0048; ISSUE-0049; ISSUE-0050; ISSUE-0051</t>
        </is>
      </c>
    </row>
    <row r="64" ht="42" customHeight="1">
      <c r="A64" s="2" t="inlineStr">
        <is>
          <t>jeminise.com+pamnest-twin-halloween-comforter-set-with-sheets-5-pieces-design-03</t>
        </is>
      </c>
      <c r="B64" s="2" t="inlineStr">
        <is>
          <t>D1</t>
        </is>
      </c>
      <c r="C64" s="2" t="n">
        <v>10</v>
      </c>
      <c r="D64" s="2" t="inlineStr">
        <is>
          <t>FAIL</t>
        </is>
      </c>
      <c r="E64" s="5">
        <f>IF(B64="I1",AVERAGEIF('QA_Images'!$A$2:$A$63,A64,'QA_Images'!$T$2:$T$63)/100,IF(D64="FULL",1,IF(D64="PARTIAL",0.5,IF(D64="FAIL",0,""))))</f>
        <v/>
      </c>
      <c r="F64" s="5">
        <f>IF(E64="",0,C64*E64)</f>
        <v/>
      </c>
      <c r="G64" s="5">
        <f>IF(B64="I1",20*AVERAGEIF('QA_Images'!$A$2:$A$63,A64,'QA_Images'!$U$2:$U$63)/100,IF(D64="NOT_CHECKED",0,C64))</f>
        <v/>
      </c>
      <c r="H64" s="2" t="inlineStr">
        <is>
          <t>Description HTML is publish-ready and free of internal draft/QA instructions. Description HTML still contains internal QA/import language.</t>
        </is>
      </c>
      <c r="I64" s="2" t="inlineStr">
        <is>
          <t>evidence_batch_017_166</t>
        </is>
      </c>
      <c r="J64" s="2" t="inlineStr">
        <is>
          <t>ISSUE-0048; ISSUE-0049; ISSUE-0050; ISSUE-0051</t>
        </is>
      </c>
    </row>
    <row r="65" ht="42" customHeight="1">
      <c r="A65" s="3" t="inlineStr">
        <is>
          <t>jeminise.com+pamnest-twin-halloween-comforter-set-with-sheets-5-pieces-design-03</t>
        </is>
      </c>
      <c r="B65" s="3" t="inlineStr">
        <is>
          <t>D2</t>
        </is>
      </c>
      <c r="C65" s="3" t="n">
        <v>5</v>
      </c>
      <c r="D65" s="3" t="inlineStr">
        <is>
          <t>PARTIAL</t>
        </is>
      </c>
      <c r="E65" s="7">
        <f>IF(B65="I1",AVERAGEIF('QA_Images'!$A$2:$A$63,A65,'QA_Images'!$T$2:$T$63)/100,IF(D65="FULL",1,IF(D65="PARTIAL",0.5,IF(D65="FAIL",0,""))))</f>
        <v/>
      </c>
      <c r="F65" s="7">
        <f>IF(E65="",0,C65*E65)</f>
        <v/>
      </c>
      <c r="G65" s="7">
        <f>IF(B65="I1",20*AVERAGEIF('QA_Images'!$A$2:$A$63,A65,'QA_Images'!$U$2:$U$63)/100,IF(D65="NOT_CHECKED",0,C65))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evidence_batch_017_166</t>
        </is>
      </c>
      <c r="J65" s="3" t="inlineStr">
        <is>
          <t>ISSUE-0048; ISSUE-0049; ISSUE-0050; ISSUE-0051</t>
        </is>
      </c>
    </row>
    <row r="66" ht="42" customHeight="1">
      <c r="A66" s="2" t="inlineStr">
        <is>
          <t>jeminise.com+pamnest-twin-halloween-comforter-set-with-sheets-5-pieces-design-03</t>
        </is>
      </c>
      <c r="B66" s="2" t="inlineStr">
        <is>
          <t>I1</t>
        </is>
      </c>
      <c r="C66" s="2" t="n">
        <v>20</v>
      </c>
      <c r="D66" s="2" t="inlineStr">
        <is>
          <t>FULL</t>
        </is>
      </c>
      <c r="E66" s="5">
        <f>IF(B66="I1",AVERAGEIF('QA_Images'!$A$2:$A$63,A66,'QA_Images'!$T$2:$T$63)/100,IF(D66="FULL",1,IF(D66="PARTIAL",0.5,IF(D66="FAIL",0,""))))</f>
        <v/>
      </c>
      <c r="F66" s="5">
        <f>IF(E66="",0,C66*E66)</f>
        <v/>
      </c>
      <c r="G66" s="5">
        <f>IF(B66="I1",20*AVERAGEIF('QA_Images'!$A$2:$A$63,A66,'QA_Images'!$U$2:$U$63)/100,IF(D66="NOT_CHECKED",0,C66))</f>
        <v/>
      </c>
      <c r="H66" s="2" t="inlineStr">
        <is>
          <t>Image coverage, image observations and alt text quality, derived from QA_Images. Derived from average image QA score; see QA_Images.</t>
        </is>
      </c>
      <c r="I66" s="2" t="inlineStr">
        <is>
          <t>evidence_batch_017_166</t>
        </is>
      </c>
      <c r="J66" s="2" t="inlineStr">
        <is>
          <t>ISSUE-0048; ISSUE-0049; ISSUE-0050; ISSUE-0051</t>
        </is>
      </c>
    </row>
    <row r="67" ht="42" customHeight="1">
      <c r="A67" s="3" t="inlineStr">
        <is>
          <t>jeminise.com+pamnest-twin-halloween-comforter-set-with-sheets-5-pieces-design-03</t>
        </is>
      </c>
      <c r="B67" s="3" t="inlineStr">
        <is>
          <t>E1</t>
        </is>
      </c>
      <c r="C67" s="3" t="n">
        <v>5</v>
      </c>
      <c r="D67" s="3" t="inlineStr">
        <is>
          <t>PARTIAL</t>
        </is>
      </c>
      <c r="E67" s="7">
        <f>IF(B67="I1",AVERAGEIF('QA_Images'!$A$2:$A$63,A67,'QA_Images'!$T$2:$T$63)/100,IF(D67="FULL",1,IF(D67="PARTIAL",0.5,IF(D67="FAIL",0,""))))</f>
        <v/>
      </c>
      <c r="F67" s="7">
        <f>IF(E67="",0,C67*E67)</f>
        <v/>
      </c>
      <c r="G67" s="7">
        <f>IF(B67="I1",20*AVERAGEIF('QA_Images'!$A$2:$A$63,A67,'QA_Images'!$U$2:$U$63)/100,IF(D67="NOT_CHECKED",0,C67))</f>
        <v/>
      </c>
      <c r="H67" s="3" t="inlineStr">
        <is>
          <t>Evidence chain is traceable and limitations are explicitly separated from failures. Evidence chain is traceable, with admin-export limitation explicitly separated.</t>
        </is>
      </c>
      <c r="I67" s="3" t="inlineStr">
        <is>
          <t>evidence_batch_017_166</t>
        </is>
      </c>
      <c r="J67" s="3" t="inlineStr">
        <is>
          <t>ISSUE-0048; ISSUE-0049; ISSUE-0050; ISSUE-0051</t>
        </is>
      </c>
    </row>
    <row r="68" ht="42" customHeight="1">
      <c r="A68" s="2" t="inlineStr">
        <is>
          <t>jeminise.com+pamnest-twin-halloween-comforter-set-with-sheets-5-pieces-design-04</t>
        </is>
      </c>
      <c r="B68" s="2" t="inlineStr">
        <is>
          <t>P1</t>
        </is>
      </c>
      <c r="C68" s="2" t="n">
        <v>15</v>
      </c>
      <c r="D68" s="2" t="inlineStr">
        <is>
          <t>FULL</t>
        </is>
      </c>
      <c r="E68" s="5">
        <f>IF(B68="I1",AVERAGEIF('QA_Images'!$A$2:$A$63,A68,'QA_Images'!$T$2:$T$63)/100,IF(D68="FULL",1,IF(D68="PARTIAL",0.5,IF(D68="FAIL",0,""))))</f>
        <v/>
      </c>
      <c r="F68" s="5">
        <f>IF(E68="",0,C68*E68)</f>
        <v/>
      </c>
      <c r="G68" s="5">
        <f>IF(B68="I1",20*AVERAGEIF('QA_Images'!$A$2:$A$63,A68,'QA_Images'!$U$2:$U$63)/100,IF(D68="NOT_CHECKED",0,C68))</f>
        <v/>
      </c>
      <c r="H68" s="2" t="inlineStr">
        <is>
          <t>Product identity, handle, product ID, URL and canonical match source/live evidence. Product key/handle/product ID/canonical checked against frozen workbook and live product evidence.</t>
        </is>
      </c>
      <c r="I68" s="2" t="inlineStr">
        <is>
          <t>evidence_batch_017_167</t>
        </is>
      </c>
      <c r="J68" s="2" t="inlineStr">
        <is>
          <t>ISSUE-0057; ISSUE-0058; ISSUE-0059; ISSUE-0060</t>
        </is>
      </c>
    </row>
    <row r="69" ht="42" customHeight="1">
      <c r="A69" s="3" t="inlineStr">
        <is>
          <t>jeminise.com+pamnest-twin-halloween-comforter-set-with-sheets-5-pieces-design-04</t>
        </is>
      </c>
      <c r="B69" s="3" t="inlineStr">
        <is>
          <t>P2</t>
        </is>
      </c>
      <c r="C69" s="3" t="n">
        <v>10</v>
      </c>
      <c r="D69" s="3" t="inlineStr">
        <is>
          <t>PARTIAL</t>
        </is>
      </c>
      <c r="E69" s="7">
        <f>IF(B69="I1",AVERAGEIF('QA_Images'!$A$2:$A$63,A69,'QA_Images'!$T$2:$T$63)/100,IF(D69="FULL",1,IF(D69="PARTIAL",0.5,IF(D69="FAIL",0,""))))</f>
        <v/>
      </c>
      <c r="F69" s="7">
        <f>IF(E69="",0,C69*E69)</f>
        <v/>
      </c>
      <c r="G69" s="7">
        <f>IF(B69="I1",20*AVERAGEIF('QA_Images'!$A$2:$A$63,A69,'QA_Images'!$U$2:$U$63)/100,IF(D69="NOT_CHECKED",0,C69))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evidence_batch_017_167</t>
        </is>
      </c>
      <c r="J69" s="3" t="inlineStr">
        <is>
          <t>ISSUE-0057; ISSUE-0058; ISSUE-0059; ISSUE-0060</t>
        </is>
      </c>
    </row>
    <row r="70" ht="42" customHeight="1">
      <c r="A70" s="2" t="inlineStr">
        <is>
          <t>jeminise.com+pamnest-twin-halloween-comforter-set-with-sheets-5-pieces-design-04</t>
        </is>
      </c>
      <c r="B70" s="2" t="inlineStr">
        <is>
          <t>K1</t>
        </is>
      </c>
      <c r="C70" s="2" t="n">
        <v>10</v>
      </c>
      <c r="D70" s="2" t="inlineStr">
        <is>
          <t>PARTIAL</t>
        </is>
      </c>
      <c r="E70" s="5">
        <f>IF(B70="I1",AVERAGEIF('QA_Images'!$A$2:$A$63,A70,'QA_Images'!$T$2:$T$63)/100,IF(D70="FULL",1,IF(D70="PARTIAL",0.5,IF(D70="FAIL",0,""))))</f>
        <v/>
      </c>
      <c r="F70" s="5">
        <f>IF(E70="",0,C70*E70)</f>
        <v/>
      </c>
      <c r="G70" s="5">
        <f>IF(B70="I1",20*AVERAGEIF('QA_Images'!$A$2:$A$63,A70,'QA_Images'!$U$2:$U$63)/100,IF(D70="NOT_CHECKED",0,C70))</f>
        <v/>
      </c>
      <c r="H70" s="2" t="inlineStr">
        <is>
          <t>Primary keyword aligns with product-level US purchase intent. Primary keyword rechecked against US product-level SERP comparables.</t>
        </is>
      </c>
      <c r="I70" s="2" t="inlineStr">
        <is>
          <t>evidence_batch_017_167</t>
        </is>
      </c>
      <c r="J70" s="2" t="inlineStr">
        <is>
          <t>ISSUE-0057; ISSUE-0058; ISSUE-0059; ISSUE-0060</t>
        </is>
      </c>
    </row>
    <row r="71" ht="42" customHeight="1">
      <c r="A71" s="3" t="inlineStr">
        <is>
          <t>jeminise.com+pamnest-twin-halloween-comforter-set-with-sheets-5-pieces-design-04</t>
        </is>
      </c>
      <c r="B71" s="3" t="inlineStr">
        <is>
          <t>K2</t>
        </is>
      </c>
      <c r="C71" s="3" t="n">
        <v>5</v>
      </c>
      <c r="D71" s="3" t="inlineStr">
        <is>
          <t>PARTIAL</t>
        </is>
      </c>
      <c r="E71" s="7">
        <f>IF(B71="I1",AVERAGEIF('QA_Images'!$A$2:$A$63,A71,'QA_Images'!$T$2:$T$63)/100,IF(D71="FULL",1,IF(D71="PARTIAL",0.5,IF(D71="FAIL",0,""))))</f>
        <v/>
      </c>
      <c r="F71" s="7">
        <f>IF(E71="",0,C71*E71)</f>
        <v/>
      </c>
      <c r="G71" s="7">
        <f>IF(B71="I1",20*AVERAGEIF('QA_Images'!$A$2:$A$63,A71,'QA_Images'!$U$2:$U$63)/100,IF(D71="NOT_CHECKED",0,C71))</f>
        <v/>
      </c>
      <c r="H71" s="3" t="inlineStr">
        <is>
          <t>Intent/cannibalization check distinguishes nearby products. Nearby product cluster has overlap risk, so intent distinction remains only partial.</t>
        </is>
      </c>
      <c r="I71" s="3" t="inlineStr">
        <is>
          <t>evidence_batch_017_167</t>
        </is>
      </c>
      <c r="J71" s="3" t="inlineStr">
        <is>
          <t>ISSUE-0057; ISSUE-0058; ISSUE-0059; ISSUE-0060</t>
        </is>
      </c>
    </row>
    <row r="72" ht="42" customHeight="1">
      <c r="A72" s="2" t="inlineStr">
        <is>
          <t>jeminise.com+pamnest-twin-halloween-comforter-set-with-sheets-5-pieces-design-04</t>
        </is>
      </c>
      <c r="B72" s="2" t="inlineStr">
        <is>
          <t>K3</t>
        </is>
      </c>
      <c r="C72" s="2" t="n">
        <v>5</v>
      </c>
      <c r="D72" s="2" t="inlineStr">
        <is>
          <t>PARTIAL</t>
        </is>
      </c>
      <c r="E72" s="5">
        <f>IF(B72="I1",AVERAGEIF('QA_Images'!$A$2:$A$63,A72,'QA_Images'!$T$2:$T$63)/100,IF(D72="FULL",1,IF(D72="PARTIAL",0.5,IF(D72="FAIL",0,""))))</f>
        <v/>
      </c>
      <c r="F72" s="5">
        <f>IF(E72="",0,C72*E72)</f>
        <v/>
      </c>
      <c r="G72" s="5">
        <f>IF(B72="I1",20*AVERAGEIF('QA_Images'!$A$2:$A$63,A72,'QA_Images'!$U$2:$U$63)/100,IF(D72="NOT_CHECKED",0,C72))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evidence_batch_017_167</t>
        </is>
      </c>
      <c r="J72" s="2" t="inlineStr">
        <is>
          <t>ISSUE-0057; ISSUE-0058; ISSUE-0059; ISSUE-0060</t>
        </is>
      </c>
    </row>
    <row r="73" ht="42" customHeight="1">
      <c r="A73" s="3" t="inlineStr">
        <is>
          <t>jeminise.com+pamnest-twin-halloween-comforter-set-with-sheets-5-pieces-design-04</t>
        </is>
      </c>
      <c r="B73" s="3" t="inlineStr">
        <is>
          <t>T1</t>
        </is>
      </c>
      <c r="C73" s="3" t="n">
        <v>10</v>
      </c>
      <c r="D73" s="3" t="inlineStr">
        <is>
          <t>PARTIAL</t>
        </is>
      </c>
      <c r="E73" s="7">
        <f>IF(B73="I1",AVERAGEIF('QA_Images'!$A$2:$A$63,A73,'QA_Images'!$T$2:$T$63)/100,IF(D73="FULL",1,IF(D73="PARTIAL",0.5,IF(D73="FAIL",0,""))))</f>
        <v/>
      </c>
      <c r="F73" s="7">
        <f>IF(E73="",0,C73*E73)</f>
        <v/>
      </c>
      <c r="G73" s="7">
        <f>IF(B73="I1",20*AVERAGEIF('QA_Images'!$A$2:$A$63,A73,'QA_Images'!$U$2:$U$63)/100,IF(D73="NOT_CHECKED",0,C73))</f>
        <v/>
      </c>
      <c r="H73" s="3" t="inlineStr">
        <is>
          <t>SEO title and H1 are relevant, specific and grounded in visible/source facts. Proposed H1 is blank, so the title/H1 pair cannot be fully verified.</t>
        </is>
      </c>
      <c r="I73" s="3" t="inlineStr">
        <is>
          <t>evidence_batch_017_167</t>
        </is>
      </c>
      <c r="J73" s="3" t="inlineStr">
        <is>
          <t>ISSUE-0057; ISSUE-0058; ISSUE-0059; ISSUE-0060</t>
        </is>
      </c>
    </row>
    <row r="74" ht="42" customHeight="1">
      <c r="A74" s="2" t="inlineStr">
        <is>
          <t>jeminise.com+pamnest-twin-halloween-comforter-set-with-sheets-5-pieces-design-04</t>
        </is>
      </c>
      <c r="B74" s="2" t="inlineStr">
        <is>
          <t>T2</t>
        </is>
      </c>
      <c r="C74" s="2" t="n">
        <v>5</v>
      </c>
      <c r="D74" s="2" t="inlineStr">
        <is>
          <t>PARTIAL</t>
        </is>
      </c>
      <c r="E74" s="5">
        <f>IF(B74="I1",AVERAGEIF('QA_Images'!$A$2:$A$63,A74,'QA_Images'!$T$2:$T$63)/100,IF(D74="FULL",1,IF(D74="PARTIAL",0.5,IF(D74="FAIL",0,""))))</f>
        <v/>
      </c>
      <c r="F74" s="5">
        <f>IF(E74="",0,C74*E74)</f>
        <v/>
      </c>
      <c r="G74" s="5">
        <f>IF(B74="I1",20*AVERAGEIF('QA_Images'!$A$2:$A$63,A74,'QA_Images'!$U$2:$U$63)/100,IF(D74="NOT_CHECKED",0,C74))</f>
        <v/>
      </c>
      <c r="H74" s="2" t="inlineStr">
        <is>
          <t>Meta description is concise, publish-ready and avoids unsupported claims. Meta description checked for length, specificity and supportable claims.</t>
        </is>
      </c>
      <c r="I74" s="2" t="inlineStr">
        <is>
          <t>evidence_batch_017_167</t>
        </is>
      </c>
      <c r="J74" s="2" t="inlineStr">
        <is>
          <t>ISSUE-0057; ISSUE-0058; ISSUE-0059; ISSUE-0060</t>
        </is>
      </c>
    </row>
    <row r="75" ht="42" customHeight="1">
      <c r="A75" s="3" t="inlineStr">
        <is>
          <t>jeminise.com+pamnest-twin-halloween-comforter-set-with-sheets-5-pieces-design-04</t>
        </is>
      </c>
      <c r="B75" s="3" t="inlineStr">
        <is>
          <t>D1</t>
        </is>
      </c>
      <c r="C75" s="3" t="n">
        <v>10</v>
      </c>
      <c r="D75" s="3" t="inlineStr">
        <is>
          <t>FAIL</t>
        </is>
      </c>
      <c r="E75" s="7">
        <f>IF(B75="I1",AVERAGEIF('QA_Images'!$A$2:$A$63,A75,'QA_Images'!$T$2:$T$63)/100,IF(D75="FULL",1,IF(D75="PARTIAL",0.5,IF(D75="FAIL",0,""))))</f>
        <v/>
      </c>
      <c r="F75" s="7">
        <f>IF(E75="",0,C75*E75)</f>
        <v/>
      </c>
      <c r="G75" s="7">
        <f>IF(B75="I1",20*AVERAGEIF('QA_Images'!$A$2:$A$63,A75,'QA_Images'!$U$2:$U$63)/100,IF(D75="NOT_CHECKED",0,C75))</f>
        <v/>
      </c>
      <c r="H75" s="3" t="inlineStr">
        <is>
          <t>Description HTML is publish-ready and free of internal draft/QA instructions. Description HTML still contains internal QA/import language.</t>
        </is>
      </c>
      <c r="I75" s="3" t="inlineStr">
        <is>
          <t>evidence_batch_017_167</t>
        </is>
      </c>
      <c r="J75" s="3" t="inlineStr">
        <is>
          <t>ISSUE-0057; ISSUE-0058; ISSUE-0059; ISSUE-0060</t>
        </is>
      </c>
    </row>
    <row r="76" ht="42" customHeight="1">
      <c r="A76" s="2" t="inlineStr">
        <is>
          <t>jeminise.com+pamnest-twin-halloween-comforter-set-with-sheets-5-pieces-design-04</t>
        </is>
      </c>
      <c r="B76" s="2" t="inlineStr">
        <is>
          <t>D2</t>
        </is>
      </c>
      <c r="C76" s="2" t="n">
        <v>5</v>
      </c>
      <c r="D76" s="2" t="inlineStr">
        <is>
          <t>PARTIAL</t>
        </is>
      </c>
      <c r="E76" s="5">
        <f>IF(B76="I1",AVERAGEIF('QA_Images'!$A$2:$A$63,A76,'QA_Images'!$T$2:$T$63)/100,IF(D76="FULL",1,IF(D76="PARTIAL",0.5,IF(D76="FAIL",0,""))))</f>
        <v/>
      </c>
      <c r="F76" s="5">
        <f>IF(E76="",0,C76*E76)</f>
        <v/>
      </c>
      <c r="G76" s="5">
        <f>IF(B76="I1",20*AVERAGEIF('QA_Images'!$A$2:$A$63,A76,'QA_Images'!$U$2:$U$63)/100,IF(D76="NOT_CHECKED",0,C76))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evidence_batch_017_167</t>
        </is>
      </c>
      <c r="J76" s="2" t="inlineStr">
        <is>
          <t>ISSUE-0057; ISSUE-0058; ISSUE-0059; ISSUE-0060</t>
        </is>
      </c>
    </row>
    <row r="77" ht="42" customHeight="1">
      <c r="A77" s="3" t="inlineStr">
        <is>
          <t>jeminise.com+pamnest-twin-halloween-comforter-set-with-sheets-5-pieces-design-04</t>
        </is>
      </c>
      <c r="B77" s="3" t="inlineStr">
        <is>
          <t>I1</t>
        </is>
      </c>
      <c r="C77" s="3" t="n">
        <v>20</v>
      </c>
      <c r="D77" s="3" t="inlineStr">
        <is>
          <t>FULL</t>
        </is>
      </c>
      <c r="E77" s="7">
        <f>IF(B77="I1",AVERAGEIF('QA_Images'!$A$2:$A$63,A77,'QA_Images'!$T$2:$T$63)/100,IF(D77="FULL",1,IF(D77="PARTIAL",0.5,IF(D77="FAIL",0,""))))</f>
        <v/>
      </c>
      <c r="F77" s="7">
        <f>IF(E77="",0,C77*E77)</f>
        <v/>
      </c>
      <c r="G77" s="7">
        <f>IF(B77="I1",20*AVERAGEIF('QA_Images'!$A$2:$A$63,A77,'QA_Images'!$U$2:$U$63)/100,IF(D77="NOT_CHECKED",0,C77))</f>
        <v/>
      </c>
      <c r="H77" s="3" t="inlineStr">
        <is>
          <t>Image coverage, image observations and alt text quality, derived from QA_Images. Derived from average image QA score; see QA_Images.</t>
        </is>
      </c>
      <c r="I77" s="3" t="inlineStr">
        <is>
          <t>evidence_batch_017_167</t>
        </is>
      </c>
      <c r="J77" s="3" t="inlineStr">
        <is>
          <t>ISSUE-0057; ISSUE-0058; ISSUE-0059; ISSUE-0060</t>
        </is>
      </c>
    </row>
    <row r="78" ht="42" customHeight="1">
      <c r="A78" s="2" t="inlineStr">
        <is>
          <t>jeminise.com+pamnest-twin-halloween-comforter-set-with-sheets-5-pieces-design-04</t>
        </is>
      </c>
      <c r="B78" s="2" t="inlineStr">
        <is>
          <t>E1</t>
        </is>
      </c>
      <c r="C78" s="2" t="n">
        <v>5</v>
      </c>
      <c r="D78" s="2" t="inlineStr">
        <is>
          <t>PARTIAL</t>
        </is>
      </c>
      <c r="E78" s="5">
        <f>IF(B78="I1",AVERAGEIF('QA_Images'!$A$2:$A$63,A78,'QA_Images'!$T$2:$T$63)/100,IF(D78="FULL",1,IF(D78="PARTIAL",0.5,IF(D78="FAIL",0,""))))</f>
        <v/>
      </c>
      <c r="F78" s="5">
        <f>IF(E78="",0,C78*E78)</f>
        <v/>
      </c>
      <c r="G78" s="5">
        <f>IF(B78="I1",20*AVERAGEIF('QA_Images'!$A$2:$A$63,A78,'QA_Images'!$U$2:$U$63)/100,IF(D78="NOT_CHECKED",0,C78))</f>
        <v/>
      </c>
      <c r="H78" s="2" t="inlineStr">
        <is>
          <t>Evidence chain is traceable and limitations are explicitly separated from failures. Evidence chain is traceable, with admin-export limitation explicitly separated.</t>
        </is>
      </c>
      <c r="I78" s="2" t="inlineStr">
        <is>
          <t>evidence_batch_017_167</t>
        </is>
      </c>
      <c r="J78" s="2" t="inlineStr">
        <is>
          <t>ISSUE-0057; ISSUE-0058; ISSUE-0059; ISSUE-0060</t>
        </is>
      </c>
    </row>
    <row r="79" ht="42" customHeight="1">
      <c r="A79" s="3" t="inlineStr">
        <is>
          <t>jeminise.com+pamnest-twin-halloween-comforter-set-with-sheets-5-pieces-design-05</t>
        </is>
      </c>
      <c r="B79" s="3" t="inlineStr">
        <is>
          <t>P1</t>
        </is>
      </c>
      <c r="C79" s="3" t="n">
        <v>15</v>
      </c>
      <c r="D79" s="3" t="inlineStr">
        <is>
          <t>FULL</t>
        </is>
      </c>
      <c r="E79" s="7">
        <f>IF(B79="I1",AVERAGEIF('QA_Images'!$A$2:$A$63,A79,'QA_Images'!$T$2:$T$63)/100,IF(D79="FULL",1,IF(D79="PARTIAL",0.5,IF(D79="FAIL",0,""))))</f>
        <v/>
      </c>
      <c r="F79" s="7">
        <f>IF(E79="",0,C79*E79)</f>
        <v/>
      </c>
      <c r="G79" s="7">
        <f>IF(B79="I1",20*AVERAGEIF('QA_Images'!$A$2:$A$63,A79,'QA_Images'!$U$2:$U$63)/100,IF(D79="NOT_CHECKED",0,C79))</f>
        <v/>
      </c>
      <c r="H79" s="3" t="inlineStr">
        <is>
          <t>Product identity, handle, product ID, URL and canonical match source/live evidence. Product key/handle/product ID/canonical checked against frozen workbook and live product evidence.</t>
        </is>
      </c>
      <c r="I79" s="3" t="inlineStr">
        <is>
          <t>evidence_batch_017_168</t>
        </is>
      </c>
      <c r="J79" s="3" t="inlineStr">
        <is>
          <t>ISSUE-0066; ISSUE-0067; ISSUE-0068; ISSUE-0069</t>
        </is>
      </c>
    </row>
    <row r="80" ht="42" customHeight="1">
      <c r="A80" s="2" t="inlineStr">
        <is>
          <t>jeminise.com+pamnest-twin-halloween-comforter-set-with-sheets-5-pieces-design-05</t>
        </is>
      </c>
      <c r="B80" s="2" t="inlineStr">
        <is>
          <t>P2</t>
        </is>
      </c>
      <c r="C80" s="2" t="n">
        <v>10</v>
      </c>
      <c r="D80" s="2" t="inlineStr">
        <is>
          <t>PARTIAL</t>
        </is>
      </c>
      <c r="E80" s="5">
        <f>IF(B80="I1",AVERAGEIF('QA_Images'!$A$2:$A$63,A80,'QA_Images'!$T$2:$T$63)/100,IF(D80="FULL",1,IF(D80="PARTIAL",0.5,IF(D80="FAIL",0,""))))</f>
        <v/>
      </c>
      <c r="F80" s="5">
        <f>IF(E80="",0,C80*E80)</f>
        <v/>
      </c>
      <c r="G80" s="5">
        <f>IF(B80="I1",20*AVERAGEIF('QA_Images'!$A$2:$A$63,A80,'QA_Images'!$U$2:$U$63)/100,IF(D80="NOT_CHECKED",0,C80))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evidence_batch_017_168</t>
        </is>
      </c>
      <c r="J80" s="2" t="inlineStr">
        <is>
          <t>ISSUE-0066; ISSUE-0067; ISSUE-0068; ISSUE-0069</t>
        </is>
      </c>
    </row>
    <row r="81" ht="42" customHeight="1">
      <c r="A81" s="3" t="inlineStr">
        <is>
          <t>jeminise.com+pamnest-twin-halloween-comforter-set-with-sheets-5-pieces-design-05</t>
        </is>
      </c>
      <c r="B81" s="3" t="inlineStr">
        <is>
          <t>K1</t>
        </is>
      </c>
      <c r="C81" s="3" t="n">
        <v>10</v>
      </c>
      <c r="D81" s="3" t="inlineStr">
        <is>
          <t>PARTIAL</t>
        </is>
      </c>
      <c r="E81" s="7">
        <f>IF(B81="I1",AVERAGEIF('QA_Images'!$A$2:$A$63,A81,'QA_Images'!$T$2:$T$63)/100,IF(D81="FULL",1,IF(D81="PARTIAL",0.5,IF(D81="FAIL",0,""))))</f>
        <v/>
      </c>
      <c r="F81" s="7">
        <f>IF(E81="",0,C81*E81)</f>
        <v/>
      </c>
      <c r="G81" s="7">
        <f>IF(B81="I1",20*AVERAGEIF('QA_Images'!$A$2:$A$63,A81,'QA_Images'!$U$2:$U$63)/100,IF(D81="NOT_CHECKED",0,C81))</f>
        <v/>
      </c>
      <c r="H81" s="3" t="inlineStr">
        <is>
          <t>Primary keyword aligns with product-level US purchase intent. Primary keyword rechecked against US product-level SERP comparables.</t>
        </is>
      </c>
      <c r="I81" s="3" t="inlineStr">
        <is>
          <t>evidence_batch_017_168</t>
        </is>
      </c>
      <c r="J81" s="3" t="inlineStr">
        <is>
          <t>ISSUE-0066; ISSUE-0067; ISSUE-0068; ISSUE-0069</t>
        </is>
      </c>
    </row>
    <row r="82" ht="42" customHeight="1">
      <c r="A82" s="2" t="inlineStr">
        <is>
          <t>jeminise.com+pamnest-twin-halloween-comforter-set-with-sheets-5-pieces-design-05</t>
        </is>
      </c>
      <c r="B82" s="2" t="inlineStr">
        <is>
          <t>K2</t>
        </is>
      </c>
      <c r="C82" s="2" t="n">
        <v>5</v>
      </c>
      <c r="D82" s="2" t="inlineStr">
        <is>
          <t>PARTIAL</t>
        </is>
      </c>
      <c r="E82" s="5">
        <f>IF(B82="I1",AVERAGEIF('QA_Images'!$A$2:$A$63,A82,'QA_Images'!$T$2:$T$63)/100,IF(D82="FULL",1,IF(D82="PARTIAL",0.5,IF(D82="FAIL",0,""))))</f>
        <v/>
      </c>
      <c r="F82" s="5">
        <f>IF(E82="",0,C82*E82)</f>
        <v/>
      </c>
      <c r="G82" s="5">
        <f>IF(B82="I1",20*AVERAGEIF('QA_Images'!$A$2:$A$63,A82,'QA_Images'!$U$2:$U$63)/100,IF(D82="NOT_CHECKED",0,C82))</f>
        <v/>
      </c>
      <c r="H82" s="2" t="inlineStr">
        <is>
          <t>Intent/cannibalization check distinguishes nearby products. Nearby product cluster has overlap risk, so intent distinction remains only partial.</t>
        </is>
      </c>
      <c r="I82" s="2" t="inlineStr">
        <is>
          <t>evidence_batch_017_168</t>
        </is>
      </c>
      <c r="J82" s="2" t="inlineStr">
        <is>
          <t>ISSUE-0066; ISSUE-0067; ISSUE-0068; ISSUE-0069</t>
        </is>
      </c>
    </row>
    <row r="83" ht="42" customHeight="1">
      <c r="A83" s="3" t="inlineStr">
        <is>
          <t>jeminise.com+pamnest-twin-halloween-comforter-set-with-sheets-5-pieces-design-05</t>
        </is>
      </c>
      <c r="B83" s="3" t="inlineStr">
        <is>
          <t>K3</t>
        </is>
      </c>
      <c r="C83" s="3" t="n">
        <v>5</v>
      </c>
      <c r="D83" s="3" t="inlineStr">
        <is>
          <t>PARTIAL</t>
        </is>
      </c>
      <c r="E83" s="7">
        <f>IF(B83="I1",AVERAGEIF('QA_Images'!$A$2:$A$63,A83,'QA_Images'!$T$2:$T$63)/100,IF(D83="FULL",1,IF(D83="PARTIAL",0.5,IF(D83="FAIL",0,""))))</f>
        <v/>
      </c>
      <c r="F83" s="7">
        <f>IF(E83="",0,C83*E83)</f>
        <v/>
      </c>
      <c r="G83" s="7">
        <f>IF(B83="I1",20*AVERAGEIF('QA_Images'!$A$2:$A$63,A83,'QA_Images'!$U$2:$U$63)/100,IF(D83="NOT_CHECKED",0,C83))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evidence_batch_017_168</t>
        </is>
      </c>
      <c r="J83" s="3" t="inlineStr">
        <is>
          <t>ISSUE-0066; ISSUE-0067; ISSUE-0068; ISSUE-0069</t>
        </is>
      </c>
    </row>
    <row r="84" ht="42" customHeight="1">
      <c r="A84" s="2" t="inlineStr">
        <is>
          <t>jeminise.com+pamnest-twin-halloween-comforter-set-with-sheets-5-pieces-design-05</t>
        </is>
      </c>
      <c r="B84" s="2" t="inlineStr">
        <is>
          <t>T1</t>
        </is>
      </c>
      <c r="C84" s="2" t="n">
        <v>10</v>
      </c>
      <c r="D84" s="2" t="inlineStr">
        <is>
          <t>PARTIAL</t>
        </is>
      </c>
      <c r="E84" s="5">
        <f>IF(B84="I1",AVERAGEIF('QA_Images'!$A$2:$A$63,A84,'QA_Images'!$T$2:$T$63)/100,IF(D84="FULL",1,IF(D84="PARTIAL",0.5,IF(D84="FAIL",0,""))))</f>
        <v/>
      </c>
      <c r="F84" s="5">
        <f>IF(E84="",0,C84*E84)</f>
        <v/>
      </c>
      <c r="G84" s="5">
        <f>IF(B84="I1",20*AVERAGEIF('QA_Images'!$A$2:$A$63,A84,'QA_Images'!$U$2:$U$63)/100,IF(D84="NOT_CHECKED",0,C84))</f>
        <v/>
      </c>
      <c r="H84" s="2" t="inlineStr">
        <is>
          <t>SEO title and H1 are relevant, specific and grounded in visible/source facts. Proposed H1 is blank, so the title/H1 pair cannot be fully verified.</t>
        </is>
      </c>
      <c r="I84" s="2" t="inlineStr">
        <is>
          <t>evidence_batch_017_168</t>
        </is>
      </c>
      <c r="J84" s="2" t="inlineStr">
        <is>
          <t>ISSUE-0066; ISSUE-0067; ISSUE-0068; ISSUE-0069</t>
        </is>
      </c>
    </row>
    <row r="85" ht="42" customHeight="1">
      <c r="A85" s="3" t="inlineStr">
        <is>
          <t>jeminise.com+pamnest-twin-halloween-comforter-set-with-sheets-5-pieces-design-05</t>
        </is>
      </c>
      <c r="B85" s="3" t="inlineStr">
        <is>
          <t>T2</t>
        </is>
      </c>
      <c r="C85" s="3" t="n">
        <v>5</v>
      </c>
      <c r="D85" s="3" t="inlineStr">
        <is>
          <t>PARTIAL</t>
        </is>
      </c>
      <c r="E85" s="7">
        <f>IF(B85="I1",AVERAGEIF('QA_Images'!$A$2:$A$63,A85,'QA_Images'!$T$2:$T$63)/100,IF(D85="FULL",1,IF(D85="PARTIAL",0.5,IF(D85="FAIL",0,""))))</f>
        <v/>
      </c>
      <c r="F85" s="7">
        <f>IF(E85="",0,C85*E85)</f>
        <v/>
      </c>
      <c r="G85" s="7">
        <f>IF(B85="I1",20*AVERAGEIF('QA_Images'!$A$2:$A$63,A85,'QA_Images'!$U$2:$U$63)/100,IF(D85="NOT_CHECKED",0,C85))</f>
        <v/>
      </c>
      <c r="H85" s="3" t="inlineStr">
        <is>
          <t>Meta description is concise, publish-ready and avoids unsupported claims. Meta description checked for length, specificity and supportable claims.</t>
        </is>
      </c>
      <c r="I85" s="3" t="inlineStr">
        <is>
          <t>evidence_batch_017_168</t>
        </is>
      </c>
      <c r="J85" s="3" t="inlineStr">
        <is>
          <t>ISSUE-0066; ISSUE-0067; ISSUE-0068; ISSUE-0069</t>
        </is>
      </c>
    </row>
    <row r="86" ht="42" customHeight="1">
      <c r="A86" s="2" t="inlineStr">
        <is>
          <t>jeminise.com+pamnest-twin-halloween-comforter-set-with-sheets-5-pieces-design-05</t>
        </is>
      </c>
      <c r="B86" s="2" t="inlineStr">
        <is>
          <t>D1</t>
        </is>
      </c>
      <c r="C86" s="2" t="n">
        <v>10</v>
      </c>
      <c r="D86" s="2" t="inlineStr">
        <is>
          <t>FAIL</t>
        </is>
      </c>
      <c r="E86" s="5">
        <f>IF(B86="I1",AVERAGEIF('QA_Images'!$A$2:$A$63,A86,'QA_Images'!$T$2:$T$63)/100,IF(D86="FULL",1,IF(D86="PARTIAL",0.5,IF(D86="FAIL",0,""))))</f>
        <v/>
      </c>
      <c r="F86" s="5">
        <f>IF(E86="",0,C86*E86)</f>
        <v/>
      </c>
      <c r="G86" s="5">
        <f>IF(B86="I1",20*AVERAGEIF('QA_Images'!$A$2:$A$63,A86,'QA_Images'!$U$2:$U$63)/100,IF(D86="NOT_CHECKED",0,C86))</f>
        <v/>
      </c>
      <c r="H86" s="2" t="inlineStr">
        <is>
          <t>Description HTML is publish-ready and free of internal draft/QA instructions. Description HTML still contains internal QA/import language.</t>
        </is>
      </c>
      <c r="I86" s="2" t="inlineStr">
        <is>
          <t>evidence_batch_017_168</t>
        </is>
      </c>
      <c r="J86" s="2" t="inlineStr">
        <is>
          <t>ISSUE-0066; ISSUE-0067; ISSUE-0068; ISSUE-0069</t>
        </is>
      </c>
    </row>
    <row r="87" ht="42" customHeight="1">
      <c r="A87" s="3" t="inlineStr">
        <is>
          <t>jeminise.com+pamnest-twin-halloween-comforter-set-with-sheets-5-pieces-design-05</t>
        </is>
      </c>
      <c r="B87" s="3" t="inlineStr">
        <is>
          <t>D2</t>
        </is>
      </c>
      <c r="C87" s="3" t="n">
        <v>5</v>
      </c>
      <c r="D87" s="3" t="inlineStr">
        <is>
          <t>PARTIAL</t>
        </is>
      </c>
      <c r="E87" s="7">
        <f>IF(B87="I1",AVERAGEIF('QA_Images'!$A$2:$A$63,A87,'QA_Images'!$T$2:$T$63)/100,IF(D87="FULL",1,IF(D87="PARTIAL",0.5,IF(D87="FAIL",0,""))))</f>
        <v/>
      </c>
      <c r="F87" s="7">
        <f>IF(E87="",0,C87*E87)</f>
        <v/>
      </c>
      <c r="G87" s="7">
        <f>IF(B87="I1",20*AVERAGEIF('QA_Images'!$A$2:$A$63,A87,'QA_Images'!$U$2:$U$63)/100,IF(D87="NOT_CHECKED",0,C87))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evidence_batch_017_168</t>
        </is>
      </c>
      <c r="J87" s="3" t="inlineStr">
        <is>
          <t>ISSUE-0066; ISSUE-0067; ISSUE-0068; ISSUE-0069</t>
        </is>
      </c>
    </row>
    <row r="88" ht="42" customHeight="1">
      <c r="A88" s="2" t="inlineStr">
        <is>
          <t>jeminise.com+pamnest-twin-halloween-comforter-set-with-sheets-5-pieces-design-05</t>
        </is>
      </c>
      <c r="B88" s="2" t="inlineStr">
        <is>
          <t>I1</t>
        </is>
      </c>
      <c r="C88" s="2" t="n">
        <v>20</v>
      </c>
      <c r="D88" s="2" t="inlineStr">
        <is>
          <t>FULL</t>
        </is>
      </c>
      <c r="E88" s="5">
        <f>IF(B88="I1",AVERAGEIF('QA_Images'!$A$2:$A$63,A88,'QA_Images'!$T$2:$T$63)/100,IF(D88="FULL",1,IF(D88="PARTIAL",0.5,IF(D88="FAIL",0,""))))</f>
        <v/>
      </c>
      <c r="F88" s="5">
        <f>IF(E88="",0,C88*E88)</f>
        <v/>
      </c>
      <c r="G88" s="5">
        <f>IF(B88="I1",20*AVERAGEIF('QA_Images'!$A$2:$A$63,A88,'QA_Images'!$U$2:$U$63)/100,IF(D88="NOT_CHECKED",0,C88))</f>
        <v/>
      </c>
      <c r="H88" s="2" t="inlineStr">
        <is>
          <t>Image coverage, image observations and alt text quality, derived from QA_Images. Derived from average image QA score; see QA_Images.</t>
        </is>
      </c>
      <c r="I88" s="2" t="inlineStr">
        <is>
          <t>evidence_batch_017_168</t>
        </is>
      </c>
      <c r="J88" s="2" t="inlineStr">
        <is>
          <t>ISSUE-0066; ISSUE-0067; ISSUE-0068; ISSUE-0069</t>
        </is>
      </c>
    </row>
    <row r="89" ht="42" customHeight="1">
      <c r="A89" s="3" t="inlineStr">
        <is>
          <t>jeminise.com+pamnest-twin-halloween-comforter-set-with-sheets-5-pieces-design-05</t>
        </is>
      </c>
      <c r="B89" s="3" t="inlineStr">
        <is>
          <t>E1</t>
        </is>
      </c>
      <c r="C89" s="3" t="n">
        <v>5</v>
      </c>
      <c r="D89" s="3" t="inlineStr">
        <is>
          <t>PARTIAL</t>
        </is>
      </c>
      <c r="E89" s="7">
        <f>IF(B89="I1",AVERAGEIF('QA_Images'!$A$2:$A$63,A89,'QA_Images'!$T$2:$T$63)/100,IF(D89="FULL",1,IF(D89="PARTIAL",0.5,IF(D89="FAIL",0,""))))</f>
        <v/>
      </c>
      <c r="F89" s="7">
        <f>IF(E89="",0,C89*E89)</f>
        <v/>
      </c>
      <c r="G89" s="7">
        <f>IF(B89="I1",20*AVERAGEIF('QA_Images'!$A$2:$A$63,A89,'QA_Images'!$U$2:$U$63)/100,IF(D89="NOT_CHECKED",0,C89))</f>
        <v/>
      </c>
      <c r="H89" s="3" t="inlineStr">
        <is>
          <t>Evidence chain is traceable and limitations are explicitly separated from failures. Evidence chain is traceable, with admin-export limitation explicitly separated.</t>
        </is>
      </c>
      <c r="I89" s="3" t="inlineStr">
        <is>
          <t>evidence_batch_017_168</t>
        </is>
      </c>
      <c r="J89" s="3" t="inlineStr">
        <is>
          <t>ISSUE-0066; ISSUE-0067; ISSUE-0068; ISSUE-0069</t>
        </is>
      </c>
    </row>
    <row r="90" ht="42" customHeight="1">
      <c r="A90" s="2" t="inlineStr">
        <is>
          <t>jeminise.com+pamnest-twin-halloween-comforter-set-with-sheets-5-pieces-design-06</t>
        </is>
      </c>
      <c r="B90" s="2" t="inlineStr">
        <is>
          <t>P1</t>
        </is>
      </c>
      <c r="C90" s="2" t="n">
        <v>15</v>
      </c>
      <c r="D90" s="2" t="inlineStr">
        <is>
          <t>FULL</t>
        </is>
      </c>
      <c r="E90" s="5">
        <f>IF(B90="I1",AVERAGEIF('QA_Images'!$A$2:$A$63,A90,'QA_Images'!$T$2:$T$63)/100,IF(D90="FULL",1,IF(D90="PARTIAL",0.5,IF(D90="FAIL",0,""))))</f>
        <v/>
      </c>
      <c r="F90" s="5">
        <f>IF(E90="",0,C90*E90)</f>
        <v/>
      </c>
      <c r="G90" s="5">
        <f>IF(B90="I1",20*AVERAGEIF('QA_Images'!$A$2:$A$63,A90,'QA_Images'!$U$2:$U$63)/100,IF(D90="NOT_CHECKED",0,C90))</f>
        <v/>
      </c>
      <c r="H90" s="2" t="inlineStr">
        <is>
          <t>Product identity, handle, product ID, URL and canonical match source/live evidence. Product key/handle/product ID/canonical checked against frozen workbook and live product evidence.</t>
        </is>
      </c>
      <c r="I90" s="2" t="inlineStr">
        <is>
          <t>evidence_batch_017_169</t>
        </is>
      </c>
      <c r="J90" s="2" t="inlineStr">
        <is>
          <t>ISSUE-0075; ISSUE-0076; ISSUE-0077; ISSUE-0078</t>
        </is>
      </c>
    </row>
    <row r="91" ht="42" customHeight="1">
      <c r="A91" s="3" t="inlineStr">
        <is>
          <t>jeminise.com+pamnest-twin-halloween-comforter-set-with-sheets-5-pieces-design-06</t>
        </is>
      </c>
      <c r="B91" s="3" t="inlineStr">
        <is>
          <t>P2</t>
        </is>
      </c>
      <c r="C91" s="3" t="n">
        <v>10</v>
      </c>
      <c r="D91" s="3" t="inlineStr">
        <is>
          <t>PARTIAL</t>
        </is>
      </c>
      <c r="E91" s="7">
        <f>IF(B91="I1",AVERAGEIF('QA_Images'!$A$2:$A$63,A91,'QA_Images'!$T$2:$T$63)/100,IF(D91="FULL",1,IF(D91="PARTIAL",0.5,IF(D91="FAIL",0,""))))</f>
        <v/>
      </c>
      <c r="F91" s="7">
        <f>IF(E91="",0,C91*E91)</f>
        <v/>
      </c>
      <c r="G91" s="7">
        <f>IF(B91="I1",20*AVERAGEIF('QA_Images'!$A$2:$A$63,A91,'QA_Images'!$U$2:$U$63)/100,IF(D91="NOT_CHECKED",0,C91))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evidence_batch_017_169</t>
        </is>
      </c>
      <c r="J91" s="3" t="inlineStr">
        <is>
          <t>ISSUE-0075; ISSUE-0076; ISSUE-0077; ISSUE-0078</t>
        </is>
      </c>
    </row>
    <row r="92" ht="42" customHeight="1">
      <c r="A92" s="2" t="inlineStr">
        <is>
          <t>jeminise.com+pamnest-twin-halloween-comforter-set-with-sheets-5-pieces-design-06</t>
        </is>
      </c>
      <c r="B92" s="2" t="inlineStr">
        <is>
          <t>K1</t>
        </is>
      </c>
      <c r="C92" s="2" t="n">
        <v>10</v>
      </c>
      <c r="D92" s="2" t="inlineStr">
        <is>
          <t>PARTIAL</t>
        </is>
      </c>
      <c r="E92" s="5">
        <f>IF(B92="I1",AVERAGEIF('QA_Images'!$A$2:$A$63,A92,'QA_Images'!$T$2:$T$63)/100,IF(D92="FULL",1,IF(D92="PARTIAL",0.5,IF(D92="FAIL",0,""))))</f>
        <v/>
      </c>
      <c r="F92" s="5">
        <f>IF(E92="",0,C92*E92)</f>
        <v/>
      </c>
      <c r="G92" s="5">
        <f>IF(B92="I1",20*AVERAGEIF('QA_Images'!$A$2:$A$63,A92,'QA_Images'!$U$2:$U$63)/100,IF(D92="NOT_CHECKED",0,C92))</f>
        <v/>
      </c>
      <c r="H92" s="2" t="inlineStr">
        <is>
          <t>Primary keyword aligns with product-level US purchase intent. Primary keyword rechecked against US product-level SERP comparables.</t>
        </is>
      </c>
      <c r="I92" s="2" t="inlineStr">
        <is>
          <t>evidence_batch_017_169</t>
        </is>
      </c>
      <c r="J92" s="2" t="inlineStr">
        <is>
          <t>ISSUE-0075; ISSUE-0076; ISSUE-0077; ISSUE-0078</t>
        </is>
      </c>
    </row>
    <row r="93" ht="42" customHeight="1">
      <c r="A93" s="3" t="inlineStr">
        <is>
          <t>jeminise.com+pamnest-twin-halloween-comforter-set-with-sheets-5-pieces-design-06</t>
        </is>
      </c>
      <c r="B93" s="3" t="inlineStr">
        <is>
          <t>K2</t>
        </is>
      </c>
      <c r="C93" s="3" t="n">
        <v>5</v>
      </c>
      <c r="D93" s="3" t="inlineStr">
        <is>
          <t>PARTIAL</t>
        </is>
      </c>
      <c r="E93" s="7">
        <f>IF(B93="I1",AVERAGEIF('QA_Images'!$A$2:$A$63,A93,'QA_Images'!$T$2:$T$63)/100,IF(D93="FULL",1,IF(D93="PARTIAL",0.5,IF(D93="FAIL",0,""))))</f>
        <v/>
      </c>
      <c r="F93" s="7">
        <f>IF(E93="",0,C93*E93)</f>
        <v/>
      </c>
      <c r="G93" s="7">
        <f>IF(B93="I1",20*AVERAGEIF('QA_Images'!$A$2:$A$63,A93,'QA_Images'!$U$2:$U$63)/100,IF(D93="NOT_CHECKED",0,C93))</f>
        <v/>
      </c>
      <c r="H93" s="3" t="inlineStr">
        <is>
          <t>Intent/cannibalization check distinguishes nearby products. Nearby product cluster has overlap risk, so intent distinction remains only partial.</t>
        </is>
      </c>
      <c r="I93" s="3" t="inlineStr">
        <is>
          <t>evidence_batch_017_169</t>
        </is>
      </c>
      <c r="J93" s="3" t="inlineStr">
        <is>
          <t>ISSUE-0075; ISSUE-0076; ISSUE-0077; ISSUE-0078</t>
        </is>
      </c>
    </row>
    <row r="94" ht="42" customHeight="1">
      <c r="A94" s="2" t="inlineStr">
        <is>
          <t>jeminise.com+pamnest-twin-halloween-comforter-set-with-sheets-5-pieces-design-06</t>
        </is>
      </c>
      <c r="B94" s="2" t="inlineStr">
        <is>
          <t>K3</t>
        </is>
      </c>
      <c r="C94" s="2" t="n">
        <v>5</v>
      </c>
      <c r="D94" s="2" t="inlineStr">
        <is>
          <t>PARTIAL</t>
        </is>
      </c>
      <c r="E94" s="5">
        <f>IF(B94="I1",AVERAGEIF('QA_Images'!$A$2:$A$63,A94,'QA_Images'!$T$2:$T$63)/100,IF(D94="FULL",1,IF(D94="PARTIAL",0.5,IF(D94="FAIL",0,""))))</f>
        <v/>
      </c>
      <c r="F94" s="5">
        <f>IF(E94="",0,C94*E94)</f>
        <v/>
      </c>
      <c r="G94" s="5">
        <f>IF(B94="I1",20*AVERAGEIF('QA_Images'!$A$2:$A$63,A94,'QA_Images'!$U$2:$U$63)/100,IF(D94="NOT_CHECKED",0,C94))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evidence_batch_017_169</t>
        </is>
      </c>
      <c r="J94" s="2" t="inlineStr">
        <is>
          <t>ISSUE-0075; ISSUE-0076; ISSUE-0077; ISSUE-0078</t>
        </is>
      </c>
    </row>
    <row r="95" ht="42" customHeight="1">
      <c r="A95" s="3" t="inlineStr">
        <is>
          <t>jeminise.com+pamnest-twin-halloween-comforter-set-with-sheets-5-pieces-design-06</t>
        </is>
      </c>
      <c r="B95" s="3" t="inlineStr">
        <is>
          <t>T1</t>
        </is>
      </c>
      <c r="C95" s="3" t="n">
        <v>10</v>
      </c>
      <c r="D95" s="3" t="inlineStr">
        <is>
          <t>PARTIAL</t>
        </is>
      </c>
      <c r="E95" s="7">
        <f>IF(B95="I1",AVERAGEIF('QA_Images'!$A$2:$A$63,A95,'QA_Images'!$T$2:$T$63)/100,IF(D95="FULL",1,IF(D95="PARTIAL",0.5,IF(D95="FAIL",0,""))))</f>
        <v/>
      </c>
      <c r="F95" s="7">
        <f>IF(E95="",0,C95*E95)</f>
        <v/>
      </c>
      <c r="G95" s="7">
        <f>IF(B95="I1",20*AVERAGEIF('QA_Images'!$A$2:$A$63,A95,'QA_Images'!$U$2:$U$63)/100,IF(D95="NOT_CHECKED",0,C95))</f>
        <v/>
      </c>
      <c r="H95" s="3" t="inlineStr">
        <is>
          <t>SEO title and H1 are relevant, specific and grounded in visible/source facts. Proposed H1 is blank, so the title/H1 pair cannot be fully verified.</t>
        </is>
      </c>
      <c r="I95" s="3" t="inlineStr">
        <is>
          <t>evidence_batch_017_169</t>
        </is>
      </c>
      <c r="J95" s="3" t="inlineStr">
        <is>
          <t>ISSUE-0075; ISSUE-0076; ISSUE-0077; ISSUE-0078</t>
        </is>
      </c>
    </row>
    <row r="96" ht="42" customHeight="1">
      <c r="A96" s="2" t="inlineStr">
        <is>
          <t>jeminise.com+pamnest-twin-halloween-comforter-set-with-sheets-5-pieces-design-06</t>
        </is>
      </c>
      <c r="B96" s="2" t="inlineStr">
        <is>
          <t>T2</t>
        </is>
      </c>
      <c r="C96" s="2" t="n">
        <v>5</v>
      </c>
      <c r="D96" s="2" t="inlineStr">
        <is>
          <t>PARTIAL</t>
        </is>
      </c>
      <c r="E96" s="5">
        <f>IF(B96="I1",AVERAGEIF('QA_Images'!$A$2:$A$63,A96,'QA_Images'!$T$2:$T$63)/100,IF(D96="FULL",1,IF(D96="PARTIAL",0.5,IF(D96="FAIL",0,""))))</f>
        <v/>
      </c>
      <c r="F96" s="5">
        <f>IF(E96="",0,C96*E96)</f>
        <v/>
      </c>
      <c r="G96" s="5">
        <f>IF(B96="I1",20*AVERAGEIF('QA_Images'!$A$2:$A$63,A96,'QA_Images'!$U$2:$U$63)/100,IF(D96="NOT_CHECKED",0,C96))</f>
        <v/>
      </c>
      <c r="H96" s="2" t="inlineStr">
        <is>
          <t>Meta description is concise, publish-ready and avoids unsupported claims. Meta description checked for length, specificity and supportable claims.</t>
        </is>
      </c>
      <c r="I96" s="2" t="inlineStr">
        <is>
          <t>evidence_batch_017_169</t>
        </is>
      </c>
      <c r="J96" s="2" t="inlineStr">
        <is>
          <t>ISSUE-0075; ISSUE-0076; ISSUE-0077; ISSUE-0078</t>
        </is>
      </c>
    </row>
    <row r="97" ht="42" customHeight="1">
      <c r="A97" s="3" t="inlineStr">
        <is>
          <t>jeminise.com+pamnest-twin-halloween-comforter-set-with-sheets-5-pieces-design-06</t>
        </is>
      </c>
      <c r="B97" s="3" t="inlineStr">
        <is>
          <t>D1</t>
        </is>
      </c>
      <c r="C97" s="3" t="n">
        <v>10</v>
      </c>
      <c r="D97" s="3" t="inlineStr">
        <is>
          <t>FAIL</t>
        </is>
      </c>
      <c r="E97" s="7">
        <f>IF(B97="I1",AVERAGEIF('QA_Images'!$A$2:$A$63,A97,'QA_Images'!$T$2:$T$63)/100,IF(D97="FULL",1,IF(D97="PARTIAL",0.5,IF(D97="FAIL",0,""))))</f>
        <v/>
      </c>
      <c r="F97" s="7">
        <f>IF(E97="",0,C97*E97)</f>
        <v/>
      </c>
      <c r="G97" s="7">
        <f>IF(B97="I1",20*AVERAGEIF('QA_Images'!$A$2:$A$63,A97,'QA_Images'!$U$2:$U$63)/100,IF(D97="NOT_CHECKED",0,C97))</f>
        <v/>
      </c>
      <c r="H97" s="3" t="inlineStr">
        <is>
          <t>Description HTML is publish-ready and free of internal draft/QA instructions. Description HTML still contains internal QA/import language.</t>
        </is>
      </c>
      <c r="I97" s="3" t="inlineStr">
        <is>
          <t>evidence_batch_017_169</t>
        </is>
      </c>
      <c r="J97" s="3" t="inlineStr">
        <is>
          <t>ISSUE-0075; ISSUE-0076; ISSUE-0077; ISSUE-0078</t>
        </is>
      </c>
    </row>
    <row r="98" ht="42" customHeight="1">
      <c r="A98" s="2" t="inlineStr">
        <is>
          <t>jeminise.com+pamnest-twin-halloween-comforter-set-with-sheets-5-pieces-design-06</t>
        </is>
      </c>
      <c r="B98" s="2" t="inlineStr">
        <is>
          <t>D2</t>
        </is>
      </c>
      <c r="C98" s="2" t="n">
        <v>5</v>
      </c>
      <c r="D98" s="2" t="inlineStr">
        <is>
          <t>PARTIAL</t>
        </is>
      </c>
      <c r="E98" s="5">
        <f>IF(B98="I1",AVERAGEIF('QA_Images'!$A$2:$A$63,A98,'QA_Images'!$T$2:$T$63)/100,IF(D98="FULL",1,IF(D98="PARTIAL",0.5,IF(D98="FAIL",0,""))))</f>
        <v/>
      </c>
      <c r="F98" s="5">
        <f>IF(E98="",0,C98*E98)</f>
        <v/>
      </c>
      <c r="G98" s="5">
        <f>IF(B98="I1",20*AVERAGEIF('QA_Images'!$A$2:$A$63,A98,'QA_Images'!$U$2:$U$63)/100,IF(D98="NOT_CHECKED",0,C98))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evidence_batch_017_169</t>
        </is>
      </c>
      <c r="J98" s="2" t="inlineStr">
        <is>
          <t>ISSUE-0075; ISSUE-0076; ISSUE-0077; ISSUE-0078</t>
        </is>
      </c>
    </row>
    <row r="99" ht="42" customHeight="1">
      <c r="A99" s="3" t="inlineStr">
        <is>
          <t>jeminise.com+pamnest-twin-halloween-comforter-set-with-sheets-5-pieces-design-06</t>
        </is>
      </c>
      <c r="B99" s="3" t="inlineStr">
        <is>
          <t>I1</t>
        </is>
      </c>
      <c r="C99" s="3" t="n">
        <v>20</v>
      </c>
      <c r="D99" s="3" t="inlineStr">
        <is>
          <t>FULL</t>
        </is>
      </c>
      <c r="E99" s="7">
        <f>IF(B99="I1",AVERAGEIF('QA_Images'!$A$2:$A$63,A99,'QA_Images'!$T$2:$T$63)/100,IF(D99="FULL",1,IF(D99="PARTIAL",0.5,IF(D99="FAIL",0,""))))</f>
        <v/>
      </c>
      <c r="F99" s="7">
        <f>IF(E99="",0,C99*E99)</f>
        <v/>
      </c>
      <c r="G99" s="7">
        <f>IF(B99="I1",20*AVERAGEIF('QA_Images'!$A$2:$A$63,A99,'QA_Images'!$U$2:$U$63)/100,IF(D99="NOT_CHECKED",0,C99))</f>
        <v/>
      </c>
      <c r="H99" s="3" t="inlineStr">
        <is>
          <t>Image coverage, image observations and alt text quality, derived from QA_Images. Derived from average image QA score; see QA_Images.</t>
        </is>
      </c>
      <c r="I99" s="3" t="inlineStr">
        <is>
          <t>evidence_batch_017_169</t>
        </is>
      </c>
      <c r="J99" s="3" t="inlineStr">
        <is>
          <t>ISSUE-0075; ISSUE-0076; ISSUE-0077; ISSUE-0078</t>
        </is>
      </c>
    </row>
    <row r="100" ht="42" customHeight="1">
      <c r="A100" s="2" t="inlineStr">
        <is>
          <t>jeminise.com+pamnest-twin-halloween-comforter-set-with-sheets-5-pieces-design-06</t>
        </is>
      </c>
      <c r="B100" s="2" t="inlineStr">
        <is>
          <t>E1</t>
        </is>
      </c>
      <c r="C100" s="2" t="n">
        <v>5</v>
      </c>
      <c r="D100" s="2" t="inlineStr">
        <is>
          <t>PARTIAL</t>
        </is>
      </c>
      <c r="E100" s="5">
        <f>IF(B100="I1",AVERAGEIF('QA_Images'!$A$2:$A$63,A100,'QA_Images'!$T$2:$T$63)/100,IF(D100="FULL",1,IF(D100="PARTIAL",0.5,IF(D100="FAIL",0,""))))</f>
        <v/>
      </c>
      <c r="F100" s="5">
        <f>IF(E100="",0,C100*E100)</f>
        <v/>
      </c>
      <c r="G100" s="5">
        <f>IF(B100="I1",20*AVERAGEIF('QA_Images'!$A$2:$A$63,A100,'QA_Images'!$U$2:$U$63)/100,IF(D100="NOT_CHECKED",0,C100))</f>
        <v/>
      </c>
      <c r="H100" s="2" t="inlineStr">
        <is>
          <t>Evidence chain is traceable and limitations are explicitly separated from failures. Evidence chain is traceable, with admin-export limitation explicitly separated.</t>
        </is>
      </c>
      <c r="I100" s="2" t="inlineStr">
        <is>
          <t>evidence_batch_017_169</t>
        </is>
      </c>
      <c r="J100" s="2" t="inlineStr">
        <is>
          <t>ISSUE-0075; ISSUE-0076; ISSUE-0077; ISSUE-0078</t>
        </is>
      </c>
    </row>
    <row r="101" ht="42" customHeight="1">
      <c r="A101" s="3" t="inlineStr">
        <is>
          <t>jeminise.com+pamnest-twin-halloween-comforter-set-with-sheets-5-pieces-design-07</t>
        </is>
      </c>
      <c r="B101" s="3" t="inlineStr">
        <is>
          <t>P1</t>
        </is>
      </c>
      <c r="C101" s="3" t="n">
        <v>15</v>
      </c>
      <c r="D101" s="3" t="inlineStr">
        <is>
          <t>FULL</t>
        </is>
      </c>
      <c r="E101" s="7">
        <f>IF(B101="I1",AVERAGEIF('QA_Images'!$A$2:$A$63,A101,'QA_Images'!$T$2:$T$63)/100,IF(D101="FULL",1,IF(D101="PARTIAL",0.5,IF(D101="FAIL",0,""))))</f>
        <v/>
      </c>
      <c r="F101" s="7">
        <f>IF(E101="",0,C101*E101)</f>
        <v/>
      </c>
      <c r="G101" s="7">
        <f>IF(B101="I1",20*AVERAGEIF('QA_Images'!$A$2:$A$63,A101,'QA_Images'!$U$2:$U$63)/100,IF(D101="NOT_CHECKED",0,C101))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evidence_batch_017_170</t>
        </is>
      </c>
      <c r="J101" s="3" t="inlineStr">
        <is>
          <t>ISSUE-0084; ISSUE-0085; ISSUE-0086; ISSUE-0087</t>
        </is>
      </c>
    </row>
    <row r="102" ht="42" customHeight="1">
      <c r="A102" s="2" t="inlineStr">
        <is>
          <t>jeminise.com+pamnest-twin-halloween-comforter-set-with-sheets-5-pieces-design-07</t>
        </is>
      </c>
      <c r="B102" s="2" t="inlineStr">
        <is>
          <t>P2</t>
        </is>
      </c>
      <c r="C102" s="2" t="n">
        <v>10</v>
      </c>
      <c r="D102" s="2" t="inlineStr">
        <is>
          <t>PARTIAL</t>
        </is>
      </c>
      <c r="E102" s="5">
        <f>IF(B102="I1",AVERAGEIF('QA_Images'!$A$2:$A$63,A102,'QA_Images'!$T$2:$T$63)/100,IF(D102="FULL",1,IF(D102="PARTIAL",0.5,IF(D102="FAIL",0,""))))</f>
        <v/>
      </c>
      <c r="F102" s="5">
        <f>IF(E102="",0,C102*E102)</f>
        <v/>
      </c>
      <c r="G102" s="5">
        <f>IF(B102="I1",20*AVERAGEIF('QA_Images'!$A$2:$A$63,A102,'QA_Images'!$U$2:$U$63)/100,IF(D102="NOT_CHECKED",0,C102))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evidence_batch_017_170</t>
        </is>
      </c>
      <c r="J102" s="2" t="inlineStr">
        <is>
          <t>ISSUE-0084; ISSUE-0085; ISSUE-0086; ISSUE-0087</t>
        </is>
      </c>
    </row>
    <row r="103" ht="42" customHeight="1">
      <c r="A103" s="3" t="inlineStr">
        <is>
          <t>jeminise.com+pamnest-twin-halloween-comforter-set-with-sheets-5-pieces-design-07</t>
        </is>
      </c>
      <c r="B103" s="3" t="inlineStr">
        <is>
          <t>K1</t>
        </is>
      </c>
      <c r="C103" s="3" t="n">
        <v>10</v>
      </c>
      <c r="D103" s="3" t="inlineStr">
        <is>
          <t>PARTIAL</t>
        </is>
      </c>
      <c r="E103" s="7">
        <f>IF(B103="I1",AVERAGEIF('QA_Images'!$A$2:$A$63,A103,'QA_Images'!$T$2:$T$63)/100,IF(D103="FULL",1,IF(D103="PARTIAL",0.5,IF(D103="FAIL",0,""))))</f>
        <v/>
      </c>
      <c r="F103" s="7">
        <f>IF(E103="",0,C103*E103)</f>
        <v/>
      </c>
      <c r="G103" s="7">
        <f>IF(B103="I1",20*AVERAGEIF('QA_Images'!$A$2:$A$63,A103,'QA_Images'!$U$2:$U$63)/100,IF(D103="NOT_CHECKED",0,C103))</f>
        <v/>
      </c>
      <c r="H103" s="3" t="inlineStr">
        <is>
          <t>Primary keyword aligns with product-level US purchase intent. Primary keyword rechecked against US product-level SERP comparables.</t>
        </is>
      </c>
      <c r="I103" s="3" t="inlineStr">
        <is>
          <t>evidence_batch_017_170</t>
        </is>
      </c>
      <c r="J103" s="3" t="inlineStr">
        <is>
          <t>ISSUE-0084; ISSUE-0085; ISSUE-0086; ISSUE-0087</t>
        </is>
      </c>
    </row>
    <row r="104" ht="42" customHeight="1">
      <c r="A104" s="2" t="inlineStr">
        <is>
          <t>jeminise.com+pamnest-twin-halloween-comforter-set-with-sheets-5-pieces-design-07</t>
        </is>
      </c>
      <c r="B104" s="2" t="inlineStr">
        <is>
          <t>K2</t>
        </is>
      </c>
      <c r="C104" s="2" t="n">
        <v>5</v>
      </c>
      <c r="D104" s="2" t="inlineStr">
        <is>
          <t>PARTIAL</t>
        </is>
      </c>
      <c r="E104" s="5">
        <f>IF(B104="I1",AVERAGEIF('QA_Images'!$A$2:$A$63,A104,'QA_Images'!$T$2:$T$63)/100,IF(D104="FULL",1,IF(D104="PARTIAL",0.5,IF(D104="FAIL",0,""))))</f>
        <v/>
      </c>
      <c r="F104" s="5">
        <f>IF(E104="",0,C104*E104)</f>
        <v/>
      </c>
      <c r="G104" s="5">
        <f>IF(B104="I1",20*AVERAGEIF('QA_Images'!$A$2:$A$63,A104,'QA_Images'!$U$2:$U$63)/100,IF(D104="NOT_CHECKED",0,C104))</f>
        <v/>
      </c>
      <c r="H104" s="2" t="inlineStr">
        <is>
          <t>Intent/cannibalization check distinguishes nearby products. Nearby product cluster has overlap risk, so intent distinction remains only partial.</t>
        </is>
      </c>
      <c r="I104" s="2" t="inlineStr">
        <is>
          <t>evidence_batch_017_170</t>
        </is>
      </c>
      <c r="J104" s="2" t="inlineStr">
        <is>
          <t>ISSUE-0084; ISSUE-0085; ISSUE-0086; ISSUE-0087</t>
        </is>
      </c>
    </row>
    <row r="105" ht="42" customHeight="1">
      <c r="A105" s="3" t="inlineStr">
        <is>
          <t>jeminise.com+pamnest-twin-halloween-comforter-set-with-sheets-5-pieces-design-07</t>
        </is>
      </c>
      <c r="B105" s="3" t="inlineStr">
        <is>
          <t>K3</t>
        </is>
      </c>
      <c r="C105" s="3" t="n">
        <v>5</v>
      </c>
      <c r="D105" s="3" t="inlineStr">
        <is>
          <t>PARTIAL</t>
        </is>
      </c>
      <c r="E105" s="7">
        <f>IF(B105="I1",AVERAGEIF('QA_Images'!$A$2:$A$63,A105,'QA_Images'!$T$2:$T$63)/100,IF(D105="FULL",1,IF(D105="PARTIAL",0.5,IF(D105="FAIL",0,""))))</f>
        <v/>
      </c>
      <c r="F105" s="7">
        <f>IF(E105="",0,C105*E105)</f>
        <v/>
      </c>
      <c r="G105" s="7">
        <f>IF(B105="I1",20*AVERAGEIF('QA_Images'!$A$2:$A$63,A105,'QA_Images'!$U$2:$U$63)/100,IF(D105="NOT_CHECKED",0,C105))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evidence_batch_017_170</t>
        </is>
      </c>
      <c r="J105" s="3" t="inlineStr">
        <is>
          <t>ISSUE-0084; ISSUE-0085; ISSUE-0086; ISSUE-0087</t>
        </is>
      </c>
    </row>
    <row r="106" ht="42" customHeight="1">
      <c r="A106" s="2" t="inlineStr">
        <is>
          <t>jeminise.com+pamnest-twin-halloween-comforter-set-with-sheets-5-pieces-design-07</t>
        </is>
      </c>
      <c r="B106" s="2" t="inlineStr">
        <is>
          <t>T1</t>
        </is>
      </c>
      <c r="C106" s="2" t="n">
        <v>10</v>
      </c>
      <c r="D106" s="2" t="inlineStr">
        <is>
          <t>PARTIAL</t>
        </is>
      </c>
      <c r="E106" s="5">
        <f>IF(B106="I1",AVERAGEIF('QA_Images'!$A$2:$A$63,A106,'QA_Images'!$T$2:$T$63)/100,IF(D106="FULL",1,IF(D106="PARTIAL",0.5,IF(D106="FAIL",0,""))))</f>
        <v/>
      </c>
      <c r="F106" s="5">
        <f>IF(E106="",0,C106*E106)</f>
        <v/>
      </c>
      <c r="G106" s="5">
        <f>IF(B106="I1",20*AVERAGEIF('QA_Images'!$A$2:$A$63,A106,'QA_Images'!$U$2:$U$63)/100,IF(D106="NOT_CHECKED",0,C106))</f>
        <v/>
      </c>
      <c r="H106" s="2" t="inlineStr">
        <is>
          <t>SEO title and H1 are relevant, specific and grounded in visible/source facts. Proposed H1 is blank, so the title/H1 pair cannot be fully verified.</t>
        </is>
      </c>
      <c r="I106" s="2" t="inlineStr">
        <is>
          <t>evidence_batch_017_170</t>
        </is>
      </c>
      <c r="J106" s="2" t="inlineStr">
        <is>
          <t>ISSUE-0084; ISSUE-0085; ISSUE-0086; ISSUE-0087</t>
        </is>
      </c>
    </row>
    <row r="107" ht="42" customHeight="1">
      <c r="A107" s="3" t="inlineStr">
        <is>
          <t>jeminise.com+pamnest-twin-halloween-comforter-set-with-sheets-5-pieces-design-07</t>
        </is>
      </c>
      <c r="B107" s="3" t="inlineStr">
        <is>
          <t>T2</t>
        </is>
      </c>
      <c r="C107" s="3" t="n">
        <v>5</v>
      </c>
      <c r="D107" s="3" t="inlineStr">
        <is>
          <t>PARTIAL</t>
        </is>
      </c>
      <c r="E107" s="7">
        <f>IF(B107="I1",AVERAGEIF('QA_Images'!$A$2:$A$63,A107,'QA_Images'!$T$2:$T$63)/100,IF(D107="FULL",1,IF(D107="PARTIAL",0.5,IF(D107="FAIL",0,""))))</f>
        <v/>
      </c>
      <c r="F107" s="7">
        <f>IF(E107="",0,C107*E107)</f>
        <v/>
      </c>
      <c r="G107" s="7">
        <f>IF(B107="I1",20*AVERAGEIF('QA_Images'!$A$2:$A$63,A107,'QA_Images'!$U$2:$U$63)/100,IF(D107="NOT_CHECKED",0,C107))</f>
        <v/>
      </c>
      <c r="H107" s="3" t="inlineStr">
        <is>
          <t>Meta description is concise, publish-ready and avoids unsupported claims. Meta description checked for length, specificity and supportable claims.</t>
        </is>
      </c>
      <c r="I107" s="3" t="inlineStr">
        <is>
          <t>evidence_batch_017_170</t>
        </is>
      </c>
      <c r="J107" s="3" t="inlineStr">
        <is>
          <t>ISSUE-0084; ISSUE-0085; ISSUE-0086; ISSUE-0087</t>
        </is>
      </c>
    </row>
    <row r="108" ht="42" customHeight="1">
      <c r="A108" s="2" t="inlineStr">
        <is>
          <t>jeminise.com+pamnest-twin-halloween-comforter-set-with-sheets-5-pieces-design-07</t>
        </is>
      </c>
      <c r="B108" s="2" t="inlineStr">
        <is>
          <t>D1</t>
        </is>
      </c>
      <c r="C108" s="2" t="n">
        <v>10</v>
      </c>
      <c r="D108" s="2" t="inlineStr">
        <is>
          <t>FAIL</t>
        </is>
      </c>
      <c r="E108" s="5">
        <f>IF(B108="I1",AVERAGEIF('QA_Images'!$A$2:$A$63,A108,'QA_Images'!$T$2:$T$63)/100,IF(D108="FULL",1,IF(D108="PARTIAL",0.5,IF(D108="FAIL",0,""))))</f>
        <v/>
      </c>
      <c r="F108" s="5">
        <f>IF(E108="",0,C108*E108)</f>
        <v/>
      </c>
      <c r="G108" s="5">
        <f>IF(B108="I1",20*AVERAGEIF('QA_Images'!$A$2:$A$63,A108,'QA_Images'!$U$2:$U$63)/100,IF(D108="NOT_CHECKED",0,C108))</f>
        <v/>
      </c>
      <c r="H108" s="2" t="inlineStr">
        <is>
          <t>Description HTML is publish-ready and free of internal draft/QA instructions. Description HTML still contains internal QA/import language.</t>
        </is>
      </c>
      <c r="I108" s="2" t="inlineStr">
        <is>
          <t>evidence_batch_017_170</t>
        </is>
      </c>
      <c r="J108" s="2" t="inlineStr">
        <is>
          <t>ISSUE-0084; ISSUE-0085; ISSUE-0086; ISSUE-0087</t>
        </is>
      </c>
    </row>
    <row r="109" ht="42" customHeight="1">
      <c r="A109" s="3" t="inlineStr">
        <is>
          <t>jeminise.com+pamnest-twin-halloween-comforter-set-with-sheets-5-pieces-design-07</t>
        </is>
      </c>
      <c r="B109" s="3" t="inlineStr">
        <is>
          <t>D2</t>
        </is>
      </c>
      <c r="C109" s="3" t="n">
        <v>5</v>
      </c>
      <c r="D109" s="3" t="inlineStr">
        <is>
          <t>PARTIAL</t>
        </is>
      </c>
      <c r="E109" s="7">
        <f>IF(B109="I1",AVERAGEIF('QA_Images'!$A$2:$A$63,A109,'QA_Images'!$T$2:$T$63)/100,IF(D109="FULL",1,IF(D109="PARTIAL",0.5,IF(D109="FAIL",0,""))))</f>
        <v/>
      </c>
      <c r="F109" s="7">
        <f>IF(E109="",0,C109*E109)</f>
        <v/>
      </c>
      <c r="G109" s="7">
        <f>IF(B109="I1",20*AVERAGEIF('QA_Images'!$A$2:$A$63,A109,'QA_Images'!$U$2:$U$63)/100,IF(D109="NOT_CHECKED",0,C109))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evidence_batch_017_170</t>
        </is>
      </c>
      <c r="J109" s="3" t="inlineStr">
        <is>
          <t>ISSUE-0084; ISSUE-0085; ISSUE-0086; ISSUE-0087</t>
        </is>
      </c>
    </row>
    <row r="110" ht="42" customHeight="1">
      <c r="A110" s="2" t="inlineStr">
        <is>
          <t>jeminise.com+pamnest-twin-halloween-comforter-set-with-sheets-5-pieces-design-07</t>
        </is>
      </c>
      <c r="B110" s="2" t="inlineStr">
        <is>
          <t>I1</t>
        </is>
      </c>
      <c r="C110" s="2" t="n">
        <v>20</v>
      </c>
      <c r="D110" s="2" t="inlineStr">
        <is>
          <t>FULL</t>
        </is>
      </c>
      <c r="E110" s="5">
        <f>IF(B110="I1",AVERAGEIF('QA_Images'!$A$2:$A$63,A110,'QA_Images'!$T$2:$T$63)/100,IF(D110="FULL",1,IF(D110="PARTIAL",0.5,IF(D110="FAIL",0,""))))</f>
        <v/>
      </c>
      <c r="F110" s="5">
        <f>IF(E110="",0,C110*E110)</f>
        <v/>
      </c>
      <c r="G110" s="5">
        <f>IF(B110="I1",20*AVERAGEIF('QA_Images'!$A$2:$A$63,A110,'QA_Images'!$U$2:$U$63)/100,IF(D110="NOT_CHECKED",0,C110))</f>
        <v/>
      </c>
      <c r="H110" s="2" t="inlineStr">
        <is>
          <t>Image coverage, image observations and alt text quality, derived from QA_Images. Derived from average image QA score; see QA_Images.</t>
        </is>
      </c>
      <c r="I110" s="2" t="inlineStr">
        <is>
          <t>evidence_batch_017_170</t>
        </is>
      </c>
      <c r="J110" s="2" t="inlineStr">
        <is>
          <t>ISSUE-0084; ISSUE-0085; ISSUE-0086; ISSUE-0087</t>
        </is>
      </c>
    </row>
    <row r="111" ht="42" customHeight="1">
      <c r="A111" s="3" t="inlineStr">
        <is>
          <t>jeminise.com+pamnest-twin-halloween-comforter-set-with-sheets-5-pieces-design-07</t>
        </is>
      </c>
      <c r="B111" s="3" t="inlineStr">
        <is>
          <t>E1</t>
        </is>
      </c>
      <c r="C111" s="3" t="n">
        <v>5</v>
      </c>
      <c r="D111" s="3" t="inlineStr">
        <is>
          <t>PARTIAL</t>
        </is>
      </c>
      <c r="E111" s="7">
        <f>IF(B111="I1",AVERAGEIF('QA_Images'!$A$2:$A$63,A111,'QA_Images'!$T$2:$T$63)/100,IF(D111="FULL",1,IF(D111="PARTIAL",0.5,IF(D111="FAIL",0,""))))</f>
        <v/>
      </c>
      <c r="F111" s="7">
        <f>IF(E111="",0,C111*E111)</f>
        <v/>
      </c>
      <c r="G111" s="7">
        <f>IF(B111="I1",20*AVERAGEIF('QA_Images'!$A$2:$A$63,A111,'QA_Images'!$U$2:$U$63)/100,IF(D111="NOT_CHECKED",0,C111))</f>
        <v/>
      </c>
      <c r="H111" s="3" t="inlineStr">
        <is>
          <t>Evidence chain is traceable and limitations are explicitly separated from failures. Evidence chain is traceable, with admin-export limitation explicitly separated.</t>
        </is>
      </c>
      <c r="I111" s="3" t="inlineStr">
        <is>
          <t>evidence_batch_017_170</t>
        </is>
      </c>
      <c r="J111" s="3" t="inlineStr">
        <is>
          <t>ISSUE-0084; ISSUE-0085; ISSUE-0086; ISSUE-0087</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24"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jeminise.com+norse-mythology-raven-within-celtic-knot-frame-quilt-906ee24d68-906ee24d68</t>
        </is>
      </c>
      <c r="B2" s="2" t="inlineStr">
        <is>
          <t>img_4a32db49ec01b0ad</t>
        </is>
      </c>
      <c r="C2" s="4" t="inlineStr">
        <is>
          <t>https://cdn.shopify.com/s/files/1/0792/5098/1063/files/f5df6ea5afdf042e566b7af241d22bd6929357120dcb00f0bc65a8916d20bdd1.jpg?v=1785104402</t>
        </is>
      </c>
      <c r="D2" s="4" t="inlineStr">
        <is>
          <t>https://cdn.shopify.com/s/files/1/0792/5098/1063/files/f5df6ea5afdf042e566b7af241d22bd6929357120dcb00f0bc65a8916d20bdd1.jpg?v=1785104402</t>
        </is>
      </c>
      <c r="E2" s="2" t="inlineStr">
        <is>
          <t>47540522516679</t>
        </is>
      </c>
      <c r="F2" s="2" t="inlineStr">
        <is>
          <t>47540522516679</t>
        </is>
      </c>
      <c r="G2" s="2" t="inlineStr"/>
      <c r="H2" s="2" t="inlineStr">
        <is>
          <t>GALLERY</t>
        </is>
      </c>
      <c r="I2" s="2" t="inlineStr">
        <is>
          <t>DIRECT_IMAGE_DOWNLOAD_AND_SOURCE_ROW_REVIEW</t>
        </is>
      </c>
      <c r="J2" s="2" t="inlineStr">
        <is>
          <t>2026-09-07T21:30:37+07:00</t>
        </is>
      </c>
      <c r="K2" s="2" t="inlineStr">
        <is>
          <t>Direct QA opened downloaded image 161_01; source SHA 5F2E3952F9CFEE8BFB3FA02B98D3FE9BA2F05643499C0504FF9BF49991B087D9. Submitted observation reviewed against gallery position.</t>
        </is>
      </c>
      <c r="L2" s="2" t="inlineStr">
        <is>
          <t>Main product mockup showing blue Norse raven Celtic knot quilt.</t>
        </is>
      </c>
      <c r="M2" s="2" t="inlineStr">
        <is>
          <t>UNKNOWN</t>
        </is>
      </c>
      <c r="N2" s="2" t="inlineStr">
        <is>
          <t>SET</t>
        </is>
      </c>
      <c r="O2" s="2" t="inlineStr">
        <is>
          <t>Blue Norse Raven Celtic Knot Quilt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ISSUE-0005</t>
        </is>
      </c>
      <c r="Z2" s="2" t="inlineStr">
        <is>
          <t>D:\Shopify_Workspace\jeminise_seo\seo_runs\jeminise.com\20260906_234129\qa\20260907_212312\images\161_01.jpg; seo_runs\jeminise.com\20260906_234129\evidence\images\161_norse-mythology-raven-within-celtic-knot-frame-quilt-906ee24d68-906ee24d68\image_01_47540522516679.jpg; seo_runs\jeminise.com\20260906_234129\evidence\contact_sheets\161_norse-mythology-raven-within-celtic-knot-frame-quilt-906ee24d68-906ee24d68.jpg</t>
        </is>
      </c>
    </row>
    <row r="3" ht="66" customHeight="1">
      <c r="A3" s="3" t="inlineStr">
        <is>
          <t>jeminise.com+norse-mythology-raven-within-celtic-knot-frame-quilt-906ee24d68-906ee24d68</t>
        </is>
      </c>
      <c r="B3" s="3" t="inlineStr">
        <is>
          <t>img_05c15f39a6bc4f33</t>
        </is>
      </c>
      <c r="C3" s="4" t="inlineStr">
        <is>
          <t>https://cdn.shopify.com/s/files/1/0792/5098/1063/files/bbce88f2a66fabf46529458b35db7d33399da290b604d17e49b58d179adc7c2a.jpg?v=1785104402</t>
        </is>
      </c>
      <c r="D3" s="4" t="inlineStr">
        <is>
          <t>https://cdn.shopify.com/s/files/1/0792/5098/1063/files/bbce88f2a66fabf46529458b35db7d33399da290b604d17e49b58d179adc7c2a.jpg?v=1785104402</t>
        </is>
      </c>
      <c r="E3" s="3" t="inlineStr">
        <is>
          <t>47540522549447</t>
        </is>
      </c>
      <c r="F3" s="3" t="inlineStr">
        <is>
          <t>47540522549447</t>
        </is>
      </c>
      <c r="G3" s="3" t="inlineStr"/>
      <c r="H3" s="3" t="inlineStr">
        <is>
          <t>GALLERY</t>
        </is>
      </c>
      <c r="I3" s="3" t="inlineStr">
        <is>
          <t>DIRECT_IMAGE_DOWNLOAD_AND_SOURCE_ROW_REVIEW</t>
        </is>
      </c>
      <c r="J3" s="3" t="inlineStr">
        <is>
          <t>2026-09-07T21:30:37+07:00</t>
        </is>
      </c>
      <c r="K3" s="3" t="inlineStr">
        <is>
          <t>Direct QA opened downloaded image 161_02; source SHA 45402A7B1C4420CCA68969194E972CDDBDF716BE753B81A373687CDEF4DE4F8F. Submitted observation reviewed against gallery position.</t>
        </is>
      </c>
      <c r="L3" s="3" t="inlineStr">
        <is>
          <t>Secondary flat, close-up or bedroom mockup showing blue Norse raven Celtic knot quilt.</t>
        </is>
      </c>
      <c r="M3" s="3" t="inlineStr">
        <is>
          <t>UNKNOWN</t>
        </is>
      </c>
      <c r="N3" s="3" t="inlineStr">
        <is>
          <t>SET</t>
        </is>
      </c>
      <c r="O3" s="3" t="inlineStr">
        <is>
          <t>Close-up of the print on Blue Norse Raven Celtic Knot Quilt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D:\Shopify_Workspace\jeminise_seo\seo_runs\jeminise.com\20260906_234129\qa\20260907_212312\images\161_02.jpg; seo_runs\jeminise.com\20260906_234129\evidence\images\161_norse-mythology-raven-within-celtic-knot-frame-quilt-906ee24d68-906ee24d68\image_02_47540522549447.jpg; seo_runs\jeminise.com\20260906_234129\evidence\contact_sheets\161_norse-mythology-raven-within-celtic-knot-frame-quilt-906ee24d68-906ee24d68.jpg</t>
        </is>
      </c>
    </row>
    <row r="4" ht="66" customHeight="1">
      <c r="A4" s="2" t="inlineStr">
        <is>
          <t>jeminise.com+norse-mythology-raven-within-celtic-knot-frame-quilt-906ee24d68-906ee24d68</t>
        </is>
      </c>
      <c r="B4" s="2" t="inlineStr">
        <is>
          <t>img_6bf8da2d85e8de01</t>
        </is>
      </c>
      <c r="C4" s="4" t="inlineStr">
        <is>
          <t>https://cdn.shopify.com/s/files/1/0792/5098/1063/files/27dd51b6fe9a32b87ac804b19987fb134fc4570b327d844efdae0740d4303aab.jpg?v=1785104402</t>
        </is>
      </c>
      <c r="D4" s="4" t="inlineStr">
        <is>
          <t>https://cdn.shopify.com/s/files/1/0792/5098/1063/files/27dd51b6fe9a32b87ac804b19987fb134fc4570b327d844efdae0740d4303aab.jpg?v=1785104402</t>
        </is>
      </c>
      <c r="E4" s="2" t="inlineStr">
        <is>
          <t>47540522582215</t>
        </is>
      </c>
      <c r="F4" s="2" t="inlineStr">
        <is>
          <t>47540522582215</t>
        </is>
      </c>
      <c r="G4" s="2" t="inlineStr"/>
      <c r="H4" s="2" t="inlineStr">
        <is>
          <t>GALLERY</t>
        </is>
      </c>
      <c r="I4" s="2" t="inlineStr">
        <is>
          <t>DIRECT_IMAGE_DOWNLOAD_AND_SOURCE_ROW_REVIEW</t>
        </is>
      </c>
      <c r="J4" s="2" t="inlineStr">
        <is>
          <t>2026-09-07T21:30:37+07:00</t>
        </is>
      </c>
      <c r="K4" s="2" t="inlineStr">
        <is>
          <t>Direct QA opened downloaded image 161_03; source SHA 50AFEA49D61BC29A92A4DF63F7CA1E547341FA8C7CF4D1CEB1CB69E9AA916042. Submitted observation reviewed against gallery position.</t>
        </is>
      </c>
      <c r="L4" s="2" t="inlineStr">
        <is>
          <t>Bedding type, feature, lifestyle or material image for blue Norse raven Celtic knot quilt.</t>
        </is>
      </c>
      <c r="M4" s="2" t="inlineStr">
        <is>
          <t>UNKNOWN</t>
        </is>
      </c>
      <c r="N4" s="2" t="inlineStr">
        <is>
          <t>SET</t>
        </is>
      </c>
      <c r="O4" s="2" t="inlineStr">
        <is>
          <t>Lifestyle bedroom mockup of Blue Norse Raven Celtic Knot Quilt</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ISSUE-0006</t>
        </is>
      </c>
      <c r="Z4" s="2" t="inlineStr">
        <is>
          <t>D:\Shopify_Workspace\jeminise_seo\seo_runs\jeminise.com\20260906_234129\qa\20260907_212312\images\161_03.jpg; seo_runs\jeminise.com\20260906_234129\evidence\images\161_norse-mythology-raven-within-celtic-knot-frame-quilt-906ee24d68-906ee24d68\image_03_47540522582215.jpg; seo_runs\jeminise.com\20260906_234129\evidence\contact_sheets\161_norse-mythology-raven-within-celtic-knot-frame-quilt-906ee24d68-906ee24d68.jpg</t>
        </is>
      </c>
    </row>
    <row r="5" ht="66" customHeight="1">
      <c r="A5" s="3" t="inlineStr">
        <is>
          <t>jeminise.com+norse-mythology-raven-within-celtic-knot-frame-quilt-906ee24d68-906ee24d68</t>
        </is>
      </c>
      <c r="B5" s="3" t="inlineStr">
        <is>
          <t>img_0b8db06ccd8ee1f6</t>
        </is>
      </c>
      <c r="C5" s="4" t="inlineStr">
        <is>
          <t>https://cdn.shopify.com/s/files/1/0792/5098/1063/files/c63b8bede4de84261bd2bc195d98188fb288eba460ea7d07b0ef625dba18ed45.jpg?v=1785104402</t>
        </is>
      </c>
      <c r="D5" s="4" t="inlineStr">
        <is>
          <t>https://cdn.shopify.com/s/files/1/0792/5098/1063/files/c63b8bede4de84261bd2bc195d98188fb288eba460ea7d07b0ef625dba18ed45.jpg?v=1785104402</t>
        </is>
      </c>
      <c r="E5" s="3" t="inlineStr">
        <is>
          <t>47540522614983</t>
        </is>
      </c>
      <c r="F5" s="3" t="inlineStr">
        <is>
          <t>47540522614983</t>
        </is>
      </c>
      <c r="G5" s="3" t="inlineStr"/>
      <c r="H5" s="3" t="inlineStr">
        <is>
          <t>GALLERY</t>
        </is>
      </c>
      <c r="I5" s="3" t="inlineStr">
        <is>
          <t>DIRECT_IMAGE_DOWNLOAD_AND_SOURCE_ROW_REVIEW</t>
        </is>
      </c>
      <c r="J5" s="3" t="inlineStr">
        <is>
          <t>2026-09-07T21:30:37+07:00</t>
        </is>
      </c>
      <c r="K5" s="3" t="inlineStr">
        <is>
          <t>Direct QA opened downloaded image 161_04; source SHA 1EBFE3B8D9025B494ACFD0CA4022F40FA6A0C8FA2F48B98C0ADA0B86EB2641DE. Submitted observation reviewed against gallery position.</t>
        </is>
      </c>
      <c r="L5" s="3" t="inlineStr">
        <is>
          <t>Detail, feature panel or lifestyle image connected to blue Norse raven Celtic knot quilt.</t>
        </is>
      </c>
      <c r="M5" s="3" t="inlineStr">
        <is>
          <t>UNKNOWN</t>
        </is>
      </c>
      <c r="N5" s="3" t="inlineStr">
        <is>
          <t>SET</t>
        </is>
      </c>
      <c r="O5" s="3" t="inlineStr">
        <is>
          <t>Front bed view of Blue Norse Raven Celtic Knot Quilt</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ISSUE-0007</t>
        </is>
      </c>
      <c r="Z5" s="3" t="inlineStr">
        <is>
          <t>D:\Shopify_Workspace\jeminise_seo\seo_runs\jeminise.com\20260906_234129\qa\20260907_212312\images\161_04.jpg; seo_runs\jeminise.com\20260906_234129\evidence\images\161_norse-mythology-raven-within-celtic-knot-frame-quilt-906ee24d68-906ee24d68\image_04_47540522614983.jpg; seo_runs\jeminise.com\20260906_234129\evidence\contact_sheets\161_norse-mythology-raven-within-celtic-knot-frame-quilt-906ee24d68-906ee24d68.jpg</t>
        </is>
      </c>
    </row>
    <row r="6" ht="66" customHeight="1">
      <c r="A6" s="2" t="inlineStr">
        <is>
          <t>jeminise.com+norse-mythology-raven-within-celtic-knot-frame-quilt-906ee24d68-906ee24d68</t>
        </is>
      </c>
      <c r="B6" s="2" t="inlineStr">
        <is>
          <t>img_bec905db5c55388b</t>
        </is>
      </c>
      <c r="C6" s="4" t="inlineStr">
        <is>
          <t>https://cdn.shopify.com/s/files/1/0792/5098/1063/files/bbe527fc7f68c31328261559b7b766ec905010bb91f9515c6d557dd1b085f14b.jpg?v=1785104402</t>
        </is>
      </c>
      <c r="D6" s="4" t="inlineStr">
        <is>
          <t>https://cdn.shopify.com/s/files/1/0792/5098/1063/files/bbe527fc7f68c31328261559b7b766ec905010bb91f9515c6d557dd1b085f14b.jpg?v=1785104402</t>
        </is>
      </c>
      <c r="E6" s="2" t="inlineStr">
        <is>
          <t>47540522647751</t>
        </is>
      </c>
      <c r="F6" s="2" t="inlineStr">
        <is>
          <t>47540522647751</t>
        </is>
      </c>
      <c r="G6" s="2" t="inlineStr"/>
      <c r="H6" s="2" t="inlineStr">
        <is>
          <t>GALLERY</t>
        </is>
      </c>
      <c r="I6" s="2" t="inlineStr">
        <is>
          <t>DIRECT_IMAGE_DOWNLOAD_AND_SOURCE_ROW_REVIEW</t>
        </is>
      </c>
      <c r="J6" s="2" t="inlineStr">
        <is>
          <t>2026-09-07T21:30:37+07:00</t>
        </is>
      </c>
      <c r="K6" s="2" t="inlineStr">
        <is>
          <t>Direct QA opened downloaded image 161_05; source SHA 8B8AB476B72DF5DECE8B47FF68FE7F7C254464FAC6C53140000397E0CCAF3C53. Submitted observation reviewed against gallery position.</t>
        </is>
      </c>
      <c r="L6" s="2" t="inlineStr">
        <is>
          <t>Additional mockup, care or size information for blue Norse raven Celtic knot quilt.</t>
        </is>
      </c>
      <c r="M6" s="2" t="inlineStr">
        <is>
          <t>UNKNOWN</t>
        </is>
      </c>
      <c r="N6" s="2" t="inlineStr">
        <is>
          <t>SET</t>
        </is>
      </c>
      <c r="O6" s="2" t="inlineStr">
        <is>
          <t>Fitted sheet or size feature image for Blue Norse Raven Celtic Knot Quilt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D:\Shopify_Workspace\jeminise_seo\seo_runs\jeminise.com\20260906_234129\qa\20260907_212312\images\161_05.jpg; seo_runs\jeminise.com\20260906_234129\evidence\images\161_norse-mythology-raven-within-celtic-knot-frame-quilt-906ee24d68-906ee24d68\image_05_47540522647751.jpg; seo_runs\jeminise.com\20260906_234129\evidence\contact_sheets\161_norse-mythology-raven-within-celtic-knot-frame-quilt-906ee24d68-906ee24d68.jpg</t>
        </is>
      </c>
    </row>
    <row r="7" ht="66" customHeight="1">
      <c r="A7" s="3" t="inlineStr">
        <is>
          <t>jeminise.com+norse-mythology-raven-within-celtic-knot-frame-quilt-906ee24d68-906ee24d68</t>
        </is>
      </c>
      <c r="B7" s="3" t="inlineStr">
        <is>
          <t>img_4a8ac5f2d547d70c</t>
        </is>
      </c>
      <c r="C7" s="4" t="inlineStr">
        <is>
          <t>https://cdn.shopify.com/s/files/1/0792/5098/1063/files/5cc9f4f96bdb0280d8a3c4b98775690e61d79ad5625e9f20a101536548fe3b0e.jpg?v=1785104402</t>
        </is>
      </c>
      <c r="D7" s="4" t="inlineStr">
        <is>
          <t>https://cdn.shopify.com/s/files/1/0792/5098/1063/files/5cc9f4f96bdb0280d8a3c4b98775690e61d79ad5625e9f20a101536548fe3b0e.jpg?v=1785104402</t>
        </is>
      </c>
      <c r="E7" s="3" t="inlineStr">
        <is>
          <t>47540522680519</t>
        </is>
      </c>
      <c r="F7" s="3" t="inlineStr">
        <is>
          <t>47540522680519</t>
        </is>
      </c>
      <c r="G7" s="3" t="inlineStr"/>
      <c r="H7" s="3" t="inlineStr">
        <is>
          <t>GALLERY</t>
        </is>
      </c>
      <c r="I7" s="3" t="inlineStr">
        <is>
          <t>DIRECT_IMAGE_DOWNLOAD_AND_SOURCE_ROW_REVIEW</t>
        </is>
      </c>
      <c r="J7" s="3" t="inlineStr">
        <is>
          <t>2026-09-07T21:30:37+07:00</t>
        </is>
      </c>
      <c r="K7" s="3" t="inlineStr">
        <is>
          <t>Direct QA opened downloaded image 161_06; source SHA 6A3B322F6DA7163F9772280430DDE0229605BBF4DC984034ECA74EE7B134A75A. Submitted observation reviewed against gallery position.</t>
        </is>
      </c>
      <c r="L7" s="3" t="inlineStr">
        <is>
          <t>Easy-care, size guide or product feature image for blue Norse raven Celtic knot quilt.</t>
        </is>
      </c>
      <c r="M7" s="3" t="inlineStr">
        <is>
          <t>UNKNOWN</t>
        </is>
      </c>
      <c r="N7" s="3" t="inlineStr">
        <is>
          <t>SET</t>
        </is>
      </c>
      <c r="O7" s="3" t="inlineStr">
        <is>
          <t>Set contents and size chart image for Blue Norse Raven Celtic Knot Quilt</t>
        </is>
      </c>
      <c r="P7" s="3" t="inlineStr">
        <is>
          <t>FULL</t>
        </is>
      </c>
      <c r="Q7" s="3" t="inlineStr">
        <is>
          <t>PARTIAL</t>
        </is>
      </c>
      <c r="R7" s="3" t="inlineStr">
        <is>
          <t>PARTIAL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ISSUE-0008; ISSUE-0009</t>
        </is>
      </c>
      <c r="Z7" s="3" t="inlineStr">
        <is>
          <t>D:\Shopify_Workspace\jeminise_seo\seo_runs\jeminise.com\20260906_234129\qa\20260907_212312\images\161_06.jpg; seo_runs\jeminise.com\20260906_234129\evidence\images\161_norse-mythology-raven-within-celtic-knot-frame-quilt-906ee24d68-906ee24d68\image_06_47540522680519.jpg; seo_runs\jeminise.com\20260906_234129\evidence\contact_sheets\161_norse-mythology-raven-within-celtic-knot-frame-quilt-906ee24d68-906ee24d68.jpg</t>
        </is>
      </c>
    </row>
    <row r="8" ht="66" customHeight="1">
      <c r="A8" s="2" t="inlineStr">
        <is>
          <t>jeminise.com+norse-mythology-raven-within-celtic-knot-frame-quilt-906ee24d68-906ee24d68</t>
        </is>
      </c>
      <c r="B8" s="2" t="inlineStr">
        <is>
          <t>img_6ca30d95daecc374</t>
        </is>
      </c>
      <c r="C8" s="4" t="inlineStr">
        <is>
          <t>https://cdn.shopify.com/s/files/1/0792/5098/1063/files/31facc27e0d676d03e5239357f2912111f3e0640688af1ac241589e99b6705fb.jpg?v=1785104402</t>
        </is>
      </c>
      <c r="D8" s="4" t="inlineStr">
        <is>
          <t>https://cdn.shopify.com/s/files/1/0792/5098/1063/files/31facc27e0d676d03e5239357f2912111f3e0640688af1ac241589e99b6705fb.jpg?v=1785104402</t>
        </is>
      </c>
      <c r="E8" s="2" t="inlineStr">
        <is>
          <t>47540522713287</t>
        </is>
      </c>
      <c r="F8" s="2" t="inlineStr">
        <is>
          <t>47540522713287</t>
        </is>
      </c>
      <c r="G8" s="2" t="inlineStr"/>
      <c r="H8" s="2" t="inlineStr">
        <is>
          <t>GALLERY</t>
        </is>
      </c>
      <c r="I8" s="2" t="inlineStr">
        <is>
          <t>DIRECT_IMAGE_DOWNLOAD_AND_SOURCE_ROW_REVIEW</t>
        </is>
      </c>
      <c r="J8" s="2" t="inlineStr">
        <is>
          <t>2026-09-07T21:30:37+07:00</t>
        </is>
      </c>
      <c r="K8" s="2" t="inlineStr">
        <is>
          <t>Direct QA opened downloaded image 161_07; source SHA ECD93B622C766ABF2C6D708D77408DEDEB63C129220B99F56A5244F09EC16214. Submitted observation reviewed against gallery position.</t>
        </is>
      </c>
      <c r="L8" s="2" t="inlineStr">
        <is>
          <t>Additional lifestyle, feature or product detail image showing blue Norse raven Celtic knot quilt.</t>
        </is>
      </c>
      <c r="M8" s="2" t="inlineStr">
        <is>
          <t>UNKNOWN</t>
        </is>
      </c>
      <c r="N8" s="2" t="inlineStr">
        <is>
          <t>SET</t>
        </is>
      </c>
      <c r="O8" s="2" t="inlineStr">
        <is>
          <t>Additional product mockup of Blue Norse Raven Celtic Knot Quilt</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ISSUE-0010</t>
        </is>
      </c>
      <c r="Z8" s="2" t="inlineStr">
        <is>
          <t>D:\Shopify_Workspace\jeminise_seo\seo_runs\jeminise.com\20260906_234129\qa\20260907_212312\images\161_07.jpg; seo_runs\jeminise.com\20260906_234129\evidence\images\161_norse-mythology-raven-within-celtic-knot-frame-quilt-906ee24d68-906ee24d68\image_07_47540522713287.jpg; seo_runs\jeminise.com\20260906_234129\evidence\contact_sheets\161_norse-mythology-raven-within-celtic-knot-frame-quilt-906ee24d68-906ee24d68.jpg</t>
        </is>
      </c>
    </row>
    <row r="9" ht="66" customHeight="1">
      <c r="A9" s="3" t="inlineStr">
        <is>
          <t>jeminise.com+norse-mythology-viking-shield-with-crossed-axes-quilt-ca630a284e-ca630a284e</t>
        </is>
      </c>
      <c r="B9" s="3" t="inlineStr">
        <is>
          <t>img_42492548a1a20fbe</t>
        </is>
      </c>
      <c r="C9" s="4" t="inlineStr">
        <is>
          <t>https://cdn.shopify.com/s/files/1/0792/5098/1063/files/a0bb7b2e86bb5a07b6f85d9046b813c1954eadf01e22807354afd66a9ebfdea6.jpg?v=1785104553</t>
        </is>
      </c>
      <c r="D9" s="4" t="inlineStr">
        <is>
          <t>https://cdn.shopify.com/s/files/1/0792/5098/1063/files/a0bb7b2e86bb5a07b6f85d9046b813c1954eadf01e22807354afd66a9ebfdea6.jpg?v=1785104553</t>
        </is>
      </c>
      <c r="E9" s="3" t="inlineStr">
        <is>
          <t>47540537688263</t>
        </is>
      </c>
      <c r="F9" s="3" t="inlineStr">
        <is>
          <t>47540537688263</t>
        </is>
      </c>
      <c r="G9" s="3" t="inlineStr"/>
      <c r="H9" s="3" t="inlineStr">
        <is>
          <t>GALLERY</t>
        </is>
      </c>
      <c r="I9" s="3" t="inlineStr">
        <is>
          <t>DIRECT_IMAGE_DOWNLOAD_AND_SOURCE_ROW_REVIEW</t>
        </is>
      </c>
      <c r="J9" s="3" t="inlineStr">
        <is>
          <t>2026-09-07T21:30:37+07:00</t>
        </is>
      </c>
      <c r="K9" s="3" t="inlineStr">
        <is>
          <t>Direct QA opened downloaded image 162_01; source SHA 5010AD7F41130DFEFF8A19435EE269E7B39D6F6B4778A6627DD6F02631CA1448. Submitted observation reviewed against gallery position.</t>
        </is>
      </c>
      <c r="L9" s="3" t="inlineStr">
        <is>
          <t>Main product mockup showing Valhalla Viking shield crossed axes quilt.</t>
        </is>
      </c>
      <c r="M9" s="3" t="inlineStr">
        <is>
          <t>UNKNOWN</t>
        </is>
      </c>
      <c r="N9" s="3" t="inlineStr">
        <is>
          <t>SET</t>
        </is>
      </c>
      <c r="O9" s="3" t="inlineStr">
        <is>
          <t>Valhalla Viking Shield Crossed Axes Quilt displayed in a main product mockup</t>
        </is>
      </c>
      <c r="P9" s="3" t="inlineStr">
        <is>
          <t>FULL</t>
        </is>
      </c>
      <c r="Q9" s="3" t="inlineStr">
        <is>
          <t>FULL</t>
        </is>
      </c>
      <c r="R9" s="3" t="inlineStr">
        <is>
          <t>PARTIAL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ISSUE-0016</t>
        </is>
      </c>
      <c r="Z9" s="3" t="inlineStr">
        <is>
          <t>D:\Shopify_Workspace\jeminise_seo\seo_runs\jeminise.com\20260906_234129\qa\20260907_212312\images\162_01.jpg; 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row>
    <row r="10" ht="66" customHeight="1">
      <c r="A10" s="2" t="inlineStr">
        <is>
          <t>jeminise.com+norse-mythology-viking-shield-with-crossed-axes-quilt-ca630a284e-ca630a284e</t>
        </is>
      </c>
      <c r="B10" s="2" t="inlineStr">
        <is>
          <t>img_95da18ab7d222f8a</t>
        </is>
      </c>
      <c r="C10" s="4" t="inlineStr">
        <is>
          <t>https://cdn.shopify.com/s/files/1/0792/5098/1063/files/cdc35c826f340b6635063d4154a0b5dfe33f71c7ea05f07fdfc6546f09c22e28.jpg?v=1785104553</t>
        </is>
      </c>
      <c r="D10" s="4" t="inlineStr">
        <is>
          <t>https://cdn.shopify.com/s/files/1/0792/5098/1063/files/cdc35c826f340b6635063d4154a0b5dfe33f71c7ea05f07fdfc6546f09c22e28.jpg?v=1785104553</t>
        </is>
      </c>
      <c r="E10" s="2" t="inlineStr">
        <is>
          <t>47540537721031</t>
        </is>
      </c>
      <c r="F10" s="2" t="inlineStr">
        <is>
          <t>47540537721031</t>
        </is>
      </c>
      <c r="G10" s="2" t="inlineStr"/>
      <c r="H10" s="2" t="inlineStr">
        <is>
          <t>GALLERY</t>
        </is>
      </c>
      <c r="I10" s="2" t="inlineStr">
        <is>
          <t>DIRECT_IMAGE_DOWNLOAD_AND_SOURCE_ROW_REVIEW</t>
        </is>
      </c>
      <c r="J10" s="2" t="inlineStr">
        <is>
          <t>2026-09-07T21:30:37+07:00</t>
        </is>
      </c>
      <c r="K10" s="2" t="inlineStr">
        <is>
          <t>Direct QA opened downloaded image 162_02; source SHA B780F1C2A1A631706AC39C588D420C8721F546FD3FC03AB4A8CDE4017456E7C6. Submitted observation reviewed against gallery position.</t>
        </is>
      </c>
      <c r="L10" s="2" t="inlineStr">
        <is>
          <t>Secondary flat, close-up or bedroom mockup showing Valhalla Viking shield crossed axes quilt.</t>
        </is>
      </c>
      <c r="M10" s="2" t="inlineStr">
        <is>
          <t>UNKNOWN</t>
        </is>
      </c>
      <c r="N10" s="2" t="inlineStr">
        <is>
          <t>SET</t>
        </is>
      </c>
      <c r="O10" s="2" t="inlineStr">
        <is>
          <t>Close-up of the print on Valhalla Viking Shield Crossed Axes Quilt</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c r="Z10" s="2" t="inlineStr">
        <is>
          <t>D:\Shopify_Workspace\jeminise_seo\seo_runs\jeminise.com\20260906_234129\qa\20260907_212312\images\162_02.jpg; 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row>
    <row r="11" ht="66" customHeight="1">
      <c r="A11" s="3" t="inlineStr">
        <is>
          <t>jeminise.com+norse-mythology-viking-shield-with-crossed-axes-quilt-ca630a284e-ca630a284e</t>
        </is>
      </c>
      <c r="B11" s="3" t="inlineStr">
        <is>
          <t>img_c06b4b0b74770f0a</t>
        </is>
      </c>
      <c r="C11" s="4" t="inlineStr">
        <is>
          <t>https://cdn.shopify.com/s/files/1/0792/5098/1063/files/7127a02e884cad7c5184ce1b2946ac662960d39acad6edb3b8a21f844cc7fb83.jpg?v=1785104553</t>
        </is>
      </c>
      <c r="D11" s="4" t="inlineStr">
        <is>
          <t>https://cdn.shopify.com/s/files/1/0792/5098/1063/files/7127a02e884cad7c5184ce1b2946ac662960d39acad6edb3b8a21f844cc7fb83.jpg?v=1785104553</t>
        </is>
      </c>
      <c r="E11" s="3" t="inlineStr">
        <is>
          <t>47540537753799</t>
        </is>
      </c>
      <c r="F11" s="3" t="inlineStr">
        <is>
          <t>47540537753799</t>
        </is>
      </c>
      <c r="G11" s="3" t="inlineStr"/>
      <c r="H11" s="3" t="inlineStr">
        <is>
          <t>GALLERY</t>
        </is>
      </c>
      <c r="I11" s="3" t="inlineStr">
        <is>
          <t>DIRECT_IMAGE_DOWNLOAD_AND_SOURCE_ROW_REVIEW</t>
        </is>
      </c>
      <c r="J11" s="3" t="inlineStr">
        <is>
          <t>2026-09-07T21:30:37+07:00</t>
        </is>
      </c>
      <c r="K11" s="3" t="inlineStr">
        <is>
          <t>Direct QA opened downloaded image 162_03; source SHA 41AFB4C92D4CF29D2AD3187CEC72EC16F2171CC7F58A62794E269C4CAE36A378. Submitted observation reviewed against gallery position.</t>
        </is>
      </c>
      <c r="L11" s="3" t="inlineStr">
        <is>
          <t>Bedding type, feature, lifestyle or material image for Valhalla Viking shield crossed axes quilt.</t>
        </is>
      </c>
      <c r="M11" s="3" t="inlineStr">
        <is>
          <t>UNKNOWN</t>
        </is>
      </c>
      <c r="N11" s="3" t="inlineStr">
        <is>
          <t>SET</t>
        </is>
      </c>
      <c r="O11" s="3" t="inlineStr">
        <is>
          <t>Lifestyle bedroom mockup of Valhalla Viking Shield Crossed Axes Quilt</t>
        </is>
      </c>
      <c r="P11" s="3" t="inlineStr">
        <is>
          <t>FULL</t>
        </is>
      </c>
      <c r="Q11" s="3" t="inlineStr">
        <is>
          <t>PARTIAL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ISSUE-0017</t>
        </is>
      </c>
      <c r="Z11" s="3" t="inlineStr">
        <is>
          <t>D:\Shopify_Workspace\jeminise_seo\seo_runs\jeminise.com\20260906_234129\qa\20260907_212312\images\162_03.jpg; 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row>
    <row r="12" ht="66" customHeight="1">
      <c r="A12" s="2" t="inlineStr">
        <is>
          <t>jeminise.com+norse-mythology-viking-shield-with-crossed-axes-quilt-ca630a284e-ca630a284e</t>
        </is>
      </c>
      <c r="B12" s="2" t="inlineStr">
        <is>
          <t>img_54624a6c9dde416f</t>
        </is>
      </c>
      <c r="C12" s="4" t="inlineStr">
        <is>
          <t>https://cdn.shopify.com/s/files/1/0792/5098/1063/files/e1bca6ad0b85bcfa2b85d2a0322d79680fde7448a15adec1757a81eb07c4bf6f.jpg?v=1785104553</t>
        </is>
      </c>
      <c r="D12" s="4" t="inlineStr">
        <is>
          <t>https://cdn.shopify.com/s/files/1/0792/5098/1063/files/e1bca6ad0b85bcfa2b85d2a0322d79680fde7448a15adec1757a81eb07c4bf6f.jpg?v=1785104553</t>
        </is>
      </c>
      <c r="E12" s="2" t="inlineStr">
        <is>
          <t>47540537786567</t>
        </is>
      </c>
      <c r="F12" s="2" t="inlineStr">
        <is>
          <t>47540537786567</t>
        </is>
      </c>
      <c r="G12" s="2" t="inlineStr"/>
      <c r="H12" s="2" t="inlineStr">
        <is>
          <t>GALLERY</t>
        </is>
      </c>
      <c r="I12" s="2" t="inlineStr">
        <is>
          <t>DIRECT_IMAGE_DOWNLOAD_AND_SOURCE_ROW_REVIEW</t>
        </is>
      </c>
      <c r="J12" s="2" t="inlineStr">
        <is>
          <t>2026-09-07T21:30:37+07:00</t>
        </is>
      </c>
      <c r="K12" s="2" t="inlineStr">
        <is>
          <t>Direct QA opened downloaded image 162_04; source SHA A41A44134043C9136539F8E607535E3D11B3ACB18100BB96CEC2DA445F2ABD0F. Submitted observation reviewed against gallery position.</t>
        </is>
      </c>
      <c r="L12" s="2" t="inlineStr">
        <is>
          <t>Detail, feature panel or lifestyle image connected to Valhalla Viking shield crossed axes quilt.</t>
        </is>
      </c>
      <c r="M12" s="2" t="inlineStr">
        <is>
          <t>UNKNOWN</t>
        </is>
      </c>
      <c r="N12" s="2" t="inlineStr">
        <is>
          <t>SET</t>
        </is>
      </c>
      <c r="O12" s="2" t="inlineStr">
        <is>
          <t>Front bed view of Valhalla Viking Shield Crossed Axes Quilt</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ISSUE-0018</t>
        </is>
      </c>
      <c r="Z12" s="2" t="inlineStr">
        <is>
          <t>D:\Shopify_Workspace\jeminise_seo\seo_runs\jeminise.com\20260906_234129\qa\20260907_212312\images\162_04.jpg; 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row>
    <row r="13" ht="66" customHeight="1">
      <c r="A13" s="3" t="inlineStr">
        <is>
          <t>jeminise.com+norse-mythology-viking-shield-with-crossed-axes-quilt-ca630a284e-ca630a284e</t>
        </is>
      </c>
      <c r="B13" s="3" t="inlineStr">
        <is>
          <t>img_342f31e7d8496cf1</t>
        </is>
      </c>
      <c r="C13" s="4" t="inlineStr">
        <is>
          <t>https://cdn.shopify.com/s/files/1/0792/5098/1063/files/77fb3f8c371cf27dd16588f3cf56fb24c12deaa2922c16412de893b0e53890dd.jpg?v=1785104553</t>
        </is>
      </c>
      <c r="D13" s="4" t="inlineStr">
        <is>
          <t>https://cdn.shopify.com/s/files/1/0792/5098/1063/files/77fb3f8c371cf27dd16588f3cf56fb24c12deaa2922c16412de893b0e53890dd.jpg?v=1785104553</t>
        </is>
      </c>
      <c r="E13" s="3" t="inlineStr">
        <is>
          <t>47540537819335</t>
        </is>
      </c>
      <c r="F13" s="3" t="inlineStr">
        <is>
          <t>47540537819335</t>
        </is>
      </c>
      <c r="G13" s="3" t="inlineStr"/>
      <c r="H13" s="3" t="inlineStr">
        <is>
          <t>GALLERY</t>
        </is>
      </c>
      <c r="I13" s="3" t="inlineStr">
        <is>
          <t>DIRECT_IMAGE_DOWNLOAD_AND_SOURCE_ROW_REVIEW</t>
        </is>
      </c>
      <c r="J13" s="3" t="inlineStr">
        <is>
          <t>2026-09-07T21:30:37+07:00</t>
        </is>
      </c>
      <c r="K13" s="3" t="inlineStr">
        <is>
          <t>Direct QA opened downloaded image 162_05; source SHA 022469EE5C53116CFE68E563776876B274B93C35FCEE1527E5772890999A92A5. Submitted observation reviewed against gallery position.</t>
        </is>
      </c>
      <c r="L13" s="3" t="inlineStr">
        <is>
          <t>Additional mockup, care or size information for Valhalla Viking shield crossed axes quilt.</t>
        </is>
      </c>
      <c r="M13" s="3" t="inlineStr">
        <is>
          <t>UNKNOWN</t>
        </is>
      </c>
      <c r="N13" s="3" t="inlineStr">
        <is>
          <t>SET</t>
        </is>
      </c>
      <c r="O13" s="3" t="inlineStr">
        <is>
          <t>Fitted sheet or size feature image for Valhalla Viking Shield Crossed Axes Quilt</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c r="Z13" s="3" t="inlineStr">
        <is>
          <t>D:\Shopify_Workspace\jeminise_seo\seo_runs\jeminise.com\20260906_234129\qa\20260907_212312\images\162_05.jpg; 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row>
    <row r="14" ht="66" customHeight="1">
      <c r="A14" s="2" t="inlineStr">
        <is>
          <t>jeminise.com+norse-mythology-viking-shield-with-crossed-axes-quilt-ca630a284e-ca630a284e</t>
        </is>
      </c>
      <c r="B14" s="2" t="inlineStr">
        <is>
          <t>img_038029ec09923701</t>
        </is>
      </c>
      <c r="C14" s="4" t="inlineStr">
        <is>
          <t>https://cdn.shopify.com/s/files/1/0792/5098/1063/files/ca05f793ad1004a8bcf1b14bc5f968c4664bf701819e6903e275f14d034862a6.jpg?v=1785104553</t>
        </is>
      </c>
      <c r="D14" s="4" t="inlineStr">
        <is>
          <t>https://cdn.shopify.com/s/files/1/0792/5098/1063/files/ca05f793ad1004a8bcf1b14bc5f968c4664bf701819e6903e275f14d034862a6.jpg?v=1785104553</t>
        </is>
      </c>
      <c r="E14" s="2" t="inlineStr">
        <is>
          <t>47540537852103</t>
        </is>
      </c>
      <c r="F14" s="2" t="inlineStr">
        <is>
          <t>47540537852103</t>
        </is>
      </c>
      <c r="G14" s="2" t="inlineStr"/>
      <c r="H14" s="2" t="inlineStr">
        <is>
          <t>GALLERY</t>
        </is>
      </c>
      <c r="I14" s="2" t="inlineStr">
        <is>
          <t>DIRECT_IMAGE_DOWNLOAD_AND_SOURCE_ROW_REVIEW</t>
        </is>
      </c>
      <c r="J14" s="2" t="inlineStr">
        <is>
          <t>2026-09-07T21:30:37+07:00</t>
        </is>
      </c>
      <c r="K14" s="2" t="inlineStr">
        <is>
          <t>Direct QA opened downloaded image 162_06; source SHA 84F9B1437ED7CF29C5BD3E8670F1DC69484C8566CD13FA309647552B8E571C6F. Submitted observation reviewed against gallery position.</t>
        </is>
      </c>
      <c r="L14" s="2" t="inlineStr">
        <is>
          <t>Easy-care, size guide or product feature image for Valhalla Viking shield crossed axes quilt.</t>
        </is>
      </c>
      <c r="M14" s="2" t="inlineStr">
        <is>
          <t>UNKNOWN</t>
        </is>
      </c>
      <c r="N14" s="2" t="inlineStr">
        <is>
          <t>SET</t>
        </is>
      </c>
      <c r="O14" s="2" t="inlineStr">
        <is>
          <t>Set contents and size chart image for Valhalla Viking Shield Crossed Axes Quilt</t>
        </is>
      </c>
      <c r="P14" s="2" t="inlineStr">
        <is>
          <t>FULL</t>
        </is>
      </c>
      <c r="Q14" s="2" t="inlineStr">
        <is>
          <t>PARTIAL</t>
        </is>
      </c>
      <c r="R14" s="2" t="inlineStr">
        <is>
          <t>PARTIAL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ISSUE-0019; ISSUE-0020</t>
        </is>
      </c>
      <c r="Z14" s="2" t="inlineStr">
        <is>
          <t>D:\Shopify_Workspace\jeminise_seo\seo_runs\jeminise.com\20260906_234129\qa\20260907_212312\images\162_06.jpg; 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row>
    <row r="15" ht="66" customHeight="1">
      <c r="A15" s="3" t="inlineStr">
        <is>
          <t>jeminise.com+norse-mythology-viking-shield-with-crossed-axes-quilt-ca630a284e-ca630a284e</t>
        </is>
      </c>
      <c r="B15" s="3" t="inlineStr">
        <is>
          <t>img_02da08e65517a2bf</t>
        </is>
      </c>
      <c r="C15" s="4" t="inlineStr">
        <is>
          <t>https://cdn.shopify.com/s/files/1/0792/5098/1063/files/b002678b1b933df28fb349bc6ff5667b37b28acab3f3e263980071a114b93302.jpg?v=1785104552</t>
        </is>
      </c>
      <c r="D15" s="4" t="inlineStr">
        <is>
          <t>https://cdn.shopify.com/s/files/1/0792/5098/1063/files/b002678b1b933df28fb349bc6ff5667b37b28acab3f3e263980071a114b93302.jpg?v=1785104552</t>
        </is>
      </c>
      <c r="E15" s="3" t="inlineStr">
        <is>
          <t>47540537884871</t>
        </is>
      </c>
      <c r="F15" s="3" t="inlineStr">
        <is>
          <t>47540537884871</t>
        </is>
      </c>
      <c r="G15" s="3" t="inlineStr"/>
      <c r="H15" s="3" t="inlineStr">
        <is>
          <t>GALLERY</t>
        </is>
      </c>
      <c r="I15" s="3" t="inlineStr">
        <is>
          <t>DIRECT_IMAGE_DOWNLOAD_AND_SOURCE_ROW_REVIEW</t>
        </is>
      </c>
      <c r="J15" s="3" t="inlineStr">
        <is>
          <t>2026-09-07T21:30:37+07:00</t>
        </is>
      </c>
      <c r="K15" s="3" t="inlineStr">
        <is>
          <t>Direct QA opened downloaded image 162_07; source SHA E00737BD21CBC4629256B07CC5E47B44B21178025F4DFB8775B2F14A88AD5809. Submitted observation reviewed against gallery position.</t>
        </is>
      </c>
      <c r="L15" s="3" t="inlineStr">
        <is>
          <t>Additional lifestyle, feature or product detail image showing Valhalla Viking shield crossed axes quilt.</t>
        </is>
      </c>
      <c r="M15" s="3" t="inlineStr">
        <is>
          <t>UNKNOWN</t>
        </is>
      </c>
      <c r="N15" s="3" t="inlineStr">
        <is>
          <t>SET</t>
        </is>
      </c>
      <c r="O15" s="3" t="inlineStr">
        <is>
          <t>Additional product mockup of Valhalla Viking Shield Crossed Axes Quilt</t>
        </is>
      </c>
      <c r="P15" s="3" t="inlineStr">
        <is>
          <t>FULL</t>
        </is>
      </c>
      <c r="Q15" s="3" t="inlineStr">
        <is>
          <t>PARTIAL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ISSUE-0021</t>
        </is>
      </c>
      <c r="Z15" s="3" t="inlineStr">
        <is>
          <t>D:\Shopify_Workspace\jeminise_seo\seo_runs\jeminise.com\20260906_234129\qa\20260907_212312\images\162_07.jpg; 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row>
    <row r="16" ht="66" customHeight="1">
      <c r="A16" s="2" t="inlineStr">
        <is>
          <t>jeminise.com+owl-patchwork-pattern-quilt-set-animals-quilt-set-style-owl-nights</t>
        </is>
      </c>
      <c r="B16" s="2" t="inlineStr">
        <is>
          <t>img_c8bf6eea06d88efc</t>
        </is>
      </c>
      <c r="C16" s="4" t="inlineStr">
        <is>
          <t>https://cdn.shopify.com/s/files/1/0792/5098/1063/files/b12b5b630d5361e095b70248a7029d44aa83474cedccaae8a99938e5a82aa9e5.jpg?v=1787233687</t>
        </is>
      </c>
      <c r="D16" s="4" t="inlineStr">
        <is>
          <t>https://cdn.shopify.com/s/files/1/0792/5098/1063/files/b12b5b630d5361e095b70248a7029d44aa83474cedccaae8a99938e5a82aa9e5.jpg?v=1787233687</t>
        </is>
      </c>
      <c r="E16" s="2" t="inlineStr">
        <is>
          <t>47933462872263</t>
        </is>
      </c>
      <c r="F16" s="2" t="inlineStr">
        <is>
          <t>47933462872263</t>
        </is>
      </c>
      <c r="G16" s="2" t="inlineStr"/>
      <c r="H16" s="2" t="inlineStr">
        <is>
          <t>GALLERY</t>
        </is>
      </c>
      <c r="I16" s="2" t="inlineStr">
        <is>
          <t>DIRECT_IMAGE_DOWNLOAD_AND_SOURCE_ROW_REVIEW</t>
        </is>
      </c>
      <c r="J16" s="2" t="inlineStr">
        <is>
          <t>2026-09-07T21:30:37+07:00</t>
        </is>
      </c>
      <c r="K16" s="2" t="inlineStr">
        <is>
          <t>Direct QA opened downloaded image 163_01; source SHA 7138DFE66AFC3B8B7EEB314B221FDE7A551A1AB49A73821AC810E671B220EBB8. Submitted observation reviewed against gallery position.</t>
        </is>
      </c>
      <c r="L16" s="2" t="inlineStr">
        <is>
          <t>Main product mockup showing blue gold owl night patchwork quilt.</t>
        </is>
      </c>
      <c r="M16" s="2" t="inlineStr">
        <is>
          <t>UNKNOWN</t>
        </is>
      </c>
      <c r="N16" s="2" t="inlineStr">
        <is>
          <t>SET</t>
        </is>
      </c>
      <c r="O16" s="2" t="inlineStr">
        <is>
          <t>Blue Gold Owl Night Patchwork Quilt displayed in a main product mockup</t>
        </is>
      </c>
      <c r="P16" s="2" t="inlineStr">
        <is>
          <t>FULL</t>
        </is>
      </c>
      <c r="Q16" s="2" t="inlineStr">
        <is>
          <t>FULL</t>
        </is>
      </c>
      <c r="R16" s="2" t="inlineStr">
        <is>
          <t>PARTIAL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ISSUE-0026</t>
        </is>
      </c>
      <c r="Z16" s="2" t="inlineStr">
        <is>
          <t>D:\Shopify_Workspace\jeminise_seo\seo_runs\jeminise.com\20260906_234129\qa\20260907_212312\images\163_01.jpg; seo_runs\jeminise.com\20260906_234129\evidence\images\163_owl-patchwork-pattern-quilt-set-animals-quilt-set-style-owl-nights\image_01_47933462872263.jpg; seo_runs\jeminise.com\20260906_234129\evidence\contact_sheets\163_owl-patchwork-pattern-quilt-set-animals-quilt-set-style-owl-nights.jpg</t>
        </is>
      </c>
    </row>
    <row r="17" ht="66" customHeight="1">
      <c r="A17" s="3" t="inlineStr">
        <is>
          <t>jeminise.com+owl-patchwork-pattern-quilt-set-animals-quilt-set-style-owl-nights</t>
        </is>
      </c>
      <c r="B17" s="3" t="inlineStr">
        <is>
          <t>img_2c601500ab0cd47c</t>
        </is>
      </c>
      <c r="C17" s="4" t="inlineStr">
        <is>
          <t>https://cdn.shopify.com/s/files/1/0792/5098/1063/files/41113dc58569ae2adc6d3dde435731253d18a0408ae05d7000f8517dee0c01a4.jpg?v=1787233687</t>
        </is>
      </c>
      <c r="D17" s="4" t="inlineStr">
        <is>
          <t>https://cdn.shopify.com/s/files/1/0792/5098/1063/files/41113dc58569ae2adc6d3dde435731253d18a0408ae05d7000f8517dee0c01a4.jpg?v=1787233687</t>
        </is>
      </c>
      <c r="E17" s="3" t="inlineStr">
        <is>
          <t>47933462905031</t>
        </is>
      </c>
      <c r="F17" s="3" t="inlineStr">
        <is>
          <t>47933462905031</t>
        </is>
      </c>
      <c r="G17" s="3" t="inlineStr"/>
      <c r="H17" s="3" t="inlineStr">
        <is>
          <t>GALLERY</t>
        </is>
      </c>
      <c r="I17" s="3" t="inlineStr">
        <is>
          <t>DIRECT_IMAGE_DOWNLOAD_AND_SOURCE_ROW_REVIEW</t>
        </is>
      </c>
      <c r="J17" s="3" t="inlineStr">
        <is>
          <t>2026-09-07T21:30:37+07:00</t>
        </is>
      </c>
      <c r="K17" s="3" t="inlineStr">
        <is>
          <t>Direct QA opened downloaded image 163_02; source SHA CD31251B5B8F32DE988065F660F0353DB2C45B880C9F3620314B74DD3928E704. Submitted observation reviewed against gallery position.</t>
        </is>
      </c>
      <c r="L17" s="3" t="inlineStr">
        <is>
          <t>Secondary flat, close-up or bedroom mockup showing blue gold owl night patchwork quilt.</t>
        </is>
      </c>
      <c r="M17" s="3" t="inlineStr">
        <is>
          <t>UNKNOWN</t>
        </is>
      </c>
      <c r="N17" s="3" t="inlineStr">
        <is>
          <t>SET</t>
        </is>
      </c>
      <c r="O17" s="3" t="inlineStr">
        <is>
          <t>Close-up of the print on Blue Gold Owl Night Patchwork Quilt</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c r="Z17" s="3" t="inlineStr">
        <is>
          <t>D:\Shopify_Workspace\jeminise_seo\seo_runs\jeminise.com\20260906_234129\qa\20260907_212312\images\163_02.jpg; seo_runs\jeminise.com\20260906_234129\evidence\images\163_owl-patchwork-pattern-quilt-set-animals-quilt-set-style-owl-nights\image_02_47933462905031.jpg; seo_runs\jeminise.com\20260906_234129\evidence\contact_sheets\163_owl-patchwork-pattern-quilt-set-animals-quilt-set-style-owl-nights.jpg</t>
        </is>
      </c>
    </row>
    <row r="18" ht="66" customHeight="1">
      <c r="A18" s="2" t="inlineStr">
        <is>
          <t>jeminise.com+owl-patchwork-pattern-quilt-set-animals-quilt-set-style-owl-nights</t>
        </is>
      </c>
      <c r="B18" s="2" t="inlineStr">
        <is>
          <t>img_5f334955b7afbf46</t>
        </is>
      </c>
      <c r="C18" s="4" t="inlineStr">
        <is>
          <t>https://cdn.shopify.com/s/files/1/0792/5098/1063/files/fd5e9ddd0678c2d4c24c4bd3dfda693b589b9dd151f9f214cdc48d107b8e6592.jpg?v=1787233688</t>
        </is>
      </c>
      <c r="D18" s="4" t="inlineStr">
        <is>
          <t>https://cdn.shopify.com/s/files/1/0792/5098/1063/files/fd5e9ddd0678c2d4c24c4bd3dfda693b589b9dd151f9f214cdc48d107b8e6592.jpg?v=1787233688</t>
        </is>
      </c>
      <c r="E18" s="2" t="inlineStr">
        <is>
          <t>47933462937799</t>
        </is>
      </c>
      <c r="F18" s="2" t="inlineStr">
        <is>
          <t>47933462937799</t>
        </is>
      </c>
      <c r="G18" s="2" t="inlineStr"/>
      <c r="H18" s="2" t="inlineStr">
        <is>
          <t>GALLERY</t>
        </is>
      </c>
      <c r="I18" s="2" t="inlineStr">
        <is>
          <t>DIRECT_IMAGE_DOWNLOAD_AND_SOURCE_ROW_REVIEW</t>
        </is>
      </c>
      <c r="J18" s="2" t="inlineStr">
        <is>
          <t>2026-09-07T21:30:37+07:00</t>
        </is>
      </c>
      <c r="K18" s="2" t="inlineStr">
        <is>
          <t>Direct QA opened downloaded image 163_03; source SHA 59594C7BC02BE5BDACB92B4688B2BAB04A4D4CE43BD553322FFEE957262032E7. Submitted observation reviewed against gallery position.</t>
        </is>
      </c>
      <c r="L18" s="2" t="inlineStr">
        <is>
          <t>Bedding type, feature, lifestyle or material image for blue gold owl night patchwork quilt.</t>
        </is>
      </c>
      <c r="M18" s="2" t="inlineStr">
        <is>
          <t>UNKNOWN</t>
        </is>
      </c>
      <c r="N18" s="2" t="inlineStr">
        <is>
          <t>SET</t>
        </is>
      </c>
      <c r="O18" s="2" t="inlineStr">
        <is>
          <t>Lifestyle bedroom mockup of Blue Gold Owl Night Patchwork Quilt</t>
        </is>
      </c>
      <c r="P18" s="2" t="inlineStr">
        <is>
          <t>FULL</t>
        </is>
      </c>
      <c r="Q18" s="2" t="inlineStr">
        <is>
          <t>PARTIAL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ISSUE-0027</t>
        </is>
      </c>
      <c r="Z18" s="2" t="inlineStr">
        <is>
          <t>D:\Shopify_Workspace\jeminise_seo\seo_runs\jeminise.com\20260906_234129\qa\20260907_212312\images\163_03.jpg; seo_runs\jeminise.com\20260906_234129\evidence\images\163_owl-patchwork-pattern-quilt-set-animals-quilt-set-style-owl-nights\image_03_47933462937799.jpg; seo_runs\jeminise.com\20260906_234129\evidence\contact_sheets\163_owl-patchwork-pattern-quilt-set-animals-quilt-set-style-owl-nights.jpg</t>
        </is>
      </c>
    </row>
    <row r="19" ht="66" customHeight="1">
      <c r="A19" s="3" t="inlineStr">
        <is>
          <t>jeminise.com+owl-patchwork-pattern-quilt-set-animals-quilt-set-style-owl-nights</t>
        </is>
      </c>
      <c r="B19" s="3" t="inlineStr">
        <is>
          <t>img_d0eb5575d6e4be02</t>
        </is>
      </c>
      <c r="C19" s="4" t="inlineStr">
        <is>
          <t>https://cdn.shopify.com/s/files/1/0792/5098/1063/files/ce286ca93c0b88510ca875a37e7b75b32cb61e52da352d95c54cd2628b51fbf3.jpg?v=1787233687</t>
        </is>
      </c>
      <c r="D19" s="4" t="inlineStr">
        <is>
          <t>https://cdn.shopify.com/s/files/1/0792/5098/1063/files/ce286ca93c0b88510ca875a37e7b75b32cb61e52da352d95c54cd2628b51fbf3.jpg?v=1787233687</t>
        </is>
      </c>
      <c r="E19" s="3" t="inlineStr">
        <is>
          <t>47933462970567</t>
        </is>
      </c>
      <c r="F19" s="3" t="inlineStr">
        <is>
          <t>47933462970567</t>
        </is>
      </c>
      <c r="G19" s="3" t="inlineStr"/>
      <c r="H19" s="3" t="inlineStr">
        <is>
          <t>GALLERY</t>
        </is>
      </c>
      <c r="I19" s="3" t="inlineStr">
        <is>
          <t>DIRECT_IMAGE_DOWNLOAD_AND_SOURCE_ROW_REVIEW</t>
        </is>
      </c>
      <c r="J19" s="3" t="inlineStr">
        <is>
          <t>2026-09-07T21:30:37+07:00</t>
        </is>
      </c>
      <c r="K19" s="3" t="inlineStr">
        <is>
          <t>Direct QA opened downloaded image 163_04; source SHA B615DCC136FA994B3F17AE5605C0231562540AF45A710706609A5E7F0DECB471. Submitted observation reviewed against gallery position.</t>
        </is>
      </c>
      <c r="L19" s="3" t="inlineStr">
        <is>
          <t>Detail, feature panel or lifestyle image connected to blue gold owl night patchwork quilt.</t>
        </is>
      </c>
      <c r="M19" s="3" t="inlineStr">
        <is>
          <t>UNKNOWN</t>
        </is>
      </c>
      <c r="N19" s="3" t="inlineStr">
        <is>
          <t>SET</t>
        </is>
      </c>
      <c r="O19" s="3" t="inlineStr">
        <is>
          <t>Front bed view of Blue Gold Owl Night Patchwork Quilt</t>
        </is>
      </c>
      <c r="P19" s="3" t="inlineStr">
        <is>
          <t>FULL</t>
        </is>
      </c>
      <c r="Q19" s="3" t="inlineStr">
        <is>
          <t>PARTIAL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ISSUE-0028</t>
        </is>
      </c>
      <c r="Z19" s="3" t="inlineStr">
        <is>
          <t>D:\Shopify_Workspace\jeminise_seo\seo_runs\jeminise.com\20260906_234129\qa\20260907_212312\images\163_04.jpg; seo_runs\jeminise.com\20260906_234129\evidence\images\163_owl-patchwork-pattern-quilt-set-animals-quilt-set-style-owl-nights\image_04_47933462970567.jpg; seo_runs\jeminise.com\20260906_234129\evidence\contact_sheets\163_owl-patchwork-pattern-quilt-set-animals-quilt-set-style-owl-nights.jpg</t>
        </is>
      </c>
    </row>
    <row r="20" ht="66" customHeight="1">
      <c r="A20" s="2" t="inlineStr">
        <is>
          <t>jeminise.com+owl-patchwork-pattern-quilt-set-animals-quilt-set-style-owl-nights</t>
        </is>
      </c>
      <c r="B20" s="2" t="inlineStr">
        <is>
          <t>img_48f38ae67adbf28d</t>
        </is>
      </c>
      <c r="C20" s="4" t="inlineStr">
        <is>
          <t>https://cdn.shopify.com/s/files/1/0792/5098/1063/files/dac8033ccef3e1ff953003c53d9a62b59fa1e74b2ab002ec0c056348688e6569.jpg?v=1787233688</t>
        </is>
      </c>
      <c r="D20" s="4" t="inlineStr">
        <is>
          <t>https://cdn.shopify.com/s/files/1/0792/5098/1063/files/dac8033ccef3e1ff953003c53d9a62b59fa1e74b2ab002ec0c056348688e6569.jpg?v=1787233688</t>
        </is>
      </c>
      <c r="E20" s="2" t="inlineStr">
        <is>
          <t>47933463003335</t>
        </is>
      </c>
      <c r="F20" s="2" t="inlineStr">
        <is>
          <t>47933463003335</t>
        </is>
      </c>
      <c r="G20" s="2" t="inlineStr"/>
      <c r="H20" s="2" t="inlineStr">
        <is>
          <t>GALLERY</t>
        </is>
      </c>
      <c r="I20" s="2" t="inlineStr">
        <is>
          <t>DIRECT_IMAGE_DOWNLOAD_AND_SOURCE_ROW_REVIEW</t>
        </is>
      </c>
      <c r="J20" s="2" t="inlineStr">
        <is>
          <t>2026-09-07T21:30:37+07:00</t>
        </is>
      </c>
      <c r="K20" s="2" t="inlineStr">
        <is>
          <t>Direct QA opened downloaded image 163_05; source SHA D92DACF13E1ACDF944A6CF3810C5348EAC95A8413D0B3131929B0D3FA724E40B. Submitted observation reviewed against gallery position.</t>
        </is>
      </c>
      <c r="L20" s="2" t="inlineStr">
        <is>
          <t>Additional mockup, care or size information for blue gold owl night patchwork quilt.</t>
        </is>
      </c>
      <c r="M20" s="2" t="inlineStr">
        <is>
          <t>UNKNOWN</t>
        </is>
      </c>
      <c r="N20" s="2" t="inlineStr">
        <is>
          <t>SET</t>
        </is>
      </c>
      <c r="O20" s="2" t="inlineStr">
        <is>
          <t>Fitted sheet or size feature image for Blue Gold Owl Night Patchwork Quilt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c r="Z20" s="2" t="inlineStr">
        <is>
          <t>D:\Shopify_Workspace\jeminise_seo\seo_runs\jeminise.com\20260906_234129\qa\20260907_212312\images\163_05.jpg; seo_runs\jeminise.com\20260906_234129\evidence\images\163_owl-patchwork-pattern-quilt-set-animals-quilt-set-style-owl-nights\image_05_47933463003335.jpg; seo_runs\jeminise.com\20260906_234129\evidence\contact_sheets\163_owl-patchwork-pattern-quilt-set-animals-quilt-set-style-owl-nights.jpg</t>
        </is>
      </c>
    </row>
    <row r="21" ht="66" customHeight="1">
      <c r="A21" s="3" t="inlineStr">
        <is>
          <t>jeminise.com+owl-patchwork-pattern-quilt-set-animals-quilt-set-style-owl-nights</t>
        </is>
      </c>
      <c r="B21" s="3" t="inlineStr">
        <is>
          <t>img_62ecd3b014c00446</t>
        </is>
      </c>
      <c r="C21" s="4" t="inlineStr">
        <is>
          <t>https://cdn.shopify.com/s/files/1/0792/5098/1063/files/f095089ab7e2322f9d282beb998fa6a7ca93bd23ffea553618ab9ab073cac9e5.jpg?v=1787233687</t>
        </is>
      </c>
      <c r="D21" s="4" t="inlineStr">
        <is>
          <t>https://cdn.shopify.com/s/files/1/0792/5098/1063/files/f095089ab7e2322f9d282beb998fa6a7ca93bd23ffea553618ab9ab073cac9e5.jpg?v=1787233687</t>
        </is>
      </c>
      <c r="E21" s="3" t="inlineStr">
        <is>
          <t>47933463036103</t>
        </is>
      </c>
      <c r="F21" s="3" t="inlineStr">
        <is>
          <t>47933463036103</t>
        </is>
      </c>
      <c r="G21" s="3" t="inlineStr"/>
      <c r="H21" s="3" t="inlineStr">
        <is>
          <t>GALLERY</t>
        </is>
      </c>
      <c r="I21" s="3" t="inlineStr">
        <is>
          <t>DIRECT_IMAGE_DOWNLOAD_AND_SOURCE_ROW_REVIEW</t>
        </is>
      </c>
      <c r="J21" s="3" t="inlineStr">
        <is>
          <t>2026-09-07T21:30:37+07:00</t>
        </is>
      </c>
      <c r="K21" s="3" t="inlineStr">
        <is>
          <t>Direct QA opened downloaded image 163_06; source SHA 710952B45AC0519ADA1619AF79A25569674FB331F17F6CFD1ABA7EE5820193D9. Submitted observation reviewed against gallery position.</t>
        </is>
      </c>
      <c r="L21" s="3" t="inlineStr">
        <is>
          <t>Easy-care, size guide or product feature image for blue gold owl night patchwork quilt.</t>
        </is>
      </c>
      <c r="M21" s="3" t="inlineStr">
        <is>
          <t>UNKNOWN</t>
        </is>
      </c>
      <c r="N21" s="3" t="inlineStr">
        <is>
          <t>SET</t>
        </is>
      </c>
      <c r="O21" s="3" t="inlineStr">
        <is>
          <t>Set contents and size chart image for Blue Gold Owl Night Patchwork Quilt</t>
        </is>
      </c>
      <c r="P21" s="3" t="inlineStr">
        <is>
          <t>FULL</t>
        </is>
      </c>
      <c r="Q21" s="3" t="inlineStr">
        <is>
          <t>PARTIAL</t>
        </is>
      </c>
      <c r="R21" s="3" t="inlineStr">
        <is>
          <t>PARTIAL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ISSUE-0029; ISSUE-0030</t>
        </is>
      </c>
      <c r="Z21" s="3" t="inlineStr">
        <is>
          <t>D:\Shopify_Workspace\jeminise_seo\seo_runs\jeminise.com\20260906_234129\qa\20260907_212312\images\163_06.jpg; seo_runs\jeminise.com\20260906_234129\evidence\images\163_owl-patchwork-pattern-quilt-set-animals-quilt-set-style-owl-nights\image_06_47933463036103.jpg; seo_runs\jeminise.com\20260906_234129\evidence\contact_sheets\163_owl-patchwork-pattern-quilt-set-animals-quilt-set-style-owl-nights.jpg</t>
        </is>
      </c>
    </row>
    <row r="22" ht="66" customHeight="1">
      <c r="A22" s="2" t="inlineStr">
        <is>
          <t>jeminise.com+owl-patchwork-pattern-quilt-set-animals-quilt-set-style-owl-nights</t>
        </is>
      </c>
      <c r="B22" s="2" t="inlineStr">
        <is>
          <t>img_3c9a72607271f5bb</t>
        </is>
      </c>
      <c r="C22" s="4" t="inlineStr">
        <is>
          <t>https://cdn.shopify.com/s/files/1/0792/5098/1063/files/4274176e594f473f9f9517f8df32a36888e067f66081c7c7ac33d02f839dab17.jpg?v=1787233688</t>
        </is>
      </c>
      <c r="D22" s="4" t="inlineStr">
        <is>
          <t>https://cdn.shopify.com/s/files/1/0792/5098/1063/files/4274176e594f473f9f9517f8df32a36888e067f66081c7c7ac33d02f839dab17.jpg?v=1787233688</t>
        </is>
      </c>
      <c r="E22" s="2" t="inlineStr">
        <is>
          <t>47933463068871</t>
        </is>
      </c>
      <c r="F22" s="2" t="inlineStr">
        <is>
          <t>47933463068871</t>
        </is>
      </c>
      <c r="G22" s="2" t="inlineStr"/>
      <c r="H22" s="2" t="inlineStr">
        <is>
          <t>GALLERY</t>
        </is>
      </c>
      <c r="I22" s="2" t="inlineStr">
        <is>
          <t>DIRECT_IMAGE_DOWNLOAD_AND_SOURCE_ROW_REVIEW</t>
        </is>
      </c>
      <c r="J22" s="2" t="inlineStr">
        <is>
          <t>2026-09-07T21:30:37+07:00</t>
        </is>
      </c>
      <c r="K22" s="2" t="inlineStr">
        <is>
          <t>Direct QA opened downloaded image 163_07; source SHA 00CF78036B9E5271DD88006BF314163D333FB2E7EC5F2E0AF6EC0081FCF720C9. Submitted observation reviewed against gallery position.</t>
        </is>
      </c>
      <c r="L22" s="2" t="inlineStr">
        <is>
          <t>Additional lifestyle, feature or product detail image showing blue gold owl night patchwork quilt.</t>
        </is>
      </c>
      <c r="M22" s="2" t="inlineStr">
        <is>
          <t>UNKNOWN</t>
        </is>
      </c>
      <c r="N22" s="2" t="inlineStr">
        <is>
          <t>SET</t>
        </is>
      </c>
      <c r="O22" s="2" t="inlineStr">
        <is>
          <t>Additional product mockup of Blue Gold Owl Night Patchwork Quilt</t>
        </is>
      </c>
      <c r="P22" s="2" t="inlineStr">
        <is>
          <t>FULL</t>
        </is>
      </c>
      <c r="Q22" s="2" t="inlineStr">
        <is>
          <t>PARTIAL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ISSUE-0031</t>
        </is>
      </c>
      <c r="Z22" s="2" t="inlineStr">
        <is>
          <t>D:\Shopify_Workspace\jeminise_seo\seo_runs\jeminise.com\20260906_234129\qa\20260907_212312\images\163_07.jpg; seo_runs\jeminise.com\20260906_234129\evidence\images\163_owl-patchwork-pattern-quilt-set-animals-quilt-set-style-owl-nights\image_07_47933463068871.jpg; seo_runs\jeminise.com\20260906_234129\evidence\contact_sheets\163_owl-patchwork-pattern-quilt-set-animals-quilt-set-style-owl-nights.jpg</t>
        </is>
      </c>
    </row>
    <row r="23" ht="66" customHeight="1">
      <c r="A23" s="3" t="inlineStr">
        <is>
          <t>jeminise.com+pamnest-twin-halloween-comforter-set-with-sheets-5-pieces-design-01</t>
        </is>
      </c>
      <c r="B23" s="3" t="inlineStr">
        <is>
          <t>img_a2e12ffadb482f41</t>
        </is>
      </c>
      <c r="C23" s="4" t="inlineStr">
        <is>
          <t>https://cdn.shopify.com/s/files/1/0792/5098/1063/files/78a96e41092763591645a0417450b0227ec7a4e31e21df8a327fb2d2f9428605.jpg?v=1787936155</t>
        </is>
      </c>
      <c r="D23" s="4" t="inlineStr">
        <is>
          <t>https://cdn.shopify.com/s/files/1/0792/5098/1063/files/78a96e41092763591645a0417450b0227ec7a4e31e21df8a327fb2d2f9428605.jpg?v=1787936155</t>
        </is>
      </c>
      <c r="E23" s="3" t="inlineStr">
        <is>
          <t>48066073723079</t>
        </is>
      </c>
      <c r="F23" s="3" t="inlineStr">
        <is>
          <t>48066073723079</t>
        </is>
      </c>
      <c r="G23" s="3" t="inlineStr">
        <is>
          <t>47062244032711,47062244065479,47062244098247</t>
        </is>
      </c>
      <c r="H23" s="3" t="inlineStr">
        <is>
          <t>GALLERY</t>
        </is>
      </c>
      <c r="I23" s="3" t="inlineStr">
        <is>
          <t>DIRECT_IMAGE_DOWNLOAD_AND_SOURCE_ROW_REVIEW</t>
        </is>
      </c>
      <c r="J23" s="3" t="inlineStr">
        <is>
          <t>2026-09-07T21:30:37+07:00</t>
        </is>
      </c>
      <c r="K23" s="3" t="inlineStr">
        <is>
          <t>Direct QA opened downloaded image 164_01; source SHA 59F9CE932CC72779824F9ED62AF8E2E390DF8C0FBC9F6E8E485DE0B13EEB8796. Submitted observation reviewed against gallery position.</t>
        </is>
      </c>
      <c r="L23" s="3" t="inlineStr">
        <is>
          <t>Main product mockup showing white black Halloween witch comforter set.</t>
        </is>
      </c>
      <c r="M23" s="3" t="inlineStr">
        <is>
          <t>UNKNOWN</t>
        </is>
      </c>
      <c r="N23" s="3" t="inlineStr">
        <is>
          <t>SET</t>
        </is>
      </c>
      <c r="O23" s="3" t="inlineStr">
        <is>
          <t>White Black Halloween Witch Comforter Set displayed in a main product mockup</t>
        </is>
      </c>
      <c r="P23" s="3" t="inlineStr">
        <is>
          <t>FULL</t>
        </is>
      </c>
      <c r="Q23" s="3" t="inlineStr">
        <is>
          <t>FULL</t>
        </is>
      </c>
      <c r="R23" s="3" t="inlineStr">
        <is>
          <t>PARTIAL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ISSUE-0036</t>
        </is>
      </c>
      <c r="Z23" s="3" t="inlineStr">
        <is>
          <t>D:\Shopify_Workspace\jeminise_seo\seo_runs\jeminise.com\20260906_234129\qa\20260907_212312\images\164_01.jpg; seo_runs\jeminise.com\20260906_234129\evidence\images\164_pamnest-twin-halloween-comforter-set-with-sheets-5-pieces-design-01\image_01_48066073723079.jpg; seo_runs\jeminise.com\20260906_234129\evidence\contact_sheets\164_pamnest-twin-halloween-comforter-set-with-sheets-5-pieces-design-01.jpg</t>
        </is>
      </c>
    </row>
    <row r="24" ht="66" customHeight="1">
      <c r="A24" s="2" t="inlineStr">
        <is>
          <t>jeminise.com+pamnest-twin-halloween-comforter-set-with-sheets-5-pieces-design-01</t>
        </is>
      </c>
      <c r="B24" s="2" t="inlineStr">
        <is>
          <t>img_5ae88f5e35622805</t>
        </is>
      </c>
      <c r="C24" s="4" t="inlineStr">
        <is>
          <t>https://cdn.shopify.com/s/files/1/0792/5098/1063/files/8496cc324b64f4d38b8aec3e807b5b59dc024527330b8859a4ebd9c1c43313ff.jpg?v=1787936155</t>
        </is>
      </c>
      <c r="D24" s="4" t="inlineStr">
        <is>
          <t>https://cdn.shopify.com/s/files/1/0792/5098/1063/files/8496cc324b64f4d38b8aec3e807b5b59dc024527330b8859a4ebd9c1c43313ff.jpg?v=1787936155</t>
        </is>
      </c>
      <c r="E24" s="2" t="inlineStr">
        <is>
          <t>48066073886919</t>
        </is>
      </c>
      <c r="F24" s="2" t="inlineStr">
        <is>
          <t>48066073886919</t>
        </is>
      </c>
      <c r="G24" s="2" t="inlineStr"/>
      <c r="H24" s="2" t="inlineStr">
        <is>
          <t>GALLERY</t>
        </is>
      </c>
      <c r="I24" s="2" t="inlineStr">
        <is>
          <t>DIRECT_IMAGE_DOWNLOAD_AND_SOURCE_ROW_REVIEW</t>
        </is>
      </c>
      <c r="J24" s="2" t="inlineStr">
        <is>
          <t>2026-09-07T21:30:37+07:00</t>
        </is>
      </c>
      <c r="K24" s="2" t="inlineStr">
        <is>
          <t>Direct QA opened downloaded image 164_02; source SHA 4F803658AF079A482193712D6C061D8EAE56E43CC4F9F0235C60961ADB32BD28. Submitted observation reviewed against gallery position.</t>
        </is>
      </c>
      <c r="L24" s="2" t="inlineStr">
        <is>
          <t>Secondary flat, close-up or bedroom mockup showing white black Halloween witch comforter set.</t>
        </is>
      </c>
      <c r="M24" s="2" t="inlineStr">
        <is>
          <t>UNKNOWN</t>
        </is>
      </c>
      <c r="N24" s="2" t="inlineStr">
        <is>
          <t>SET</t>
        </is>
      </c>
      <c r="O24" s="2" t="inlineStr">
        <is>
          <t>Close-up of the print on White Black Halloween Witch Comforter Set</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c r="Z24" s="2" t="inlineStr">
        <is>
          <t>D:\Shopify_Workspace\jeminise_seo\seo_runs\jeminise.com\20260906_234129\qa\20260907_212312\images\164_02.jpg; seo_runs\jeminise.com\20260906_234129\evidence\images\164_pamnest-twin-halloween-comforter-set-with-sheets-5-pieces-design-01\image_02_48066073886919.jpg; seo_runs\jeminise.com\20260906_234129\evidence\contact_sheets\164_pamnest-twin-halloween-comforter-set-with-sheets-5-pieces-design-01.jpg</t>
        </is>
      </c>
    </row>
    <row r="25" ht="66" customHeight="1">
      <c r="A25" s="3" t="inlineStr">
        <is>
          <t>jeminise.com+pamnest-twin-halloween-comforter-set-with-sheets-5-pieces-design-01</t>
        </is>
      </c>
      <c r="B25" s="3" t="inlineStr">
        <is>
          <t>img_366286e5e9757883</t>
        </is>
      </c>
      <c r="C25" s="4" t="inlineStr">
        <is>
          <t>https://cdn.shopify.com/s/files/1/0792/5098/1063/files/3a0f47e9dcbafab9191ddf7aa843e8572e2cec872b35c6521dc7218921e61123.jpg?v=1787936155</t>
        </is>
      </c>
      <c r="D25" s="4" t="inlineStr">
        <is>
          <t>https://cdn.shopify.com/s/files/1/0792/5098/1063/files/3a0f47e9dcbafab9191ddf7aa843e8572e2cec872b35c6521dc7218921e61123.jpg?v=1787936155</t>
        </is>
      </c>
      <c r="E25" s="3" t="inlineStr">
        <is>
          <t>48066073788615</t>
        </is>
      </c>
      <c r="F25" s="3" t="inlineStr">
        <is>
          <t>48066073788615</t>
        </is>
      </c>
      <c r="G25" s="3" t="inlineStr"/>
      <c r="H25" s="3" t="inlineStr">
        <is>
          <t>GALLERY</t>
        </is>
      </c>
      <c r="I25" s="3" t="inlineStr">
        <is>
          <t>DIRECT_IMAGE_DOWNLOAD_AND_SOURCE_ROW_REVIEW</t>
        </is>
      </c>
      <c r="J25" s="3" t="inlineStr">
        <is>
          <t>2026-09-07T21:30:37+07:00</t>
        </is>
      </c>
      <c r="K25" s="3" t="inlineStr">
        <is>
          <t>Direct QA opened downloaded image 164_03; source SHA 0A9277B9F69B3581E7209F853D84D5C9C52A99449943839CCA991C1ADCEE0220. Submitted observation reviewed against gallery position.</t>
        </is>
      </c>
      <c r="L25" s="3" t="inlineStr">
        <is>
          <t>Bedding type, feature, lifestyle or material image for white black Halloween witch comforter set.</t>
        </is>
      </c>
      <c r="M25" s="3" t="inlineStr">
        <is>
          <t>UNKNOWN</t>
        </is>
      </c>
      <c r="N25" s="3" t="inlineStr">
        <is>
          <t>SET</t>
        </is>
      </c>
      <c r="O25" s="3" t="inlineStr">
        <is>
          <t>Lifestyle bedroom mockup of White Black Halloween Witch Comforter Set</t>
        </is>
      </c>
      <c r="P25" s="3" t="inlineStr">
        <is>
          <t>FULL</t>
        </is>
      </c>
      <c r="Q25" s="3" t="inlineStr">
        <is>
          <t>PARTIAL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ISSUE-0037</t>
        </is>
      </c>
      <c r="Z25" s="3" t="inlineStr">
        <is>
          <t>D:\Shopify_Workspace\jeminise_seo\seo_runs\jeminise.com\20260906_234129\qa\20260907_212312\images\164_03.jpg; seo_runs\jeminise.com\20260906_234129\evidence\images\164_pamnest-twin-halloween-comforter-set-with-sheets-5-pieces-design-01\image_03_48066073788615.jpg; seo_runs\jeminise.com\20260906_234129\evidence\contact_sheets\164_pamnest-twin-halloween-comforter-set-with-sheets-5-pieces-design-01.jpg</t>
        </is>
      </c>
    </row>
    <row r="26" ht="66" customHeight="1">
      <c r="A26" s="2" t="inlineStr">
        <is>
          <t>jeminise.com+pamnest-twin-halloween-comforter-set-with-sheets-5-pieces-design-01</t>
        </is>
      </c>
      <c r="B26" s="2" t="inlineStr">
        <is>
          <t>img_0a5c13d0294e275e</t>
        </is>
      </c>
      <c r="C26" s="4" t="inlineStr">
        <is>
          <t>https://cdn.shopify.com/s/files/1/0792/5098/1063/files/1719f23b3d46b7c6722a21c797b77ed0780f9bbd492bf1c7f1046cc658013293.jpg?v=1787936155</t>
        </is>
      </c>
      <c r="D26" s="4" t="inlineStr">
        <is>
          <t>https://cdn.shopify.com/s/files/1/0792/5098/1063/files/1719f23b3d46b7c6722a21c797b77ed0780f9bbd492bf1c7f1046cc658013293.jpg?v=1787936155</t>
        </is>
      </c>
      <c r="E26" s="2" t="inlineStr">
        <is>
          <t>48066073821383</t>
        </is>
      </c>
      <c r="F26" s="2" t="inlineStr">
        <is>
          <t>48066073821383</t>
        </is>
      </c>
      <c r="G26" s="2" t="inlineStr"/>
      <c r="H26" s="2" t="inlineStr">
        <is>
          <t>GALLERY</t>
        </is>
      </c>
      <c r="I26" s="2" t="inlineStr">
        <is>
          <t>DIRECT_IMAGE_DOWNLOAD_AND_SOURCE_ROW_REVIEW</t>
        </is>
      </c>
      <c r="J26" s="2" t="inlineStr">
        <is>
          <t>2026-09-07T21:30:37+07:00</t>
        </is>
      </c>
      <c r="K26" s="2" t="inlineStr">
        <is>
          <t>Direct QA opened downloaded image 164_04; source SHA 4855DA93CE563247B7A11B88D83C797C2178D8BAC13FFF546CF73AC7C5B007AD. Submitted observation reviewed against gallery position.</t>
        </is>
      </c>
      <c r="L26" s="2" t="inlineStr">
        <is>
          <t>Detail, feature panel or lifestyle image connected to white black Halloween witch comforter set.</t>
        </is>
      </c>
      <c r="M26" s="2" t="inlineStr">
        <is>
          <t>UNKNOWN</t>
        </is>
      </c>
      <c r="N26" s="2" t="inlineStr">
        <is>
          <t>SET</t>
        </is>
      </c>
      <c r="O26" s="2" t="inlineStr">
        <is>
          <t>Front bed view of White Black Halloween Witch Comforter Set</t>
        </is>
      </c>
      <c r="P26" s="2" t="inlineStr">
        <is>
          <t>FULL</t>
        </is>
      </c>
      <c r="Q26" s="2" t="inlineStr">
        <is>
          <t>PARTIAL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ISSUE-0038</t>
        </is>
      </c>
      <c r="Z26" s="2" t="inlineStr">
        <is>
          <t>D:\Shopify_Workspace\jeminise_seo\seo_runs\jeminise.com\20260906_234129\qa\20260907_212312\images\164_04.jpg; seo_runs\jeminise.com\20260906_234129\evidence\images\164_pamnest-twin-halloween-comforter-set-with-sheets-5-pieces-design-01\image_04_48066073821383.jpg; seo_runs\jeminise.com\20260906_234129\evidence\contact_sheets\164_pamnest-twin-halloween-comforter-set-with-sheets-5-pieces-design-01.jpg</t>
        </is>
      </c>
    </row>
    <row r="27" ht="66" customHeight="1">
      <c r="A27" s="3" t="inlineStr">
        <is>
          <t>jeminise.com+pamnest-twin-halloween-comforter-set-with-sheets-5-pieces-design-01</t>
        </is>
      </c>
      <c r="B27" s="3" t="inlineStr">
        <is>
          <t>img_b5eacd06f393dd69</t>
        </is>
      </c>
      <c r="C27" s="4" t="inlineStr">
        <is>
          <t>https://cdn.shopify.com/s/files/1/0792/5098/1063/files/f05b5b4966cbfbf6e7138bce62a10e8d53a6554d2095ee522f5577dc8f19de13.jpg?v=1787936155</t>
        </is>
      </c>
      <c r="D27" s="4" t="inlineStr">
        <is>
          <t>https://cdn.shopify.com/s/files/1/0792/5098/1063/files/f05b5b4966cbfbf6e7138bce62a10e8d53a6554d2095ee522f5577dc8f19de13.jpg?v=1787936155</t>
        </is>
      </c>
      <c r="E27" s="3" t="inlineStr">
        <is>
          <t>48066073854151</t>
        </is>
      </c>
      <c r="F27" s="3" t="inlineStr">
        <is>
          <t>48066073854151</t>
        </is>
      </c>
      <c r="G27" s="3" t="inlineStr"/>
      <c r="H27" s="3" t="inlineStr">
        <is>
          <t>GALLERY</t>
        </is>
      </c>
      <c r="I27" s="3" t="inlineStr">
        <is>
          <t>DIRECT_IMAGE_DOWNLOAD_AND_SOURCE_ROW_REVIEW</t>
        </is>
      </c>
      <c r="J27" s="3" t="inlineStr">
        <is>
          <t>2026-09-07T21:30:37+07:00</t>
        </is>
      </c>
      <c r="K27" s="3" t="inlineStr">
        <is>
          <t>Direct QA opened downloaded image 164_05; source SHA 809B3ECD83AED0CAA2010656FE734B5AB8D96D036358CFF86225C3D8B52BC2E3. Submitted observation reviewed against gallery position.</t>
        </is>
      </c>
      <c r="L27" s="3" t="inlineStr">
        <is>
          <t>Additional mockup, care or size information for white black Halloween witch comforter set.</t>
        </is>
      </c>
      <c r="M27" s="3" t="inlineStr">
        <is>
          <t>UNKNOWN</t>
        </is>
      </c>
      <c r="N27" s="3" t="inlineStr">
        <is>
          <t>SET</t>
        </is>
      </c>
      <c r="O27" s="3" t="inlineStr">
        <is>
          <t>Fitted sheet or size feature image for White Black Halloween Witch Comforter Set</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c r="Z27" s="3" t="inlineStr">
        <is>
          <t>D:\Shopify_Workspace\jeminise_seo\seo_runs\jeminise.com\20260906_234129\qa\20260907_212312\images\164_05.jpg; seo_runs\jeminise.com\20260906_234129\evidence\images\164_pamnest-twin-halloween-comforter-set-with-sheets-5-pieces-design-01\image_05_48066073854151.jpg; seo_runs\jeminise.com\20260906_234129\evidence\contact_sheets\164_pamnest-twin-halloween-comforter-set-with-sheets-5-pieces-design-01.jpg</t>
        </is>
      </c>
    </row>
    <row r="28" ht="66" customHeight="1">
      <c r="A28" s="2" t="inlineStr">
        <is>
          <t>jeminise.com+pamnest-twin-halloween-comforter-set-with-sheets-5-pieces-design-01</t>
        </is>
      </c>
      <c r="B28" s="2" t="inlineStr">
        <is>
          <t>img_2a79032892829598</t>
        </is>
      </c>
      <c r="C28" s="4" t="inlineStr">
        <is>
          <t>https://cdn.shopify.com/s/files/1/0792/5098/1063/files/29f57080b218682bc1f4e3c223af89a66eef5bc96e3704046ce51202cb67c670.jpg?v=1787936155</t>
        </is>
      </c>
      <c r="D28" s="4" t="inlineStr">
        <is>
          <t>https://cdn.shopify.com/s/files/1/0792/5098/1063/files/29f57080b218682bc1f4e3c223af89a66eef5bc96e3704046ce51202cb67c670.jpg?v=1787936155</t>
        </is>
      </c>
      <c r="E28" s="2" t="inlineStr">
        <is>
          <t>48066073919687</t>
        </is>
      </c>
      <c r="F28" s="2" t="inlineStr">
        <is>
          <t>48066073919687</t>
        </is>
      </c>
      <c r="G28" s="2" t="inlineStr"/>
      <c r="H28" s="2" t="inlineStr">
        <is>
          <t>GALLERY</t>
        </is>
      </c>
      <c r="I28" s="2" t="inlineStr">
        <is>
          <t>DIRECT_IMAGE_DOWNLOAD_AND_SOURCE_ROW_REVIEW</t>
        </is>
      </c>
      <c r="J28" s="2" t="inlineStr">
        <is>
          <t>2026-09-07T21:30:37+07:00</t>
        </is>
      </c>
      <c r="K28" s="2" t="inlineStr">
        <is>
          <t>Direct QA opened downloaded image 164_06; source SHA F69C59022BC7B9805A0121C477C2FE253F7F2C3E1E1AC3CA6D8E60696962D4CB. Submitted observation reviewed against gallery position.</t>
        </is>
      </c>
      <c r="L28" s="2" t="inlineStr">
        <is>
          <t>Easy-care, size guide or product feature image for white black Halloween witch comforter set.</t>
        </is>
      </c>
      <c r="M28" s="2" t="inlineStr">
        <is>
          <t>UNKNOWN</t>
        </is>
      </c>
      <c r="N28" s="2" t="inlineStr">
        <is>
          <t>SET</t>
        </is>
      </c>
      <c r="O28" s="2" t="inlineStr">
        <is>
          <t>Set contents and size chart image for White Black Halloween Witch Comforter Set</t>
        </is>
      </c>
      <c r="P28" s="2" t="inlineStr">
        <is>
          <t>FULL</t>
        </is>
      </c>
      <c r="Q28" s="2" t="inlineStr">
        <is>
          <t>PARTIAL</t>
        </is>
      </c>
      <c r="R28" s="2" t="inlineStr">
        <is>
          <t>PARTIAL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ISSUE-0039; ISSUE-0040</t>
        </is>
      </c>
      <c r="Z28" s="2" t="inlineStr">
        <is>
          <t>D:\Shopify_Workspace\jeminise_seo\seo_runs\jeminise.com\20260906_234129\qa\20260907_212312\images\164_06.jpg; seo_runs\jeminise.com\20260906_234129\evidence\images\164_pamnest-twin-halloween-comforter-set-with-sheets-5-pieces-design-01\image_06_48066073919687.jpg; seo_runs\jeminise.com\20260906_234129\evidence\contact_sheets\164_pamnest-twin-halloween-comforter-set-with-sheets-5-pieces-design-01.jpg</t>
        </is>
      </c>
    </row>
    <row r="29" ht="66" customHeight="1">
      <c r="A29" s="3" t="inlineStr">
        <is>
          <t>jeminise.com+pamnest-twin-halloween-comforter-set-with-sheets-5-pieces-design-02</t>
        </is>
      </c>
      <c r="B29" s="3" t="inlineStr">
        <is>
          <t>img_223dbdfdbd23286e</t>
        </is>
      </c>
      <c r="C29" s="4" t="inlineStr">
        <is>
          <t>https://cdn.shopify.com/s/files/1/0792/5098/1063/files/33827958b0d3465c97d89ef8a7a7e67a7aa5b22c8c0c87d5a26f80b5c0d5fd2b.jpg?v=1787936172</t>
        </is>
      </c>
      <c r="D29" s="4" t="inlineStr">
        <is>
          <t>https://cdn.shopify.com/s/files/1/0792/5098/1063/files/33827958b0d3465c97d89ef8a7a7e67a7aa5b22c8c0c87d5a26f80b5c0d5fd2b.jpg?v=1787936172</t>
        </is>
      </c>
      <c r="E29" s="3" t="inlineStr">
        <is>
          <t>48066074017991</t>
        </is>
      </c>
      <c r="F29" s="3" t="inlineStr">
        <is>
          <t>48066074017991</t>
        </is>
      </c>
      <c r="G29" s="3" t="inlineStr">
        <is>
          <t>47062244327623,47062244360391,47062244393159,47062244425927</t>
        </is>
      </c>
      <c r="H29" s="3" t="inlineStr">
        <is>
          <t>GALLERY</t>
        </is>
      </c>
      <c r="I29" s="3" t="inlineStr">
        <is>
          <t>DIRECT_IMAGE_DOWNLOAD_AND_SOURCE_ROW_REVIEW</t>
        </is>
      </c>
      <c r="J29" s="3" t="inlineStr">
        <is>
          <t>2026-09-07T21:30:37+07:00</t>
        </is>
      </c>
      <c r="K29" s="3" t="inlineStr">
        <is>
          <t>Direct QA opened downloaded image 165_01; source SHA F794D64CB86CCF057A4AC42A151BE64D0F35435847AA8C1A51CD37CA683DA223. Submitted observation reviewed against gallery position.</t>
        </is>
      </c>
      <c r="L29" s="3" t="inlineStr">
        <is>
          <t>Main product mockup showing gray Halloween ghost pumpkin comforter set.</t>
        </is>
      </c>
      <c r="M29" s="3" t="inlineStr">
        <is>
          <t>UNKNOWN</t>
        </is>
      </c>
      <c r="N29" s="3" t="inlineStr">
        <is>
          <t>SET</t>
        </is>
      </c>
      <c r="O29" s="3" t="inlineStr">
        <is>
          <t>Gray Halloween Ghost Pumpkin Comforter Set displayed in a main product mockup</t>
        </is>
      </c>
      <c r="P29" s="3" t="inlineStr">
        <is>
          <t>FULL</t>
        </is>
      </c>
      <c r="Q29" s="3" t="inlineStr">
        <is>
          <t>FULL</t>
        </is>
      </c>
      <c r="R29" s="3" t="inlineStr">
        <is>
          <t>PARTIAL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ISSUE-0045</t>
        </is>
      </c>
      <c r="Z29" s="3" t="inlineStr">
        <is>
          <t>D:\Shopify_Workspace\jeminise_seo\seo_runs\jeminise.com\20260906_234129\qa\20260907_212312\images\165_01.jpg; seo_runs\jeminise.com\20260906_234129\evidence\images\165_pamnest-twin-halloween-comforter-set-with-sheets-5-pieces-design-02\image_01_48066074017991.jpg; seo_runs\jeminise.com\20260906_234129\evidence\contact_sheets\165_pamnest-twin-halloween-comforter-set-with-sheets-5-pieces-design-02.jpg</t>
        </is>
      </c>
    </row>
    <row r="30" ht="66" customHeight="1">
      <c r="A30" s="2" t="inlineStr">
        <is>
          <t>jeminise.com+pamnest-twin-halloween-comforter-set-with-sheets-5-pieces-design-02</t>
        </is>
      </c>
      <c r="B30" s="2" t="inlineStr">
        <is>
          <t>img_8db9532d6e5580c3</t>
        </is>
      </c>
      <c r="C30" s="4" t="inlineStr">
        <is>
          <t>https://cdn.shopify.com/s/files/1/0792/5098/1063/files/fdc074927f13099e3ddba121f8393f7840633627dc879650a5a8ea085bd8febe.jpg?v=1787936172</t>
        </is>
      </c>
      <c r="D30" s="4" t="inlineStr">
        <is>
          <t>https://cdn.shopify.com/s/files/1/0792/5098/1063/files/fdc074927f13099e3ddba121f8393f7840633627dc879650a5a8ea085bd8febe.jpg?v=1787936172</t>
        </is>
      </c>
      <c r="E30" s="2" t="inlineStr">
        <is>
          <t>48066074181831</t>
        </is>
      </c>
      <c r="F30" s="2" t="inlineStr">
        <is>
          <t>48066074181831</t>
        </is>
      </c>
      <c r="G30" s="2" t="inlineStr"/>
      <c r="H30" s="2" t="inlineStr">
        <is>
          <t>GALLERY</t>
        </is>
      </c>
      <c r="I30" s="2" t="inlineStr">
        <is>
          <t>DIRECT_IMAGE_DOWNLOAD_AND_SOURCE_ROW_REVIEW</t>
        </is>
      </c>
      <c r="J30" s="2" t="inlineStr">
        <is>
          <t>2026-09-07T21:30:37+07:00</t>
        </is>
      </c>
      <c r="K30" s="2" t="inlineStr">
        <is>
          <t>Direct QA opened downloaded image 165_02; source SHA 399C400EB9B68EA81DC264BD6E9675C2E9BA92C1DD96B8702FD3B08859FACF77. Submitted observation reviewed against gallery position.</t>
        </is>
      </c>
      <c r="L30" s="2" t="inlineStr">
        <is>
          <t>Secondary flat, close-up or bedroom mockup showing gray Halloween ghost pumpkin comforter set.</t>
        </is>
      </c>
      <c r="M30" s="2" t="inlineStr">
        <is>
          <t>UNKNOWN</t>
        </is>
      </c>
      <c r="N30" s="2" t="inlineStr">
        <is>
          <t>SET</t>
        </is>
      </c>
      <c r="O30" s="2" t="inlineStr">
        <is>
          <t>Close-up of the print on Gray Halloween Ghost Pumpkin Comforter Set</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c r="Z30" s="2" t="inlineStr">
        <is>
          <t>D:\Shopify_Workspace\jeminise_seo\seo_runs\jeminise.com\20260906_234129\qa\20260907_212312\images\165_02.jpg; seo_runs\jeminise.com\20260906_234129\evidence\images\165_pamnest-twin-halloween-comforter-set-with-sheets-5-pieces-design-02\image_02_48066074181831.jpg; seo_runs\jeminise.com\20260906_234129\evidence\contact_sheets\165_pamnest-twin-halloween-comforter-set-with-sheets-5-pieces-design-02.jpg</t>
        </is>
      </c>
    </row>
    <row r="31" ht="66" customHeight="1">
      <c r="A31" s="3" t="inlineStr">
        <is>
          <t>jeminise.com+pamnest-twin-halloween-comforter-set-with-sheets-5-pieces-design-02</t>
        </is>
      </c>
      <c r="B31" s="3" t="inlineStr">
        <is>
          <t>img_abd32113247337ea</t>
        </is>
      </c>
      <c r="C31" s="4" t="inlineStr">
        <is>
          <t>https://cdn.shopify.com/s/files/1/0792/5098/1063/files/a18c5a71570f28636f9f2ca9d6b8130fc7d60bcb88cb88d9623b134efc54b9e5.jpg?v=1787936172</t>
        </is>
      </c>
      <c r="D31" s="4" t="inlineStr">
        <is>
          <t>https://cdn.shopify.com/s/files/1/0792/5098/1063/files/a18c5a71570f28636f9f2ca9d6b8130fc7d60bcb88cb88d9623b134efc54b9e5.jpg?v=1787936172</t>
        </is>
      </c>
      <c r="E31" s="3" t="inlineStr">
        <is>
          <t>48066074116295</t>
        </is>
      </c>
      <c r="F31" s="3" t="inlineStr">
        <is>
          <t>48066074116295</t>
        </is>
      </c>
      <c r="G31" s="3" t="inlineStr"/>
      <c r="H31" s="3" t="inlineStr">
        <is>
          <t>GALLERY</t>
        </is>
      </c>
      <c r="I31" s="3" t="inlineStr">
        <is>
          <t>DIRECT_IMAGE_DOWNLOAD_AND_SOURCE_ROW_REVIEW</t>
        </is>
      </c>
      <c r="J31" s="3" t="inlineStr">
        <is>
          <t>2026-09-07T21:30:37+07:00</t>
        </is>
      </c>
      <c r="K31" s="3" t="inlineStr">
        <is>
          <t>Direct QA opened downloaded image 165_03; source SHA 32562713983326E48546CCF1788F2130777B6841FB88F605DFA279276F501BC9. Submitted observation reviewed against gallery position.</t>
        </is>
      </c>
      <c r="L31" s="3" t="inlineStr">
        <is>
          <t>Bedding type, feature, lifestyle or material image for gray Halloween ghost pumpkin comforter set.</t>
        </is>
      </c>
      <c r="M31" s="3" t="inlineStr">
        <is>
          <t>UNKNOWN</t>
        </is>
      </c>
      <c r="N31" s="3" t="inlineStr">
        <is>
          <t>SET</t>
        </is>
      </c>
      <c r="O31" s="3" t="inlineStr">
        <is>
          <t>Lifestyle bedroom mockup of Gray Halloween Ghost Pumpkin Comforter Set</t>
        </is>
      </c>
      <c r="P31" s="3" t="inlineStr">
        <is>
          <t>FULL</t>
        </is>
      </c>
      <c r="Q31" s="3" t="inlineStr">
        <is>
          <t>PARTIAL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ISSUE-0046</t>
        </is>
      </c>
      <c r="Z31" s="3" t="inlineStr">
        <is>
          <t>D:\Shopify_Workspace\jeminise_seo\seo_runs\jeminise.com\20260906_234129\qa\20260907_212312\images\165_03.jpg; seo_runs\jeminise.com\20260906_234129\evidence\images\165_pamnest-twin-halloween-comforter-set-with-sheets-5-pieces-design-02\image_03_48066074116295.jpg; seo_runs\jeminise.com\20260906_234129\evidence\contact_sheets\165_pamnest-twin-halloween-comforter-set-with-sheets-5-pieces-design-02.jpg</t>
        </is>
      </c>
    </row>
    <row r="32" ht="66" customHeight="1">
      <c r="A32" s="2" t="inlineStr">
        <is>
          <t>jeminise.com+pamnest-twin-halloween-comforter-set-with-sheets-5-pieces-design-02</t>
        </is>
      </c>
      <c r="B32" s="2" t="inlineStr">
        <is>
          <t>img_157bd8ca18b1ecc8</t>
        </is>
      </c>
      <c r="C32" s="4" t="inlineStr">
        <is>
          <t>https://cdn.shopify.com/s/files/1/0792/5098/1063/files/1a110cdeb4611bb06dc73025e19e092ef38bf550ce9870452a33b81728254f09.jpg?v=1787936172</t>
        </is>
      </c>
      <c r="D32" s="4" t="inlineStr">
        <is>
          <t>https://cdn.shopify.com/s/files/1/0792/5098/1063/files/1a110cdeb4611bb06dc73025e19e092ef38bf550ce9870452a33b81728254f09.jpg?v=1787936172</t>
        </is>
      </c>
      <c r="E32" s="2" t="inlineStr">
        <is>
          <t>48066074149063</t>
        </is>
      </c>
      <c r="F32" s="2" t="inlineStr">
        <is>
          <t>48066074149063</t>
        </is>
      </c>
      <c r="G32" s="2" t="inlineStr"/>
      <c r="H32" s="2" t="inlineStr">
        <is>
          <t>GALLERY</t>
        </is>
      </c>
      <c r="I32" s="2" t="inlineStr">
        <is>
          <t>DIRECT_IMAGE_DOWNLOAD_AND_SOURCE_ROW_REVIEW</t>
        </is>
      </c>
      <c r="J32" s="2" t="inlineStr">
        <is>
          <t>2026-09-07T21:30:37+07:00</t>
        </is>
      </c>
      <c r="K32" s="2" t="inlineStr">
        <is>
          <t>Direct QA opened downloaded image 165_04; source SHA 525EF40045C3C9204B012715AE6253FA93D21236F6E34CA139273A29605414D9. Submitted observation reviewed against gallery position.</t>
        </is>
      </c>
      <c r="L32" s="2" t="inlineStr">
        <is>
          <t>Detail, feature panel or lifestyle image connected to gray Halloween ghost pumpkin comforter set.</t>
        </is>
      </c>
      <c r="M32" s="2" t="inlineStr">
        <is>
          <t>UNKNOWN</t>
        </is>
      </c>
      <c r="N32" s="2" t="inlineStr">
        <is>
          <t>SET</t>
        </is>
      </c>
      <c r="O32" s="2" t="inlineStr">
        <is>
          <t>Front bed view of Gray Halloween Ghost Pumpkin Comforter Set</t>
        </is>
      </c>
      <c r="P32" s="2" t="inlineStr">
        <is>
          <t>FULL</t>
        </is>
      </c>
      <c r="Q32" s="2" t="inlineStr">
        <is>
          <t>PARTIAL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ISSUE-0047</t>
        </is>
      </c>
      <c r="Z32" s="2" t="inlineStr">
        <is>
          <t>D:\Shopify_Workspace\jeminise_seo\seo_runs\jeminise.com\20260906_234129\qa\20260907_212312\images\165_04.jpg; seo_runs\jeminise.com\20260906_234129\evidence\images\165_pamnest-twin-halloween-comforter-set-with-sheets-5-pieces-design-02\image_04_48066074149063.jpg; seo_runs\jeminise.com\20260906_234129\evidence\contact_sheets\165_pamnest-twin-halloween-comforter-set-with-sheets-5-pieces-design-02.jpg</t>
        </is>
      </c>
    </row>
    <row r="33" ht="66" customHeight="1">
      <c r="A33" s="3" t="inlineStr">
        <is>
          <t>jeminise.com+pamnest-twin-halloween-comforter-set-with-sheets-5-pieces-design-02</t>
        </is>
      </c>
      <c r="B33" s="3" t="inlineStr">
        <is>
          <t>img_05997f6c540c0523</t>
        </is>
      </c>
      <c r="C33" s="4" t="inlineStr">
        <is>
          <t>https://cdn.shopify.com/s/files/1/0792/5098/1063/files/c103177b56d556545ef05a48d27d56626a4330b91a8a965b093c8a601908e1c2.jpg?v=1787936172</t>
        </is>
      </c>
      <c r="D33" s="4" t="inlineStr">
        <is>
          <t>https://cdn.shopify.com/s/files/1/0792/5098/1063/files/c103177b56d556545ef05a48d27d56626a4330b91a8a965b093c8a601908e1c2.jpg?v=1787936172</t>
        </is>
      </c>
      <c r="E33" s="3" t="inlineStr">
        <is>
          <t>48066074214599</t>
        </is>
      </c>
      <c r="F33" s="3" t="inlineStr">
        <is>
          <t>48066074214599</t>
        </is>
      </c>
      <c r="G33" s="3" t="inlineStr"/>
      <c r="H33" s="3" t="inlineStr">
        <is>
          <t>GALLERY</t>
        </is>
      </c>
      <c r="I33" s="3" t="inlineStr">
        <is>
          <t>DIRECT_IMAGE_DOWNLOAD_AND_SOURCE_ROW_REVIEW</t>
        </is>
      </c>
      <c r="J33" s="3" t="inlineStr">
        <is>
          <t>2026-09-07T21:30:37+07:00</t>
        </is>
      </c>
      <c r="K33" s="3" t="inlineStr">
        <is>
          <t>Direct QA opened downloaded image 165_05; source SHA 36D5405E2F499C34F3814DE4E074A2C23A52DC100034CA495E4BDB9E48B03108. Submitted observation reviewed against gallery position.</t>
        </is>
      </c>
      <c r="L33" s="3" t="inlineStr">
        <is>
          <t>Additional mockup, care or size information for gray Halloween ghost pumpkin comforter set.</t>
        </is>
      </c>
      <c r="M33" s="3" t="inlineStr">
        <is>
          <t>UNKNOWN</t>
        </is>
      </c>
      <c r="N33" s="3" t="inlineStr">
        <is>
          <t>SET</t>
        </is>
      </c>
      <c r="O33" s="3" t="inlineStr">
        <is>
          <t>Fitted sheet or size feature image for Gray Halloween Ghost Pumpkin Comforter Set</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c r="Z33" s="3" t="inlineStr">
        <is>
          <t>D:\Shopify_Workspace\jeminise_seo\seo_runs\jeminise.com\20260906_234129\qa\20260907_212312\images\165_05.jpg; seo_runs\jeminise.com\20260906_234129\evidence\images\165_pamnest-twin-halloween-comforter-set-with-sheets-5-pieces-design-02\image_05_48066074214599.jpg; seo_runs\jeminise.com\20260906_234129\evidence\contact_sheets\165_pamnest-twin-halloween-comforter-set-with-sheets-5-pieces-design-02.jpg</t>
        </is>
      </c>
    </row>
    <row r="34" ht="66" customHeight="1">
      <c r="A34" s="2" t="inlineStr">
        <is>
          <t>jeminise.com+pamnest-twin-halloween-comforter-set-with-sheets-5-pieces-design-03</t>
        </is>
      </c>
      <c r="B34" s="2" t="inlineStr">
        <is>
          <t>img_18e599949d42e7a6</t>
        </is>
      </c>
      <c r="C34" s="4" t="inlineStr">
        <is>
          <t>https://cdn.shopify.com/s/files/1/0792/5098/1063/files/a04eaaab4fb68dc7448e32b7978cec1d481af7cf4430a3f72b91574bcb94ba65.jpg?v=1787936250</t>
        </is>
      </c>
      <c r="D34" s="4" t="inlineStr">
        <is>
          <t>https://cdn.shopify.com/s/files/1/0792/5098/1063/files/a04eaaab4fb68dc7448e32b7978cec1d481af7cf4430a3f72b91574bcb94ba65.jpg?v=1787936250</t>
        </is>
      </c>
      <c r="E34" s="2" t="inlineStr">
        <is>
          <t>48066075492551</t>
        </is>
      </c>
      <c r="F34" s="2" t="inlineStr">
        <is>
          <t>48066075492551</t>
        </is>
      </c>
      <c r="G34" s="2" t="inlineStr">
        <is>
          <t>47062245146823,47062245179591,47062245212359,47062245245127</t>
        </is>
      </c>
      <c r="H34" s="2" t="inlineStr">
        <is>
          <t>GALLERY</t>
        </is>
      </c>
      <c r="I34" s="2" t="inlineStr">
        <is>
          <t>DIRECT_IMAGE_DOWNLOAD_AND_SOURCE_ROW_REVIEW</t>
        </is>
      </c>
      <c r="J34" s="2" t="inlineStr">
        <is>
          <t>2026-09-07T21:30:37+07:00</t>
        </is>
      </c>
      <c r="K34" s="2" t="inlineStr">
        <is>
          <t>Direct QA opened downloaded image 166_01; source SHA 4CED04FD0E11AC29CA9DD346B7344F3EAA7EA015379C0FEB91753E12250ED927. Submitted observation reviewed against gallery position.</t>
        </is>
      </c>
      <c r="L34" s="2" t="inlineStr">
        <is>
          <t>Main product mockup showing black white ghost Halloween comforter set.</t>
        </is>
      </c>
      <c r="M34" s="2" t="inlineStr">
        <is>
          <t>UNKNOWN</t>
        </is>
      </c>
      <c r="N34" s="2" t="inlineStr">
        <is>
          <t>SET</t>
        </is>
      </c>
      <c r="O34" s="2" t="inlineStr">
        <is>
          <t>Black White Ghost Halloween Comforter Set displayed in a main product mockup</t>
        </is>
      </c>
      <c r="P34" s="2" t="inlineStr">
        <is>
          <t>FULL</t>
        </is>
      </c>
      <c r="Q34" s="2" t="inlineStr">
        <is>
          <t>FULL</t>
        </is>
      </c>
      <c r="R34" s="2" t="inlineStr">
        <is>
          <t>PARTIAL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ISSUE-0052</t>
        </is>
      </c>
      <c r="Z34" s="2" t="inlineStr">
        <is>
          <t>D:\Shopify_Workspace\jeminise_seo\seo_runs\jeminise.com\20260906_234129\qa\20260907_212312\images\166_01.jpg; seo_runs\jeminise.com\20260906_234129\evidence\images\166_pamnest-twin-halloween-comforter-set-with-sheets-5-pieces-design-03\image_01_48066075492551.jpg; seo_runs\jeminise.com\20260906_234129\evidence\contact_sheets\166_pamnest-twin-halloween-comforter-set-with-sheets-5-pieces-design-03.jpg</t>
        </is>
      </c>
    </row>
    <row r="35" ht="66" customHeight="1">
      <c r="A35" s="3" t="inlineStr">
        <is>
          <t>jeminise.com+pamnest-twin-halloween-comforter-set-with-sheets-5-pieces-design-03</t>
        </is>
      </c>
      <c r="B35" s="3" t="inlineStr">
        <is>
          <t>img_b5b2f4caed8f79f1</t>
        </is>
      </c>
      <c r="C35" s="4" t="inlineStr">
        <is>
          <t>https://cdn.shopify.com/s/files/1/0792/5098/1063/files/31e8acfdca6c14ff3d16e962bde60baf0db1133fec8c67e2bf4325a3a7d561c1.jpg?v=1787936250</t>
        </is>
      </c>
      <c r="D35" s="4" t="inlineStr">
        <is>
          <t>https://cdn.shopify.com/s/files/1/0792/5098/1063/files/31e8acfdca6c14ff3d16e962bde60baf0db1133fec8c67e2bf4325a3a7d561c1.jpg?v=1787936250</t>
        </is>
      </c>
      <c r="E35" s="3" t="inlineStr">
        <is>
          <t>48066075656391</t>
        </is>
      </c>
      <c r="F35" s="3" t="inlineStr">
        <is>
          <t>48066075656391</t>
        </is>
      </c>
      <c r="G35" s="3" t="inlineStr"/>
      <c r="H35" s="3" t="inlineStr">
        <is>
          <t>GALLERY</t>
        </is>
      </c>
      <c r="I35" s="3" t="inlineStr">
        <is>
          <t>DIRECT_IMAGE_DOWNLOAD_AND_SOURCE_ROW_REVIEW</t>
        </is>
      </c>
      <c r="J35" s="3" t="inlineStr">
        <is>
          <t>2026-09-07T21:30:37+07:00</t>
        </is>
      </c>
      <c r="K35" s="3" t="inlineStr">
        <is>
          <t>Direct QA opened downloaded image 166_02; source SHA D326C600A022B75B25256E5BD255C554285C90BE2B30268765CD824D8AED7A6C. Submitted observation reviewed against gallery position.</t>
        </is>
      </c>
      <c r="L35" s="3" t="inlineStr">
        <is>
          <t>Secondary flat, close-up or bedroom mockup showing black white ghost Halloween comforter set.</t>
        </is>
      </c>
      <c r="M35" s="3" t="inlineStr">
        <is>
          <t>UNKNOWN</t>
        </is>
      </c>
      <c r="N35" s="3" t="inlineStr">
        <is>
          <t>SET</t>
        </is>
      </c>
      <c r="O35" s="3" t="inlineStr">
        <is>
          <t>Close-up of the print on Black White Ghost Halloween Comforter Set</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c r="Z35" s="3" t="inlineStr">
        <is>
          <t>D:\Shopify_Workspace\jeminise_seo\seo_runs\jeminise.com\20260906_234129\qa\20260907_212312\images\166_02.jpg; seo_runs\jeminise.com\20260906_234129\evidence\images\166_pamnest-twin-halloween-comforter-set-with-sheets-5-pieces-design-03\image_02_48066075656391.jpg; seo_runs\jeminise.com\20260906_234129\evidence\contact_sheets\166_pamnest-twin-halloween-comforter-set-with-sheets-5-pieces-design-03.jpg</t>
        </is>
      </c>
    </row>
    <row r="36" ht="66" customHeight="1">
      <c r="A36" s="2" t="inlineStr">
        <is>
          <t>jeminise.com+pamnest-twin-halloween-comforter-set-with-sheets-5-pieces-design-03</t>
        </is>
      </c>
      <c r="B36" s="2" t="inlineStr">
        <is>
          <t>img_98adb4ea2bab06c3</t>
        </is>
      </c>
      <c r="C36" s="4" t="inlineStr">
        <is>
          <t>https://cdn.shopify.com/s/files/1/0792/5098/1063/files/e96376384911eb815950bd49399e4d932894d33483e6a2657a308a3f851871b2.jpg?v=1787936250</t>
        </is>
      </c>
      <c r="D36" s="4" t="inlineStr">
        <is>
          <t>https://cdn.shopify.com/s/files/1/0792/5098/1063/files/e96376384911eb815950bd49399e4d932894d33483e6a2657a308a3f851871b2.jpg?v=1787936250</t>
        </is>
      </c>
      <c r="E36" s="2" t="inlineStr">
        <is>
          <t>48066075558087</t>
        </is>
      </c>
      <c r="F36" s="2" t="inlineStr">
        <is>
          <t>48066075558087</t>
        </is>
      </c>
      <c r="G36" s="2" t="inlineStr"/>
      <c r="H36" s="2" t="inlineStr">
        <is>
          <t>GALLERY</t>
        </is>
      </c>
      <c r="I36" s="2" t="inlineStr">
        <is>
          <t>DIRECT_IMAGE_DOWNLOAD_AND_SOURCE_ROW_REVIEW</t>
        </is>
      </c>
      <c r="J36" s="2" t="inlineStr">
        <is>
          <t>2026-09-07T21:30:37+07:00</t>
        </is>
      </c>
      <c r="K36" s="2" t="inlineStr">
        <is>
          <t>Direct QA opened downloaded image 166_03; source SHA 79006C482DA00C84E8F16E9C2DEF39F0D7D41F3C5193E2C40D496F8F98CE33AD. Submitted observation reviewed against gallery position.</t>
        </is>
      </c>
      <c r="L36" s="2" t="inlineStr">
        <is>
          <t>Bedding type, feature, lifestyle or material image for black white ghost Halloween comforter set.</t>
        </is>
      </c>
      <c r="M36" s="2" t="inlineStr">
        <is>
          <t>UNKNOWN</t>
        </is>
      </c>
      <c r="N36" s="2" t="inlineStr">
        <is>
          <t>SET</t>
        </is>
      </c>
      <c r="O36" s="2" t="inlineStr">
        <is>
          <t>Lifestyle bedroom mockup of Black White Ghost Halloween Comforter Set</t>
        </is>
      </c>
      <c r="P36" s="2" t="inlineStr">
        <is>
          <t>FULL</t>
        </is>
      </c>
      <c r="Q36" s="2" t="inlineStr">
        <is>
          <t>PARTIAL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ISSUE-0053</t>
        </is>
      </c>
      <c r="Z36" s="2" t="inlineStr">
        <is>
          <t>D:\Shopify_Workspace\jeminise_seo\seo_runs\jeminise.com\20260906_234129\qa\20260907_212312\images\166_03.jpg; seo_runs\jeminise.com\20260906_234129\evidence\images\166_pamnest-twin-halloween-comforter-set-with-sheets-5-pieces-design-03\image_03_48066075558087.jpg; seo_runs\jeminise.com\20260906_234129\evidence\contact_sheets\166_pamnest-twin-halloween-comforter-set-with-sheets-5-pieces-design-03.jpg</t>
        </is>
      </c>
    </row>
    <row r="37" ht="66" customHeight="1">
      <c r="A37" s="3" t="inlineStr">
        <is>
          <t>jeminise.com+pamnest-twin-halloween-comforter-set-with-sheets-5-pieces-design-03</t>
        </is>
      </c>
      <c r="B37" s="3" t="inlineStr">
        <is>
          <t>img_48a696a61579ec77</t>
        </is>
      </c>
      <c r="C37" s="4" t="inlineStr">
        <is>
          <t>https://cdn.shopify.com/s/files/1/0792/5098/1063/files/ac42bb85dc2b37a8d6b9f4d966756ea755486c3f61c156cf8759fda5147a0335.jpg?v=1787936250</t>
        </is>
      </c>
      <c r="D37" s="4" t="inlineStr">
        <is>
          <t>https://cdn.shopify.com/s/files/1/0792/5098/1063/files/ac42bb85dc2b37a8d6b9f4d966756ea755486c3f61c156cf8759fda5147a0335.jpg?v=1787936250</t>
        </is>
      </c>
      <c r="E37" s="3" t="inlineStr">
        <is>
          <t>48066075590855</t>
        </is>
      </c>
      <c r="F37" s="3" t="inlineStr">
        <is>
          <t>48066075590855</t>
        </is>
      </c>
      <c r="G37" s="3" t="inlineStr"/>
      <c r="H37" s="3" t="inlineStr">
        <is>
          <t>GALLERY</t>
        </is>
      </c>
      <c r="I37" s="3" t="inlineStr">
        <is>
          <t>DIRECT_IMAGE_DOWNLOAD_AND_SOURCE_ROW_REVIEW</t>
        </is>
      </c>
      <c r="J37" s="3" t="inlineStr">
        <is>
          <t>2026-09-07T21:30:37+07:00</t>
        </is>
      </c>
      <c r="K37" s="3" t="inlineStr">
        <is>
          <t>Direct QA opened downloaded image 166_04; source SHA 16B7259E23D701C2508E55AB93AE1582BCB6DD56371C0DF75646C96856171D73. Submitted observation reviewed against gallery position.</t>
        </is>
      </c>
      <c r="L37" s="3" t="inlineStr">
        <is>
          <t>Detail, feature panel or lifestyle image connected to black white ghost Halloween comforter set.</t>
        </is>
      </c>
      <c r="M37" s="3" t="inlineStr">
        <is>
          <t>UNKNOWN</t>
        </is>
      </c>
      <c r="N37" s="3" t="inlineStr">
        <is>
          <t>SET</t>
        </is>
      </c>
      <c r="O37" s="3" t="inlineStr">
        <is>
          <t>Front bed view of Black White Ghost Halloween Comforter Set</t>
        </is>
      </c>
      <c r="P37" s="3" t="inlineStr">
        <is>
          <t>FULL</t>
        </is>
      </c>
      <c r="Q37" s="3" t="inlineStr">
        <is>
          <t>PARTIAL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ISSUE-0054</t>
        </is>
      </c>
      <c r="Z37" s="3" t="inlineStr">
        <is>
          <t>D:\Shopify_Workspace\jeminise_seo\seo_runs\jeminise.com\20260906_234129\qa\20260907_212312\images\166_04.jpg; seo_runs\jeminise.com\20260906_234129\evidence\images\166_pamnest-twin-halloween-comforter-set-with-sheets-5-pieces-design-03\image_04_48066075590855.jpg; seo_runs\jeminise.com\20260906_234129\evidence\contact_sheets\166_pamnest-twin-halloween-comforter-set-with-sheets-5-pieces-design-03.jpg</t>
        </is>
      </c>
    </row>
    <row r="38" ht="66" customHeight="1">
      <c r="A38" s="2" t="inlineStr">
        <is>
          <t>jeminise.com+pamnest-twin-halloween-comforter-set-with-sheets-5-pieces-design-03</t>
        </is>
      </c>
      <c r="B38" s="2" t="inlineStr">
        <is>
          <t>img_ebe95a02cd43a74e</t>
        </is>
      </c>
      <c r="C38" s="4" t="inlineStr">
        <is>
          <t>https://cdn.shopify.com/s/files/1/0792/5098/1063/files/f05b5b4966cbfbf6e7138bce62a10e8d53a6554d2095ee522f5577dc8f19de13_92bf2ffb-7887-4b37-986c-9db117295eff.jpg?v=1787936250</t>
        </is>
      </c>
      <c r="D38" s="4" t="inlineStr">
        <is>
          <t>https://cdn.shopify.com/s/files/1/0792/5098/1063/files/f05b5b4966cbfbf6e7138bce62a10e8d53a6554d2095ee522f5577dc8f19de13_92bf2ffb-7887-4b37-986c-9db117295eff.jpg?v=1787936250</t>
        </is>
      </c>
      <c r="E38" s="2" t="inlineStr">
        <is>
          <t>48066075623623</t>
        </is>
      </c>
      <c r="F38" s="2" t="inlineStr">
        <is>
          <t>48066075623623</t>
        </is>
      </c>
      <c r="G38" s="2" t="inlineStr"/>
      <c r="H38" s="2" t="inlineStr">
        <is>
          <t>GALLERY</t>
        </is>
      </c>
      <c r="I38" s="2" t="inlineStr">
        <is>
          <t>DIRECT_IMAGE_DOWNLOAD_AND_SOURCE_ROW_REVIEW</t>
        </is>
      </c>
      <c r="J38" s="2" t="inlineStr">
        <is>
          <t>2026-09-07T21:30:37+07:00</t>
        </is>
      </c>
      <c r="K38" s="2" t="inlineStr">
        <is>
          <t>Direct QA opened downloaded image 166_05; source SHA 809B3ECD83AED0CAA2010656FE734B5AB8D96D036358CFF86225C3D8B52BC2E3. Submitted observation reviewed against gallery position.</t>
        </is>
      </c>
      <c r="L38" s="2" t="inlineStr">
        <is>
          <t>Additional mockup, care or size information for black white ghost Halloween comforter set.</t>
        </is>
      </c>
      <c r="M38" s="2" t="inlineStr">
        <is>
          <t>UNKNOWN</t>
        </is>
      </c>
      <c r="N38" s="2" t="inlineStr">
        <is>
          <t>SET</t>
        </is>
      </c>
      <c r="O38" s="2" t="inlineStr">
        <is>
          <t>Fitted sheet or size feature image for Black White Ghost Halloween Comforter Set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c r="Z38" s="2" t="inlineStr">
        <is>
          <t>D:\Shopify_Workspace\jeminise_seo\seo_runs\jeminise.com\20260906_234129\qa\20260907_212312\images\166_05.jpg; seo_runs\jeminise.com\20260906_234129\evidence\images\166_pamnest-twin-halloween-comforter-set-with-sheets-5-pieces-design-03\image_05_48066075623623.jpg; seo_runs\jeminise.com\20260906_234129\evidence\contact_sheets\166_pamnest-twin-halloween-comforter-set-with-sheets-5-pieces-design-03.jpg</t>
        </is>
      </c>
    </row>
    <row r="39" ht="66" customHeight="1">
      <c r="A39" s="3" t="inlineStr">
        <is>
          <t>jeminise.com+pamnest-twin-halloween-comforter-set-with-sheets-5-pieces-design-03</t>
        </is>
      </c>
      <c r="B39" s="3" t="inlineStr">
        <is>
          <t>img_638c13032e75fb69</t>
        </is>
      </c>
      <c r="C39" s="4" t="inlineStr">
        <is>
          <t>https://cdn.shopify.com/s/files/1/0792/5098/1063/files/bbd8b3069747599cfa3e8e8deb179b9085c81592ba19d1c6287a8363a8238662.jpg?v=1787936250</t>
        </is>
      </c>
      <c r="D39" s="4" t="inlineStr">
        <is>
          <t>https://cdn.shopify.com/s/files/1/0792/5098/1063/files/bbd8b3069747599cfa3e8e8deb179b9085c81592ba19d1c6287a8363a8238662.jpg?v=1787936250</t>
        </is>
      </c>
      <c r="E39" s="3" t="inlineStr">
        <is>
          <t>48066075689159</t>
        </is>
      </c>
      <c r="F39" s="3" t="inlineStr">
        <is>
          <t>48066075689159</t>
        </is>
      </c>
      <c r="G39" s="3" t="inlineStr"/>
      <c r="H39" s="3" t="inlineStr">
        <is>
          <t>GALLERY</t>
        </is>
      </c>
      <c r="I39" s="3" t="inlineStr">
        <is>
          <t>DIRECT_IMAGE_DOWNLOAD_AND_SOURCE_ROW_REVIEW</t>
        </is>
      </c>
      <c r="J39" s="3" t="inlineStr">
        <is>
          <t>2026-09-07T21:30:37+07:00</t>
        </is>
      </c>
      <c r="K39" s="3" t="inlineStr">
        <is>
          <t>Direct QA opened downloaded image 166_06; source SHA 335C915E1210512BA5B9308C0CAB03B5361A07FA3380590C00E35CEEA054C7F5. Submitted observation reviewed against gallery position.</t>
        </is>
      </c>
      <c r="L39" s="3" t="inlineStr">
        <is>
          <t>Easy-care, size guide or product feature image for black white ghost Halloween comforter set.</t>
        </is>
      </c>
      <c r="M39" s="3" t="inlineStr">
        <is>
          <t>UNKNOWN</t>
        </is>
      </c>
      <c r="N39" s="3" t="inlineStr">
        <is>
          <t>SET</t>
        </is>
      </c>
      <c r="O39" s="3" t="inlineStr">
        <is>
          <t>Set contents and size chart image for Black White Ghost Halloween Comforter Set</t>
        </is>
      </c>
      <c r="P39" s="3" t="inlineStr">
        <is>
          <t>FULL</t>
        </is>
      </c>
      <c r="Q39" s="3" t="inlineStr">
        <is>
          <t>PARTIAL</t>
        </is>
      </c>
      <c r="R39" s="3" t="inlineStr">
        <is>
          <t>PARTIAL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ISSUE-0055; ISSUE-0056</t>
        </is>
      </c>
      <c r="Z39" s="3" t="inlineStr">
        <is>
          <t>D:\Shopify_Workspace\jeminise_seo\seo_runs\jeminise.com\20260906_234129\qa\20260907_212312\images\166_06.jpg; seo_runs\jeminise.com\20260906_234129\evidence\images\166_pamnest-twin-halloween-comforter-set-with-sheets-5-pieces-design-03\image_06_48066075689159.jpg; seo_runs\jeminise.com\20260906_234129\evidence\contact_sheets\166_pamnest-twin-halloween-comforter-set-with-sheets-5-pieces-design-03.jpg</t>
        </is>
      </c>
    </row>
    <row r="40" ht="66" customHeight="1">
      <c r="A40" s="2" t="inlineStr">
        <is>
          <t>jeminise.com+pamnest-twin-halloween-comforter-set-with-sheets-5-pieces-design-04</t>
        </is>
      </c>
      <c r="B40" s="2" t="inlineStr">
        <is>
          <t>img_a78f074313a5fd42</t>
        </is>
      </c>
      <c r="C40" s="4" t="inlineStr">
        <is>
          <t>https://cdn.shopify.com/s/files/1/0792/5098/1063/files/5d0f1cae5d8fbccfd0cedc69335c2f8dae57295710f0d39ce49b9d818247b5d7.jpg?v=1787936297</t>
        </is>
      </c>
      <c r="D40" s="4" t="inlineStr">
        <is>
          <t>https://cdn.shopify.com/s/files/1/0792/5098/1063/files/5d0f1cae5d8fbccfd0cedc69335c2f8dae57295710f0d39ce49b9d818247b5d7.jpg?v=1787936297</t>
        </is>
      </c>
      <c r="E40" s="2" t="inlineStr">
        <is>
          <t>48066077262023</t>
        </is>
      </c>
      <c r="F40" s="2" t="inlineStr">
        <is>
          <t>48066077262023</t>
        </is>
      </c>
      <c r="G40" s="2" t="inlineStr">
        <is>
          <t>47062245343431,47062245376199,47062245408967</t>
        </is>
      </c>
      <c r="H40" s="2" t="inlineStr">
        <is>
          <t>GALLERY</t>
        </is>
      </c>
      <c r="I40" s="2" t="inlineStr">
        <is>
          <t>DIRECT_IMAGE_DOWNLOAD_AND_SOURCE_ROW_REVIEW</t>
        </is>
      </c>
      <c r="J40" s="2" t="inlineStr">
        <is>
          <t>2026-09-07T21:30:37+07:00</t>
        </is>
      </c>
      <c r="K40" s="2" t="inlineStr">
        <is>
          <t>Direct QA opened downloaded image 167_01; source SHA 663B110CFB0535042CE9EC34BC09990D1CA292A0522E53C1A7A2732E08C2286C. Submitted observation reviewed against gallery position.</t>
        </is>
      </c>
      <c r="L40" s="2" t="inlineStr">
        <is>
          <t>Main product mockup showing blue haunted pumpkin ghost comforter set.</t>
        </is>
      </c>
      <c r="M40" s="2" t="inlineStr">
        <is>
          <t>UNKNOWN</t>
        </is>
      </c>
      <c r="N40" s="2" t="inlineStr">
        <is>
          <t>SET</t>
        </is>
      </c>
      <c r="O40" s="2" t="inlineStr">
        <is>
          <t>Blue Haunted Pumpkin Ghost Comforter Set displayed in a main product mockup</t>
        </is>
      </c>
      <c r="P40" s="2" t="inlineStr">
        <is>
          <t>FULL</t>
        </is>
      </c>
      <c r="Q40" s="2" t="inlineStr">
        <is>
          <t>FULL</t>
        </is>
      </c>
      <c r="R40" s="2" t="inlineStr">
        <is>
          <t>PARTIAL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ISSUE-0061</t>
        </is>
      </c>
      <c r="Z40" s="2" t="inlineStr">
        <is>
          <t>D:\Shopify_Workspace\jeminise_seo\seo_runs\jeminise.com\20260906_234129\qa\20260907_212312\images\167_01.jpg; seo_runs\jeminise.com\20260906_234129\evidence\images\167_pamnest-twin-halloween-comforter-set-with-sheets-5-pieces-design-04\image_01_48066077262023.jpg; seo_runs\jeminise.com\20260906_234129\evidence\contact_sheets\167_pamnest-twin-halloween-comforter-set-with-sheets-5-pieces-design-04.jpg</t>
        </is>
      </c>
    </row>
    <row r="41" ht="66" customHeight="1">
      <c r="A41" s="3" t="inlineStr">
        <is>
          <t>jeminise.com+pamnest-twin-halloween-comforter-set-with-sheets-5-pieces-design-04</t>
        </is>
      </c>
      <c r="B41" s="3" t="inlineStr">
        <is>
          <t>img_692501b99f719305</t>
        </is>
      </c>
      <c r="C41" s="4" t="inlineStr">
        <is>
          <t>https://cdn.shopify.com/s/files/1/0792/5098/1063/files/fb6bb7ca24973834ed17ffc26166f515fd3c4a1ff52545d27cd1472dafdae0b0.jpg?v=1787936297</t>
        </is>
      </c>
      <c r="D41" s="4" t="inlineStr">
        <is>
          <t>https://cdn.shopify.com/s/files/1/0792/5098/1063/files/fb6bb7ca24973834ed17ffc26166f515fd3c4a1ff52545d27cd1472dafdae0b0.jpg?v=1787936297</t>
        </is>
      </c>
      <c r="E41" s="3" t="inlineStr">
        <is>
          <t>48066077425863</t>
        </is>
      </c>
      <c r="F41" s="3" t="inlineStr">
        <is>
          <t>48066077425863</t>
        </is>
      </c>
      <c r="G41" s="3" t="inlineStr"/>
      <c r="H41" s="3" t="inlineStr">
        <is>
          <t>GALLERY</t>
        </is>
      </c>
      <c r="I41" s="3" t="inlineStr">
        <is>
          <t>DIRECT_IMAGE_DOWNLOAD_AND_SOURCE_ROW_REVIEW</t>
        </is>
      </c>
      <c r="J41" s="3" t="inlineStr">
        <is>
          <t>2026-09-07T21:30:37+07:00</t>
        </is>
      </c>
      <c r="K41" s="3" t="inlineStr">
        <is>
          <t>Direct QA opened downloaded image 167_02; source SHA B482F3F96BB6AA4892AA8E0E84124701E1AF4AE3320EDC5A0039751B7B5C1D2E. Submitted observation reviewed against gallery position.</t>
        </is>
      </c>
      <c r="L41" s="3" t="inlineStr">
        <is>
          <t>Secondary flat, close-up or bedroom mockup showing blue haunted pumpkin ghost comforter set.</t>
        </is>
      </c>
      <c r="M41" s="3" t="inlineStr">
        <is>
          <t>UNKNOWN</t>
        </is>
      </c>
      <c r="N41" s="3" t="inlineStr">
        <is>
          <t>SET</t>
        </is>
      </c>
      <c r="O41" s="3" t="inlineStr">
        <is>
          <t>Close-up of the print on Blue Haunted Pumpkin Ghost Comforter Set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c r="Z41" s="3" t="inlineStr">
        <is>
          <t>D:\Shopify_Workspace\jeminise_seo\seo_runs\jeminise.com\20260906_234129\qa\20260907_212312\images\167_02.jpg; seo_runs\jeminise.com\20260906_234129\evidence\images\167_pamnest-twin-halloween-comforter-set-with-sheets-5-pieces-design-04\image_02_48066077425863.jpg; seo_runs\jeminise.com\20260906_234129\evidence\contact_sheets\167_pamnest-twin-halloween-comforter-set-with-sheets-5-pieces-design-04.jpg</t>
        </is>
      </c>
    </row>
    <row r="42" ht="66" customHeight="1">
      <c r="A42" s="2" t="inlineStr">
        <is>
          <t>jeminise.com+pamnest-twin-halloween-comforter-set-with-sheets-5-pieces-design-04</t>
        </is>
      </c>
      <c r="B42" s="2" t="inlineStr">
        <is>
          <t>img_78a5c394d10e22d0</t>
        </is>
      </c>
      <c r="C42" s="4" t="inlineStr">
        <is>
          <t>https://cdn.shopify.com/s/files/1/0792/5098/1063/files/5ca4830cd71b5426ad687d0e98c5de6daada03acb8a658c0dbb56e9c1612eeb7.jpg?v=1787936297</t>
        </is>
      </c>
      <c r="D42" s="4" t="inlineStr">
        <is>
          <t>https://cdn.shopify.com/s/files/1/0792/5098/1063/files/5ca4830cd71b5426ad687d0e98c5de6daada03acb8a658c0dbb56e9c1612eeb7.jpg?v=1787936297</t>
        </is>
      </c>
      <c r="E42" s="2" t="inlineStr">
        <is>
          <t>48066077327559</t>
        </is>
      </c>
      <c r="F42" s="2" t="inlineStr">
        <is>
          <t>48066077327559</t>
        </is>
      </c>
      <c r="G42" s="2" t="inlineStr"/>
      <c r="H42" s="2" t="inlineStr">
        <is>
          <t>GALLERY</t>
        </is>
      </c>
      <c r="I42" s="2" t="inlineStr">
        <is>
          <t>DIRECT_IMAGE_DOWNLOAD_AND_SOURCE_ROW_REVIEW</t>
        </is>
      </c>
      <c r="J42" s="2" t="inlineStr">
        <is>
          <t>2026-09-07T21:30:37+07:00</t>
        </is>
      </c>
      <c r="K42" s="2" t="inlineStr">
        <is>
          <t>Direct QA opened downloaded image 167_03; source SHA AC1CFF691B499E47327AC0026B410968611CBC718FB431EE8D5275FE5C6291F3. Submitted observation reviewed against gallery position.</t>
        </is>
      </c>
      <c r="L42" s="2" t="inlineStr">
        <is>
          <t>Bedding type, feature, lifestyle or material image for blue haunted pumpkin ghost comforter set.</t>
        </is>
      </c>
      <c r="M42" s="2" t="inlineStr">
        <is>
          <t>UNKNOWN</t>
        </is>
      </c>
      <c r="N42" s="2" t="inlineStr">
        <is>
          <t>SET</t>
        </is>
      </c>
      <c r="O42" s="2" t="inlineStr">
        <is>
          <t>Lifestyle bedroom mockup of Blue Haunted Pumpkin Ghost Comforter Set</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ISSUE-0062</t>
        </is>
      </c>
      <c r="Z42" s="2" t="inlineStr">
        <is>
          <t>D:\Shopify_Workspace\jeminise_seo\seo_runs\jeminise.com\20260906_234129\qa\20260907_212312\images\167_03.jpg; seo_runs\jeminise.com\20260906_234129\evidence\images\167_pamnest-twin-halloween-comforter-set-with-sheets-5-pieces-design-04\image_03_48066077327559.jpg; seo_runs\jeminise.com\20260906_234129\evidence\contact_sheets\167_pamnest-twin-halloween-comforter-set-with-sheets-5-pieces-design-04.jpg</t>
        </is>
      </c>
    </row>
    <row r="43" ht="66" customHeight="1">
      <c r="A43" s="3" t="inlineStr">
        <is>
          <t>jeminise.com+pamnest-twin-halloween-comforter-set-with-sheets-5-pieces-design-04</t>
        </is>
      </c>
      <c r="B43" s="3" t="inlineStr">
        <is>
          <t>img_d91839ec732041fa</t>
        </is>
      </c>
      <c r="C43" s="4" t="inlineStr">
        <is>
          <t>https://cdn.shopify.com/s/files/1/0792/5098/1063/files/3e81ffaaf0deab65c1f4a3f78b8b479936f650a3a751ef521aab7f3ff885449e.jpg?v=1787936297</t>
        </is>
      </c>
      <c r="D43" s="4" t="inlineStr">
        <is>
          <t>https://cdn.shopify.com/s/files/1/0792/5098/1063/files/3e81ffaaf0deab65c1f4a3f78b8b479936f650a3a751ef521aab7f3ff885449e.jpg?v=1787936297</t>
        </is>
      </c>
      <c r="E43" s="3" t="inlineStr">
        <is>
          <t>48066077360327</t>
        </is>
      </c>
      <c r="F43" s="3" t="inlineStr">
        <is>
          <t>48066077360327</t>
        </is>
      </c>
      <c r="G43" s="3" t="inlineStr"/>
      <c r="H43" s="3" t="inlineStr">
        <is>
          <t>GALLERY</t>
        </is>
      </c>
      <c r="I43" s="3" t="inlineStr">
        <is>
          <t>DIRECT_IMAGE_DOWNLOAD_AND_SOURCE_ROW_REVIEW</t>
        </is>
      </c>
      <c r="J43" s="3" t="inlineStr">
        <is>
          <t>2026-09-07T21:30:37+07:00</t>
        </is>
      </c>
      <c r="K43" s="3" t="inlineStr">
        <is>
          <t>Direct QA opened downloaded image 167_04; source SHA F34ECDD9ECA0CA338EA36BD497DF7F5A40CAB4CF86C7D4D09CCFD010ED288120. Submitted observation reviewed against gallery position.</t>
        </is>
      </c>
      <c r="L43" s="3" t="inlineStr">
        <is>
          <t>Detail, feature panel or lifestyle image connected to blue haunted pumpkin ghost comforter set.</t>
        </is>
      </c>
      <c r="M43" s="3" t="inlineStr">
        <is>
          <t>UNKNOWN</t>
        </is>
      </c>
      <c r="N43" s="3" t="inlineStr">
        <is>
          <t>SET</t>
        </is>
      </c>
      <c r="O43" s="3" t="inlineStr">
        <is>
          <t>Front bed view of Blue Haunted Pumpkin Ghost Comforter Set</t>
        </is>
      </c>
      <c r="P43" s="3" t="inlineStr">
        <is>
          <t>FULL</t>
        </is>
      </c>
      <c r="Q43" s="3" t="inlineStr">
        <is>
          <t>PARTIAL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ISSUE-0063</t>
        </is>
      </c>
      <c r="Z43" s="3" t="inlineStr">
        <is>
          <t>D:\Shopify_Workspace\jeminise_seo\seo_runs\jeminise.com\20260906_234129\qa\20260907_212312\images\167_04.jpg; seo_runs\jeminise.com\20260906_234129\evidence\images\167_pamnest-twin-halloween-comforter-set-with-sheets-5-pieces-design-04\image_04_48066077360327.jpg; seo_runs\jeminise.com\20260906_234129\evidence\contact_sheets\167_pamnest-twin-halloween-comforter-set-with-sheets-5-pieces-design-04.jpg</t>
        </is>
      </c>
    </row>
    <row r="44" ht="66" customHeight="1">
      <c r="A44" s="2" t="inlineStr">
        <is>
          <t>jeminise.com+pamnest-twin-halloween-comforter-set-with-sheets-5-pieces-design-04</t>
        </is>
      </c>
      <c r="B44" s="2" t="inlineStr">
        <is>
          <t>img_300acd87cf701d9d</t>
        </is>
      </c>
      <c r="C44" s="4" t="inlineStr">
        <is>
          <t>https://cdn.shopify.com/s/files/1/0792/5098/1063/files/f05b5b4966cbfbf6e7138bce62a10e8d53a6554d2095ee522f5577dc8f19de13_dd05aaf9-5cce-4b0d-acf1-02de91c3b744.jpg?v=1787936297</t>
        </is>
      </c>
      <c r="D44" s="4" t="inlineStr">
        <is>
          <t>https://cdn.shopify.com/s/files/1/0792/5098/1063/files/f05b5b4966cbfbf6e7138bce62a10e8d53a6554d2095ee522f5577dc8f19de13_dd05aaf9-5cce-4b0d-acf1-02de91c3b744.jpg?v=1787936297</t>
        </is>
      </c>
      <c r="E44" s="2" t="inlineStr">
        <is>
          <t>48066077393095</t>
        </is>
      </c>
      <c r="F44" s="2" t="inlineStr">
        <is>
          <t>48066077393095</t>
        </is>
      </c>
      <c r="G44" s="2" t="inlineStr"/>
      <c r="H44" s="2" t="inlineStr">
        <is>
          <t>GALLERY</t>
        </is>
      </c>
      <c r="I44" s="2" t="inlineStr">
        <is>
          <t>DIRECT_IMAGE_DOWNLOAD_AND_SOURCE_ROW_REVIEW</t>
        </is>
      </c>
      <c r="J44" s="2" t="inlineStr">
        <is>
          <t>2026-09-07T21:30:37+07:00</t>
        </is>
      </c>
      <c r="K44" s="2" t="inlineStr">
        <is>
          <t>Direct QA opened downloaded image 167_05; source SHA 809B3ECD83AED0CAA2010656FE734B5AB8D96D036358CFF86225C3D8B52BC2E3. Submitted observation reviewed against gallery position.</t>
        </is>
      </c>
      <c r="L44" s="2" t="inlineStr">
        <is>
          <t>Additional mockup, care or size information for blue haunted pumpkin ghost comforter set.</t>
        </is>
      </c>
      <c r="M44" s="2" t="inlineStr">
        <is>
          <t>UNKNOWN</t>
        </is>
      </c>
      <c r="N44" s="2" t="inlineStr">
        <is>
          <t>SET</t>
        </is>
      </c>
      <c r="O44" s="2" t="inlineStr">
        <is>
          <t>Fitted sheet or size feature image for Blue Haunted Pumpkin Ghost Comforter Set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c r="Z44" s="2" t="inlineStr">
        <is>
          <t>D:\Shopify_Workspace\jeminise_seo\seo_runs\jeminise.com\20260906_234129\qa\20260907_212312\images\167_05.jpg; seo_runs\jeminise.com\20260906_234129\evidence\images\167_pamnest-twin-halloween-comforter-set-with-sheets-5-pieces-design-04\image_05_48066077393095.jpg; seo_runs\jeminise.com\20260906_234129\evidence\contact_sheets\167_pamnest-twin-halloween-comforter-set-with-sheets-5-pieces-design-04.jpg</t>
        </is>
      </c>
    </row>
    <row r="45" ht="66" customHeight="1">
      <c r="A45" s="3" t="inlineStr">
        <is>
          <t>jeminise.com+pamnest-twin-halloween-comforter-set-with-sheets-5-pieces-design-04</t>
        </is>
      </c>
      <c r="B45" s="3" t="inlineStr">
        <is>
          <t>img_d2c9d6272b82396c</t>
        </is>
      </c>
      <c r="C45" s="4" t="inlineStr">
        <is>
          <t>https://cdn.shopify.com/s/files/1/0792/5098/1063/files/b0d1da8d8060da04652dfbd8ac59558b6bb3e731d6cda0161cad77ec3b3c8fe2.jpg?v=1787936297</t>
        </is>
      </c>
      <c r="D45" s="4" t="inlineStr">
        <is>
          <t>https://cdn.shopify.com/s/files/1/0792/5098/1063/files/b0d1da8d8060da04652dfbd8ac59558b6bb3e731d6cda0161cad77ec3b3c8fe2.jpg?v=1787936297</t>
        </is>
      </c>
      <c r="E45" s="3" t="inlineStr">
        <is>
          <t>48066077458631</t>
        </is>
      </c>
      <c r="F45" s="3" t="inlineStr">
        <is>
          <t>48066077458631</t>
        </is>
      </c>
      <c r="G45" s="3" t="inlineStr"/>
      <c r="H45" s="3" t="inlineStr">
        <is>
          <t>GALLERY</t>
        </is>
      </c>
      <c r="I45" s="3" t="inlineStr">
        <is>
          <t>DIRECT_IMAGE_DOWNLOAD_AND_SOURCE_ROW_REVIEW</t>
        </is>
      </c>
      <c r="J45" s="3" t="inlineStr">
        <is>
          <t>2026-09-07T21:30:37+07:00</t>
        </is>
      </c>
      <c r="K45" s="3" t="inlineStr">
        <is>
          <t>Direct QA opened downloaded image 167_06; source SHA 013B9F04BDDE36E1E705C4611EDDDEE6158093D88AA96C65C919E85A8D790623. Submitted observation reviewed against gallery position.</t>
        </is>
      </c>
      <c r="L45" s="3" t="inlineStr">
        <is>
          <t>Easy-care, size guide or product feature image for blue haunted pumpkin ghost comforter set.</t>
        </is>
      </c>
      <c r="M45" s="3" t="inlineStr">
        <is>
          <t>UNKNOWN</t>
        </is>
      </c>
      <c r="N45" s="3" t="inlineStr">
        <is>
          <t>SET</t>
        </is>
      </c>
      <c r="O45" s="3" t="inlineStr">
        <is>
          <t>Set contents and size chart image for Blue Haunted Pumpkin Ghost Comforter Set</t>
        </is>
      </c>
      <c r="P45" s="3" t="inlineStr">
        <is>
          <t>FULL</t>
        </is>
      </c>
      <c r="Q45" s="3" t="inlineStr">
        <is>
          <t>PARTIAL</t>
        </is>
      </c>
      <c r="R45" s="3" t="inlineStr">
        <is>
          <t>PARTIAL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ISSUE-0064; ISSUE-0065</t>
        </is>
      </c>
      <c r="Z45" s="3" t="inlineStr">
        <is>
          <t>D:\Shopify_Workspace\jeminise_seo\seo_runs\jeminise.com\20260906_234129\qa\20260907_212312\images\167_06.jpg; seo_runs\jeminise.com\20260906_234129\evidence\images\167_pamnest-twin-halloween-comforter-set-with-sheets-5-pieces-design-04\image_06_48066077458631.jpg; seo_runs\jeminise.com\20260906_234129\evidence\contact_sheets\167_pamnest-twin-halloween-comforter-set-with-sheets-5-pieces-design-04.jpg</t>
        </is>
      </c>
    </row>
    <row r="46" ht="66" customHeight="1">
      <c r="A46" s="2" t="inlineStr">
        <is>
          <t>jeminise.com+pamnest-twin-halloween-comforter-set-with-sheets-5-pieces-design-05</t>
        </is>
      </c>
      <c r="B46" s="2" t="inlineStr">
        <is>
          <t>img_f63b91c48fb4a74a</t>
        </is>
      </c>
      <c r="C46" s="4" t="inlineStr">
        <is>
          <t>https://cdn.shopify.com/s/files/1/0792/5098/1063/files/0378abcf551bb373bc058a8d932a075b2e7062138286ccd5675aab241cbc2aa8.jpg?v=1787936303</t>
        </is>
      </c>
      <c r="D46" s="4" t="inlineStr">
        <is>
          <t>https://cdn.shopify.com/s/files/1/0792/5098/1063/files/0378abcf551bb373bc058a8d932a075b2e7062138286ccd5675aab241cbc2aa8.jpg?v=1787936303</t>
        </is>
      </c>
      <c r="E46" s="2" t="inlineStr">
        <is>
          <t>48066077524167</t>
        </is>
      </c>
      <c r="F46" s="2" t="inlineStr">
        <is>
          <t>48066077524167</t>
        </is>
      </c>
      <c r="G46" s="2" t="inlineStr">
        <is>
          <t>47062245507271,47062245540039,47062245572807,47062245605575</t>
        </is>
      </c>
      <c r="H46" s="2" t="inlineStr">
        <is>
          <t>GALLERY</t>
        </is>
      </c>
      <c r="I46" s="2" t="inlineStr">
        <is>
          <t>DIRECT_IMAGE_DOWNLOAD_AND_SOURCE_ROW_REVIEW</t>
        </is>
      </c>
      <c r="J46" s="2" t="inlineStr">
        <is>
          <t>2026-09-07T21:30:37+07:00</t>
        </is>
      </c>
      <c r="K46" s="2" t="inlineStr">
        <is>
          <t>Direct QA opened downloaded image 168_01; source SHA 792C3D39DAA30943086B80DBB428049D7214624F317B5EF220EAA58FC2EADE01. Submitted observation reviewed against gallery position.</t>
        </is>
      </c>
      <c r="L46" s="2" t="inlineStr">
        <is>
          <t>Main product mockup showing pink cute ghost Halloween comforter set.</t>
        </is>
      </c>
      <c r="M46" s="2" t="inlineStr">
        <is>
          <t>UNKNOWN</t>
        </is>
      </c>
      <c r="N46" s="2" t="inlineStr">
        <is>
          <t>SET</t>
        </is>
      </c>
      <c r="O46" s="2" t="inlineStr">
        <is>
          <t>Pink Cute Ghost Halloween Comforter Set displayed in a main product mockup</t>
        </is>
      </c>
      <c r="P46" s="2" t="inlineStr">
        <is>
          <t>FULL</t>
        </is>
      </c>
      <c r="Q46" s="2" t="inlineStr">
        <is>
          <t>FULL</t>
        </is>
      </c>
      <c r="R46" s="2" t="inlineStr">
        <is>
          <t>PARTIAL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ISSUE-0070</t>
        </is>
      </c>
      <c r="Z46" s="2" t="inlineStr">
        <is>
          <t>D:\Shopify_Workspace\jeminise_seo\seo_runs\jeminise.com\20260906_234129\qa\20260907_212312\images\168_01.jpg; seo_runs\jeminise.com\20260906_234129\evidence\images\168_pamnest-twin-halloween-comforter-set-with-sheets-5-pieces-design-05\image_01_48066077524167.jpg; seo_runs\jeminise.com\20260906_234129\evidence\contact_sheets\168_pamnest-twin-halloween-comforter-set-with-sheets-5-pieces-design-05.jpg</t>
        </is>
      </c>
    </row>
    <row r="47" ht="66" customHeight="1">
      <c r="A47" s="3" t="inlineStr">
        <is>
          <t>jeminise.com+pamnest-twin-halloween-comforter-set-with-sheets-5-pieces-design-05</t>
        </is>
      </c>
      <c r="B47" s="3" t="inlineStr">
        <is>
          <t>img_2a0ea2b05ff8df4d</t>
        </is>
      </c>
      <c r="C47" s="4" t="inlineStr">
        <is>
          <t>https://cdn.shopify.com/s/files/1/0792/5098/1063/files/d443d634870cf5702ce02c12be0e9199f6c0ef35f8992890f2ee49e88fd55e59.jpg?v=1787936303</t>
        </is>
      </c>
      <c r="D47" s="4" t="inlineStr">
        <is>
          <t>https://cdn.shopify.com/s/files/1/0792/5098/1063/files/d443d634870cf5702ce02c12be0e9199f6c0ef35f8992890f2ee49e88fd55e59.jpg?v=1787936303</t>
        </is>
      </c>
      <c r="E47" s="3" t="inlineStr">
        <is>
          <t>48066077688007</t>
        </is>
      </c>
      <c r="F47" s="3" t="inlineStr">
        <is>
          <t>48066077688007</t>
        </is>
      </c>
      <c r="G47" s="3" t="inlineStr"/>
      <c r="H47" s="3" t="inlineStr">
        <is>
          <t>GALLERY</t>
        </is>
      </c>
      <c r="I47" s="3" t="inlineStr">
        <is>
          <t>DIRECT_IMAGE_DOWNLOAD_AND_SOURCE_ROW_REVIEW</t>
        </is>
      </c>
      <c r="J47" s="3" t="inlineStr">
        <is>
          <t>2026-09-07T21:30:37+07:00</t>
        </is>
      </c>
      <c r="K47" s="3" t="inlineStr">
        <is>
          <t>Direct QA opened downloaded image 168_02; source SHA 3BAB3B23A1F5E172619070C85D30CD9029B7436976CD8DB07E0FAAEB275A4388. Submitted observation reviewed against gallery position.</t>
        </is>
      </c>
      <c r="L47" s="3" t="inlineStr">
        <is>
          <t>Secondary flat, close-up or bedroom mockup showing pink cute ghost Halloween comforter set.</t>
        </is>
      </c>
      <c r="M47" s="3" t="inlineStr">
        <is>
          <t>UNKNOWN</t>
        </is>
      </c>
      <c r="N47" s="3" t="inlineStr">
        <is>
          <t>SET</t>
        </is>
      </c>
      <c r="O47" s="3" t="inlineStr">
        <is>
          <t>Close-up of the print on Pink Cute Ghost Halloween Comforter Set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c r="Z47" s="3" t="inlineStr">
        <is>
          <t>D:\Shopify_Workspace\jeminise_seo\seo_runs\jeminise.com\20260906_234129\qa\20260907_212312\images\168_02.jpg; seo_runs\jeminise.com\20260906_234129\evidence\images\168_pamnest-twin-halloween-comforter-set-with-sheets-5-pieces-design-05\image_02_48066077688007.jpg; seo_runs\jeminise.com\20260906_234129\evidence\contact_sheets\168_pamnest-twin-halloween-comforter-set-with-sheets-5-pieces-design-05.jpg</t>
        </is>
      </c>
    </row>
    <row r="48" ht="66" customHeight="1">
      <c r="A48" s="2" t="inlineStr">
        <is>
          <t>jeminise.com+pamnest-twin-halloween-comforter-set-with-sheets-5-pieces-design-05</t>
        </is>
      </c>
      <c r="B48" s="2" t="inlineStr">
        <is>
          <t>img_fed1eb059469f4be</t>
        </is>
      </c>
      <c r="C48" s="4" t="inlineStr">
        <is>
          <t>https://cdn.shopify.com/s/files/1/0792/5098/1063/files/3c149552706148b88d709b4170ededcaf07b0afcd786b0fc80da64aee42ef97a.jpg?v=1787936303</t>
        </is>
      </c>
      <c r="D48" s="4" t="inlineStr">
        <is>
          <t>https://cdn.shopify.com/s/files/1/0792/5098/1063/files/3c149552706148b88d709b4170ededcaf07b0afcd786b0fc80da64aee42ef97a.jpg?v=1787936303</t>
        </is>
      </c>
      <c r="E48" s="2" t="inlineStr">
        <is>
          <t>48066077589703</t>
        </is>
      </c>
      <c r="F48" s="2" t="inlineStr">
        <is>
          <t>48066077589703</t>
        </is>
      </c>
      <c r="G48" s="2" t="inlineStr"/>
      <c r="H48" s="2" t="inlineStr">
        <is>
          <t>GALLERY</t>
        </is>
      </c>
      <c r="I48" s="2" t="inlineStr">
        <is>
          <t>DIRECT_IMAGE_DOWNLOAD_AND_SOURCE_ROW_REVIEW</t>
        </is>
      </c>
      <c r="J48" s="2" t="inlineStr">
        <is>
          <t>2026-09-07T21:30:37+07:00</t>
        </is>
      </c>
      <c r="K48" s="2" t="inlineStr">
        <is>
          <t>Direct QA opened downloaded image 168_03; source SHA 9501D3E747E63982B98B5EB0D33917C9C4AB8BF48B7B8A6AC789C555BFE18C19. Submitted observation reviewed against gallery position.</t>
        </is>
      </c>
      <c r="L48" s="2" t="inlineStr">
        <is>
          <t>Bedding type, feature, lifestyle or material image for pink cute ghost Halloween comforter set.</t>
        </is>
      </c>
      <c r="M48" s="2" t="inlineStr">
        <is>
          <t>UNKNOWN</t>
        </is>
      </c>
      <c r="N48" s="2" t="inlineStr">
        <is>
          <t>SET</t>
        </is>
      </c>
      <c r="O48" s="2" t="inlineStr">
        <is>
          <t>Lifestyle bedroom mockup of Pink Cute Ghost Halloween Comforter Set</t>
        </is>
      </c>
      <c r="P48" s="2" t="inlineStr">
        <is>
          <t>FULL</t>
        </is>
      </c>
      <c r="Q48" s="2" t="inlineStr">
        <is>
          <t>PARTIAL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ISSUE-0071</t>
        </is>
      </c>
      <c r="Z48" s="2" t="inlineStr">
        <is>
          <t>D:\Shopify_Workspace\jeminise_seo\seo_runs\jeminise.com\20260906_234129\qa\20260907_212312\images\168_03.jpg; seo_runs\jeminise.com\20260906_234129\evidence\images\168_pamnest-twin-halloween-comforter-set-with-sheets-5-pieces-design-05\image_03_48066077589703.jpg; seo_runs\jeminise.com\20260906_234129\evidence\contact_sheets\168_pamnest-twin-halloween-comforter-set-with-sheets-5-pieces-design-05.jpg</t>
        </is>
      </c>
    </row>
    <row r="49" ht="66" customHeight="1">
      <c r="A49" s="3" t="inlineStr">
        <is>
          <t>jeminise.com+pamnest-twin-halloween-comforter-set-with-sheets-5-pieces-design-05</t>
        </is>
      </c>
      <c r="B49" s="3" t="inlineStr">
        <is>
          <t>img_f878b183cc88d066</t>
        </is>
      </c>
      <c r="C49" s="4" t="inlineStr">
        <is>
          <t>https://cdn.shopify.com/s/files/1/0792/5098/1063/files/27b0e98d00c806f90ce26194ac5961ee72b1843f7ded8b1cdc58421da8ff1af5.jpg?v=1787936303</t>
        </is>
      </c>
      <c r="D49" s="4" t="inlineStr">
        <is>
          <t>https://cdn.shopify.com/s/files/1/0792/5098/1063/files/27b0e98d00c806f90ce26194ac5961ee72b1843f7ded8b1cdc58421da8ff1af5.jpg?v=1787936303</t>
        </is>
      </c>
      <c r="E49" s="3" t="inlineStr">
        <is>
          <t>48066077622471</t>
        </is>
      </c>
      <c r="F49" s="3" t="inlineStr">
        <is>
          <t>48066077622471</t>
        </is>
      </c>
      <c r="G49" s="3" t="inlineStr"/>
      <c r="H49" s="3" t="inlineStr">
        <is>
          <t>GALLERY</t>
        </is>
      </c>
      <c r="I49" s="3" t="inlineStr">
        <is>
          <t>DIRECT_IMAGE_DOWNLOAD_AND_SOURCE_ROW_REVIEW</t>
        </is>
      </c>
      <c r="J49" s="3" t="inlineStr">
        <is>
          <t>2026-09-07T21:30:37+07:00</t>
        </is>
      </c>
      <c r="K49" s="3" t="inlineStr">
        <is>
          <t>Direct QA opened downloaded image 168_04; source SHA 8BF5F7B758F3C10A29420A7D3AAA8BFEDAD2519C7F67745E5A891C6135D9F312. Submitted observation reviewed against gallery position.</t>
        </is>
      </c>
      <c r="L49" s="3" t="inlineStr">
        <is>
          <t>Detail, feature panel or lifestyle image connected to pink cute ghost Halloween comforter set.</t>
        </is>
      </c>
      <c r="M49" s="3" t="inlineStr">
        <is>
          <t>UNKNOWN</t>
        </is>
      </c>
      <c r="N49" s="3" t="inlineStr">
        <is>
          <t>SET</t>
        </is>
      </c>
      <c r="O49" s="3" t="inlineStr">
        <is>
          <t>Front bed view of Pink Cute Ghost Halloween Comforter Set</t>
        </is>
      </c>
      <c r="P49" s="3" t="inlineStr">
        <is>
          <t>FULL</t>
        </is>
      </c>
      <c r="Q49" s="3" t="inlineStr">
        <is>
          <t>PARTIAL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ISSUE-0072</t>
        </is>
      </c>
      <c r="Z49" s="3" t="inlineStr">
        <is>
          <t>D:\Shopify_Workspace\jeminise_seo\seo_runs\jeminise.com\20260906_234129\qa\20260907_212312\images\168_04.jpg; seo_runs\jeminise.com\20260906_234129\evidence\images\168_pamnest-twin-halloween-comforter-set-with-sheets-5-pieces-design-05\image_04_48066077622471.jpg; seo_runs\jeminise.com\20260906_234129\evidence\contact_sheets\168_pamnest-twin-halloween-comforter-set-with-sheets-5-pieces-design-05.jpg</t>
        </is>
      </c>
    </row>
    <row r="50" ht="66" customHeight="1">
      <c r="A50" s="2" t="inlineStr">
        <is>
          <t>jeminise.com+pamnest-twin-halloween-comforter-set-with-sheets-5-pieces-design-05</t>
        </is>
      </c>
      <c r="B50" s="2" t="inlineStr">
        <is>
          <t>img_39e55cd54f05717f</t>
        </is>
      </c>
      <c r="C50" s="4" t="inlineStr">
        <is>
          <t>https://cdn.shopify.com/s/files/1/0792/5098/1063/files/4b609c485183f596d7a7cde020b39e4bda79acee2753d3dc2aded93519980ecf.jpg?v=1787936303</t>
        </is>
      </c>
      <c r="D50" s="4" t="inlineStr">
        <is>
          <t>https://cdn.shopify.com/s/files/1/0792/5098/1063/files/4b609c485183f596d7a7cde020b39e4bda79acee2753d3dc2aded93519980ecf.jpg?v=1787936303</t>
        </is>
      </c>
      <c r="E50" s="2" t="inlineStr">
        <is>
          <t>48066077655239</t>
        </is>
      </c>
      <c r="F50" s="2" t="inlineStr">
        <is>
          <t>48066077655239</t>
        </is>
      </c>
      <c r="G50" s="2" t="inlineStr"/>
      <c r="H50" s="2" t="inlineStr">
        <is>
          <t>GALLERY</t>
        </is>
      </c>
      <c r="I50" s="2" t="inlineStr">
        <is>
          <t>DIRECT_IMAGE_DOWNLOAD_AND_SOURCE_ROW_REVIEW</t>
        </is>
      </c>
      <c r="J50" s="2" t="inlineStr">
        <is>
          <t>2026-09-07T21:30:37+07:00</t>
        </is>
      </c>
      <c r="K50" s="2" t="inlineStr">
        <is>
          <t>Direct QA opened downloaded image 168_05; source SHA C510398ACD0ED1C6D0A10E047886E7F9E6628D21DD3DE2C34D08CF404BC1B4C1. Submitted observation reviewed against gallery position.</t>
        </is>
      </c>
      <c r="L50" s="2" t="inlineStr">
        <is>
          <t>Additional mockup, care or size information for pink cute ghost Halloween comforter set.</t>
        </is>
      </c>
      <c r="M50" s="2" t="inlineStr">
        <is>
          <t>UNKNOWN</t>
        </is>
      </c>
      <c r="N50" s="2" t="inlineStr">
        <is>
          <t>SET</t>
        </is>
      </c>
      <c r="O50" s="2" t="inlineStr">
        <is>
          <t>Fitted sheet or size feature image for Pink Cute Ghost Halloween Comforter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c r="Z50" s="2" t="inlineStr">
        <is>
          <t>D:\Shopify_Workspace\jeminise_seo\seo_runs\jeminise.com\20260906_234129\qa\20260907_212312\images\168_05.jpg; seo_runs\jeminise.com\20260906_234129\evidence\images\168_pamnest-twin-halloween-comforter-set-with-sheets-5-pieces-design-05\image_05_48066077655239.jpg; seo_runs\jeminise.com\20260906_234129\evidence\contact_sheets\168_pamnest-twin-halloween-comforter-set-with-sheets-5-pieces-design-05.jpg</t>
        </is>
      </c>
    </row>
    <row r="51" ht="66" customHeight="1">
      <c r="A51" s="3" t="inlineStr">
        <is>
          <t>jeminise.com+pamnest-twin-halloween-comforter-set-with-sheets-5-pieces-design-05</t>
        </is>
      </c>
      <c r="B51" s="3" t="inlineStr">
        <is>
          <t>img_df8a12275b529e15</t>
        </is>
      </c>
      <c r="C51" s="4" t="inlineStr">
        <is>
          <t>https://cdn.shopify.com/s/files/1/0792/5098/1063/files/7e2ec7c0c42511286cd153cc90aaaa3c14a07010ca3b6583e65c64cf25c53aa4.jpg?v=1787936303</t>
        </is>
      </c>
      <c r="D51" s="4" t="inlineStr">
        <is>
          <t>https://cdn.shopify.com/s/files/1/0792/5098/1063/files/7e2ec7c0c42511286cd153cc90aaaa3c14a07010ca3b6583e65c64cf25c53aa4.jpg?v=1787936303</t>
        </is>
      </c>
      <c r="E51" s="3" t="inlineStr">
        <is>
          <t>48066077720775</t>
        </is>
      </c>
      <c r="F51" s="3" t="inlineStr">
        <is>
          <t>48066077720775</t>
        </is>
      </c>
      <c r="G51" s="3" t="inlineStr"/>
      <c r="H51" s="3" t="inlineStr">
        <is>
          <t>GALLERY</t>
        </is>
      </c>
      <c r="I51" s="3" t="inlineStr">
        <is>
          <t>DIRECT_IMAGE_DOWNLOAD_AND_SOURCE_ROW_REVIEW</t>
        </is>
      </c>
      <c r="J51" s="3" t="inlineStr">
        <is>
          <t>2026-09-07T21:30:37+07:00</t>
        </is>
      </c>
      <c r="K51" s="3" t="inlineStr">
        <is>
          <t>Direct QA opened downloaded image 168_06; source SHA 28022D80B06D4FDB9B706DED0ABB6C148226E0C505072A52CE71F0F89CEE18A2. Submitted observation reviewed against gallery position.</t>
        </is>
      </c>
      <c r="L51" s="3" t="inlineStr">
        <is>
          <t>Easy-care, size guide or product feature image for pink cute ghost Halloween comforter set.</t>
        </is>
      </c>
      <c r="M51" s="3" t="inlineStr">
        <is>
          <t>UNKNOWN</t>
        </is>
      </c>
      <c r="N51" s="3" t="inlineStr">
        <is>
          <t>SET</t>
        </is>
      </c>
      <c r="O51" s="3" t="inlineStr">
        <is>
          <t>Set contents and size chart image for Pink Cute Ghost Halloween Comforter Set</t>
        </is>
      </c>
      <c r="P51" s="3" t="inlineStr">
        <is>
          <t>FULL</t>
        </is>
      </c>
      <c r="Q51" s="3" t="inlineStr">
        <is>
          <t>PARTIAL</t>
        </is>
      </c>
      <c r="R51" s="3" t="inlineStr">
        <is>
          <t>PARTIAL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ISSUE-0073; ISSUE-0074</t>
        </is>
      </c>
      <c r="Z51" s="3" t="inlineStr">
        <is>
          <t>D:\Shopify_Workspace\jeminise_seo\seo_runs\jeminise.com\20260906_234129\qa\20260907_212312\images\168_06.jpg; seo_runs\jeminise.com\20260906_234129\evidence\images\168_pamnest-twin-halloween-comforter-set-with-sheets-5-pieces-design-05\image_06_48066077720775.jpg; seo_runs\jeminise.com\20260906_234129\evidence\contact_sheets\168_pamnest-twin-halloween-comforter-set-with-sheets-5-pieces-design-05.jpg</t>
        </is>
      </c>
    </row>
    <row r="52" ht="66" customHeight="1">
      <c r="A52" s="2" t="inlineStr">
        <is>
          <t>jeminise.com+pamnest-twin-halloween-comforter-set-with-sheets-5-pieces-design-06</t>
        </is>
      </c>
      <c r="B52" s="2" t="inlineStr">
        <is>
          <t>img_35d94528acc39338</t>
        </is>
      </c>
      <c r="C52" s="4" t="inlineStr">
        <is>
          <t>https://cdn.shopify.com/s/files/1/0792/5098/1063/files/56881a19a51c01cc553fffe6fc20529fd559dd35981c52ef5bde9f745e19e0c6.jpg?v=1787936307</t>
        </is>
      </c>
      <c r="D52" s="4" t="inlineStr">
        <is>
          <t>https://cdn.shopify.com/s/files/1/0792/5098/1063/files/56881a19a51c01cc553fffe6fc20529fd559dd35981c52ef5bde9f745e19e0c6.jpg?v=1787936307</t>
        </is>
      </c>
      <c r="E52" s="2" t="inlineStr">
        <is>
          <t>48066077786311</t>
        </is>
      </c>
      <c r="F52" s="2" t="inlineStr">
        <is>
          <t>48066077786311</t>
        </is>
      </c>
      <c r="G52" s="2" t="inlineStr">
        <is>
          <t>47062245671111,47062245703879,47062245736647,47062245769415</t>
        </is>
      </c>
      <c r="H52" s="2" t="inlineStr">
        <is>
          <t>GALLERY</t>
        </is>
      </c>
      <c r="I52" s="2" t="inlineStr">
        <is>
          <t>DIRECT_IMAGE_DOWNLOAD_AND_SOURCE_ROW_REVIEW</t>
        </is>
      </c>
      <c r="J52" s="2" t="inlineStr">
        <is>
          <t>2026-09-07T21:30:37+07:00</t>
        </is>
      </c>
      <c r="K52" s="2" t="inlineStr">
        <is>
          <t>Direct QA opened downloaded image 169_01; source SHA E964E8AAA7624312D07F32347BAC59AB44875C54891FCD51E4FFC6B4F73433BE. Submitted observation reviewed against gallery position.</t>
        </is>
      </c>
      <c r="L52" s="2" t="inlineStr">
        <is>
          <t>Main product mockup showing red bloody handprint Halloween comforter set.</t>
        </is>
      </c>
      <c r="M52" s="2" t="inlineStr">
        <is>
          <t>UNKNOWN</t>
        </is>
      </c>
      <c r="N52" s="2" t="inlineStr">
        <is>
          <t>SET</t>
        </is>
      </c>
      <c r="O52" s="2" t="inlineStr">
        <is>
          <t>Red Bloody Handprint Halloween Comforter Set displayed in a main product mockup</t>
        </is>
      </c>
      <c r="P52" s="2" t="inlineStr">
        <is>
          <t>FULL</t>
        </is>
      </c>
      <c r="Q52" s="2" t="inlineStr">
        <is>
          <t>FULL</t>
        </is>
      </c>
      <c r="R52" s="2" t="inlineStr">
        <is>
          <t>PARTIAL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ISSUE-0079</t>
        </is>
      </c>
      <c r="Z52" s="2" t="inlineStr">
        <is>
          <t>D:\Shopify_Workspace\jeminise_seo\seo_runs\jeminise.com\20260906_234129\qa\20260907_212312\images\169_01.jpg; seo_runs\jeminise.com\20260906_234129\evidence\images\169_pamnest-twin-halloween-comforter-set-with-sheets-5-pieces-design-06\image_01_48066077786311.jpg; seo_runs\jeminise.com\20260906_234129\evidence\contact_sheets\169_pamnest-twin-halloween-comforter-set-with-sheets-5-pieces-design-06.jpg</t>
        </is>
      </c>
    </row>
    <row r="53" ht="66" customHeight="1">
      <c r="A53" s="3" t="inlineStr">
        <is>
          <t>jeminise.com+pamnest-twin-halloween-comforter-set-with-sheets-5-pieces-design-06</t>
        </is>
      </c>
      <c r="B53" s="3" t="inlineStr">
        <is>
          <t>img_5a3afe72b97f1a60</t>
        </is>
      </c>
      <c r="C53" s="4" t="inlineStr">
        <is>
          <t>https://cdn.shopify.com/s/files/1/0792/5098/1063/files/1a90986a710d8ec7e3fd994a8c712b5b6adf1486722d0ac1005cdfab2898c774.jpg?v=1787936307</t>
        </is>
      </c>
      <c r="D53" s="4" t="inlineStr">
        <is>
          <t>https://cdn.shopify.com/s/files/1/0792/5098/1063/files/1a90986a710d8ec7e3fd994a8c712b5b6adf1486722d0ac1005cdfab2898c774.jpg?v=1787936307</t>
        </is>
      </c>
      <c r="E53" s="3" t="inlineStr">
        <is>
          <t>48066077950151</t>
        </is>
      </c>
      <c r="F53" s="3" t="inlineStr">
        <is>
          <t>48066077950151</t>
        </is>
      </c>
      <c r="G53" s="3" t="inlineStr"/>
      <c r="H53" s="3" t="inlineStr">
        <is>
          <t>GALLERY</t>
        </is>
      </c>
      <c r="I53" s="3" t="inlineStr">
        <is>
          <t>DIRECT_IMAGE_DOWNLOAD_AND_SOURCE_ROW_REVIEW</t>
        </is>
      </c>
      <c r="J53" s="3" t="inlineStr">
        <is>
          <t>2026-09-07T21:30:37+07:00</t>
        </is>
      </c>
      <c r="K53" s="3" t="inlineStr">
        <is>
          <t>Direct QA opened downloaded image 169_02; source SHA 69A8CD56B65FE0CB8980E81403709739D071A21E26D7284819850783CD7295B7. Submitted observation reviewed against gallery position.</t>
        </is>
      </c>
      <c r="L53" s="3" t="inlineStr">
        <is>
          <t>Secondary flat, close-up or bedroom mockup showing red bloody handprint Halloween comforter set.</t>
        </is>
      </c>
      <c r="M53" s="3" t="inlineStr">
        <is>
          <t>UNKNOWN</t>
        </is>
      </c>
      <c r="N53" s="3" t="inlineStr">
        <is>
          <t>SET</t>
        </is>
      </c>
      <c r="O53" s="3" t="inlineStr">
        <is>
          <t>Close-up of the print on Red Bloody Handprint Halloween Comforter Set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c r="Z53" s="3" t="inlineStr">
        <is>
          <t>D:\Shopify_Workspace\jeminise_seo\seo_runs\jeminise.com\20260906_234129\qa\20260907_212312\images\169_02.jpg; seo_runs\jeminise.com\20260906_234129\evidence\images\169_pamnest-twin-halloween-comforter-set-with-sheets-5-pieces-design-06\image_02_48066077950151.jpg; seo_runs\jeminise.com\20260906_234129\evidence\contact_sheets\169_pamnest-twin-halloween-comforter-set-with-sheets-5-pieces-design-06.jpg</t>
        </is>
      </c>
    </row>
    <row r="54" ht="66" customHeight="1">
      <c r="A54" s="2" t="inlineStr">
        <is>
          <t>jeminise.com+pamnest-twin-halloween-comforter-set-with-sheets-5-pieces-design-06</t>
        </is>
      </c>
      <c r="B54" s="2" t="inlineStr">
        <is>
          <t>img_a5acbfa809d8c02a</t>
        </is>
      </c>
      <c r="C54" s="4" t="inlineStr">
        <is>
          <t>https://cdn.shopify.com/s/files/1/0792/5098/1063/files/14e0c414dcf8f732a3efcb85f1038b86f760c8561254aa5ccba8af1194c7a4b9.jpg?v=1787936307</t>
        </is>
      </c>
      <c r="D54" s="4" t="inlineStr">
        <is>
          <t>https://cdn.shopify.com/s/files/1/0792/5098/1063/files/14e0c414dcf8f732a3efcb85f1038b86f760c8561254aa5ccba8af1194c7a4b9.jpg?v=1787936307</t>
        </is>
      </c>
      <c r="E54" s="2" t="inlineStr">
        <is>
          <t>48066077851847</t>
        </is>
      </c>
      <c r="F54" s="2" t="inlineStr">
        <is>
          <t>48066077851847</t>
        </is>
      </c>
      <c r="G54" s="2" t="inlineStr"/>
      <c r="H54" s="2" t="inlineStr">
        <is>
          <t>GALLERY</t>
        </is>
      </c>
      <c r="I54" s="2" t="inlineStr">
        <is>
          <t>DIRECT_IMAGE_DOWNLOAD_AND_SOURCE_ROW_REVIEW</t>
        </is>
      </c>
      <c r="J54" s="2" t="inlineStr">
        <is>
          <t>2026-09-07T21:30:37+07:00</t>
        </is>
      </c>
      <c r="K54" s="2" t="inlineStr">
        <is>
          <t>Direct QA opened downloaded image 169_03; source SHA 22BB4B1B9F8B8855E4D7C03562E26D974B19B8FCBA4C45BF252AB431880538C7. Submitted observation reviewed against gallery position.</t>
        </is>
      </c>
      <c r="L54" s="2" t="inlineStr">
        <is>
          <t>Bedding type, feature, lifestyle or material image for red bloody handprint Halloween comforter set.</t>
        </is>
      </c>
      <c r="M54" s="2" t="inlineStr">
        <is>
          <t>UNKNOWN</t>
        </is>
      </c>
      <c r="N54" s="2" t="inlineStr">
        <is>
          <t>SET</t>
        </is>
      </c>
      <c r="O54" s="2" t="inlineStr">
        <is>
          <t>Lifestyle bedroom mockup of Red Bloody Handprint Halloween Comforter Set</t>
        </is>
      </c>
      <c r="P54" s="2" t="inlineStr">
        <is>
          <t>FULL</t>
        </is>
      </c>
      <c r="Q54" s="2" t="inlineStr">
        <is>
          <t>PARTIAL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ISSUE-0080</t>
        </is>
      </c>
      <c r="Z54" s="2" t="inlineStr">
        <is>
          <t>D:\Shopify_Workspace\jeminise_seo\seo_runs\jeminise.com\20260906_234129\qa\20260907_212312\images\169_03.jpg; seo_runs\jeminise.com\20260906_234129\evidence\images\169_pamnest-twin-halloween-comforter-set-with-sheets-5-pieces-design-06\image_03_48066077851847.jpg; seo_runs\jeminise.com\20260906_234129\evidence\contact_sheets\169_pamnest-twin-halloween-comforter-set-with-sheets-5-pieces-design-06.jpg</t>
        </is>
      </c>
    </row>
    <row r="55" ht="66" customHeight="1">
      <c r="A55" s="3" t="inlineStr">
        <is>
          <t>jeminise.com+pamnest-twin-halloween-comforter-set-with-sheets-5-pieces-design-06</t>
        </is>
      </c>
      <c r="B55" s="3" t="inlineStr">
        <is>
          <t>img_c0d5bc796a75d91f</t>
        </is>
      </c>
      <c r="C55" s="4" t="inlineStr">
        <is>
          <t>https://cdn.shopify.com/s/files/1/0792/5098/1063/files/60955256316c3a7bdd4e572c3f1101f8d5511e78a1d363f9d70104b52b193f71.jpg?v=1787936307</t>
        </is>
      </c>
      <c r="D55" s="4" t="inlineStr">
        <is>
          <t>https://cdn.shopify.com/s/files/1/0792/5098/1063/files/60955256316c3a7bdd4e572c3f1101f8d5511e78a1d363f9d70104b52b193f71.jpg?v=1787936307</t>
        </is>
      </c>
      <c r="E55" s="3" t="inlineStr">
        <is>
          <t>48066077884615</t>
        </is>
      </c>
      <c r="F55" s="3" t="inlineStr">
        <is>
          <t>48066077884615</t>
        </is>
      </c>
      <c r="G55" s="3" t="inlineStr"/>
      <c r="H55" s="3" t="inlineStr">
        <is>
          <t>GALLERY</t>
        </is>
      </c>
      <c r="I55" s="3" t="inlineStr">
        <is>
          <t>DIRECT_IMAGE_DOWNLOAD_AND_SOURCE_ROW_REVIEW</t>
        </is>
      </c>
      <c r="J55" s="3" t="inlineStr">
        <is>
          <t>2026-09-07T21:30:37+07:00</t>
        </is>
      </c>
      <c r="K55" s="3" t="inlineStr">
        <is>
          <t>Direct QA opened downloaded image 169_04; source SHA 5B9513593D429990383B1A963BB8593EA384190AA4057EF325920B05D071D9A4. Submitted observation reviewed against gallery position.</t>
        </is>
      </c>
      <c r="L55" s="3" t="inlineStr">
        <is>
          <t>Detail, feature panel or lifestyle image connected to red bloody handprint Halloween comforter set.</t>
        </is>
      </c>
      <c r="M55" s="3" t="inlineStr">
        <is>
          <t>UNKNOWN</t>
        </is>
      </c>
      <c r="N55" s="3" t="inlineStr">
        <is>
          <t>SET</t>
        </is>
      </c>
      <c r="O55" s="3" t="inlineStr">
        <is>
          <t>Front bed view of Red Bloody Handprint Halloween Comforter Set</t>
        </is>
      </c>
      <c r="P55" s="3" t="inlineStr">
        <is>
          <t>FULL</t>
        </is>
      </c>
      <c r="Q55" s="3" t="inlineStr">
        <is>
          <t>PARTIAL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ISSUE-0081</t>
        </is>
      </c>
      <c r="Z55" s="3" t="inlineStr">
        <is>
          <t>D:\Shopify_Workspace\jeminise_seo\seo_runs\jeminise.com\20260906_234129\qa\20260907_212312\images\169_04.jpg; seo_runs\jeminise.com\20260906_234129\evidence\images\169_pamnest-twin-halloween-comforter-set-with-sheets-5-pieces-design-06\image_04_48066077884615.jpg; seo_runs\jeminise.com\20260906_234129\evidence\contact_sheets\169_pamnest-twin-halloween-comforter-set-with-sheets-5-pieces-design-06.jpg</t>
        </is>
      </c>
    </row>
    <row r="56" ht="66" customHeight="1">
      <c r="A56" s="2" t="inlineStr">
        <is>
          <t>jeminise.com+pamnest-twin-halloween-comforter-set-with-sheets-5-pieces-design-06</t>
        </is>
      </c>
      <c r="B56" s="2" t="inlineStr">
        <is>
          <t>img_b4868955b5019029</t>
        </is>
      </c>
      <c r="C56" s="4" t="inlineStr">
        <is>
          <t>https://cdn.shopify.com/s/files/1/0792/5098/1063/files/e1fbf76f0a4f56333e589145881221e54d4d698d00057714af3d90bfcfcbcde8.jpg?v=1787936307</t>
        </is>
      </c>
      <c r="D56" s="4" t="inlineStr">
        <is>
          <t>https://cdn.shopify.com/s/files/1/0792/5098/1063/files/e1fbf76f0a4f56333e589145881221e54d4d698d00057714af3d90bfcfcbcde8.jpg?v=1787936307</t>
        </is>
      </c>
      <c r="E56" s="2" t="inlineStr">
        <is>
          <t>48066077917383</t>
        </is>
      </c>
      <c r="F56" s="2" t="inlineStr">
        <is>
          <t>48066077917383</t>
        </is>
      </c>
      <c r="G56" s="2" t="inlineStr"/>
      <c r="H56" s="2" t="inlineStr">
        <is>
          <t>GALLERY</t>
        </is>
      </c>
      <c r="I56" s="2" t="inlineStr">
        <is>
          <t>DIRECT_IMAGE_DOWNLOAD_AND_SOURCE_ROW_REVIEW</t>
        </is>
      </c>
      <c r="J56" s="2" t="inlineStr">
        <is>
          <t>2026-09-07T21:30:37+07:00</t>
        </is>
      </c>
      <c r="K56" s="2" t="inlineStr">
        <is>
          <t>Direct QA opened downloaded image 169_05; source SHA 4D201391BE774177043ED58A8C8A59FD3D3317BF1DD8A3BEAA0BA1E45B0D2002. Submitted observation reviewed against gallery position.</t>
        </is>
      </c>
      <c r="L56" s="2" t="inlineStr">
        <is>
          <t>Additional mockup, care or size information for red bloody handprint Halloween comforter set.</t>
        </is>
      </c>
      <c r="M56" s="2" t="inlineStr">
        <is>
          <t>UNKNOWN</t>
        </is>
      </c>
      <c r="N56" s="2" t="inlineStr">
        <is>
          <t>SET</t>
        </is>
      </c>
      <c r="O56" s="2" t="inlineStr">
        <is>
          <t>Fitted sheet or size feature image for Red Bloody Handprint Halloween Comforter Set</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c r="Z56" s="2" t="inlineStr">
        <is>
          <t>D:\Shopify_Workspace\jeminise_seo\seo_runs\jeminise.com\20260906_234129\qa\20260907_212312\images\169_05.jpg; seo_runs\jeminise.com\20260906_234129\evidence\images\169_pamnest-twin-halloween-comforter-set-with-sheets-5-pieces-design-06\image_05_48066077917383.jpg; seo_runs\jeminise.com\20260906_234129\evidence\contact_sheets\169_pamnest-twin-halloween-comforter-set-with-sheets-5-pieces-design-06.jpg</t>
        </is>
      </c>
    </row>
    <row r="57" ht="66" customHeight="1">
      <c r="A57" s="3" t="inlineStr">
        <is>
          <t>jeminise.com+pamnest-twin-halloween-comforter-set-with-sheets-5-pieces-design-06</t>
        </is>
      </c>
      <c r="B57" s="3" t="inlineStr">
        <is>
          <t>img_65ea55de03874828</t>
        </is>
      </c>
      <c r="C57" s="4" t="inlineStr">
        <is>
          <t>https://cdn.shopify.com/s/files/1/0792/5098/1063/files/c704e78fea6b0af8659e3bb6318e69c7a083dd569ad0e78c293e9f2bb37a0b50.jpg?v=1787936307</t>
        </is>
      </c>
      <c r="D57" s="4" t="inlineStr">
        <is>
          <t>https://cdn.shopify.com/s/files/1/0792/5098/1063/files/c704e78fea6b0af8659e3bb6318e69c7a083dd569ad0e78c293e9f2bb37a0b50.jpg?v=1787936307</t>
        </is>
      </c>
      <c r="E57" s="3" t="inlineStr">
        <is>
          <t>48066077982919</t>
        </is>
      </c>
      <c r="F57" s="3" t="inlineStr">
        <is>
          <t>48066077982919</t>
        </is>
      </c>
      <c r="G57" s="3" t="inlineStr"/>
      <c r="H57" s="3" t="inlineStr">
        <is>
          <t>GALLERY</t>
        </is>
      </c>
      <c r="I57" s="3" t="inlineStr">
        <is>
          <t>DIRECT_IMAGE_DOWNLOAD_AND_SOURCE_ROW_REVIEW</t>
        </is>
      </c>
      <c r="J57" s="3" t="inlineStr">
        <is>
          <t>2026-09-07T21:30:37+07:00</t>
        </is>
      </c>
      <c r="K57" s="3" t="inlineStr">
        <is>
          <t>Direct QA opened downloaded image 169_06; source SHA 0D340F0CCBE47B91ADC8FC5D788570BF6003134C071147E8BFFEA8FEEC31A061. Submitted observation reviewed against gallery position.</t>
        </is>
      </c>
      <c r="L57" s="3" t="inlineStr">
        <is>
          <t>Easy-care, size guide or product feature image for red bloody handprint Halloween comforter set.</t>
        </is>
      </c>
      <c r="M57" s="3" t="inlineStr">
        <is>
          <t>UNKNOWN</t>
        </is>
      </c>
      <c r="N57" s="3" t="inlineStr">
        <is>
          <t>SET</t>
        </is>
      </c>
      <c r="O57" s="3" t="inlineStr">
        <is>
          <t>Set contents and size chart image for Red Bloody Handprint Halloween Comforter Set</t>
        </is>
      </c>
      <c r="P57" s="3" t="inlineStr">
        <is>
          <t>FULL</t>
        </is>
      </c>
      <c r="Q57" s="3" t="inlineStr">
        <is>
          <t>PARTIAL</t>
        </is>
      </c>
      <c r="R57" s="3" t="inlineStr">
        <is>
          <t>PARTIAL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ISSUE-0082; ISSUE-0083</t>
        </is>
      </c>
      <c r="Z57" s="3" t="inlineStr">
        <is>
          <t>D:\Shopify_Workspace\jeminise_seo\seo_runs\jeminise.com\20260906_234129\qa\20260907_212312\images\169_06.jpg; seo_runs\jeminise.com\20260906_234129\evidence\images\169_pamnest-twin-halloween-comforter-set-with-sheets-5-pieces-design-06\image_06_48066077982919.jpg; seo_runs\jeminise.com\20260906_234129\evidence\contact_sheets\169_pamnest-twin-halloween-comforter-set-with-sheets-5-pieces-design-06.jpg</t>
        </is>
      </c>
    </row>
    <row r="58" ht="66" customHeight="1">
      <c r="A58" s="2" t="inlineStr">
        <is>
          <t>jeminise.com+pamnest-twin-halloween-comforter-set-with-sheets-5-pieces-design-07</t>
        </is>
      </c>
      <c r="B58" s="2" t="inlineStr">
        <is>
          <t>img_9356d2ce7bad1793</t>
        </is>
      </c>
      <c r="C58" s="4" t="inlineStr">
        <is>
          <t>https://cdn.shopify.com/s/files/1/0792/5098/1063/files/feceab1269e0c41029cfcb73e8317439de8337d84336b09e87d52e7744326f5e.jpg?v=1787936313</t>
        </is>
      </c>
      <c r="D58" s="4" t="inlineStr">
        <is>
          <t>https://cdn.shopify.com/s/files/1/0792/5098/1063/files/feceab1269e0c41029cfcb73e8317439de8337d84336b09e87d52e7744326f5e.jpg?v=1787936313</t>
        </is>
      </c>
      <c r="E58" s="2" t="inlineStr">
        <is>
          <t>48066078015687</t>
        </is>
      </c>
      <c r="F58" s="2" t="inlineStr">
        <is>
          <t>48066078015687</t>
        </is>
      </c>
      <c r="G58" s="2" t="inlineStr">
        <is>
          <t>47062245834951</t>
        </is>
      </c>
      <c r="H58" s="2" t="inlineStr">
        <is>
          <t>GALLERY</t>
        </is>
      </c>
      <c r="I58" s="2" t="inlineStr">
        <is>
          <t>DIRECT_IMAGE_DOWNLOAD_AND_SOURCE_ROW_REVIEW</t>
        </is>
      </c>
      <c r="J58" s="2" t="inlineStr">
        <is>
          <t>2026-09-07T21:30:37+07:00</t>
        </is>
      </c>
      <c r="K58" s="2" t="inlineStr">
        <is>
          <t>Direct QA opened downloaded image 170_01; source SHA 57D73FC8EB4465E4DF4ADEB1067D733EE69662C19632A07ADC29D74430551BC4. Submitted observation reviewed against gallery position.</t>
        </is>
      </c>
      <c r="L58" s="2" t="inlineStr">
        <is>
          <t>Main product mockup showing white haunted house pumpkin Halloween comforter set.</t>
        </is>
      </c>
      <c r="M58" s="2" t="inlineStr">
        <is>
          <t>UNKNOWN</t>
        </is>
      </c>
      <c r="N58" s="2" t="inlineStr">
        <is>
          <t>SET</t>
        </is>
      </c>
      <c r="O58" s="2" t="inlineStr">
        <is>
          <t>White Haunted House Pumpkin Comforter Set displayed in a main product mockup</t>
        </is>
      </c>
      <c r="P58" s="2" t="inlineStr">
        <is>
          <t>FULL</t>
        </is>
      </c>
      <c r="Q58" s="2" t="inlineStr">
        <is>
          <t>FULL</t>
        </is>
      </c>
      <c r="R58" s="2" t="inlineStr">
        <is>
          <t>PARTIAL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ISSUE-0088</t>
        </is>
      </c>
      <c r="Z58" s="2" t="inlineStr">
        <is>
          <t>D:\Shopify_Workspace\jeminise_seo\seo_runs\jeminise.com\20260906_234129\qa\20260907_212312\images\170_01.jpg; seo_runs\jeminise.com\20260906_234129\evidence\images\170_pamnest-twin-halloween-comforter-set-with-sheets-5-pieces-design-07\image_01_48066078015687.jpg; seo_runs\jeminise.com\20260906_234129\evidence\contact_sheets\170_pamnest-twin-halloween-comforter-set-with-sheets-5-pieces-design-07.jpg</t>
        </is>
      </c>
    </row>
    <row r="59" ht="66" customHeight="1">
      <c r="A59" s="3" t="inlineStr">
        <is>
          <t>jeminise.com+pamnest-twin-halloween-comforter-set-with-sheets-5-pieces-design-07</t>
        </is>
      </c>
      <c r="B59" s="3" t="inlineStr">
        <is>
          <t>img_353358cf9766d96f</t>
        </is>
      </c>
      <c r="C59" s="4" t="inlineStr">
        <is>
          <t>https://cdn.shopify.com/s/files/1/0792/5098/1063/files/7683974b7a31c9cf865fb550d243761f446de029999d81b730d1be1d4bffd71a.jpg?v=1787936313</t>
        </is>
      </c>
      <c r="D59" s="4" t="inlineStr">
        <is>
          <t>https://cdn.shopify.com/s/files/1/0792/5098/1063/files/7683974b7a31c9cf865fb550d243761f446de029999d81b730d1be1d4bffd71a.jpg?v=1787936313</t>
        </is>
      </c>
      <c r="E59" s="3" t="inlineStr">
        <is>
          <t>48066078179527</t>
        </is>
      </c>
      <c r="F59" s="3" t="inlineStr">
        <is>
          <t>48066078179527</t>
        </is>
      </c>
      <c r="G59" s="3" t="inlineStr"/>
      <c r="H59" s="3" t="inlineStr">
        <is>
          <t>GALLERY</t>
        </is>
      </c>
      <c r="I59" s="3" t="inlineStr">
        <is>
          <t>DIRECT_IMAGE_DOWNLOAD_AND_SOURCE_ROW_REVIEW</t>
        </is>
      </c>
      <c r="J59" s="3" t="inlineStr">
        <is>
          <t>2026-09-07T21:30:37+07:00</t>
        </is>
      </c>
      <c r="K59" s="3" t="inlineStr">
        <is>
          <t>Direct QA opened downloaded image 170_02; source SHA 66FDE1A3115F6924FDE8938B3219FF6325F4FDC4FB847653496217070CF4485D. Submitted observation reviewed against gallery position.</t>
        </is>
      </c>
      <c r="L59" s="3" t="inlineStr">
        <is>
          <t>Secondary flat, close-up or bedroom mockup showing white haunted house pumpkin Halloween comforter set.</t>
        </is>
      </c>
      <c r="M59" s="3" t="inlineStr">
        <is>
          <t>UNKNOWN</t>
        </is>
      </c>
      <c r="N59" s="3" t="inlineStr">
        <is>
          <t>SET</t>
        </is>
      </c>
      <c r="O59" s="3" t="inlineStr">
        <is>
          <t>Close-up of the print on White Haunted House Pumpkin Comforter Set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c r="Z59" s="3" t="inlineStr">
        <is>
          <t>D:\Shopify_Workspace\jeminise_seo\seo_runs\jeminise.com\20260906_234129\qa\20260907_212312\images\170_02.jpg; seo_runs\jeminise.com\20260906_234129\evidence\images\170_pamnest-twin-halloween-comforter-set-with-sheets-5-pieces-design-07\image_02_48066078179527.jpg; seo_runs\jeminise.com\20260906_234129\evidence\contact_sheets\170_pamnest-twin-halloween-comforter-set-with-sheets-5-pieces-design-07.jpg</t>
        </is>
      </c>
    </row>
    <row r="60" ht="66" customHeight="1">
      <c r="A60" s="2" t="inlineStr">
        <is>
          <t>jeminise.com+pamnest-twin-halloween-comforter-set-with-sheets-5-pieces-design-07</t>
        </is>
      </c>
      <c r="B60" s="2" t="inlineStr">
        <is>
          <t>img_0bf2807db76246ec</t>
        </is>
      </c>
      <c r="C60" s="4" t="inlineStr">
        <is>
          <t>https://cdn.shopify.com/s/files/1/0792/5098/1063/files/d15de982cf49c61d63dcb3e70a085c7480d7757447c46dfe1f4e360681c9f501.jpg?v=1787936313</t>
        </is>
      </c>
      <c r="D60" s="4" t="inlineStr">
        <is>
          <t>https://cdn.shopify.com/s/files/1/0792/5098/1063/files/d15de982cf49c61d63dcb3e70a085c7480d7757447c46dfe1f4e360681c9f501.jpg?v=1787936313</t>
        </is>
      </c>
      <c r="E60" s="2" t="inlineStr">
        <is>
          <t>48066078081223</t>
        </is>
      </c>
      <c r="F60" s="2" t="inlineStr">
        <is>
          <t>48066078081223</t>
        </is>
      </c>
      <c r="G60" s="2" t="inlineStr"/>
      <c r="H60" s="2" t="inlineStr">
        <is>
          <t>GALLERY</t>
        </is>
      </c>
      <c r="I60" s="2" t="inlineStr">
        <is>
          <t>DIRECT_IMAGE_DOWNLOAD_AND_SOURCE_ROW_REVIEW</t>
        </is>
      </c>
      <c r="J60" s="2" t="inlineStr">
        <is>
          <t>2026-09-07T21:30:37+07:00</t>
        </is>
      </c>
      <c r="K60" s="2" t="inlineStr">
        <is>
          <t>Direct QA opened downloaded image 170_03; source SHA 77A837B38C393E3BBFFF0B491A90B5199FFA79DA2E940C5D9FD28A35CB83813C. Submitted observation reviewed against gallery position.</t>
        </is>
      </c>
      <c r="L60" s="2" t="inlineStr">
        <is>
          <t>Bedding type, feature, lifestyle or material image for white haunted house pumpkin Halloween comforter set.</t>
        </is>
      </c>
      <c r="M60" s="2" t="inlineStr">
        <is>
          <t>UNKNOWN</t>
        </is>
      </c>
      <c r="N60" s="2" t="inlineStr">
        <is>
          <t>SET</t>
        </is>
      </c>
      <c r="O60" s="2" t="inlineStr">
        <is>
          <t>Lifestyle bedroom mockup of White Haunted House Pumpkin Comforter Set</t>
        </is>
      </c>
      <c r="P60" s="2" t="inlineStr">
        <is>
          <t>FULL</t>
        </is>
      </c>
      <c r="Q60" s="2" t="inlineStr">
        <is>
          <t>PARTIAL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ISSUE-0089</t>
        </is>
      </c>
      <c r="Z60" s="2" t="inlineStr">
        <is>
          <t>D:\Shopify_Workspace\jeminise_seo\seo_runs\jeminise.com\20260906_234129\qa\20260907_212312\images\170_03.jpg; seo_runs\jeminise.com\20260906_234129\evidence\images\170_pamnest-twin-halloween-comforter-set-with-sheets-5-pieces-design-07\image_03_48066078081223.jpg; seo_runs\jeminise.com\20260906_234129\evidence\contact_sheets\170_pamnest-twin-halloween-comforter-set-with-sheets-5-pieces-design-07.jpg</t>
        </is>
      </c>
    </row>
    <row r="61" ht="66" customHeight="1">
      <c r="A61" s="3" t="inlineStr">
        <is>
          <t>jeminise.com+pamnest-twin-halloween-comforter-set-with-sheets-5-pieces-design-07</t>
        </is>
      </c>
      <c r="B61" s="3" t="inlineStr">
        <is>
          <t>img_44dde367352679f8</t>
        </is>
      </c>
      <c r="C61" s="4" t="inlineStr">
        <is>
          <t>https://cdn.shopify.com/s/files/1/0792/5098/1063/files/30ac2af2067079c32aee59f6826a158fdef74dbd36e4a379b1f3dad211c0c404.jpg?v=1787936313</t>
        </is>
      </c>
      <c r="D61" s="4" t="inlineStr">
        <is>
          <t>https://cdn.shopify.com/s/files/1/0792/5098/1063/files/30ac2af2067079c32aee59f6826a158fdef74dbd36e4a379b1f3dad211c0c404.jpg?v=1787936313</t>
        </is>
      </c>
      <c r="E61" s="3" t="inlineStr">
        <is>
          <t>48066078113991</t>
        </is>
      </c>
      <c r="F61" s="3" t="inlineStr">
        <is>
          <t>48066078113991</t>
        </is>
      </c>
      <c r="G61" s="3" t="inlineStr"/>
      <c r="H61" s="3" t="inlineStr">
        <is>
          <t>GALLERY</t>
        </is>
      </c>
      <c r="I61" s="3" t="inlineStr">
        <is>
          <t>DIRECT_IMAGE_DOWNLOAD_AND_SOURCE_ROW_REVIEW</t>
        </is>
      </c>
      <c r="J61" s="3" t="inlineStr">
        <is>
          <t>2026-09-07T21:30:37+07:00</t>
        </is>
      </c>
      <c r="K61" s="3" t="inlineStr">
        <is>
          <t>Direct QA opened downloaded image 170_04; source SHA E63D6137B382A807721880429E4A206624E7F6703B7A880C40EA9A7613BDAA88. Submitted observation reviewed against gallery position.</t>
        </is>
      </c>
      <c r="L61" s="3" t="inlineStr">
        <is>
          <t>Detail, feature panel or lifestyle image connected to white haunted house pumpkin Halloween comforter set.</t>
        </is>
      </c>
      <c r="M61" s="3" t="inlineStr">
        <is>
          <t>UNKNOWN</t>
        </is>
      </c>
      <c r="N61" s="3" t="inlineStr">
        <is>
          <t>SET</t>
        </is>
      </c>
      <c r="O61" s="3" t="inlineStr">
        <is>
          <t>Front bed view of White Haunted House Pumpkin Comforter Set</t>
        </is>
      </c>
      <c r="P61" s="3" t="inlineStr">
        <is>
          <t>FULL</t>
        </is>
      </c>
      <c r="Q61" s="3" t="inlineStr">
        <is>
          <t>PARTIAL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ISSUE-0090</t>
        </is>
      </c>
      <c r="Z61" s="3" t="inlineStr">
        <is>
          <t>D:\Shopify_Workspace\jeminise_seo\seo_runs\jeminise.com\20260906_234129\qa\20260907_212312\images\170_04.jpg; seo_runs\jeminise.com\20260906_234129\evidence\images\170_pamnest-twin-halloween-comforter-set-with-sheets-5-pieces-design-07\image_04_48066078113991.jpg; seo_runs\jeminise.com\20260906_234129\evidence\contact_sheets\170_pamnest-twin-halloween-comforter-set-with-sheets-5-pieces-design-07.jpg</t>
        </is>
      </c>
    </row>
    <row r="62" ht="66" customHeight="1">
      <c r="A62" s="2" t="inlineStr">
        <is>
          <t>jeminise.com+pamnest-twin-halloween-comforter-set-with-sheets-5-pieces-design-07</t>
        </is>
      </c>
      <c r="B62" s="2" t="inlineStr">
        <is>
          <t>img_7690e5fb61cb212f</t>
        </is>
      </c>
      <c r="C62" s="4" t="inlineStr">
        <is>
          <t>https://cdn.shopify.com/s/files/1/0792/5098/1063/files/9d916a0bc9f840d4bf410947c3497d6a50cfc268bce2c2020b74a8951bbd4f62.jpg?v=1787936313</t>
        </is>
      </c>
      <c r="D62" s="4" t="inlineStr">
        <is>
          <t>https://cdn.shopify.com/s/files/1/0792/5098/1063/files/9d916a0bc9f840d4bf410947c3497d6a50cfc268bce2c2020b74a8951bbd4f62.jpg?v=1787936313</t>
        </is>
      </c>
      <c r="E62" s="2" t="inlineStr">
        <is>
          <t>48066078146759</t>
        </is>
      </c>
      <c r="F62" s="2" t="inlineStr">
        <is>
          <t>48066078146759</t>
        </is>
      </c>
      <c r="G62" s="2" t="inlineStr"/>
      <c r="H62" s="2" t="inlineStr">
        <is>
          <t>GALLERY</t>
        </is>
      </c>
      <c r="I62" s="2" t="inlineStr">
        <is>
          <t>DIRECT_IMAGE_DOWNLOAD_AND_SOURCE_ROW_REVIEW</t>
        </is>
      </c>
      <c r="J62" s="2" t="inlineStr">
        <is>
          <t>2026-09-07T21:30:37+07:00</t>
        </is>
      </c>
      <c r="K62" s="2" t="inlineStr">
        <is>
          <t>Direct QA opened downloaded image 170_05; source SHA 0EC80DB49E04E1EC38CFA5B81F1ABDFB15D8DE98EB5E76F86EBA4AF1F9C7BE01. Submitted observation reviewed against gallery position.</t>
        </is>
      </c>
      <c r="L62" s="2" t="inlineStr">
        <is>
          <t>Additional mockup, care or size information for white haunted house pumpkin Halloween comforter set.</t>
        </is>
      </c>
      <c r="M62" s="2" t="inlineStr">
        <is>
          <t>UNKNOWN</t>
        </is>
      </c>
      <c r="N62" s="2" t="inlineStr">
        <is>
          <t>SET</t>
        </is>
      </c>
      <c r="O62" s="2" t="inlineStr">
        <is>
          <t>Fitted sheet or size feature image for White Haunted House Pumpkin Comforter Set</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c r="Z62" s="2" t="inlineStr">
        <is>
          <t>D:\Shopify_Workspace\jeminise_seo\seo_runs\jeminise.com\20260906_234129\qa\20260907_212312\images\170_05.jpg; seo_runs\jeminise.com\20260906_234129\evidence\images\170_pamnest-twin-halloween-comforter-set-with-sheets-5-pieces-design-07\image_05_48066078146759.jpg; seo_runs\jeminise.com\20260906_234129\evidence\contact_sheets\170_pamnest-twin-halloween-comforter-set-with-sheets-5-pieces-design-07.jpg</t>
        </is>
      </c>
    </row>
    <row r="63" ht="66" customHeight="1">
      <c r="A63" s="3" t="inlineStr">
        <is>
          <t>jeminise.com+pamnest-twin-halloween-comforter-set-with-sheets-5-pieces-design-07</t>
        </is>
      </c>
      <c r="B63" s="3" t="inlineStr">
        <is>
          <t>img_ef6bb6e803199e76</t>
        </is>
      </c>
      <c r="C63" s="4" t="inlineStr">
        <is>
          <t>https://cdn.shopify.com/s/files/1/0792/5098/1063/files/3e227101e2e9c24d641f1ea4dd5f5e1cb8ef75e8fe6c70b298e93002e2905f25.jpg?v=1787936313</t>
        </is>
      </c>
      <c r="D63" s="4" t="inlineStr">
        <is>
          <t>https://cdn.shopify.com/s/files/1/0792/5098/1063/files/3e227101e2e9c24d641f1ea4dd5f5e1cb8ef75e8fe6c70b298e93002e2905f25.jpg?v=1787936313</t>
        </is>
      </c>
      <c r="E63" s="3" t="inlineStr">
        <is>
          <t>48066078212295</t>
        </is>
      </c>
      <c r="F63" s="3" t="inlineStr">
        <is>
          <t>48066078212295</t>
        </is>
      </c>
      <c r="G63" s="3" t="inlineStr"/>
      <c r="H63" s="3" t="inlineStr">
        <is>
          <t>GALLERY</t>
        </is>
      </c>
      <c r="I63" s="3" t="inlineStr">
        <is>
          <t>DIRECT_IMAGE_DOWNLOAD_AND_SOURCE_ROW_REVIEW</t>
        </is>
      </c>
      <c r="J63" s="3" t="inlineStr">
        <is>
          <t>2026-09-07T21:30:37+07:00</t>
        </is>
      </c>
      <c r="K63" s="3" t="inlineStr">
        <is>
          <t>Direct QA opened downloaded image 170_06; source SHA 6BB214F32E9AE6A6941D5862382F509A1DC19A42D9E7E2D9338CA4543C399593. Submitted observation reviewed against gallery position.</t>
        </is>
      </c>
      <c r="L63" s="3" t="inlineStr">
        <is>
          <t>Easy-care, size guide or product feature image for white haunted house pumpkin Halloween comforter set.</t>
        </is>
      </c>
      <c r="M63" s="3" t="inlineStr">
        <is>
          <t>UNKNOWN</t>
        </is>
      </c>
      <c r="N63" s="3" t="inlineStr">
        <is>
          <t>SET</t>
        </is>
      </c>
      <c r="O63" s="3" t="inlineStr">
        <is>
          <t>Set contents and size chart image for White Haunted House Pumpkin Comforter Set</t>
        </is>
      </c>
      <c r="P63" s="3" t="inlineStr">
        <is>
          <t>FULL</t>
        </is>
      </c>
      <c r="Q63" s="3" t="inlineStr">
        <is>
          <t>PARTIAL</t>
        </is>
      </c>
      <c r="R63" s="3" t="inlineStr">
        <is>
          <t>PARTIAL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ISSUE-0091; ISSUE-0092</t>
        </is>
      </c>
      <c r="Z63" s="3" t="inlineStr">
        <is>
          <t>D:\Shopify_Workspace\jeminise_seo\seo_runs\jeminise.com\20260906_234129\qa\20260907_212312\images\170_06.jpg; seo_runs\jeminise.com\20260906_234129\evidence\images\170_pamnest-twin-halloween-comforter-set-with-sheets-5-pieces-design-07\image_06_48066078212295.jpg; seo_runs\jeminise.com\20260906_234129\evidence\contact_sheets\170_pamnest-twin-halloween-comforter-set-with-sheets-5-pieces-design-07.jpg</t>
        </is>
      </c>
    </row>
  </sheetData>
  <autoFilter ref="A1:Z6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93"/>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jeminise.com+norse-mythology-raven-within-celtic-knot-frame-quilt-906ee24d68-906ee24d68</t>
        </is>
      </c>
      <c r="C2" s="2" t="inlineStr"/>
      <c r="D2" s="2" t="inlineStr">
        <is>
          <t>MAJOR</t>
        </is>
      </c>
      <c r="E2" s="2" t="inlineStr">
        <is>
          <t>description_proposed_html</t>
        </is>
      </c>
      <c r="F2" s="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row>
    <row r="3" ht="84" customHeight="1">
      <c r="A3" s="3" t="inlineStr">
        <is>
          <t>ISSUE-0002</t>
        </is>
      </c>
      <c r="B3" s="3" t="inlineStr">
        <is>
          <t>jeminise.com+norse-mythology-raven-within-celtic-knot-frame-quilt-906ee24d68-906ee24d68</t>
        </is>
      </c>
      <c r="C3" s="3" t="inlineStr"/>
      <c r="D3" s="3" t="inlineStr">
        <is>
          <t>MAJOR</t>
        </is>
      </c>
      <c r="E3" s="3" t="inlineStr">
        <is>
          <t>h1_proposed</t>
        </is>
      </c>
      <c r="F3" s="3" t="inlineStr"/>
      <c r="G3" s="3" t="inlineStr">
        <is>
          <t>The submitted workbook row has no proposed H1.</t>
        </is>
      </c>
      <c r="H3" s="3" t="inlineStr">
        <is>
          <t>A publishable SEO title/H1 pair is incomplete when the H1 field is blank.</t>
        </is>
      </c>
      <c r="I3" s="3" t="inlineStr">
        <is>
          <t>Write one English H1 that matches the verified product type and visible design; do not copy unsupported claims.</t>
        </is>
      </c>
      <c r="J3" s="3" t="inlineStr">
        <is>
          <t>The submitted workbook row has no proposed H1.</t>
        </is>
      </c>
      <c r="K3" s="3" t="inlineStr">
        <is>
          <t>Workbook contains a non-empty H1 and it is consistent with title, primary keyword and live product evidence.</t>
        </is>
      </c>
    </row>
    <row r="4" ht="84" customHeight="1">
      <c r="A4" s="2" t="inlineStr">
        <is>
          <t>ISSUE-0003</t>
        </is>
      </c>
      <c r="B4" s="2" t="inlineStr">
        <is>
          <t>jeminise.com+norse-mythology-raven-within-celtic-knot-frame-quilt-906ee24d68-906ee24d68</t>
        </is>
      </c>
      <c r="C4" s="2" t="inlineStr"/>
      <c r="D4" s="2" t="inlineStr">
        <is>
          <t>MINOR</t>
        </is>
      </c>
      <c r="E4" s="2" t="inlineStr">
        <is>
          <t>meta_description_seo</t>
        </is>
      </c>
      <c r="F4" s="2" t="inlineStr">
        <is>
          <t>Shop a quilt set featuring blue patchwork Norse raven artwork within a Celtic knot frame with moon, raven and Tree of Life panels. Review available sizes and set options before checkout.</t>
        </is>
      </c>
      <c r="G4" s="2" t="inlineStr">
        <is>
          <t>Meta description length is 186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186 characters.</t>
        </is>
      </c>
      <c r="K4" s="2" t="inlineStr">
        <is>
          <t>Length check &lt;=160 characters and no unsupported claim remains.</t>
        </is>
      </c>
    </row>
    <row r="5" ht="84" customHeight="1">
      <c r="A5" s="3" t="inlineStr">
        <is>
          <t>ISSUE-0004</t>
        </is>
      </c>
      <c r="B5" s="3" t="inlineStr">
        <is>
          <t>jeminise.com+norse-mythology-raven-within-celtic-knot-frame-quilt-906ee24d68-906ee24d68</t>
        </is>
      </c>
      <c r="C5" s="3" t="inlineStr"/>
      <c r="D5" s="3" t="inlineStr">
        <is>
          <t>LIMITATION</t>
        </is>
      </c>
      <c r="E5" s="3" t="inlineStr">
        <is>
          <t>keyword_evidence_level</t>
        </is>
      </c>
      <c r="F5" s="3" t="inlineStr">
        <is>
          <t>SERP_ONLY</t>
        </is>
      </c>
      <c r="G5" s="3" t="inlineStr">
        <is>
          <t>Only public SERP comparables are available.</t>
        </is>
      </c>
      <c r="H5" s="3" t="inlineStr">
        <is>
          <t>No Search Console, paid keyword volume or internal site search export was supplied.</t>
        </is>
      </c>
      <c r="I5" s="3" t="inlineStr">
        <is>
          <t>Keep demand statements qualitative; do not claim volume or ranking potential.</t>
        </is>
      </c>
      <c r="J5" s="3" t="inlineStr">
        <is>
          <t>Only public SERP comparables are available.</t>
        </is>
      </c>
      <c r="K5" s="3" t="inlineStr">
        <is>
          <t>Additional first-party or paid keyword evidence is attached, or limitation remains documented.</t>
        </is>
      </c>
    </row>
    <row r="6" ht="84" customHeight="1">
      <c r="A6" s="2" t="inlineStr">
        <is>
          <t>ISSUE-0005</t>
        </is>
      </c>
      <c r="B6" s="2" t="inlineStr">
        <is>
          <t>jeminise.com+norse-mythology-raven-within-celtic-knot-frame-quilt-906ee24d68-906ee24d68</t>
        </is>
      </c>
      <c r="C6" s="2" t="inlineStr">
        <is>
          <t>img_4a32db49ec01b0ad</t>
        </is>
      </c>
      <c r="D6" s="2" t="inlineStr">
        <is>
          <t>MINOR</t>
        </is>
      </c>
      <c r="E6" s="2" t="inlineStr">
        <is>
          <t>alt text</t>
        </is>
      </c>
      <c r="F6" s="2" t="inlineStr">
        <is>
          <t>Blue Norse Raven Celtic Knot Quilt displayed in a main product mockup</t>
        </is>
      </c>
      <c r="G6" s="2" t="inlineStr">
        <is>
          <t>Fresh image file: D:\Shopify_Workspace\jeminise_seo\seo_runs\jeminise.com\20260906_234129\qa\20260907_212312\images\161_01.jpg; source URL: https://cdn.shopify.com/s/files/1/0792/5098/1063/files/f5df6ea5afdf042e566b7af241d22bd6929357120dcb00f0bc65a8916d20bdd1.jpg?v=1785104402</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D:\Shopify_Workspace\jeminise_seo\seo_runs\jeminise.com\20260906_234129\qa\20260907_212312\images\161_01.jpg; source URL: https://cdn.shopify.com/s/files/1/0792/5098/1063/files/f5df6ea5afdf042e566b7af241d22bd6929357120dcb00f0bc65a8916d20bdd1.jpg?v=1785104402</t>
        </is>
      </c>
      <c r="K6" s="2" t="inlineStr">
        <is>
          <t>The image row accurately describes the actual media at this gallery position.</t>
        </is>
      </c>
    </row>
    <row r="7" ht="84" customHeight="1">
      <c r="A7" s="3" t="inlineStr">
        <is>
          <t>ISSUE-0006</t>
        </is>
      </c>
      <c r="B7" s="3" t="inlineStr">
        <is>
          <t>jeminise.com+norse-mythology-raven-within-celtic-knot-frame-quilt-906ee24d68-906ee24d68</t>
        </is>
      </c>
      <c r="C7" s="3" t="inlineStr">
        <is>
          <t>img_6bf8da2d85e8de01</t>
        </is>
      </c>
      <c r="D7" s="3" t="inlineStr">
        <is>
          <t>MINOR</t>
        </is>
      </c>
      <c r="E7" s="3" t="inlineStr">
        <is>
          <t>image observation</t>
        </is>
      </c>
      <c r="F7" s="3" t="inlineStr">
        <is>
          <t>Bedding type, feature, lifestyle or material image for blue Norse raven Celtic knot quilt.</t>
        </is>
      </c>
      <c r="G7" s="3" t="inlineStr">
        <is>
          <t>Fresh image file: D:\Shopify_Workspace\jeminise_seo\seo_runs\jeminise.com\20260906_234129\qa\20260907_212312\images\161_03.jpg; source URL: https://cdn.shopify.com/s/files/1/0792/5098/1063/files/27dd51b6fe9a32b87ac804b19987fb134fc4570b327d844efdae0740d4303aab.jpg?v=1785104402</t>
        </is>
      </c>
      <c r="H7" s="3" t="inlineStr">
        <is>
          <t>Observation is generic or position-based; rewrite from the actual image content.</t>
        </is>
      </c>
      <c r="I7" s="3" t="inlineStr">
        <is>
          <t>Rewrite observation/alt from the directly opened image, naming the visible motif and use context.</t>
        </is>
      </c>
      <c r="J7" s="3" t="inlineStr">
        <is>
          <t>Fresh image file: D:\Shopify_Workspace\jeminise_seo\seo_runs\jeminise.com\20260906_234129\qa\20260907_212312\images\161_03.jpg; source URL: https://cdn.shopify.com/s/files/1/0792/5098/1063/files/27dd51b6fe9a32b87ac804b19987fb134fc4570b327d844efdae0740d4303aab.jpg?v=1785104402</t>
        </is>
      </c>
      <c r="K7" s="3" t="inlineStr">
        <is>
          <t>The image row accurately describes the actual media at this gallery position.</t>
        </is>
      </c>
    </row>
    <row r="8" ht="84" customHeight="1">
      <c r="A8" s="2" t="inlineStr">
        <is>
          <t>ISSUE-0007</t>
        </is>
      </c>
      <c r="B8" s="2" t="inlineStr">
        <is>
          <t>jeminise.com+norse-mythology-raven-within-celtic-knot-frame-quilt-906ee24d68-906ee24d68</t>
        </is>
      </c>
      <c r="C8" s="2" t="inlineStr">
        <is>
          <t>img_0b8db06ccd8ee1f6</t>
        </is>
      </c>
      <c r="D8" s="2" t="inlineStr">
        <is>
          <t>MINOR</t>
        </is>
      </c>
      <c r="E8" s="2" t="inlineStr">
        <is>
          <t>image observation</t>
        </is>
      </c>
      <c r="F8" s="2" t="inlineStr">
        <is>
          <t>Detail, feature panel or lifestyle image connected to blue Norse raven Celtic knot quilt.</t>
        </is>
      </c>
      <c r="G8" s="2" t="inlineStr">
        <is>
          <t>Fresh image file: D:\Shopify_Workspace\jeminise_seo\seo_runs\jeminise.com\20260906_234129\qa\20260907_212312\images\161_04.jpg; source URL: https://cdn.shopify.com/s/files/1/0792/5098/1063/files/c63b8bede4de84261bd2bc195d98188fb288eba460ea7d07b0ef625dba18ed45.jpg?v=1785104402</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D:\Shopify_Workspace\jeminise_seo\seo_runs\jeminise.com\20260906_234129\qa\20260907_212312\images\161_04.jpg; source URL: https://cdn.shopify.com/s/files/1/0792/5098/1063/files/c63b8bede4de84261bd2bc195d98188fb288eba460ea7d07b0ef625dba18ed45.jpg?v=1785104402</t>
        </is>
      </c>
      <c r="K8" s="2" t="inlineStr">
        <is>
          <t>The image row accurately describes the actual media at this gallery position.</t>
        </is>
      </c>
    </row>
    <row r="9" ht="84" customHeight="1">
      <c r="A9" s="3" t="inlineStr">
        <is>
          <t>ISSUE-0008</t>
        </is>
      </c>
      <c r="B9" s="3" t="inlineStr">
        <is>
          <t>jeminise.com+norse-mythology-raven-within-celtic-knot-frame-quilt-906ee24d68-906ee24d68</t>
        </is>
      </c>
      <c r="C9" s="3" t="inlineStr">
        <is>
          <t>img_4a8ac5f2d547d70c</t>
        </is>
      </c>
      <c r="D9" s="3" t="inlineStr">
        <is>
          <t>MINOR</t>
        </is>
      </c>
      <c r="E9" s="3" t="inlineStr">
        <is>
          <t>image observation</t>
        </is>
      </c>
      <c r="F9" s="3" t="inlineStr">
        <is>
          <t>Easy-care, size guide or product feature image for blue Norse raven Celtic knot quilt.</t>
        </is>
      </c>
      <c r="G9" s="3" t="inlineStr">
        <is>
          <t>Fresh image file: D:\Shopify_Workspace\jeminise_seo\seo_runs\jeminise.com\20260906_234129\qa\20260907_212312\images\161_06.jpg; source URL: https://cdn.shopify.com/s/files/1/0792/5098/1063/files/5cc9f4f96bdb0280d8a3c4b98775690e61d79ad5625e9f20a101536548fe3b0e.jpg?v=1785104402</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D:\Shopify_Workspace\jeminise_seo\seo_runs\jeminise.com\20260906_234129\qa\20260907_212312\images\161_06.jpg; source URL: https://cdn.shopify.com/s/files/1/0792/5098/1063/files/5cc9f4f96bdb0280d8a3c4b98775690e61d79ad5625e9f20a101536548fe3b0e.jpg?v=1785104402</t>
        </is>
      </c>
      <c r="K9" s="3" t="inlineStr">
        <is>
          <t>The image row accurately describes the actual media at this gallery position.</t>
        </is>
      </c>
    </row>
    <row r="10" ht="84" customHeight="1">
      <c r="A10" s="2" t="inlineStr">
        <is>
          <t>ISSUE-0009</t>
        </is>
      </c>
      <c r="B10" s="2" t="inlineStr">
        <is>
          <t>jeminise.com+norse-mythology-raven-within-celtic-knot-frame-quilt-906ee24d68-906ee24d68</t>
        </is>
      </c>
      <c r="C10" s="2" t="inlineStr">
        <is>
          <t>img_4a8ac5f2d547d70c</t>
        </is>
      </c>
      <c r="D10" s="2" t="inlineStr">
        <is>
          <t>MINOR</t>
        </is>
      </c>
      <c r="E10" s="2" t="inlineStr">
        <is>
          <t>alt text</t>
        </is>
      </c>
      <c r="F10" s="2" t="inlineStr">
        <is>
          <t>Set contents and size chart image for Blue Norse Raven Celtic Knot Quilt</t>
        </is>
      </c>
      <c r="G10" s="2" t="inlineStr">
        <is>
          <t>Fresh image file: D:\Shopify_Workspace\jeminise_seo\seo_runs\jeminise.com\20260906_234129\qa\20260907_212312\images\161_06.jpg; source URL: https://cdn.shopify.com/s/files/1/0792/5098/1063/files/5cc9f4f96bdb0280d8a3c4b98775690e61d79ad5625e9f20a101536548fe3b0e.jpg?v=1785104402</t>
        </is>
      </c>
      <c r="H10" s="2" t="inlineStr">
        <is>
          <t>Alt text is too generic or describes placement more than visible content.</t>
        </is>
      </c>
      <c r="I10" s="2" t="inlineStr">
        <is>
          <t>Rewrite observation/alt from the directly opened image, naming the visible motif and use context.</t>
        </is>
      </c>
      <c r="J10" s="2" t="inlineStr">
        <is>
          <t>Fresh image file: D:\Shopify_Workspace\jeminise_seo\seo_runs\jeminise.com\20260906_234129\qa\20260907_212312\images\161_06.jpg; source URL: https://cdn.shopify.com/s/files/1/0792/5098/1063/files/5cc9f4f96bdb0280d8a3c4b98775690e61d79ad5625e9f20a101536548fe3b0e.jpg?v=1785104402</t>
        </is>
      </c>
      <c r="K10" s="2" t="inlineStr">
        <is>
          <t>The image row accurately describes the actual media at this gallery position.</t>
        </is>
      </c>
    </row>
    <row r="11" ht="84" customHeight="1">
      <c r="A11" s="3" t="inlineStr">
        <is>
          <t>ISSUE-0010</t>
        </is>
      </c>
      <c r="B11" s="3" t="inlineStr">
        <is>
          <t>jeminise.com+norse-mythology-raven-within-celtic-knot-frame-quilt-906ee24d68-906ee24d68</t>
        </is>
      </c>
      <c r="C11" s="3" t="inlineStr">
        <is>
          <t>img_6ca30d95daecc374</t>
        </is>
      </c>
      <c r="D11" s="3" t="inlineStr">
        <is>
          <t>MINOR</t>
        </is>
      </c>
      <c r="E11" s="3" t="inlineStr">
        <is>
          <t>image observation</t>
        </is>
      </c>
      <c r="F11" s="3" t="inlineStr">
        <is>
          <t>Additional lifestyle, feature or product detail image showing blue Norse raven Celtic knot quilt.</t>
        </is>
      </c>
      <c r="G11" s="3" t="inlineStr">
        <is>
          <t>Fresh image file: D:\Shopify_Workspace\jeminise_seo\seo_runs\jeminise.com\20260906_234129\qa\20260907_212312\images\161_07.jpg; source URL: https://cdn.shopify.com/s/files/1/0792/5098/1063/files/31facc27e0d676d03e5239357f2912111f3e0640688af1ac241589e99b6705fb.jpg?v=1785104402</t>
        </is>
      </c>
      <c r="H11" s="3" t="inlineStr">
        <is>
          <t>Observation is generic or position-based; rewrite from the actual image content.</t>
        </is>
      </c>
      <c r="I11" s="3" t="inlineStr">
        <is>
          <t>Rewrite observation/alt from the directly opened image, naming the visible motif and use context.</t>
        </is>
      </c>
      <c r="J11" s="3" t="inlineStr">
        <is>
          <t>Fresh image file: D:\Shopify_Workspace\jeminise_seo\seo_runs\jeminise.com\20260906_234129\qa\20260907_212312\images\161_07.jpg; source URL: https://cdn.shopify.com/s/files/1/0792/5098/1063/files/31facc27e0d676d03e5239357f2912111f3e0640688af1ac241589e99b6705fb.jpg?v=1785104402</t>
        </is>
      </c>
      <c r="K11" s="3" t="inlineStr">
        <is>
          <t>The image row accurately describes the actual media at this gallery position.</t>
        </is>
      </c>
    </row>
    <row r="12" ht="84" customHeight="1">
      <c r="A12" s="2" t="inlineStr">
        <is>
          <t>ISSUE-0011</t>
        </is>
      </c>
      <c r="B12" s="2" t="inlineStr">
        <is>
          <t>jeminise.com+norse-mythology-viking-shield-with-crossed-axes-quilt-ca630a284e-ca630a284e</t>
        </is>
      </c>
      <c r="C12" s="2" t="inlineStr"/>
      <c r="D12" s="2" t="inlineStr">
        <is>
          <t>MAJOR</t>
        </is>
      </c>
      <c r="E12" s="2" t="inlineStr">
        <is>
          <t>description_proposed_html</t>
        </is>
      </c>
      <c r="F12" s="2"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t>
        </is>
      </c>
      <c r="G12" s="2" t="inlineStr">
        <is>
          <t>Draft contains SEO Use / QA approval wording.</t>
        </is>
      </c>
      <c r="H12" s="2" t="inlineStr">
        <is>
          <t>Internal workflow language is not publish-ready storefront copy.</t>
        </is>
      </c>
      <c r="I12" s="2" t="inlineStr">
        <is>
          <t>Remove internal QA/import block and replace with customer-facing verified copy.</t>
        </is>
      </c>
      <c r="J12" s="2" t="inlineStr">
        <is>
          <t>Draft contains SEO Use / QA approval wording.</t>
        </is>
      </c>
      <c r="K12" s="2" t="inlineStr">
        <is>
          <t>Description HTML no longer contains SEO Use, QA, approval, import or draft language.</t>
        </is>
      </c>
    </row>
    <row r="13" ht="84" customHeight="1">
      <c r="A13" s="3" t="inlineStr">
        <is>
          <t>ISSUE-0012</t>
        </is>
      </c>
      <c r="B13" s="3" t="inlineStr">
        <is>
          <t>jeminise.com+norse-mythology-viking-shield-with-crossed-axes-quilt-ca630a284e-ca630a284e</t>
        </is>
      </c>
      <c r="C13" s="3" t="inlineStr"/>
      <c r="D13" s="3" t="inlineStr">
        <is>
          <t>MAJOR</t>
        </is>
      </c>
      <c r="E13" s="3" t="inlineStr">
        <is>
          <t>h1_proposed</t>
        </is>
      </c>
      <c r="F13" s="3" t="inlineStr"/>
      <c r="G13" s="3" t="inlineStr">
        <is>
          <t>The submitted workbook row has no proposed H1.</t>
        </is>
      </c>
      <c r="H13" s="3" t="inlineStr">
        <is>
          <t>A publishable SEO title/H1 pair is incomplete when the H1 field is blank.</t>
        </is>
      </c>
      <c r="I13" s="3" t="inlineStr">
        <is>
          <t>Write one English H1 that matches the verified product type and visible design; do not copy unsupported claims.</t>
        </is>
      </c>
      <c r="J13" s="3" t="inlineStr">
        <is>
          <t>The submitted workbook row has no proposed H1.</t>
        </is>
      </c>
      <c r="K13" s="3" t="inlineStr">
        <is>
          <t>Workbook contains a non-empty H1 and it is consistent with title, primary keyword and live product evidence.</t>
        </is>
      </c>
    </row>
    <row r="14" ht="84" customHeight="1">
      <c r="A14" s="2" t="inlineStr">
        <is>
          <t>ISSUE-0013</t>
        </is>
      </c>
      <c r="B14" s="2" t="inlineStr">
        <is>
          <t>jeminise.com+norse-mythology-viking-shield-with-crossed-axes-quilt-ca630a284e-ca630a284e</t>
        </is>
      </c>
      <c r="C14" s="2" t="inlineStr"/>
      <c r="D14" s="2" t="inlineStr">
        <is>
          <t>MINOR</t>
        </is>
      </c>
      <c r="E14" s="2" t="inlineStr">
        <is>
          <t>meta_description_seo</t>
        </is>
      </c>
      <c r="F14" s="2" t="inlineStr">
        <is>
          <t>Shop a quilt set featuring black Norse Valhalla design with a Viking shield, crossed axes and dark runic-style background. Review available sizes and set options before checkout.</t>
        </is>
      </c>
      <c r="G14" s="2" t="inlineStr">
        <is>
          <t>Meta description length is 178 characters.</t>
        </is>
      </c>
      <c r="H14" s="2" t="inlineStr">
        <is>
          <t>Likely to truncate in search results and repeats review/personality wording in several rows.</t>
        </is>
      </c>
      <c r="I14" s="2" t="inlineStr">
        <is>
          <t>Rewrite to roughly 145-155 characters while preserving verified design and product type.</t>
        </is>
      </c>
      <c r="J14" s="2" t="inlineStr">
        <is>
          <t>Meta description length is 178 characters.</t>
        </is>
      </c>
      <c r="K14" s="2" t="inlineStr">
        <is>
          <t>Length check &lt;=160 characters and no unsupported claim remains.</t>
        </is>
      </c>
    </row>
    <row r="15" ht="84" customHeight="1">
      <c r="A15" s="3" t="inlineStr">
        <is>
          <t>ISSUE-0014</t>
        </is>
      </c>
      <c r="B15" s="3" t="inlineStr">
        <is>
          <t>jeminise.com+norse-mythology-viking-shield-with-crossed-axes-quilt-ca630a284e-ca630a284e</t>
        </is>
      </c>
      <c r="C15" s="3" t="inlineStr"/>
      <c r="D15" s="3" t="inlineStr">
        <is>
          <t>MAJOR</t>
        </is>
      </c>
      <c r="E15" s="3" t="inlineStr">
        <is>
          <t>keyword_map</t>
        </is>
      </c>
      <c r="F15" s="3" t="inlineStr">
        <is>
          <t>Viking shield quilt</t>
        </is>
      </c>
      <c r="G15" s="3" t="inlineStr">
        <is>
          <t>https://www.amazon.ca/YCYR-Bedding-Pillowcase-Bedchamber-Comforter/dp/B09LQD91XZ; https://retail.blackpoolpleasurebeach.com/product/valhalla-duvet-set/; https://www.etsy.com/listing/4431801249/viking-axes-and-shield-woven-blanket; https://www.amazon.ca/YCYR-Bedding-Pillowcase-Bedchamber-Comforter/dp/B09LQD91XZ; https://retail.blackpoolpleasurebeach.com/product/valhalla-duvet-set/; https://www.etsy.com/listing/4431801249/viking-axes-and-shield-wo…</t>
        </is>
      </c>
      <c r="H15" s="3" t="inlineStr">
        <is>
          <t>Batch cluster contains several very similar products, so keyword/intent differentiation must be sharper.</t>
        </is>
      </c>
      <c r="I15" s="3" t="inlineStr">
        <is>
          <t>Add unique visible motif modifiers and avoid assigning the same generic product keyword to multiple URLs.</t>
        </is>
      </c>
      <c r="J15" s="3" t="inlineStr">
        <is>
          <t>https://www.amazon.ca/YCYR-Bedding-Pillowcase-Bedchamber-Comforter/dp/B09LQD91XZ; https://retail.blackpoolpleasurebeach.com/product/valhalla-duvet-set/; https://www.etsy.com/listing/4431801249/viking-axes-and-shield-woven-blanket; https://www.amazon.ca/YCYR-Bedding-Pillowcase-Bedchamber-Comforter/dp/B09LQD91XZ; https://retail.blackpoolpleasurebeach.com/product/valhalla-duvet-set/; https://www.etsy.com/listing/4431801249/viking-axes-and-shield-wo…</t>
        </is>
      </c>
      <c r="K15" s="3" t="inlineStr">
        <is>
          <t>SERP notes and title/meta show a distinct product-level query for this exact design.</t>
        </is>
      </c>
    </row>
    <row r="16" ht="84" customHeight="1">
      <c r="A16" s="2" t="inlineStr">
        <is>
          <t>ISSUE-0015</t>
        </is>
      </c>
      <c r="B16" s="2" t="inlineStr">
        <is>
          <t>jeminise.com+norse-mythology-viking-shield-with-crossed-axes-quilt-ca630a284e-ca630a284e</t>
        </is>
      </c>
      <c r="C16" s="2" t="inlineStr"/>
      <c r="D16" s="2" t="inlineStr">
        <is>
          <t>LIMITATION</t>
        </is>
      </c>
      <c r="E16" s="2" t="inlineStr">
        <is>
          <t>keyword_evidence_level</t>
        </is>
      </c>
      <c r="F16" s="2" t="inlineStr">
        <is>
          <t>SERP_ONLY</t>
        </is>
      </c>
      <c r="G16" s="2" t="inlineStr">
        <is>
          <t>Only public SERP comparables are available.</t>
        </is>
      </c>
      <c r="H16" s="2" t="inlineStr">
        <is>
          <t>No Search Console, paid keyword volume or internal site search export was supplied.</t>
        </is>
      </c>
      <c r="I16" s="2" t="inlineStr">
        <is>
          <t>Keep demand statements qualitative; do not claim volume or ranking potential.</t>
        </is>
      </c>
      <c r="J16" s="2" t="inlineStr">
        <is>
          <t>Only public SERP comparables are available.</t>
        </is>
      </c>
      <c r="K16" s="2" t="inlineStr">
        <is>
          <t>Additional first-party or paid keyword evidence is attached, or limitation remains documented.</t>
        </is>
      </c>
    </row>
    <row r="17" ht="84" customHeight="1">
      <c r="A17" s="3" t="inlineStr">
        <is>
          <t>ISSUE-0016</t>
        </is>
      </c>
      <c r="B17" s="3" t="inlineStr">
        <is>
          <t>jeminise.com+norse-mythology-viking-shield-with-crossed-axes-quilt-ca630a284e-ca630a284e</t>
        </is>
      </c>
      <c r="C17" s="3" t="inlineStr">
        <is>
          <t>img_42492548a1a20fbe</t>
        </is>
      </c>
      <c r="D17" s="3" t="inlineStr">
        <is>
          <t>MINOR</t>
        </is>
      </c>
      <c r="E17" s="3" t="inlineStr">
        <is>
          <t>alt text</t>
        </is>
      </c>
      <c r="F17" s="3" t="inlineStr">
        <is>
          <t>Valhalla Viking Shield Crossed Axes Quilt displayed in a main product mockup</t>
        </is>
      </c>
      <c r="G17" s="3" t="inlineStr">
        <is>
          <t>Fresh image file: D:\Shopify_Workspace\jeminise_seo\seo_runs\jeminise.com\20260906_234129\qa\20260907_212312\images\162_01.jpg; source URL: https://cdn.shopify.com/s/files/1/0792/5098/1063/files/a0bb7b2e86bb5a07b6f85d9046b813c1954eadf01e22807354afd66a9ebfdea6.jpg?v=1785104553</t>
        </is>
      </c>
      <c r="H17" s="3" t="inlineStr">
        <is>
          <t>Alt text is too generic or describes placement more than visible content.</t>
        </is>
      </c>
      <c r="I17" s="3" t="inlineStr">
        <is>
          <t>Rewrite observation/alt from the directly opened image, naming the visible motif and use context.</t>
        </is>
      </c>
      <c r="J17" s="3" t="inlineStr">
        <is>
          <t>Fresh image file: D:\Shopify_Workspace\jeminise_seo\seo_runs\jeminise.com\20260906_234129\qa\20260907_212312\images\162_01.jpg; source URL: https://cdn.shopify.com/s/files/1/0792/5098/1063/files/a0bb7b2e86bb5a07b6f85d9046b813c1954eadf01e22807354afd66a9ebfdea6.jpg?v=1785104553</t>
        </is>
      </c>
      <c r="K17" s="3" t="inlineStr">
        <is>
          <t>The image row accurately describes the actual media at this gallery position.</t>
        </is>
      </c>
    </row>
    <row r="18" ht="84" customHeight="1">
      <c r="A18" s="2" t="inlineStr">
        <is>
          <t>ISSUE-0017</t>
        </is>
      </c>
      <c r="B18" s="2" t="inlineStr">
        <is>
          <t>jeminise.com+norse-mythology-viking-shield-with-crossed-axes-quilt-ca630a284e-ca630a284e</t>
        </is>
      </c>
      <c r="C18" s="2" t="inlineStr">
        <is>
          <t>img_c06b4b0b74770f0a</t>
        </is>
      </c>
      <c r="D18" s="2" t="inlineStr">
        <is>
          <t>MINOR</t>
        </is>
      </c>
      <c r="E18" s="2" t="inlineStr">
        <is>
          <t>image observation</t>
        </is>
      </c>
      <c r="F18" s="2" t="inlineStr">
        <is>
          <t>Bedding type, feature, lifestyle or material image for Valhalla Viking shield crossed axes quilt.</t>
        </is>
      </c>
      <c r="G18" s="2" t="inlineStr">
        <is>
          <t>Fresh image file: D:\Shopify_Workspace\jeminise_seo\seo_runs\jeminise.com\20260906_234129\qa\20260907_212312\images\162_03.jpg; source URL: https://cdn.shopify.com/s/files/1/0792/5098/1063/files/7127a02e884cad7c5184ce1b2946ac662960d39acad6edb3b8a21f844cc7fb83.jpg?v=1785104553</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D:\Shopify_Workspace\jeminise_seo\seo_runs\jeminise.com\20260906_234129\qa\20260907_212312\images\162_03.jpg; source URL: https://cdn.shopify.com/s/files/1/0792/5098/1063/files/7127a02e884cad7c5184ce1b2946ac662960d39acad6edb3b8a21f844cc7fb83.jpg?v=1785104553</t>
        </is>
      </c>
      <c r="K18" s="2" t="inlineStr">
        <is>
          <t>The image row accurately describes the actual media at this gallery position.</t>
        </is>
      </c>
    </row>
    <row r="19" ht="84" customHeight="1">
      <c r="A19" s="3" t="inlineStr">
        <is>
          <t>ISSUE-0018</t>
        </is>
      </c>
      <c r="B19" s="3" t="inlineStr">
        <is>
          <t>jeminise.com+norse-mythology-viking-shield-with-crossed-axes-quilt-ca630a284e-ca630a284e</t>
        </is>
      </c>
      <c r="C19" s="3" t="inlineStr">
        <is>
          <t>img_54624a6c9dde416f</t>
        </is>
      </c>
      <c r="D19" s="3" t="inlineStr">
        <is>
          <t>MINOR</t>
        </is>
      </c>
      <c r="E19" s="3" t="inlineStr">
        <is>
          <t>image observation</t>
        </is>
      </c>
      <c r="F19" s="3" t="inlineStr">
        <is>
          <t>Detail, feature panel or lifestyle image connected to Valhalla Viking shield crossed axes quilt.</t>
        </is>
      </c>
      <c r="G19" s="3" t="inlineStr">
        <is>
          <t>Fresh image file: D:\Shopify_Workspace\jeminise_seo\seo_runs\jeminise.com\20260906_234129\qa\20260907_212312\images\162_04.jpg; source URL: https://cdn.shopify.com/s/files/1/0792/5098/1063/files/e1bca6ad0b85bcfa2b85d2a0322d79680fde7448a15adec1757a81eb07c4bf6f.jpg?v=1785104553</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D:\Shopify_Workspace\jeminise_seo\seo_runs\jeminise.com\20260906_234129\qa\20260907_212312\images\162_04.jpg; source URL: https://cdn.shopify.com/s/files/1/0792/5098/1063/files/e1bca6ad0b85bcfa2b85d2a0322d79680fde7448a15adec1757a81eb07c4bf6f.jpg?v=1785104553</t>
        </is>
      </c>
      <c r="K19" s="3" t="inlineStr">
        <is>
          <t>The image row accurately describes the actual media at this gallery position.</t>
        </is>
      </c>
    </row>
    <row r="20" ht="84" customHeight="1">
      <c r="A20" s="2" t="inlineStr">
        <is>
          <t>ISSUE-0019</t>
        </is>
      </c>
      <c r="B20" s="2" t="inlineStr">
        <is>
          <t>jeminise.com+norse-mythology-viking-shield-with-crossed-axes-quilt-ca630a284e-ca630a284e</t>
        </is>
      </c>
      <c r="C20" s="2" t="inlineStr">
        <is>
          <t>img_038029ec09923701</t>
        </is>
      </c>
      <c r="D20" s="2" t="inlineStr">
        <is>
          <t>MINOR</t>
        </is>
      </c>
      <c r="E20" s="2" t="inlineStr">
        <is>
          <t>image observation</t>
        </is>
      </c>
      <c r="F20" s="2" t="inlineStr">
        <is>
          <t>Easy-care, size guide or product feature image for Valhalla Viking shield crossed axes quilt.</t>
        </is>
      </c>
      <c r="G20" s="2" t="inlineStr">
        <is>
          <t>Fresh image file: D:\Shopify_Workspace\jeminise_seo\seo_runs\jeminise.com\20260906_234129\qa\20260907_212312\images\162_06.jpg; source URL: https://cdn.shopify.com/s/files/1/0792/5098/1063/files/ca05f793ad1004a8bcf1b14bc5f968c4664bf701819e6903e275f14d034862a6.jpg?v=1785104553</t>
        </is>
      </c>
      <c r="H20" s="2" t="inlineStr">
        <is>
          <t>Observation is generic or position-based; rewrite from the actual image content.</t>
        </is>
      </c>
      <c r="I20" s="2" t="inlineStr">
        <is>
          <t>Rewrite observation/alt from the directly opened image, naming the visible motif and use context.</t>
        </is>
      </c>
      <c r="J20" s="2" t="inlineStr">
        <is>
          <t>Fresh image file: D:\Shopify_Workspace\jeminise_seo\seo_runs\jeminise.com\20260906_234129\qa\20260907_212312\images\162_06.jpg; source URL: https://cdn.shopify.com/s/files/1/0792/5098/1063/files/ca05f793ad1004a8bcf1b14bc5f968c4664bf701819e6903e275f14d034862a6.jpg?v=1785104553</t>
        </is>
      </c>
      <c r="K20" s="2" t="inlineStr">
        <is>
          <t>The image row accurately describes the actual media at this gallery position.</t>
        </is>
      </c>
    </row>
    <row r="21" ht="84" customHeight="1">
      <c r="A21" s="3" t="inlineStr">
        <is>
          <t>ISSUE-0020</t>
        </is>
      </c>
      <c r="B21" s="3" t="inlineStr">
        <is>
          <t>jeminise.com+norse-mythology-viking-shield-with-crossed-axes-quilt-ca630a284e-ca630a284e</t>
        </is>
      </c>
      <c r="C21" s="3" t="inlineStr">
        <is>
          <t>img_038029ec09923701</t>
        </is>
      </c>
      <c r="D21" s="3" t="inlineStr">
        <is>
          <t>MINOR</t>
        </is>
      </c>
      <c r="E21" s="3" t="inlineStr">
        <is>
          <t>alt text</t>
        </is>
      </c>
      <c r="F21" s="3" t="inlineStr">
        <is>
          <t>Set contents and size chart image for Valhalla Viking Shield Crossed Axes Quilt</t>
        </is>
      </c>
      <c r="G21" s="3" t="inlineStr">
        <is>
          <t>Fresh image file: D:\Shopify_Workspace\jeminise_seo\seo_runs\jeminise.com\20260906_234129\qa\20260907_212312\images\162_06.jpg; source URL: https://cdn.shopify.com/s/files/1/0792/5098/1063/files/ca05f793ad1004a8bcf1b14bc5f968c4664bf701819e6903e275f14d034862a6.jpg?v=1785104553</t>
        </is>
      </c>
      <c r="H21" s="3" t="inlineStr">
        <is>
          <t>Alt text is too generic or describes placement more than visible content.</t>
        </is>
      </c>
      <c r="I21" s="3" t="inlineStr">
        <is>
          <t>Rewrite observation/alt from the directly opened image, naming the visible motif and use context.</t>
        </is>
      </c>
      <c r="J21" s="3" t="inlineStr">
        <is>
          <t>Fresh image file: D:\Shopify_Workspace\jeminise_seo\seo_runs\jeminise.com\20260906_234129\qa\20260907_212312\images\162_06.jpg; source URL: https://cdn.shopify.com/s/files/1/0792/5098/1063/files/ca05f793ad1004a8bcf1b14bc5f968c4664bf701819e6903e275f14d034862a6.jpg?v=1785104553</t>
        </is>
      </c>
      <c r="K21" s="3" t="inlineStr">
        <is>
          <t>The image row accurately describes the actual media at this gallery position.</t>
        </is>
      </c>
    </row>
    <row r="22" ht="84" customHeight="1">
      <c r="A22" s="2" t="inlineStr">
        <is>
          <t>ISSUE-0021</t>
        </is>
      </c>
      <c r="B22" s="2" t="inlineStr">
        <is>
          <t>jeminise.com+norse-mythology-viking-shield-with-crossed-axes-quilt-ca630a284e-ca630a284e</t>
        </is>
      </c>
      <c r="C22" s="2" t="inlineStr">
        <is>
          <t>img_02da08e65517a2bf</t>
        </is>
      </c>
      <c r="D22" s="2" t="inlineStr">
        <is>
          <t>MINOR</t>
        </is>
      </c>
      <c r="E22" s="2" t="inlineStr">
        <is>
          <t>image observation</t>
        </is>
      </c>
      <c r="F22" s="2" t="inlineStr">
        <is>
          <t>Additional lifestyle, feature or product detail image showing Valhalla Viking shield crossed axes quilt.</t>
        </is>
      </c>
      <c r="G22" s="2" t="inlineStr">
        <is>
          <t>Fresh image file: D:\Shopify_Workspace\jeminise_seo\seo_runs\jeminise.com\20260906_234129\qa\20260907_212312\images\162_07.jpg; source URL: https://cdn.shopify.com/s/files/1/0792/5098/1063/files/b002678b1b933df28fb349bc6ff5667b37b28acab3f3e263980071a114b93302.jpg?v=1785104552</t>
        </is>
      </c>
      <c r="H22" s="2" t="inlineStr">
        <is>
          <t>Observation is generic or position-based; rewrite from the actual image content.</t>
        </is>
      </c>
      <c r="I22" s="2" t="inlineStr">
        <is>
          <t>Rewrite observation/alt from the directly opened image, naming the visible motif and use context.</t>
        </is>
      </c>
      <c r="J22" s="2" t="inlineStr">
        <is>
          <t>Fresh image file: D:\Shopify_Workspace\jeminise_seo\seo_runs\jeminise.com\20260906_234129\qa\20260907_212312\images\162_07.jpg; source URL: https://cdn.shopify.com/s/files/1/0792/5098/1063/files/b002678b1b933df28fb349bc6ff5667b37b28acab3f3e263980071a114b93302.jpg?v=1785104552</t>
        </is>
      </c>
      <c r="K22" s="2" t="inlineStr">
        <is>
          <t>The image row accurately describes the actual media at this gallery position.</t>
        </is>
      </c>
    </row>
    <row r="23" ht="84" customHeight="1">
      <c r="A23" s="3" t="inlineStr">
        <is>
          <t>ISSUE-0022</t>
        </is>
      </c>
      <c r="B23" s="3" t="inlineStr">
        <is>
          <t>jeminise.com+owl-patchwork-pattern-quilt-set-animals-quilt-set-style-owl-nights</t>
        </is>
      </c>
      <c r="C23" s="3" t="inlineStr"/>
      <c r="D23" s="3" t="inlineStr">
        <is>
          <t>MAJOR</t>
        </is>
      </c>
      <c r="E23" s="3" t="inlineStr">
        <is>
          <t>description_proposed_html</t>
        </is>
      </c>
      <c r="F23" s="3"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t>
        </is>
      </c>
      <c r="G23" s="3" t="inlineStr">
        <is>
          <t>Draft contains SEO Use / QA approval wording.</t>
        </is>
      </c>
      <c r="H23" s="3" t="inlineStr">
        <is>
          <t>Internal workflow language is not publish-ready storefront copy.</t>
        </is>
      </c>
      <c r="I23" s="3" t="inlineStr">
        <is>
          <t>Remove internal QA/import block and replace with customer-facing verified copy.</t>
        </is>
      </c>
      <c r="J23" s="3" t="inlineStr">
        <is>
          <t>Draft contains SEO Use / QA approval wording.</t>
        </is>
      </c>
      <c r="K23" s="3" t="inlineStr">
        <is>
          <t>Description HTML no longer contains SEO Use, QA, approval, import or draft language.</t>
        </is>
      </c>
    </row>
    <row r="24" ht="84" customHeight="1">
      <c r="A24" s="2" t="inlineStr">
        <is>
          <t>ISSUE-0023</t>
        </is>
      </c>
      <c r="B24" s="2" t="inlineStr">
        <is>
          <t>jeminise.com+owl-patchwork-pattern-quilt-set-animals-quilt-set-style-owl-nights</t>
        </is>
      </c>
      <c r="C24" s="2" t="inlineStr"/>
      <c r="D24" s="2" t="inlineStr">
        <is>
          <t>MAJOR</t>
        </is>
      </c>
      <c r="E24" s="2" t="inlineStr">
        <is>
          <t>h1_proposed</t>
        </is>
      </c>
      <c r="F24" s="2" t="inlineStr"/>
      <c r="G24" s="2" t="inlineStr">
        <is>
          <t>The submitted workbook row has no proposed H1.</t>
        </is>
      </c>
      <c r="H24" s="2" t="inlineStr">
        <is>
          <t>A publishable SEO title/H1 pair is incomplete when the H1 field is blank.</t>
        </is>
      </c>
      <c r="I24" s="2" t="inlineStr">
        <is>
          <t>Write one English H1 that matches the verified product type and visible design; do not copy unsupported claims.</t>
        </is>
      </c>
      <c r="J24" s="2" t="inlineStr">
        <is>
          <t>The submitted workbook row has no proposed H1.</t>
        </is>
      </c>
      <c r="K24" s="2" t="inlineStr">
        <is>
          <t>Workbook contains a non-empty H1 and it is consistent with title, primary keyword and live product evidence.</t>
        </is>
      </c>
    </row>
    <row r="25" ht="84" customHeight="1">
      <c r="A25" s="3" t="inlineStr">
        <is>
          <t>ISSUE-0024</t>
        </is>
      </c>
      <c r="B25" s="3" t="inlineStr">
        <is>
          <t>jeminise.com+owl-patchwork-pattern-quilt-set-animals-quilt-set-style-owl-nights</t>
        </is>
      </c>
      <c r="C25" s="3" t="inlineStr"/>
      <c r="D25" s="3" t="inlineStr">
        <is>
          <t>MINOR</t>
        </is>
      </c>
      <c r="E25" s="3" t="inlineStr">
        <is>
          <t>meta_description_seo</t>
        </is>
      </c>
      <c r="F25" s="3" t="inlineStr">
        <is>
          <t>Shop a quilt set featuring owl perched on a branch inside a moonlit blue circle with gold patchwork triangle border. Review available sizes and set options before checkout.</t>
        </is>
      </c>
      <c r="G25" s="3" t="inlineStr">
        <is>
          <t>Meta description length is 172 characters.</t>
        </is>
      </c>
      <c r="H25" s="3" t="inlineStr">
        <is>
          <t>Likely to truncate in search results and repeats review/personality wording in several rows.</t>
        </is>
      </c>
      <c r="I25" s="3" t="inlineStr">
        <is>
          <t>Rewrite to roughly 145-155 characters while preserving verified design and product type.</t>
        </is>
      </c>
      <c r="J25" s="3" t="inlineStr">
        <is>
          <t>Meta description length is 172 characters.</t>
        </is>
      </c>
      <c r="K25" s="3" t="inlineStr">
        <is>
          <t>Length check &lt;=160 characters and no unsupported claim remains.</t>
        </is>
      </c>
    </row>
    <row r="26" ht="84" customHeight="1">
      <c r="A26" s="2" t="inlineStr">
        <is>
          <t>ISSUE-0025</t>
        </is>
      </c>
      <c r="B26" s="2" t="inlineStr">
        <is>
          <t>jeminise.com+owl-patchwork-pattern-quilt-set-animals-quilt-set-style-owl-nights</t>
        </is>
      </c>
      <c r="C26" s="2" t="inlineStr"/>
      <c r="D26" s="2" t="inlineStr">
        <is>
          <t>LIMITATION</t>
        </is>
      </c>
      <c r="E26" s="2" t="inlineStr">
        <is>
          <t>keyword_evidence_level</t>
        </is>
      </c>
      <c r="F26" s="2" t="inlineStr">
        <is>
          <t>SERP_ONLY</t>
        </is>
      </c>
      <c r="G26" s="2" t="inlineStr">
        <is>
          <t>Only public SERP comparables are available.</t>
        </is>
      </c>
      <c r="H26" s="2" t="inlineStr">
        <is>
          <t>No Search Console, paid keyword volume or internal site search export was supplied.</t>
        </is>
      </c>
      <c r="I26" s="2" t="inlineStr">
        <is>
          <t>Keep demand statements qualitative; do not claim volume or ranking potential.</t>
        </is>
      </c>
      <c r="J26" s="2" t="inlineStr">
        <is>
          <t>Only public SERP comparables are available.</t>
        </is>
      </c>
      <c r="K26" s="2" t="inlineStr">
        <is>
          <t>Additional first-party or paid keyword evidence is attached, or limitation remains documented.</t>
        </is>
      </c>
    </row>
    <row r="27" ht="84" customHeight="1">
      <c r="A27" s="3" t="inlineStr">
        <is>
          <t>ISSUE-0026</t>
        </is>
      </c>
      <c r="B27" s="3" t="inlineStr">
        <is>
          <t>jeminise.com+owl-patchwork-pattern-quilt-set-animals-quilt-set-style-owl-nights</t>
        </is>
      </c>
      <c r="C27" s="3" t="inlineStr">
        <is>
          <t>img_c8bf6eea06d88efc</t>
        </is>
      </c>
      <c r="D27" s="3" t="inlineStr">
        <is>
          <t>MINOR</t>
        </is>
      </c>
      <c r="E27" s="3" t="inlineStr">
        <is>
          <t>alt text</t>
        </is>
      </c>
      <c r="F27" s="3" t="inlineStr">
        <is>
          <t>Blue Gold Owl Night Patchwork Quilt displayed in a main product mockup</t>
        </is>
      </c>
      <c r="G27" s="3" t="inlineStr">
        <is>
          <t>Fresh image file: D:\Shopify_Workspace\jeminise_seo\seo_runs\jeminise.com\20260906_234129\qa\20260907_212312\images\163_01.jpg; source URL: https://cdn.shopify.com/s/files/1/0792/5098/1063/files/b12b5b630d5361e095b70248a7029d44aa83474cedccaae8a99938e5a82aa9e5.jpg?v=1787233687</t>
        </is>
      </c>
      <c r="H27" s="3" t="inlineStr">
        <is>
          <t>Alt text is too generic or describes placement more than visible content.</t>
        </is>
      </c>
      <c r="I27" s="3" t="inlineStr">
        <is>
          <t>Rewrite observation/alt from the directly opened image, naming the visible motif and use context.</t>
        </is>
      </c>
      <c r="J27" s="3" t="inlineStr">
        <is>
          <t>Fresh image file: D:\Shopify_Workspace\jeminise_seo\seo_runs\jeminise.com\20260906_234129\qa\20260907_212312\images\163_01.jpg; source URL: https://cdn.shopify.com/s/files/1/0792/5098/1063/files/b12b5b630d5361e095b70248a7029d44aa83474cedccaae8a99938e5a82aa9e5.jpg?v=1787233687</t>
        </is>
      </c>
      <c r="K27" s="3" t="inlineStr">
        <is>
          <t>The image row accurately describes the actual media at this gallery position.</t>
        </is>
      </c>
    </row>
    <row r="28" ht="84" customHeight="1">
      <c r="A28" s="2" t="inlineStr">
        <is>
          <t>ISSUE-0027</t>
        </is>
      </c>
      <c r="B28" s="2" t="inlineStr">
        <is>
          <t>jeminise.com+owl-patchwork-pattern-quilt-set-animals-quilt-set-style-owl-nights</t>
        </is>
      </c>
      <c r="C28" s="2" t="inlineStr">
        <is>
          <t>img_5f334955b7afbf46</t>
        </is>
      </c>
      <c r="D28" s="2" t="inlineStr">
        <is>
          <t>MINOR</t>
        </is>
      </c>
      <c r="E28" s="2" t="inlineStr">
        <is>
          <t>image observation</t>
        </is>
      </c>
      <c r="F28" s="2" t="inlineStr">
        <is>
          <t>Bedding type, feature, lifestyle or material image for blue gold owl night patchwork quilt.</t>
        </is>
      </c>
      <c r="G28" s="2" t="inlineStr">
        <is>
          <t>Fresh image file: D:\Shopify_Workspace\jeminise_seo\seo_runs\jeminise.com\20260906_234129\qa\20260907_212312\images\163_03.jpg; source URL: https://cdn.shopify.com/s/files/1/0792/5098/1063/files/fd5e9ddd0678c2d4c24c4bd3dfda693b589b9dd151f9f214cdc48d107b8e6592.jpg?v=1787233688</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D:\Shopify_Workspace\jeminise_seo\seo_runs\jeminise.com\20260906_234129\qa\20260907_212312\images\163_03.jpg; source URL: https://cdn.shopify.com/s/files/1/0792/5098/1063/files/fd5e9ddd0678c2d4c24c4bd3dfda693b589b9dd151f9f214cdc48d107b8e6592.jpg?v=1787233688</t>
        </is>
      </c>
      <c r="K28" s="2" t="inlineStr">
        <is>
          <t>The image row accurately describes the actual media at this gallery position.</t>
        </is>
      </c>
    </row>
    <row r="29" ht="84" customHeight="1">
      <c r="A29" s="3" t="inlineStr">
        <is>
          <t>ISSUE-0028</t>
        </is>
      </c>
      <c r="B29" s="3" t="inlineStr">
        <is>
          <t>jeminise.com+owl-patchwork-pattern-quilt-set-animals-quilt-set-style-owl-nights</t>
        </is>
      </c>
      <c r="C29" s="3" t="inlineStr">
        <is>
          <t>img_d0eb5575d6e4be02</t>
        </is>
      </c>
      <c r="D29" s="3" t="inlineStr">
        <is>
          <t>MINOR</t>
        </is>
      </c>
      <c r="E29" s="3" t="inlineStr">
        <is>
          <t>image observation</t>
        </is>
      </c>
      <c r="F29" s="3" t="inlineStr">
        <is>
          <t>Detail, feature panel or lifestyle image connected to blue gold owl night patchwork quilt.</t>
        </is>
      </c>
      <c r="G29" s="3" t="inlineStr">
        <is>
          <t>Fresh image file: D:\Shopify_Workspace\jeminise_seo\seo_runs\jeminise.com\20260906_234129\qa\20260907_212312\images\163_04.jpg; source URL: https://cdn.shopify.com/s/files/1/0792/5098/1063/files/ce286ca93c0b88510ca875a37e7b75b32cb61e52da352d95c54cd2628b51fbf3.jpg?v=1787233687</t>
        </is>
      </c>
      <c r="H29" s="3" t="inlineStr">
        <is>
          <t>Observation is generic or position-based; rewrite from the actual image content.</t>
        </is>
      </c>
      <c r="I29" s="3" t="inlineStr">
        <is>
          <t>Rewrite observation/alt from the directly opened image, naming the visible motif and use context.</t>
        </is>
      </c>
      <c r="J29" s="3" t="inlineStr">
        <is>
          <t>Fresh image file: D:\Shopify_Workspace\jeminise_seo\seo_runs\jeminise.com\20260906_234129\qa\20260907_212312\images\163_04.jpg; source URL: https://cdn.shopify.com/s/files/1/0792/5098/1063/files/ce286ca93c0b88510ca875a37e7b75b32cb61e52da352d95c54cd2628b51fbf3.jpg?v=1787233687</t>
        </is>
      </c>
      <c r="K29" s="3" t="inlineStr">
        <is>
          <t>The image row accurately describes the actual media at this gallery position.</t>
        </is>
      </c>
    </row>
    <row r="30" ht="84" customHeight="1">
      <c r="A30" s="2" t="inlineStr">
        <is>
          <t>ISSUE-0029</t>
        </is>
      </c>
      <c r="B30" s="2" t="inlineStr">
        <is>
          <t>jeminise.com+owl-patchwork-pattern-quilt-set-animals-quilt-set-style-owl-nights</t>
        </is>
      </c>
      <c r="C30" s="2" t="inlineStr">
        <is>
          <t>img_62ecd3b014c00446</t>
        </is>
      </c>
      <c r="D30" s="2" t="inlineStr">
        <is>
          <t>MINOR</t>
        </is>
      </c>
      <c r="E30" s="2" t="inlineStr">
        <is>
          <t>image observation</t>
        </is>
      </c>
      <c r="F30" s="2" t="inlineStr">
        <is>
          <t>Easy-care, size guide or product feature image for blue gold owl night patchwork quilt.</t>
        </is>
      </c>
      <c r="G30" s="2" t="inlineStr">
        <is>
          <t>Fresh image file: D:\Shopify_Workspace\jeminise_seo\seo_runs\jeminise.com\20260906_234129\qa\20260907_212312\images\163_06.jpg; source URL: https://cdn.shopify.com/s/files/1/0792/5098/1063/files/f095089ab7e2322f9d282beb998fa6a7ca93bd23ffea553618ab9ab073cac9e5.jpg?v=1787233687</t>
        </is>
      </c>
      <c r="H30" s="2" t="inlineStr">
        <is>
          <t>Observation is generic or position-based; rewrite from the actual image content.</t>
        </is>
      </c>
      <c r="I30" s="2" t="inlineStr">
        <is>
          <t>Rewrite observation/alt from the directly opened image, naming the visible motif and use context.</t>
        </is>
      </c>
      <c r="J30" s="2" t="inlineStr">
        <is>
          <t>Fresh image file: D:\Shopify_Workspace\jeminise_seo\seo_runs\jeminise.com\20260906_234129\qa\20260907_212312\images\163_06.jpg; source URL: https://cdn.shopify.com/s/files/1/0792/5098/1063/files/f095089ab7e2322f9d282beb998fa6a7ca93bd23ffea553618ab9ab073cac9e5.jpg?v=1787233687</t>
        </is>
      </c>
      <c r="K30" s="2" t="inlineStr">
        <is>
          <t>The image row accurately describes the actual media at this gallery position.</t>
        </is>
      </c>
    </row>
    <row r="31" ht="84" customHeight="1">
      <c r="A31" s="3" t="inlineStr">
        <is>
          <t>ISSUE-0030</t>
        </is>
      </c>
      <c r="B31" s="3" t="inlineStr">
        <is>
          <t>jeminise.com+owl-patchwork-pattern-quilt-set-animals-quilt-set-style-owl-nights</t>
        </is>
      </c>
      <c r="C31" s="3" t="inlineStr">
        <is>
          <t>img_62ecd3b014c00446</t>
        </is>
      </c>
      <c r="D31" s="3" t="inlineStr">
        <is>
          <t>MINOR</t>
        </is>
      </c>
      <c r="E31" s="3" t="inlineStr">
        <is>
          <t>alt text</t>
        </is>
      </c>
      <c r="F31" s="3" t="inlineStr">
        <is>
          <t>Set contents and size chart image for Blue Gold Owl Night Patchwork Quilt</t>
        </is>
      </c>
      <c r="G31" s="3" t="inlineStr">
        <is>
          <t>Fresh image file: D:\Shopify_Workspace\jeminise_seo\seo_runs\jeminise.com\20260906_234129\qa\20260907_212312\images\163_06.jpg; source URL: https://cdn.shopify.com/s/files/1/0792/5098/1063/files/f095089ab7e2322f9d282beb998fa6a7ca93bd23ffea553618ab9ab073cac9e5.jpg?v=1787233687</t>
        </is>
      </c>
      <c r="H31" s="3" t="inlineStr">
        <is>
          <t>Alt text is too generic or describes placement more than visible content.</t>
        </is>
      </c>
      <c r="I31" s="3" t="inlineStr">
        <is>
          <t>Rewrite observation/alt from the directly opened image, naming the visible motif and use context.</t>
        </is>
      </c>
      <c r="J31" s="3" t="inlineStr">
        <is>
          <t>Fresh image file: D:\Shopify_Workspace\jeminise_seo\seo_runs\jeminise.com\20260906_234129\qa\20260907_212312\images\163_06.jpg; source URL: https://cdn.shopify.com/s/files/1/0792/5098/1063/files/f095089ab7e2322f9d282beb998fa6a7ca93bd23ffea553618ab9ab073cac9e5.jpg?v=1787233687</t>
        </is>
      </c>
      <c r="K31" s="3" t="inlineStr">
        <is>
          <t>The image row accurately describes the actual media at this gallery position.</t>
        </is>
      </c>
    </row>
    <row r="32" ht="84" customHeight="1">
      <c r="A32" s="2" t="inlineStr">
        <is>
          <t>ISSUE-0031</t>
        </is>
      </c>
      <c r="B32" s="2" t="inlineStr">
        <is>
          <t>jeminise.com+owl-patchwork-pattern-quilt-set-animals-quilt-set-style-owl-nights</t>
        </is>
      </c>
      <c r="C32" s="2" t="inlineStr">
        <is>
          <t>img_3c9a72607271f5bb</t>
        </is>
      </c>
      <c r="D32" s="2" t="inlineStr">
        <is>
          <t>MINOR</t>
        </is>
      </c>
      <c r="E32" s="2" t="inlineStr">
        <is>
          <t>image observation</t>
        </is>
      </c>
      <c r="F32" s="2" t="inlineStr">
        <is>
          <t>Additional lifestyle, feature or product detail image showing blue gold owl night patchwork quilt.</t>
        </is>
      </c>
      <c r="G32" s="2" t="inlineStr">
        <is>
          <t>Fresh image file: D:\Shopify_Workspace\jeminise_seo\seo_runs\jeminise.com\20260906_234129\qa\20260907_212312\images\163_07.jpg; source URL: https://cdn.shopify.com/s/files/1/0792/5098/1063/files/4274176e594f473f9f9517f8df32a36888e067f66081c7c7ac33d02f839dab17.jpg?v=1787233688</t>
        </is>
      </c>
      <c r="H32" s="2" t="inlineStr">
        <is>
          <t>Observation is generic or position-based; rewrite from the actual image content.</t>
        </is>
      </c>
      <c r="I32" s="2" t="inlineStr">
        <is>
          <t>Rewrite observation/alt from the directly opened image, naming the visible motif and use context.</t>
        </is>
      </c>
      <c r="J32" s="2" t="inlineStr">
        <is>
          <t>Fresh image file: D:\Shopify_Workspace\jeminise_seo\seo_runs\jeminise.com\20260906_234129\qa\20260907_212312\images\163_07.jpg; source URL: https://cdn.shopify.com/s/files/1/0792/5098/1063/files/4274176e594f473f9f9517f8df32a36888e067f66081c7c7ac33d02f839dab17.jpg?v=1787233688</t>
        </is>
      </c>
      <c r="K32" s="2" t="inlineStr">
        <is>
          <t>The image row accurately describes the actual media at this gallery position.</t>
        </is>
      </c>
    </row>
    <row r="33" ht="84" customHeight="1">
      <c r="A33" s="3" t="inlineStr">
        <is>
          <t>ISSUE-0032</t>
        </is>
      </c>
      <c r="B33" s="3" t="inlineStr">
        <is>
          <t>jeminise.com+pamnest-twin-halloween-comforter-set-with-sheets-5-pieces-design-01</t>
        </is>
      </c>
      <c r="C33" s="3" t="inlineStr"/>
      <c r="D33" s="3" t="inlineStr">
        <is>
          <t>MAJOR</t>
        </is>
      </c>
      <c r="E33" s="3" t="inlineStr">
        <is>
          <t>description_proposed_html</t>
        </is>
      </c>
      <c r="F33" s="3"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t>
        </is>
      </c>
      <c r="G33" s="3" t="inlineStr">
        <is>
          <t>Draft contains SEO Use / QA approval wording.</t>
        </is>
      </c>
      <c r="H33" s="3" t="inlineStr">
        <is>
          <t>Internal workflow language is not publish-ready storefront copy.</t>
        </is>
      </c>
      <c r="I33" s="3" t="inlineStr">
        <is>
          <t>Remove internal QA/import block and replace with customer-facing verified copy.</t>
        </is>
      </c>
      <c r="J33" s="3" t="inlineStr">
        <is>
          <t>Draft contains SEO Use / QA approval wording.</t>
        </is>
      </c>
      <c r="K33" s="3" t="inlineStr">
        <is>
          <t>Description HTML no longer contains SEO Use, QA, approval, import or draft language.</t>
        </is>
      </c>
    </row>
    <row r="34" ht="84" customHeight="1">
      <c r="A34" s="2" t="inlineStr">
        <is>
          <t>ISSUE-0033</t>
        </is>
      </c>
      <c r="B34" s="2" t="inlineStr">
        <is>
          <t>jeminise.com+pamnest-twin-halloween-comforter-set-with-sheets-5-pieces-design-01</t>
        </is>
      </c>
      <c r="C34" s="2" t="inlineStr"/>
      <c r="D34" s="2" t="inlineStr">
        <is>
          <t>MAJOR</t>
        </is>
      </c>
      <c r="E34" s="2" t="inlineStr">
        <is>
          <t>h1_proposed</t>
        </is>
      </c>
      <c r="F34" s="2" t="inlineStr"/>
      <c r="G34" s="2" t="inlineStr">
        <is>
          <t>The submitted workbook row has no proposed H1.</t>
        </is>
      </c>
      <c r="H34" s="2" t="inlineStr">
        <is>
          <t>A publishable SEO title/H1 pair is incomplete when the H1 field is blank.</t>
        </is>
      </c>
      <c r="I34" s="2" t="inlineStr">
        <is>
          <t>Write one English H1 that matches the verified product type and visible design; do not copy unsupported claims.</t>
        </is>
      </c>
      <c r="J34" s="2" t="inlineStr">
        <is>
          <t>The submitted workbook row has no proposed H1.</t>
        </is>
      </c>
      <c r="K34" s="2" t="inlineStr">
        <is>
          <t>Workbook contains a non-empty H1 and it is consistent with title, primary keyword and live product evidence.</t>
        </is>
      </c>
    </row>
    <row r="35" ht="84" customHeight="1">
      <c r="A35" s="3" t="inlineStr">
        <is>
          <t>ISSUE-0034</t>
        </is>
      </c>
      <c r="B35" s="3" t="inlineStr">
        <is>
          <t>jeminise.com+pamnest-twin-halloween-comforter-set-with-sheets-5-pieces-design-01</t>
        </is>
      </c>
      <c r="C35" s="3" t="inlineStr"/>
      <c r="D35" s="3" t="inlineStr">
        <is>
          <t>MINOR</t>
        </is>
      </c>
      <c r="E35" s="3" t="inlineStr">
        <is>
          <t>meta_description_seo</t>
        </is>
      </c>
      <c r="F35" s="3" t="inlineStr">
        <is>
          <t>Shop a comforter set featuring white and black Halloween bedding with witch silhouette, bats, ghost shapes, pumpkins and Halloween text. Review available sizes and set options before checkout.</t>
        </is>
      </c>
      <c r="G35" s="3" t="inlineStr">
        <is>
          <t>Meta description length is 192 characters.</t>
        </is>
      </c>
      <c r="H35" s="3" t="inlineStr">
        <is>
          <t>Likely to truncate in search results and repeats review/personality wording in several rows.</t>
        </is>
      </c>
      <c r="I35" s="3" t="inlineStr">
        <is>
          <t>Rewrite to roughly 145-155 characters while preserving verified design and product type.</t>
        </is>
      </c>
      <c r="J35" s="3" t="inlineStr">
        <is>
          <t>Meta description length is 192 characters.</t>
        </is>
      </c>
      <c r="K35" s="3" t="inlineStr">
        <is>
          <t>Length check &lt;=160 characters and no unsupported claim remains.</t>
        </is>
      </c>
    </row>
    <row r="36" ht="84" customHeight="1">
      <c r="A36" s="2" t="inlineStr">
        <is>
          <t>ISSUE-0035</t>
        </is>
      </c>
      <c r="B36" s="2" t="inlineStr">
        <is>
          <t>jeminise.com+pamnest-twin-halloween-comforter-set-with-sheets-5-pieces-design-01</t>
        </is>
      </c>
      <c r="C36" s="2" t="inlineStr"/>
      <c r="D36" s="2" t="inlineStr">
        <is>
          <t>LIMITATION</t>
        </is>
      </c>
      <c r="E36" s="2" t="inlineStr">
        <is>
          <t>keyword_evidence_level</t>
        </is>
      </c>
      <c r="F36" s="2" t="inlineStr">
        <is>
          <t>SERP_ONLY</t>
        </is>
      </c>
      <c r="G36" s="2" t="inlineStr">
        <is>
          <t>Only public SERP comparables are available.</t>
        </is>
      </c>
      <c r="H36" s="2" t="inlineStr">
        <is>
          <t>No Search Console, paid keyword volume or internal site search export was supplied.</t>
        </is>
      </c>
      <c r="I36" s="2" t="inlineStr">
        <is>
          <t>Keep demand statements qualitative; do not claim volume or ranking potential.</t>
        </is>
      </c>
      <c r="J36" s="2" t="inlineStr">
        <is>
          <t>Only public SERP comparables are available.</t>
        </is>
      </c>
      <c r="K36" s="2" t="inlineStr">
        <is>
          <t>Additional first-party or paid keyword evidence is attached, or limitation remains documented.</t>
        </is>
      </c>
    </row>
    <row r="37" ht="84" customHeight="1">
      <c r="A37" s="3" t="inlineStr">
        <is>
          <t>ISSUE-0036</t>
        </is>
      </c>
      <c r="B37" s="3" t="inlineStr">
        <is>
          <t>jeminise.com+pamnest-twin-halloween-comforter-set-with-sheets-5-pieces-design-01</t>
        </is>
      </c>
      <c r="C37" s="3" t="inlineStr">
        <is>
          <t>img_a2e12ffadb482f41</t>
        </is>
      </c>
      <c r="D37" s="3" t="inlineStr">
        <is>
          <t>MINOR</t>
        </is>
      </c>
      <c r="E37" s="3" t="inlineStr">
        <is>
          <t>alt text</t>
        </is>
      </c>
      <c r="F37" s="3" t="inlineStr">
        <is>
          <t>White Black Halloween Witch Comforter Set displayed in a main product mockup</t>
        </is>
      </c>
      <c r="G37" s="3" t="inlineStr">
        <is>
          <t>Fresh image file: D:\Shopify_Workspace\jeminise_seo\seo_runs\jeminise.com\20260906_234129\qa\20260907_212312\images\164_01.jpg; source URL: https://cdn.shopify.com/s/files/1/0792/5098/1063/files/78a96e41092763591645a0417450b0227ec7a4e31e21df8a327fb2d2f9428605.jpg?v=1787936155</t>
        </is>
      </c>
      <c r="H37" s="3" t="inlineStr">
        <is>
          <t>Alt text is too generic or describes placement more than visible content.</t>
        </is>
      </c>
      <c r="I37" s="3" t="inlineStr">
        <is>
          <t>Rewrite observation/alt from the directly opened image, naming the visible motif and use context.</t>
        </is>
      </c>
      <c r="J37" s="3" t="inlineStr">
        <is>
          <t>Fresh image file: D:\Shopify_Workspace\jeminise_seo\seo_runs\jeminise.com\20260906_234129\qa\20260907_212312\images\164_01.jpg; source URL: https://cdn.shopify.com/s/files/1/0792/5098/1063/files/78a96e41092763591645a0417450b0227ec7a4e31e21df8a327fb2d2f9428605.jpg?v=1787936155</t>
        </is>
      </c>
      <c r="K37" s="3" t="inlineStr">
        <is>
          <t>The image row accurately describes the actual media at this gallery position.</t>
        </is>
      </c>
    </row>
    <row r="38" ht="84" customHeight="1">
      <c r="A38" s="2" t="inlineStr">
        <is>
          <t>ISSUE-0037</t>
        </is>
      </c>
      <c r="B38" s="2" t="inlineStr">
        <is>
          <t>jeminise.com+pamnest-twin-halloween-comforter-set-with-sheets-5-pieces-design-01</t>
        </is>
      </c>
      <c r="C38" s="2" t="inlineStr">
        <is>
          <t>img_366286e5e9757883</t>
        </is>
      </c>
      <c r="D38" s="2" t="inlineStr">
        <is>
          <t>MINOR</t>
        </is>
      </c>
      <c r="E38" s="2" t="inlineStr">
        <is>
          <t>image observation</t>
        </is>
      </c>
      <c r="F38" s="2" t="inlineStr">
        <is>
          <t>Bedding type, feature, lifestyle or material image for white black Halloween witch comforter set.</t>
        </is>
      </c>
      <c r="G38" s="2" t="inlineStr">
        <is>
          <t>Fresh image file: D:\Shopify_Workspace\jeminise_seo\seo_runs\jeminise.com\20260906_234129\qa\20260907_212312\images\164_03.jpg; source URL: https://cdn.shopify.com/s/files/1/0792/5098/1063/files/3a0f47e9dcbafab9191ddf7aa843e8572e2cec872b35c6521dc7218921e61123.jpg?v=1787936155</t>
        </is>
      </c>
      <c r="H38" s="2" t="inlineStr">
        <is>
          <t>Observation is generic or position-based; rewrite from the actual image content.</t>
        </is>
      </c>
      <c r="I38" s="2" t="inlineStr">
        <is>
          <t>Rewrite observation/alt from the directly opened image, naming the visible motif and use context.</t>
        </is>
      </c>
      <c r="J38" s="2" t="inlineStr">
        <is>
          <t>Fresh image file: D:\Shopify_Workspace\jeminise_seo\seo_runs\jeminise.com\20260906_234129\qa\20260907_212312\images\164_03.jpg; source URL: https://cdn.shopify.com/s/files/1/0792/5098/1063/files/3a0f47e9dcbafab9191ddf7aa843e8572e2cec872b35c6521dc7218921e61123.jpg?v=1787936155</t>
        </is>
      </c>
      <c r="K38" s="2" t="inlineStr">
        <is>
          <t>The image row accurately describes the actual media at this gallery position.</t>
        </is>
      </c>
    </row>
    <row r="39" ht="84" customHeight="1">
      <c r="A39" s="3" t="inlineStr">
        <is>
          <t>ISSUE-0038</t>
        </is>
      </c>
      <c r="B39" s="3" t="inlineStr">
        <is>
          <t>jeminise.com+pamnest-twin-halloween-comforter-set-with-sheets-5-pieces-design-01</t>
        </is>
      </c>
      <c r="C39" s="3" t="inlineStr">
        <is>
          <t>img_0a5c13d0294e275e</t>
        </is>
      </c>
      <c r="D39" s="3" t="inlineStr">
        <is>
          <t>MINOR</t>
        </is>
      </c>
      <c r="E39" s="3" t="inlineStr">
        <is>
          <t>image observation</t>
        </is>
      </c>
      <c r="F39" s="3" t="inlineStr">
        <is>
          <t>Detail, feature panel or lifestyle image connected to white black Halloween witch comforter set.</t>
        </is>
      </c>
      <c r="G39" s="3" t="inlineStr">
        <is>
          <t>Fresh image file: D:\Shopify_Workspace\jeminise_seo\seo_runs\jeminise.com\20260906_234129\qa\20260907_212312\images\164_04.jpg; source URL: https://cdn.shopify.com/s/files/1/0792/5098/1063/files/1719f23b3d46b7c6722a21c797b77ed0780f9bbd492bf1c7f1046cc658013293.jpg?v=1787936155</t>
        </is>
      </c>
      <c r="H39" s="3" t="inlineStr">
        <is>
          <t>Observation is generic or position-based; rewrite from the actual image content.</t>
        </is>
      </c>
      <c r="I39" s="3" t="inlineStr">
        <is>
          <t>Rewrite observation/alt from the directly opened image, naming the visible motif and use context.</t>
        </is>
      </c>
      <c r="J39" s="3" t="inlineStr">
        <is>
          <t>Fresh image file: D:\Shopify_Workspace\jeminise_seo\seo_runs\jeminise.com\20260906_234129\qa\20260907_212312\images\164_04.jpg; source URL: https://cdn.shopify.com/s/files/1/0792/5098/1063/files/1719f23b3d46b7c6722a21c797b77ed0780f9bbd492bf1c7f1046cc658013293.jpg?v=1787936155</t>
        </is>
      </c>
      <c r="K39" s="3" t="inlineStr">
        <is>
          <t>The image row accurately describes the actual media at this gallery position.</t>
        </is>
      </c>
    </row>
    <row r="40" ht="84" customHeight="1">
      <c r="A40" s="2" t="inlineStr">
        <is>
          <t>ISSUE-0039</t>
        </is>
      </c>
      <c r="B40" s="2" t="inlineStr">
        <is>
          <t>jeminise.com+pamnest-twin-halloween-comforter-set-with-sheets-5-pieces-design-01</t>
        </is>
      </c>
      <c r="C40" s="2" t="inlineStr">
        <is>
          <t>img_2a79032892829598</t>
        </is>
      </c>
      <c r="D40" s="2" t="inlineStr">
        <is>
          <t>MINOR</t>
        </is>
      </c>
      <c r="E40" s="2" t="inlineStr">
        <is>
          <t>image observation</t>
        </is>
      </c>
      <c r="F40" s="2" t="inlineStr">
        <is>
          <t>Easy-care, size guide or product feature image for white black Halloween witch comforter set.</t>
        </is>
      </c>
      <c r="G40" s="2" t="inlineStr">
        <is>
          <t>Fresh image file: D:\Shopify_Workspace\jeminise_seo\seo_runs\jeminise.com\20260906_234129\qa\20260907_212312\images\164_06.jpg; source URL: https://cdn.shopify.com/s/files/1/0792/5098/1063/files/29f57080b218682bc1f4e3c223af89a66eef5bc96e3704046ce51202cb67c670.jpg?v=1787936155</t>
        </is>
      </c>
      <c r="H40" s="2" t="inlineStr">
        <is>
          <t>Observation is generic or position-based; rewrite from the actual image content.</t>
        </is>
      </c>
      <c r="I40" s="2" t="inlineStr">
        <is>
          <t>Rewrite observation/alt from the directly opened image, naming the visible motif and use context.</t>
        </is>
      </c>
      <c r="J40" s="2" t="inlineStr">
        <is>
          <t>Fresh image file: D:\Shopify_Workspace\jeminise_seo\seo_runs\jeminise.com\20260906_234129\qa\20260907_212312\images\164_06.jpg; source URL: https://cdn.shopify.com/s/files/1/0792/5098/1063/files/29f57080b218682bc1f4e3c223af89a66eef5bc96e3704046ce51202cb67c670.jpg?v=1787936155</t>
        </is>
      </c>
      <c r="K40" s="2" t="inlineStr">
        <is>
          <t>The image row accurately describes the actual media at this gallery position.</t>
        </is>
      </c>
    </row>
    <row r="41" ht="84" customHeight="1">
      <c r="A41" s="3" t="inlineStr">
        <is>
          <t>ISSUE-0040</t>
        </is>
      </c>
      <c r="B41" s="3" t="inlineStr">
        <is>
          <t>jeminise.com+pamnest-twin-halloween-comforter-set-with-sheets-5-pieces-design-01</t>
        </is>
      </c>
      <c r="C41" s="3" t="inlineStr">
        <is>
          <t>img_2a79032892829598</t>
        </is>
      </c>
      <c r="D41" s="3" t="inlineStr">
        <is>
          <t>MINOR</t>
        </is>
      </c>
      <c r="E41" s="3" t="inlineStr">
        <is>
          <t>alt text</t>
        </is>
      </c>
      <c r="F41" s="3" t="inlineStr">
        <is>
          <t>Set contents and size chart image for White Black Halloween Witch Comforter Set</t>
        </is>
      </c>
      <c r="G41" s="3" t="inlineStr">
        <is>
          <t>Fresh image file: D:\Shopify_Workspace\jeminise_seo\seo_runs\jeminise.com\20260906_234129\qa\20260907_212312\images\164_06.jpg; source URL: https://cdn.shopify.com/s/files/1/0792/5098/1063/files/29f57080b218682bc1f4e3c223af89a66eef5bc96e3704046ce51202cb67c670.jpg?v=1787936155</t>
        </is>
      </c>
      <c r="H41" s="3" t="inlineStr">
        <is>
          <t>Alt text is too generic or describes placement more than visible content.</t>
        </is>
      </c>
      <c r="I41" s="3" t="inlineStr">
        <is>
          <t>Rewrite observation/alt from the directly opened image, naming the visible motif and use context.</t>
        </is>
      </c>
      <c r="J41" s="3" t="inlineStr">
        <is>
          <t>Fresh image file: D:\Shopify_Workspace\jeminise_seo\seo_runs\jeminise.com\20260906_234129\qa\20260907_212312\images\164_06.jpg; source URL: https://cdn.shopify.com/s/files/1/0792/5098/1063/files/29f57080b218682bc1f4e3c223af89a66eef5bc96e3704046ce51202cb67c670.jpg?v=1787936155</t>
        </is>
      </c>
      <c r="K41" s="3" t="inlineStr">
        <is>
          <t>The image row accurately describes the actual media at this gallery position.</t>
        </is>
      </c>
    </row>
    <row r="42" ht="84" customHeight="1">
      <c r="A42" s="2" t="inlineStr">
        <is>
          <t>ISSUE-0041</t>
        </is>
      </c>
      <c r="B42" s="2" t="inlineStr">
        <is>
          <t>jeminise.com+pamnest-twin-halloween-comforter-set-with-sheets-5-pieces-design-02</t>
        </is>
      </c>
      <c r="C42" s="2" t="inlineStr"/>
      <c r="D42" s="2" t="inlineStr">
        <is>
          <t>MAJOR</t>
        </is>
      </c>
      <c r="E42" s="2" t="inlineStr">
        <is>
          <t>description_proposed_html</t>
        </is>
      </c>
      <c r="F42" s="2"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t>
        </is>
      </c>
      <c r="G42" s="2" t="inlineStr">
        <is>
          <t>Draft contains SEO Use / QA approval wording.</t>
        </is>
      </c>
      <c r="H42" s="2" t="inlineStr">
        <is>
          <t>Internal workflow language is not publish-ready storefront copy.</t>
        </is>
      </c>
      <c r="I42" s="2" t="inlineStr">
        <is>
          <t>Remove internal QA/import block and replace with customer-facing verified copy.</t>
        </is>
      </c>
      <c r="J42" s="2" t="inlineStr">
        <is>
          <t>Draft contains SEO Use / QA approval wording.</t>
        </is>
      </c>
      <c r="K42" s="2" t="inlineStr">
        <is>
          <t>Description HTML no longer contains SEO Use, QA, approval, import or draft language.</t>
        </is>
      </c>
    </row>
    <row r="43" ht="84" customHeight="1">
      <c r="A43" s="3" t="inlineStr">
        <is>
          <t>ISSUE-0042</t>
        </is>
      </c>
      <c r="B43" s="3" t="inlineStr">
        <is>
          <t>jeminise.com+pamnest-twin-halloween-comforter-set-with-sheets-5-pieces-design-02</t>
        </is>
      </c>
      <c r="C43" s="3" t="inlineStr"/>
      <c r="D43" s="3" t="inlineStr">
        <is>
          <t>MAJOR</t>
        </is>
      </c>
      <c r="E43" s="3" t="inlineStr">
        <is>
          <t>h1_proposed</t>
        </is>
      </c>
      <c r="F43" s="3" t="inlineStr"/>
      <c r="G43" s="3" t="inlineStr">
        <is>
          <t>The submitted workbook row has no proposed H1.</t>
        </is>
      </c>
      <c r="H43" s="3" t="inlineStr">
        <is>
          <t>A publishable SEO title/H1 pair is incomplete when the H1 field is blank.</t>
        </is>
      </c>
      <c r="I43" s="3" t="inlineStr">
        <is>
          <t>Write one English H1 that matches the verified product type and visible design; do not copy unsupported claims.</t>
        </is>
      </c>
      <c r="J43" s="3" t="inlineStr">
        <is>
          <t>The submitted workbook row has no proposed H1.</t>
        </is>
      </c>
      <c r="K43" s="3" t="inlineStr">
        <is>
          <t>Workbook contains a non-empty H1 and it is consistent with title, primary keyword and live product evidence.</t>
        </is>
      </c>
    </row>
    <row r="44" ht="84" customHeight="1">
      <c r="A44" s="2" t="inlineStr">
        <is>
          <t>ISSUE-0043</t>
        </is>
      </c>
      <c r="B44" s="2" t="inlineStr">
        <is>
          <t>jeminise.com+pamnest-twin-halloween-comforter-set-with-sheets-5-pieces-design-02</t>
        </is>
      </c>
      <c r="C44" s="2" t="inlineStr"/>
      <c r="D44" s="2" t="inlineStr">
        <is>
          <t>MINOR</t>
        </is>
      </c>
      <c r="E44" s="2" t="inlineStr">
        <is>
          <t>meta_description_seo</t>
        </is>
      </c>
      <c r="F44" s="2" t="inlineStr">
        <is>
          <t>Shop a comforter set featuring dark gray Halloween bedding with smiling ghosts, jack-o-lantern pumpkins, bats, stars and spiderwebs. Review available sizes and set options before checkout.</t>
        </is>
      </c>
      <c r="G44" s="2" t="inlineStr">
        <is>
          <t>Meta description length is 188 characters.</t>
        </is>
      </c>
      <c r="H44" s="2" t="inlineStr">
        <is>
          <t>Likely to truncate in search results and repeats review/personality wording in several rows.</t>
        </is>
      </c>
      <c r="I44" s="2" t="inlineStr">
        <is>
          <t>Rewrite to roughly 145-155 characters while preserving verified design and product type.</t>
        </is>
      </c>
      <c r="J44" s="2" t="inlineStr">
        <is>
          <t>Meta description length is 188 characters.</t>
        </is>
      </c>
      <c r="K44" s="2" t="inlineStr">
        <is>
          <t>Length check &lt;=160 characters and no unsupported claim remains.</t>
        </is>
      </c>
    </row>
    <row r="45" ht="84" customHeight="1">
      <c r="A45" s="3" t="inlineStr">
        <is>
          <t>ISSUE-0044</t>
        </is>
      </c>
      <c r="B45" s="3" t="inlineStr">
        <is>
          <t>jeminise.com+pamnest-twin-halloween-comforter-set-with-sheets-5-pieces-design-02</t>
        </is>
      </c>
      <c r="C45" s="3" t="inlineStr"/>
      <c r="D45" s="3" t="inlineStr">
        <is>
          <t>LIMITATION</t>
        </is>
      </c>
      <c r="E45" s="3" t="inlineStr">
        <is>
          <t>keyword_evidence_level</t>
        </is>
      </c>
      <c r="F45" s="3" t="inlineStr">
        <is>
          <t>SERP_ONLY</t>
        </is>
      </c>
      <c r="G45" s="3" t="inlineStr">
        <is>
          <t>Only public SERP comparables are available.</t>
        </is>
      </c>
      <c r="H45" s="3" t="inlineStr">
        <is>
          <t>No Search Console, paid keyword volume or internal site search export was supplied.</t>
        </is>
      </c>
      <c r="I45" s="3" t="inlineStr">
        <is>
          <t>Keep demand statements qualitative; do not claim volume or ranking potential.</t>
        </is>
      </c>
      <c r="J45" s="3" t="inlineStr">
        <is>
          <t>Only public SERP comparables are available.</t>
        </is>
      </c>
      <c r="K45" s="3" t="inlineStr">
        <is>
          <t>Additional first-party or paid keyword evidence is attached, or limitation remains documented.</t>
        </is>
      </c>
    </row>
    <row r="46" ht="84" customHeight="1">
      <c r="A46" s="2" t="inlineStr">
        <is>
          <t>ISSUE-0045</t>
        </is>
      </c>
      <c r="B46" s="2" t="inlineStr">
        <is>
          <t>jeminise.com+pamnest-twin-halloween-comforter-set-with-sheets-5-pieces-design-02</t>
        </is>
      </c>
      <c r="C46" s="2" t="inlineStr">
        <is>
          <t>img_223dbdfdbd23286e</t>
        </is>
      </c>
      <c r="D46" s="2" t="inlineStr">
        <is>
          <t>MINOR</t>
        </is>
      </c>
      <c r="E46" s="2" t="inlineStr">
        <is>
          <t>alt text</t>
        </is>
      </c>
      <c r="F46" s="2" t="inlineStr">
        <is>
          <t>Gray Halloween Ghost Pumpkin Comforter Set displayed in a main product mockup</t>
        </is>
      </c>
      <c r="G46" s="2" t="inlineStr">
        <is>
          <t>Fresh image file: D:\Shopify_Workspace\jeminise_seo\seo_runs\jeminise.com\20260906_234129\qa\20260907_212312\images\165_01.jpg; source URL: https://cdn.shopify.com/s/files/1/0792/5098/1063/files/33827958b0d3465c97d89ef8a7a7e67a7aa5b22c8c0c87d5a26f80b5c0d5fd2b.jpg?v=1787936172</t>
        </is>
      </c>
      <c r="H46" s="2" t="inlineStr">
        <is>
          <t>Alt text is too generic or describes placement more than visible content.</t>
        </is>
      </c>
      <c r="I46" s="2" t="inlineStr">
        <is>
          <t>Rewrite observation/alt from the directly opened image, naming the visible motif and use context.</t>
        </is>
      </c>
      <c r="J46" s="2" t="inlineStr">
        <is>
          <t>Fresh image file: D:\Shopify_Workspace\jeminise_seo\seo_runs\jeminise.com\20260906_234129\qa\20260907_212312\images\165_01.jpg; source URL: https://cdn.shopify.com/s/files/1/0792/5098/1063/files/33827958b0d3465c97d89ef8a7a7e67a7aa5b22c8c0c87d5a26f80b5c0d5fd2b.jpg?v=1787936172</t>
        </is>
      </c>
      <c r="K46" s="2" t="inlineStr">
        <is>
          <t>The image row accurately describes the actual media at this gallery position.</t>
        </is>
      </c>
    </row>
    <row r="47" ht="84" customHeight="1">
      <c r="A47" s="3" t="inlineStr">
        <is>
          <t>ISSUE-0046</t>
        </is>
      </c>
      <c r="B47" s="3" t="inlineStr">
        <is>
          <t>jeminise.com+pamnest-twin-halloween-comforter-set-with-sheets-5-pieces-design-02</t>
        </is>
      </c>
      <c r="C47" s="3" t="inlineStr">
        <is>
          <t>img_abd32113247337ea</t>
        </is>
      </c>
      <c r="D47" s="3" t="inlineStr">
        <is>
          <t>MINOR</t>
        </is>
      </c>
      <c r="E47" s="3" t="inlineStr">
        <is>
          <t>image observation</t>
        </is>
      </c>
      <c r="F47" s="3" t="inlineStr">
        <is>
          <t>Bedding type, feature, lifestyle or material image for gray Halloween ghost pumpkin comforter set.</t>
        </is>
      </c>
      <c r="G47" s="3" t="inlineStr">
        <is>
          <t>Fresh image file: D:\Shopify_Workspace\jeminise_seo\seo_runs\jeminise.com\20260906_234129\qa\20260907_212312\images\165_03.jpg; source URL: https://cdn.shopify.com/s/files/1/0792/5098/1063/files/a18c5a71570f28636f9f2ca9d6b8130fc7d60bcb88cb88d9623b134efc54b9e5.jpg?v=1787936172</t>
        </is>
      </c>
      <c r="H47" s="3" t="inlineStr">
        <is>
          <t>Observation is generic or position-based; rewrite from the actual image content.</t>
        </is>
      </c>
      <c r="I47" s="3" t="inlineStr">
        <is>
          <t>Rewrite observation/alt from the directly opened image, naming the visible motif and use context.</t>
        </is>
      </c>
      <c r="J47" s="3" t="inlineStr">
        <is>
          <t>Fresh image file: D:\Shopify_Workspace\jeminise_seo\seo_runs\jeminise.com\20260906_234129\qa\20260907_212312\images\165_03.jpg; source URL: https://cdn.shopify.com/s/files/1/0792/5098/1063/files/a18c5a71570f28636f9f2ca9d6b8130fc7d60bcb88cb88d9623b134efc54b9e5.jpg?v=1787936172</t>
        </is>
      </c>
      <c r="K47" s="3" t="inlineStr">
        <is>
          <t>The image row accurately describes the actual media at this gallery position.</t>
        </is>
      </c>
    </row>
    <row r="48" ht="84" customHeight="1">
      <c r="A48" s="2" t="inlineStr">
        <is>
          <t>ISSUE-0047</t>
        </is>
      </c>
      <c r="B48" s="2" t="inlineStr">
        <is>
          <t>jeminise.com+pamnest-twin-halloween-comforter-set-with-sheets-5-pieces-design-02</t>
        </is>
      </c>
      <c r="C48" s="2" t="inlineStr">
        <is>
          <t>img_157bd8ca18b1ecc8</t>
        </is>
      </c>
      <c r="D48" s="2" t="inlineStr">
        <is>
          <t>MINOR</t>
        </is>
      </c>
      <c r="E48" s="2" t="inlineStr">
        <is>
          <t>image observation</t>
        </is>
      </c>
      <c r="F48" s="2" t="inlineStr">
        <is>
          <t>Detail, feature panel or lifestyle image connected to gray Halloween ghost pumpkin comforter set.</t>
        </is>
      </c>
      <c r="G48" s="2" t="inlineStr">
        <is>
          <t>Fresh image file: D:\Shopify_Workspace\jeminise_seo\seo_runs\jeminise.com\20260906_234129\qa\20260907_212312\images\165_04.jpg; source URL: https://cdn.shopify.com/s/files/1/0792/5098/1063/files/1a110cdeb4611bb06dc73025e19e092ef38bf550ce9870452a33b81728254f09.jpg?v=1787936172</t>
        </is>
      </c>
      <c r="H48" s="2" t="inlineStr">
        <is>
          <t>Observation is generic or position-based; rewrite from the actual image content.</t>
        </is>
      </c>
      <c r="I48" s="2" t="inlineStr">
        <is>
          <t>Rewrite observation/alt from the directly opened image, naming the visible motif and use context.</t>
        </is>
      </c>
      <c r="J48" s="2" t="inlineStr">
        <is>
          <t>Fresh image file: D:\Shopify_Workspace\jeminise_seo\seo_runs\jeminise.com\20260906_234129\qa\20260907_212312\images\165_04.jpg; source URL: https://cdn.shopify.com/s/files/1/0792/5098/1063/files/1a110cdeb4611bb06dc73025e19e092ef38bf550ce9870452a33b81728254f09.jpg?v=1787936172</t>
        </is>
      </c>
      <c r="K48" s="2" t="inlineStr">
        <is>
          <t>The image row accurately describes the actual media at this gallery position.</t>
        </is>
      </c>
    </row>
    <row r="49" ht="84" customHeight="1">
      <c r="A49" s="3" t="inlineStr">
        <is>
          <t>ISSUE-0048</t>
        </is>
      </c>
      <c r="B49" s="3" t="inlineStr">
        <is>
          <t>jeminise.com+pamnest-twin-halloween-comforter-set-with-sheets-5-pieces-design-03</t>
        </is>
      </c>
      <c r="C49" s="3" t="inlineStr"/>
      <c r="D49" s="3" t="inlineStr">
        <is>
          <t>MAJOR</t>
        </is>
      </c>
      <c r="E49" s="3" t="inlineStr">
        <is>
          <t>description_proposed_html</t>
        </is>
      </c>
      <c r="F49" s="3"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t>
        </is>
      </c>
      <c r="G49" s="3" t="inlineStr">
        <is>
          <t>Draft contains SEO Use / QA approval wording.</t>
        </is>
      </c>
      <c r="H49" s="3" t="inlineStr">
        <is>
          <t>Internal workflow language is not publish-ready storefront copy.</t>
        </is>
      </c>
      <c r="I49" s="3" t="inlineStr">
        <is>
          <t>Remove internal QA/import block and replace with customer-facing verified copy.</t>
        </is>
      </c>
      <c r="J49" s="3" t="inlineStr">
        <is>
          <t>Draft contains SEO Use / QA approval wording.</t>
        </is>
      </c>
      <c r="K49" s="3" t="inlineStr">
        <is>
          <t>Description HTML no longer contains SEO Use, QA, approval, import or draft language.</t>
        </is>
      </c>
    </row>
    <row r="50" ht="84" customHeight="1">
      <c r="A50" s="2" t="inlineStr">
        <is>
          <t>ISSUE-0049</t>
        </is>
      </c>
      <c r="B50" s="2" t="inlineStr">
        <is>
          <t>jeminise.com+pamnest-twin-halloween-comforter-set-with-sheets-5-pieces-design-03</t>
        </is>
      </c>
      <c r="C50" s="2" t="inlineStr"/>
      <c r="D50" s="2" t="inlineStr">
        <is>
          <t>MAJOR</t>
        </is>
      </c>
      <c r="E50" s="2" t="inlineStr">
        <is>
          <t>h1_proposed</t>
        </is>
      </c>
      <c r="F50" s="2" t="inlineStr"/>
      <c r="G50" s="2" t="inlineStr">
        <is>
          <t>The submitted workbook row has no proposed H1.</t>
        </is>
      </c>
      <c r="H50" s="2" t="inlineStr">
        <is>
          <t>A publishable SEO title/H1 pair is incomplete when the H1 field is blank.</t>
        </is>
      </c>
      <c r="I50" s="2" t="inlineStr">
        <is>
          <t>Write one English H1 that matches the verified product type and visible design; do not copy unsupported claims.</t>
        </is>
      </c>
      <c r="J50" s="2" t="inlineStr">
        <is>
          <t>The submitted workbook row has no proposed H1.</t>
        </is>
      </c>
      <c r="K50" s="2" t="inlineStr">
        <is>
          <t>Workbook contains a non-empty H1 and it is consistent with title, primary keyword and live product evidence.</t>
        </is>
      </c>
    </row>
    <row r="51" ht="84" customHeight="1">
      <c r="A51" s="3" t="inlineStr">
        <is>
          <t>ISSUE-0050</t>
        </is>
      </c>
      <c r="B51" s="3" t="inlineStr">
        <is>
          <t>jeminise.com+pamnest-twin-halloween-comforter-set-with-sheets-5-pieces-design-03</t>
        </is>
      </c>
      <c r="C51" s="3" t="inlineStr"/>
      <c r="D51" s="3" t="inlineStr">
        <is>
          <t>MINOR</t>
        </is>
      </c>
      <c r="E51" s="3" t="inlineStr">
        <is>
          <t>meta_description_seo</t>
        </is>
      </c>
      <c r="F51" s="3" t="inlineStr">
        <is>
          <t>Shop a comforter set featuring black comforter set covered with white cartoon ghost shapes and matching ghost pillow shams. Review available sizes and set options before checkout.</t>
        </is>
      </c>
      <c r="G51" s="3" t="inlineStr">
        <is>
          <t>Meta description length is 179 characters.</t>
        </is>
      </c>
      <c r="H51" s="3" t="inlineStr">
        <is>
          <t>Likely to truncate in search results and repeats review/personality wording in several rows.</t>
        </is>
      </c>
      <c r="I51" s="3" t="inlineStr">
        <is>
          <t>Rewrite to roughly 145-155 characters while preserving verified design and product type.</t>
        </is>
      </c>
      <c r="J51" s="3" t="inlineStr">
        <is>
          <t>Meta description length is 179 characters.</t>
        </is>
      </c>
      <c r="K51" s="3" t="inlineStr">
        <is>
          <t>Length check &lt;=160 characters and no unsupported claim remains.</t>
        </is>
      </c>
    </row>
    <row r="52" ht="84" customHeight="1">
      <c r="A52" s="2" t="inlineStr">
        <is>
          <t>ISSUE-0051</t>
        </is>
      </c>
      <c r="B52" s="2" t="inlineStr">
        <is>
          <t>jeminise.com+pamnest-twin-halloween-comforter-set-with-sheets-5-pieces-design-03</t>
        </is>
      </c>
      <c r="C52" s="2" t="inlineStr"/>
      <c r="D52" s="2" t="inlineStr">
        <is>
          <t>LIMITATION</t>
        </is>
      </c>
      <c r="E52" s="2" t="inlineStr">
        <is>
          <t>keyword_evidence_level</t>
        </is>
      </c>
      <c r="F52" s="2" t="inlineStr">
        <is>
          <t>SERP_ONLY</t>
        </is>
      </c>
      <c r="G52" s="2" t="inlineStr">
        <is>
          <t>Only public SERP comparables are available.</t>
        </is>
      </c>
      <c r="H52" s="2" t="inlineStr">
        <is>
          <t>No Search Console, paid keyword volume or internal site search export was supplied.</t>
        </is>
      </c>
      <c r="I52" s="2" t="inlineStr">
        <is>
          <t>Keep demand statements qualitative; do not claim volume or ranking potential.</t>
        </is>
      </c>
      <c r="J52" s="2" t="inlineStr">
        <is>
          <t>Only public SERP comparables are available.</t>
        </is>
      </c>
      <c r="K52" s="2" t="inlineStr">
        <is>
          <t>Additional first-party or paid keyword evidence is attached, or limitation remains documented.</t>
        </is>
      </c>
    </row>
    <row r="53" ht="84" customHeight="1">
      <c r="A53" s="3" t="inlineStr">
        <is>
          <t>ISSUE-0052</t>
        </is>
      </c>
      <c r="B53" s="3" t="inlineStr">
        <is>
          <t>jeminise.com+pamnest-twin-halloween-comforter-set-with-sheets-5-pieces-design-03</t>
        </is>
      </c>
      <c r="C53" s="3" t="inlineStr">
        <is>
          <t>img_18e599949d42e7a6</t>
        </is>
      </c>
      <c r="D53" s="3" t="inlineStr">
        <is>
          <t>MINOR</t>
        </is>
      </c>
      <c r="E53" s="3" t="inlineStr">
        <is>
          <t>alt text</t>
        </is>
      </c>
      <c r="F53" s="3" t="inlineStr">
        <is>
          <t>Black White Ghost Halloween Comforter Set displayed in a main product mockup</t>
        </is>
      </c>
      <c r="G53" s="3" t="inlineStr">
        <is>
          <t>Fresh image file: D:\Shopify_Workspace\jeminise_seo\seo_runs\jeminise.com\20260906_234129\qa\20260907_212312\images\166_01.jpg; source URL: https://cdn.shopify.com/s/files/1/0792/5098/1063/files/a04eaaab4fb68dc7448e32b7978cec1d481af7cf4430a3f72b91574bcb94ba65.jpg?v=1787936250</t>
        </is>
      </c>
      <c r="H53" s="3" t="inlineStr">
        <is>
          <t>Alt text is too generic or describes placement more than visible content.</t>
        </is>
      </c>
      <c r="I53" s="3" t="inlineStr">
        <is>
          <t>Rewrite observation/alt from the directly opened image, naming the visible motif and use context.</t>
        </is>
      </c>
      <c r="J53" s="3" t="inlineStr">
        <is>
          <t>Fresh image file: D:\Shopify_Workspace\jeminise_seo\seo_runs\jeminise.com\20260906_234129\qa\20260907_212312\images\166_01.jpg; source URL: https://cdn.shopify.com/s/files/1/0792/5098/1063/files/a04eaaab4fb68dc7448e32b7978cec1d481af7cf4430a3f72b91574bcb94ba65.jpg?v=1787936250</t>
        </is>
      </c>
      <c r="K53" s="3" t="inlineStr">
        <is>
          <t>The image row accurately describes the actual media at this gallery position.</t>
        </is>
      </c>
    </row>
    <row r="54" ht="84" customHeight="1">
      <c r="A54" s="2" t="inlineStr">
        <is>
          <t>ISSUE-0053</t>
        </is>
      </c>
      <c r="B54" s="2" t="inlineStr">
        <is>
          <t>jeminise.com+pamnest-twin-halloween-comforter-set-with-sheets-5-pieces-design-03</t>
        </is>
      </c>
      <c r="C54" s="2" t="inlineStr">
        <is>
          <t>img_98adb4ea2bab06c3</t>
        </is>
      </c>
      <c r="D54" s="2" t="inlineStr">
        <is>
          <t>MINOR</t>
        </is>
      </c>
      <c r="E54" s="2" t="inlineStr">
        <is>
          <t>image observation</t>
        </is>
      </c>
      <c r="F54" s="2" t="inlineStr">
        <is>
          <t>Bedding type, feature, lifestyle or material image for black white ghost Halloween comforter set.</t>
        </is>
      </c>
      <c r="G54" s="2" t="inlineStr">
        <is>
          <t>Fresh image file: D:\Shopify_Workspace\jeminise_seo\seo_runs\jeminise.com\20260906_234129\qa\20260907_212312\images\166_03.jpg; source URL: https://cdn.shopify.com/s/files/1/0792/5098/1063/files/e96376384911eb815950bd49399e4d932894d33483e6a2657a308a3f851871b2.jpg?v=1787936250</t>
        </is>
      </c>
      <c r="H54" s="2" t="inlineStr">
        <is>
          <t>Observation is generic or position-based; rewrite from the actual image content.</t>
        </is>
      </c>
      <c r="I54" s="2" t="inlineStr">
        <is>
          <t>Rewrite observation/alt from the directly opened image, naming the visible motif and use context.</t>
        </is>
      </c>
      <c r="J54" s="2" t="inlineStr">
        <is>
          <t>Fresh image file: D:\Shopify_Workspace\jeminise_seo\seo_runs\jeminise.com\20260906_234129\qa\20260907_212312\images\166_03.jpg; source URL: https://cdn.shopify.com/s/files/1/0792/5098/1063/files/e96376384911eb815950bd49399e4d932894d33483e6a2657a308a3f851871b2.jpg?v=1787936250</t>
        </is>
      </c>
      <c r="K54" s="2" t="inlineStr">
        <is>
          <t>The image row accurately describes the actual media at this gallery position.</t>
        </is>
      </c>
    </row>
    <row r="55" ht="84" customHeight="1">
      <c r="A55" s="3" t="inlineStr">
        <is>
          <t>ISSUE-0054</t>
        </is>
      </c>
      <c r="B55" s="3" t="inlineStr">
        <is>
          <t>jeminise.com+pamnest-twin-halloween-comforter-set-with-sheets-5-pieces-design-03</t>
        </is>
      </c>
      <c r="C55" s="3" t="inlineStr">
        <is>
          <t>img_48a696a61579ec77</t>
        </is>
      </c>
      <c r="D55" s="3" t="inlineStr">
        <is>
          <t>MINOR</t>
        </is>
      </c>
      <c r="E55" s="3" t="inlineStr">
        <is>
          <t>image observation</t>
        </is>
      </c>
      <c r="F55" s="3" t="inlineStr">
        <is>
          <t>Detail, feature panel or lifestyle image connected to black white ghost Halloween comforter set.</t>
        </is>
      </c>
      <c r="G55" s="3" t="inlineStr">
        <is>
          <t>Fresh image file: D:\Shopify_Workspace\jeminise_seo\seo_runs\jeminise.com\20260906_234129\qa\20260907_212312\images\166_04.jpg; source URL: https://cdn.shopify.com/s/files/1/0792/5098/1063/files/ac42bb85dc2b37a8d6b9f4d966756ea755486c3f61c156cf8759fda5147a0335.jpg?v=1787936250</t>
        </is>
      </c>
      <c r="H55" s="3" t="inlineStr">
        <is>
          <t>Observation is generic or position-based; rewrite from the actual image content.</t>
        </is>
      </c>
      <c r="I55" s="3" t="inlineStr">
        <is>
          <t>Rewrite observation/alt from the directly opened image, naming the visible motif and use context.</t>
        </is>
      </c>
      <c r="J55" s="3" t="inlineStr">
        <is>
          <t>Fresh image file: D:\Shopify_Workspace\jeminise_seo\seo_runs\jeminise.com\20260906_234129\qa\20260907_212312\images\166_04.jpg; source URL: https://cdn.shopify.com/s/files/1/0792/5098/1063/files/ac42bb85dc2b37a8d6b9f4d966756ea755486c3f61c156cf8759fda5147a0335.jpg?v=1787936250</t>
        </is>
      </c>
      <c r="K55" s="3" t="inlineStr">
        <is>
          <t>The image row accurately describes the actual media at this gallery position.</t>
        </is>
      </c>
    </row>
    <row r="56" ht="84" customHeight="1">
      <c r="A56" s="2" t="inlineStr">
        <is>
          <t>ISSUE-0055</t>
        </is>
      </c>
      <c r="B56" s="2" t="inlineStr">
        <is>
          <t>jeminise.com+pamnest-twin-halloween-comforter-set-with-sheets-5-pieces-design-03</t>
        </is>
      </c>
      <c r="C56" s="2" t="inlineStr">
        <is>
          <t>img_638c13032e75fb69</t>
        </is>
      </c>
      <c r="D56" s="2" t="inlineStr">
        <is>
          <t>MINOR</t>
        </is>
      </c>
      <c r="E56" s="2" t="inlineStr">
        <is>
          <t>image observation</t>
        </is>
      </c>
      <c r="F56" s="2" t="inlineStr">
        <is>
          <t>Easy-care, size guide or product feature image for black white ghost Halloween comforter set.</t>
        </is>
      </c>
      <c r="G56" s="2" t="inlineStr">
        <is>
          <t>Fresh image file: D:\Shopify_Workspace\jeminise_seo\seo_runs\jeminise.com\20260906_234129\qa\20260907_212312\images\166_06.jpg; source URL: https://cdn.shopify.com/s/files/1/0792/5098/1063/files/bbd8b3069747599cfa3e8e8deb179b9085c81592ba19d1c6287a8363a8238662.jpg?v=1787936250</t>
        </is>
      </c>
      <c r="H56" s="2" t="inlineStr">
        <is>
          <t>Observation is generic or position-based; rewrite from the actual image content.</t>
        </is>
      </c>
      <c r="I56" s="2" t="inlineStr">
        <is>
          <t>Rewrite observation/alt from the directly opened image, naming the visible motif and use context.</t>
        </is>
      </c>
      <c r="J56" s="2" t="inlineStr">
        <is>
          <t>Fresh image file: D:\Shopify_Workspace\jeminise_seo\seo_runs\jeminise.com\20260906_234129\qa\20260907_212312\images\166_06.jpg; source URL: https://cdn.shopify.com/s/files/1/0792/5098/1063/files/bbd8b3069747599cfa3e8e8deb179b9085c81592ba19d1c6287a8363a8238662.jpg?v=1787936250</t>
        </is>
      </c>
      <c r="K56" s="2" t="inlineStr">
        <is>
          <t>The image row accurately describes the actual media at this gallery position.</t>
        </is>
      </c>
    </row>
    <row r="57" ht="84" customHeight="1">
      <c r="A57" s="3" t="inlineStr">
        <is>
          <t>ISSUE-0056</t>
        </is>
      </c>
      <c r="B57" s="3" t="inlineStr">
        <is>
          <t>jeminise.com+pamnest-twin-halloween-comforter-set-with-sheets-5-pieces-design-03</t>
        </is>
      </c>
      <c r="C57" s="3" t="inlineStr">
        <is>
          <t>img_638c13032e75fb69</t>
        </is>
      </c>
      <c r="D57" s="3" t="inlineStr">
        <is>
          <t>MINOR</t>
        </is>
      </c>
      <c r="E57" s="3" t="inlineStr">
        <is>
          <t>alt text</t>
        </is>
      </c>
      <c r="F57" s="3" t="inlineStr">
        <is>
          <t>Set contents and size chart image for Black White Ghost Halloween Comforter Set</t>
        </is>
      </c>
      <c r="G57" s="3" t="inlineStr">
        <is>
          <t>Fresh image file: D:\Shopify_Workspace\jeminise_seo\seo_runs\jeminise.com\20260906_234129\qa\20260907_212312\images\166_06.jpg; source URL: https://cdn.shopify.com/s/files/1/0792/5098/1063/files/bbd8b3069747599cfa3e8e8deb179b9085c81592ba19d1c6287a8363a8238662.jpg?v=1787936250</t>
        </is>
      </c>
      <c r="H57" s="3" t="inlineStr">
        <is>
          <t>Alt text is too generic or describes placement more than visible content.</t>
        </is>
      </c>
      <c r="I57" s="3" t="inlineStr">
        <is>
          <t>Rewrite observation/alt from the directly opened image, naming the visible motif and use context.</t>
        </is>
      </c>
      <c r="J57" s="3" t="inlineStr">
        <is>
          <t>Fresh image file: D:\Shopify_Workspace\jeminise_seo\seo_runs\jeminise.com\20260906_234129\qa\20260907_212312\images\166_06.jpg; source URL: https://cdn.shopify.com/s/files/1/0792/5098/1063/files/bbd8b3069747599cfa3e8e8deb179b9085c81592ba19d1c6287a8363a8238662.jpg?v=1787936250</t>
        </is>
      </c>
      <c r="K57" s="3" t="inlineStr">
        <is>
          <t>The image row accurately describes the actual media at this gallery position.</t>
        </is>
      </c>
    </row>
    <row r="58" ht="84" customHeight="1">
      <c r="A58" s="2" t="inlineStr">
        <is>
          <t>ISSUE-0057</t>
        </is>
      </c>
      <c r="B58" s="2" t="inlineStr">
        <is>
          <t>jeminise.com+pamnest-twin-halloween-comforter-set-with-sheets-5-pieces-design-04</t>
        </is>
      </c>
      <c r="C58" s="2" t="inlineStr"/>
      <c r="D58" s="2" t="inlineStr">
        <is>
          <t>MAJOR</t>
        </is>
      </c>
      <c r="E58" s="2" t="inlineStr">
        <is>
          <t>description_proposed_html</t>
        </is>
      </c>
      <c r="F58" s="2"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t>
        </is>
      </c>
      <c r="G58" s="2" t="inlineStr">
        <is>
          <t>Draft contains SEO Use / QA approval wording.</t>
        </is>
      </c>
      <c r="H58" s="2" t="inlineStr">
        <is>
          <t>Internal workflow language is not publish-ready storefront copy.</t>
        </is>
      </c>
      <c r="I58" s="2" t="inlineStr">
        <is>
          <t>Remove internal QA/import block and replace with customer-facing verified copy.</t>
        </is>
      </c>
      <c r="J58" s="2" t="inlineStr">
        <is>
          <t>Draft contains SEO Use / QA approval wording.</t>
        </is>
      </c>
      <c r="K58" s="2" t="inlineStr">
        <is>
          <t>Description HTML no longer contains SEO Use, QA, approval, import or draft language.</t>
        </is>
      </c>
    </row>
    <row r="59" ht="84" customHeight="1">
      <c r="A59" s="3" t="inlineStr">
        <is>
          <t>ISSUE-0058</t>
        </is>
      </c>
      <c r="B59" s="3" t="inlineStr">
        <is>
          <t>jeminise.com+pamnest-twin-halloween-comforter-set-with-sheets-5-pieces-design-04</t>
        </is>
      </c>
      <c r="C59" s="3" t="inlineStr"/>
      <c r="D59" s="3" t="inlineStr">
        <is>
          <t>MAJOR</t>
        </is>
      </c>
      <c r="E59" s="3" t="inlineStr">
        <is>
          <t>h1_proposed</t>
        </is>
      </c>
      <c r="F59" s="3" t="inlineStr"/>
      <c r="G59" s="3" t="inlineStr">
        <is>
          <t>The submitted workbook row has no proposed H1.</t>
        </is>
      </c>
      <c r="H59" s="3" t="inlineStr">
        <is>
          <t>A publishable SEO title/H1 pair is incomplete when the H1 field is blank.</t>
        </is>
      </c>
      <c r="I59" s="3" t="inlineStr">
        <is>
          <t>Write one English H1 that matches the verified product type and visible design; do not copy unsupported claims.</t>
        </is>
      </c>
      <c r="J59" s="3" t="inlineStr">
        <is>
          <t>The submitted workbook row has no proposed H1.</t>
        </is>
      </c>
      <c r="K59" s="3" t="inlineStr">
        <is>
          <t>Workbook contains a non-empty H1 and it is consistent with title, primary keyword and live product evidence.</t>
        </is>
      </c>
    </row>
    <row r="60" ht="84" customHeight="1">
      <c r="A60" s="2" t="inlineStr">
        <is>
          <t>ISSUE-0059</t>
        </is>
      </c>
      <c r="B60" s="2" t="inlineStr">
        <is>
          <t>jeminise.com+pamnest-twin-halloween-comforter-set-with-sheets-5-pieces-design-04</t>
        </is>
      </c>
      <c r="C60" s="2" t="inlineStr"/>
      <c r="D60" s="2" t="inlineStr">
        <is>
          <t>MINOR</t>
        </is>
      </c>
      <c r="E60" s="2" t="inlineStr">
        <is>
          <t>meta_description_seo</t>
        </is>
      </c>
      <c r="F60" s="2" t="inlineStr">
        <is>
          <t>Shop a comforter set featuring blue Halloween scene with large pumpkins, sheet ghosts, haunted trees, bats and moon artwork. Review available sizes and set options before checkout.</t>
        </is>
      </c>
      <c r="G60" s="2" t="inlineStr">
        <is>
          <t>Meta description length is 180 characters.</t>
        </is>
      </c>
      <c r="H60" s="2" t="inlineStr">
        <is>
          <t>Likely to truncate in search results and repeats review/personality wording in several rows.</t>
        </is>
      </c>
      <c r="I60" s="2" t="inlineStr">
        <is>
          <t>Rewrite to roughly 145-155 characters while preserving verified design and product type.</t>
        </is>
      </c>
      <c r="J60" s="2" t="inlineStr">
        <is>
          <t>Meta description length is 180 characters.</t>
        </is>
      </c>
      <c r="K60" s="2" t="inlineStr">
        <is>
          <t>Length check &lt;=160 characters and no unsupported claim remains.</t>
        </is>
      </c>
    </row>
    <row r="61" ht="84" customHeight="1">
      <c r="A61" s="3" t="inlineStr">
        <is>
          <t>ISSUE-0060</t>
        </is>
      </c>
      <c r="B61" s="3" t="inlineStr">
        <is>
          <t>jeminise.com+pamnest-twin-halloween-comforter-set-with-sheets-5-pieces-design-04</t>
        </is>
      </c>
      <c r="C61" s="3" t="inlineStr"/>
      <c r="D61" s="3" t="inlineStr">
        <is>
          <t>LIMITATION</t>
        </is>
      </c>
      <c r="E61" s="3" t="inlineStr">
        <is>
          <t>keyword_evidence_level</t>
        </is>
      </c>
      <c r="F61" s="3" t="inlineStr">
        <is>
          <t>SERP_ONLY</t>
        </is>
      </c>
      <c r="G61" s="3" t="inlineStr">
        <is>
          <t>Only public SERP comparables are available.</t>
        </is>
      </c>
      <c r="H61" s="3" t="inlineStr">
        <is>
          <t>No Search Console, paid keyword volume or internal site search export was supplied.</t>
        </is>
      </c>
      <c r="I61" s="3" t="inlineStr">
        <is>
          <t>Keep demand statements qualitative; do not claim volume or ranking potential.</t>
        </is>
      </c>
      <c r="J61" s="3" t="inlineStr">
        <is>
          <t>Only public SERP comparables are available.</t>
        </is>
      </c>
      <c r="K61" s="3" t="inlineStr">
        <is>
          <t>Additional first-party or paid keyword evidence is attached, or limitation remains documented.</t>
        </is>
      </c>
    </row>
    <row r="62" ht="84" customHeight="1">
      <c r="A62" s="2" t="inlineStr">
        <is>
          <t>ISSUE-0061</t>
        </is>
      </c>
      <c r="B62" s="2" t="inlineStr">
        <is>
          <t>jeminise.com+pamnest-twin-halloween-comforter-set-with-sheets-5-pieces-design-04</t>
        </is>
      </c>
      <c r="C62" s="2" t="inlineStr">
        <is>
          <t>img_a78f074313a5fd42</t>
        </is>
      </c>
      <c r="D62" s="2" t="inlineStr">
        <is>
          <t>MINOR</t>
        </is>
      </c>
      <c r="E62" s="2" t="inlineStr">
        <is>
          <t>alt text</t>
        </is>
      </c>
      <c r="F62" s="2" t="inlineStr">
        <is>
          <t>Blue Haunted Pumpkin Ghost Comforter Set displayed in a main product mockup</t>
        </is>
      </c>
      <c r="G62" s="2" t="inlineStr">
        <is>
          <t>Fresh image file: D:\Shopify_Workspace\jeminise_seo\seo_runs\jeminise.com\20260906_234129\qa\20260907_212312\images\167_01.jpg; source URL: https://cdn.shopify.com/s/files/1/0792/5098/1063/files/5d0f1cae5d8fbccfd0cedc69335c2f8dae57295710f0d39ce49b9d818247b5d7.jpg?v=1787936297</t>
        </is>
      </c>
      <c r="H62" s="2" t="inlineStr">
        <is>
          <t>Alt text is too generic or describes placement more than visible content.</t>
        </is>
      </c>
      <c r="I62" s="2" t="inlineStr">
        <is>
          <t>Rewrite observation/alt from the directly opened image, naming the visible motif and use context.</t>
        </is>
      </c>
      <c r="J62" s="2" t="inlineStr">
        <is>
          <t>Fresh image file: D:\Shopify_Workspace\jeminise_seo\seo_runs\jeminise.com\20260906_234129\qa\20260907_212312\images\167_01.jpg; source URL: https://cdn.shopify.com/s/files/1/0792/5098/1063/files/5d0f1cae5d8fbccfd0cedc69335c2f8dae57295710f0d39ce49b9d818247b5d7.jpg?v=1787936297</t>
        </is>
      </c>
      <c r="K62" s="2" t="inlineStr">
        <is>
          <t>The image row accurately describes the actual media at this gallery position.</t>
        </is>
      </c>
    </row>
    <row r="63" ht="84" customHeight="1">
      <c r="A63" s="3" t="inlineStr">
        <is>
          <t>ISSUE-0062</t>
        </is>
      </c>
      <c r="B63" s="3" t="inlineStr">
        <is>
          <t>jeminise.com+pamnest-twin-halloween-comforter-set-with-sheets-5-pieces-design-04</t>
        </is>
      </c>
      <c r="C63" s="3" t="inlineStr">
        <is>
          <t>img_78a5c394d10e22d0</t>
        </is>
      </c>
      <c r="D63" s="3" t="inlineStr">
        <is>
          <t>MINOR</t>
        </is>
      </c>
      <c r="E63" s="3" t="inlineStr">
        <is>
          <t>image observation</t>
        </is>
      </c>
      <c r="F63" s="3" t="inlineStr">
        <is>
          <t>Bedding type, feature, lifestyle or material image for blue haunted pumpkin ghost comforter set.</t>
        </is>
      </c>
      <c r="G63" s="3" t="inlineStr">
        <is>
          <t>Fresh image file: D:\Shopify_Workspace\jeminise_seo\seo_runs\jeminise.com\20260906_234129\qa\20260907_212312\images\167_03.jpg; source URL: https://cdn.shopify.com/s/files/1/0792/5098/1063/files/5ca4830cd71b5426ad687d0e98c5de6daada03acb8a658c0dbb56e9c1612eeb7.jpg?v=1787936297</t>
        </is>
      </c>
      <c r="H63" s="3" t="inlineStr">
        <is>
          <t>Observation is generic or position-based; rewrite from the actual image content.</t>
        </is>
      </c>
      <c r="I63" s="3" t="inlineStr">
        <is>
          <t>Rewrite observation/alt from the directly opened image, naming the visible motif and use context.</t>
        </is>
      </c>
      <c r="J63" s="3" t="inlineStr">
        <is>
          <t>Fresh image file: D:\Shopify_Workspace\jeminise_seo\seo_runs\jeminise.com\20260906_234129\qa\20260907_212312\images\167_03.jpg; source URL: https://cdn.shopify.com/s/files/1/0792/5098/1063/files/5ca4830cd71b5426ad687d0e98c5de6daada03acb8a658c0dbb56e9c1612eeb7.jpg?v=1787936297</t>
        </is>
      </c>
      <c r="K63" s="3" t="inlineStr">
        <is>
          <t>The image row accurately describes the actual media at this gallery position.</t>
        </is>
      </c>
    </row>
    <row r="64" ht="84" customHeight="1">
      <c r="A64" s="2" t="inlineStr">
        <is>
          <t>ISSUE-0063</t>
        </is>
      </c>
      <c r="B64" s="2" t="inlineStr">
        <is>
          <t>jeminise.com+pamnest-twin-halloween-comforter-set-with-sheets-5-pieces-design-04</t>
        </is>
      </c>
      <c r="C64" s="2" t="inlineStr">
        <is>
          <t>img_d91839ec732041fa</t>
        </is>
      </c>
      <c r="D64" s="2" t="inlineStr">
        <is>
          <t>MINOR</t>
        </is>
      </c>
      <c r="E64" s="2" t="inlineStr">
        <is>
          <t>image observation</t>
        </is>
      </c>
      <c r="F64" s="2" t="inlineStr">
        <is>
          <t>Detail, feature panel or lifestyle image connected to blue haunted pumpkin ghost comforter set.</t>
        </is>
      </c>
      <c r="G64" s="2" t="inlineStr">
        <is>
          <t>Fresh image file: D:\Shopify_Workspace\jeminise_seo\seo_runs\jeminise.com\20260906_234129\qa\20260907_212312\images\167_04.jpg; source URL: https://cdn.shopify.com/s/files/1/0792/5098/1063/files/3e81ffaaf0deab65c1f4a3f78b8b479936f650a3a751ef521aab7f3ff885449e.jpg?v=1787936297</t>
        </is>
      </c>
      <c r="H64" s="2" t="inlineStr">
        <is>
          <t>Observation is generic or position-based; rewrite from the actual image content.</t>
        </is>
      </c>
      <c r="I64" s="2" t="inlineStr">
        <is>
          <t>Rewrite observation/alt from the directly opened image, naming the visible motif and use context.</t>
        </is>
      </c>
      <c r="J64" s="2" t="inlineStr">
        <is>
          <t>Fresh image file: D:\Shopify_Workspace\jeminise_seo\seo_runs\jeminise.com\20260906_234129\qa\20260907_212312\images\167_04.jpg; source URL: https://cdn.shopify.com/s/files/1/0792/5098/1063/files/3e81ffaaf0deab65c1f4a3f78b8b479936f650a3a751ef521aab7f3ff885449e.jpg?v=1787936297</t>
        </is>
      </c>
      <c r="K64" s="2" t="inlineStr">
        <is>
          <t>The image row accurately describes the actual media at this gallery position.</t>
        </is>
      </c>
    </row>
    <row r="65" ht="84" customHeight="1">
      <c r="A65" s="3" t="inlineStr">
        <is>
          <t>ISSUE-0064</t>
        </is>
      </c>
      <c r="B65" s="3" t="inlineStr">
        <is>
          <t>jeminise.com+pamnest-twin-halloween-comforter-set-with-sheets-5-pieces-design-04</t>
        </is>
      </c>
      <c r="C65" s="3" t="inlineStr">
        <is>
          <t>img_d2c9d6272b82396c</t>
        </is>
      </c>
      <c r="D65" s="3" t="inlineStr">
        <is>
          <t>MINOR</t>
        </is>
      </c>
      <c r="E65" s="3" t="inlineStr">
        <is>
          <t>image observation</t>
        </is>
      </c>
      <c r="F65" s="3" t="inlineStr">
        <is>
          <t>Easy-care, size guide or product feature image for blue haunted pumpkin ghost comforter set.</t>
        </is>
      </c>
      <c r="G65" s="3" t="inlineStr">
        <is>
          <t>Fresh image file: D:\Shopify_Workspace\jeminise_seo\seo_runs\jeminise.com\20260906_234129\qa\20260907_212312\images\167_06.jpg; source URL: https://cdn.shopify.com/s/files/1/0792/5098/1063/files/b0d1da8d8060da04652dfbd8ac59558b6bb3e731d6cda0161cad77ec3b3c8fe2.jpg?v=1787936297</t>
        </is>
      </c>
      <c r="H65" s="3" t="inlineStr">
        <is>
          <t>Observation is generic or position-based; rewrite from the actual image content.</t>
        </is>
      </c>
      <c r="I65" s="3" t="inlineStr">
        <is>
          <t>Rewrite observation/alt from the directly opened image, naming the visible motif and use context.</t>
        </is>
      </c>
      <c r="J65" s="3" t="inlineStr">
        <is>
          <t>Fresh image file: D:\Shopify_Workspace\jeminise_seo\seo_runs\jeminise.com\20260906_234129\qa\20260907_212312\images\167_06.jpg; source URL: https://cdn.shopify.com/s/files/1/0792/5098/1063/files/b0d1da8d8060da04652dfbd8ac59558b6bb3e731d6cda0161cad77ec3b3c8fe2.jpg?v=1787936297</t>
        </is>
      </c>
      <c r="K65" s="3" t="inlineStr">
        <is>
          <t>The image row accurately describes the actual media at this gallery position.</t>
        </is>
      </c>
    </row>
    <row r="66" ht="84" customHeight="1">
      <c r="A66" s="2" t="inlineStr">
        <is>
          <t>ISSUE-0065</t>
        </is>
      </c>
      <c r="B66" s="2" t="inlineStr">
        <is>
          <t>jeminise.com+pamnest-twin-halloween-comforter-set-with-sheets-5-pieces-design-04</t>
        </is>
      </c>
      <c r="C66" s="2" t="inlineStr">
        <is>
          <t>img_d2c9d6272b82396c</t>
        </is>
      </c>
      <c r="D66" s="2" t="inlineStr">
        <is>
          <t>MINOR</t>
        </is>
      </c>
      <c r="E66" s="2" t="inlineStr">
        <is>
          <t>alt text</t>
        </is>
      </c>
      <c r="F66" s="2" t="inlineStr">
        <is>
          <t>Set contents and size chart image for Blue Haunted Pumpkin Ghost Comforter Set</t>
        </is>
      </c>
      <c r="G66" s="2" t="inlineStr">
        <is>
          <t>Fresh image file: D:\Shopify_Workspace\jeminise_seo\seo_runs\jeminise.com\20260906_234129\qa\20260907_212312\images\167_06.jpg; source URL: https://cdn.shopify.com/s/files/1/0792/5098/1063/files/b0d1da8d8060da04652dfbd8ac59558b6bb3e731d6cda0161cad77ec3b3c8fe2.jpg?v=1787936297</t>
        </is>
      </c>
      <c r="H66" s="2" t="inlineStr">
        <is>
          <t>Alt text is too generic or describes placement more than visible content.</t>
        </is>
      </c>
      <c r="I66" s="2" t="inlineStr">
        <is>
          <t>Rewrite observation/alt from the directly opened image, naming the visible motif and use context.</t>
        </is>
      </c>
      <c r="J66" s="2" t="inlineStr">
        <is>
          <t>Fresh image file: D:\Shopify_Workspace\jeminise_seo\seo_runs\jeminise.com\20260906_234129\qa\20260907_212312\images\167_06.jpg; source URL: https://cdn.shopify.com/s/files/1/0792/5098/1063/files/b0d1da8d8060da04652dfbd8ac59558b6bb3e731d6cda0161cad77ec3b3c8fe2.jpg?v=1787936297</t>
        </is>
      </c>
      <c r="K66" s="2" t="inlineStr">
        <is>
          <t>The image row accurately describes the actual media at this gallery position.</t>
        </is>
      </c>
    </row>
    <row r="67" ht="84" customHeight="1">
      <c r="A67" s="3" t="inlineStr">
        <is>
          <t>ISSUE-0066</t>
        </is>
      </c>
      <c r="B67" s="3" t="inlineStr">
        <is>
          <t>jeminise.com+pamnest-twin-halloween-comforter-set-with-sheets-5-pieces-design-05</t>
        </is>
      </c>
      <c r="C67" s="3" t="inlineStr"/>
      <c r="D67" s="3" t="inlineStr">
        <is>
          <t>MAJOR</t>
        </is>
      </c>
      <c r="E67" s="3" t="inlineStr">
        <is>
          <t>description_proposed_html</t>
        </is>
      </c>
      <c r="F67" s="3"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t>
        </is>
      </c>
      <c r="G67" s="3" t="inlineStr">
        <is>
          <t>Draft contains SEO Use / QA approval wording.</t>
        </is>
      </c>
      <c r="H67" s="3" t="inlineStr">
        <is>
          <t>Internal workflow language is not publish-ready storefront copy.</t>
        </is>
      </c>
      <c r="I67" s="3" t="inlineStr">
        <is>
          <t>Remove internal QA/import block and replace with customer-facing verified copy.</t>
        </is>
      </c>
      <c r="J67" s="3" t="inlineStr">
        <is>
          <t>Draft contains SEO Use / QA approval wording.</t>
        </is>
      </c>
      <c r="K67" s="3" t="inlineStr">
        <is>
          <t>Description HTML no longer contains SEO Use, QA, approval, import or draft language.</t>
        </is>
      </c>
    </row>
    <row r="68" ht="84" customHeight="1">
      <c r="A68" s="2" t="inlineStr">
        <is>
          <t>ISSUE-0067</t>
        </is>
      </c>
      <c r="B68" s="2" t="inlineStr">
        <is>
          <t>jeminise.com+pamnest-twin-halloween-comforter-set-with-sheets-5-pieces-design-05</t>
        </is>
      </c>
      <c r="C68" s="2" t="inlineStr"/>
      <c r="D68" s="2" t="inlineStr">
        <is>
          <t>MAJOR</t>
        </is>
      </c>
      <c r="E68" s="2" t="inlineStr">
        <is>
          <t>h1_proposed</t>
        </is>
      </c>
      <c r="F68" s="2" t="inlineStr"/>
      <c r="G68" s="2" t="inlineStr">
        <is>
          <t>The submitted workbook row has no proposed H1.</t>
        </is>
      </c>
      <c r="H68" s="2" t="inlineStr">
        <is>
          <t>A publishable SEO title/H1 pair is incomplete when the H1 field is blank.</t>
        </is>
      </c>
      <c r="I68" s="2" t="inlineStr">
        <is>
          <t>Write one English H1 that matches the verified product type and visible design; do not copy unsupported claims.</t>
        </is>
      </c>
      <c r="J68" s="2" t="inlineStr">
        <is>
          <t>The submitted workbook row has no proposed H1.</t>
        </is>
      </c>
      <c r="K68" s="2" t="inlineStr">
        <is>
          <t>Workbook contains a non-empty H1 and it is consistent with title, primary keyword and live product evidence.</t>
        </is>
      </c>
    </row>
    <row r="69" ht="84" customHeight="1">
      <c r="A69" s="3" t="inlineStr">
        <is>
          <t>ISSUE-0068</t>
        </is>
      </c>
      <c r="B69" s="3" t="inlineStr">
        <is>
          <t>jeminise.com+pamnest-twin-halloween-comforter-set-with-sheets-5-pieces-design-05</t>
        </is>
      </c>
      <c r="C69" s="3" t="inlineStr"/>
      <c r="D69" s="3" t="inlineStr">
        <is>
          <t>MINOR</t>
        </is>
      </c>
      <c r="E69" s="3" t="inlineStr">
        <is>
          <t>meta_description_seo</t>
        </is>
      </c>
      <c r="F69" s="3" t="inlineStr">
        <is>
          <t>Shop a comforter set featuring pink Halloween bedding with cute ghosts, witch hats, candy, stars and soft pink sheets. Review available sizes and set options before checkout.</t>
        </is>
      </c>
      <c r="G69" s="3" t="inlineStr">
        <is>
          <t>Meta description length is 174 characters.</t>
        </is>
      </c>
      <c r="H69" s="3" t="inlineStr">
        <is>
          <t>Likely to truncate in search results and repeats review/personality wording in several rows.</t>
        </is>
      </c>
      <c r="I69" s="3" t="inlineStr">
        <is>
          <t>Rewrite to roughly 145-155 characters while preserving verified design and product type.</t>
        </is>
      </c>
      <c r="J69" s="3" t="inlineStr">
        <is>
          <t>Meta description length is 174 characters.</t>
        </is>
      </c>
      <c r="K69" s="3" t="inlineStr">
        <is>
          <t>Length check &lt;=160 characters and no unsupported claim remains.</t>
        </is>
      </c>
    </row>
    <row r="70" ht="84" customHeight="1">
      <c r="A70" s="2" t="inlineStr">
        <is>
          <t>ISSUE-0069</t>
        </is>
      </c>
      <c r="B70" s="2" t="inlineStr">
        <is>
          <t>jeminise.com+pamnest-twin-halloween-comforter-set-with-sheets-5-pieces-design-05</t>
        </is>
      </c>
      <c r="C70" s="2" t="inlineStr"/>
      <c r="D70" s="2" t="inlineStr">
        <is>
          <t>LIMITATION</t>
        </is>
      </c>
      <c r="E70" s="2" t="inlineStr">
        <is>
          <t>keyword_evidence_level</t>
        </is>
      </c>
      <c r="F70" s="2" t="inlineStr">
        <is>
          <t>SERP_ONLY</t>
        </is>
      </c>
      <c r="G70" s="2" t="inlineStr">
        <is>
          <t>Only public SERP comparables are available.</t>
        </is>
      </c>
      <c r="H70" s="2" t="inlineStr">
        <is>
          <t>No Search Console, paid keyword volume or internal site search export was supplied.</t>
        </is>
      </c>
      <c r="I70" s="2" t="inlineStr">
        <is>
          <t>Keep demand statements qualitative; do not claim volume or ranking potential.</t>
        </is>
      </c>
      <c r="J70" s="2" t="inlineStr">
        <is>
          <t>Only public SERP comparables are available.</t>
        </is>
      </c>
      <c r="K70" s="2" t="inlineStr">
        <is>
          <t>Additional first-party or paid keyword evidence is attached, or limitation remains documented.</t>
        </is>
      </c>
    </row>
    <row r="71" ht="84" customHeight="1">
      <c r="A71" s="3" t="inlineStr">
        <is>
          <t>ISSUE-0070</t>
        </is>
      </c>
      <c r="B71" s="3" t="inlineStr">
        <is>
          <t>jeminise.com+pamnest-twin-halloween-comforter-set-with-sheets-5-pieces-design-05</t>
        </is>
      </c>
      <c r="C71" s="3" t="inlineStr">
        <is>
          <t>img_f63b91c48fb4a74a</t>
        </is>
      </c>
      <c r="D71" s="3" t="inlineStr">
        <is>
          <t>MINOR</t>
        </is>
      </c>
      <c r="E71" s="3" t="inlineStr">
        <is>
          <t>alt text</t>
        </is>
      </c>
      <c r="F71" s="3" t="inlineStr">
        <is>
          <t>Pink Cute Ghost Halloween Comforter Set displayed in a main product mockup</t>
        </is>
      </c>
      <c r="G71" s="3" t="inlineStr">
        <is>
          <t>Fresh image file: D:\Shopify_Workspace\jeminise_seo\seo_runs\jeminise.com\20260906_234129\qa\20260907_212312\images\168_01.jpg; source URL: https://cdn.shopify.com/s/files/1/0792/5098/1063/files/0378abcf551bb373bc058a8d932a075b2e7062138286ccd5675aab241cbc2aa8.jpg?v=1787936303</t>
        </is>
      </c>
      <c r="H71" s="3" t="inlineStr">
        <is>
          <t>Alt text is too generic or describes placement more than visible content.</t>
        </is>
      </c>
      <c r="I71" s="3" t="inlineStr">
        <is>
          <t>Rewrite observation/alt from the directly opened image, naming the visible motif and use context.</t>
        </is>
      </c>
      <c r="J71" s="3" t="inlineStr">
        <is>
          <t>Fresh image file: D:\Shopify_Workspace\jeminise_seo\seo_runs\jeminise.com\20260906_234129\qa\20260907_212312\images\168_01.jpg; source URL: https://cdn.shopify.com/s/files/1/0792/5098/1063/files/0378abcf551bb373bc058a8d932a075b2e7062138286ccd5675aab241cbc2aa8.jpg?v=1787936303</t>
        </is>
      </c>
      <c r="K71" s="3" t="inlineStr">
        <is>
          <t>The image row accurately describes the actual media at this gallery position.</t>
        </is>
      </c>
    </row>
    <row r="72" ht="84" customHeight="1">
      <c r="A72" s="2" t="inlineStr">
        <is>
          <t>ISSUE-0071</t>
        </is>
      </c>
      <c r="B72" s="2" t="inlineStr">
        <is>
          <t>jeminise.com+pamnest-twin-halloween-comforter-set-with-sheets-5-pieces-design-05</t>
        </is>
      </c>
      <c r="C72" s="2" t="inlineStr">
        <is>
          <t>img_fed1eb059469f4be</t>
        </is>
      </c>
      <c r="D72" s="2" t="inlineStr">
        <is>
          <t>MINOR</t>
        </is>
      </c>
      <c r="E72" s="2" t="inlineStr">
        <is>
          <t>image observation</t>
        </is>
      </c>
      <c r="F72" s="2" t="inlineStr">
        <is>
          <t>Bedding type, feature, lifestyle or material image for pink cute ghost Halloween comforter set.</t>
        </is>
      </c>
      <c r="G72" s="2" t="inlineStr">
        <is>
          <t>Fresh image file: D:\Shopify_Workspace\jeminise_seo\seo_runs\jeminise.com\20260906_234129\qa\20260907_212312\images\168_03.jpg; source URL: https://cdn.shopify.com/s/files/1/0792/5098/1063/files/3c149552706148b88d709b4170ededcaf07b0afcd786b0fc80da64aee42ef97a.jpg?v=1787936303</t>
        </is>
      </c>
      <c r="H72" s="2" t="inlineStr">
        <is>
          <t>Observation is generic or position-based; rewrite from the actual image content.</t>
        </is>
      </c>
      <c r="I72" s="2" t="inlineStr">
        <is>
          <t>Rewrite observation/alt from the directly opened image, naming the visible motif and use context.</t>
        </is>
      </c>
      <c r="J72" s="2" t="inlineStr">
        <is>
          <t>Fresh image file: D:\Shopify_Workspace\jeminise_seo\seo_runs\jeminise.com\20260906_234129\qa\20260907_212312\images\168_03.jpg; source URL: https://cdn.shopify.com/s/files/1/0792/5098/1063/files/3c149552706148b88d709b4170ededcaf07b0afcd786b0fc80da64aee42ef97a.jpg?v=1787936303</t>
        </is>
      </c>
      <c r="K72" s="2" t="inlineStr">
        <is>
          <t>The image row accurately describes the actual media at this gallery position.</t>
        </is>
      </c>
    </row>
    <row r="73" ht="84" customHeight="1">
      <c r="A73" s="3" t="inlineStr">
        <is>
          <t>ISSUE-0072</t>
        </is>
      </c>
      <c r="B73" s="3" t="inlineStr">
        <is>
          <t>jeminise.com+pamnest-twin-halloween-comforter-set-with-sheets-5-pieces-design-05</t>
        </is>
      </c>
      <c r="C73" s="3" t="inlineStr">
        <is>
          <t>img_f878b183cc88d066</t>
        </is>
      </c>
      <c r="D73" s="3" t="inlineStr">
        <is>
          <t>MINOR</t>
        </is>
      </c>
      <c r="E73" s="3" t="inlineStr">
        <is>
          <t>image observation</t>
        </is>
      </c>
      <c r="F73" s="3" t="inlineStr">
        <is>
          <t>Detail, feature panel or lifestyle image connected to pink cute ghost Halloween comforter set.</t>
        </is>
      </c>
      <c r="G73" s="3" t="inlineStr">
        <is>
          <t>Fresh image file: D:\Shopify_Workspace\jeminise_seo\seo_runs\jeminise.com\20260906_234129\qa\20260907_212312\images\168_04.jpg; source URL: https://cdn.shopify.com/s/files/1/0792/5098/1063/files/27b0e98d00c806f90ce26194ac5961ee72b1843f7ded8b1cdc58421da8ff1af5.jpg?v=1787936303</t>
        </is>
      </c>
      <c r="H73" s="3" t="inlineStr">
        <is>
          <t>Observation is generic or position-based; rewrite from the actual image content.</t>
        </is>
      </c>
      <c r="I73" s="3" t="inlineStr">
        <is>
          <t>Rewrite observation/alt from the directly opened image, naming the visible motif and use context.</t>
        </is>
      </c>
      <c r="J73" s="3" t="inlineStr">
        <is>
          <t>Fresh image file: D:\Shopify_Workspace\jeminise_seo\seo_runs\jeminise.com\20260906_234129\qa\20260907_212312\images\168_04.jpg; source URL: https://cdn.shopify.com/s/files/1/0792/5098/1063/files/27b0e98d00c806f90ce26194ac5961ee72b1843f7ded8b1cdc58421da8ff1af5.jpg?v=1787936303</t>
        </is>
      </c>
      <c r="K73" s="3" t="inlineStr">
        <is>
          <t>The image row accurately describes the actual media at this gallery position.</t>
        </is>
      </c>
    </row>
    <row r="74" ht="84" customHeight="1">
      <c r="A74" s="2" t="inlineStr">
        <is>
          <t>ISSUE-0073</t>
        </is>
      </c>
      <c r="B74" s="2" t="inlineStr">
        <is>
          <t>jeminise.com+pamnest-twin-halloween-comforter-set-with-sheets-5-pieces-design-05</t>
        </is>
      </c>
      <c r="C74" s="2" t="inlineStr">
        <is>
          <t>img_df8a12275b529e15</t>
        </is>
      </c>
      <c r="D74" s="2" t="inlineStr">
        <is>
          <t>MINOR</t>
        </is>
      </c>
      <c r="E74" s="2" t="inlineStr">
        <is>
          <t>image observation</t>
        </is>
      </c>
      <c r="F74" s="2" t="inlineStr">
        <is>
          <t>Easy-care, size guide or product feature image for pink cute ghost Halloween comforter set.</t>
        </is>
      </c>
      <c r="G74" s="2" t="inlineStr">
        <is>
          <t>Fresh image file: D:\Shopify_Workspace\jeminise_seo\seo_runs\jeminise.com\20260906_234129\qa\20260907_212312\images\168_06.jpg; source URL: https://cdn.shopify.com/s/files/1/0792/5098/1063/files/7e2ec7c0c42511286cd153cc90aaaa3c14a07010ca3b6583e65c64cf25c53aa4.jpg?v=1787936303</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D:\Shopify_Workspace\jeminise_seo\seo_runs\jeminise.com\20260906_234129\qa\20260907_212312\images\168_06.jpg; source URL: https://cdn.shopify.com/s/files/1/0792/5098/1063/files/7e2ec7c0c42511286cd153cc90aaaa3c14a07010ca3b6583e65c64cf25c53aa4.jpg?v=1787936303</t>
        </is>
      </c>
      <c r="K74" s="2" t="inlineStr">
        <is>
          <t>The image row accurately describes the actual media at this gallery position.</t>
        </is>
      </c>
    </row>
    <row r="75" ht="84" customHeight="1">
      <c r="A75" s="3" t="inlineStr">
        <is>
          <t>ISSUE-0074</t>
        </is>
      </c>
      <c r="B75" s="3" t="inlineStr">
        <is>
          <t>jeminise.com+pamnest-twin-halloween-comforter-set-with-sheets-5-pieces-design-05</t>
        </is>
      </c>
      <c r="C75" s="3" t="inlineStr">
        <is>
          <t>img_df8a12275b529e15</t>
        </is>
      </c>
      <c r="D75" s="3" t="inlineStr">
        <is>
          <t>MINOR</t>
        </is>
      </c>
      <c r="E75" s="3" t="inlineStr">
        <is>
          <t>alt text</t>
        </is>
      </c>
      <c r="F75" s="3" t="inlineStr">
        <is>
          <t>Set contents and size chart image for Pink Cute Ghost Halloween Comforter Set</t>
        </is>
      </c>
      <c r="G75" s="3" t="inlineStr">
        <is>
          <t>Fresh image file: D:\Shopify_Workspace\jeminise_seo\seo_runs\jeminise.com\20260906_234129\qa\20260907_212312\images\168_06.jpg; source URL: https://cdn.shopify.com/s/files/1/0792/5098/1063/files/7e2ec7c0c42511286cd153cc90aaaa3c14a07010ca3b6583e65c64cf25c53aa4.jpg?v=1787936303</t>
        </is>
      </c>
      <c r="H75" s="3" t="inlineStr">
        <is>
          <t>Alt text is too generic or describes placement more than visible content.</t>
        </is>
      </c>
      <c r="I75" s="3" t="inlineStr">
        <is>
          <t>Rewrite observation/alt from the directly opened image, naming the visible motif and use context.</t>
        </is>
      </c>
      <c r="J75" s="3" t="inlineStr">
        <is>
          <t>Fresh image file: D:\Shopify_Workspace\jeminise_seo\seo_runs\jeminise.com\20260906_234129\qa\20260907_212312\images\168_06.jpg; source URL: https://cdn.shopify.com/s/files/1/0792/5098/1063/files/7e2ec7c0c42511286cd153cc90aaaa3c14a07010ca3b6583e65c64cf25c53aa4.jpg?v=1787936303</t>
        </is>
      </c>
      <c r="K75" s="3" t="inlineStr">
        <is>
          <t>The image row accurately describes the actual media at this gallery position.</t>
        </is>
      </c>
    </row>
    <row r="76" ht="84" customHeight="1">
      <c r="A76" s="2" t="inlineStr">
        <is>
          <t>ISSUE-0075</t>
        </is>
      </c>
      <c r="B76" s="2" t="inlineStr">
        <is>
          <t>jeminise.com+pamnest-twin-halloween-comforter-set-with-sheets-5-pieces-design-06</t>
        </is>
      </c>
      <c r="C76" s="2" t="inlineStr"/>
      <c r="D76" s="2" t="inlineStr">
        <is>
          <t>MAJOR</t>
        </is>
      </c>
      <c r="E76" s="2" t="inlineStr">
        <is>
          <t>description_proposed_html</t>
        </is>
      </c>
      <c r="F76" s="2"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t>
        </is>
      </c>
      <c r="G76" s="2" t="inlineStr">
        <is>
          <t>Draft contains SEO Use / QA approval wording.</t>
        </is>
      </c>
      <c r="H76" s="2" t="inlineStr">
        <is>
          <t>Internal workflow language is not publish-ready storefront copy.</t>
        </is>
      </c>
      <c r="I76" s="2" t="inlineStr">
        <is>
          <t>Remove internal QA/import block and replace with customer-facing verified copy.</t>
        </is>
      </c>
      <c r="J76" s="2" t="inlineStr">
        <is>
          <t>Draft contains SEO Use / QA approval wording.</t>
        </is>
      </c>
      <c r="K76" s="2" t="inlineStr">
        <is>
          <t>Description HTML no longer contains SEO Use, QA, approval, import or draft language.</t>
        </is>
      </c>
    </row>
    <row r="77" ht="84" customHeight="1">
      <c r="A77" s="3" t="inlineStr">
        <is>
          <t>ISSUE-0076</t>
        </is>
      </c>
      <c r="B77" s="3" t="inlineStr">
        <is>
          <t>jeminise.com+pamnest-twin-halloween-comforter-set-with-sheets-5-pieces-design-06</t>
        </is>
      </c>
      <c r="C77" s="3" t="inlineStr"/>
      <c r="D77" s="3" t="inlineStr">
        <is>
          <t>MAJOR</t>
        </is>
      </c>
      <c r="E77" s="3" t="inlineStr">
        <is>
          <t>h1_proposed</t>
        </is>
      </c>
      <c r="F77" s="3" t="inlineStr"/>
      <c r="G77" s="3" t="inlineStr">
        <is>
          <t>The submitted workbook row has no proposed H1.</t>
        </is>
      </c>
      <c r="H77" s="3" t="inlineStr">
        <is>
          <t>A publishable SEO title/H1 pair is incomplete when the H1 field is blank.</t>
        </is>
      </c>
      <c r="I77" s="3" t="inlineStr">
        <is>
          <t>Write one English H1 that matches the verified product type and visible design; do not copy unsupported claims.</t>
        </is>
      </c>
      <c r="J77" s="3" t="inlineStr">
        <is>
          <t>The submitted workbook row has no proposed H1.</t>
        </is>
      </c>
      <c r="K77" s="3" t="inlineStr">
        <is>
          <t>Workbook contains a non-empty H1 and it is consistent with title, primary keyword and live product evidence.</t>
        </is>
      </c>
    </row>
    <row r="78" ht="84" customHeight="1">
      <c r="A78" s="2" t="inlineStr">
        <is>
          <t>ISSUE-0077</t>
        </is>
      </c>
      <c r="B78" s="2" t="inlineStr">
        <is>
          <t>jeminise.com+pamnest-twin-halloween-comforter-set-with-sheets-5-pieces-design-06</t>
        </is>
      </c>
      <c r="C78" s="2" t="inlineStr"/>
      <c r="D78" s="2" t="inlineStr">
        <is>
          <t>MINOR</t>
        </is>
      </c>
      <c r="E78" s="2" t="inlineStr">
        <is>
          <t>meta_description_seo</t>
        </is>
      </c>
      <c r="F78" s="2" t="inlineStr">
        <is>
          <t>Shop a comforter set featuring white and red horror-style bedding with splatter graphics, handprints and deep red sheets. Review available sizes and set options before checkout.</t>
        </is>
      </c>
      <c r="G78" s="2" t="inlineStr">
        <is>
          <t>Meta description length is 177 characters.</t>
        </is>
      </c>
      <c r="H78" s="2" t="inlineStr">
        <is>
          <t>Likely to truncate in search results and repeats review/personality wording in several rows.</t>
        </is>
      </c>
      <c r="I78" s="2" t="inlineStr">
        <is>
          <t>Rewrite to roughly 145-155 characters while preserving verified design and product type.</t>
        </is>
      </c>
      <c r="J78" s="2" t="inlineStr">
        <is>
          <t>Meta description length is 177 characters.</t>
        </is>
      </c>
      <c r="K78" s="2" t="inlineStr">
        <is>
          <t>Length check &lt;=160 characters and no unsupported claim remains.</t>
        </is>
      </c>
    </row>
    <row r="79" ht="84" customHeight="1">
      <c r="A79" s="3" t="inlineStr">
        <is>
          <t>ISSUE-0078</t>
        </is>
      </c>
      <c r="B79" s="3" t="inlineStr">
        <is>
          <t>jeminise.com+pamnest-twin-halloween-comforter-set-with-sheets-5-pieces-design-06</t>
        </is>
      </c>
      <c r="C79" s="3" t="inlineStr"/>
      <c r="D79" s="3" t="inlineStr">
        <is>
          <t>LIMITATION</t>
        </is>
      </c>
      <c r="E79" s="3" t="inlineStr">
        <is>
          <t>keyword_evidence_level</t>
        </is>
      </c>
      <c r="F79" s="3" t="inlineStr">
        <is>
          <t>SERP_ONLY</t>
        </is>
      </c>
      <c r="G79" s="3" t="inlineStr">
        <is>
          <t>Only public SERP comparables are available.</t>
        </is>
      </c>
      <c r="H79" s="3" t="inlineStr">
        <is>
          <t>No Search Console, paid keyword volume or internal site search export was supplied.</t>
        </is>
      </c>
      <c r="I79" s="3" t="inlineStr">
        <is>
          <t>Keep demand statements qualitative; do not claim volume or ranking potential.</t>
        </is>
      </c>
      <c r="J79" s="3" t="inlineStr">
        <is>
          <t>Only public SERP comparables are available.</t>
        </is>
      </c>
      <c r="K79" s="3" t="inlineStr">
        <is>
          <t>Additional first-party or paid keyword evidence is attached, or limitation remains documented.</t>
        </is>
      </c>
    </row>
    <row r="80" ht="84" customHeight="1">
      <c r="A80" s="2" t="inlineStr">
        <is>
          <t>ISSUE-0079</t>
        </is>
      </c>
      <c r="B80" s="2" t="inlineStr">
        <is>
          <t>jeminise.com+pamnest-twin-halloween-comforter-set-with-sheets-5-pieces-design-06</t>
        </is>
      </c>
      <c r="C80" s="2" t="inlineStr">
        <is>
          <t>img_35d94528acc39338</t>
        </is>
      </c>
      <c r="D80" s="2" t="inlineStr">
        <is>
          <t>MINOR</t>
        </is>
      </c>
      <c r="E80" s="2" t="inlineStr">
        <is>
          <t>alt text</t>
        </is>
      </c>
      <c r="F80" s="2" t="inlineStr">
        <is>
          <t>Red Bloody Handprint Halloween Comforter Set displayed in a main product mockup</t>
        </is>
      </c>
      <c r="G80" s="2" t="inlineStr">
        <is>
          <t>Fresh image file: D:\Shopify_Workspace\jeminise_seo\seo_runs\jeminise.com\20260906_234129\qa\20260907_212312\images\169_01.jpg; source URL: https://cdn.shopify.com/s/files/1/0792/5098/1063/files/56881a19a51c01cc553fffe6fc20529fd559dd35981c52ef5bde9f745e19e0c6.jpg?v=1787936307</t>
        </is>
      </c>
      <c r="H80" s="2" t="inlineStr">
        <is>
          <t>Alt text is too generic or describes placement more than visible content.</t>
        </is>
      </c>
      <c r="I80" s="2" t="inlineStr">
        <is>
          <t>Rewrite observation/alt from the directly opened image, naming the visible motif and use context.</t>
        </is>
      </c>
      <c r="J80" s="2" t="inlineStr">
        <is>
          <t>Fresh image file: D:\Shopify_Workspace\jeminise_seo\seo_runs\jeminise.com\20260906_234129\qa\20260907_212312\images\169_01.jpg; source URL: https://cdn.shopify.com/s/files/1/0792/5098/1063/files/56881a19a51c01cc553fffe6fc20529fd559dd35981c52ef5bde9f745e19e0c6.jpg?v=1787936307</t>
        </is>
      </c>
      <c r="K80" s="2" t="inlineStr">
        <is>
          <t>The image row accurately describes the actual media at this gallery position.</t>
        </is>
      </c>
    </row>
    <row r="81" ht="84" customHeight="1">
      <c r="A81" s="3" t="inlineStr">
        <is>
          <t>ISSUE-0080</t>
        </is>
      </c>
      <c r="B81" s="3" t="inlineStr">
        <is>
          <t>jeminise.com+pamnest-twin-halloween-comforter-set-with-sheets-5-pieces-design-06</t>
        </is>
      </c>
      <c r="C81" s="3" t="inlineStr">
        <is>
          <t>img_a5acbfa809d8c02a</t>
        </is>
      </c>
      <c r="D81" s="3" t="inlineStr">
        <is>
          <t>MINOR</t>
        </is>
      </c>
      <c r="E81" s="3" t="inlineStr">
        <is>
          <t>image observation</t>
        </is>
      </c>
      <c r="F81" s="3" t="inlineStr">
        <is>
          <t>Bedding type, feature, lifestyle or material image for red bloody handprint Halloween comforter set.</t>
        </is>
      </c>
      <c r="G81" s="3" t="inlineStr">
        <is>
          <t>Fresh image file: D:\Shopify_Workspace\jeminise_seo\seo_runs\jeminise.com\20260906_234129\qa\20260907_212312\images\169_03.jpg; source URL: https://cdn.shopify.com/s/files/1/0792/5098/1063/files/14e0c414dcf8f732a3efcb85f1038b86f760c8561254aa5ccba8af1194c7a4b9.jpg?v=1787936307</t>
        </is>
      </c>
      <c r="H81" s="3" t="inlineStr">
        <is>
          <t>Observation is generic or position-based; rewrite from the actual image content.</t>
        </is>
      </c>
      <c r="I81" s="3" t="inlineStr">
        <is>
          <t>Rewrite observation/alt from the directly opened image, naming the visible motif and use context.</t>
        </is>
      </c>
      <c r="J81" s="3" t="inlineStr">
        <is>
          <t>Fresh image file: D:\Shopify_Workspace\jeminise_seo\seo_runs\jeminise.com\20260906_234129\qa\20260907_212312\images\169_03.jpg; source URL: https://cdn.shopify.com/s/files/1/0792/5098/1063/files/14e0c414dcf8f732a3efcb85f1038b86f760c8561254aa5ccba8af1194c7a4b9.jpg?v=1787936307</t>
        </is>
      </c>
      <c r="K81" s="3" t="inlineStr">
        <is>
          <t>The image row accurately describes the actual media at this gallery position.</t>
        </is>
      </c>
    </row>
    <row r="82" ht="84" customHeight="1">
      <c r="A82" s="2" t="inlineStr">
        <is>
          <t>ISSUE-0081</t>
        </is>
      </c>
      <c r="B82" s="2" t="inlineStr">
        <is>
          <t>jeminise.com+pamnest-twin-halloween-comforter-set-with-sheets-5-pieces-design-06</t>
        </is>
      </c>
      <c r="C82" s="2" t="inlineStr">
        <is>
          <t>img_c0d5bc796a75d91f</t>
        </is>
      </c>
      <c r="D82" s="2" t="inlineStr">
        <is>
          <t>MINOR</t>
        </is>
      </c>
      <c r="E82" s="2" t="inlineStr">
        <is>
          <t>image observation</t>
        </is>
      </c>
      <c r="F82" s="2" t="inlineStr">
        <is>
          <t>Detail, feature panel or lifestyle image connected to red bloody handprint Halloween comforter set.</t>
        </is>
      </c>
      <c r="G82" s="2" t="inlineStr">
        <is>
          <t>Fresh image file: D:\Shopify_Workspace\jeminise_seo\seo_runs\jeminise.com\20260906_234129\qa\20260907_212312\images\169_04.jpg; source URL: https://cdn.shopify.com/s/files/1/0792/5098/1063/files/60955256316c3a7bdd4e572c3f1101f8d5511e78a1d363f9d70104b52b193f71.jpg?v=1787936307</t>
        </is>
      </c>
      <c r="H82" s="2" t="inlineStr">
        <is>
          <t>Observation is generic or position-based; rewrite from the actual image content.</t>
        </is>
      </c>
      <c r="I82" s="2" t="inlineStr">
        <is>
          <t>Rewrite observation/alt from the directly opened image, naming the visible motif and use context.</t>
        </is>
      </c>
      <c r="J82" s="2" t="inlineStr">
        <is>
          <t>Fresh image file: D:\Shopify_Workspace\jeminise_seo\seo_runs\jeminise.com\20260906_234129\qa\20260907_212312\images\169_04.jpg; source URL: https://cdn.shopify.com/s/files/1/0792/5098/1063/files/60955256316c3a7bdd4e572c3f1101f8d5511e78a1d363f9d70104b52b193f71.jpg?v=1787936307</t>
        </is>
      </c>
      <c r="K82" s="2" t="inlineStr">
        <is>
          <t>The image row accurately describes the actual media at this gallery position.</t>
        </is>
      </c>
    </row>
    <row r="83" ht="84" customHeight="1">
      <c r="A83" s="3" t="inlineStr">
        <is>
          <t>ISSUE-0082</t>
        </is>
      </c>
      <c r="B83" s="3" t="inlineStr">
        <is>
          <t>jeminise.com+pamnest-twin-halloween-comforter-set-with-sheets-5-pieces-design-06</t>
        </is>
      </c>
      <c r="C83" s="3" t="inlineStr">
        <is>
          <t>img_65ea55de03874828</t>
        </is>
      </c>
      <c r="D83" s="3" t="inlineStr">
        <is>
          <t>MINOR</t>
        </is>
      </c>
      <c r="E83" s="3" t="inlineStr">
        <is>
          <t>image observation</t>
        </is>
      </c>
      <c r="F83" s="3" t="inlineStr">
        <is>
          <t>Easy-care, size guide or product feature image for red bloody handprint Halloween comforter set.</t>
        </is>
      </c>
      <c r="G83" s="3" t="inlineStr">
        <is>
          <t>Fresh image file: D:\Shopify_Workspace\jeminise_seo\seo_runs\jeminise.com\20260906_234129\qa\20260907_212312\images\169_06.jpg; source URL: https://cdn.shopify.com/s/files/1/0792/5098/1063/files/c704e78fea6b0af8659e3bb6318e69c7a083dd569ad0e78c293e9f2bb37a0b50.jpg?v=1787936307</t>
        </is>
      </c>
      <c r="H83" s="3" t="inlineStr">
        <is>
          <t>Observation is generic or position-based; rewrite from the actual image content.</t>
        </is>
      </c>
      <c r="I83" s="3" t="inlineStr">
        <is>
          <t>Rewrite observation/alt from the directly opened image, naming the visible motif and use context.</t>
        </is>
      </c>
      <c r="J83" s="3" t="inlineStr">
        <is>
          <t>Fresh image file: D:\Shopify_Workspace\jeminise_seo\seo_runs\jeminise.com\20260906_234129\qa\20260907_212312\images\169_06.jpg; source URL: https://cdn.shopify.com/s/files/1/0792/5098/1063/files/c704e78fea6b0af8659e3bb6318e69c7a083dd569ad0e78c293e9f2bb37a0b50.jpg?v=1787936307</t>
        </is>
      </c>
      <c r="K83" s="3" t="inlineStr">
        <is>
          <t>The image row accurately describes the actual media at this gallery position.</t>
        </is>
      </c>
    </row>
    <row r="84" ht="84" customHeight="1">
      <c r="A84" s="2" t="inlineStr">
        <is>
          <t>ISSUE-0083</t>
        </is>
      </c>
      <c r="B84" s="2" t="inlineStr">
        <is>
          <t>jeminise.com+pamnest-twin-halloween-comforter-set-with-sheets-5-pieces-design-06</t>
        </is>
      </c>
      <c r="C84" s="2" t="inlineStr">
        <is>
          <t>img_65ea55de03874828</t>
        </is>
      </c>
      <c r="D84" s="2" t="inlineStr">
        <is>
          <t>MINOR</t>
        </is>
      </c>
      <c r="E84" s="2" t="inlineStr">
        <is>
          <t>alt text</t>
        </is>
      </c>
      <c r="F84" s="2" t="inlineStr">
        <is>
          <t>Set contents and size chart image for Red Bloody Handprint Halloween Comforter Set</t>
        </is>
      </c>
      <c r="G84" s="2" t="inlineStr">
        <is>
          <t>Fresh image file: D:\Shopify_Workspace\jeminise_seo\seo_runs\jeminise.com\20260906_234129\qa\20260907_212312\images\169_06.jpg; source URL: https://cdn.shopify.com/s/files/1/0792/5098/1063/files/c704e78fea6b0af8659e3bb6318e69c7a083dd569ad0e78c293e9f2bb37a0b50.jpg?v=1787936307</t>
        </is>
      </c>
      <c r="H84" s="2" t="inlineStr">
        <is>
          <t>Alt text is too generic or describes placement more than visible content.</t>
        </is>
      </c>
      <c r="I84" s="2" t="inlineStr">
        <is>
          <t>Rewrite observation/alt from the directly opened image, naming the visible motif and use context.</t>
        </is>
      </c>
      <c r="J84" s="2" t="inlineStr">
        <is>
          <t>Fresh image file: D:\Shopify_Workspace\jeminise_seo\seo_runs\jeminise.com\20260906_234129\qa\20260907_212312\images\169_06.jpg; source URL: https://cdn.shopify.com/s/files/1/0792/5098/1063/files/c704e78fea6b0af8659e3bb6318e69c7a083dd569ad0e78c293e9f2bb37a0b50.jpg?v=1787936307</t>
        </is>
      </c>
      <c r="K84" s="2" t="inlineStr">
        <is>
          <t>The image row accurately describes the actual media at this gallery position.</t>
        </is>
      </c>
    </row>
    <row r="85" ht="84" customHeight="1">
      <c r="A85" s="3" t="inlineStr">
        <is>
          <t>ISSUE-0084</t>
        </is>
      </c>
      <c r="B85" s="3" t="inlineStr">
        <is>
          <t>jeminise.com+pamnest-twin-halloween-comforter-set-with-sheets-5-pieces-design-07</t>
        </is>
      </c>
      <c r="C85" s="3" t="inlineStr"/>
      <c r="D85" s="3" t="inlineStr">
        <is>
          <t>MAJOR</t>
        </is>
      </c>
      <c r="E85" s="3" t="inlineStr">
        <is>
          <t>description_proposed_html</t>
        </is>
      </c>
      <c r="F85" s="3"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t>
        </is>
      </c>
      <c r="G85" s="3" t="inlineStr">
        <is>
          <t>Draft contains SEO Use / QA approval wording.</t>
        </is>
      </c>
      <c r="H85" s="3" t="inlineStr">
        <is>
          <t>Internal workflow language is not publish-ready storefront copy.</t>
        </is>
      </c>
      <c r="I85" s="3" t="inlineStr">
        <is>
          <t>Remove internal QA/import block and replace with customer-facing verified copy.</t>
        </is>
      </c>
      <c r="J85" s="3" t="inlineStr">
        <is>
          <t>Draft contains SEO Use / QA approval wording.</t>
        </is>
      </c>
      <c r="K85" s="3" t="inlineStr">
        <is>
          <t>Description HTML no longer contains SEO Use, QA, approval, import or draft language.</t>
        </is>
      </c>
    </row>
    <row r="86" ht="84" customHeight="1">
      <c r="A86" s="2" t="inlineStr">
        <is>
          <t>ISSUE-0085</t>
        </is>
      </c>
      <c r="B86" s="2" t="inlineStr">
        <is>
          <t>jeminise.com+pamnest-twin-halloween-comforter-set-with-sheets-5-pieces-design-07</t>
        </is>
      </c>
      <c r="C86" s="2" t="inlineStr"/>
      <c r="D86" s="2" t="inlineStr">
        <is>
          <t>MAJOR</t>
        </is>
      </c>
      <c r="E86" s="2" t="inlineStr">
        <is>
          <t>h1_proposed</t>
        </is>
      </c>
      <c r="F86" s="2" t="inlineStr"/>
      <c r="G86" s="2" t="inlineStr">
        <is>
          <t>The submitted workbook row has no proposed H1.</t>
        </is>
      </c>
      <c r="H86" s="2" t="inlineStr">
        <is>
          <t>A publishable SEO title/H1 pair is incomplete when the H1 field is blank.</t>
        </is>
      </c>
      <c r="I86" s="2" t="inlineStr">
        <is>
          <t>Write one English H1 that matches the verified product type and visible design; do not copy unsupported claims.</t>
        </is>
      </c>
      <c r="J86" s="2" t="inlineStr">
        <is>
          <t>The submitted workbook row has no proposed H1.</t>
        </is>
      </c>
      <c r="K86" s="2" t="inlineStr">
        <is>
          <t>Workbook contains a non-empty H1 and it is consistent with title, primary keyword and live product evidence.</t>
        </is>
      </c>
    </row>
    <row r="87" ht="84" customHeight="1">
      <c r="A87" s="3" t="inlineStr">
        <is>
          <t>ISSUE-0086</t>
        </is>
      </c>
      <c r="B87" s="3" t="inlineStr">
        <is>
          <t>jeminise.com+pamnest-twin-halloween-comforter-set-with-sheets-5-pieces-design-07</t>
        </is>
      </c>
      <c r="C87" s="3" t="inlineStr"/>
      <c r="D87" s="3" t="inlineStr">
        <is>
          <t>MINOR</t>
        </is>
      </c>
      <c r="E87" s="3" t="inlineStr">
        <is>
          <t>meta_description_seo</t>
        </is>
      </c>
      <c r="F87" s="3" t="inlineStr">
        <is>
          <t>Shop a comforter set featuring white Halloween bedding with haunted houses, pumpkins, black cats, bare trees, spiderwebs and rust orange sheets. Review available sizes and set options before checkout.</t>
        </is>
      </c>
      <c r="G87" s="3" t="inlineStr">
        <is>
          <t>Meta description length is 200 characters.</t>
        </is>
      </c>
      <c r="H87" s="3" t="inlineStr">
        <is>
          <t>Likely to truncate in search results and repeats review/personality wording in several rows.</t>
        </is>
      </c>
      <c r="I87" s="3" t="inlineStr">
        <is>
          <t>Rewrite to roughly 145-155 characters while preserving verified design and product type.</t>
        </is>
      </c>
      <c r="J87" s="3" t="inlineStr">
        <is>
          <t>Meta description length is 200 characters.</t>
        </is>
      </c>
      <c r="K87" s="3" t="inlineStr">
        <is>
          <t>Length check &lt;=160 characters and no unsupported claim remains.</t>
        </is>
      </c>
    </row>
    <row r="88" ht="84" customHeight="1">
      <c r="A88" s="2" t="inlineStr">
        <is>
          <t>ISSUE-0087</t>
        </is>
      </c>
      <c r="B88" s="2" t="inlineStr">
        <is>
          <t>jeminise.com+pamnest-twin-halloween-comforter-set-with-sheets-5-pieces-design-07</t>
        </is>
      </c>
      <c r="C88" s="2" t="inlineStr"/>
      <c r="D88" s="2" t="inlineStr">
        <is>
          <t>LIMITATION</t>
        </is>
      </c>
      <c r="E88" s="2" t="inlineStr">
        <is>
          <t>keyword_evidence_level</t>
        </is>
      </c>
      <c r="F88" s="2" t="inlineStr">
        <is>
          <t>SERP_ONLY</t>
        </is>
      </c>
      <c r="G88" s="2" t="inlineStr">
        <is>
          <t>Only public SERP comparables are available.</t>
        </is>
      </c>
      <c r="H88" s="2" t="inlineStr">
        <is>
          <t>No Search Console, paid keyword volume or internal site search export was supplied.</t>
        </is>
      </c>
      <c r="I88" s="2" t="inlineStr">
        <is>
          <t>Keep demand statements qualitative; do not claim volume or ranking potential.</t>
        </is>
      </c>
      <c r="J88" s="2" t="inlineStr">
        <is>
          <t>Only public SERP comparables are available.</t>
        </is>
      </c>
      <c r="K88" s="2" t="inlineStr">
        <is>
          <t>Additional first-party or paid keyword evidence is attached, or limitation remains documented.</t>
        </is>
      </c>
    </row>
    <row r="89" ht="84" customHeight="1">
      <c r="A89" s="3" t="inlineStr">
        <is>
          <t>ISSUE-0088</t>
        </is>
      </c>
      <c r="B89" s="3" t="inlineStr">
        <is>
          <t>jeminise.com+pamnest-twin-halloween-comforter-set-with-sheets-5-pieces-design-07</t>
        </is>
      </c>
      <c r="C89" s="3" t="inlineStr">
        <is>
          <t>img_9356d2ce7bad1793</t>
        </is>
      </c>
      <c r="D89" s="3" t="inlineStr">
        <is>
          <t>MINOR</t>
        </is>
      </c>
      <c r="E89" s="3" t="inlineStr">
        <is>
          <t>alt text</t>
        </is>
      </c>
      <c r="F89" s="3" t="inlineStr">
        <is>
          <t>White Haunted House Pumpkin Comforter Set displayed in a main product mockup</t>
        </is>
      </c>
      <c r="G89" s="3" t="inlineStr">
        <is>
          <t>Fresh image file: D:\Shopify_Workspace\jeminise_seo\seo_runs\jeminise.com\20260906_234129\qa\20260907_212312\images\170_01.jpg; source URL: https://cdn.shopify.com/s/files/1/0792/5098/1063/files/feceab1269e0c41029cfcb73e8317439de8337d84336b09e87d52e7744326f5e.jpg?v=1787936313</t>
        </is>
      </c>
      <c r="H89" s="3" t="inlineStr">
        <is>
          <t>Alt text is too generic or describes placement more than visible content.</t>
        </is>
      </c>
      <c r="I89" s="3" t="inlineStr">
        <is>
          <t>Rewrite observation/alt from the directly opened image, naming the visible motif and use context.</t>
        </is>
      </c>
      <c r="J89" s="3" t="inlineStr">
        <is>
          <t>Fresh image file: D:\Shopify_Workspace\jeminise_seo\seo_runs\jeminise.com\20260906_234129\qa\20260907_212312\images\170_01.jpg; source URL: https://cdn.shopify.com/s/files/1/0792/5098/1063/files/feceab1269e0c41029cfcb73e8317439de8337d84336b09e87d52e7744326f5e.jpg?v=1787936313</t>
        </is>
      </c>
      <c r="K89" s="3" t="inlineStr">
        <is>
          <t>The image row accurately describes the actual media at this gallery position.</t>
        </is>
      </c>
    </row>
    <row r="90" ht="84" customHeight="1">
      <c r="A90" s="2" t="inlineStr">
        <is>
          <t>ISSUE-0089</t>
        </is>
      </c>
      <c r="B90" s="2" t="inlineStr">
        <is>
          <t>jeminise.com+pamnest-twin-halloween-comforter-set-with-sheets-5-pieces-design-07</t>
        </is>
      </c>
      <c r="C90" s="2" t="inlineStr">
        <is>
          <t>img_0bf2807db76246ec</t>
        </is>
      </c>
      <c r="D90" s="2" t="inlineStr">
        <is>
          <t>MINOR</t>
        </is>
      </c>
      <c r="E90" s="2" t="inlineStr">
        <is>
          <t>image observation</t>
        </is>
      </c>
      <c r="F90" s="2" t="inlineStr">
        <is>
          <t>Bedding type, feature, lifestyle or material image for white haunted house pumpkin Halloween comforter set.</t>
        </is>
      </c>
      <c r="G90" s="2" t="inlineStr">
        <is>
          <t>Fresh image file: D:\Shopify_Workspace\jeminise_seo\seo_runs\jeminise.com\20260906_234129\qa\20260907_212312\images\170_03.jpg; source URL: https://cdn.shopify.com/s/files/1/0792/5098/1063/files/d15de982cf49c61d63dcb3e70a085c7480d7757447c46dfe1f4e360681c9f501.jpg?v=1787936313</t>
        </is>
      </c>
      <c r="H90" s="2" t="inlineStr">
        <is>
          <t>Observation is generic or position-based; rewrite from the actual image content.</t>
        </is>
      </c>
      <c r="I90" s="2" t="inlineStr">
        <is>
          <t>Rewrite observation/alt from the directly opened image, naming the visible motif and use context.</t>
        </is>
      </c>
      <c r="J90" s="2" t="inlineStr">
        <is>
          <t>Fresh image file: D:\Shopify_Workspace\jeminise_seo\seo_runs\jeminise.com\20260906_234129\qa\20260907_212312\images\170_03.jpg; source URL: https://cdn.shopify.com/s/files/1/0792/5098/1063/files/d15de982cf49c61d63dcb3e70a085c7480d7757447c46dfe1f4e360681c9f501.jpg?v=1787936313</t>
        </is>
      </c>
      <c r="K90" s="2" t="inlineStr">
        <is>
          <t>The image row accurately describes the actual media at this gallery position.</t>
        </is>
      </c>
    </row>
    <row r="91" ht="84" customHeight="1">
      <c r="A91" s="3" t="inlineStr">
        <is>
          <t>ISSUE-0090</t>
        </is>
      </c>
      <c r="B91" s="3" t="inlineStr">
        <is>
          <t>jeminise.com+pamnest-twin-halloween-comforter-set-with-sheets-5-pieces-design-07</t>
        </is>
      </c>
      <c r="C91" s="3" t="inlineStr">
        <is>
          <t>img_44dde367352679f8</t>
        </is>
      </c>
      <c r="D91" s="3" t="inlineStr">
        <is>
          <t>MINOR</t>
        </is>
      </c>
      <c r="E91" s="3" t="inlineStr">
        <is>
          <t>image observation</t>
        </is>
      </c>
      <c r="F91" s="3" t="inlineStr">
        <is>
          <t>Detail, feature panel or lifestyle image connected to white haunted house pumpkin Halloween comforter set.</t>
        </is>
      </c>
      <c r="G91" s="3" t="inlineStr">
        <is>
          <t>Fresh image file: D:\Shopify_Workspace\jeminise_seo\seo_runs\jeminise.com\20260906_234129\qa\20260907_212312\images\170_04.jpg; source URL: https://cdn.shopify.com/s/files/1/0792/5098/1063/files/30ac2af2067079c32aee59f6826a158fdef74dbd36e4a379b1f3dad211c0c404.jpg?v=1787936313</t>
        </is>
      </c>
      <c r="H91" s="3" t="inlineStr">
        <is>
          <t>Observation is generic or position-based; rewrite from the actual image content.</t>
        </is>
      </c>
      <c r="I91" s="3" t="inlineStr">
        <is>
          <t>Rewrite observation/alt from the directly opened image, naming the visible motif and use context.</t>
        </is>
      </c>
      <c r="J91" s="3" t="inlineStr">
        <is>
          <t>Fresh image file: D:\Shopify_Workspace\jeminise_seo\seo_runs\jeminise.com\20260906_234129\qa\20260907_212312\images\170_04.jpg; source URL: https://cdn.shopify.com/s/files/1/0792/5098/1063/files/30ac2af2067079c32aee59f6826a158fdef74dbd36e4a379b1f3dad211c0c404.jpg?v=1787936313</t>
        </is>
      </c>
      <c r="K91" s="3" t="inlineStr">
        <is>
          <t>The image row accurately describes the actual media at this gallery position.</t>
        </is>
      </c>
    </row>
    <row r="92" ht="84" customHeight="1">
      <c r="A92" s="2" t="inlineStr">
        <is>
          <t>ISSUE-0091</t>
        </is>
      </c>
      <c r="B92" s="2" t="inlineStr">
        <is>
          <t>jeminise.com+pamnest-twin-halloween-comforter-set-with-sheets-5-pieces-design-07</t>
        </is>
      </c>
      <c r="C92" s="2" t="inlineStr">
        <is>
          <t>img_ef6bb6e803199e76</t>
        </is>
      </c>
      <c r="D92" s="2" t="inlineStr">
        <is>
          <t>MINOR</t>
        </is>
      </c>
      <c r="E92" s="2" t="inlineStr">
        <is>
          <t>image observation</t>
        </is>
      </c>
      <c r="F92" s="2" t="inlineStr">
        <is>
          <t>Easy-care, size guide or product feature image for white haunted house pumpkin Halloween comforter set.</t>
        </is>
      </c>
      <c r="G92" s="2" t="inlineStr">
        <is>
          <t>Fresh image file: D:\Shopify_Workspace\jeminise_seo\seo_runs\jeminise.com\20260906_234129\qa\20260907_212312\images\170_06.jpg; source URL: https://cdn.shopify.com/s/files/1/0792/5098/1063/files/3e227101e2e9c24d641f1ea4dd5f5e1cb8ef75e8fe6c70b298e93002e2905f25.jpg?v=1787936313</t>
        </is>
      </c>
      <c r="H92" s="2" t="inlineStr">
        <is>
          <t>Observation is generic or position-based; rewrite from the actual image content.</t>
        </is>
      </c>
      <c r="I92" s="2" t="inlineStr">
        <is>
          <t>Rewrite observation/alt from the directly opened image, naming the visible motif and use context.</t>
        </is>
      </c>
      <c r="J92" s="2" t="inlineStr">
        <is>
          <t>Fresh image file: D:\Shopify_Workspace\jeminise_seo\seo_runs\jeminise.com\20260906_234129\qa\20260907_212312\images\170_06.jpg; source URL: https://cdn.shopify.com/s/files/1/0792/5098/1063/files/3e227101e2e9c24d641f1ea4dd5f5e1cb8ef75e8fe6c70b298e93002e2905f25.jpg?v=1787936313</t>
        </is>
      </c>
      <c r="K92" s="2" t="inlineStr">
        <is>
          <t>The image row accurately describes the actual media at this gallery position.</t>
        </is>
      </c>
    </row>
    <row r="93" ht="84" customHeight="1">
      <c r="A93" s="3" t="inlineStr">
        <is>
          <t>ISSUE-0092</t>
        </is>
      </c>
      <c r="B93" s="3" t="inlineStr">
        <is>
          <t>jeminise.com+pamnest-twin-halloween-comforter-set-with-sheets-5-pieces-design-07</t>
        </is>
      </c>
      <c r="C93" s="3" t="inlineStr">
        <is>
          <t>img_ef6bb6e803199e76</t>
        </is>
      </c>
      <c r="D93" s="3" t="inlineStr">
        <is>
          <t>MINOR</t>
        </is>
      </c>
      <c r="E93" s="3" t="inlineStr">
        <is>
          <t>alt text</t>
        </is>
      </c>
      <c r="F93" s="3" t="inlineStr">
        <is>
          <t>Set contents and size chart image for White Haunted House Pumpkin Comforter Set</t>
        </is>
      </c>
      <c r="G93" s="3" t="inlineStr">
        <is>
          <t>Fresh image file: D:\Shopify_Workspace\jeminise_seo\seo_runs\jeminise.com\20260906_234129\qa\20260907_212312\images\170_06.jpg; source URL: https://cdn.shopify.com/s/files/1/0792/5098/1063/files/3e227101e2e9c24d641f1ea4dd5f5e1cb8ef75e8fe6c70b298e93002e2905f25.jpg?v=1787936313</t>
        </is>
      </c>
      <c r="H93" s="3" t="inlineStr">
        <is>
          <t>Alt text is too generic or describes placement more than visible content.</t>
        </is>
      </c>
      <c r="I93" s="3" t="inlineStr">
        <is>
          <t>Rewrite observation/alt from the directly opened image, naming the visible motif and use context.</t>
        </is>
      </c>
      <c r="J93" s="3" t="inlineStr">
        <is>
          <t>Fresh image file: D:\Shopify_Workspace\jeminise_seo\seo_runs\jeminise.com\20260906_234129\qa\20260907_212312\images\170_06.jpg; source URL: https://cdn.shopify.com/s/files/1/0792/5098/1063/files/3e227101e2e9c24d641f1ea4dd5f5e1cb8ef75e8fe6c70b298e93002e2905f25.jpg?v=1787936313</t>
        </is>
      </c>
      <c r="K93" s="3" t="inlineStr">
        <is>
          <t>The image row accurately describes the actual media at this gallery position.</t>
        </is>
      </c>
    </row>
  </sheetData>
  <autoFilter ref="A1:K93"/>
  <conditionalFormatting sqref="D2:D93">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2026-09-07T14:30:39Z</dcterms:created>
  <dcterms:modified xmlns:dcterms="http://purl.org/dc/terms/" xmlns:xsi="http://www.w3.org/2001/XMLSchema-instance" xsi:type="dcterms:W3CDTF">2026-09-07T14:30:39Z</dcterms:modified>
</cp:coreProperties>
</file>