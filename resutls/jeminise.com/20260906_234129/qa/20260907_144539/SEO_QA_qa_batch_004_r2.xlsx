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'QA_Summary'!$A$1:$C$14</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'QA_Images'!$A$1:$Z$63</definedName>
    <definedName name="_xlnm.Print_Titles" localSheetId="3">'QA_Images'!$1:$1</definedName>
    <definedName name="_xlnm._FilterDatabase" localSheetId="4" hidden="1">'QA_Issues'!$A$1:$K$52</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hristmas-cardinals-near-snowy-birdhouse-patchwork-floral-quilt-b90d55a935-b90d55a935" TargetMode="External" Id="rId1"/><Relationship Type="http://schemas.openxmlformats.org/officeDocument/2006/relationships/hyperlink" Target="https://jeminise.com/products/christmas-cardinals-on-snowy-branches-patchwork-winter-quilt-8fa1a9e2ed-8fa1a9e2ed" TargetMode="External" Id="rId2"/><Relationship Type="http://schemas.openxmlformats.org/officeDocument/2006/relationships/hyperlink" Target="https://jeminise.com/products/cow-with-landscape-patchwork-quilt-animal-farmhouse-printed-quilt-set" TargetMode="External" Id="rId3"/><Relationship Type="http://schemas.openxmlformats.org/officeDocument/2006/relationships/hyperlink" Target="https://jeminise.com/products/crocodile-patchwork-printed-quilts-animal-patchwork-bedding" TargetMode="External" Id="rId4"/><Relationship Type="http://schemas.openxmlformats.org/officeDocument/2006/relationships/hyperlink" Target="https://jeminise.com/products/custom-retro-football-art-bedding-set-c66211cf75-c66211cf75" TargetMode="External" Id="rId5"/><Relationship Type="http://schemas.openxmlformats.org/officeDocument/2006/relationships/hyperlink" Target="https://jeminise.com/products/custom-american-football-close-up-on-grunge-vintage-comforter-26540e3264-26540e3264" TargetMode="External" Id="rId6"/><Relationship Type="http://schemas.openxmlformats.org/officeDocument/2006/relationships/hyperlink" Target="https://jeminise.com/products/custom-american-football-on-cosmic-background-vintage-comforter-62a3849621-62a3849621" TargetMode="External" Id="rId7"/><Relationship Type="http://schemas.openxmlformats.org/officeDocument/2006/relationships/hyperlink" Target="https://jeminise.com/products/custom-american-football-on-usa-flag-background-comforter-703a7c0d82-703a7c0d82" TargetMode="External" Id="rId8"/><Relationship Type="http://schemas.openxmlformats.org/officeDocument/2006/relationships/hyperlink" Target="https://jeminise.com/products/custom-american-football-with-paint-splash-background-vintage-comforter-da0e1d5bf1-da0e1d5bf1" TargetMode="External" Id="rId9"/><Relationship Type="http://schemas.openxmlformats.org/officeDocument/2006/relationships/hyperlink" Target="https://jeminise.com/products/custom-american-football-with-patriotic-flag-comforter-4a3a1ed3c9-4a3a1ed3c9"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cefa39b8e586dae0db27829a045f8d696721e4c0e044144b214323829fbee46b.jpg?v=1785099259" TargetMode="External" Id="rId1"/><Relationship Type="http://schemas.openxmlformats.org/officeDocument/2006/relationships/hyperlink" Target="https://cdn.shopify.com/s/files/1/0792/5098/1063/files/cefa39b8e586dae0db27829a045f8d696721e4c0e044144b214323829fbee46b.jpg?v=1785099259" TargetMode="External" Id="rId2"/><Relationship Type="http://schemas.openxmlformats.org/officeDocument/2006/relationships/hyperlink" Target="https://cdn.shopify.com/s/files/1/0792/5098/1063/files/817cf504495341989c34e5153f75779357b3dd16c9af88d5e8f16bf5cdd1d8a4.jpg?v=1785099259" TargetMode="External" Id="rId3"/><Relationship Type="http://schemas.openxmlformats.org/officeDocument/2006/relationships/hyperlink" Target="https://cdn.shopify.com/s/files/1/0792/5098/1063/files/817cf504495341989c34e5153f75779357b3dd16c9af88d5e8f16bf5cdd1d8a4.jpg?v=1785099259" TargetMode="External" Id="rId4"/><Relationship Type="http://schemas.openxmlformats.org/officeDocument/2006/relationships/hyperlink" Target="https://cdn.shopify.com/s/files/1/0792/5098/1063/files/192d8a6eed2602b9a36fbbd7936b0d70ef3680e4dd38270f22af78ba5c23bb4a.jpg?v=1785099259" TargetMode="External" Id="rId5"/><Relationship Type="http://schemas.openxmlformats.org/officeDocument/2006/relationships/hyperlink" Target="https://cdn.shopify.com/s/files/1/0792/5098/1063/files/192d8a6eed2602b9a36fbbd7936b0d70ef3680e4dd38270f22af78ba5c23bb4a.jpg?v=1785099259" TargetMode="External" Id="rId6"/><Relationship Type="http://schemas.openxmlformats.org/officeDocument/2006/relationships/hyperlink" Target="https://cdn.shopify.com/s/files/1/0792/5098/1063/files/a5f492aee10aae43511cc5e9a46710cc38afe374b23731941e7748005cf44564.jpg?v=1785099259" TargetMode="External" Id="rId7"/><Relationship Type="http://schemas.openxmlformats.org/officeDocument/2006/relationships/hyperlink" Target="https://cdn.shopify.com/s/files/1/0792/5098/1063/files/a5f492aee10aae43511cc5e9a46710cc38afe374b23731941e7748005cf44564.jpg?v=1785099259" TargetMode="External" Id="rId8"/><Relationship Type="http://schemas.openxmlformats.org/officeDocument/2006/relationships/hyperlink" Target="https://cdn.shopify.com/s/files/1/0792/5098/1063/files/578ac27946027e8e5ec1b6c4efdccc50d46e3d6182eed1ca0e62799fb3b416fd.jpg?v=1785099259" TargetMode="External" Id="rId9"/><Relationship Type="http://schemas.openxmlformats.org/officeDocument/2006/relationships/hyperlink" Target="https://cdn.shopify.com/s/files/1/0792/5098/1063/files/578ac27946027e8e5ec1b6c4efdccc50d46e3d6182eed1ca0e62799fb3b416fd.jpg?v=1785099259" TargetMode="External" Id="rId10"/><Relationship Type="http://schemas.openxmlformats.org/officeDocument/2006/relationships/hyperlink" Target="https://cdn.shopify.com/s/files/1/0792/5098/1063/files/17b3827a8c3b4dbbd608b08c3534148427ac4397354f3f0fe053ed23086269e8.jpg?v=1785099259" TargetMode="External" Id="rId11"/><Relationship Type="http://schemas.openxmlformats.org/officeDocument/2006/relationships/hyperlink" Target="https://cdn.shopify.com/s/files/1/0792/5098/1063/files/17b3827a8c3b4dbbd608b08c3534148427ac4397354f3f0fe053ed23086269e8.jpg?v=1785099259" TargetMode="External" Id="rId12"/><Relationship Type="http://schemas.openxmlformats.org/officeDocument/2006/relationships/hyperlink" Target="https://cdn.shopify.com/s/files/1/0792/5098/1063/files/24dc7edea95f70726f65b933a6f8c4826cdc3c896050c2c5109926d64325dd21.jpg?v=1785099258" TargetMode="External" Id="rId13"/><Relationship Type="http://schemas.openxmlformats.org/officeDocument/2006/relationships/hyperlink" Target="https://cdn.shopify.com/s/files/1/0792/5098/1063/files/24dc7edea95f70726f65b933a6f8c4826cdc3c896050c2c5109926d64325dd21.jpg?v=1785099258" TargetMode="External" Id="rId14"/><Relationship Type="http://schemas.openxmlformats.org/officeDocument/2006/relationships/hyperlink" Target="https://cdn.shopify.com/s/files/1/0792/5098/1063/files/dac06806abe736aaddf0257ef47ee3581ffb682f1ee70078a493eb9381b34f9f.jpg?v=1785098963" TargetMode="External" Id="rId15"/><Relationship Type="http://schemas.openxmlformats.org/officeDocument/2006/relationships/hyperlink" Target="https://cdn.shopify.com/s/files/1/0792/5098/1063/files/dac06806abe736aaddf0257ef47ee3581ffb682f1ee70078a493eb9381b34f9f.jpg?v=1785098963" TargetMode="External" Id="rId16"/><Relationship Type="http://schemas.openxmlformats.org/officeDocument/2006/relationships/hyperlink" Target="https://cdn.shopify.com/s/files/1/0792/5098/1063/files/ab7e4f9484e52e83891e552e58d6a27e151a62e654a01667625d8c86bd6a3295.jpg?v=1785098963" TargetMode="External" Id="rId17"/><Relationship Type="http://schemas.openxmlformats.org/officeDocument/2006/relationships/hyperlink" Target="https://cdn.shopify.com/s/files/1/0792/5098/1063/files/ab7e4f9484e52e83891e552e58d6a27e151a62e654a01667625d8c86bd6a3295.jpg?v=1785098963" TargetMode="External" Id="rId18"/><Relationship Type="http://schemas.openxmlformats.org/officeDocument/2006/relationships/hyperlink" Target="https://cdn.shopify.com/s/files/1/0792/5098/1063/files/af11f2e375dabf355f9318fb1eea3b312db7cd0ed95fb4b96e7b537d184a9d42.jpg?v=1785098963" TargetMode="External" Id="rId19"/><Relationship Type="http://schemas.openxmlformats.org/officeDocument/2006/relationships/hyperlink" Target="https://cdn.shopify.com/s/files/1/0792/5098/1063/files/af11f2e375dabf355f9318fb1eea3b312db7cd0ed95fb4b96e7b537d184a9d42.jpg?v=1785098963" TargetMode="External" Id="rId20"/><Relationship Type="http://schemas.openxmlformats.org/officeDocument/2006/relationships/hyperlink" Target="https://cdn.shopify.com/s/files/1/0792/5098/1063/files/f940efaf872da7294b0ec99795596430c32c922db66b35243684820e65417fb3.jpg?v=1785098963" TargetMode="External" Id="rId21"/><Relationship Type="http://schemas.openxmlformats.org/officeDocument/2006/relationships/hyperlink" Target="https://cdn.shopify.com/s/files/1/0792/5098/1063/files/f940efaf872da7294b0ec99795596430c32c922db66b35243684820e65417fb3.jpg?v=1785098963" TargetMode="External" Id="rId22"/><Relationship Type="http://schemas.openxmlformats.org/officeDocument/2006/relationships/hyperlink" Target="https://cdn.shopify.com/s/files/1/0792/5098/1063/files/e0cc67382e14f285ae5b93b57a9e0bfb1a6da6368549d710aed5a534af0f3e89.jpg?v=1785098963" TargetMode="External" Id="rId23"/><Relationship Type="http://schemas.openxmlformats.org/officeDocument/2006/relationships/hyperlink" Target="https://cdn.shopify.com/s/files/1/0792/5098/1063/files/e0cc67382e14f285ae5b93b57a9e0bfb1a6da6368549d710aed5a534af0f3e89.jpg?v=1785098963" TargetMode="External" Id="rId24"/><Relationship Type="http://schemas.openxmlformats.org/officeDocument/2006/relationships/hyperlink" Target="https://cdn.shopify.com/s/files/1/0792/5098/1063/files/c125a162b81ac7a0917f20a9f0ef6de99ea1d1287c4b81750b47673eae384743.jpg?v=1787233735" TargetMode="External" Id="rId25"/><Relationship Type="http://schemas.openxmlformats.org/officeDocument/2006/relationships/hyperlink" Target="https://cdn.shopify.com/s/files/1/0792/5098/1063/files/c125a162b81ac7a0917f20a9f0ef6de99ea1d1287c4b81750b47673eae384743.jpg?v=1787233735" TargetMode="External" Id="rId26"/><Relationship Type="http://schemas.openxmlformats.org/officeDocument/2006/relationships/hyperlink" Target="https://cdn.shopify.com/s/files/1/0792/5098/1063/files/7a88284bac324abbd9e85d02486e08e699c97d58643e1069e6adbbc0aaa005b3.jpg?v=1787233735" TargetMode="External" Id="rId27"/><Relationship Type="http://schemas.openxmlformats.org/officeDocument/2006/relationships/hyperlink" Target="https://cdn.shopify.com/s/files/1/0792/5098/1063/files/7a88284bac324abbd9e85d02486e08e699c97d58643e1069e6adbbc0aaa005b3.jpg?v=1787233735" TargetMode="External" Id="rId28"/><Relationship Type="http://schemas.openxmlformats.org/officeDocument/2006/relationships/hyperlink" Target="https://cdn.shopify.com/s/files/1/0792/5098/1063/files/f32a0ab9ff68ed03ce7eeb22aba59688cf62bd847260ddb6328da301eba420f1.jpg?v=1787233735" TargetMode="External" Id="rId29"/><Relationship Type="http://schemas.openxmlformats.org/officeDocument/2006/relationships/hyperlink" Target="https://cdn.shopify.com/s/files/1/0792/5098/1063/files/f32a0ab9ff68ed03ce7eeb22aba59688cf62bd847260ddb6328da301eba420f1.jpg?v=1787233735" TargetMode="External" Id="rId30"/><Relationship Type="http://schemas.openxmlformats.org/officeDocument/2006/relationships/hyperlink" Target="https://cdn.shopify.com/s/files/1/0792/5098/1063/files/1bbca18f85bad17a4319e22b1226d6662eb2bab7b67726b2423904e5d0e36838.jpg?v=1787233735" TargetMode="External" Id="rId31"/><Relationship Type="http://schemas.openxmlformats.org/officeDocument/2006/relationships/hyperlink" Target="https://cdn.shopify.com/s/files/1/0792/5098/1063/files/1bbca18f85bad17a4319e22b1226d6662eb2bab7b67726b2423904e5d0e36838.jpg?v=1787233735" TargetMode="External" Id="rId32"/><Relationship Type="http://schemas.openxmlformats.org/officeDocument/2006/relationships/hyperlink" Target="https://cdn.shopify.com/s/files/1/0792/5098/1063/files/32dcd15df2916d5b1b8d8d68f2f607c4714e8c2431775c9aca2dfd45240abd6f.jpg?v=1787233735" TargetMode="External" Id="rId33"/><Relationship Type="http://schemas.openxmlformats.org/officeDocument/2006/relationships/hyperlink" Target="https://cdn.shopify.com/s/files/1/0792/5098/1063/files/32dcd15df2916d5b1b8d8d68f2f607c4714e8c2431775c9aca2dfd45240abd6f.jpg?v=1787233735" TargetMode="External" Id="rId34"/><Relationship Type="http://schemas.openxmlformats.org/officeDocument/2006/relationships/hyperlink" Target="https://cdn.shopify.com/s/files/1/0792/5098/1063/files/dc70b03e88939e50ced310aa559c8361dac40ba03af7d4e5a16ecc0308756e3b.jpg?v=1787233735" TargetMode="External" Id="rId35"/><Relationship Type="http://schemas.openxmlformats.org/officeDocument/2006/relationships/hyperlink" Target="https://cdn.shopify.com/s/files/1/0792/5098/1063/files/dc70b03e88939e50ced310aa559c8361dac40ba03af7d4e5a16ecc0308756e3b.jpg?v=1787233735" TargetMode="External" Id="rId36"/><Relationship Type="http://schemas.openxmlformats.org/officeDocument/2006/relationships/hyperlink" Target="https://cdn.shopify.com/s/files/1/0792/5098/1063/files/c37475656bf98ea019e9e9887fa4be4c65af24e59e440b0e459561c573680aa0.jpg?v=1787233735" TargetMode="External" Id="rId37"/><Relationship Type="http://schemas.openxmlformats.org/officeDocument/2006/relationships/hyperlink" Target="https://cdn.shopify.com/s/files/1/0792/5098/1063/files/c37475656bf98ea019e9e9887fa4be4c65af24e59e440b0e459561c573680aa0.jpg?v=1787233735" TargetMode="External" Id="rId38"/><Relationship Type="http://schemas.openxmlformats.org/officeDocument/2006/relationships/hyperlink" Target="https://cdn.shopify.com/s/files/1/0792/5098/1063/files/3c7bf8f759fde9a601188dc9ea3bfb0f79f2706824b7f370fe34e30020f2a202.jpg?v=1787233713" TargetMode="External" Id="rId39"/><Relationship Type="http://schemas.openxmlformats.org/officeDocument/2006/relationships/hyperlink" Target="https://cdn.shopify.com/s/files/1/0792/5098/1063/files/3c7bf8f759fde9a601188dc9ea3bfb0f79f2706824b7f370fe34e30020f2a202.jpg?v=1787233713" TargetMode="External" Id="rId40"/><Relationship Type="http://schemas.openxmlformats.org/officeDocument/2006/relationships/hyperlink" Target="https://cdn.shopify.com/s/files/1/0792/5098/1063/files/45d1fdc812fc32fda9640edc194f4f3eb069b49c9bad423b59abfe172e4a5c89.jpg?v=1787233712" TargetMode="External" Id="rId41"/><Relationship Type="http://schemas.openxmlformats.org/officeDocument/2006/relationships/hyperlink" Target="https://cdn.shopify.com/s/files/1/0792/5098/1063/files/45d1fdc812fc32fda9640edc194f4f3eb069b49c9bad423b59abfe172e4a5c89.jpg?v=1787233712" TargetMode="External" Id="rId42"/><Relationship Type="http://schemas.openxmlformats.org/officeDocument/2006/relationships/hyperlink" Target="https://cdn.shopify.com/s/files/1/0792/5098/1063/files/3a2053c767418069e7798a6396238963761e34d481d46bd9d676cc7a722ce425.jpg?v=1787233713" TargetMode="External" Id="rId43"/><Relationship Type="http://schemas.openxmlformats.org/officeDocument/2006/relationships/hyperlink" Target="https://cdn.shopify.com/s/files/1/0792/5098/1063/files/3a2053c767418069e7798a6396238963761e34d481d46bd9d676cc7a722ce425.jpg?v=1787233713" TargetMode="External" Id="rId44"/><Relationship Type="http://schemas.openxmlformats.org/officeDocument/2006/relationships/hyperlink" Target="https://cdn.shopify.com/s/files/1/0792/5098/1063/files/ca1530c052c368c7b33901d9e2fd47aa2d3c8729c2b6a8e94b515887302df3a0.jpg?v=1787233712" TargetMode="External" Id="rId45"/><Relationship Type="http://schemas.openxmlformats.org/officeDocument/2006/relationships/hyperlink" Target="https://cdn.shopify.com/s/files/1/0792/5098/1063/files/ca1530c052c368c7b33901d9e2fd47aa2d3c8729c2b6a8e94b515887302df3a0.jpg?v=1787233712" TargetMode="External" Id="rId46"/><Relationship Type="http://schemas.openxmlformats.org/officeDocument/2006/relationships/hyperlink" Target="https://cdn.shopify.com/s/files/1/0792/5098/1063/files/1fa8058540449ec4eb68c35fe7ec37e0856cc71fc7a5029d3951ed6945165bfc.jpg?v=1787233713" TargetMode="External" Id="rId47"/><Relationship Type="http://schemas.openxmlformats.org/officeDocument/2006/relationships/hyperlink" Target="https://cdn.shopify.com/s/files/1/0792/5098/1063/files/1fa8058540449ec4eb68c35fe7ec37e0856cc71fc7a5029d3951ed6945165bfc.jpg?v=1787233713" TargetMode="External" Id="rId48"/><Relationship Type="http://schemas.openxmlformats.org/officeDocument/2006/relationships/hyperlink" Target="https://cdn.shopify.com/s/files/1/0792/5098/1063/files/71e21ed6c41ef40003dcc207eada8ae5687d7cdc52c7c96941fafe821b96cf71.jpg?v=1787233712" TargetMode="External" Id="rId49"/><Relationship Type="http://schemas.openxmlformats.org/officeDocument/2006/relationships/hyperlink" Target="https://cdn.shopify.com/s/files/1/0792/5098/1063/files/71e21ed6c41ef40003dcc207eada8ae5687d7cdc52c7c96941fafe821b96cf71.jpg?v=1787233712" TargetMode="External" Id="rId50"/><Relationship Type="http://schemas.openxmlformats.org/officeDocument/2006/relationships/hyperlink" Target="https://cdn.shopify.com/s/files/1/0792/5098/1063/files/2e61c65733910ced1b3279c5c08d3d803cc79f9b416df50e273ff128a85b4f69.jpg?v=1787233712" TargetMode="External" Id="rId51"/><Relationship Type="http://schemas.openxmlformats.org/officeDocument/2006/relationships/hyperlink" Target="https://cdn.shopify.com/s/files/1/0792/5098/1063/files/2e61c65733910ced1b3279c5c08d3d803cc79f9b416df50e273ff128a85b4f69.jpg?v=1787233712" TargetMode="External" Id="rId52"/><Relationship Type="http://schemas.openxmlformats.org/officeDocument/2006/relationships/hyperlink" Target="https://cdn.shopify.com/s/files/1/0792/5098/1063/files/cd93064cff49abd094a4b54d4c8521f964011ef3177c132c9e7664b7ae385495.jpg?v=1785101924" TargetMode="External" Id="rId53"/><Relationship Type="http://schemas.openxmlformats.org/officeDocument/2006/relationships/hyperlink" Target="https://cdn.shopify.com/s/files/1/0792/5098/1063/files/cd93064cff49abd094a4b54d4c8521f964011ef3177c132c9e7664b7ae385495.jpg?v=1785101924" TargetMode="External" Id="rId54"/><Relationship Type="http://schemas.openxmlformats.org/officeDocument/2006/relationships/hyperlink" Target="https://cdn.shopify.com/s/files/1/0792/5098/1063/files/384ec0bb85a1c394b826a8ce0cc726e412f6f9248512418013abccd1c39244e3.jpg?v=1785101924" TargetMode="External" Id="rId55"/><Relationship Type="http://schemas.openxmlformats.org/officeDocument/2006/relationships/hyperlink" Target="https://cdn.shopify.com/s/files/1/0792/5098/1063/files/384ec0bb85a1c394b826a8ce0cc726e412f6f9248512418013abccd1c39244e3.jpg?v=1785101924" TargetMode="External" Id="rId56"/><Relationship Type="http://schemas.openxmlformats.org/officeDocument/2006/relationships/hyperlink" Target="https://cdn.shopify.com/s/files/1/0792/5098/1063/files/16f7293cbefa5743a35b2e6316a5a114e5c052d08151e367dafd26aa5e2e542b_1645c7b1-7dd0-4432-8f0e-842386b9a1b7.jpg?v=1785101924" TargetMode="External" Id="rId57"/><Relationship Type="http://schemas.openxmlformats.org/officeDocument/2006/relationships/hyperlink" Target="https://cdn.shopify.com/s/files/1/0792/5098/1063/files/16f7293cbefa5743a35b2e6316a5a114e5c052d08151e367dafd26aa5e2e542b_1645c7b1-7dd0-4432-8f0e-842386b9a1b7.jpg?v=1785101924" TargetMode="External" Id="rId58"/><Relationship Type="http://schemas.openxmlformats.org/officeDocument/2006/relationships/hyperlink" Target="https://cdn.shopify.com/s/files/1/0792/5098/1063/files/3e41b1b3613ae8424f256e83517163fa8317c8d737d739882986d6ecc0324617.jpg?v=1785101924" TargetMode="External" Id="rId59"/><Relationship Type="http://schemas.openxmlformats.org/officeDocument/2006/relationships/hyperlink" Target="https://cdn.shopify.com/s/files/1/0792/5098/1063/files/3e41b1b3613ae8424f256e83517163fa8317c8d737d739882986d6ecc0324617.jpg?v=1785101924" TargetMode="External" Id="rId60"/><Relationship Type="http://schemas.openxmlformats.org/officeDocument/2006/relationships/hyperlink" Target="https://cdn.shopify.com/s/files/1/0792/5098/1063/files/7c006bddc94d4763c71c8376307e195c1bbce73b8c802ec73ac5a8cef1291262_a3fb9a4f-ebe5-48cb-aa4f-5ac39a8a9cdc.jpg?v=1785101924" TargetMode="External" Id="rId61"/><Relationship Type="http://schemas.openxmlformats.org/officeDocument/2006/relationships/hyperlink" Target="https://cdn.shopify.com/s/files/1/0792/5098/1063/files/7c006bddc94d4763c71c8376307e195c1bbce73b8c802ec73ac5a8cef1291262_a3fb9a4f-ebe5-48cb-aa4f-5ac39a8a9cdc.jpg?v=1785101924" TargetMode="External" Id="rId62"/><Relationship Type="http://schemas.openxmlformats.org/officeDocument/2006/relationships/hyperlink" Target="https://cdn.shopify.com/s/files/1/0792/5098/1063/files/e5cad84edb4d7bf77c48fd7c8e52eb3b73f04eba8bf177671fd8a059c59422e8_0a0a59ee-c0ee-4995-bf6a-e815a670b8e3.jpg?v=1785101924" TargetMode="External" Id="rId63"/><Relationship Type="http://schemas.openxmlformats.org/officeDocument/2006/relationships/hyperlink" Target="https://cdn.shopify.com/s/files/1/0792/5098/1063/files/e5cad84edb4d7bf77c48fd7c8e52eb3b73f04eba8bf177671fd8a059c59422e8_0a0a59ee-c0ee-4995-bf6a-e815a670b8e3.jpg?v=1785101924" TargetMode="External" Id="rId64"/><Relationship Type="http://schemas.openxmlformats.org/officeDocument/2006/relationships/hyperlink" Target="https://cdn.shopify.com/s/files/1/0792/5098/1063/files/11f76d2e307e1c50766e2c6b95e8a9272e0546226ca0a5996ceecb7ad1d1e36b.jpg?v=1785100474" TargetMode="External" Id="rId65"/><Relationship Type="http://schemas.openxmlformats.org/officeDocument/2006/relationships/hyperlink" Target="https://cdn.shopify.com/s/files/1/0792/5098/1063/files/11f76d2e307e1c50766e2c6b95e8a9272e0546226ca0a5996ceecb7ad1d1e36b.jpg?v=1785100474" TargetMode="External" Id="rId66"/><Relationship Type="http://schemas.openxmlformats.org/officeDocument/2006/relationships/hyperlink" Target="https://cdn.shopify.com/s/files/1/0792/5098/1063/files/a086ef784a942cd52629fe736719d7e523332dd679d2ff85ee39f4db573b7877.jpg?v=1785100474" TargetMode="External" Id="rId67"/><Relationship Type="http://schemas.openxmlformats.org/officeDocument/2006/relationships/hyperlink" Target="https://cdn.shopify.com/s/files/1/0792/5098/1063/files/a086ef784a942cd52629fe736719d7e523332dd679d2ff85ee39f4db573b7877.jpg?v=1785100474" TargetMode="External" Id="rId68"/><Relationship Type="http://schemas.openxmlformats.org/officeDocument/2006/relationships/hyperlink" Target="https://cdn.shopify.com/s/files/1/0792/5098/1063/files/16f7293cbefa5743a35b2e6316a5a114e5c052d08151e367dafd26aa5e2e542b_f61d59c9-1e61-473b-93e0-490c63ed9242.jpg?v=1785100474" TargetMode="External" Id="rId69"/><Relationship Type="http://schemas.openxmlformats.org/officeDocument/2006/relationships/hyperlink" Target="https://cdn.shopify.com/s/files/1/0792/5098/1063/files/16f7293cbefa5743a35b2e6316a5a114e5c052d08151e367dafd26aa5e2e542b_f61d59c9-1e61-473b-93e0-490c63ed9242.jpg?v=1785100474" TargetMode="External" Id="rId70"/><Relationship Type="http://schemas.openxmlformats.org/officeDocument/2006/relationships/hyperlink" Target="https://cdn.shopify.com/s/files/1/0792/5098/1063/files/1bb27dd96fe081443e8b20966cb77e2c7e536a5f697d54f3941ab027a2445269.jpg?v=1785100474" TargetMode="External" Id="rId71"/><Relationship Type="http://schemas.openxmlformats.org/officeDocument/2006/relationships/hyperlink" Target="https://cdn.shopify.com/s/files/1/0792/5098/1063/files/1bb27dd96fe081443e8b20966cb77e2c7e536a5f697d54f3941ab027a2445269.jpg?v=1785100474" TargetMode="External" Id="rId72"/><Relationship Type="http://schemas.openxmlformats.org/officeDocument/2006/relationships/hyperlink" Target="https://cdn.shopify.com/s/files/1/0792/5098/1063/files/7c006bddc94d4763c71c8376307e195c1bbce73b8c802ec73ac5a8cef1291262_f556ba8b-082d-45f0-9344-319cc291850f.jpg?v=1785100474" TargetMode="External" Id="rId73"/><Relationship Type="http://schemas.openxmlformats.org/officeDocument/2006/relationships/hyperlink" Target="https://cdn.shopify.com/s/files/1/0792/5098/1063/files/7c006bddc94d4763c71c8376307e195c1bbce73b8c802ec73ac5a8cef1291262_f556ba8b-082d-45f0-9344-319cc291850f.jpg?v=1785100474" TargetMode="External" Id="rId74"/><Relationship Type="http://schemas.openxmlformats.org/officeDocument/2006/relationships/hyperlink" Target="https://cdn.shopify.com/s/files/1/0792/5098/1063/files/e5cad84edb4d7bf77c48fd7c8e52eb3b73f04eba8bf177671fd8a059c59422e8_e68e02cc-c567-4e1f-93b4-3efe2b03219d.jpg?v=1785100474" TargetMode="External" Id="rId75"/><Relationship Type="http://schemas.openxmlformats.org/officeDocument/2006/relationships/hyperlink" Target="https://cdn.shopify.com/s/files/1/0792/5098/1063/files/e5cad84edb4d7bf77c48fd7c8e52eb3b73f04eba8bf177671fd8a059c59422e8_e68e02cc-c567-4e1f-93b4-3efe2b03219d.jpg?v=1785100474" TargetMode="External" Id="rId76"/><Relationship Type="http://schemas.openxmlformats.org/officeDocument/2006/relationships/hyperlink" Target="https://cdn.shopify.com/s/files/1/0792/5098/1063/files/b38409cca05f668cdad57ab52d40b4b00fb8c161ab5af391eaf7a4ce3b8892f2.jpg?v=1785100295" TargetMode="External" Id="rId77"/><Relationship Type="http://schemas.openxmlformats.org/officeDocument/2006/relationships/hyperlink" Target="https://cdn.shopify.com/s/files/1/0792/5098/1063/files/b38409cca05f668cdad57ab52d40b4b00fb8c161ab5af391eaf7a4ce3b8892f2.jpg?v=1785100295" TargetMode="External" Id="rId78"/><Relationship Type="http://schemas.openxmlformats.org/officeDocument/2006/relationships/hyperlink" Target="https://cdn.shopify.com/s/files/1/0792/5098/1063/files/541f7a11cb182f93e5c63ff4db954de7b224c4f859e24518f310d671cca10275.jpg?v=1785100295" TargetMode="External" Id="rId79"/><Relationship Type="http://schemas.openxmlformats.org/officeDocument/2006/relationships/hyperlink" Target="https://cdn.shopify.com/s/files/1/0792/5098/1063/files/541f7a11cb182f93e5c63ff4db954de7b224c4f859e24518f310d671cca10275.jpg?v=1785100295" TargetMode="External" Id="rId80"/><Relationship Type="http://schemas.openxmlformats.org/officeDocument/2006/relationships/hyperlink" Target="https://cdn.shopify.com/s/files/1/0792/5098/1063/files/9aa9c35ad239e2defe80d680bfc9c3ac770143ee38bd0c93c9b9e1b1dc297f8c_36262fc6-efaa-4cca-aed1-b9455ede2ae8.jpg?v=1785100295" TargetMode="External" Id="rId81"/><Relationship Type="http://schemas.openxmlformats.org/officeDocument/2006/relationships/hyperlink" Target="https://cdn.shopify.com/s/files/1/0792/5098/1063/files/9aa9c35ad239e2defe80d680bfc9c3ac770143ee38bd0c93c9b9e1b1dc297f8c_36262fc6-efaa-4cca-aed1-b9455ede2ae8.jpg?v=1785100295" TargetMode="External" Id="rId82"/><Relationship Type="http://schemas.openxmlformats.org/officeDocument/2006/relationships/hyperlink" Target="https://cdn.shopify.com/s/files/1/0792/5098/1063/files/7a84d6352dbc1e78ebe1fc0d5c248b6dada28fcf2bc3ae2d6caf4e1511373e35.jpg?v=1785100295" TargetMode="External" Id="rId83"/><Relationship Type="http://schemas.openxmlformats.org/officeDocument/2006/relationships/hyperlink" Target="https://cdn.shopify.com/s/files/1/0792/5098/1063/files/7a84d6352dbc1e78ebe1fc0d5c248b6dada28fcf2bc3ae2d6caf4e1511373e35.jpg?v=1785100295" TargetMode="External" Id="rId84"/><Relationship Type="http://schemas.openxmlformats.org/officeDocument/2006/relationships/hyperlink" Target="https://cdn.shopify.com/s/files/1/0792/5098/1063/files/1bbfbfcf6d26cde4c41dc9cd48a48d8537c348d2d8ae8239cde2198dbac1d7d5_2f6333ff-2210-49b8-95cd-4a58a2c3229b.jpg?v=1785100295" TargetMode="External" Id="rId85"/><Relationship Type="http://schemas.openxmlformats.org/officeDocument/2006/relationships/hyperlink" Target="https://cdn.shopify.com/s/files/1/0792/5098/1063/files/1bbfbfcf6d26cde4c41dc9cd48a48d8537c348d2d8ae8239cde2198dbac1d7d5_2f6333ff-2210-49b8-95cd-4a58a2c3229b.jpg?v=1785100295" TargetMode="External" Id="rId86"/><Relationship Type="http://schemas.openxmlformats.org/officeDocument/2006/relationships/hyperlink" Target="https://cdn.shopify.com/s/files/1/0792/5098/1063/files/b875bfc16d8349abe649f457b947dd0efc388f0aa8df8cf243abee1bb432b085_894668af-b5c7-4cad-b078-ede9e4dae69a.jpg?v=1785100295" TargetMode="External" Id="rId87"/><Relationship Type="http://schemas.openxmlformats.org/officeDocument/2006/relationships/hyperlink" Target="https://cdn.shopify.com/s/files/1/0792/5098/1063/files/b875bfc16d8349abe649f457b947dd0efc388f0aa8df8cf243abee1bb432b085_894668af-b5c7-4cad-b078-ede9e4dae69a.jpg?v=1785100295" TargetMode="External" Id="rId88"/><Relationship Type="http://schemas.openxmlformats.org/officeDocument/2006/relationships/hyperlink" Target="https://cdn.shopify.com/s/files/1/0792/5098/1063/files/e5722218140b0bda49ea2f5691bd969b1bc3066cad7c3a0bb0771d1509e66d50.jpg?v=1785101771" TargetMode="External" Id="rId89"/><Relationship Type="http://schemas.openxmlformats.org/officeDocument/2006/relationships/hyperlink" Target="https://cdn.shopify.com/s/files/1/0792/5098/1063/files/e5722218140b0bda49ea2f5691bd969b1bc3066cad7c3a0bb0771d1509e66d50.jpg?v=1785101771" TargetMode="External" Id="rId90"/><Relationship Type="http://schemas.openxmlformats.org/officeDocument/2006/relationships/hyperlink" Target="https://cdn.shopify.com/s/files/1/0792/5098/1063/files/5583b1802d78e566880d8695a5c0bcdf0bb685b148b271042c5b29db02caaf18.jpg?v=1785101770" TargetMode="External" Id="rId91"/><Relationship Type="http://schemas.openxmlformats.org/officeDocument/2006/relationships/hyperlink" Target="https://cdn.shopify.com/s/files/1/0792/5098/1063/files/5583b1802d78e566880d8695a5c0bcdf0bb685b148b271042c5b29db02caaf18.jpg?v=1785101770" TargetMode="External" Id="rId92"/><Relationship Type="http://schemas.openxmlformats.org/officeDocument/2006/relationships/hyperlink" Target="https://cdn.shopify.com/s/files/1/0792/5098/1063/files/16f7293cbefa5743a35b2e6316a5a114e5c052d08151e367dafd26aa5e2e542b_50c40cd4-4737-483e-b146-d01efedc6b1f.jpg?v=1785101770" TargetMode="External" Id="rId93"/><Relationship Type="http://schemas.openxmlformats.org/officeDocument/2006/relationships/hyperlink" Target="https://cdn.shopify.com/s/files/1/0792/5098/1063/files/16f7293cbefa5743a35b2e6316a5a114e5c052d08151e367dafd26aa5e2e542b_50c40cd4-4737-483e-b146-d01efedc6b1f.jpg?v=1785101770" TargetMode="External" Id="rId94"/><Relationship Type="http://schemas.openxmlformats.org/officeDocument/2006/relationships/hyperlink" Target="https://cdn.shopify.com/s/files/1/0792/5098/1063/files/c05fa3057772437a9c016de35e8829c295fa0f9aa5ab3e4cef2ef36b835bcecb.jpg?v=1785101770" TargetMode="External" Id="rId95"/><Relationship Type="http://schemas.openxmlformats.org/officeDocument/2006/relationships/hyperlink" Target="https://cdn.shopify.com/s/files/1/0792/5098/1063/files/c05fa3057772437a9c016de35e8829c295fa0f9aa5ab3e4cef2ef36b835bcecb.jpg?v=1785101770" TargetMode="External" Id="rId96"/><Relationship Type="http://schemas.openxmlformats.org/officeDocument/2006/relationships/hyperlink" Target="https://cdn.shopify.com/s/files/1/0792/5098/1063/files/7c006bddc94d4763c71c8376307e195c1bbce73b8c802ec73ac5a8cef1291262_e42da11c-22a6-4e3d-bb70-996edab6cf62.jpg?v=1785101771" TargetMode="External" Id="rId97"/><Relationship Type="http://schemas.openxmlformats.org/officeDocument/2006/relationships/hyperlink" Target="https://cdn.shopify.com/s/files/1/0792/5098/1063/files/7c006bddc94d4763c71c8376307e195c1bbce73b8c802ec73ac5a8cef1291262_e42da11c-22a6-4e3d-bb70-996edab6cf62.jpg?v=1785101771" TargetMode="External" Id="rId98"/><Relationship Type="http://schemas.openxmlformats.org/officeDocument/2006/relationships/hyperlink" Target="https://cdn.shopify.com/s/files/1/0792/5098/1063/files/e5cad84edb4d7bf77c48fd7c8e52eb3b73f04eba8bf177671fd8a059c59422e8_83f80854-ef3b-498b-9687-6e0c3210b351.jpg?v=1785101770" TargetMode="External" Id="rId99"/><Relationship Type="http://schemas.openxmlformats.org/officeDocument/2006/relationships/hyperlink" Target="https://cdn.shopify.com/s/files/1/0792/5098/1063/files/e5cad84edb4d7bf77c48fd7c8e52eb3b73f04eba8bf177671fd8a059c59422e8_83f80854-ef3b-498b-9687-6e0c3210b351.jpg?v=1785101770" TargetMode="External" Id="rId100"/><Relationship Type="http://schemas.openxmlformats.org/officeDocument/2006/relationships/hyperlink" Target="https://cdn.shopify.com/s/files/1/0792/5098/1063/files/f9e8536c20f2dc19107c6fd69a43535c4bb88bac4323fd1ee6ac49a2601099d3.jpg?v=1785102312" TargetMode="External" Id="rId101"/><Relationship Type="http://schemas.openxmlformats.org/officeDocument/2006/relationships/hyperlink" Target="https://cdn.shopify.com/s/files/1/0792/5098/1063/files/f9e8536c20f2dc19107c6fd69a43535c4bb88bac4323fd1ee6ac49a2601099d3.jpg?v=1785102312" TargetMode="External" Id="rId102"/><Relationship Type="http://schemas.openxmlformats.org/officeDocument/2006/relationships/hyperlink" Target="https://cdn.shopify.com/s/files/1/0792/5098/1063/files/928eb50ae3f1bc7e4d40765cc2350f1fd1aba1a4ed6c886ee957ba75876d92ff.jpg?v=1785102312" TargetMode="External" Id="rId103"/><Relationship Type="http://schemas.openxmlformats.org/officeDocument/2006/relationships/hyperlink" Target="https://cdn.shopify.com/s/files/1/0792/5098/1063/files/928eb50ae3f1bc7e4d40765cc2350f1fd1aba1a4ed6c886ee957ba75876d92ff.jpg?v=1785102312" TargetMode="External" Id="rId104"/><Relationship Type="http://schemas.openxmlformats.org/officeDocument/2006/relationships/hyperlink" Target="https://cdn.shopify.com/s/files/1/0792/5098/1063/files/16f7293cbefa5743a35b2e6316a5a114e5c052d08151e367dafd26aa5e2e542b_1acfa0ab-cba8-45fa-a4cf-f1fd84ab628b.jpg?v=1785102312" TargetMode="External" Id="rId105"/><Relationship Type="http://schemas.openxmlformats.org/officeDocument/2006/relationships/hyperlink" Target="https://cdn.shopify.com/s/files/1/0792/5098/1063/files/16f7293cbefa5743a35b2e6316a5a114e5c052d08151e367dafd26aa5e2e542b_1acfa0ab-cba8-45fa-a4cf-f1fd84ab628b.jpg?v=1785102312" TargetMode="External" Id="rId106"/><Relationship Type="http://schemas.openxmlformats.org/officeDocument/2006/relationships/hyperlink" Target="https://cdn.shopify.com/s/files/1/0792/5098/1063/files/fcef7f349baccd1d4b9d05508c169228825a3e4845ac14a8f93db8f652db7186.jpg?v=1785102312" TargetMode="External" Id="rId107"/><Relationship Type="http://schemas.openxmlformats.org/officeDocument/2006/relationships/hyperlink" Target="https://cdn.shopify.com/s/files/1/0792/5098/1063/files/fcef7f349baccd1d4b9d05508c169228825a3e4845ac14a8f93db8f652db7186.jpg?v=1785102312" TargetMode="External" Id="rId108"/><Relationship Type="http://schemas.openxmlformats.org/officeDocument/2006/relationships/hyperlink" Target="https://cdn.shopify.com/s/files/1/0792/5098/1063/files/7c006bddc94d4763c71c8376307e195c1bbce73b8c802ec73ac5a8cef1291262_e57e2d4f-2a74-4a7f-9a82-b7c808f9b0cc.jpg?v=1785102312" TargetMode="External" Id="rId109"/><Relationship Type="http://schemas.openxmlformats.org/officeDocument/2006/relationships/hyperlink" Target="https://cdn.shopify.com/s/files/1/0792/5098/1063/files/7c006bddc94d4763c71c8376307e195c1bbce73b8c802ec73ac5a8cef1291262_e57e2d4f-2a74-4a7f-9a82-b7c808f9b0cc.jpg?v=1785102312" TargetMode="External" Id="rId110"/><Relationship Type="http://schemas.openxmlformats.org/officeDocument/2006/relationships/hyperlink" Target="https://cdn.shopify.com/s/files/1/0792/5098/1063/files/e5cad84edb4d7bf77c48fd7c8e52eb3b73f04eba8bf177671fd8a059c59422e8_e4232455-7802-4105-bf12-f40717779408.jpg?v=1785102312" TargetMode="External" Id="rId111"/><Relationship Type="http://schemas.openxmlformats.org/officeDocument/2006/relationships/hyperlink" Target="https://cdn.shopify.com/s/files/1/0792/5098/1063/files/e5cad84edb4d7bf77c48fd7c8e52eb3b73f04eba8bf177671fd8a059c59422e8_e4232455-7802-4105-bf12-f40717779408.jpg?v=1785102312" TargetMode="External" Id="rId112"/><Relationship Type="http://schemas.openxmlformats.org/officeDocument/2006/relationships/hyperlink" Target="https://cdn.shopify.com/s/files/1/0792/5098/1063/files/a6aedfb7f9b81449b401a91a0409992efbba09d035e85d8e5cc7da9802dc0589.jpg?v=1785101840" TargetMode="External" Id="rId113"/><Relationship Type="http://schemas.openxmlformats.org/officeDocument/2006/relationships/hyperlink" Target="https://cdn.shopify.com/s/files/1/0792/5098/1063/files/a6aedfb7f9b81449b401a91a0409992efbba09d035e85d8e5cc7da9802dc0589.jpg?v=1785101840" TargetMode="External" Id="rId114"/><Relationship Type="http://schemas.openxmlformats.org/officeDocument/2006/relationships/hyperlink" Target="https://cdn.shopify.com/s/files/1/0792/5098/1063/files/c68aa5c462e7e6a06d4fab3fb3a9399d56e5454756be9390c9f0a2573c8bb7ae.jpg?v=1785101840" TargetMode="External" Id="rId115"/><Relationship Type="http://schemas.openxmlformats.org/officeDocument/2006/relationships/hyperlink" Target="https://cdn.shopify.com/s/files/1/0792/5098/1063/files/c68aa5c462e7e6a06d4fab3fb3a9399d56e5454756be9390c9f0a2573c8bb7ae.jpg?v=1785101840" TargetMode="External" Id="rId116"/><Relationship Type="http://schemas.openxmlformats.org/officeDocument/2006/relationships/hyperlink" Target="https://cdn.shopify.com/s/files/1/0792/5098/1063/files/16f7293cbefa5743a35b2e6316a5a114e5c052d08151e367dafd26aa5e2e542b_4cbeb11e-e4ef-4f2d-8aa3-de326b38c11b.jpg?v=1785101840" TargetMode="External" Id="rId117"/><Relationship Type="http://schemas.openxmlformats.org/officeDocument/2006/relationships/hyperlink" Target="https://cdn.shopify.com/s/files/1/0792/5098/1063/files/16f7293cbefa5743a35b2e6316a5a114e5c052d08151e367dafd26aa5e2e542b_4cbeb11e-e4ef-4f2d-8aa3-de326b38c11b.jpg?v=1785101840" TargetMode="External" Id="rId118"/><Relationship Type="http://schemas.openxmlformats.org/officeDocument/2006/relationships/hyperlink" Target="https://cdn.shopify.com/s/files/1/0792/5098/1063/files/56be7714426e11e337618ffdd9b78d22e6d77bcea91f35de4b20937187994964.jpg?v=1785101840" TargetMode="External" Id="rId119"/><Relationship Type="http://schemas.openxmlformats.org/officeDocument/2006/relationships/hyperlink" Target="https://cdn.shopify.com/s/files/1/0792/5098/1063/files/56be7714426e11e337618ffdd9b78d22e6d77bcea91f35de4b20937187994964.jpg?v=1785101840" TargetMode="External" Id="rId120"/><Relationship Type="http://schemas.openxmlformats.org/officeDocument/2006/relationships/hyperlink" Target="https://cdn.shopify.com/s/files/1/0792/5098/1063/files/7c006bddc94d4763c71c8376307e195c1bbce73b8c802ec73ac5a8cef1291262_66044d52-aa86-47c2-84d2-beed979c5ac0.jpg?v=1785101840" TargetMode="External" Id="rId121"/><Relationship Type="http://schemas.openxmlformats.org/officeDocument/2006/relationships/hyperlink" Target="https://cdn.shopify.com/s/files/1/0792/5098/1063/files/7c006bddc94d4763c71c8376307e195c1bbce73b8c802ec73ac5a8cef1291262_66044d52-aa86-47c2-84d2-beed979c5ac0.jpg?v=1785101840" TargetMode="External" Id="rId122"/><Relationship Type="http://schemas.openxmlformats.org/officeDocument/2006/relationships/hyperlink" Target="https://cdn.shopify.com/s/files/1/0792/5098/1063/files/e5cad84edb4d7bf77c48fd7c8e52eb3b73f04eba8bf177671fd8a059c59422e8_e9a8f6c7-84a8-4f8e-a21c-61b347436f7e.jpg?v=1785101840" TargetMode="External" Id="rId123"/><Relationship Type="http://schemas.openxmlformats.org/officeDocument/2006/relationships/hyperlink" Target="https://cdn.shopify.com/s/files/1/0792/5098/1063/files/e5cad84edb4d7bf77c48fd7c8e52eb3b73f04eba8bf177671fd8a059c59422e8_e9a8f6c7-84a8-4f8e-a21c-61b347436f7e.jpg?v=1785101840" TargetMode="External" Id="rId124"/></Relationships>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prompt_qa.md@sha256:C2C1DEFDB72362291F7DA656FA7FEA9283A02782FC8CA66D2E4637F2511500DD</t>
        </is>
      </c>
      <c r="C2" s="2" t="inlineStr">
        <is>
          <t>Rubric QA áp dụng.</t>
        </is>
      </c>
    </row>
    <row r="3" ht="42" customHeight="1">
      <c r="A3" s="3" t="inlineStr">
        <is>
          <t>source_workbook</t>
        </is>
      </c>
      <c r="B3" s="3" t="inlineStr">
        <is>
          <t>D:\Shopify_Workspace\jeminise_seo\resutls\jeminise.com\20260906_234129\revisions\qa_batch_004_r2\SEO_Product_Optimization_qa_batch_004_r2.xlsx</t>
        </is>
      </c>
      <c r="C3" s="3" t="inlineStr">
        <is>
          <t>Workbook giai đoạn 1 đóng băng; không chỉnh sửa.</t>
        </is>
      </c>
    </row>
    <row r="4" ht="42" customHeight="1">
      <c r="A4" s="2" t="inlineStr">
        <is>
          <t>source_sha256_at_handoff</t>
        </is>
      </c>
      <c r="B4" s="2" t="inlineStr">
        <is>
          <t>EAD02B9EBC6899A9750E8BB1F36C2BC176335A951EFCF5B6844D6566A00730B3</t>
        </is>
      </c>
      <c r="C4" s="2" t="inlineStr">
        <is>
          <t>Hash tính lại khi hoàn tất.</t>
        </is>
      </c>
    </row>
    <row r="5" ht="42" customHeight="1">
      <c r="A5" s="3" t="inlineStr">
        <is>
          <t>qa_run_id</t>
        </is>
      </c>
      <c r="B5" s="3" t="inlineStr">
        <is>
          <t>20260907_144539</t>
        </is>
      </c>
      <c r="C5" s="3" t="inlineStr">
        <is>
          <t>Run QA độc lập.</t>
        </is>
      </c>
    </row>
    <row r="6" ht="42" customHeight="1">
      <c r="A6" s="2" t="inlineStr">
        <is>
          <t>batch_id</t>
        </is>
      </c>
      <c r="B6" s="2" t="inlineStr">
        <is>
          <t>qa_batch_004_r2</t>
        </is>
      </c>
      <c r="C6" s="2" t="inlineStr">
        <is>
          <t>Inventory positions 31-40.</t>
        </is>
      </c>
    </row>
    <row r="7" ht="42" customHeight="1">
      <c r="A7" s="3" t="inlineStr">
        <is>
          <t>products_checked</t>
        </is>
      </c>
      <c r="B7" s="3" t="n">
        <v>10</v>
      </c>
      <c r="C7" s="3" t="inlineStr">
        <is>
          <t>Đúng 10 product key.</t>
        </is>
      </c>
    </row>
    <row r="8" ht="42" customHeight="1">
      <c r="A8" s="2" t="inlineStr">
        <is>
          <t>images_checked</t>
        </is>
      </c>
      <c r="B8" s="2" t="n">
        <v>62</v>
      </c>
      <c r="C8" s="2" t="inlineStr">
        <is>
          <t>62/62 ảnh mở trực tiếp ở độ phân giải gốc.</t>
        </is>
      </c>
    </row>
    <row r="9" ht="42" customHeight="1">
      <c r="A9" s="3" t="inlineStr">
        <is>
          <t>batch_final_score</t>
        </is>
      </c>
      <c r="B9" s="3">
        <f>AVERAGE('QA_Products'!$K$2:$K$11)</f>
        <v/>
      </c>
      <c r="C9" s="3" t="inlineStr">
        <is>
          <t>Trung bình 10 final_score; không bù lỗi chặn.</t>
        </is>
      </c>
    </row>
    <row r="10" ht="42" customHeight="1">
      <c r="A10" s="2" t="inlineStr">
        <is>
          <t>batch_result</t>
        </is>
      </c>
      <c r="B10" s="2">
        <f>IF(COUNTIF('QA_Products'!$L$2:$L$11,"QA_PASS")=ROWS('QA_Products'!$L$2:$L$11),"PASSED","NOT_PASSED")</f>
        <v/>
      </c>
      <c r="C10" s="2" t="inlineStr">
        <is>
          <t>Lô chỉ đạt khi mọi sản phẩm QA_PASS.</t>
        </is>
      </c>
    </row>
    <row r="11" ht="42" customHeight="1">
      <c r="A11" s="3" t="inlineStr">
        <is>
          <t>status_counts</t>
        </is>
      </c>
      <c r="B11" s="3">
        <f>"PASS="&amp;COUNTIF('QA_Products'!$L$2:$L$11,"QA_PASS")&amp;"; REVISE="&amp;COUNTIF('QA_Products'!$L$2:$L$11,"QA_REVISE")&amp;"; FAIL="&amp;COUNTIF('QA_Products'!$L$2:$L$11,"QA_FAIL")&amp;"; INCOMPLETE="&amp;COUNTIF('QA_Products'!$L$2:$L$11,"QA_INCOMPLETE")</f>
        <v/>
      </c>
      <c r="C11" s="3" t="inlineStr">
        <is>
          <t>Số sản phẩm theo kết luận.</t>
        </is>
      </c>
    </row>
    <row r="12" ht="42" customHeight="1">
      <c r="A12" s="2" t="inlineStr">
        <is>
          <t>issue_counts</t>
        </is>
      </c>
      <c r="B12" s="2" t="inlineStr">
        <is>
          <t>{"MINOR": 23, "MAJOR": 27, "LIMITATION": 1}</t>
        </is>
      </c>
      <c r="C12" s="2" t="inlineStr">
        <is>
          <t>Số phát hiện theo severity.</t>
        </is>
      </c>
    </row>
    <row r="13" ht="42" customHeight="1">
      <c r="A13" s="3" t="inlineStr">
        <is>
          <t>admin_limitation</t>
        </is>
      </c>
      <c r="B13" s="3" t="inlineStr">
        <is>
          <t>No Shopify admin export; interactive browser unavailable</t>
        </is>
      </c>
      <c r="C13" s="3" t="inlineStr">
        <is>
          <t>Không suy ra admin fields hoặc xác nhận dynamic personalization app.</t>
        </is>
      </c>
    </row>
    <row r="14" ht="42" customHeight="1">
      <c r="A14" s="2" t="inlineStr">
        <is>
          <t>xlsx_status</t>
        </is>
      </c>
      <c r="B14" s="2" t="inlineStr">
        <is>
          <t>COMPLETE</t>
        </is>
      </c>
      <c r="C14" s="2" t="inlineStr">
        <is>
          <t>XLSX tạo bằng openpyxl theo yêu cầu người dùng, kiểm tra cấu trúc/công thức và render.</t>
        </is>
      </c>
    </row>
  </sheetData>
  <autoFilter ref="A1:C14"/>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31</v>
      </c>
      <c r="B2" s="2" t="inlineStr">
        <is>
          <t>jeminise.com+christmas-cardinals-near-snowy-birdhouse-patchwork-floral-quilt-b90d55a935-b90d55a935</t>
        </is>
      </c>
      <c r="C2" s="4" t="inlineStr">
        <is>
          <t>https://jeminise.com/products/christmas-cardinals-near-snowy-birdhouse-patchwork-floral-quilt-b90d55a935-b90d55a935</t>
        </is>
      </c>
      <c r="D2" s="2" t="inlineStr">
        <is>
          <t>christmas-cardinals-near-snowy-birdhouse-patchwork-floral-quilt-b90d55a935-b90d55a935</t>
        </is>
      </c>
      <c r="E2" s="2" t="inlineStr">
        <is>
          <t>8834720170183</t>
        </is>
      </c>
      <c r="F2" s="2" t="inlineStr">
        <is>
          <t>r2</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7</v>
      </c>
      <c r="O2" s="2" t="n">
        <v>7</v>
      </c>
      <c r="P2" s="2" t="b">
        <v>1</v>
      </c>
      <c r="Q2" s="6" t="n">
        <v>1</v>
      </c>
      <c r="R2" s="2">
        <f>COUNTIFS('QA_Issues'!$B$2:$B$52,B2,'QA_Issues'!$D$2:$D$52,"CRITICAL")</f>
        <v/>
      </c>
      <c r="S2" s="2">
        <f>COUNTIFS('QA_Issues'!$B$2:$B$52,B2,'QA_Issues'!$D$2:$D$52,"MAJOR")</f>
        <v/>
      </c>
      <c r="T2" s="2">
        <f>COUNTIFS('QA_Issues'!$B$2:$B$52,B2,'QA_Issues'!$D$2:$D$52,"MINOR")</f>
        <v/>
      </c>
      <c r="U2" s="2">
        <f>COUNTIFS('QA_Issues'!$B$2:$B$52,B2,'QA_Issues'!$D$2:$D$52,"LIMITATION")</f>
        <v/>
      </c>
      <c r="V2" s="2" t="inlineStr">
        <is>
          <t>["R2-ISS-031-IMG-03", "R2-ISS-031-IMG-04", "R2-ISS-031-IMG-05", "R2-ISS-031-IMG-06", "R2-ISS-031-DESC", "ISS-031-SERP"]</t>
        </is>
      </c>
      <c r="W2" s="2" t="inlineStr">
        <is>
          <t>["evidence_batch_004_031", "https://jeminise.com/products/christmas-cardinals-near-snowy-birdhouse-patchwork-floral-quilt-b90d55a935-b90d55a935", "serp_qa_031"]</t>
        </is>
      </c>
    </row>
    <row r="3" ht="42" customHeight="1">
      <c r="A3" s="3" t="n">
        <v>32</v>
      </c>
      <c r="B3" s="3" t="inlineStr">
        <is>
          <t>jeminise.com+christmas-cardinals-on-snowy-branches-patchwork-winter-quilt-8fa1a9e2ed-8fa1a9e2ed</t>
        </is>
      </c>
      <c r="C3" s="4" t="inlineStr">
        <is>
          <t>https://jeminise.com/products/christmas-cardinals-on-snowy-branches-patchwork-winter-quilt-8fa1a9e2ed-8fa1a9e2ed</t>
        </is>
      </c>
      <c r="D3" s="3" t="inlineStr">
        <is>
          <t>christmas-cardinals-on-snowy-branches-patchwork-winter-quilt-8fa1a9e2ed-8fa1a9e2ed</t>
        </is>
      </c>
      <c r="E3" s="3" t="inlineStr">
        <is>
          <t>8834709323975</t>
        </is>
      </c>
      <c r="F3" s="3" t="inlineStr">
        <is>
          <t>r2</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5</v>
      </c>
      <c r="O3" s="3" t="n">
        <v>5</v>
      </c>
      <c r="P3" s="3" t="b">
        <v>1</v>
      </c>
      <c r="Q3" s="8" t="n">
        <v>1</v>
      </c>
      <c r="R3" s="3">
        <f>COUNTIFS('QA_Issues'!$B$2:$B$52,B3,'QA_Issues'!$D$2:$D$52,"CRITICAL")</f>
        <v/>
      </c>
      <c r="S3" s="3">
        <f>COUNTIFS('QA_Issues'!$B$2:$B$52,B3,'QA_Issues'!$D$2:$D$52,"MAJOR")</f>
        <v/>
      </c>
      <c r="T3" s="3">
        <f>COUNTIFS('QA_Issues'!$B$2:$B$52,B3,'QA_Issues'!$D$2:$D$52,"MINOR")</f>
        <v/>
      </c>
      <c r="U3" s="3">
        <f>COUNTIFS('QA_Issues'!$B$2:$B$52,B3,'QA_Issues'!$D$2:$D$52,"LIMITATION")</f>
        <v/>
      </c>
      <c r="V3" s="3" t="inlineStr">
        <is>
          <t>["R2-ISS-032-IMG-02", "R2-ISS-032-IMG-03", "R2-ISS-032-IMG-04", "R2-ISS-032-IMG-05", "R2-ISS-032-DESC"]</t>
        </is>
      </c>
      <c r="W3" s="3" t="inlineStr">
        <is>
          <t>["evidence_batch_004_032", "https://jeminise.com/products/christmas-cardinals-on-snowy-branches-patchwork-winter-quilt-8fa1a9e2ed-8fa1a9e2ed", "serp_qa_032"]</t>
        </is>
      </c>
    </row>
    <row r="4" ht="42" customHeight="1">
      <c r="A4" s="2" t="n">
        <v>33</v>
      </c>
      <c r="B4" s="2" t="inlineStr">
        <is>
          <t>jeminise.com+cow-with-landscape-patchwork-quilt-animal-farmhouse-printed-quilt-set</t>
        </is>
      </c>
      <c r="C4" s="4" t="inlineStr">
        <is>
          <t>https://jeminise.com/products/cow-with-landscape-patchwork-quilt-animal-farmhouse-printed-quilt-set</t>
        </is>
      </c>
      <c r="D4" s="2" t="inlineStr">
        <is>
          <t>cow-with-landscape-patchwork-quilt-animal-farmhouse-printed-quilt-set</t>
        </is>
      </c>
      <c r="E4" s="2" t="inlineStr">
        <is>
          <t>8867095806151</t>
        </is>
      </c>
      <c r="F4" s="2" t="inlineStr">
        <is>
          <t>r2</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7</v>
      </c>
      <c r="O4" s="2" t="n">
        <v>7</v>
      </c>
      <c r="P4" s="2" t="b">
        <v>1</v>
      </c>
      <c r="Q4" s="6" t="n">
        <v>1</v>
      </c>
      <c r="R4" s="2">
        <f>COUNTIFS('QA_Issues'!$B$2:$B$52,B4,'QA_Issues'!$D$2:$D$52,"CRITICAL")</f>
        <v/>
      </c>
      <c r="S4" s="2">
        <f>COUNTIFS('QA_Issues'!$B$2:$B$52,B4,'QA_Issues'!$D$2:$D$52,"MAJOR")</f>
        <v/>
      </c>
      <c r="T4" s="2">
        <f>COUNTIFS('QA_Issues'!$B$2:$B$52,B4,'QA_Issues'!$D$2:$D$52,"MINOR")</f>
        <v/>
      </c>
      <c r="U4" s="2">
        <f>COUNTIFS('QA_Issues'!$B$2:$B$52,B4,'QA_Issues'!$D$2:$D$52,"LIMITATION")</f>
        <v/>
      </c>
      <c r="V4" s="2" t="inlineStr">
        <is>
          <t>["R2-ISS-033-IMG-03", "R2-ISS-033-IMG-04", "R2-ISS-033-IMG-05", "R2-ISS-033-IMG-06", "R2-ISS-033-DESC"]</t>
        </is>
      </c>
      <c r="W4" s="2" t="inlineStr">
        <is>
          <t>["evidence_batch_004_033", "https://jeminise.com/products/cow-with-landscape-patchwork-quilt-animal-farmhouse-printed-quilt-set", "serp_qa_033"]</t>
        </is>
      </c>
    </row>
    <row r="5" ht="42" customHeight="1">
      <c r="A5" s="3" t="n">
        <v>34</v>
      </c>
      <c r="B5" s="3" t="inlineStr">
        <is>
          <t>jeminise.com+crocodile-patchwork-printed-quilts-animal-patchwork-bedding</t>
        </is>
      </c>
      <c r="C5" s="4" t="inlineStr">
        <is>
          <t>https://jeminise.com/products/crocodile-patchwork-printed-quilts-animal-patchwork-bedding</t>
        </is>
      </c>
      <c r="D5" s="3" t="inlineStr">
        <is>
          <t>crocodile-patchwork-printed-quilts-animal-patchwork-bedding</t>
        </is>
      </c>
      <c r="E5" s="3" t="inlineStr">
        <is>
          <t>8867095445703</t>
        </is>
      </c>
      <c r="F5" s="3" t="inlineStr">
        <is>
          <t>r2</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7</v>
      </c>
      <c r="O5" s="3" t="n">
        <v>7</v>
      </c>
      <c r="P5" s="3" t="b">
        <v>1</v>
      </c>
      <c r="Q5" s="8" t="n">
        <v>1</v>
      </c>
      <c r="R5" s="3">
        <f>COUNTIFS('QA_Issues'!$B$2:$B$52,B5,'QA_Issues'!$D$2:$D$52,"CRITICAL")</f>
        <v/>
      </c>
      <c r="S5" s="3">
        <f>COUNTIFS('QA_Issues'!$B$2:$B$52,B5,'QA_Issues'!$D$2:$D$52,"MAJOR")</f>
        <v/>
      </c>
      <c r="T5" s="3">
        <f>COUNTIFS('QA_Issues'!$B$2:$B$52,B5,'QA_Issues'!$D$2:$D$52,"MINOR")</f>
        <v/>
      </c>
      <c r="U5" s="3">
        <f>COUNTIFS('QA_Issues'!$B$2:$B$52,B5,'QA_Issues'!$D$2:$D$52,"LIMITATION")</f>
        <v/>
      </c>
      <c r="V5" s="3" t="inlineStr">
        <is>
          <t>["R2-ISS-034-IMG-03", "R2-ISS-034-IMG-04", "R2-ISS-034-IMG-05", "R2-ISS-034-IMG-06", "R2-ISS-034-DESC", "R2-ISS-034-KEYWORD"]</t>
        </is>
      </c>
      <c r="W5" s="3" t="inlineStr">
        <is>
          <t>["evidence_batch_004_034", "https://jeminise.com/products/crocodile-patchwork-printed-quilts-animal-patchwork-bedding", "serp_qa_034"]</t>
        </is>
      </c>
    </row>
    <row r="6" ht="42" customHeight="1">
      <c r="A6" s="2" t="n">
        <v>35</v>
      </c>
      <c r="B6" s="2" t="inlineStr">
        <is>
          <t>jeminise.com+custom-retro-football-art-bedding-set-c66211cf75-c66211cf75</t>
        </is>
      </c>
      <c r="C6" s="4" t="inlineStr">
        <is>
          <t>https://jeminise.com/products/custom-retro-football-art-bedding-set-c66211cf75-c66211cf75</t>
        </is>
      </c>
      <c r="D6" s="2" t="inlineStr">
        <is>
          <t>custom-retro-football-art-bedding-set-c66211cf75-c66211cf75</t>
        </is>
      </c>
      <c r="E6" s="2" t="inlineStr">
        <is>
          <t>8834768699591</t>
        </is>
      </c>
      <c r="F6" s="2" t="inlineStr">
        <is>
          <t>r2</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6</v>
      </c>
      <c r="O6" s="2" t="n">
        <v>6</v>
      </c>
      <c r="P6" s="2" t="b">
        <v>1</v>
      </c>
      <c r="Q6" s="6" t="n">
        <v>1</v>
      </c>
      <c r="R6" s="2">
        <f>COUNTIFS('QA_Issues'!$B$2:$B$52,B6,'QA_Issues'!$D$2:$D$52,"CRITICAL")</f>
        <v/>
      </c>
      <c r="S6" s="2">
        <f>COUNTIFS('QA_Issues'!$B$2:$B$52,B6,'QA_Issues'!$D$2:$D$52,"MAJOR")</f>
        <v/>
      </c>
      <c r="T6" s="2">
        <f>COUNTIFS('QA_Issues'!$B$2:$B$52,B6,'QA_Issues'!$D$2:$D$52,"MINOR")</f>
        <v/>
      </c>
      <c r="U6" s="2">
        <f>COUNTIFS('QA_Issues'!$B$2:$B$52,B6,'QA_Issues'!$D$2:$D$52,"LIMITATION")</f>
        <v/>
      </c>
      <c r="V6" s="2" t="inlineStr">
        <is>
          <t>["R2-ISS-035-IMG-03", "R2-ISS-035-IMG-05", "R2-ISS-035-DESC", "R2-ISS-035-PERS-OMIT"]</t>
        </is>
      </c>
      <c r="W6" s="2" t="inlineStr">
        <is>
          <t>["evidence_batch_004_035", "https://jeminise.com/products/custom-retro-football-art-bedding-set-c66211cf75-c66211cf75", "serp_qa_035"]</t>
        </is>
      </c>
    </row>
    <row r="7" ht="42" customHeight="1">
      <c r="A7" s="3" t="n">
        <v>36</v>
      </c>
      <c r="B7" s="3" t="inlineStr">
        <is>
          <t>jeminise.com+custom-american-football-close-up-on-grunge-vintage-comforter-26540e3264-26540e3264</t>
        </is>
      </c>
      <c r="C7" s="4" t="inlineStr">
        <is>
          <t>https://jeminise.com/products/custom-american-football-close-up-on-grunge-vintage-comforter-26540e3264-26540e3264</t>
        </is>
      </c>
      <c r="D7" s="3" t="inlineStr">
        <is>
          <t>custom-american-football-close-up-on-grunge-vintage-comforter-26540e3264-26540e3264</t>
        </is>
      </c>
      <c r="E7" s="3" t="inlineStr">
        <is>
          <t>8834754445511</t>
        </is>
      </c>
      <c r="F7" s="3" t="inlineStr">
        <is>
          <t>r2</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6</v>
      </c>
      <c r="O7" s="3" t="n">
        <v>6</v>
      </c>
      <c r="P7" s="3" t="b">
        <v>1</v>
      </c>
      <c r="Q7" s="8" t="n">
        <v>1</v>
      </c>
      <c r="R7" s="3">
        <f>COUNTIFS('QA_Issues'!$B$2:$B$52,B7,'QA_Issues'!$D$2:$D$52,"CRITICAL")</f>
        <v/>
      </c>
      <c r="S7" s="3">
        <f>COUNTIFS('QA_Issues'!$B$2:$B$52,B7,'QA_Issues'!$D$2:$D$52,"MAJOR")</f>
        <v/>
      </c>
      <c r="T7" s="3">
        <f>COUNTIFS('QA_Issues'!$B$2:$B$52,B7,'QA_Issues'!$D$2:$D$52,"MINOR")</f>
        <v/>
      </c>
      <c r="U7" s="3">
        <f>COUNTIFS('QA_Issues'!$B$2:$B$52,B7,'QA_Issues'!$D$2:$D$52,"LIMITATION")</f>
        <v/>
      </c>
      <c r="V7" s="3" t="inlineStr">
        <is>
          <t>["R2-ISS-036-IMG-03", "R2-ISS-036-IMG-05", "R2-ISS-036-DESC", "R2-ISS-036-PERS-OMIT", "R2-ISS-036-KEYWORD"]</t>
        </is>
      </c>
      <c r="W7" s="3" t="inlineStr">
        <is>
          <t>["evidence_batch_004_036", "https://jeminise.com/products/custom-american-football-close-up-on-grunge-vintage-comforter-26540e3264-26540e3264", "serp_qa_036"]</t>
        </is>
      </c>
    </row>
    <row r="8" ht="42" customHeight="1">
      <c r="A8" s="2" t="n">
        <v>37</v>
      </c>
      <c r="B8" s="2" t="inlineStr">
        <is>
          <t>jeminise.com+custom-american-football-on-cosmic-background-vintage-comforter-62a3849621-62a3849621</t>
        </is>
      </c>
      <c r="C8" s="4" t="inlineStr">
        <is>
          <t>https://jeminise.com/products/custom-american-football-on-cosmic-background-vintage-comforter-62a3849621-62a3849621</t>
        </is>
      </c>
      <c r="D8" s="2" t="inlineStr">
        <is>
          <t>custom-american-football-on-cosmic-background-vintage-comforter-62a3849621-62a3849621</t>
        </is>
      </c>
      <c r="E8" s="2" t="inlineStr">
        <is>
          <t>8834752676039</t>
        </is>
      </c>
      <c r="F8" s="2" t="inlineStr">
        <is>
          <t>r2</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6</v>
      </c>
      <c r="O8" s="2" t="n">
        <v>6</v>
      </c>
      <c r="P8" s="2" t="b">
        <v>1</v>
      </c>
      <c r="Q8" s="6" t="n">
        <v>1</v>
      </c>
      <c r="R8" s="2">
        <f>COUNTIFS('QA_Issues'!$B$2:$B$52,B8,'QA_Issues'!$D$2:$D$52,"CRITICAL")</f>
        <v/>
      </c>
      <c r="S8" s="2">
        <f>COUNTIFS('QA_Issues'!$B$2:$B$52,B8,'QA_Issues'!$D$2:$D$52,"MAJOR")</f>
        <v/>
      </c>
      <c r="T8" s="2">
        <f>COUNTIFS('QA_Issues'!$B$2:$B$52,B8,'QA_Issues'!$D$2:$D$52,"MINOR")</f>
        <v/>
      </c>
      <c r="U8" s="2">
        <f>COUNTIFS('QA_Issues'!$B$2:$B$52,B8,'QA_Issues'!$D$2:$D$52,"LIMITATION")</f>
        <v/>
      </c>
      <c r="V8" s="2" t="inlineStr">
        <is>
          <t>["R2-ISS-037-IMG-03", "R2-ISS-037-IMG-05", "R2-ISS-037-DESC", "R2-ISS-037-PERS-OMIT", "R2-ISS-037-KEYWORD"]</t>
        </is>
      </c>
      <c r="W8" s="2" t="inlineStr">
        <is>
          <t>["evidence_batch_004_037", "https://jeminise.com/products/custom-american-football-on-cosmic-background-vintage-comforter-62a3849621-62a3849621", "serp_qa_037"]</t>
        </is>
      </c>
    </row>
    <row r="9" ht="42" customHeight="1">
      <c r="A9" s="3" t="n">
        <v>38</v>
      </c>
      <c r="B9" s="3" t="inlineStr">
        <is>
          <t>jeminise.com+custom-american-football-on-usa-flag-background-comforter-703a7c0d82-703a7c0d82</t>
        </is>
      </c>
      <c r="C9" s="4" t="inlineStr">
        <is>
          <t>https://jeminise.com/products/custom-american-football-on-usa-flag-background-comforter-703a7c0d82-703a7c0d82</t>
        </is>
      </c>
      <c r="D9" s="3" t="inlineStr">
        <is>
          <t>custom-american-football-on-usa-flag-background-comforter-703a7c0d82-703a7c0d82</t>
        </is>
      </c>
      <c r="E9" s="3" t="inlineStr">
        <is>
          <t>8834767421639</t>
        </is>
      </c>
      <c r="F9" s="3" t="inlineStr">
        <is>
          <t>r2</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6</v>
      </c>
      <c r="O9" s="3" t="n">
        <v>6</v>
      </c>
      <c r="P9" s="3" t="b">
        <v>1</v>
      </c>
      <c r="Q9" s="8" t="n">
        <v>1</v>
      </c>
      <c r="R9" s="3">
        <f>COUNTIFS('QA_Issues'!$B$2:$B$52,B9,'QA_Issues'!$D$2:$D$52,"CRITICAL")</f>
        <v/>
      </c>
      <c r="S9" s="3">
        <f>COUNTIFS('QA_Issues'!$B$2:$B$52,B9,'QA_Issues'!$D$2:$D$52,"MAJOR")</f>
        <v/>
      </c>
      <c r="T9" s="3">
        <f>COUNTIFS('QA_Issues'!$B$2:$B$52,B9,'QA_Issues'!$D$2:$D$52,"MINOR")</f>
        <v/>
      </c>
      <c r="U9" s="3">
        <f>COUNTIFS('QA_Issues'!$B$2:$B$52,B9,'QA_Issues'!$D$2:$D$52,"LIMITATION")</f>
        <v/>
      </c>
      <c r="V9" s="3" t="inlineStr">
        <is>
          <t>["R2-ISS-038-IMG-03", "R2-ISS-038-IMG-05", "R2-ISS-038-DESC", "R2-ISS-038-PERS-OMIT", "R2-ISS-038-KEYWORD"]</t>
        </is>
      </c>
      <c r="W9" s="3" t="inlineStr">
        <is>
          <t>["evidence_batch_004_038", "https://jeminise.com/products/custom-american-football-on-usa-flag-background-comforter-703a7c0d82-703a7c0d82", "serp_qa_038"]</t>
        </is>
      </c>
    </row>
    <row r="10" ht="42" customHeight="1">
      <c r="A10" s="2" t="n">
        <v>39</v>
      </c>
      <c r="B10" s="2" t="inlineStr">
        <is>
          <t>jeminise.com+custom-american-football-with-paint-splash-background-vintage-comforter-da0e1d5bf1-da0e1d5bf1</t>
        </is>
      </c>
      <c r="C10" s="4" t="inlineStr">
        <is>
          <t>https://jeminise.com/products/custom-american-football-with-paint-splash-background-vintage-comforter-da0e1d5bf1-da0e1d5bf1</t>
        </is>
      </c>
      <c r="D10" s="2" t="inlineStr">
        <is>
          <t>custom-american-football-with-paint-splash-background-vintage-comforter-da0e1d5bf1-da0e1d5bf1</t>
        </is>
      </c>
      <c r="E10" s="2" t="inlineStr">
        <is>
          <t>8834773319879</t>
        </is>
      </c>
      <c r="F10" s="2" t="inlineStr">
        <is>
          <t>r2</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6</v>
      </c>
      <c r="O10" s="2" t="n">
        <v>6</v>
      </c>
      <c r="P10" s="2" t="b">
        <v>1</v>
      </c>
      <c r="Q10" s="6" t="n">
        <v>1</v>
      </c>
      <c r="R10" s="2">
        <f>COUNTIFS('QA_Issues'!$B$2:$B$52,B10,'QA_Issues'!$D$2:$D$52,"CRITICAL")</f>
        <v/>
      </c>
      <c r="S10" s="2">
        <f>COUNTIFS('QA_Issues'!$B$2:$B$52,B10,'QA_Issues'!$D$2:$D$52,"MAJOR")</f>
        <v/>
      </c>
      <c r="T10" s="2">
        <f>COUNTIFS('QA_Issues'!$B$2:$B$52,B10,'QA_Issues'!$D$2:$D$52,"MINOR")</f>
        <v/>
      </c>
      <c r="U10" s="2">
        <f>COUNTIFS('QA_Issues'!$B$2:$B$52,B10,'QA_Issues'!$D$2:$D$52,"LIMITATION")</f>
        <v/>
      </c>
      <c r="V10" s="2" t="inlineStr">
        <is>
          <t>["R2-ISS-039-IMG-03", "R2-ISS-039-IMG-05", "R2-ISS-039-DESC", "R2-ISS-039-PERS-OMIT"]</t>
        </is>
      </c>
      <c r="W10" s="2" t="inlineStr">
        <is>
          <t>["evidence_batch_004_039", "https://jeminise.com/products/custom-american-football-with-paint-splash-background-vintage-comforter-da0e1d5bf1-da0e1d5bf1", "serp_qa_039"]</t>
        </is>
      </c>
    </row>
    <row r="11" ht="42" customHeight="1">
      <c r="A11" s="3" t="n">
        <v>40</v>
      </c>
      <c r="B11" s="3" t="inlineStr">
        <is>
          <t>jeminise.com+custom-american-football-with-patriotic-flag-comforter-4a3a1ed3c9-4a3a1ed3c9</t>
        </is>
      </c>
      <c r="C11" s="4" t="inlineStr">
        <is>
          <t>https://jeminise.com/products/custom-american-football-with-patriotic-flag-comforter-4a3a1ed3c9-4a3a1ed3c9</t>
        </is>
      </c>
      <c r="D11" s="3" t="inlineStr">
        <is>
          <t>custom-american-football-with-patriotic-flag-comforter-4a3a1ed3c9-4a3a1ed3c9</t>
        </is>
      </c>
      <c r="E11" s="3" t="inlineStr">
        <is>
          <t>8834768011463</t>
        </is>
      </c>
      <c r="F11" s="3" t="inlineStr">
        <is>
          <t>r2</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6</v>
      </c>
      <c r="O11" s="3" t="n">
        <v>6</v>
      </c>
      <c r="P11" s="3" t="b">
        <v>1</v>
      </c>
      <c r="Q11" s="8" t="n">
        <v>1</v>
      </c>
      <c r="R11" s="3">
        <f>COUNTIFS('QA_Issues'!$B$2:$B$52,B11,'QA_Issues'!$D$2:$D$52,"CRITICAL")</f>
        <v/>
      </c>
      <c r="S11" s="3">
        <f>COUNTIFS('QA_Issues'!$B$2:$B$52,B11,'QA_Issues'!$D$2:$D$52,"MAJOR")</f>
        <v/>
      </c>
      <c r="T11" s="3">
        <f>COUNTIFS('QA_Issues'!$B$2:$B$52,B11,'QA_Issues'!$D$2:$D$52,"MINOR")</f>
        <v/>
      </c>
      <c r="U11" s="3">
        <f>COUNTIFS('QA_Issues'!$B$2:$B$52,B11,'QA_Issues'!$D$2:$D$52,"LIMITATION")</f>
        <v/>
      </c>
      <c r="V11" s="3" t="inlineStr">
        <is>
          <t>["R2-ISS-040-IMG-03", "R2-ISS-040-IMG-05", "R2-ISS-040-DESC", "R2-ISS-040-PERS-OMIT", "R2-ISS-040-KEYWORD"]</t>
        </is>
      </c>
      <c r="W11" s="3" t="inlineStr">
        <is>
          <t>["evidence_batch_004_040", "https://jeminise.com/products/custom-american-football-with-patriotic-flag-comforter-4a3a1ed3c9-4a3a1ed3c9", "serp_qa_040"]</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jeminise.com+christmas-cardinals-near-snowy-birdhouse-patchwork-floral-quilt-b90d55a935-b90d55a935</t>
        </is>
      </c>
      <c r="B2" s="2" t="inlineStr">
        <is>
          <t>P1</t>
        </is>
      </c>
      <c r="C2" s="2" t="n">
        <v>15</v>
      </c>
      <c r="D2" s="2" t="inlineStr">
        <is>
          <t>FULL</t>
        </is>
      </c>
      <c r="E2" s="5">
        <f>IF(B2="I1",AVERAGEIF('QA_Images'!$A$2:$A$63,A2,'QA_Images'!$T$2:$T$63)/100,IF(D2="FULL",1,IF(D2="PARTIAL",0.5,IF(D2="FAIL",0,""))))</f>
        <v/>
      </c>
      <c r="F2" s="5">
        <f>IF(E2="",0,C2*E2)</f>
        <v/>
      </c>
      <c r="G2" s="5">
        <f>IF(B2="I1",20*AVERAGEIF('QA_Images'!$A$2:$A$63,A2,'QA_Images'!$U$2:$U$63)/100,IF(D2="NOT_CHECKED",0,C2))</f>
        <v/>
      </c>
      <c r="H2" s="2" t="inlineStr">
        <is>
          <t>Đối chiếu loại sản phẩm, thiết kế và màu với product JSON, H1 live và toàn bộ gallery.</t>
        </is>
      </c>
      <c r="I2" s="2" t="inlineStr">
        <is>
          <t>["evidence_batch_004_031", "https://jeminise.com/products/christmas-cardinals-near-snowy-birdhouse-patchwork-floral-quilt-b90d55a935-b90d55a935", "serp_qa_031"]</t>
        </is>
      </c>
      <c r="J2" s="2" t="inlineStr">
        <is>
          <t>["R2-ISS-031-IMG-03", "R2-ISS-031-IMG-04", "R2-ISS-031-IMG-05", "R2-ISS-031-IMG-06", "R2-ISS-031-DESC", "ISS-031-SERP"]</t>
        </is>
      </c>
    </row>
    <row r="3" ht="42" customHeight="1">
      <c r="A3" s="3" t="inlineStr">
        <is>
          <t>jeminise.com+christmas-cardinals-near-snowy-birdhouse-patchwork-floral-quilt-b90d55a935-b90d55a935</t>
        </is>
      </c>
      <c r="B3" s="3" t="inlineStr">
        <is>
          <t>P2</t>
        </is>
      </c>
      <c r="C3" s="3" t="n">
        <v>10</v>
      </c>
      <c r="D3" s="3" t="inlineStr">
        <is>
          <t>FULL</t>
        </is>
      </c>
      <c r="E3" s="7">
        <f>IF(B3="I1",AVERAGEIF('QA_Images'!$A$2:$A$63,A3,'QA_Images'!$T$2:$T$63)/100,IF(D3="FULL",1,IF(D3="PARTIAL",0.5,IF(D3="FAIL",0,""))))</f>
        <v/>
      </c>
      <c r="F3" s="7">
        <f>IF(E3="",0,C3*E3)</f>
        <v/>
      </c>
      <c r="G3" s="7">
        <f>IF(B3="I1",20*AVERAGEIF('QA_Images'!$A$2:$A$63,A3,'QA_Images'!$U$2:$U$63)/100,IF(D3="NOT_CHECKED",0,C3))</f>
        <v/>
      </c>
      <c r="H3" s="3" t="inlineStr">
        <is>
          <t>Đối chiếu specifications, variants, components và personalization với product.js live, body HTML và ảnh.</t>
        </is>
      </c>
      <c r="I3" s="3" t="inlineStr">
        <is>
          <t>["evidence_batch_004_031", "https://jeminise.com/products/christmas-cardinals-near-snowy-birdhouse-patchwork-floral-quilt-b90d55a935-b90d55a935", "serp_qa_031"]</t>
        </is>
      </c>
      <c r="J3" s="3" t="inlineStr">
        <is>
          <t>["R2-ISS-031-IMG-03", "R2-ISS-031-IMG-04", "R2-ISS-031-IMG-05", "R2-ISS-031-IMG-06", "R2-ISS-031-DESC", "ISS-031-SERP"]</t>
        </is>
      </c>
    </row>
    <row r="4" ht="42" customHeight="1">
      <c r="A4" s="2" t="inlineStr">
        <is>
          <t>jeminise.com+christmas-cardinals-near-snowy-birdhouse-patchwork-floral-quilt-b90d55a935-b90d55a935</t>
        </is>
      </c>
      <c r="B4" s="2" t="inlineStr">
        <is>
          <t>K1</t>
        </is>
      </c>
      <c r="C4" s="2" t="n">
        <v>10</v>
      </c>
      <c r="D4" s="2" t="inlineStr">
        <is>
          <t>FULL</t>
        </is>
      </c>
      <c r="E4" s="5">
        <f>IF(B4="I1",AVERAGEIF('QA_Images'!$A$2:$A$63,A4,'QA_Images'!$T$2:$T$63)/100,IF(D4="FULL",1,IF(D4="PARTIAL",0.5,IF(D4="FAIL",0,""))))</f>
        <v/>
      </c>
      <c r="F4" s="5">
        <f>IF(E4="",0,C4*E4)</f>
        <v/>
      </c>
      <c r="G4" s="5">
        <f>IF(B4="I1",20*AVERAGEIF('QA_Images'!$A$2:$A$63,A4,'QA_Images'!$U$2:$U$63)/100,IF(D4="NOT_CHECKED",0,C4))</f>
        <v/>
      </c>
      <c r="H4" s="2" t="inlineStr">
        <is>
          <t>Đối chiếu long-tail với thiết kế riêng và nguy cơ trùng intent trong cụm sản phẩm.</t>
        </is>
      </c>
      <c r="I4" s="2" t="inlineStr">
        <is>
          <t>["evidence_batch_004_031", "https://jeminise.com/products/christmas-cardinals-near-snowy-birdhouse-patchwork-floral-quilt-b90d55a935-b90d55a935", "serp_qa_031"]</t>
        </is>
      </c>
      <c r="J4" s="2" t="inlineStr">
        <is>
          <t>["R2-ISS-031-IMG-03", "R2-ISS-031-IMG-04", "R2-ISS-031-IMG-05", "R2-ISS-031-IMG-06", "R2-ISS-031-DESC", "ISS-031-SERP"]</t>
        </is>
      </c>
    </row>
    <row r="5" ht="42" customHeight="1">
      <c r="A5" s="3" t="inlineStr">
        <is>
          <t>jeminise.com+christmas-cardinals-near-snowy-birdhouse-patchwork-floral-quilt-b90d55a935-b90d55a935</t>
        </is>
      </c>
      <c r="B5" s="3" t="inlineStr">
        <is>
          <t>K2</t>
        </is>
      </c>
      <c r="C5" s="3" t="n">
        <v>5</v>
      </c>
      <c r="D5" s="3" t="inlineStr">
        <is>
          <t>PARTIAL</t>
        </is>
      </c>
      <c r="E5" s="7">
        <f>IF(B5="I1",AVERAGEIF('QA_Images'!$A$2:$A$63,A5,'QA_Images'!$T$2:$T$63)/100,IF(D5="FULL",1,IF(D5="PARTIAL",0.5,IF(D5="FAIL",0,""))))</f>
        <v/>
      </c>
      <c r="F5" s="7">
        <f>IF(E5="",0,C5*E5)</f>
        <v/>
      </c>
      <c r="G5" s="7">
        <f>IF(B5="I1",20*AVERAGEIF('QA_Images'!$A$2:$A$63,A5,'QA_Images'!$U$2:$U$63)/100,IF(D5="NOT_CHECKED",0,C5))</f>
        <v/>
      </c>
      <c r="H5" s="3" t="inlineStr">
        <is>
          <t>Đã đọc primary và comparator SERP theo US intent; không dùng claim volume.</t>
        </is>
      </c>
      <c r="I5" s="3" t="inlineStr">
        <is>
          <t>["evidence_batch_004_031", "https://jeminise.com/products/christmas-cardinals-near-snowy-birdhouse-patchwork-floral-quilt-b90d55a935-b90d55a935", "serp_qa_031"]</t>
        </is>
      </c>
      <c r="J5" s="3" t="inlineStr">
        <is>
          <t>["R2-ISS-031-IMG-03", "R2-ISS-031-IMG-04", "R2-ISS-031-IMG-05", "R2-ISS-031-IMG-06", "R2-ISS-031-DESC", "ISS-031-SERP"]</t>
        </is>
      </c>
    </row>
    <row r="6" ht="42" customHeight="1">
      <c r="A6" s="2" t="inlineStr">
        <is>
          <t>jeminise.com+christmas-cardinals-near-snowy-birdhouse-patchwork-floral-quilt-b90d55a935-b90d55a935</t>
        </is>
      </c>
      <c r="B6" s="2" t="inlineStr">
        <is>
          <t>K3</t>
        </is>
      </c>
      <c r="C6" s="2" t="n">
        <v>5</v>
      </c>
      <c r="D6" s="2" t="inlineStr">
        <is>
          <t>PARTIAL</t>
        </is>
      </c>
      <c r="E6" s="5">
        <f>IF(B6="I1",AVERAGEIF('QA_Images'!$A$2:$A$63,A6,'QA_Images'!$T$2:$T$63)/100,IF(D6="FULL",1,IF(D6="PARTIAL",0.5,IF(D6="FAIL",0,""))))</f>
        <v/>
      </c>
      <c r="F6" s="5">
        <f>IF(E6="",0,C6*E6)</f>
        <v/>
      </c>
      <c r="G6" s="5">
        <f>IF(B6="I1",20*AVERAGEIF('QA_Images'!$A$2:$A$63,A6,'QA_Images'!$U$2:$U$63)/100,IF(D6="NOT_CHECKED",0,C6))</f>
        <v/>
      </c>
      <c r="H6" s="2" t="inlineStr">
        <is>
          <t>Không suy diễn volume; phân biệt SERP_ONLY và HYPOTHESIS_ONLY.</t>
        </is>
      </c>
      <c r="I6" s="2" t="inlineStr">
        <is>
          <t>["evidence_batch_004_031", "https://jeminise.com/products/christmas-cardinals-near-snowy-birdhouse-patchwork-floral-quilt-b90d55a935-b90d55a935", "serp_qa_031"]</t>
        </is>
      </c>
      <c r="J6" s="2" t="inlineStr">
        <is>
          <t>["R2-ISS-031-IMG-03", "R2-ISS-031-IMG-04", "R2-ISS-031-IMG-05", "R2-ISS-031-IMG-06", "R2-ISS-031-DESC", "ISS-031-SERP"]</t>
        </is>
      </c>
    </row>
    <row r="7" ht="42" customHeight="1">
      <c r="A7" s="3" t="inlineStr">
        <is>
          <t>jeminise.com+christmas-cardinals-near-snowy-birdhouse-patchwork-floral-quilt-b90d55a935-b90d55a935</t>
        </is>
      </c>
      <c r="B7" s="3" t="inlineStr">
        <is>
          <t>T1</t>
        </is>
      </c>
      <c r="C7" s="3" t="n">
        <v>10</v>
      </c>
      <c r="D7" s="3" t="inlineStr">
        <is>
          <t>FULL</t>
        </is>
      </c>
      <c r="E7" s="7">
        <f>IF(B7="I1",AVERAGEIF('QA_Images'!$A$2:$A$63,A7,'QA_Images'!$T$2:$T$63)/100,IF(D7="FULL",1,IF(D7="PARTIAL",0.5,IF(D7="FAIL",0,""))))</f>
        <v/>
      </c>
      <c r="F7" s="7">
        <f>IF(E7="",0,C7*E7)</f>
        <v/>
      </c>
      <c r="G7" s="7">
        <f>IF(B7="I1",20*AVERAGEIF('QA_Images'!$A$2:$A$63,A7,'QA_Images'!$U$2:$U$63)/100,IF(D7="NOT_CHECKED",0,C7))</f>
        <v/>
      </c>
      <c r="H7" s="3" t="inlineStr">
        <is>
          <t>Đánh giá SEO title English về độ đúng, tự nhiên, keyword và điểm phân biệt.</t>
        </is>
      </c>
      <c r="I7" s="3" t="inlineStr">
        <is>
          <t>["evidence_batch_004_031", "https://jeminise.com/products/christmas-cardinals-near-snowy-birdhouse-patchwork-floral-quilt-b90d55a935-b90d55a935", "serp_qa_031"]</t>
        </is>
      </c>
      <c r="J7" s="3" t="inlineStr">
        <is>
          <t>["R2-ISS-031-IMG-03", "R2-ISS-031-IMG-04", "R2-ISS-031-IMG-05", "R2-ISS-031-IMG-06", "R2-ISS-031-DESC", "ISS-031-SERP"]</t>
        </is>
      </c>
    </row>
    <row r="8" ht="42" customHeight="1">
      <c r="A8" s="2" t="inlineStr">
        <is>
          <t>jeminise.com+christmas-cardinals-near-snowy-birdhouse-patchwork-floral-quilt-b90d55a935-b90d55a935</t>
        </is>
      </c>
      <c r="B8" s="2" t="inlineStr">
        <is>
          <t>T2</t>
        </is>
      </c>
      <c r="C8" s="2" t="n">
        <v>5</v>
      </c>
      <c r="D8" s="2" t="inlineStr">
        <is>
          <t>FULL</t>
        </is>
      </c>
      <c r="E8" s="5">
        <f>IF(B8="I1",AVERAGEIF('QA_Images'!$A$2:$A$63,A8,'QA_Images'!$T$2:$T$63)/100,IF(D8="FULL",1,IF(D8="PARTIAL",0.5,IF(D8="FAIL",0,""))))</f>
        <v/>
      </c>
      <c r="F8" s="5">
        <f>IF(E8="",0,C8*E8)</f>
        <v/>
      </c>
      <c r="G8" s="5">
        <f>IF(B8="I1",20*AVERAGEIF('QA_Images'!$A$2:$A$63,A8,'QA_Images'!$U$2:$U$63)/100,IF(D8="NOT_CHECKED",0,C8))</f>
        <v/>
      </c>
      <c r="H8" s="2" t="inlineStr">
        <is>
          <t>Đánh giá H1 đề xuất độc lập với SEO title và đối chiếu lỗi ký tự nguồn.</t>
        </is>
      </c>
      <c r="I8" s="2" t="inlineStr">
        <is>
          <t>["evidence_batch_004_031", "https://jeminise.com/products/christmas-cardinals-near-snowy-birdhouse-patchwork-floral-quilt-b90d55a935-b90d55a935", "serp_qa_031"]</t>
        </is>
      </c>
      <c r="J8" s="2" t="inlineStr">
        <is>
          <t>["R2-ISS-031-IMG-03", "R2-ISS-031-IMG-04", "R2-ISS-031-IMG-05", "R2-ISS-031-IMG-06", "R2-ISS-031-DESC", "ISS-031-SERP"]</t>
        </is>
      </c>
    </row>
    <row r="9" ht="42" customHeight="1">
      <c r="A9" s="3" t="inlineStr">
        <is>
          <t>jeminise.com+christmas-cardinals-near-snowy-birdhouse-patchwork-floral-quilt-b90d55a935-b90d55a935</t>
        </is>
      </c>
      <c r="B9" s="3" t="inlineStr">
        <is>
          <t>D1</t>
        </is>
      </c>
      <c r="C9" s="3" t="n">
        <v>5</v>
      </c>
      <c r="D9" s="3" t="inlineStr">
        <is>
          <t>PARTIAL</t>
        </is>
      </c>
      <c r="E9" s="7">
        <f>IF(B9="I1",AVERAGEIF('QA_Images'!$A$2:$A$63,A9,'QA_Images'!$T$2:$T$63)/100,IF(D9="FULL",1,IF(D9="PARTIAL",0.5,IF(D9="FAIL",0,""))))</f>
        <v/>
      </c>
      <c r="F9" s="7">
        <f>IF(E9="",0,C9*E9)</f>
        <v/>
      </c>
      <c r="G9" s="7">
        <f>IF(B9="I1",20*AVERAGEIF('QA_Images'!$A$2:$A$63,A9,'QA_Images'!$U$2:$U$63)/100,IF(D9="NOT_CHECKED",0,C9))</f>
        <v/>
      </c>
      <c r="H9" s="3" t="inlineStr">
        <is>
          <t>Đánh giá meta description về tính cụ thể và căn cứ claim.</t>
        </is>
      </c>
      <c r="I9" s="3" t="inlineStr">
        <is>
          <t>["evidence_batch_004_031", "https://jeminise.com/products/christmas-cardinals-near-snowy-birdhouse-patchwork-floral-quilt-b90d55a935-b90d55a935", "serp_qa_031"]</t>
        </is>
      </c>
      <c r="J9" s="3" t="inlineStr">
        <is>
          <t>["R2-ISS-031-IMG-03", "R2-ISS-031-IMG-04", "R2-ISS-031-IMG-05", "R2-ISS-031-IMG-06", "R2-ISS-031-DESC", "ISS-031-SERP"]</t>
        </is>
      </c>
    </row>
    <row r="10" ht="42" customHeight="1">
      <c r="A10" s="2" t="inlineStr">
        <is>
          <t>jeminise.com+christmas-cardinals-near-snowy-birdhouse-patchwork-floral-quilt-b90d55a935-b90d55a935</t>
        </is>
      </c>
      <c r="B10" s="2" t="inlineStr">
        <is>
          <t>D2</t>
        </is>
      </c>
      <c r="C10" s="2" t="n">
        <v>10</v>
      </c>
      <c r="D10" s="2" t="inlineStr">
        <is>
          <t>PARTIAL</t>
        </is>
      </c>
      <c r="E10" s="5">
        <f>IF(B10="I1",AVERAGEIF('QA_Images'!$A$2:$A$63,A10,'QA_Images'!$T$2:$T$63)/100,IF(D10="FULL",1,IF(D10="PARTIAL",0.5,IF(D10="FAIL",0,""))))</f>
        <v/>
      </c>
      <c r="F10" s="5">
        <f>IF(E10="",0,C10*E10)</f>
        <v/>
      </c>
      <c r="G10" s="5">
        <f>IF(B10="I1",20*AVERAGEIF('QA_Images'!$A$2:$A$63,A10,'QA_Images'!$U$2:$U$63)/100,IF(D10="NOT_CHECKED",0,C10))</f>
        <v/>
      </c>
      <c r="H10" s="2" t="inlineStr">
        <is>
          <t>Description SET có HTML đầy đủ nhưng chứa câu nội bộ 'This draft should be reviewed...' và dữ liệu nguồn thô/mâu thuẫn; chưa phải nội dung publish-ready.</t>
        </is>
      </c>
      <c r="I10" s="2" t="inlineStr">
        <is>
          <t>["evidence_batch_004_031", "https://jeminise.com/products/christmas-cardinals-near-snowy-birdhouse-patchwork-floral-quilt-b90d55a935-b90d55a935", "serp_qa_031"]</t>
        </is>
      </c>
      <c r="J10" s="2" t="inlineStr">
        <is>
          <t>["R2-ISS-031-IMG-03", "R2-ISS-031-IMG-04", "R2-ISS-031-IMG-05", "R2-ISS-031-IMG-06", "R2-ISS-031-DESC", "ISS-031-SERP"]</t>
        </is>
      </c>
    </row>
    <row r="11" ht="42" customHeight="1">
      <c r="A11" s="3" t="inlineStr">
        <is>
          <t>jeminise.com+christmas-cardinals-near-snowy-birdhouse-patchwork-floral-quilt-b90d55a935-b90d55a935</t>
        </is>
      </c>
      <c r="B11" s="3" t="inlineStr">
        <is>
          <t>I1</t>
        </is>
      </c>
      <c r="C11" s="3" t="n">
        <v>20</v>
      </c>
      <c r="D11" s="3" t="inlineStr">
        <is>
          <t>DERIVED</t>
        </is>
      </c>
      <c r="E11" s="7">
        <f>IF(B11="I1",AVERAGEIF('QA_Images'!$A$2:$A$63,A11,'QA_Images'!$T$2:$T$63)/100,IF(D11="FULL",1,IF(D11="PARTIAL",0.5,IF(D11="FAIL",0,""))))</f>
        <v/>
      </c>
      <c r="F11" s="7">
        <f>IF(E11="",0,C11*E11)</f>
        <v/>
      </c>
      <c r="G11" s="7">
        <f>IF(B11="I1",20*AVERAGEIF('QA_Images'!$A$2:$A$63,A11,'QA_Images'!$U$2:$U$63)/100,IF(D11="NOT_CHECKED",0,C11))</f>
        <v/>
      </c>
      <c r="H11" s="3" t="inlineStr">
        <is>
          <t>Tính từ trung bình 7 ảnh: 82.1429/100.</t>
        </is>
      </c>
      <c r="I11" s="3" t="inlineStr">
        <is>
          <t>["evidence_batch_004_031", "https://jeminise.com/products/christmas-cardinals-near-snowy-birdhouse-patchwork-floral-quilt-b90d55a935-b90d55a935", "serp_qa_031"]</t>
        </is>
      </c>
      <c r="J11" s="3" t="inlineStr">
        <is>
          <t>["R2-ISS-031-IMG-03", "R2-ISS-031-IMG-04", "R2-ISS-031-IMG-05", "R2-ISS-031-IMG-06", "R2-ISS-031-DESC", "ISS-031-SERP"]</t>
        </is>
      </c>
    </row>
    <row r="12" ht="42" customHeight="1">
      <c r="A12" s="2" t="inlineStr">
        <is>
          <t>jeminise.com+christmas-cardinals-near-snowy-birdhouse-patchwork-floral-quilt-b90d55a935-b90d55a935</t>
        </is>
      </c>
      <c r="B12" s="2" t="inlineStr">
        <is>
          <t>E1</t>
        </is>
      </c>
      <c r="C12" s="2" t="n">
        <v>5</v>
      </c>
      <c r="D12" s="2" t="inlineStr">
        <is>
          <t>FULL</t>
        </is>
      </c>
      <c r="E12" s="5">
        <f>IF(B12="I1",AVERAGEIF('QA_Images'!$A$2:$A$63,A12,'QA_Images'!$T$2:$T$63)/100,IF(D12="FULL",1,IF(D12="PARTIAL",0.5,IF(D12="FAIL",0,""))))</f>
        <v/>
      </c>
      <c r="F12" s="5">
        <f>IF(E12="",0,C12*E12)</f>
        <v/>
      </c>
      <c r="G12" s="5">
        <f>IF(B12="I1",20*AVERAGEIF('QA_Images'!$A$2:$A$63,A12,'QA_Images'!$U$2:$U$63)/100,IF(D12="NOT_CHECKED",0,C12))</f>
        <v/>
      </c>
      <c r="H12" s="2" t="inlineStr">
        <is>
          <t>Kiểm tra chuỗi evidence và giới hạn do thiếu admin export/browser tương tác.</t>
        </is>
      </c>
      <c r="I12" s="2" t="inlineStr">
        <is>
          <t>["evidence_batch_004_031", "https://jeminise.com/products/christmas-cardinals-near-snowy-birdhouse-patchwork-floral-quilt-b90d55a935-b90d55a935", "serp_qa_031"]</t>
        </is>
      </c>
      <c r="J12" s="2" t="inlineStr">
        <is>
          <t>["R2-ISS-031-IMG-03", "R2-ISS-031-IMG-04", "R2-ISS-031-IMG-05", "R2-ISS-031-IMG-06", "R2-ISS-031-DESC", "ISS-031-SERP"]</t>
        </is>
      </c>
    </row>
    <row r="13" ht="42" customHeight="1">
      <c r="A13" s="3" t="inlineStr">
        <is>
          <t>jeminise.com+christmas-cardinals-on-snowy-branches-patchwork-winter-quilt-8fa1a9e2ed-8fa1a9e2ed</t>
        </is>
      </c>
      <c r="B13" s="3" t="inlineStr">
        <is>
          <t>P1</t>
        </is>
      </c>
      <c r="C13" s="3" t="n">
        <v>15</v>
      </c>
      <c r="D13" s="3" t="inlineStr">
        <is>
          <t>FULL</t>
        </is>
      </c>
      <c r="E13" s="7">
        <f>IF(B13="I1",AVERAGEIF('QA_Images'!$A$2:$A$63,A13,'QA_Images'!$T$2:$T$63)/100,IF(D13="FULL",1,IF(D13="PARTIAL",0.5,IF(D13="FAIL",0,""))))</f>
        <v/>
      </c>
      <c r="F13" s="7">
        <f>IF(E13="",0,C13*E13)</f>
        <v/>
      </c>
      <c r="G13" s="7">
        <f>IF(B13="I1",20*AVERAGEIF('QA_Images'!$A$2:$A$63,A13,'QA_Images'!$U$2:$U$63)/100,IF(D13="NOT_CHECKED",0,C13))</f>
        <v/>
      </c>
      <c r="H13" s="3" t="inlineStr">
        <is>
          <t>Đối chiếu loại sản phẩm, thiết kế và màu với product JSON, H1 live và toàn bộ gallery.</t>
        </is>
      </c>
      <c r="I13" s="3" t="inlineStr">
        <is>
          <t>["evidence_batch_004_032", "https://jeminise.com/products/christmas-cardinals-on-snowy-branches-patchwork-winter-quilt-8fa1a9e2ed-8fa1a9e2ed", "serp_qa_032"]</t>
        </is>
      </c>
      <c r="J13" s="3" t="inlineStr">
        <is>
          <t>["R2-ISS-032-IMG-02", "R2-ISS-032-IMG-03", "R2-ISS-032-IMG-04", "R2-ISS-032-IMG-05", "R2-ISS-032-DESC"]</t>
        </is>
      </c>
    </row>
    <row r="14" ht="42" customHeight="1">
      <c r="A14" s="2" t="inlineStr">
        <is>
          <t>jeminise.com+christmas-cardinals-on-snowy-branches-patchwork-winter-quilt-8fa1a9e2ed-8fa1a9e2ed</t>
        </is>
      </c>
      <c r="B14" s="2" t="inlineStr">
        <is>
          <t>P2</t>
        </is>
      </c>
      <c r="C14" s="2" t="n">
        <v>10</v>
      </c>
      <c r="D14" s="2" t="inlineStr">
        <is>
          <t>FULL</t>
        </is>
      </c>
      <c r="E14" s="5">
        <f>IF(B14="I1",AVERAGEIF('QA_Images'!$A$2:$A$63,A14,'QA_Images'!$T$2:$T$63)/100,IF(D14="FULL",1,IF(D14="PARTIAL",0.5,IF(D14="FAIL",0,""))))</f>
        <v/>
      </c>
      <c r="F14" s="5">
        <f>IF(E14="",0,C14*E14)</f>
        <v/>
      </c>
      <c r="G14" s="5">
        <f>IF(B14="I1",20*AVERAGEIF('QA_Images'!$A$2:$A$63,A14,'QA_Images'!$U$2:$U$63)/100,IF(D14="NOT_CHECKED",0,C14))</f>
        <v/>
      </c>
      <c r="H14" s="2" t="inlineStr">
        <is>
          <t>Đối chiếu specifications, variants, components và personalization với product.js live, body HTML và ảnh.</t>
        </is>
      </c>
      <c r="I14" s="2" t="inlineStr">
        <is>
          <t>["evidence_batch_004_032", "https://jeminise.com/products/christmas-cardinals-on-snowy-branches-patchwork-winter-quilt-8fa1a9e2ed-8fa1a9e2ed", "serp_qa_032"]</t>
        </is>
      </c>
      <c r="J14" s="2" t="inlineStr">
        <is>
          <t>["R2-ISS-032-IMG-02", "R2-ISS-032-IMG-03", "R2-ISS-032-IMG-04", "R2-ISS-032-IMG-05", "R2-ISS-032-DESC"]</t>
        </is>
      </c>
    </row>
    <row r="15" ht="42" customHeight="1">
      <c r="A15" s="3" t="inlineStr">
        <is>
          <t>jeminise.com+christmas-cardinals-on-snowy-branches-patchwork-winter-quilt-8fa1a9e2ed-8fa1a9e2ed</t>
        </is>
      </c>
      <c r="B15" s="3" t="inlineStr">
        <is>
          <t>K1</t>
        </is>
      </c>
      <c r="C15" s="3" t="n">
        <v>10</v>
      </c>
      <c r="D15" s="3" t="inlineStr">
        <is>
          <t>FULL</t>
        </is>
      </c>
      <c r="E15" s="7">
        <f>IF(B15="I1",AVERAGEIF('QA_Images'!$A$2:$A$63,A15,'QA_Images'!$T$2:$T$63)/100,IF(D15="FULL",1,IF(D15="PARTIAL",0.5,IF(D15="FAIL",0,""))))</f>
        <v/>
      </c>
      <c r="F15" s="7">
        <f>IF(E15="",0,C15*E15)</f>
        <v/>
      </c>
      <c r="G15" s="7">
        <f>IF(B15="I1",20*AVERAGEIF('QA_Images'!$A$2:$A$63,A15,'QA_Images'!$U$2:$U$63)/100,IF(D15="NOT_CHECKED",0,C15))</f>
        <v/>
      </c>
      <c r="H15" s="3" t="inlineStr">
        <is>
          <t>Đối chiếu long-tail với thiết kế riêng và nguy cơ trùng intent trong cụm sản phẩm.</t>
        </is>
      </c>
      <c r="I15" s="3" t="inlineStr">
        <is>
          <t>["evidence_batch_004_032", "https://jeminise.com/products/christmas-cardinals-on-snowy-branches-patchwork-winter-quilt-8fa1a9e2ed-8fa1a9e2ed", "serp_qa_032"]</t>
        </is>
      </c>
      <c r="J15" s="3" t="inlineStr">
        <is>
          <t>["R2-ISS-032-IMG-02", "R2-ISS-032-IMG-03", "R2-ISS-032-IMG-04", "R2-ISS-032-IMG-05", "R2-ISS-032-DESC"]</t>
        </is>
      </c>
    </row>
    <row r="16" ht="42" customHeight="1">
      <c r="A16" s="2" t="inlineStr">
        <is>
          <t>jeminise.com+christmas-cardinals-on-snowy-branches-patchwork-winter-quilt-8fa1a9e2ed-8fa1a9e2ed</t>
        </is>
      </c>
      <c r="B16" s="2" t="inlineStr">
        <is>
          <t>K2</t>
        </is>
      </c>
      <c r="C16" s="2" t="n">
        <v>5</v>
      </c>
      <c r="D16" s="2" t="inlineStr">
        <is>
          <t>FULL</t>
        </is>
      </c>
      <c r="E16" s="5">
        <f>IF(B16="I1",AVERAGEIF('QA_Images'!$A$2:$A$63,A16,'QA_Images'!$T$2:$T$63)/100,IF(D16="FULL",1,IF(D16="PARTIAL",0.5,IF(D16="FAIL",0,""))))</f>
        <v/>
      </c>
      <c r="F16" s="5">
        <f>IF(E16="",0,C16*E16)</f>
        <v/>
      </c>
      <c r="G16" s="5">
        <f>IF(B16="I1",20*AVERAGEIF('QA_Images'!$A$2:$A$63,A16,'QA_Images'!$U$2:$U$63)/100,IF(D16="NOT_CHECKED",0,C16))</f>
        <v/>
      </c>
      <c r="H16" s="2" t="inlineStr">
        <is>
          <t>Đã đọc primary và comparator SERP theo US intent; không dùng claim volume.</t>
        </is>
      </c>
      <c r="I16" s="2" t="inlineStr">
        <is>
          <t>["evidence_batch_004_032", "https://jeminise.com/products/christmas-cardinals-on-snowy-branches-patchwork-winter-quilt-8fa1a9e2ed-8fa1a9e2ed", "serp_qa_032"]</t>
        </is>
      </c>
      <c r="J16" s="2" t="inlineStr">
        <is>
          <t>["R2-ISS-032-IMG-02", "R2-ISS-032-IMG-03", "R2-ISS-032-IMG-04", "R2-ISS-032-IMG-05", "R2-ISS-032-DESC"]</t>
        </is>
      </c>
    </row>
    <row r="17" ht="42" customHeight="1">
      <c r="A17" s="3" t="inlineStr">
        <is>
          <t>jeminise.com+christmas-cardinals-on-snowy-branches-patchwork-winter-quilt-8fa1a9e2ed-8fa1a9e2ed</t>
        </is>
      </c>
      <c r="B17" s="3" t="inlineStr">
        <is>
          <t>K3</t>
        </is>
      </c>
      <c r="C17" s="3" t="n">
        <v>5</v>
      </c>
      <c r="D17" s="3" t="inlineStr">
        <is>
          <t>PARTIAL</t>
        </is>
      </c>
      <c r="E17" s="7">
        <f>IF(B17="I1",AVERAGEIF('QA_Images'!$A$2:$A$63,A17,'QA_Images'!$T$2:$T$63)/100,IF(D17="FULL",1,IF(D17="PARTIAL",0.5,IF(D17="FAIL",0,""))))</f>
        <v/>
      </c>
      <c r="F17" s="7">
        <f>IF(E17="",0,C17*E17)</f>
        <v/>
      </c>
      <c r="G17" s="7">
        <f>IF(B17="I1",20*AVERAGEIF('QA_Images'!$A$2:$A$63,A17,'QA_Images'!$U$2:$U$63)/100,IF(D17="NOT_CHECKED",0,C17))</f>
        <v/>
      </c>
      <c r="H17" s="3" t="inlineStr">
        <is>
          <t>Không suy diễn volume; phân biệt SERP_ONLY và HYPOTHESIS_ONLY.</t>
        </is>
      </c>
      <c r="I17" s="3" t="inlineStr">
        <is>
          <t>["evidence_batch_004_032", "https://jeminise.com/products/christmas-cardinals-on-snowy-branches-patchwork-winter-quilt-8fa1a9e2ed-8fa1a9e2ed", "serp_qa_032"]</t>
        </is>
      </c>
      <c r="J17" s="3" t="inlineStr">
        <is>
          <t>["R2-ISS-032-IMG-02", "R2-ISS-032-IMG-03", "R2-ISS-032-IMG-04", "R2-ISS-032-IMG-05", "R2-ISS-032-DESC"]</t>
        </is>
      </c>
    </row>
    <row r="18" ht="42" customHeight="1">
      <c r="A18" s="2" t="inlineStr">
        <is>
          <t>jeminise.com+christmas-cardinals-on-snowy-branches-patchwork-winter-quilt-8fa1a9e2ed-8fa1a9e2ed</t>
        </is>
      </c>
      <c r="B18" s="2" t="inlineStr">
        <is>
          <t>T1</t>
        </is>
      </c>
      <c r="C18" s="2" t="n">
        <v>10</v>
      </c>
      <c r="D18" s="2" t="inlineStr">
        <is>
          <t>FULL</t>
        </is>
      </c>
      <c r="E18" s="5">
        <f>IF(B18="I1",AVERAGEIF('QA_Images'!$A$2:$A$63,A18,'QA_Images'!$T$2:$T$63)/100,IF(D18="FULL",1,IF(D18="PARTIAL",0.5,IF(D18="FAIL",0,""))))</f>
        <v/>
      </c>
      <c r="F18" s="5">
        <f>IF(E18="",0,C18*E18)</f>
        <v/>
      </c>
      <c r="G18" s="5">
        <f>IF(B18="I1",20*AVERAGEIF('QA_Images'!$A$2:$A$63,A18,'QA_Images'!$U$2:$U$63)/100,IF(D18="NOT_CHECKED",0,C18))</f>
        <v/>
      </c>
      <c r="H18" s="2" t="inlineStr">
        <is>
          <t>Đánh giá SEO title English về độ đúng, tự nhiên, keyword và điểm phân biệt.</t>
        </is>
      </c>
      <c r="I18" s="2" t="inlineStr">
        <is>
          <t>["evidence_batch_004_032", "https://jeminise.com/products/christmas-cardinals-on-snowy-branches-patchwork-winter-quilt-8fa1a9e2ed-8fa1a9e2ed", "serp_qa_032"]</t>
        </is>
      </c>
      <c r="J18" s="2" t="inlineStr">
        <is>
          <t>["R2-ISS-032-IMG-02", "R2-ISS-032-IMG-03", "R2-ISS-032-IMG-04", "R2-ISS-032-IMG-05", "R2-ISS-032-DESC"]</t>
        </is>
      </c>
    </row>
    <row r="19" ht="42" customHeight="1">
      <c r="A19" s="3" t="inlineStr">
        <is>
          <t>jeminise.com+christmas-cardinals-on-snowy-branches-patchwork-winter-quilt-8fa1a9e2ed-8fa1a9e2ed</t>
        </is>
      </c>
      <c r="B19" s="3" t="inlineStr">
        <is>
          <t>T2</t>
        </is>
      </c>
      <c r="C19" s="3" t="n">
        <v>5</v>
      </c>
      <c r="D19" s="3" t="inlineStr">
        <is>
          <t>FULL</t>
        </is>
      </c>
      <c r="E19" s="7">
        <f>IF(B19="I1",AVERAGEIF('QA_Images'!$A$2:$A$63,A19,'QA_Images'!$T$2:$T$63)/100,IF(D19="FULL",1,IF(D19="PARTIAL",0.5,IF(D19="FAIL",0,""))))</f>
        <v/>
      </c>
      <c r="F19" s="7">
        <f>IF(E19="",0,C19*E19)</f>
        <v/>
      </c>
      <c r="G19" s="7">
        <f>IF(B19="I1",20*AVERAGEIF('QA_Images'!$A$2:$A$63,A19,'QA_Images'!$U$2:$U$63)/100,IF(D19="NOT_CHECKED",0,C19))</f>
        <v/>
      </c>
      <c r="H19" s="3" t="inlineStr">
        <is>
          <t>Đánh giá H1 đề xuất độc lập với SEO title và đối chiếu lỗi ký tự nguồn.</t>
        </is>
      </c>
      <c r="I19" s="3" t="inlineStr">
        <is>
          <t>["evidence_batch_004_032", "https://jeminise.com/products/christmas-cardinals-on-snowy-branches-patchwork-winter-quilt-8fa1a9e2ed-8fa1a9e2ed", "serp_qa_032"]</t>
        </is>
      </c>
      <c r="J19" s="3" t="inlineStr">
        <is>
          <t>["R2-ISS-032-IMG-02", "R2-ISS-032-IMG-03", "R2-ISS-032-IMG-04", "R2-ISS-032-IMG-05", "R2-ISS-032-DESC"]</t>
        </is>
      </c>
    </row>
    <row r="20" ht="42" customHeight="1">
      <c r="A20" s="2" t="inlineStr">
        <is>
          <t>jeminise.com+christmas-cardinals-on-snowy-branches-patchwork-winter-quilt-8fa1a9e2ed-8fa1a9e2ed</t>
        </is>
      </c>
      <c r="B20" s="2" t="inlineStr">
        <is>
          <t>D1</t>
        </is>
      </c>
      <c r="C20" s="2" t="n">
        <v>5</v>
      </c>
      <c r="D20" s="2" t="inlineStr">
        <is>
          <t>PARTIAL</t>
        </is>
      </c>
      <c r="E20" s="5">
        <f>IF(B20="I1",AVERAGEIF('QA_Images'!$A$2:$A$63,A20,'QA_Images'!$T$2:$T$63)/100,IF(D20="FULL",1,IF(D20="PARTIAL",0.5,IF(D20="FAIL",0,""))))</f>
        <v/>
      </c>
      <c r="F20" s="5">
        <f>IF(E20="",0,C20*E20)</f>
        <v/>
      </c>
      <c r="G20" s="5">
        <f>IF(B20="I1",20*AVERAGEIF('QA_Images'!$A$2:$A$63,A20,'QA_Images'!$U$2:$U$63)/100,IF(D20="NOT_CHECKED",0,C20))</f>
        <v/>
      </c>
      <c r="H20" s="2" t="inlineStr">
        <is>
          <t>Đánh giá meta description về tính cụ thể và căn cứ claim.</t>
        </is>
      </c>
      <c r="I20" s="2" t="inlineStr">
        <is>
          <t>["evidence_batch_004_032", "https://jeminise.com/products/christmas-cardinals-on-snowy-branches-patchwork-winter-quilt-8fa1a9e2ed-8fa1a9e2ed", "serp_qa_032"]</t>
        </is>
      </c>
      <c r="J20" s="2" t="inlineStr">
        <is>
          <t>["R2-ISS-032-IMG-02", "R2-ISS-032-IMG-03", "R2-ISS-032-IMG-04", "R2-ISS-032-IMG-05", "R2-ISS-032-DESC"]</t>
        </is>
      </c>
    </row>
    <row r="21" ht="42" customHeight="1">
      <c r="A21" s="3" t="inlineStr">
        <is>
          <t>jeminise.com+christmas-cardinals-on-snowy-branches-patchwork-winter-quilt-8fa1a9e2ed-8fa1a9e2ed</t>
        </is>
      </c>
      <c r="B21" s="3" t="inlineStr">
        <is>
          <t>D2</t>
        </is>
      </c>
      <c r="C21" s="3" t="n">
        <v>10</v>
      </c>
      <c r="D21" s="3" t="inlineStr">
        <is>
          <t>PARTIAL</t>
        </is>
      </c>
      <c r="E21" s="7">
        <f>IF(B21="I1",AVERAGEIF('QA_Images'!$A$2:$A$63,A21,'QA_Images'!$T$2:$T$63)/100,IF(D21="FULL",1,IF(D21="PARTIAL",0.5,IF(D21="FAIL",0,""))))</f>
        <v/>
      </c>
      <c r="F21" s="7">
        <f>IF(E21="",0,C21*E21)</f>
        <v/>
      </c>
      <c r="G21" s="7">
        <f>IF(B21="I1",20*AVERAGEIF('QA_Images'!$A$2:$A$63,A21,'QA_Images'!$U$2:$U$63)/100,IF(D21="NOT_CHECKED",0,C21))</f>
        <v/>
      </c>
      <c r="H21" s="3" t="inlineStr">
        <is>
          <t>Description SET có HTML đầy đủ nhưng chứa câu nội bộ 'This draft should be reviewed...' và dữ liệu nguồn thô/mâu thuẫn; chưa phải nội dung publish-ready.</t>
        </is>
      </c>
      <c r="I21" s="3" t="inlineStr">
        <is>
          <t>["evidence_batch_004_032", "https://jeminise.com/products/christmas-cardinals-on-snowy-branches-patchwork-winter-quilt-8fa1a9e2ed-8fa1a9e2ed", "serp_qa_032"]</t>
        </is>
      </c>
      <c r="J21" s="3" t="inlineStr">
        <is>
          <t>["R2-ISS-032-IMG-02", "R2-ISS-032-IMG-03", "R2-ISS-032-IMG-04", "R2-ISS-032-IMG-05", "R2-ISS-032-DESC"]</t>
        </is>
      </c>
    </row>
    <row r="22" ht="42" customHeight="1">
      <c r="A22" s="2" t="inlineStr">
        <is>
          <t>jeminise.com+christmas-cardinals-on-snowy-branches-patchwork-winter-quilt-8fa1a9e2ed-8fa1a9e2ed</t>
        </is>
      </c>
      <c r="B22" s="2" t="inlineStr">
        <is>
          <t>I1</t>
        </is>
      </c>
      <c r="C22" s="2" t="n">
        <v>20</v>
      </c>
      <c r="D22" s="2" t="inlineStr">
        <is>
          <t>DERIVED</t>
        </is>
      </c>
      <c r="E22" s="5">
        <f>IF(B22="I1",AVERAGEIF('QA_Images'!$A$2:$A$63,A22,'QA_Images'!$T$2:$T$63)/100,IF(D22="FULL",1,IF(D22="PARTIAL",0.5,IF(D22="FAIL",0,""))))</f>
        <v/>
      </c>
      <c r="F22" s="5">
        <f>IF(E22="",0,C22*E22)</f>
        <v/>
      </c>
      <c r="G22" s="5">
        <f>IF(B22="I1",20*AVERAGEIF('QA_Images'!$A$2:$A$63,A22,'QA_Images'!$U$2:$U$63)/100,IF(D22="NOT_CHECKED",0,C22))</f>
        <v/>
      </c>
      <c r="H22" s="2" t="inlineStr">
        <is>
          <t>Tính từ trung bình 5 ảnh: 70.0000/100.</t>
        </is>
      </c>
      <c r="I22" s="2" t="inlineStr">
        <is>
          <t>["evidence_batch_004_032", "https://jeminise.com/products/christmas-cardinals-on-snowy-branches-patchwork-winter-quilt-8fa1a9e2ed-8fa1a9e2ed", "serp_qa_032"]</t>
        </is>
      </c>
      <c r="J22" s="2" t="inlineStr">
        <is>
          <t>["R2-ISS-032-IMG-02", "R2-ISS-032-IMG-03", "R2-ISS-032-IMG-04", "R2-ISS-032-IMG-05", "R2-ISS-032-DESC"]</t>
        </is>
      </c>
    </row>
    <row r="23" ht="42" customHeight="1">
      <c r="A23" s="3" t="inlineStr">
        <is>
          <t>jeminise.com+christmas-cardinals-on-snowy-branches-patchwork-winter-quilt-8fa1a9e2ed-8fa1a9e2ed</t>
        </is>
      </c>
      <c r="B23" s="3" t="inlineStr">
        <is>
          <t>E1</t>
        </is>
      </c>
      <c r="C23" s="3" t="n">
        <v>5</v>
      </c>
      <c r="D23" s="3" t="inlineStr">
        <is>
          <t>FULL</t>
        </is>
      </c>
      <c r="E23" s="7">
        <f>IF(B23="I1",AVERAGEIF('QA_Images'!$A$2:$A$63,A23,'QA_Images'!$T$2:$T$63)/100,IF(D23="FULL",1,IF(D23="PARTIAL",0.5,IF(D23="FAIL",0,""))))</f>
        <v/>
      </c>
      <c r="F23" s="7">
        <f>IF(E23="",0,C23*E23)</f>
        <v/>
      </c>
      <c r="G23" s="7">
        <f>IF(B23="I1",20*AVERAGEIF('QA_Images'!$A$2:$A$63,A23,'QA_Images'!$U$2:$U$63)/100,IF(D23="NOT_CHECKED",0,C23))</f>
        <v/>
      </c>
      <c r="H23" s="3" t="inlineStr">
        <is>
          <t>Kiểm tra chuỗi evidence và giới hạn do thiếu admin export/browser tương tác.</t>
        </is>
      </c>
      <c r="I23" s="3" t="inlineStr">
        <is>
          <t>["evidence_batch_004_032", "https://jeminise.com/products/christmas-cardinals-on-snowy-branches-patchwork-winter-quilt-8fa1a9e2ed-8fa1a9e2ed", "serp_qa_032"]</t>
        </is>
      </c>
      <c r="J23" s="3" t="inlineStr">
        <is>
          <t>["R2-ISS-032-IMG-02", "R2-ISS-032-IMG-03", "R2-ISS-032-IMG-04", "R2-ISS-032-IMG-05", "R2-ISS-032-DESC"]</t>
        </is>
      </c>
    </row>
    <row r="24" ht="42" customHeight="1">
      <c r="A24" s="2" t="inlineStr">
        <is>
          <t>jeminise.com+cow-with-landscape-patchwork-quilt-animal-farmhouse-printed-quilt-set</t>
        </is>
      </c>
      <c r="B24" s="2" t="inlineStr">
        <is>
          <t>P1</t>
        </is>
      </c>
      <c r="C24" s="2" t="n">
        <v>15</v>
      </c>
      <c r="D24" s="2" t="inlineStr">
        <is>
          <t>FULL</t>
        </is>
      </c>
      <c r="E24" s="5">
        <f>IF(B24="I1",AVERAGEIF('QA_Images'!$A$2:$A$63,A24,'QA_Images'!$T$2:$T$63)/100,IF(D24="FULL",1,IF(D24="PARTIAL",0.5,IF(D24="FAIL",0,""))))</f>
        <v/>
      </c>
      <c r="F24" s="5">
        <f>IF(E24="",0,C24*E24)</f>
        <v/>
      </c>
      <c r="G24" s="5">
        <f>IF(B24="I1",20*AVERAGEIF('QA_Images'!$A$2:$A$63,A24,'QA_Images'!$U$2:$U$63)/100,IF(D24="NOT_CHECKED",0,C24))</f>
        <v/>
      </c>
      <c r="H24" s="2" t="inlineStr">
        <is>
          <t>Đối chiếu loại sản phẩm, thiết kế và màu với product JSON, H1 live và toàn bộ gallery.</t>
        </is>
      </c>
      <c r="I24" s="2" t="inlineStr">
        <is>
          <t>["evidence_batch_004_033", "https://jeminise.com/products/cow-with-landscape-patchwork-quilt-animal-farmhouse-printed-quilt-set", "serp_qa_033"]</t>
        </is>
      </c>
      <c r="J24" s="2" t="inlineStr">
        <is>
          <t>["R2-ISS-033-IMG-03", "R2-ISS-033-IMG-04", "R2-ISS-033-IMG-05", "R2-ISS-033-IMG-06", "R2-ISS-033-DESC"]</t>
        </is>
      </c>
    </row>
    <row r="25" ht="42" customHeight="1">
      <c r="A25" s="3" t="inlineStr">
        <is>
          <t>jeminise.com+cow-with-landscape-patchwork-quilt-animal-farmhouse-printed-quilt-set</t>
        </is>
      </c>
      <c r="B25" s="3" t="inlineStr">
        <is>
          <t>P2</t>
        </is>
      </c>
      <c r="C25" s="3" t="n">
        <v>10</v>
      </c>
      <c r="D25" s="3" t="inlineStr">
        <is>
          <t>FULL</t>
        </is>
      </c>
      <c r="E25" s="7">
        <f>IF(B25="I1",AVERAGEIF('QA_Images'!$A$2:$A$63,A25,'QA_Images'!$T$2:$T$63)/100,IF(D25="FULL",1,IF(D25="PARTIAL",0.5,IF(D25="FAIL",0,""))))</f>
        <v/>
      </c>
      <c r="F25" s="7">
        <f>IF(E25="",0,C25*E25)</f>
        <v/>
      </c>
      <c r="G25" s="7">
        <f>IF(B25="I1",20*AVERAGEIF('QA_Images'!$A$2:$A$63,A25,'QA_Images'!$U$2:$U$63)/100,IF(D25="NOT_CHECKED",0,C25))</f>
        <v/>
      </c>
      <c r="H25" s="3" t="inlineStr">
        <is>
          <t>Đối chiếu specifications, variants, components và personalization với product.js live, body HTML và ảnh.</t>
        </is>
      </c>
      <c r="I25" s="3" t="inlineStr">
        <is>
          <t>["evidence_batch_004_033", "https://jeminise.com/products/cow-with-landscape-patchwork-quilt-animal-farmhouse-printed-quilt-set", "serp_qa_033"]</t>
        </is>
      </c>
      <c r="J25" s="3" t="inlineStr">
        <is>
          <t>["R2-ISS-033-IMG-03", "R2-ISS-033-IMG-04", "R2-ISS-033-IMG-05", "R2-ISS-033-IMG-06", "R2-ISS-033-DESC"]</t>
        </is>
      </c>
    </row>
    <row r="26" ht="42" customHeight="1">
      <c r="A26" s="2" t="inlineStr">
        <is>
          <t>jeminise.com+cow-with-landscape-patchwork-quilt-animal-farmhouse-printed-quilt-set</t>
        </is>
      </c>
      <c r="B26" s="2" t="inlineStr">
        <is>
          <t>K1</t>
        </is>
      </c>
      <c r="C26" s="2" t="n">
        <v>10</v>
      </c>
      <c r="D26" s="2" t="inlineStr">
        <is>
          <t>FULL</t>
        </is>
      </c>
      <c r="E26" s="5">
        <f>IF(B26="I1",AVERAGEIF('QA_Images'!$A$2:$A$63,A26,'QA_Images'!$T$2:$T$63)/100,IF(D26="FULL",1,IF(D26="PARTIAL",0.5,IF(D26="FAIL",0,""))))</f>
        <v/>
      </c>
      <c r="F26" s="5">
        <f>IF(E26="",0,C26*E26)</f>
        <v/>
      </c>
      <c r="G26" s="5">
        <f>IF(B26="I1",20*AVERAGEIF('QA_Images'!$A$2:$A$63,A26,'QA_Images'!$U$2:$U$63)/100,IF(D26="NOT_CHECKED",0,C26))</f>
        <v/>
      </c>
      <c r="H26" s="2" t="inlineStr">
        <is>
          <t>Đối chiếu long-tail với thiết kế riêng và nguy cơ trùng intent trong cụm sản phẩm.</t>
        </is>
      </c>
      <c r="I26" s="2" t="inlineStr">
        <is>
          <t>["evidence_batch_004_033", "https://jeminise.com/products/cow-with-landscape-patchwork-quilt-animal-farmhouse-printed-quilt-set", "serp_qa_033"]</t>
        </is>
      </c>
      <c r="J26" s="2" t="inlineStr">
        <is>
          <t>["R2-ISS-033-IMG-03", "R2-ISS-033-IMG-04", "R2-ISS-033-IMG-05", "R2-ISS-033-IMG-06", "R2-ISS-033-DESC"]</t>
        </is>
      </c>
    </row>
    <row r="27" ht="42" customHeight="1">
      <c r="A27" s="3" t="inlineStr">
        <is>
          <t>jeminise.com+cow-with-landscape-patchwork-quilt-animal-farmhouse-printed-quilt-set</t>
        </is>
      </c>
      <c r="B27" s="3" t="inlineStr">
        <is>
          <t>K2</t>
        </is>
      </c>
      <c r="C27" s="3" t="n">
        <v>5</v>
      </c>
      <c r="D27" s="3" t="inlineStr">
        <is>
          <t>FULL</t>
        </is>
      </c>
      <c r="E27" s="7">
        <f>IF(B27="I1",AVERAGEIF('QA_Images'!$A$2:$A$63,A27,'QA_Images'!$T$2:$T$63)/100,IF(D27="FULL",1,IF(D27="PARTIAL",0.5,IF(D27="FAIL",0,""))))</f>
        <v/>
      </c>
      <c r="F27" s="7">
        <f>IF(E27="",0,C27*E27)</f>
        <v/>
      </c>
      <c r="G27" s="7">
        <f>IF(B27="I1",20*AVERAGEIF('QA_Images'!$A$2:$A$63,A27,'QA_Images'!$U$2:$U$63)/100,IF(D27="NOT_CHECKED",0,C27))</f>
        <v/>
      </c>
      <c r="H27" s="3" t="inlineStr">
        <is>
          <t>Đã đọc primary và comparator SERP theo US intent; không dùng claim volume.</t>
        </is>
      </c>
      <c r="I27" s="3" t="inlineStr">
        <is>
          <t>["evidence_batch_004_033", "https://jeminise.com/products/cow-with-landscape-patchwork-quilt-animal-farmhouse-printed-quilt-set", "serp_qa_033"]</t>
        </is>
      </c>
      <c r="J27" s="3" t="inlineStr">
        <is>
          <t>["R2-ISS-033-IMG-03", "R2-ISS-033-IMG-04", "R2-ISS-033-IMG-05", "R2-ISS-033-IMG-06", "R2-ISS-033-DESC"]</t>
        </is>
      </c>
    </row>
    <row r="28" ht="42" customHeight="1">
      <c r="A28" s="2" t="inlineStr">
        <is>
          <t>jeminise.com+cow-with-landscape-patchwork-quilt-animal-farmhouse-printed-quilt-set</t>
        </is>
      </c>
      <c r="B28" s="2" t="inlineStr">
        <is>
          <t>K3</t>
        </is>
      </c>
      <c r="C28" s="2" t="n">
        <v>5</v>
      </c>
      <c r="D28" s="2" t="inlineStr">
        <is>
          <t>FULL</t>
        </is>
      </c>
      <c r="E28" s="5">
        <f>IF(B28="I1",AVERAGEIF('QA_Images'!$A$2:$A$63,A28,'QA_Images'!$T$2:$T$63)/100,IF(D28="FULL",1,IF(D28="PARTIAL",0.5,IF(D28="FAIL",0,""))))</f>
        <v/>
      </c>
      <c r="F28" s="5">
        <f>IF(E28="",0,C28*E28)</f>
        <v/>
      </c>
      <c r="G28" s="5">
        <f>IF(B28="I1",20*AVERAGEIF('QA_Images'!$A$2:$A$63,A28,'QA_Images'!$U$2:$U$63)/100,IF(D28="NOT_CHECKED",0,C28))</f>
        <v/>
      </c>
      <c r="H28" s="2" t="inlineStr">
        <is>
          <t>Không suy diễn volume; phân biệt SERP_ONLY và HYPOTHESIS_ONLY.</t>
        </is>
      </c>
      <c r="I28" s="2" t="inlineStr">
        <is>
          <t>["evidence_batch_004_033", "https://jeminise.com/products/cow-with-landscape-patchwork-quilt-animal-farmhouse-printed-quilt-set", "serp_qa_033"]</t>
        </is>
      </c>
      <c r="J28" s="2" t="inlineStr">
        <is>
          <t>["R2-ISS-033-IMG-03", "R2-ISS-033-IMG-04", "R2-ISS-033-IMG-05", "R2-ISS-033-IMG-06", "R2-ISS-033-DESC"]</t>
        </is>
      </c>
    </row>
    <row r="29" ht="42" customHeight="1">
      <c r="A29" s="3" t="inlineStr">
        <is>
          <t>jeminise.com+cow-with-landscape-patchwork-quilt-animal-farmhouse-printed-quilt-set</t>
        </is>
      </c>
      <c r="B29" s="3" t="inlineStr">
        <is>
          <t>T1</t>
        </is>
      </c>
      <c r="C29" s="3" t="n">
        <v>10</v>
      </c>
      <c r="D29" s="3" t="inlineStr">
        <is>
          <t>FULL</t>
        </is>
      </c>
      <c r="E29" s="7">
        <f>IF(B29="I1",AVERAGEIF('QA_Images'!$A$2:$A$63,A29,'QA_Images'!$T$2:$T$63)/100,IF(D29="FULL",1,IF(D29="PARTIAL",0.5,IF(D29="FAIL",0,""))))</f>
        <v/>
      </c>
      <c r="F29" s="7">
        <f>IF(E29="",0,C29*E29)</f>
        <v/>
      </c>
      <c r="G29" s="7">
        <f>IF(B29="I1",20*AVERAGEIF('QA_Images'!$A$2:$A$63,A29,'QA_Images'!$U$2:$U$63)/100,IF(D29="NOT_CHECKED",0,C29))</f>
        <v/>
      </c>
      <c r="H29" s="3" t="inlineStr">
        <is>
          <t>Đánh giá SEO title English về độ đúng, tự nhiên, keyword và điểm phân biệt.</t>
        </is>
      </c>
      <c r="I29" s="3" t="inlineStr">
        <is>
          <t>["evidence_batch_004_033", "https://jeminise.com/products/cow-with-landscape-patchwork-quilt-animal-farmhouse-printed-quilt-set", "serp_qa_033"]</t>
        </is>
      </c>
      <c r="J29" s="3" t="inlineStr">
        <is>
          <t>["R2-ISS-033-IMG-03", "R2-ISS-033-IMG-04", "R2-ISS-033-IMG-05", "R2-ISS-033-IMG-06", "R2-ISS-033-DESC"]</t>
        </is>
      </c>
    </row>
    <row r="30" ht="42" customHeight="1">
      <c r="A30" s="2" t="inlineStr">
        <is>
          <t>jeminise.com+cow-with-landscape-patchwork-quilt-animal-farmhouse-printed-quilt-set</t>
        </is>
      </c>
      <c r="B30" s="2" t="inlineStr">
        <is>
          <t>T2</t>
        </is>
      </c>
      <c r="C30" s="2" t="n">
        <v>5</v>
      </c>
      <c r="D30" s="2" t="inlineStr">
        <is>
          <t>FULL</t>
        </is>
      </c>
      <c r="E30" s="5">
        <f>IF(B30="I1",AVERAGEIF('QA_Images'!$A$2:$A$63,A30,'QA_Images'!$T$2:$T$63)/100,IF(D30="FULL",1,IF(D30="PARTIAL",0.5,IF(D30="FAIL",0,""))))</f>
        <v/>
      </c>
      <c r="F30" s="5">
        <f>IF(E30="",0,C30*E30)</f>
        <v/>
      </c>
      <c r="G30" s="5">
        <f>IF(B30="I1",20*AVERAGEIF('QA_Images'!$A$2:$A$63,A30,'QA_Images'!$U$2:$U$63)/100,IF(D30="NOT_CHECKED",0,C30))</f>
        <v/>
      </c>
      <c r="H30" s="2" t="inlineStr">
        <is>
          <t>Đánh giá H1 đề xuất độc lập với SEO title và đối chiếu lỗi ký tự nguồn.</t>
        </is>
      </c>
      <c r="I30" s="2" t="inlineStr">
        <is>
          <t>["evidence_batch_004_033", "https://jeminise.com/products/cow-with-landscape-patchwork-quilt-animal-farmhouse-printed-quilt-set", "serp_qa_033"]</t>
        </is>
      </c>
      <c r="J30" s="2" t="inlineStr">
        <is>
          <t>["R2-ISS-033-IMG-03", "R2-ISS-033-IMG-04", "R2-ISS-033-IMG-05", "R2-ISS-033-IMG-06", "R2-ISS-033-DESC"]</t>
        </is>
      </c>
    </row>
    <row r="31" ht="42" customHeight="1">
      <c r="A31" s="3" t="inlineStr">
        <is>
          <t>jeminise.com+cow-with-landscape-patchwork-quilt-animal-farmhouse-printed-quilt-set</t>
        </is>
      </c>
      <c r="B31" s="3" t="inlineStr">
        <is>
          <t>D1</t>
        </is>
      </c>
      <c r="C31" s="3" t="n">
        <v>5</v>
      </c>
      <c r="D31" s="3" t="inlineStr">
        <is>
          <t>PARTIAL</t>
        </is>
      </c>
      <c r="E31" s="7">
        <f>IF(B31="I1",AVERAGEIF('QA_Images'!$A$2:$A$63,A31,'QA_Images'!$T$2:$T$63)/100,IF(D31="FULL",1,IF(D31="PARTIAL",0.5,IF(D31="FAIL",0,""))))</f>
        <v/>
      </c>
      <c r="F31" s="7">
        <f>IF(E31="",0,C31*E31)</f>
        <v/>
      </c>
      <c r="G31" s="7">
        <f>IF(B31="I1",20*AVERAGEIF('QA_Images'!$A$2:$A$63,A31,'QA_Images'!$U$2:$U$63)/100,IF(D31="NOT_CHECKED",0,C31))</f>
        <v/>
      </c>
      <c r="H31" s="3" t="inlineStr">
        <is>
          <t>Đánh giá meta description về tính cụ thể và căn cứ claim.</t>
        </is>
      </c>
      <c r="I31" s="3" t="inlineStr">
        <is>
          <t>["evidence_batch_004_033", "https://jeminise.com/products/cow-with-landscape-patchwork-quilt-animal-farmhouse-printed-quilt-set", "serp_qa_033"]</t>
        </is>
      </c>
      <c r="J31" s="3" t="inlineStr">
        <is>
          <t>["R2-ISS-033-IMG-03", "R2-ISS-033-IMG-04", "R2-ISS-033-IMG-05", "R2-ISS-033-IMG-06", "R2-ISS-033-DESC"]</t>
        </is>
      </c>
    </row>
    <row r="32" ht="42" customHeight="1">
      <c r="A32" s="2" t="inlineStr">
        <is>
          <t>jeminise.com+cow-with-landscape-patchwork-quilt-animal-farmhouse-printed-quilt-set</t>
        </is>
      </c>
      <c r="B32" s="2" t="inlineStr">
        <is>
          <t>D2</t>
        </is>
      </c>
      <c r="C32" s="2" t="n">
        <v>10</v>
      </c>
      <c r="D32" s="2" t="inlineStr">
        <is>
          <t>PARTIAL</t>
        </is>
      </c>
      <c r="E32" s="5">
        <f>IF(B32="I1",AVERAGEIF('QA_Images'!$A$2:$A$63,A32,'QA_Images'!$T$2:$T$63)/100,IF(D32="FULL",1,IF(D32="PARTIAL",0.5,IF(D32="FAIL",0,""))))</f>
        <v/>
      </c>
      <c r="F32" s="5">
        <f>IF(E32="",0,C32*E32)</f>
        <v/>
      </c>
      <c r="G32" s="5">
        <f>IF(B32="I1",20*AVERAGEIF('QA_Images'!$A$2:$A$63,A32,'QA_Images'!$U$2:$U$63)/100,IF(D32="NOT_CHECKED",0,C32))</f>
        <v/>
      </c>
      <c r="H32" s="2" t="inlineStr">
        <is>
          <t>Description SET có HTML đầy đủ nhưng chứa câu nội bộ 'This draft should be reviewed...' và dữ liệu nguồn thô/mâu thuẫn; chưa phải nội dung publish-ready.</t>
        </is>
      </c>
      <c r="I32" s="2" t="inlineStr">
        <is>
          <t>["evidence_batch_004_033", "https://jeminise.com/products/cow-with-landscape-patchwork-quilt-animal-farmhouse-printed-quilt-set", "serp_qa_033"]</t>
        </is>
      </c>
      <c r="J32" s="2" t="inlineStr">
        <is>
          <t>["R2-ISS-033-IMG-03", "R2-ISS-033-IMG-04", "R2-ISS-033-IMG-05", "R2-ISS-033-IMG-06", "R2-ISS-033-DESC"]</t>
        </is>
      </c>
    </row>
    <row r="33" ht="42" customHeight="1">
      <c r="A33" s="3" t="inlineStr">
        <is>
          <t>jeminise.com+cow-with-landscape-patchwork-quilt-animal-farmhouse-printed-quilt-set</t>
        </is>
      </c>
      <c r="B33" s="3" t="inlineStr">
        <is>
          <t>I1</t>
        </is>
      </c>
      <c r="C33" s="3" t="n">
        <v>20</v>
      </c>
      <c r="D33" s="3" t="inlineStr">
        <is>
          <t>DERIVED</t>
        </is>
      </c>
      <c r="E33" s="7">
        <f>IF(B33="I1",AVERAGEIF('QA_Images'!$A$2:$A$63,A33,'QA_Images'!$T$2:$T$63)/100,IF(D33="FULL",1,IF(D33="PARTIAL",0.5,IF(D33="FAIL",0,""))))</f>
        <v/>
      </c>
      <c r="F33" s="7">
        <f>IF(E33="",0,C33*E33)</f>
        <v/>
      </c>
      <c r="G33" s="7">
        <f>IF(B33="I1",20*AVERAGEIF('QA_Images'!$A$2:$A$63,A33,'QA_Images'!$U$2:$U$63)/100,IF(D33="NOT_CHECKED",0,C33))</f>
        <v/>
      </c>
      <c r="H33" s="3" t="inlineStr">
        <is>
          <t>Tính từ trung bình 7 ảnh: 82.1429/100.</t>
        </is>
      </c>
      <c r="I33" s="3" t="inlineStr">
        <is>
          <t>["evidence_batch_004_033", "https://jeminise.com/products/cow-with-landscape-patchwork-quilt-animal-farmhouse-printed-quilt-set", "serp_qa_033"]</t>
        </is>
      </c>
      <c r="J33" s="3" t="inlineStr">
        <is>
          <t>["R2-ISS-033-IMG-03", "R2-ISS-033-IMG-04", "R2-ISS-033-IMG-05", "R2-ISS-033-IMG-06", "R2-ISS-033-DESC"]</t>
        </is>
      </c>
    </row>
    <row r="34" ht="42" customHeight="1">
      <c r="A34" s="2" t="inlineStr">
        <is>
          <t>jeminise.com+cow-with-landscape-patchwork-quilt-animal-farmhouse-printed-quilt-set</t>
        </is>
      </c>
      <c r="B34" s="2" t="inlineStr">
        <is>
          <t>E1</t>
        </is>
      </c>
      <c r="C34" s="2" t="n">
        <v>5</v>
      </c>
      <c r="D34" s="2" t="inlineStr">
        <is>
          <t>FULL</t>
        </is>
      </c>
      <c r="E34" s="5">
        <f>IF(B34="I1",AVERAGEIF('QA_Images'!$A$2:$A$63,A34,'QA_Images'!$T$2:$T$63)/100,IF(D34="FULL",1,IF(D34="PARTIAL",0.5,IF(D34="FAIL",0,""))))</f>
        <v/>
      </c>
      <c r="F34" s="5">
        <f>IF(E34="",0,C34*E34)</f>
        <v/>
      </c>
      <c r="G34" s="5">
        <f>IF(B34="I1",20*AVERAGEIF('QA_Images'!$A$2:$A$63,A34,'QA_Images'!$U$2:$U$63)/100,IF(D34="NOT_CHECKED",0,C34))</f>
        <v/>
      </c>
      <c r="H34" s="2" t="inlineStr">
        <is>
          <t>Kiểm tra chuỗi evidence và giới hạn do thiếu admin export/browser tương tác.</t>
        </is>
      </c>
      <c r="I34" s="2" t="inlineStr">
        <is>
          <t>["evidence_batch_004_033", "https://jeminise.com/products/cow-with-landscape-patchwork-quilt-animal-farmhouse-printed-quilt-set", "serp_qa_033"]</t>
        </is>
      </c>
      <c r="J34" s="2" t="inlineStr">
        <is>
          <t>["R2-ISS-033-IMG-03", "R2-ISS-033-IMG-04", "R2-ISS-033-IMG-05", "R2-ISS-033-IMG-06", "R2-ISS-033-DESC"]</t>
        </is>
      </c>
    </row>
    <row r="35" ht="42" customHeight="1">
      <c r="A35" s="3" t="inlineStr">
        <is>
          <t>jeminise.com+crocodile-patchwork-printed-quilts-animal-patchwork-bedding</t>
        </is>
      </c>
      <c r="B35" s="3" t="inlineStr">
        <is>
          <t>P1</t>
        </is>
      </c>
      <c r="C35" s="3" t="n">
        <v>15</v>
      </c>
      <c r="D35" s="3" t="inlineStr">
        <is>
          <t>FULL</t>
        </is>
      </c>
      <c r="E35" s="7">
        <f>IF(B35="I1",AVERAGEIF('QA_Images'!$A$2:$A$63,A35,'QA_Images'!$T$2:$T$63)/100,IF(D35="FULL",1,IF(D35="PARTIAL",0.5,IF(D35="FAIL",0,""))))</f>
        <v/>
      </c>
      <c r="F35" s="7">
        <f>IF(E35="",0,C35*E35)</f>
        <v/>
      </c>
      <c r="G35" s="7">
        <f>IF(B35="I1",20*AVERAGEIF('QA_Images'!$A$2:$A$63,A35,'QA_Images'!$U$2:$U$63)/100,IF(D35="NOT_CHECKED",0,C35))</f>
        <v/>
      </c>
      <c r="H35" s="3" t="inlineStr">
        <is>
          <t>Đối chiếu loại sản phẩm, thiết kế và màu với product JSON, H1 live và toàn bộ gallery.</t>
        </is>
      </c>
      <c r="I35" s="3" t="inlineStr">
        <is>
          <t>["evidence_batch_004_034", "https://jeminise.com/products/crocodile-patchwork-printed-quilts-animal-patchwork-bedding", "serp_qa_034"]</t>
        </is>
      </c>
      <c r="J35" s="3" t="inlineStr">
        <is>
          <t>["R2-ISS-034-IMG-03", "R2-ISS-034-IMG-04", "R2-ISS-034-IMG-05", "R2-ISS-034-IMG-06", "R2-ISS-034-DESC", "R2-ISS-034-KEYWORD"]</t>
        </is>
      </c>
    </row>
    <row r="36" ht="42" customHeight="1">
      <c r="A36" s="2" t="inlineStr">
        <is>
          <t>jeminise.com+crocodile-patchwork-printed-quilts-animal-patchwork-bedding</t>
        </is>
      </c>
      <c r="B36" s="2" t="inlineStr">
        <is>
          <t>P2</t>
        </is>
      </c>
      <c r="C36" s="2" t="n">
        <v>10</v>
      </c>
      <c r="D36" s="2" t="inlineStr">
        <is>
          <t>FULL</t>
        </is>
      </c>
      <c r="E36" s="5">
        <f>IF(B36="I1",AVERAGEIF('QA_Images'!$A$2:$A$63,A36,'QA_Images'!$T$2:$T$63)/100,IF(D36="FULL",1,IF(D36="PARTIAL",0.5,IF(D36="FAIL",0,""))))</f>
        <v/>
      </c>
      <c r="F36" s="5">
        <f>IF(E36="",0,C36*E36)</f>
        <v/>
      </c>
      <c r="G36" s="5">
        <f>IF(B36="I1",20*AVERAGEIF('QA_Images'!$A$2:$A$63,A36,'QA_Images'!$U$2:$U$63)/100,IF(D36="NOT_CHECKED",0,C36))</f>
        <v/>
      </c>
      <c r="H36" s="2" t="inlineStr">
        <is>
          <t>Đối chiếu specifications, variants, components và personalization với product.js live, body HTML và ảnh.</t>
        </is>
      </c>
      <c r="I36" s="2" t="inlineStr">
        <is>
          <t>["evidence_batch_004_034", "https://jeminise.com/products/crocodile-patchwork-printed-quilts-animal-patchwork-bedding", "serp_qa_034"]</t>
        </is>
      </c>
      <c r="J36" s="2" t="inlineStr">
        <is>
          <t>["R2-ISS-034-IMG-03", "R2-ISS-034-IMG-04", "R2-ISS-034-IMG-05", "R2-ISS-034-IMG-06", "R2-ISS-034-DESC", "R2-ISS-034-KEYWORD"]</t>
        </is>
      </c>
    </row>
    <row r="37" ht="42" customHeight="1">
      <c r="A37" s="3" t="inlineStr">
        <is>
          <t>jeminise.com+crocodile-patchwork-printed-quilts-animal-patchwork-bedding</t>
        </is>
      </c>
      <c r="B37" s="3" t="inlineStr">
        <is>
          <t>K1</t>
        </is>
      </c>
      <c r="C37" s="3" t="n">
        <v>10</v>
      </c>
      <c r="D37" s="3" t="inlineStr">
        <is>
          <t>PARTIAL</t>
        </is>
      </c>
      <c r="E37" s="7">
        <f>IF(B37="I1",AVERAGEIF('QA_Images'!$A$2:$A$63,A37,'QA_Images'!$T$2:$T$63)/100,IF(D37="FULL",1,IF(D37="PARTIAL",0.5,IF(D37="FAIL",0,""))))</f>
        <v/>
      </c>
      <c r="F37" s="7">
        <f>IF(E37="",0,C37*E37)</f>
        <v/>
      </c>
      <c r="G37" s="7">
        <f>IF(B37="I1",20*AVERAGEIF('QA_Images'!$A$2:$A$63,A37,'QA_Images'!$U$2:$U$63)/100,IF(D37="NOT_CHECKED",0,C37))</f>
        <v/>
      </c>
      <c r="H37" s="3" t="inlineStr">
        <is>
          <t>Đối chiếu long-tail với thiết kế riêng và nguy cơ trùng intent trong cụm sản phẩm.</t>
        </is>
      </c>
      <c r="I37" s="3" t="inlineStr">
        <is>
          <t>["evidence_batch_004_034", "https://jeminise.com/products/crocodile-patchwork-printed-quilts-animal-patchwork-bedding", "serp_qa_034"]</t>
        </is>
      </c>
      <c r="J37" s="3" t="inlineStr">
        <is>
          <t>["R2-ISS-034-IMG-03", "R2-ISS-034-IMG-04", "R2-ISS-034-IMG-05", "R2-ISS-034-IMG-06", "R2-ISS-034-DESC", "R2-ISS-034-KEYWORD"]</t>
        </is>
      </c>
    </row>
    <row r="38" ht="42" customHeight="1">
      <c r="A38" s="2" t="inlineStr">
        <is>
          <t>jeminise.com+crocodile-patchwork-printed-quilts-animal-patchwork-bedding</t>
        </is>
      </c>
      <c r="B38" s="2" t="inlineStr">
        <is>
          <t>K2</t>
        </is>
      </c>
      <c r="C38" s="2" t="n">
        <v>5</v>
      </c>
      <c r="D38" s="2" t="inlineStr">
        <is>
          <t>PARTIAL</t>
        </is>
      </c>
      <c r="E38" s="5">
        <f>IF(B38="I1",AVERAGEIF('QA_Images'!$A$2:$A$63,A38,'QA_Images'!$T$2:$T$63)/100,IF(D38="FULL",1,IF(D38="PARTIAL",0.5,IF(D38="FAIL",0,""))))</f>
        <v/>
      </c>
      <c r="F38" s="5">
        <f>IF(E38="",0,C38*E38)</f>
        <v/>
      </c>
      <c r="G38" s="5">
        <f>IF(B38="I1",20*AVERAGEIF('QA_Images'!$A$2:$A$63,A38,'QA_Images'!$U$2:$U$63)/100,IF(D38="NOT_CHECKED",0,C38))</f>
        <v/>
      </c>
      <c r="H38" s="2" t="inlineStr">
        <is>
          <t>Đã đọc primary và comparator SERP theo US intent; không dùng claim volume.</t>
        </is>
      </c>
      <c r="I38" s="2" t="inlineStr">
        <is>
          <t>["evidence_batch_004_034", "https://jeminise.com/products/crocodile-patchwork-printed-quilts-animal-patchwork-bedding", "serp_qa_034"]</t>
        </is>
      </c>
      <c r="J38" s="2" t="inlineStr">
        <is>
          <t>["R2-ISS-034-IMG-03", "R2-ISS-034-IMG-04", "R2-ISS-034-IMG-05", "R2-ISS-034-IMG-06", "R2-ISS-034-DESC", "R2-ISS-034-KEYWORD"]</t>
        </is>
      </c>
    </row>
    <row r="39" ht="42" customHeight="1">
      <c r="A39" s="3" t="inlineStr">
        <is>
          <t>jeminise.com+crocodile-patchwork-printed-quilts-animal-patchwork-bedding</t>
        </is>
      </c>
      <c r="B39" s="3" t="inlineStr">
        <is>
          <t>K3</t>
        </is>
      </c>
      <c r="C39" s="3" t="n">
        <v>5</v>
      </c>
      <c r="D39" s="3" t="inlineStr">
        <is>
          <t>FULL</t>
        </is>
      </c>
      <c r="E39" s="7">
        <f>IF(B39="I1",AVERAGEIF('QA_Images'!$A$2:$A$63,A39,'QA_Images'!$T$2:$T$63)/100,IF(D39="FULL",1,IF(D39="PARTIAL",0.5,IF(D39="FAIL",0,""))))</f>
        <v/>
      </c>
      <c r="F39" s="7">
        <f>IF(E39="",0,C39*E39)</f>
        <v/>
      </c>
      <c r="G39" s="7">
        <f>IF(B39="I1",20*AVERAGEIF('QA_Images'!$A$2:$A$63,A39,'QA_Images'!$U$2:$U$63)/100,IF(D39="NOT_CHECKED",0,C39))</f>
        <v/>
      </c>
      <c r="H39" s="3" t="inlineStr">
        <is>
          <t>Không suy diễn volume; phân biệt SERP_ONLY và HYPOTHESIS_ONLY.</t>
        </is>
      </c>
      <c r="I39" s="3" t="inlineStr">
        <is>
          <t>["evidence_batch_004_034", "https://jeminise.com/products/crocodile-patchwork-printed-quilts-animal-patchwork-bedding", "serp_qa_034"]</t>
        </is>
      </c>
      <c r="J39" s="3" t="inlineStr">
        <is>
          <t>["R2-ISS-034-IMG-03", "R2-ISS-034-IMG-04", "R2-ISS-034-IMG-05", "R2-ISS-034-IMG-06", "R2-ISS-034-DESC", "R2-ISS-034-KEYWORD"]</t>
        </is>
      </c>
    </row>
    <row r="40" ht="42" customHeight="1">
      <c r="A40" s="2" t="inlineStr">
        <is>
          <t>jeminise.com+crocodile-patchwork-printed-quilts-animal-patchwork-bedding</t>
        </is>
      </c>
      <c r="B40" s="2" t="inlineStr">
        <is>
          <t>T1</t>
        </is>
      </c>
      <c r="C40" s="2" t="n">
        <v>10</v>
      </c>
      <c r="D40" s="2" t="inlineStr">
        <is>
          <t>FULL</t>
        </is>
      </c>
      <c r="E40" s="5">
        <f>IF(B40="I1",AVERAGEIF('QA_Images'!$A$2:$A$63,A40,'QA_Images'!$T$2:$T$63)/100,IF(D40="FULL",1,IF(D40="PARTIAL",0.5,IF(D40="FAIL",0,""))))</f>
        <v/>
      </c>
      <c r="F40" s="5">
        <f>IF(E40="",0,C40*E40)</f>
        <v/>
      </c>
      <c r="G40" s="5">
        <f>IF(B40="I1",20*AVERAGEIF('QA_Images'!$A$2:$A$63,A40,'QA_Images'!$U$2:$U$63)/100,IF(D40="NOT_CHECKED",0,C40))</f>
        <v/>
      </c>
      <c r="H40" s="2" t="inlineStr">
        <is>
          <t>Đánh giá SEO title English về độ đúng, tự nhiên, keyword và điểm phân biệt.</t>
        </is>
      </c>
      <c r="I40" s="2" t="inlineStr">
        <is>
          <t>["evidence_batch_004_034", "https://jeminise.com/products/crocodile-patchwork-printed-quilts-animal-patchwork-bedding", "serp_qa_034"]</t>
        </is>
      </c>
      <c r="J40" s="2" t="inlineStr">
        <is>
          <t>["R2-ISS-034-IMG-03", "R2-ISS-034-IMG-04", "R2-ISS-034-IMG-05", "R2-ISS-034-IMG-06", "R2-ISS-034-DESC", "R2-ISS-034-KEYWORD"]</t>
        </is>
      </c>
    </row>
    <row r="41" ht="42" customHeight="1">
      <c r="A41" s="3" t="inlineStr">
        <is>
          <t>jeminise.com+crocodile-patchwork-printed-quilts-animal-patchwork-bedding</t>
        </is>
      </c>
      <c r="B41" s="3" t="inlineStr">
        <is>
          <t>T2</t>
        </is>
      </c>
      <c r="C41" s="3" t="n">
        <v>5</v>
      </c>
      <c r="D41" s="3" t="inlineStr">
        <is>
          <t>FULL</t>
        </is>
      </c>
      <c r="E41" s="7">
        <f>IF(B41="I1",AVERAGEIF('QA_Images'!$A$2:$A$63,A41,'QA_Images'!$T$2:$T$63)/100,IF(D41="FULL",1,IF(D41="PARTIAL",0.5,IF(D41="FAIL",0,""))))</f>
        <v/>
      </c>
      <c r="F41" s="7">
        <f>IF(E41="",0,C41*E41)</f>
        <v/>
      </c>
      <c r="G41" s="7">
        <f>IF(B41="I1",20*AVERAGEIF('QA_Images'!$A$2:$A$63,A41,'QA_Images'!$U$2:$U$63)/100,IF(D41="NOT_CHECKED",0,C41))</f>
        <v/>
      </c>
      <c r="H41" s="3" t="inlineStr">
        <is>
          <t>Đánh giá H1 đề xuất độc lập với SEO title và đối chiếu lỗi ký tự nguồn.</t>
        </is>
      </c>
      <c r="I41" s="3" t="inlineStr">
        <is>
          <t>["evidence_batch_004_034", "https://jeminise.com/products/crocodile-patchwork-printed-quilts-animal-patchwork-bedding", "serp_qa_034"]</t>
        </is>
      </c>
      <c r="J41" s="3" t="inlineStr">
        <is>
          <t>["R2-ISS-034-IMG-03", "R2-ISS-034-IMG-04", "R2-ISS-034-IMG-05", "R2-ISS-034-IMG-06", "R2-ISS-034-DESC", "R2-ISS-034-KEYWORD"]</t>
        </is>
      </c>
    </row>
    <row r="42" ht="42" customHeight="1">
      <c r="A42" s="2" t="inlineStr">
        <is>
          <t>jeminise.com+crocodile-patchwork-printed-quilts-animal-patchwork-bedding</t>
        </is>
      </c>
      <c r="B42" s="2" t="inlineStr">
        <is>
          <t>D1</t>
        </is>
      </c>
      <c r="C42" s="2" t="n">
        <v>5</v>
      </c>
      <c r="D42" s="2" t="inlineStr">
        <is>
          <t>PARTIAL</t>
        </is>
      </c>
      <c r="E42" s="5">
        <f>IF(B42="I1",AVERAGEIF('QA_Images'!$A$2:$A$63,A42,'QA_Images'!$T$2:$T$63)/100,IF(D42="FULL",1,IF(D42="PARTIAL",0.5,IF(D42="FAIL",0,""))))</f>
        <v/>
      </c>
      <c r="F42" s="5">
        <f>IF(E42="",0,C42*E42)</f>
        <v/>
      </c>
      <c r="G42" s="5">
        <f>IF(B42="I1",20*AVERAGEIF('QA_Images'!$A$2:$A$63,A42,'QA_Images'!$U$2:$U$63)/100,IF(D42="NOT_CHECKED",0,C42))</f>
        <v/>
      </c>
      <c r="H42" s="2" t="inlineStr">
        <is>
          <t>Đánh giá meta description về tính cụ thể và căn cứ claim.</t>
        </is>
      </c>
      <c r="I42" s="2" t="inlineStr">
        <is>
          <t>["evidence_batch_004_034", "https://jeminise.com/products/crocodile-patchwork-printed-quilts-animal-patchwork-bedding", "serp_qa_034"]</t>
        </is>
      </c>
      <c r="J42" s="2" t="inlineStr">
        <is>
          <t>["R2-ISS-034-IMG-03", "R2-ISS-034-IMG-04", "R2-ISS-034-IMG-05", "R2-ISS-034-IMG-06", "R2-ISS-034-DESC", "R2-ISS-034-KEYWORD"]</t>
        </is>
      </c>
    </row>
    <row r="43" ht="42" customHeight="1">
      <c r="A43" s="3" t="inlineStr">
        <is>
          <t>jeminise.com+crocodile-patchwork-printed-quilts-animal-patchwork-bedding</t>
        </is>
      </c>
      <c r="B43" s="3" t="inlineStr">
        <is>
          <t>D2</t>
        </is>
      </c>
      <c r="C43" s="3" t="n">
        <v>10</v>
      </c>
      <c r="D43" s="3" t="inlineStr">
        <is>
          <t>PARTIAL</t>
        </is>
      </c>
      <c r="E43" s="7">
        <f>IF(B43="I1",AVERAGEIF('QA_Images'!$A$2:$A$63,A43,'QA_Images'!$T$2:$T$63)/100,IF(D43="FULL",1,IF(D43="PARTIAL",0.5,IF(D43="FAIL",0,""))))</f>
        <v/>
      </c>
      <c r="F43" s="7">
        <f>IF(E43="",0,C43*E43)</f>
        <v/>
      </c>
      <c r="G43" s="7">
        <f>IF(B43="I1",20*AVERAGEIF('QA_Images'!$A$2:$A$63,A43,'QA_Images'!$U$2:$U$63)/100,IF(D43="NOT_CHECKED",0,C43))</f>
        <v/>
      </c>
      <c r="H43" s="3" t="inlineStr">
        <is>
          <t>Description SET có HTML đầy đủ nhưng chứa câu nội bộ 'This draft should be reviewed...' và dữ liệu nguồn thô/mâu thuẫn; chưa phải nội dung publish-ready.</t>
        </is>
      </c>
      <c r="I43" s="3" t="inlineStr">
        <is>
          <t>["evidence_batch_004_034", "https://jeminise.com/products/crocodile-patchwork-printed-quilts-animal-patchwork-bedding", "serp_qa_034"]</t>
        </is>
      </c>
      <c r="J43" s="3" t="inlineStr">
        <is>
          <t>["R2-ISS-034-IMG-03", "R2-ISS-034-IMG-04", "R2-ISS-034-IMG-05", "R2-ISS-034-IMG-06", "R2-ISS-034-DESC", "R2-ISS-034-KEYWORD"]</t>
        </is>
      </c>
    </row>
    <row r="44" ht="42" customHeight="1">
      <c r="A44" s="2" t="inlineStr">
        <is>
          <t>jeminise.com+crocodile-patchwork-printed-quilts-animal-patchwork-bedding</t>
        </is>
      </c>
      <c r="B44" s="2" t="inlineStr">
        <is>
          <t>I1</t>
        </is>
      </c>
      <c r="C44" s="2" t="n">
        <v>20</v>
      </c>
      <c r="D44" s="2" t="inlineStr">
        <is>
          <t>DERIVED</t>
        </is>
      </c>
      <c r="E44" s="5">
        <f>IF(B44="I1",AVERAGEIF('QA_Images'!$A$2:$A$63,A44,'QA_Images'!$T$2:$T$63)/100,IF(D44="FULL",1,IF(D44="PARTIAL",0.5,IF(D44="FAIL",0,""))))</f>
        <v/>
      </c>
      <c r="F44" s="5">
        <f>IF(E44="",0,C44*E44)</f>
        <v/>
      </c>
      <c r="G44" s="5">
        <f>IF(B44="I1",20*AVERAGEIF('QA_Images'!$A$2:$A$63,A44,'QA_Images'!$U$2:$U$63)/100,IF(D44="NOT_CHECKED",0,C44))</f>
        <v/>
      </c>
      <c r="H44" s="2" t="inlineStr">
        <is>
          <t>Tính từ trung bình 7 ảnh: 82.1429/100.</t>
        </is>
      </c>
      <c r="I44" s="2" t="inlineStr">
        <is>
          <t>["evidence_batch_004_034", "https://jeminise.com/products/crocodile-patchwork-printed-quilts-animal-patchwork-bedding", "serp_qa_034"]</t>
        </is>
      </c>
      <c r="J44" s="2" t="inlineStr">
        <is>
          <t>["R2-ISS-034-IMG-03", "R2-ISS-034-IMG-04", "R2-ISS-034-IMG-05", "R2-ISS-034-IMG-06", "R2-ISS-034-DESC", "R2-ISS-034-KEYWORD"]</t>
        </is>
      </c>
    </row>
    <row r="45" ht="42" customHeight="1">
      <c r="A45" s="3" t="inlineStr">
        <is>
          <t>jeminise.com+crocodile-patchwork-printed-quilts-animal-patchwork-bedding</t>
        </is>
      </c>
      <c r="B45" s="3" t="inlineStr">
        <is>
          <t>E1</t>
        </is>
      </c>
      <c r="C45" s="3" t="n">
        <v>5</v>
      </c>
      <c r="D45" s="3" t="inlineStr">
        <is>
          <t>PARTIAL</t>
        </is>
      </c>
      <c r="E45" s="7">
        <f>IF(B45="I1",AVERAGEIF('QA_Images'!$A$2:$A$63,A45,'QA_Images'!$T$2:$T$63)/100,IF(D45="FULL",1,IF(D45="PARTIAL",0.5,IF(D45="FAIL",0,""))))</f>
        <v/>
      </c>
      <c r="F45" s="7">
        <f>IF(E45="",0,C45*E45)</f>
        <v/>
      </c>
      <c r="G45" s="7">
        <f>IF(B45="I1",20*AVERAGEIF('QA_Images'!$A$2:$A$63,A45,'QA_Images'!$U$2:$U$63)/100,IF(D45="NOT_CHECKED",0,C45))</f>
        <v/>
      </c>
      <c r="H45" s="3" t="inlineStr">
        <is>
          <t>Kiểm tra chuỗi evidence và giới hạn do thiếu admin export/browser tương tác.</t>
        </is>
      </c>
      <c r="I45" s="3" t="inlineStr">
        <is>
          <t>["evidence_batch_004_034", "https://jeminise.com/products/crocodile-patchwork-printed-quilts-animal-patchwork-bedding", "serp_qa_034"]</t>
        </is>
      </c>
      <c r="J45" s="3" t="inlineStr">
        <is>
          <t>["R2-ISS-034-IMG-03", "R2-ISS-034-IMG-04", "R2-ISS-034-IMG-05", "R2-ISS-034-IMG-06", "R2-ISS-034-DESC", "R2-ISS-034-KEYWORD"]</t>
        </is>
      </c>
    </row>
    <row r="46" ht="42" customHeight="1">
      <c r="A46" s="2" t="inlineStr">
        <is>
          <t>jeminise.com+custom-retro-football-art-bedding-set-c66211cf75-c66211cf75</t>
        </is>
      </c>
      <c r="B46" s="2" t="inlineStr">
        <is>
          <t>P1</t>
        </is>
      </c>
      <c r="C46" s="2" t="n">
        <v>15</v>
      </c>
      <c r="D46" s="2" t="inlineStr">
        <is>
          <t>FULL</t>
        </is>
      </c>
      <c r="E46" s="5">
        <f>IF(B46="I1",AVERAGEIF('QA_Images'!$A$2:$A$63,A46,'QA_Images'!$T$2:$T$63)/100,IF(D46="FULL",1,IF(D46="PARTIAL",0.5,IF(D46="FAIL",0,""))))</f>
        <v/>
      </c>
      <c r="F46" s="5">
        <f>IF(E46="",0,C46*E46)</f>
        <v/>
      </c>
      <c r="G46" s="5">
        <f>IF(B46="I1",20*AVERAGEIF('QA_Images'!$A$2:$A$63,A46,'QA_Images'!$U$2:$U$63)/100,IF(D46="NOT_CHECKED",0,C46))</f>
        <v/>
      </c>
      <c r="H46" s="2" t="inlineStr">
        <is>
          <t>Đối chiếu loại sản phẩm, thiết kế và màu với product JSON, H1 live và toàn bộ gallery.</t>
        </is>
      </c>
      <c r="I46" s="2" t="inlineStr">
        <is>
          <t>["evidence_batch_004_035", "https://jeminise.com/products/custom-retro-football-art-bedding-set-c66211cf75-c66211cf75", "serp_qa_035"]</t>
        </is>
      </c>
      <c r="J46" s="2" t="inlineStr">
        <is>
          <t>["R2-ISS-035-IMG-03", "R2-ISS-035-IMG-05", "R2-ISS-035-DESC", "R2-ISS-035-PERS-OMIT"]</t>
        </is>
      </c>
    </row>
    <row r="47" ht="42" customHeight="1">
      <c r="A47" s="3" t="inlineStr">
        <is>
          <t>jeminise.com+custom-retro-football-art-bedding-set-c66211cf75-c66211cf75</t>
        </is>
      </c>
      <c r="B47" s="3" t="inlineStr">
        <is>
          <t>P2</t>
        </is>
      </c>
      <c r="C47" s="3" t="n">
        <v>10</v>
      </c>
      <c r="D47" s="3" t="inlineStr">
        <is>
          <t>PARTIAL</t>
        </is>
      </c>
      <c r="E47" s="7">
        <f>IF(B47="I1",AVERAGEIF('QA_Images'!$A$2:$A$63,A47,'QA_Images'!$T$2:$T$63)/100,IF(D47="FULL",1,IF(D47="PARTIAL",0.5,IF(D47="FAIL",0,""))))</f>
        <v/>
      </c>
      <c r="F47" s="7">
        <f>IF(E47="",0,C47*E47)</f>
        <v/>
      </c>
      <c r="G47" s="7">
        <f>IF(B47="I1",20*AVERAGEIF('QA_Images'!$A$2:$A$63,A47,'QA_Images'!$U$2:$U$63)/100,IF(D47="NOT_CHECKED",0,C47))</f>
        <v/>
      </c>
      <c r="H47" s="3" t="inlineStr">
        <is>
          <t>Đối chiếu specifications, variants, components và personalization với product.js live, body HTML và ảnh.</t>
        </is>
      </c>
      <c r="I47" s="3" t="inlineStr">
        <is>
          <t>["evidence_batch_004_035", "https://jeminise.com/products/custom-retro-football-art-bedding-set-c66211cf75-c66211cf75", "serp_qa_035"]</t>
        </is>
      </c>
      <c r="J47" s="3" t="inlineStr">
        <is>
          <t>["R2-ISS-035-IMG-03", "R2-ISS-035-IMG-05", "R2-ISS-035-DESC", "R2-ISS-035-PERS-OMIT"]</t>
        </is>
      </c>
    </row>
    <row r="48" ht="42" customHeight="1">
      <c r="A48" s="2" t="inlineStr">
        <is>
          <t>jeminise.com+custom-retro-football-art-bedding-set-c66211cf75-c66211cf75</t>
        </is>
      </c>
      <c r="B48" s="2" t="inlineStr">
        <is>
          <t>K1</t>
        </is>
      </c>
      <c r="C48" s="2" t="n">
        <v>10</v>
      </c>
      <c r="D48" s="2" t="inlineStr">
        <is>
          <t>PARTIAL</t>
        </is>
      </c>
      <c r="E48" s="5">
        <f>IF(B48="I1",AVERAGEIF('QA_Images'!$A$2:$A$63,A48,'QA_Images'!$T$2:$T$63)/100,IF(D48="FULL",1,IF(D48="PARTIAL",0.5,IF(D48="FAIL",0,""))))</f>
        <v/>
      </c>
      <c r="F48" s="5">
        <f>IF(E48="",0,C48*E48)</f>
        <v/>
      </c>
      <c r="G48" s="5">
        <f>IF(B48="I1",20*AVERAGEIF('QA_Images'!$A$2:$A$63,A48,'QA_Images'!$U$2:$U$63)/100,IF(D48="NOT_CHECKED",0,C48))</f>
        <v/>
      </c>
      <c r="H48" s="2" t="inlineStr">
        <is>
          <t>Đối chiếu long-tail với thiết kế riêng và nguy cơ trùng intent trong cụm sản phẩm.</t>
        </is>
      </c>
      <c r="I48" s="2" t="inlineStr">
        <is>
          <t>["evidence_batch_004_035", "https://jeminise.com/products/custom-retro-football-art-bedding-set-c66211cf75-c66211cf75", "serp_qa_035"]</t>
        </is>
      </c>
      <c r="J48" s="2" t="inlineStr">
        <is>
          <t>["R2-ISS-035-IMG-03", "R2-ISS-035-IMG-05", "R2-ISS-035-DESC", "R2-ISS-035-PERS-OMIT"]</t>
        </is>
      </c>
    </row>
    <row r="49" ht="42" customHeight="1">
      <c r="A49" s="3" t="inlineStr">
        <is>
          <t>jeminise.com+custom-retro-football-art-bedding-set-c66211cf75-c66211cf75</t>
        </is>
      </c>
      <c r="B49" s="3" t="inlineStr">
        <is>
          <t>K2</t>
        </is>
      </c>
      <c r="C49" s="3" t="n">
        <v>5</v>
      </c>
      <c r="D49" s="3" t="inlineStr">
        <is>
          <t>FULL</t>
        </is>
      </c>
      <c r="E49" s="7">
        <f>IF(B49="I1",AVERAGEIF('QA_Images'!$A$2:$A$63,A49,'QA_Images'!$T$2:$T$63)/100,IF(D49="FULL",1,IF(D49="PARTIAL",0.5,IF(D49="FAIL",0,""))))</f>
        <v/>
      </c>
      <c r="F49" s="7">
        <f>IF(E49="",0,C49*E49)</f>
        <v/>
      </c>
      <c r="G49" s="7">
        <f>IF(B49="I1",20*AVERAGEIF('QA_Images'!$A$2:$A$63,A49,'QA_Images'!$U$2:$U$63)/100,IF(D49="NOT_CHECKED",0,C49))</f>
        <v/>
      </c>
      <c r="H49" s="3" t="inlineStr">
        <is>
          <t>Đã đọc primary và comparator SERP theo US intent; không dùng claim volume.</t>
        </is>
      </c>
      <c r="I49" s="3" t="inlineStr">
        <is>
          <t>["evidence_batch_004_035", "https://jeminise.com/products/custom-retro-football-art-bedding-set-c66211cf75-c66211cf75", "serp_qa_035"]</t>
        </is>
      </c>
      <c r="J49" s="3" t="inlineStr">
        <is>
          <t>["R2-ISS-035-IMG-03", "R2-ISS-035-IMG-05", "R2-ISS-035-DESC", "R2-ISS-035-PERS-OMIT"]</t>
        </is>
      </c>
    </row>
    <row r="50" ht="42" customHeight="1">
      <c r="A50" s="2" t="inlineStr">
        <is>
          <t>jeminise.com+custom-retro-football-art-bedding-set-c66211cf75-c66211cf75</t>
        </is>
      </c>
      <c r="B50" s="2" t="inlineStr">
        <is>
          <t>K3</t>
        </is>
      </c>
      <c r="C50" s="2" t="n">
        <v>5</v>
      </c>
      <c r="D50" s="2" t="inlineStr">
        <is>
          <t>PARTIAL</t>
        </is>
      </c>
      <c r="E50" s="5">
        <f>IF(B50="I1",AVERAGEIF('QA_Images'!$A$2:$A$63,A50,'QA_Images'!$T$2:$T$63)/100,IF(D50="FULL",1,IF(D50="PARTIAL",0.5,IF(D50="FAIL",0,""))))</f>
        <v/>
      </c>
      <c r="F50" s="5">
        <f>IF(E50="",0,C50*E50)</f>
        <v/>
      </c>
      <c r="G50" s="5">
        <f>IF(B50="I1",20*AVERAGEIF('QA_Images'!$A$2:$A$63,A50,'QA_Images'!$U$2:$U$63)/100,IF(D50="NOT_CHECKED",0,C50))</f>
        <v/>
      </c>
      <c r="H50" s="2" t="inlineStr">
        <is>
          <t>Không suy diễn volume; phân biệt SERP_ONLY và HYPOTHESIS_ONLY.</t>
        </is>
      </c>
      <c r="I50" s="2" t="inlineStr">
        <is>
          <t>["evidence_batch_004_035", "https://jeminise.com/products/custom-retro-football-art-bedding-set-c66211cf75-c66211cf75", "serp_qa_035"]</t>
        </is>
      </c>
      <c r="J50" s="2" t="inlineStr">
        <is>
          <t>["R2-ISS-035-IMG-03", "R2-ISS-035-IMG-05", "R2-ISS-035-DESC", "R2-ISS-035-PERS-OMIT"]</t>
        </is>
      </c>
    </row>
    <row r="51" ht="42" customHeight="1">
      <c r="A51" s="3" t="inlineStr">
        <is>
          <t>jeminise.com+custom-retro-football-art-bedding-set-c66211cf75-c66211cf75</t>
        </is>
      </c>
      <c r="B51" s="3" t="inlineStr">
        <is>
          <t>T1</t>
        </is>
      </c>
      <c r="C51" s="3" t="n">
        <v>10</v>
      </c>
      <c r="D51" s="3" t="inlineStr">
        <is>
          <t>PARTIAL</t>
        </is>
      </c>
      <c r="E51" s="7">
        <f>IF(B51="I1",AVERAGEIF('QA_Images'!$A$2:$A$63,A51,'QA_Images'!$T$2:$T$63)/100,IF(D51="FULL",1,IF(D51="PARTIAL",0.5,IF(D51="FAIL",0,""))))</f>
        <v/>
      </c>
      <c r="F51" s="7">
        <f>IF(E51="",0,C51*E51)</f>
        <v/>
      </c>
      <c r="G51" s="7">
        <f>IF(B51="I1",20*AVERAGEIF('QA_Images'!$A$2:$A$63,A51,'QA_Images'!$U$2:$U$63)/100,IF(D51="NOT_CHECKED",0,C51))</f>
        <v/>
      </c>
      <c r="H51" s="3" t="inlineStr">
        <is>
          <t>Đánh giá SEO title English về độ đúng, tự nhiên, keyword và điểm phân biệt.</t>
        </is>
      </c>
      <c r="I51" s="3" t="inlineStr">
        <is>
          <t>["evidence_batch_004_035", "https://jeminise.com/products/custom-retro-football-art-bedding-set-c66211cf75-c66211cf75", "serp_qa_035"]</t>
        </is>
      </c>
      <c r="J51" s="3" t="inlineStr">
        <is>
          <t>["R2-ISS-035-IMG-03", "R2-ISS-035-IMG-05", "R2-ISS-035-DESC", "R2-ISS-035-PERS-OMIT"]</t>
        </is>
      </c>
    </row>
    <row r="52" ht="42" customHeight="1">
      <c r="A52" s="2" t="inlineStr">
        <is>
          <t>jeminise.com+custom-retro-football-art-bedding-set-c66211cf75-c66211cf75</t>
        </is>
      </c>
      <c r="B52" s="2" t="inlineStr">
        <is>
          <t>T2</t>
        </is>
      </c>
      <c r="C52" s="2" t="n">
        <v>5</v>
      </c>
      <c r="D52" s="2" t="inlineStr">
        <is>
          <t>PARTIAL</t>
        </is>
      </c>
      <c r="E52" s="5">
        <f>IF(B52="I1",AVERAGEIF('QA_Images'!$A$2:$A$63,A52,'QA_Images'!$T$2:$T$63)/100,IF(D52="FULL",1,IF(D52="PARTIAL",0.5,IF(D52="FAIL",0,""))))</f>
        <v/>
      </c>
      <c r="F52" s="5">
        <f>IF(E52="",0,C52*E52)</f>
        <v/>
      </c>
      <c r="G52" s="5">
        <f>IF(B52="I1",20*AVERAGEIF('QA_Images'!$A$2:$A$63,A52,'QA_Images'!$U$2:$U$63)/100,IF(D52="NOT_CHECKED",0,C52))</f>
        <v/>
      </c>
      <c r="H52" s="2" t="inlineStr">
        <is>
          <t>Đánh giá H1 đề xuất độc lập với SEO title và đối chiếu lỗi ký tự nguồn.</t>
        </is>
      </c>
      <c r="I52" s="2" t="inlineStr">
        <is>
          <t>["evidence_batch_004_035", "https://jeminise.com/products/custom-retro-football-art-bedding-set-c66211cf75-c66211cf75", "serp_qa_035"]</t>
        </is>
      </c>
      <c r="J52" s="2" t="inlineStr">
        <is>
          <t>["R2-ISS-035-IMG-03", "R2-ISS-035-IMG-05", "R2-ISS-035-DESC", "R2-ISS-035-PERS-OMIT"]</t>
        </is>
      </c>
    </row>
    <row r="53" ht="42" customHeight="1">
      <c r="A53" s="3" t="inlineStr">
        <is>
          <t>jeminise.com+custom-retro-football-art-bedding-set-c66211cf75-c66211cf75</t>
        </is>
      </c>
      <c r="B53" s="3" t="inlineStr">
        <is>
          <t>D1</t>
        </is>
      </c>
      <c r="C53" s="3" t="n">
        <v>5</v>
      </c>
      <c r="D53" s="3" t="inlineStr">
        <is>
          <t>PARTIAL</t>
        </is>
      </c>
      <c r="E53" s="7">
        <f>IF(B53="I1",AVERAGEIF('QA_Images'!$A$2:$A$63,A53,'QA_Images'!$T$2:$T$63)/100,IF(D53="FULL",1,IF(D53="PARTIAL",0.5,IF(D53="FAIL",0,""))))</f>
        <v/>
      </c>
      <c r="F53" s="7">
        <f>IF(E53="",0,C53*E53)</f>
        <v/>
      </c>
      <c r="G53" s="7">
        <f>IF(B53="I1",20*AVERAGEIF('QA_Images'!$A$2:$A$63,A53,'QA_Images'!$U$2:$U$63)/100,IF(D53="NOT_CHECKED",0,C53))</f>
        <v/>
      </c>
      <c r="H53" s="3" t="inlineStr">
        <is>
          <t>Đánh giá meta description về tính cụ thể và căn cứ claim.</t>
        </is>
      </c>
      <c r="I53" s="3" t="inlineStr">
        <is>
          <t>["evidence_batch_004_035", "https://jeminise.com/products/custom-retro-football-art-bedding-set-c66211cf75-c66211cf75", "serp_qa_035"]</t>
        </is>
      </c>
      <c r="J53" s="3" t="inlineStr">
        <is>
          <t>["R2-ISS-035-IMG-03", "R2-ISS-035-IMG-05", "R2-ISS-035-DESC", "R2-ISS-035-PERS-OMIT"]</t>
        </is>
      </c>
    </row>
    <row r="54" ht="42" customHeight="1">
      <c r="A54" s="2" t="inlineStr">
        <is>
          <t>jeminise.com+custom-retro-football-art-bedding-set-c66211cf75-c66211cf75</t>
        </is>
      </c>
      <c r="B54" s="2" t="inlineStr">
        <is>
          <t>D2</t>
        </is>
      </c>
      <c r="C54" s="2" t="n">
        <v>10</v>
      </c>
      <c r="D54" s="2" t="inlineStr">
        <is>
          <t>PARTIAL</t>
        </is>
      </c>
      <c r="E54" s="5">
        <f>IF(B54="I1",AVERAGEIF('QA_Images'!$A$2:$A$63,A54,'QA_Images'!$T$2:$T$63)/100,IF(D54="FULL",1,IF(D54="PARTIAL",0.5,IF(D54="FAIL",0,""))))</f>
        <v/>
      </c>
      <c r="F54" s="5">
        <f>IF(E54="",0,C54*E54)</f>
        <v/>
      </c>
      <c r="G54" s="5">
        <f>IF(B54="I1",20*AVERAGEIF('QA_Images'!$A$2:$A$63,A54,'QA_Images'!$U$2:$U$63)/100,IF(D54="NOT_CHECKED",0,C54))</f>
        <v/>
      </c>
      <c r="H54" s="2" t="inlineStr">
        <is>
          <t>Description SET có HTML đầy đủ nhưng chứa câu nội bộ 'This draft should be reviewed...' và dữ liệu nguồn thô/mâu thuẫn; chưa phải nội dung publish-ready.</t>
        </is>
      </c>
      <c r="I54" s="2" t="inlineStr">
        <is>
          <t>["evidence_batch_004_035", "https://jeminise.com/products/custom-retro-football-art-bedding-set-c66211cf75-c66211cf75", "serp_qa_035"]</t>
        </is>
      </c>
      <c r="J54" s="2" t="inlineStr">
        <is>
          <t>["R2-ISS-035-IMG-03", "R2-ISS-035-IMG-05", "R2-ISS-035-DESC", "R2-ISS-035-PERS-OMIT"]</t>
        </is>
      </c>
    </row>
    <row r="55" ht="42" customHeight="1">
      <c r="A55" s="3" t="inlineStr">
        <is>
          <t>jeminise.com+custom-retro-football-art-bedding-set-c66211cf75-c66211cf75</t>
        </is>
      </c>
      <c r="B55" s="3" t="inlineStr">
        <is>
          <t>I1</t>
        </is>
      </c>
      <c r="C55" s="3" t="n">
        <v>20</v>
      </c>
      <c r="D55" s="3" t="inlineStr">
        <is>
          <t>DERIVED</t>
        </is>
      </c>
      <c r="E55" s="7">
        <f>IF(B55="I1",AVERAGEIF('QA_Images'!$A$2:$A$63,A55,'QA_Images'!$T$2:$T$63)/100,IF(D55="FULL",1,IF(D55="PARTIAL",0.5,IF(D55="FAIL",0,""))))</f>
        <v/>
      </c>
      <c r="F55" s="7">
        <f>IF(E55="",0,C55*E55)</f>
        <v/>
      </c>
      <c r="G55" s="7">
        <f>IF(B55="I1",20*AVERAGEIF('QA_Images'!$A$2:$A$63,A55,'QA_Images'!$U$2:$U$63)/100,IF(D55="NOT_CHECKED",0,C55))</f>
        <v/>
      </c>
      <c r="H55" s="3" t="inlineStr">
        <is>
          <t>Tính từ trung bình 6 ảnh: 91.6667/100.</t>
        </is>
      </c>
      <c r="I55" s="3" t="inlineStr">
        <is>
          <t>["evidence_batch_004_035", "https://jeminise.com/products/custom-retro-football-art-bedding-set-c66211cf75-c66211cf75", "serp_qa_035"]</t>
        </is>
      </c>
      <c r="J55" s="3" t="inlineStr">
        <is>
          <t>["R2-ISS-035-IMG-03", "R2-ISS-035-IMG-05", "R2-ISS-035-DESC", "R2-ISS-035-PERS-OMIT"]</t>
        </is>
      </c>
    </row>
    <row r="56" ht="42" customHeight="1">
      <c r="A56" s="2" t="inlineStr">
        <is>
          <t>jeminise.com+custom-retro-football-art-bedding-set-c66211cf75-c66211cf75</t>
        </is>
      </c>
      <c r="B56" s="2" t="inlineStr">
        <is>
          <t>E1</t>
        </is>
      </c>
      <c r="C56" s="2" t="n">
        <v>5</v>
      </c>
      <c r="D56" s="2" t="inlineStr">
        <is>
          <t>PARTIAL</t>
        </is>
      </c>
      <c r="E56" s="5">
        <f>IF(B56="I1",AVERAGEIF('QA_Images'!$A$2:$A$63,A56,'QA_Images'!$T$2:$T$63)/100,IF(D56="FULL",1,IF(D56="PARTIAL",0.5,IF(D56="FAIL",0,""))))</f>
        <v/>
      </c>
      <c r="F56" s="5">
        <f>IF(E56="",0,C56*E56)</f>
        <v/>
      </c>
      <c r="G56" s="5">
        <f>IF(B56="I1",20*AVERAGEIF('QA_Images'!$A$2:$A$63,A56,'QA_Images'!$U$2:$U$63)/100,IF(D56="NOT_CHECKED",0,C56))</f>
        <v/>
      </c>
      <c r="H56" s="2" t="inlineStr">
        <is>
          <t>Kiểm tra chuỗi evidence và giới hạn do thiếu admin export/browser tương tác.</t>
        </is>
      </c>
      <c r="I56" s="2" t="inlineStr">
        <is>
          <t>["evidence_batch_004_035", "https://jeminise.com/products/custom-retro-football-art-bedding-set-c66211cf75-c66211cf75", "serp_qa_035"]</t>
        </is>
      </c>
      <c r="J56" s="2" t="inlineStr">
        <is>
          <t>["R2-ISS-035-IMG-03", "R2-ISS-035-IMG-05", "R2-ISS-035-DESC", "R2-ISS-035-PERS-OMIT"]</t>
        </is>
      </c>
    </row>
    <row r="57" ht="42" customHeight="1">
      <c r="A57" s="3" t="inlineStr">
        <is>
          <t>jeminise.com+custom-american-football-close-up-on-grunge-vintage-comforter-26540e3264-26540e3264</t>
        </is>
      </c>
      <c r="B57" s="3" t="inlineStr">
        <is>
          <t>P1</t>
        </is>
      </c>
      <c r="C57" s="3" t="n">
        <v>15</v>
      </c>
      <c r="D57" s="3" t="inlineStr">
        <is>
          <t>FULL</t>
        </is>
      </c>
      <c r="E57" s="7">
        <f>IF(B57="I1",AVERAGEIF('QA_Images'!$A$2:$A$63,A57,'QA_Images'!$T$2:$T$63)/100,IF(D57="FULL",1,IF(D57="PARTIAL",0.5,IF(D57="FAIL",0,""))))</f>
        <v/>
      </c>
      <c r="F57" s="7">
        <f>IF(E57="",0,C57*E57)</f>
        <v/>
      </c>
      <c r="G57" s="7">
        <f>IF(B57="I1",20*AVERAGEIF('QA_Images'!$A$2:$A$63,A57,'QA_Images'!$U$2:$U$63)/100,IF(D57="NOT_CHECKED",0,C57))</f>
        <v/>
      </c>
      <c r="H57" s="3" t="inlineStr">
        <is>
          <t>Đối chiếu loại sản phẩm, thiết kế và màu với product JSON, H1 live và toàn bộ gallery.</t>
        </is>
      </c>
      <c r="I57" s="3" t="inlineStr">
        <is>
          <t>["evidence_batch_004_036", "https://jeminise.com/products/custom-american-football-close-up-on-grunge-vintage-comforter-26540e3264-26540e3264", "serp_qa_036"]</t>
        </is>
      </c>
      <c r="J57" s="3" t="inlineStr">
        <is>
          <t>["R2-ISS-036-IMG-03", "R2-ISS-036-IMG-05", "R2-ISS-036-DESC", "R2-ISS-036-PERS-OMIT", "R2-ISS-036-KEYWORD"]</t>
        </is>
      </c>
    </row>
    <row r="58" ht="42" customHeight="1">
      <c r="A58" s="2" t="inlineStr">
        <is>
          <t>jeminise.com+custom-american-football-close-up-on-grunge-vintage-comforter-26540e3264-26540e3264</t>
        </is>
      </c>
      <c r="B58" s="2" t="inlineStr">
        <is>
          <t>P2</t>
        </is>
      </c>
      <c r="C58" s="2" t="n">
        <v>10</v>
      </c>
      <c r="D58" s="2" t="inlineStr">
        <is>
          <t>PARTIAL</t>
        </is>
      </c>
      <c r="E58" s="5">
        <f>IF(B58="I1",AVERAGEIF('QA_Images'!$A$2:$A$63,A58,'QA_Images'!$T$2:$T$63)/100,IF(D58="FULL",1,IF(D58="PARTIAL",0.5,IF(D58="FAIL",0,""))))</f>
        <v/>
      </c>
      <c r="F58" s="5">
        <f>IF(E58="",0,C58*E58)</f>
        <v/>
      </c>
      <c r="G58" s="5">
        <f>IF(B58="I1",20*AVERAGEIF('QA_Images'!$A$2:$A$63,A58,'QA_Images'!$U$2:$U$63)/100,IF(D58="NOT_CHECKED",0,C58))</f>
        <v/>
      </c>
      <c r="H58" s="2" t="inlineStr">
        <is>
          <t>Đối chiếu specifications, variants, components và personalization với product.js live, body HTML và ảnh.</t>
        </is>
      </c>
      <c r="I58" s="2" t="inlineStr">
        <is>
          <t>["evidence_batch_004_036", "https://jeminise.com/products/custom-american-football-close-up-on-grunge-vintage-comforter-26540e3264-26540e3264", "serp_qa_036"]</t>
        </is>
      </c>
      <c r="J58" s="2" t="inlineStr">
        <is>
          <t>["R2-ISS-036-IMG-03", "R2-ISS-036-IMG-05", "R2-ISS-036-DESC", "R2-ISS-036-PERS-OMIT", "R2-ISS-036-KEYWORD"]</t>
        </is>
      </c>
    </row>
    <row r="59" ht="42" customHeight="1">
      <c r="A59" s="3" t="inlineStr">
        <is>
          <t>jeminise.com+custom-american-football-close-up-on-grunge-vintage-comforter-26540e3264-26540e3264</t>
        </is>
      </c>
      <c r="B59" s="3" t="inlineStr">
        <is>
          <t>K1</t>
        </is>
      </c>
      <c r="C59" s="3" t="n">
        <v>10</v>
      </c>
      <c r="D59" s="3" t="inlineStr">
        <is>
          <t>FAIL</t>
        </is>
      </c>
      <c r="E59" s="7">
        <f>IF(B59="I1",AVERAGEIF('QA_Images'!$A$2:$A$63,A59,'QA_Images'!$T$2:$T$63)/100,IF(D59="FULL",1,IF(D59="PARTIAL",0.5,IF(D59="FAIL",0,""))))</f>
        <v/>
      </c>
      <c r="F59" s="7">
        <f>IF(E59="",0,C59*E59)</f>
        <v/>
      </c>
      <c r="G59" s="7">
        <f>IF(B59="I1",20*AVERAGEIF('QA_Images'!$A$2:$A$63,A59,'QA_Images'!$U$2:$U$63)/100,IF(D59="NOT_CHECKED",0,C59))</f>
        <v/>
      </c>
      <c r="H59" s="3" t="inlineStr">
        <is>
          <t>Đối chiếu long-tail với thiết kế riêng và nguy cơ trùng intent trong cụm sản phẩm.</t>
        </is>
      </c>
      <c r="I59" s="3" t="inlineStr">
        <is>
          <t>["evidence_batch_004_036", "https://jeminise.com/products/custom-american-football-close-up-on-grunge-vintage-comforter-26540e3264-26540e3264", "serp_qa_036"]</t>
        </is>
      </c>
      <c r="J59" s="3" t="inlineStr">
        <is>
          <t>["R2-ISS-036-IMG-03", "R2-ISS-036-IMG-05", "R2-ISS-036-DESC", "R2-ISS-036-PERS-OMIT", "R2-ISS-036-KEYWORD"]</t>
        </is>
      </c>
    </row>
    <row r="60" ht="42" customHeight="1">
      <c r="A60" s="2" t="inlineStr">
        <is>
          <t>jeminise.com+custom-american-football-close-up-on-grunge-vintage-comforter-26540e3264-26540e3264</t>
        </is>
      </c>
      <c r="B60" s="2" t="inlineStr">
        <is>
          <t>K2</t>
        </is>
      </c>
      <c r="C60" s="2" t="n">
        <v>5</v>
      </c>
      <c r="D60" s="2" t="inlineStr">
        <is>
          <t>PARTIAL</t>
        </is>
      </c>
      <c r="E60" s="5">
        <f>IF(B60="I1",AVERAGEIF('QA_Images'!$A$2:$A$63,A60,'QA_Images'!$T$2:$T$63)/100,IF(D60="FULL",1,IF(D60="PARTIAL",0.5,IF(D60="FAIL",0,""))))</f>
        <v/>
      </c>
      <c r="F60" s="5">
        <f>IF(E60="",0,C60*E60)</f>
        <v/>
      </c>
      <c r="G60" s="5">
        <f>IF(B60="I1",20*AVERAGEIF('QA_Images'!$A$2:$A$63,A60,'QA_Images'!$U$2:$U$63)/100,IF(D60="NOT_CHECKED",0,C60))</f>
        <v/>
      </c>
      <c r="H60" s="2" t="inlineStr">
        <is>
          <t>Đã đọc primary và comparator SERP theo US intent; không dùng claim volume.</t>
        </is>
      </c>
      <c r="I60" s="2" t="inlineStr">
        <is>
          <t>["evidence_batch_004_036", "https://jeminise.com/products/custom-american-football-close-up-on-grunge-vintage-comforter-26540e3264-26540e3264", "serp_qa_036"]</t>
        </is>
      </c>
      <c r="J60" s="2" t="inlineStr">
        <is>
          <t>["R2-ISS-036-IMG-03", "R2-ISS-036-IMG-05", "R2-ISS-036-DESC", "R2-ISS-036-PERS-OMIT", "R2-ISS-036-KEYWORD"]</t>
        </is>
      </c>
    </row>
    <row r="61" ht="42" customHeight="1">
      <c r="A61" s="3" t="inlineStr">
        <is>
          <t>jeminise.com+custom-american-football-close-up-on-grunge-vintage-comforter-26540e3264-26540e3264</t>
        </is>
      </c>
      <c r="B61" s="3" t="inlineStr">
        <is>
          <t>K3</t>
        </is>
      </c>
      <c r="C61" s="3" t="n">
        <v>5</v>
      </c>
      <c r="D61" s="3" t="inlineStr">
        <is>
          <t>PARTIAL</t>
        </is>
      </c>
      <c r="E61" s="7">
        <f>IF(B61="I1",AVERAGEIF('QA_Images'!$A$2:$A$63,A61,'QA_Images'!$T$2:$T$63)/100,IF(D61="FULL",1,IF(D61="PARTIAL",0.5,IF(D61="FAIL",0,""))))</f>
        <v/>
      </c>
      <c r="F61" s="7">
        <f>IF(E61="",0,C61*E61)</f>
        <v/>
      </c>
      <c r="G61" s="7">
        <f>IF(B61="I1",20*AVERAGEIF('QA_Images'!$A$2:$A$63,A61,'QA_Images'!$U$2:$U$63)/100,IF(D61="NOT_CHECKED",0,C61))</f>
        <v/>
      </c>
      <c r="H61" s="3" t="inlineStr">
        <is>
          <t>Không suy diễn volume; phân biệt SERP_ONLY và HYPOTHESIS_ONLY.</t>
        </is>
      </c>
      <c r="I61" s="3" t="inlineStr">
        <is>
          <t>["evidence_batch_004_036", "https://jeminise.com/products/custom-american-football-close-up-on-grunge-vintage-comforter-26540e3264-26540e3264", "serp_qa_036"]</t>
        </is>
      </c>
      <c r="J61" s="3" t="inlineStr">
        <is>
          <t>["R2-ISS-036-IMG-03", "R2-ISS-036-IMG-05", "R2-ISS-036-DESC", "R2-ISS-036-PERS-OMIT", "R2-ISS-036-KEYWORD"]</t>
        </is>
      </c>
    </row>
    <row r="62" ht="42" customHeight="1">
      <c r="A62" s="2" t="inlineStr">
        <is>
          <t>jeminise.com+custom-american-football-close-up-on-grunge-vintage-comforter-26540e3264-26540e3264</t>
        </is>
      </c>
      <c r="B62" s="2" t="inlineStr">
        <is>
          <t>T1</t>
        </is>
      </c>
      <c r="C62" s="2" t="n">
        <v>10</v>
      </c>
      <c r="D62" s="2" t="inlineStr">
        <is>
          <t>PARTIAL</t>
        </is>
      </c>
      <c r="E62" s="5">
        <f>IF(B62="I1",AVERAGEIF('QA_Images'!$A$2:$A$63,A62,'QA_Images'!$T$2:$T$63)/100,IF(D62="FULL",1,IF(D62="PARTIAL",0.5,IF(D62="FAIL",0,""))))</f>
        <v/>
      </c>
      <c r="F62" s="5">
        <f>IF(E62="",0,C62*E62)</f>
        <v/>
      </c>
      <c r="G62" s="5">
        <f>IF(B62="I1",20*AVERAGEIF('QA_Images'!$A$2:$A$63,A62,'QA_Images'!$U$2:$U$63)/100,IF(D62="NOT_CHECKED",0,C62))</f>
        <v/>
      </c>
      <c r="H62" s="2" t="inlineStr">
        <is>
          <t>Đánh giá SEO title English về độ đúng, tự nhiên, keyword và điểm phân biệt.</t>
        </is>
      </c>
      <c r="I62" s="2" t="inlineStr">
        <is>
          <t>["evidence_batch_004_036", "https://jeminise.com/products/custom-american-football-close-up-on-grunge-vintage-comforter-26540e3264-26540e3264", "serp_qa_036"]</t>
        </is>
      </c>
      <c r="J62" s="2" t="inlineStr">
        <is>
          <t>["R2-ISS-036-IMG-03", "R2-ISS-036-IMG-05", "R2-ISS-036-DESC", "R2-ISS-036-PERS-OMIT", "R2-ISS-036-KEYWORD"]</t>
        </is>
      </c>
    </row>
    <row r="63" ht="42" customHeight="1">
      <c r="A63" s="3" t="inlineStr">
        <is>
          <t>jeminise.com+custom-american-football-close-up-on-grunge-vintage-comforter-26540e3264-26540e3264</t>
        </is>
      </c>
      <c r="B63" s="3" t="inlineStr">
        <is>
          <t>T2</t>
        </is>
      </c>
      <c r="C63" s="3" t="n">
        <v>5</v>
      </c>
      <c r="D63" s="3" t="inlineStr">
        <is>
          <t>PARTIAL</t>
        </is>
      </c>
      <c r="E63" s="7">
        <f>IF(B63="I1",AVERAGEIF('QA_Images'!$A$2:$A$63,A63,'QA_Images'!$T$2:$T$63)/100,IF(D63="FULL",1,IF(D63="PARTIAL",0.5,IF(D63="FAIL",0,""))))</f>
        <v/>
      </c>
      <c r="F63" s="7">
        <f>IF(E63="",0,C63*E63)</f>
        <v/>
      </c>
      <c r="G63" s="7">
        <f>IF(B63="I1",20*AVERAGEIF('QA_Images'!$A$2:$A$63,A63,'QA_Images'!$U$2:$U$63)/100,IF(D63="NOT_CHECKED",0,C63))</f>
        <v/>
      </c>
      <c r="H63" s="3" t="inlineStr">
        <is>
          <t>Đánh giá H1 đề xuất độc lập với SEO title và đối chiếu lỗi ký tự nguồn.</t>
        </is>
      </c>
      <c r="I63" s="3" t="inlineStr">
        <is>
          <t>["evidence_batch_004_036", "https://jeminise.com/products/custom-american-football-close-up-on-grunge-vintage-comforter-26540e3264-26540e3264", "serp_qa_036"]</t>
        </is>
      </c>
      <c r="J63" s="3" t="inlineStr">
        <is>
          <t>["R2-ISS-036-IMG-03", "R2-ISS-036-IMG-05", "R2-ISS-036-DESC", "R2-ISS-036-PERS-OMIT", "R2-ISS-036-KEYWORD"]</t>
        </is>
      </c>
    </row>
    <row r="64" ht="42" customHeight="1">
      <c r="A64" s="2" t="inlineStr">
        <is>
          <t>jeminise.com+custom-american-football-close-up-on-grunge-vintage-comforter-26540e3264-26540e3264</t>
        </is>
      </c>
      <c r="B64" s="2" t="inlineStr">
        <is>
          <t>D1</t>
        </is>
      </c>
      <c r="C64" s="2" t="n">
        <v>5</v>
      </c>
      <c r="D64" s="2" t="inlineStr">
        <is>
          <t>PARTIAL</t>
        </is>
      </c>
      <c r="E64" s="5">
        <f>IF(B64="I1",AVERAGEIF('QA_Images'!$A$2:$A$63,A64,'QA_Images'!$T$2:$T$63)/100,IF(D64="FULL",1,IF(D64="PARTIAL",0.5,IF(D64="FAIL",0,""))))</f>
        <v/>
      </c>
      <c r="F64" s="5">
        <f>IF(E64="",0,C64*E64)</f>
        <v/>
      </c>
      <c r="G64" s="5">
        <f>IF(B64="I1",20*AVERAGEIF('QA_Images'!$A$2:$A$63,A64,'QA_Images'!$U$2:$U$63)/100,IF(D64="NOT_CHECKED",0,C64))</f>
        <v/>
      </c>
      <c r="H64" s="2" t="inlineStr">
        <is>
          <t>Đánh giá meta description về tính cụ thể và căn cứ claim.</t>
        </is>
      </c>
      <c r="I64" s="2" t="inlineStr">
        <is>
          <t>["evidence_batch_004_036", "https://jeminise.com/products/custom-american-football-close-up-on-grunge-vintage-comforter-26540e3264-26540e3264", "serp_qa_036"]</t>
        </is>
      </c>
      <c r="J64" s="2" t="inlineStr">
        <is>
          <t>["R2-ISS-036-IMG-03", "R2-ISS-036-IMG-05", "R2-ISS-036-DESC", "R2-ISS-036-PERS-OMIT", "R2-ISS-036-KEYWORD"]</t>
        </is>
      </c>
    </row>
    <row r="65" ht="42" customHeight="1">
      <c r="A65" s="3" t="inlineStr">
        <is>
          <t>jeminise.com+custom-american-football-close-up-on-grunge-vintage-comforter-26540e3264-26540e3264</t>
        </is>
      </c>
      <c r="B65" s="3" t="inlineStr">
        <is>
          <t>D2</t>
        </is>
      </c>
      <c r="C65" s="3" t="n">
        <v>10</v>
      </c>
      <c r="D65" s="3" t="inlineStr">
        <is>
          <t>PARTIAL</t>
        </is>
      </c>
      <c r="E65" s="7">
        <f>IF(B65="I1",AVERAGEIF('QA_Images'!$A$2:$A$63,A65,'QA_Images'!$T$2:$T$63)/100,IF(D65="FULL",1,IF(D65="PARTIAL",0.5,IF(D65="FAIL",0,""))))</f>
        <v/>
      </c>
      <c r="F65" s="7">
        <f>IF(E65="",0,C65*E65)</f>
        <v/>
      </c>
      <c r="G65" s="7">
        <f>IF(B65="I1",20*AVERAGEIF('QA_Images'!$A$2:$A$63,A65,'QA_Images'!$U$2:$U$63)/100,IF(D65="NOT_CHECKED",0,C65))</f>
        <v/>
      </c>
      <c r="H65" s="3" t="inlineStr">
        <is>
          <t>Description SET có HTML đầy đủ nhưng chứa câu nội bộ 'This draft should be reviewed...' và dữ liệu nguồn thô/mâu thuẫn; chưa phải nội dung publish-ready.</t>
        </is>
      </c>
      <c r="I65" s="3" t="inlineStr">
        <is>
          <t>["evidence_batch_004_036", "https://jeminise.com/products/custom-american-football-close-up-on-grunge-vintage-comforter-26540e3264-26540e3264", "serp_qa_036"]</t>
        </is>
      </c>
      <c r="J65" s="3" t="inlineStr">
        <is>
          <t>["R2-ISS-036-IMG-03", "R2-ISS-036-IMG-05", "R2-ISS-036-DESC", "R2-ISS-036-PERS-OMIT", "R2-ISS-036-KEYWORD"]</t>
        </is>
      </c>
    </row>
    <row r="66" ht="42" customHeight="1">
      <c r="A66" s="2" t="inlineStr">
        <is>
          <t>jeminise.com+custom-american-football-close-up-on-grunge-vintage-comforter-26540e3264-26540e3264</t>
        </is>
      </c>
      <c r="B66" s="2" t="inlineStr">
        <is>
          <t>I1</t>
        </is>
      </c>
      <c r="C66" s="2" t="n">
        <v>20</v>
      </c>
      <c r="D66" s="2" t="inlineStr">
        <is>
          <t>DERIVED</t>
        </is>
      </c>
      <c r="E66" s="5">
        <f>IF(B66="I1",AVERAGEIF('QA_Images'!$A$2:$A$63,A66,'QA_Images'!$T$2:$T$63)/100,IF(D66="FULL",1,IF(D66="PARTIAL",0.5,IF(D66="FAIL",0,""))))</f>
        <v/>
      </c>
      <c r="F66" s="5">
        <f>IF(E66="",0,C66*E66)</f>
        <v/>
      </c>
      <c r="G66" s="5">
        <f>IF(B66="I1",20*AVERAGEIF('QA_Images'!$A$2:$A$63,A66,'QA_Images'!$U$2:$U$63)/100,IF(D66="NOT_CHECKED",0,C66))</f>
        <v/>
      </c>
      <c r="H66" s="2" t="inlineStr">
        <is>
          <t>Tính từ trung bình 6 ảnh: 91.6667/100.</t>
        </is>
      </c>
      <c r="I66" s="2" t="inlineStr">
        <is>
          <t>["evidence_batch_004_036", "https://jeminise.com/products/custom-american-football-close-up-on-grunge-vintage-comforter-26540e3264-26540e3264", "serp_qa_036"]</t>
        </is>
      </c>
      <c r="J66" s="2" t="inlineStr">
        <is>
          <t>["R2-ISS-036-IMG-03", "R2-ISS-036-IMG-05", "R2-ISS-036-DESC", "R2-ISS-036-PERS-OMIT", "R2-ISS-036-KEYWORD"]</t>
        </is>
      </c>
    </row>
    <row r="67" ht="42" customHeight="1">
      <c r="A67" s="3" t="inlineStr">
        <is>
          <t>jeminise.com+custom-american-football-close-up-on-grunge-vintage-comforter-26540e3264-26540e3264</t>
        </is>
      </c>
      <c r="B67" s="3" t="inlineStr">
        <is>
          <t>E1</t>
        </is>
      </c>
      <c r="C67" s="3" t="n">
        <v>5</v>
      </c>
      <c r="D67" s="3" t="inlineStr">
        <is>
          <t>PARTIAL</t>
        </is>
      </c>
      <c r="E67" s="7">
        <f>IF(B67="I1",AVERAGEIF('QA_Images'!$A$2:$A$63,A67,'QA_Images'!$T$2:$T$63)/100,IF(D67="FULL",1,IF(D67="PARTIAL",0.5,IF(D67="FAIL",0,""))))</f>
        <v/>
      </c>
      <c r="F67" s="7">
        <f>IF(E67="",0,C67*E67)</f>
        <v/>
      </c>
      <c r="G67" s="7">
        <f>IF(B67="I1",20*AVERAGEIF('QA_Images'!$A$2:$A$63,A67,'QA_Images'!$U$2:$U$63)/100,IF(D67="NOT_CHECKED",0,C67))</f>
        <v/>
      </c>
      <c r="H67" s="3" t="inlineStr">
        <is>
          <t>Kiểm tra chuỗi evidence và giới hạn do thiếu admin export/browser tương tác.</t>
        </is>
      </c>
      <c r="I67" s="3" t="inlineStr">
        <is>
          <t>["evidence_batch_004_036", "https://jeminise.com/products/custom-american-football-close-up-on-grunge-vintage-comforter-26540e3264-26540e3264", "serp_qa_036"]</t>
        </is>
      </c>
      <c r="J67" s="3" t="inlineStr">
        <is>
          <t>["R2-ISS-036-IMG-03", "R2-ISS-036-IMG-05", "R2-ISS-036-DESC", "R2-ISS-036-PERS-OMIT", "R2-ISS-036-KEYWORD"]</t>
        </is>
      </c>
    </row>
    <row r="68" ht="42" customHeight="1">
      <c r="A68" s="2" t="inlineStr">
        <is>
          <t>jeminise.com+custom-american-football-on-cosmic-background-vintage-comforter-62a3849621-62a3849621</t>
        </is>
      </c>
      <c r="B68" s="2" t="inlineStr">
        <is>
          <t>P1</t>
        </is>
      </c>
      <c r="C68" s="2" t="n">
        <v>15</v>
      </c>
      <c r="D68" s="2" t="inlineStr">
        <is>
          <t>FULL</t>
        </is>
      </c>
      <c r="E68" s="5">
        <f>IF(B68="I1",AVERAGEIF('QA_Images'!$A$2:$A$63,A68,'QA_Images'!$T$2:$T$63)/100,IF(D68="FULL",1,IF(D68="PARTIAL",0.5,IF(D68="FAIL",0,""))))</f>
        <v/>
      </c>
      <c r="F68" s="5">
        <f>IF(E68="",0,C68*E68)</f>
        <v/>
      </c>
      <c r="G68" s="5">
        <f>IF(B68="I1",20*AVERAGEIF('QA_Images'!$A$2:$A$63,A68,'QA_Images'!$U$2:$U$63)/100,IF(D68="NOT_CHECKED",0,C68))</f>
        <v/>
      </c>
      <c r="H68" s="2" t="inlineStr">
        <is>
          <t>Đối chiếu loại sản phẩm, thiết kế và màu với product JSON, H1 live và toàn bộ gallery.</t>
        </is>
      </c>
      <c r="I68" s="2" t="inlineStr">
        <is>
          <t>["evidence_batch_004_037", "https://jeminise.com/products/custom-american-football-on-cosmic-background-vintage-comforter-62a3849621-62a3849621", "serp_qa_037"]</t>
        </is>
      </c>
      <c r="J68" s="2" t="inlineStr">
        <is>
          <t>["R2-ISS-037-IMG-03", "R2-ISS-037-IMG-05", "R2-ISS-037-DESC", "R2-ISS-037-PERS-OMIT", "R2-ISS-037-KEYWORD"]</t>
        </is>
      </c>
    </row>
    <row r="69" ht="42" customHeight="1">
      <c r="A69" s="3" t="inlineStr">
        <is>
          <t>jeminise.com+custom-american-football-on-cosmic-background-vintage-comforter-62a3849621-62a3849621</t>
        </is>
      </c>
      <c r="B69" s="3" t="inlineStr">
        <is>
          <t>P2</t>
        </is>
      </c>
      <c r="C69" s="3" t="n">
        <v>10</v>
      </c>
      <c r="D69" s="3" t="inlineStr">
        <is>
          <t>PARTIAL</t>
        </is>
      </c>
      <c r="E69" s="7">
        <f>IF(B69="I1",AVERAGEIF('QA_Images'!$A$2:$A$63,A69,'QA_Images'!$T$2:$T$63)/100,IF(D69="FULL",1,IF(D69="PARTIAL",0.5,IF(D69="FAIL",0,""))))</f>
        <v/>
      </c>
      <c r="F69" s="7">
        <f>IF(E69="",0,C69*E69)</f>
        <v/>
      </c>
      <c r="G69" s="7">
        <f>IF(B69="I1",20*AVERAGEIF('QA_Images'!$A$2:$A$63,A69,'QA_Images'!$U$2:$U$63)/100,IF(D69="NOT_CHECKED",0,C69))</f>
        <v/>
      </c>
      <c r="H69" s="3" t="inlineStr">
        <is>
          <t>Đối chiếu specifications, variants, components và personalization với product.js live, body HTML và ảnh.</t>
        </is>
      </c>
      <c r="I69" s="3" t="inlineStr">
        <is>
          <t>["evidence_batch_004_037", "https://jeminise.com/products/custom-american-football-on-cosmic-background-vintage-comforter-62a3849621-62a3849621", "serp_qa_037"]</t>
        </is>
      </c>
      <c r="J69" s="3" t="inlineStr">
        <is>
          <t>["R2-ISS-037-IMG-03", "R2-ISS-037-IMG-05", "R2-ISS-037-DESC", "R2-ISS-037-PERS-OMIT", "R2-ISS-037-KEYWORD"]</t>
        </is>
      </c>
    </row>
    <row r="70" ht="42" customHeight="1">
      <c r="A70" s="2" t="inlineStr">
        <is>
          <t>jeminise.com+custom-american-football-on-cosmic-background-vintage-comforter-62a3849621-62a3849621</t>
        </is>
      </c>
      <c r="B70" s="2" t="inlineStr">
        <is>
          <t>K1</t>
        </is>
      </c>
      <c r="C70" s="2" t="n">
        <v>10</v>
      </c>
      <c r="D70" s="2" t="inlineStr">
        <is>
          <t>PARTIAL</t>
        </is>
      </c>
      <c r="E70" s="5">
        <f>IF(B70="I1",AVERAGEIF('QA_Images'!$A$2:$A$63,A70,'QA_Images'!$T$2:$T$63)/100,IF(D70="FULL",1,IF(D70="PARTIAL",0.5,IF(D70="FAIL",0,""))))</f>
        <v/>
      </c>
      <c r="F70" s="5">
        <f>IF(E70="",0,C70*E70)</f>
        <v/>
      </c>
      <c r="G70" s="5">
        <f>IF(B70="I1",20*AVERAGEIF('QA_Images'!$A$2:$A$63,A70,'QA_Images'!$U$2:$U$63)/100,IF(D70="NOT_CHECKED",0,C70))</f>
        <v/>
      </c>
      <c r="H70" s="2" t="inlineStr">
        <is>
          <t>Đối chiếu long-tail với thiết kế riêng và nguy cơ trùng intent trong cụm sản phẩm.</t>
        </is>
      </c>
      <c r="I70" s="2" t="inlineStr">
        <is>
          <t>["evidence_batch_004_037", "https://jeminise.com/products/custom-american-football-on-cosmic-background-vintage-comforter-62a3849621-62a3849621", "serp_qa_037"]</t>
        </is>
      </c>
      <c r="J70" s="2" t="inlineStr">
        <is>
          <t>["R2-ISS-037-IMG-03", "R2-ISS-037-IMG-05", "R2-ISS-037-DESC", "R2-ISS-037-PERS-OMIT", "R2-ISS-037-KEYWORD"]</t>
        </is>
      </c>
    </row>
    <row r="71" ht="42" customHeight="1">
      <c r="A71" s="3" t="inlineStr">
        <is>
          <t>jeminise.com+custom-american-football-on-cosmic-background-vintage-comforter-62a3849621-62a3849621</t>
        </is>
      </c>
      <c r="B71" s="3" t="inlineStr">
        <is>
          <t>K2</t>
        </is>
      </c>
      <c r="C71" s="3" t="n">
        <v>5</v>
      </c>
      <c r="D71" s="3" t="inlineStr">
        <is>
          <t>FAIL</t>
        </is>
      </c>
      <c r="E71" s="7">
        <f>IF(B71="I1",AVERAGEIF('QA_Images'!$A$2:$A$63,A71,'QA_Images'!$T$2:$T$63)/100,IF(D71="FULL",1,IF(D71="PARTIAL",0.5,IF(D71="FAIL",0,""))))</f>
        <v/>
      </c>
      <c r="F71" s="7">
        <f>IF(E71="",0,C71*E71)</f>
        <v/>
      </c>
      <c r="G71" s="7">
        <f>IF(B71="I1",20*AVERAGEIF('QA_Images'!$A$2:$A$63,A71,'QA_Images'!$U$2:$U$63)/100,IF(D71="NOT_CHECKED",0,C71))</f>
        <v/>
      </c>
      <c r="H71" s="3" t="inlineStr">
        <is>
          <t>Đã đọc primary và comparator SERP theo US intent; không dùng claim volume.</t>
        </is>
      </c>
      <c r="I71" s="3" t="inlineStr">
        <is>
          <t>["evidence_batch_004_037", "https://jeminise.com/products/custom-american-football-on-cosmic-background-vintage-comforter-62a3849621-62a3849621", "serp_qa_037"]</t>
        </is>
      </c>
      <c r="J71" s="3" t="inlineStr">
        <is>
          <t>["R2-ISS-037-IMG-03", "R2-ISS-037-IMG-05", "R2-ISS-037-DESC", "R2-ISS-037-PERS-OMIT", "R2-ISS-037-KEYWORD"]</t>
        </is>
      </c>
    </row>
    <row r="72" ht="42" customHeight="1">
      <c r="A72" s="2" t="inlineStr">
        <is>
          <t>jeminise.com+custom-american-football-on-cosmic-background-vintage-comforter-62a3849621-62a3849621</t>
        </is>
      </c>
      <c r="B72" s="2" t="inlineStr">
        <is>
          <t>K3</t>
        </is>
      </c>
      <c r="C72" s="2" t="n">
        <v>5</v>
      </c>
      <c r="D72" s="2" t="inlineStr">
        <is>
          <t>PARTIAL</t>
        </is>
      </c>
      <c r="E72" s="5">
        <f>IF(B72="I1",AVERAGEIF('QA_Images'!$A$2:$A$63,A72,'QA_Images'!$T$2:$T$63)/100,IF(D72="FULL",1,IF(D72="PARTIAL",0.5,IF(D72="FAIL",0,""))))</f>
        <v/>
      </c>
      <c r="F72" s="5">
        <f>IF(E72="",0,C72*E72)</f>
        <v/>
      </c>
      <c r="G72" s="5">
        <f>IF(B72="I1",20*AVERAGEIF('QA_Images'!$A$2:$A$63,A72,'QA_Images'!$U$2:$U$63)/100,IF(D72="NOT_CHECKED",0,C72))</f>
        <v/>
      </c>
      <c r="H72" s="2" t="inlineStr">
        <is>
          <t>Không suy diễn volume; phân biệt SERP_ONLY và HYPOTHESIS_ONLY.</t>
        </is>
      </c>
      <c r="I72" s="2" t="inlineStr">
        <is>
          <t>["evidence_batch_004_037", "https://jeminise.com/products/custom-american-football-on-cosmic-background-vintage-comforter-62a3849621-62a3849621", "serp_qa_037"]</t>
        </is>
      </c>
      <c r="J72" s="2" t="inlineStr">
        <is>
          <t>["R2-ISS-037-IMG-03", "R2-ISS-037-IMG-05", "R2-ISS-037-DESC", "R2-ISS-037-PERS-OMIT", "R2-ISS-037-KEYWORD"]</t>
        </is>
      </c>
    </row>
    <row r="73" ht="42" customHeight="1">
      <c r="A73" s="3" t="inlineStr">
        <is>
          <t>jeminise.com+custom-american-football-on-cosmic-background-vintage-comforter-62a3849621-62a3849621</t>
        </is>
      </c>
      <c r="B73" s="3" t="inlineStr">
        <is>
          <t>T1</t>
        </is>
      </c>
      <c r="C73" s="3" t="n">
        <v>10</v>
      </c>
      <c r="D73" s="3" t="inlineStr">
        <is>
          <t>PARTIAL</t>
        </is>
      </c>
      <c r="E73" s="7">
        <f>IF(B73="I1",AVERAGEIF('QA_Images'!$A$2:$A$63,A73,'QA_Images'!$T$2:$T$63)/100,IF(D73="FULL",1,IF(D73="PARTIAL",0.5,IF(D73="FAIL",0,""))))</f>
        <v/>
      </c>
      <c r="F73" s="7">
        <f>IF(E73="",0,C73*E73)</f>
        <v/>
      </c>
      <c r="G73" s="7">
        <f>IF(B73="I1",20*AVERAGEIF('QA_Images'!$A$2:$A$63,A73,'QA_Images'!$U$2:$U$63)/100,IF(D73="NOT_CHECKED",0,C73))</f>
        <v/>
      </c>
      <c r="H73" s="3" t="inlineStr">
        <is>
          <t>Đánh giá SEO title English về độ đúng, tự nhiên, keyword và điểm phân biệt.</t>
        </is>
      </c>
      <c r="I73" s="3" t="inlineStr">
        <is>
          <t>["evidence_batch_004_037", "https://jeminise.com/products/custom-american-football-on-cosmic-background-vintage-comforter-62a3849621-62a3849621", "serp_qa_037"]</t>
        </is>
      </c>
      <c r="J73" s="3" t="inlineStr">
        <is>
          <t>["R2-ISS-037-IMG-03", "R2-ISS-037-IMG-05", "R2-ISS-037-DESC", "R2-ISS-037-PERS-OMIT", "R2-ISS-037-KEYWORD"]</t>
        </is>
      </c>
    </row>
    <row r="74" ht="42" customHeight="1">
      <c r="A74" s="2" t="inlineStr">
        <is>
          <t>jeminise.com+custom-american-football-on-cosmic-background-vintage-comforter-62a3849621-62a3849621</t>
        </is>
      </c>
      <c r="B74" s="2" t="inlineStr">
        <is>
          <t>T2</t>
        </is>
      </c>
      <c r="C74" s="2" t="n">
        <v>5</v>
      </c>
      <c r="D74" s="2" t="inlineStr">
        <is>
          <t>PARTIAL</t>
        </is>
      </c>
      <c r="E74" s="5">
        <f>IF(B74="I1",AVERAGEIF('QA_Images'!$A$2:$A$63,A74,'QA_Images'!$T$2:$T$63)/100,IF(D74="FULL",1,IF(D74="PARTIAL",0.5,IF(D74="FAIL",0,""))))</f>
        <v/>
      </c>
      <c r="F74" s="5">
        <f>IF(E74="",0,C74*E74)</f>
        <v/>
      </c>
      <c r="G74" s="5">
        <f>IF(B74="I1",20*AVERAGEIF('QA_Images'!$A$2:$A$63,A74,'QA_Images'!$U$2:$U$63)/100,IF(D74="NOT_CHECKED",0,C74))</f>
        <v/>
      </c>
      <c r="H74" s="2" t="inlineStr">
        <is>
          <t>Đánh giá H1 đề xuất độc lập với SEO title và đối chiếu lỗi ký tự nguồn.</t>
        </is>
      </c>
      <c r="I74" s="2" t="inlineStr">
        <is>
          <t>["evidence_batch_004_037", "https://jeminise.com/products/custom-american-football-on-cosmic-background-vintage-comforter-62a3849621-62a3849621", "serp_qa_037"]</t>
        </is>
      </c>
      <c r="J74" s="2" t="inlineStr">
        <is>
          <t>["R2-ISS-037-IMG-03", "R2-ISS-037-IMG-05", "R2-ISS-037-DESC", "R2-ISS-037-PERS-OMIT", "R2-ISS-037-KEYWORD"]</t>
        </is>
      </c>
    </row>
    <row r="75" ht="42" customHeight="1">
      <c r="A75" s="3" t="inlineStr">
        <is>
          <t>jeminise.com+custom-american-football-on-cosmic-background-vintage-comforter-62a3849621-62a3849621</t>
        </is>
      </c>
      <c r="B75" s="3" t="inlineStr">
        <is>
          <t>D1</t>
        </is>
      </c>
      <c r="C75" s="3" t="n">
        <v>5</v>
      </c>
      <c r="D75" s="3" t="inlineStr">
        <is>
          <t>PARTIAL</t>
        </is>
      </c>
      <c r="E75" s="7">
        <f>IF(B75="I1",AVERAGEIF('QA_Images'!$A$2:$A$63,A75,'QA_Images'!$T$2:$T$63)/100,IF(D75="FULL",1,IF(D75="PARTIAL",0.5,IF(D75="FAIL",0,""))))</f>
        <v/>
      </c>
      <c r="F75" s="7">
        <f>IF(E75="",0,C75*E75)</f>
        <v/>
      </c>
      <c r="G75" s="7">
        <f>IF(B75="I1",20*AVERAGEIF('QA_Images'!$A$2:$A$63,A75,'QA_Images'!$U$2:$U$63)/100,IF(D75="NOT_CHECKED",0,C75))</f>
        <v/>
      </c>
      <c r="H75" s="3" t="inlineStr">
        <is>
          <t>Đánh giá meta description về tính cụ thể và căn cứ claim.</t>
        </is>
      </c>
      <c r="I75" s="3" t="inlineStr">
        <is>
          <t>["evidence_batch_004_037", "https://jeminise.com/products/custom-american-football-on-cosmic-background-vintage-comforter-62a3849621-62a3849621", "serp_qa_037"]</t>
        </is>
      </c>
      <c r="J75" s="3" t="inlineStr">
        <is>
          <t>["R2-ISS-037-IMG-03", "R2-ISS-037-IMG-05", "R2-ISS-037-DESC", "R2-ISS-037-PERS-OMIT", "R2-ISS-037-KEYWORD"]</t>
        </is>
      </c>
    </row>
    <row r="76" ht="42" customHeight="1">
      <c r="A76" s="2" t="inlineStr">
        <is>
          <t>jeminise.com+custom-american-football-on-cosmic-background-vintage-comforter-62a3849621-62a3849621</t>
        </is>
      </c>
      <c r="B76" s="2" t="inlineStr">
        <is>
          <t>D2</t>
        </is>
      </c>
      <c r="C76" s="2" t="n">
        <v>10</v>
      </c>
      <c r="D76" s="2" t="inlineStr">
        <is>
          <t>PARTIAL</t>
        </is>
      </c>
      <c r="E76" s="5">
        <f>IF(B76="I1",AVERAGEIF('QA_Images'!$A$2:$A$63,A76,'QA_Images'!$T$2:$T$63)/100,IF(D76="FULL",1,IF(D76="PARTIAL",0.5,IF(D76="FAIL",0,""))))</f>
        <v/>
      </c>
      <c r="F76" s="5">
        <f>IF(E76="",0,C76*E76)</f>
        <v/>
      </c>
      <c r="G76" s="5">
        <f>IF(B76="I1",20*AVERAGEIF('QA_Images'!$A$2:$A$63,A76,'QA_Images'!$U$2:$U$63)/100,IF(D76="NOT_CHECKED",0,C76))</f>
        <v/>
      </c>
      <c r="H76" s="2" t="inlineStr">
        <is>
          <t>Description SET có HTML đầy đủ nhưng chứa câu nội bộ 'This draft should be reviewed...' và dữ liệu nguồn thô/mâu thuẫn; chưa phải nội dung publish-ready.</t>
        </is>
      </c>
      <c r="I76" s="2" t="inlineStr">
        <is>
          <t>["evidence_batch_004_037", "https://jeminise.com/products/custom-american-football-on-cosmic-background-vintage-comforter-62a3849621-62a3849621", "serp_qa_037"]</t>
        </is>
      </c>
      <c r="J76" s="2" t="inlineStr">
        <is>
          <t>["R2-ISS-037-IMG-03", "R2-ISS-037-IMG-05", "R2-ISS-037-DESC", "R2-ISS-037-PERS-OMIT", "R2-ISS-037-KEYWORD"]</t>
        </is>
      </c>
    </row>
    <row r="77" ht="42" customHeight="1">
      <c r="A77" s="3" t="inlineStr">
        <is>
          <t>jeminise.com+custom-american-football-on-cosmic-background-vintage-comforter-62a3849621-62a3849621</t>
        </is>
      </c>
      <c r="B77" s="3" t="inlineStr">
        <is>
          <t>I1</t>
        </is>
      </c>
      <c r="C77" s="3" t="n">
        <v>20</v>
      </c>
      <c r="D77" s="3" t="inlineStr">
        <is>
          <t>DERIVED</t>
        </is>
      </c>
      <c r="E77" s="7">
        <f>IF(B77="I1",AVERAGEIF('QA_Images'!$A$2:$A$63,A77,'QA_Images'!$T$2:$T$63)/100,IF(D77="FULL",1,IF(D77="PARTIAL",0.5,IF(D77="FAIL",0,""))))</f>
        <v/>
      </c>
      <c r="F77" s="7">
        <f>IF(E77="",0,C77*E77)</f>
        <v/>
      </c>
      <c r="G77" s="7">
        <f>IF(B77="I1",20*AVERAGEIF('QA_Images'!$A$2:$A$63,A77,'QA_Images'!$U$2:$U$63)/100,IF(D77="NOT_CHECKED",0,C77))</f>
        <v/>
      </c>
      <c r="H77" s="3" t="inlineStr">
        <is>
          <t>Tính từ trung bình 6 ảnh: 91.6667/100.</t>
        </is>
      </c>
      <c r="I77" s="3" t="inlineStr">
        <is>
          <t>["evidence_batch_004_037", "https://jeminise.com/products/custom-american-football-on-cosmic-background-vintage-comforter-62a3849621-62a3849621", "serp_qa_037"]</t>
        </is>
      </c>
      <c r="J77" s="3" t="inlineStr">
        <is>
          <t>["R2-ISS-037-IMG-03", "R2-ISS-037-IMG-05", "R2-ISS-037-DESC", "R2-ISS-037-PERS-OMIT", "R2-ISS-037-KEYWORD"]</t>
        </is>
      </c>
    </row>
    <row r="78" ht="42" customHeight="1">
      <c r="A78" s="2" t="inlineStr">
        <is>
          <t>jeminise.com+custom-american-football-on-cosmic-background-vintage-comforter-62a3849621-62a3849621</t>
        </is>
      </c>
      <c r="B78" s="2" t="inlineStr">
        <is>
          <t>E1</t>
        </is>
      </c>
      <c r="C78" s="2" t="n">
        <v>5</v>
      </c>
      <c r="D78" s="2" t="inlineStr">
        <is>
          <t>PARTIAL</t>
        </is>
      </c>
      <c r="E78" s="5">
        <f>IF(B78="I1",AVERAGEIF('QA_Images'!$A$2:$A$63,A78,'QA_Images'!$T$2:$T$63)/100,IF(D78="FULL",1,IF(D78="PARTIAL",0.5,IF(D78="FAIL",0,""))))</f>
        <v/>
      </c>
      <c r="F78" s="5">
        <f>IF(E78="",0,C78*E78)</f>
        <v/>
      </c>
      <c r="G78" s="5">
        <f>IF(B78="I1",20*AVERAGEIF('QA_Images'!$A$2:$A$63,A78,'QA_Images'!$U$2:$U$63)/100,IF(D78="NOT_CHECKED",0,C78))</f>
        <v/>
      </c>
      <c r="H78" s="2" t="inlineStr">
        <is>
          <t>Kiểm tra chuỗi evidence và giới hạn do thiếu admin export/browser tương tác.</t>
        </is>
      </c>
      <c r="I78" s="2" t="inlineStr">
        <is>
          <t>["evidence_batch_004_037", "https://jeminise.com/products/custom-american-football-on-cosmic-background-vintage-comforter-62a3849621-62a3849621", "serp_qa_037"]</t>
        </is>
      </c>
      <c r="J78" s="2" t="inlineStr">
        <is>
          <t>["R2-ISS-037-IMG-03", "R2-ISS-037-IMG-05", "R2-ISS-037-DESC", "R2-ISS-037-PERS-OMIT", "R2-ISS-037-KEYWORD"]</t>
        </is>
      </c>
    </row>
    <row r="79" ht="42" customHeight="1">
      <c r="A79" s="3" t="inlineStr">
        <is>
          <t>jeminise.com+custom-american-football-on-usa-flag-background-comforter-703a7c0d82-703a7c0d82</t>
        </is>
      </c>
      <c r="B79" s="3" t="inlineStr">
        <is>
          <t>P1</t>
        </is>
      </c>
      <c r="C79" s="3" t="n">
        <v>15</v>
      </c>
      <c r="D79" s="3" t="inlineStr">
        <is>
          <t>FULL</t>
        </is>
      </c>
      <c r="E79" s="7">
        <f>IF(B79="I1",AVERAGEIF('QA_Images'!$A$2:$A$63,A79,'QA_Images'!$T$2:$T$63)/100,IF(D79="FULL",1,IF(D79="PARTIAL",0.5,IF(D79="FAIL",0,""))))</f>
        <v/>
      </c>
      <c r="F79" s="7">
        <f>IF(E79="",0,C79*E79)</f>
        <v/>
      </c>
      <c r="G79" s="7">
        <f>IF(B79="I1",20*AVERAGEIF('QA_Images'!$A$2:$A$63,A79,'QA_Images'!$U$2:$U$63)/100,IF(D79="NOT_CHECKED",0,C79))</f>
        <v/>
      </c>
      <c r="H79" s="3" t="inlineStr">
        <is>
          <t>Đối chiếu loại sản phẩm, thiết kế và màu với product JSON, H1 live và toàn bộ gallery.</t>
        </is>
      </c>
      <c r="I79" s="3" t="inlineStr">
        <is>
          <t>["evidence_batch_004_038", "https://jeminise.com/products/custom-american-football-on-usa-flag-background-comforter-703a7c0d82-703a7c0d82", "serp_qa_038"]</t>
        </is>
      </c>
      <c r="J79" s="3" t="inlineStr">
        <is>
          <t>["R2-ISS-038-IMG-03", "R2-ISS-038-IMG-05", "R2-ISS-038-DESC", "R2-ISS-038-PERS-OMIT", "R2-ISS-038-KEYWORD"]</t>
        </is>
      </c>
    </row>
    <row r="80" ht="42" customHeight="1">
      <c r="A80" s="2" t="inlineStr">
        <is>
          <t>jeminise.com+custom-american-football-on-usa-flag-background-comforter-703a7c0d82-703a7c0d82</t>
        </is>
      </c>
      <c r="B80" s="2" t="inlineStr">
        <is>
          <t>P2</t>
        </is>
      </c>
      <c r="C80" s="2" t="n">
        <v>10</v>
      </c>
      <c r="D80" s="2" t="inlineStr">
        <is>
          <t>PARTIAL</t>
        </is>
      </c>
      <c r="E80" s="5">
        <f>IF(B80="I1",AVERAGEIF('QA_Images'!$A$2:$A$63,A80,'QA_Images'!$T$2:$T$63)/100,IF(D80="FULL",1,IF(D80="PARTIAL",0.5,IF(D80="FAIL",0,""))))</f>
        <v/>
      </c>
      <c r="F80" s="5">
        <f>IF(E80="",0,C80*E80)</f>
        <v/>
      </c>
      <c r="G80" s="5">
        <f>IF(B80="I1",20*AVERAGEIF('QA_Images'!$A$2:$A$63,A80,'QA_Images'!$U$2:$U$63)/100,IF(D80="NOT_CHECKED",0,C80))</f>
        <v/>
      </c>
      <c r="H80" s="2" t="inlineStr">
        <is>
          <t>Đối chiếu specifications, variants, components và personalization với product.js live, body HTML và ảnh.</t>
        </is>
      </c>
      <c r="I80" s="2" t="inlineStr">
        <is>
          <t>["evidence_batch_004_038", "https://jeminise.com/products/custom-american-football-on-usa-flag-background-comforter-703a7c0d82-703a7c0d82", "serp_qa_038"]</t>
        </is>
      </c>
      <c r="J80" s="2" t="inlineStr">
        <is>
          <t>["R2-ISS-038-IMG-03", "R2-ISS-038-IMG-05", "R2-ISS-038-DESC", "R2-ISS-038-PERS-OMIT", "R2-ISS-038-KEYWORD"]</t>
        </is>
      </c>
    </row>
    <row r="81" ht="42" customHeight="1">
      <c r="A81" s="3" t="inlineStr">
        <is>
          <t>jeminise.com+custom-american-football-on-usa-flag-background-comforter-703a7c0d82-703a7c0d82</t>
        </is>
      </c>
      <c r="B81" s="3" t="inlineStr">
        <is>
          <t>K1</t>
        </is>
      </c>
      <c r="C81" s="3" t="n">
        <v>10</v>
      </c>
      <c r="D81" s="3" t="inlineStr">
        <is>
          <t>PARTIAL</t>
        </is>
      </c>
      <c r="E81" s="7">
        <f>IF(B81="I1",AVERAGEIF('QA_Images'!$A$2:$A$63,A81,'QA_Images'!$T$2:$T$63)/100,IF(D81="FULL",1,IF(D81="PARTIAL",0.5,IF(D81="FAIL",0,""))))</f>
        <v/>
      </c>
      <c r="F81" s="7">
        <f>IF(E81="",0,C81*E81)</f>
        <v/>
      </c>
      <c r="G81" s="7">
        <f>IF(B81="I1",20*AVERAGEIF('QA_Images'!$A$2:$A$63,A81,'QA_Images'!$U$2:$U$63)/100,IF(D81="NOT_CHECKED",0,C81))</f>
        <v/>
      </c>
      <c r="H81" s="3" t="inlineStr">
        <is>
          <t>Đối chiếu long-tail với thiết kế riêng và nguy cơ trùng intent trong cụm sản phẩm.</t>
        </is>
      </c>
      <c r="I81" s="3" t="inlineStr">
        <is>
          <t>["evidence_batch_004_038", "https://jeminise.com/products/custom-american-football-on-usa-flag-background-comforter-703a7c0d82-703a7c0d82", "serp_qa_038"]</t>
        </is>
      </c>
      <c r="J81" s="3" t="inlineStr">
        <is>
          <t>["R2-ISS-038-IMG-03", "R2-ISS-038-IMG-05", "R2-ISS-038-DESC", "R2-ISS-038-PERS-OMIT", "R2-ISS-038-KEYWORD"]</t>
        </is>
      </c>
    </row>
    <row r="82" ht="42" customHeight="1">
      <c r="A82" s="2" t="inlineStr">
        <is>
          <t>jeminise.com+custom-american-football-on-usa-flag-background-comforter-703a7c0d82-703a7c0d82</t>
        </is>
      </c>
      <c r="B82" s="2" t="inlineStr">
        <is>
          <t>K2</t>
        </is>
      </c>
      <c r="C82" s="2" t="n">
        <v>5</v>
      </c>
      <c r="D82" s="2" t="inlineStr">
        <is>
          <t>FULL</t>
        </is>
      </c>
      <c r="E82" s="5">
        <f>IF(B82="I1",AVERAGEIF('QA_Images'!$A$2:$A$63,A82,'QA_Images'!$T$2:$T$63)/100,IF(D82="FULL",1,IF(D82="PARTIAL",0.5,IF(D82="FAIL",0,""))))</f>
        <v/>
      </c>
      <c r="F82" s="5">
        <f>IF(E82="",0,C82*E82)</f>
        <v/>
      </c>
      <c r="G82" s="5">
        <f>IF(B82="I1",20*AVERAGEIF('QA_Images'!$A$2:$A$63,A82,'QA_Images'!$U$2:$U$63)/100,IF(D82="NOT_CHECKED",0,C82))</f>
        <v/>
      </c>
      <c r="H82" s="2" t="inlineStr">
        <is>
          <t>Đã đọc primary và comparator SERP theo US intent; không dùng claim volume.</t>
        </is>
      </c>
      <c r="I82" s="2" t="inlineStr">
        <is>
          <t>["evidence_batch_004_038", "https://jeminise.com/products/custom-american-football-on-usa-flag-background-comforter-703a7c0d82-703a7c0d82", "serp_qa_038"]</t>
        </is>
      </c>
      <c r="J82" s="2" t="inlineStr">
        <is>
          <t>["R2-ISS-038-IMG-03", "R2-ISS-038-IMG-05", "R2-ISS-038-DESC", "R2-ISS-038-PERS-OMIT", "R2-ISS-038-KEYWORD"]</t>
        </is>
      </c>
    </row>
    <row r="83" ht="42" customHeight="1">
      <c r="A83" s="3" t="inlineStr">
        <is>
          <t>jeminise.com+custom-american-football-on-usa-flag-background-comforter-703a7c0d82-703a7c0d82</t>
        </is>
      </c>
      <c r="B83" s="3" t="inlineStr">
        <is>
          <t>K3</t>
        </is>
      </c>
      <c r="C83" s="3" t="n">
        <v>5</v>
      </c>
      <c r="D83" s="3" t="inlineStr">
        <is>
          <t>FAIL</t>
        </is>
      </c>
      <c r="E83" s="7">
        <f>IF(B83="I1",AVERAGEIF('QA_Images'!$A$2:$A$63,A83,'QA_Images'!$T$2:$T$63)/100,IF(D83="FULL",1,IF(D83="PARTIAL",0.5,IF(D83="FAIL",0,""))))</f>
        <v/>
      </c>
      <c r="F83" s="7">
        <f>IF(E83="",0,C83*E83)</f>
        <v/>
      </c>
      <c r="G83" s="7">
        <f>IF(B83="I1",20*AVERAGEIF('QA_Images'!$A$2:$A$63,A83,'QA_Images'!$U$2:$U$63)/100,IF(D83="NOT_CHECKED",0,C83))</f>
        <v/>
      </c>
      <c r="H83" s="3" t="inlineStr">
        <is>
          <t>Không suy diễn volume; phân biệt SERP_ONLY và HYPOTHESIS_ONLY.</t>
        </is>
      </c>
      <c r="I83" s="3" t="inlineStr">
        <is>
          <t>["evidence_batch_004_038", "https://jeminise.com/products/custom-american-football-on-usa-flag-background-comforter-703a7c0d82-703a7c0d82", "serp_qa_038"]</t>
        </is>
      </c>
      <c r="J83" s="3" t="inlineStr">
        <is>
          <t>["R2-ISS-038-IMG-03", "R2-ISS-038-IMG-05", "R2-ISS-038-DESC", "R2-ISS-038-PERS-OMIT", "R2-ISS-038-KEYWORD"]</t>
        </is>
      </c>
    </row>
    <row r="84" ht="42" customHeight="1">
      <c r="A84" s="2" t="inlineStr">
        <is>
          <t>jeminise.com+custom-american-football-on-usa-flag-background-comforter-703a7c0d82-703a7c0d82</t>
        </is>
      </c>
      <c r="B84" s="2" t="inlineStr">
        <is>
          <t>T1</t>
        </is>
      </c>
      <c r="C84" s="2" t="n">
        <v>10</v>
      </c>
      <c r="D84" s="2" t="inlineStr">
        <is>
          <t>PARTIAL</t>
        </is>
      </c>
      <c r="E84" s="5">
        <f>IF(B84="I1",AVERAGEIF('QA_Images'!$A$2:$A$63,A84,'QA_Images'!$T$2:$T$63)/100,IF(D84="FULL",1,IF(D84="PARTIAL",0.5,IF(D84="FAIL",0,""))))</f>
        <v/>
      </c>
      <c r="F84" s="5">
        <f>IF(E84="",0,C84*E84)</f>
        <v/>
      </c>
      <c r="G84" s="5">
        <f>IF(B84="I1",20*AVERAGEIF('QA_Images'!$A$2:$A$63,A84,'QA_Images'!$U$2:$U$63)/100,IF(D84="NOT_CHECKED",0,C84))</f>
        <v/>
      </c>
      <c r="H84" s="2" t="inlineStr">
        <is>
          <t>Đánh giá SEO title English về độ đúng, tự nhiên, keyword và điểm phân biệt.</t>
        </is>
      </c>
      <c r="I84" s="2" t="inlineStr">
        <is>
          <t>["evidence_batch_004_038", "https://jeminise.com/products/custom-american-football-on-usa-flag-background-comforter-703a7c0d82-703a7c0d82", "serp_qa_038"]</t>
        </is>
      </c>
      <c r="J84" s="2" t="inlineStr">
        <is>
          <t>["R2-ISS-038-IMG-03", "R2-ISS-038-IMG-05", "R2-ISS-038-DESC", "R2-ISS-038-PERS-OMIT", "R2-ISS-038-KEYWORD"]</t>
        </is>
      </c>
    </row>
    <row r="85" ht="42" customHeight="1">
      <c r="A85" s="3" t="inlineStr">
        <is>
          <t>jeminise.com+custom-american-football-on-usa-flag-background-comforter-703a7c0d82-703a7c0d82</t>
        </is>
      </c>
      <c r="B85" s="3" t="inlineStr">
        <is>
          <t>T2</t>
        </is>
      </c>
      <c r="C85" s="3" t="n">
        <v>5</v>
      </c>
      <c r="D85" s="3" t="inlineStr">
        <is>
          <t>PARTIAL</t>
        </is>
      </c>
      <c r="E85" s="7">
        <f>IF(B85="I1",AVERAGEIF('QA_Images'!$A$2:$A$63,A85,'QA_Images'!$T$2:$T$63)/100,IF(D85="FULL",1,IF(D85="PARTIAL",0.5,IF(D85="FAIL",0,""))))</f>
        <v/>
      </c>
      <c r="F85" s="7">
        <f>IF(E85="",0,C85*E85)</f>
        <v/>
      </c>
      <c r="G85" s="7">
        <f>IF(B85="I1",20*AVERAGEIF('QA_Images'!$A$2:$A$63,A85,'QA_Images'!$U$2:$U$63)/100,IF(D85="NOT_CHECKED",0,C85))</f>
        <v/>
      </c>
      <c r="H85" s="3" t="inlineStr">
        <is>
          <t>Đánh giá H1 đề xuất độc lập với SEO title và đối chiếu lỗi ký tự nguồn.</t>
        </is>
      </c>
      <c r="I85" s="3" t="inlineStr">
        <is>
          <t>["evidence_batch_004_038", "https://jeminise.com/products/custom-american-football-on-usa-flag-background-comforter-703a7c0d82-703a7c0d82", "serp_qa_038"]</t>
        </is>
      </c>
      <c r="J85" s="3" t="inlineStr">
        <is>
          <t>["R2-ISS-038-IMG-03", "R2-ISS-038-IMG-05", "R2-ISS-038-DESC", "R2-ISS-038-PERS-OMIT", "R2-ISS-038-KEYWORD"]</t>
        </is>
      </c>
    </row>
    <row r="86" ht="42" customHeight="1">
      <c r="A86" s="2" t="inlineStr">
        <is>
          <t>jeminise.com+custom-american-football-on-usa-flag-background-comforter-703a7c0d82-703a7c0d82</t>
        </is>
      </c>
      <c r="B86" s="2" t="inlineStr">
        <is>
          <t>D1</t>
        </is>
      </c>
      <c r="C86" s="2" t="n">
        <v>5</v>
      </c>
      <c r="D86" s="2" t="inlineStr">
        <is>
          <t>PARTIAL</t>
        </is>
      </c>
      <c r="E86" s="5">
        <f>IF(B86="I1",AVERAGEIF('QA_Images'!$A$2:$A$63,A86,'QA_Images'!$T$2:$T$63)/100,IF(D86="FULL",1,IF(D86="PARTIAL",0.5,IF(D86="FAIL",0,""))))</f>
        <v/>
      </c>
      <c r="F86" s="5">
        <f>IF(E86="",0,C86*E86)</f>
        <v/>
      </c>
      <c r="G86" s="5">
        <f>IF(B86="I1",20*AVERAGEIF('QA_Images'!$A$2:$A$63,A86,'QA_Images'!$U$2:$U$63)/100,IF(D86="NOT_CHECKED",0,C86))</f>
        <v/>
      </c>
      <c r="H86" s="2" t="inlineStr">
        <is>
          <t>Đánh giá meta description về tính cụ thể và căn cứ claim.</t>
        </is>
      </c>
      <c r="I86" s="2" t="inlineStr">
        <is>
          <t>["evidence_batch_004_038", "https://jeminise.com/products/custom-american-football-on-usa-flag-background-comforter-703a7c0d82-703a7c0d82", "serp_qa_038"]</t>
        </is>
      </c>
      <c r="J86" s="2" t="inlineStr">
        <is>
          <t>["R2-ISS-038-IMG-03", "R2-ISS-038-IMG-05", "R2-ISS-038-DESC", "R2-ISS-038-PERS-OMIT", "R2-ISS-038-KEYWORD"]</t>
        </is>
      </c>
    </row>
    <row r="87" ht="42" customHeight="1">
      <c r="A87" s="3" t="inlineStr">
        <is>
          <t>jeminise.com+custom-american-football-on-usa-flag-background-comforter-703a7c0d82-703a7c0d82</t>
        </is>
      </c>
      <c r="B87" s="3" t="inlineStr">
        <is>
          <t>D2</t>
        </is>
      </c>
      <c r="C87" s="3" t="n">
        <v>10</v>
      </c>
      <c r="D87" s="3" t="inlineStr">
        <is>
          <t>PARTIAL</t>
        </is>
      </c>
      <c r="E87" s="7">
        <f>IF(B87="I1",AVERAGEIF('QA_Images'!$A$2:$A$63,A87,'QA_Images'!$T$2:$T$63)/100,IF(D87="FULL",1,IF(D87="PARTIAL",0.5,IF(D87="FAIL",0,""))))</f>
        <v/>
      </c>
      <c r="F87" s="7">
        <f>IF(E87="",0,C87*E87)</f>
        <v/>
      </c>
      <c r="G87" s="7">
        <f>IF(B87="I1",20*AVERAGEIF('QA_Images'!$A$2:$A$63,A87,'QA_Images'!$U$2:$U$63)/100,IF(D87="NOT_CHECKED",0,C87))</f>
        <v/>
      </c>
      <c r="H87" s="3" t="inlineStr">
        <is>
          <t>Description SET có HTML đầy đủ nhưng chứa câu nội bộ 'This draft should be reviewed...' và dữ liệu nguồn thô/mâu thuẫn; chưa phải nội dung publish-ready.</t>
        </is>
      </c>
      <c r="I87" s="3" t="inlineStr">
        <is>
          <t>["evidence_batch_004_038", "https://jeminise.com/products/custom-american-football-on-usa-flag-background-comforter-703a7c0d82-703a7c0d82", "serp_qa_038"]</t>
        </is>
      </c>
      <c r="J87" s="3" t="inlineStr">
        <is>
          <t>["R2-ISS-038-IMG-03", "R2-ISS-038-IMG-05", "R2-ISS-038-DESC", "R2-ISS-038-PERS-OMIT", "R2-ISS-038-KEYWORD"]</t>
        </is>
      </c>
    </row>
    <row r="88" ht="42" customHeight="1">
      <c r="A88" s="2" t="inlineStr">
        <is>
          <t>jeminise.com+custom-american-football-on-usa-flag-background-comforter-703a7c0d82-703a7c0d82</t>
        </is>
      </c>
      <c r="B88" s="2" t="inlineStr">
        <is>
          <t>I1</t>
        </is>
      </c>
      <c r="C88" s="2" t="n">
        <v>20</v>
      </c>
      <c r="D88" s="2" t="inlineStr">
        <is>
          <t>DERIVED</t>
        </is>
      </c>
      <c r="E88" s="5">
        <f>IF(B88="I1",AVERAGEIF('QA_Images'!$A$2:$A$63,A88,'QA_Images'!$T$2:$T$63)/100,IF(D88="FULL",1,IF(D88="PARTIAL",0.5,IF(D88="FAIL",0,""))))</f>
        <v/>
      </c>
      <c r="F88" s="5">
        <f>IF(E88="",0,C88*E88)</f>
        <v/>
      </c>
      <c r="G88" s="5">
        <f>IF(B88="I1",20*AVERAGEIF('QA_Images'!$A$2:$A$63,A88,'QA_Images'!$U$2:$U$63)/100,IF(D88="NOT_CHECKED",0,C88))</f>
        <v/>
      </c>
      <c r="H88" s="2" t="inlineStr">
        <is>
          <t>Tính từ trung bình 6 ảnh: 91.6667/100.</t>
        </is>
      </c>
      <c r="I88" s="2" t="inlineStr">
        <is>
          <t>["evidence_batch_004_038", "https://jeminise.com/products/custom-american-football-on-usa-flag-background-comforter-703a7c0d82-703a7c0d82", "serp_qa_038"]</t>
        </is>
      </c>
      <c r="J88" s="2" t="inlineStr">
        <is>
          <t>["R2-ISS-038-IMG-03", "R2-ISS-038-IMG-05", "R2-ISS-038-DESC", "R2-ISS-038-PERS-OMIT", "R2-ISS-038-KEYWORD"]</t>
        </is>
      </c>
    </row>
    <row r="89" ht="42" customHeight="1">
      <c r="A89" s="3" t="inlineStr">
        <is>
          <t>jeminise.com+custom-american-football-on-usa-flag-background-comforter-703a7c0d82-703a7c0d82</t>
        </is>
      </c>
      <c r="B89" s="3" t="inlineStr">
        <is>
          <t>E1</t>
        </is>
      </c>
      <c r="C89" s="3" t="n">
        <v>5</v>
      </c>
      <c r="D89" s="3" t="inlineStr">
        <is>
          <t>PARTIAL</t>
        </is>
      </c>
      <c r="E89" s="7">
        <f>IF(B89="I1",AVERAGEIF('QA_Images'!$A$2:$A$63,A89,'QA_Images'!$T$2:$T$63)/100,IF(D89="FULL",1,IF(D89="PARTIAL",0.5,IF(D89="FAIL",0,""))))</f>
        <v/>
      </c>
      <c r="F89" s="7">
        <f>IF(E89="",0,C89*E89)</f>
        <v/>
      </c>
      <c r="G89" s="7">
        <f>IF(B89="I1",20*AVERAGEIF('QA_Images'!$A$2:$A$63,A89,'QA_Images'!$U$2:$U$63)/100,IF(D89="NOT_CHECKED",0,C89))</f>
        <v/>
      </c>
      <c r="H89" s="3" t="inlineStr">
        <is>
          <t>Kiểm tra chuỗi evidence và giới hạn do thiếu admin export/browser tương tác.</t>
        </is>
      </c>
      <c r="I89" s="3" t="inlineStr">
        <is>
          <t>["evidence_batch_004_038", "https://jeminise.com/products/custom-american-football-on-usa-flag-background-comforter-703a7c0d82-703a7c0d82", "serp_qa_038"]</t>
        </is>
      </c>
      <c r="J89" s="3" t="inlineStr">
        <is>
          <t>["R2-ISS-038-IMG-03", "R2-ISS-038-IMG-05", "R2-ISS-038-DESC", "R2-ISS-038-PERS-OMIT", "R2-ISS-038-KEYWORD"]</t>
        </is>
      </c>
    </row>
    <row r="90" ht="42" customHeight="1">
      <c r="A90" s="2" t="inlineStr">
        <is>
          <t>jeminise.com+custom-american-football-with-paint-splash-background-vintage-comforter-da0e1d5bf1-da0e1d5bf1</t>
        </is>
      </c>
      <c r="B90" s="2" t="inlineStr">
        <is>
          <t>P1</t>
        </is>
      </c>
      <c r="C90" s="2" t="n">
        <v>15</v>
      </c>
      <c r="D90" s="2" t="inlineStr">
        <is>
          <t>FULL</t>
        </is>
      </c>
      <c r="E90" s="5">
        <f>IF(B90="I1",AVERAGEIF('QA_Images'!$A$2:$A$63,A90,'QA_Images'!$T$2:$T$63)/100,IF(D90="FULL",1,IF(D90="PARTIAL",0.5,IF(D90="FAIL",0,""))))</f>
        <v/>
      </c>
      <c r="F90" s="5">
        <f>IF(E90="",0,C90*E90)</f>
        <v/>
      </c>
      <c r="G90" s="5">
        <f>IF(B90="I1",20*AVERAGEIF('QA_Images'!$A$2:$A$63,A90,'QA_Images'!$U$2:$U$63)/100,IF(D90="NOT_CHECKED",0,C90))</f>
        <v/>
      </c>
      <c r="H90" s="2" t="inlineStr">
        <is>
          <t>Đối chiếu loại sản phẩm, thiết kế và màu với product JSON, H1 live và toàn bộ gallery.</t>
        </is>
      </c>
      <c r="I90" s="2" t="inlineStr">
        <is>
          <t>["evidence_batch_004_039", "https://jeminise.com/products/custom-american-football-with-paint-splash-background-vintage-comforter-da0e1d5bf1-da0e1d5bf1", "serp_qa_039"]</t>
        </is>
      </c>
      <c r="J90" s="2" t="inlineStr">
        <is>
          <t>["R2-ISS-039-IMG-03", "R2-ISS-039-IMG-05", "R2-ISS-039-DESC", "R2-ISS-039-PERS-OMIT"]</t>
        </is>
      </c>
    </row>
    <row r="91" ht="42" customHeight="1">
      <c r="A91" s="3" t="inlineStr">
        <is>
          <t>jeminise.com+custom-american-football-with-paint-splash-background-vintage-comforter-da0e1d5bf1-da0e1d5bf1</t>
        </is>
      </c>
      <c r="B91" s="3" t="inlineStr">
        <is>
          <t>P2</t>
        </is>
      </c>
      <c r="C91" s="3" t="n">
        <v>10</v>
      </c>
      <c r="D91" s="3" t="inlineStr">
        <is>
          <t>PARTIAL</t>
        </is>
      </c>
      <c r="E91" s="7">
        <f>IF(B91="I1",AVERAGEIF('QA_Images'!$A$2:$A$63,A91,'QA_Images'!$T$2:$T$63)/100,IF(D91="FULL",1,IF(D91="PARTIAL",0.5,IF(D91="FAIL",0,""))))</f>
        <v/>
      </c>
      <c r="F91" s="7">
        <f>IF(E91="",0,C91*E91)</f>
        <v/>
      </c>
      <c r="G91" s="7">
        <f>IF(B91="I1",20*AVERAGEIF('QA_Images'!$A$2:$A$63,A91,'QA_Images'!$U$2:$U$63)/100,IF(D91="NOT_CHECKED",0,C91))</f>
        <v/>
      </c>
      <c r="H91" s="3" t="inlineStr">
        <is>
          <t>Đối chiếu specifications, variants, components và personalization với product.js live, body HTML và ảnh.</t>
        </is>
      </c>
      <c r="I91" s="3" t="inlineStr">
        <is>
          <t>["evidence_batch_004_039", "https://jeminise.com/products/custom-american-football-with-paint-splash-background-vintage-comforter-da0e1d5bf1-da0e1d5bf1", "serp_qa_039"]</t>
        </is>
      </c>
      <c r="J91" s="3" t="inlineStr">
        <is>
          <t>["R2-ISS-039-IMG-03", "R2-ISS-039-IMG-05", "R2-ISS-039-DESC", "R2-ISS-039-PERS-OMIT"]</t>
        </is>
      </c>
    </row>
    <row r="92" ht="42" customHeight="1">
      <c r="A92" s="2" t="inlineStr">
        <is>
          <t>jeminise.com+custom-american-football-with-paint-splash-background-vintage-comforter-da0e1d5bf1-da0e1d5bf1</t>
        </is>
      </c>
      <c r="B92" s="2" t="inlineStr">
        <is>
          <t>K1</t>
        </is>
      </c>
      <c r="C92" s="2" t="n">
        <v>10</v>
      </c>
      <c r="D92" s="2" t="inlineStr">
        <is>
          <t>PARTIAL</t>
        </is>
      </c>
      <c r="E92" s="5">
        <f>IF(B92="I1",AVERAGEIF('QA_Images'!$A$2:$A$63,A92,'QA_Images'!$T$2:$T$63)/100,IF(D92="FULL",1,IF(D92="PARTIAL",0.5,IF(D92="FAIL",0,""))))</f>
        <v/>
      </c>
      <c r="F92" s="5">
        <f>IF(E92="",0,C92*E92)</f>
        <v/>
      </c>
      <c r="G92" s="5">
        <f>IF(B92="I1",20*AVERAGEIF('QA_Images'!$A$2:$A$63,A92,'QA_Images'!$U$2:$U$63)/100,IF(D92="NOT_CHECKED",0,C92))</f>
        <v/>
      </c>
      <c r="H92" s="2" t="inlineStr">
        <is>
          <t>Đối chiếu long-tail với thiết kế riêng và nguy cơ trùng intent trong cụm sản phẩm.</t>
        </is>
      </c>
      <c r="I92" s="2" t="inlineStr">
        <is>
          <t>["evidence_batch_004_039", "https://jeminise.com/products/custom-american-football-with-paint-splash-background-vintage-comforter-da0e1d5bf1-da0e1d5bf1", "serp_qa_039"]</t>
        </is>
      </c>
      <c r="J92" s="2" t="inlineStr">
        <is>
          <t>["R2-ISS-039-IMG-03", "R2-ISS-039-IMG-05", "R2-ISS-039-DESC", "R2-ISS-039-PERS-OMIT"]</t>
        </is>
      </c>
    </row>
    <row r="93" ht="42" customHeight="1">
      <c r="A93" s="3" t="inlineStr">
        <is>
          <t>jeminise.com+custom-american-football-with-paint-splash-background-vintage-comforter-da0e1d5bf1-da0e1d5bf1</t>
        </is>
      </c>
      <c r="B93" s="3" t="inlineStr">
        <is>
          <t>K2</t>
        </is>
      </c>
      <c r="C93" s="3" t="n">
        <v>5</v>
      </c>
      <c r="D93" s="3" t="inlineStr">
        <is>
          <t>PARTIAL</t>
        </is>
      </c>
      <c r="E93" s="7">
        <f>IF(B93="I1",AVERAGEIF('QA_Images'!$A$2:$A$63,A93,'QA_Images'!$T$2:$T$63)/100,IF(D93="FULL",1,IF(D93="PARTIAL",0.5,IF(D93="FAIL",0,""))))</f>
        <v/>
      </c>
      <c r="F93" s="7">
        <f>IF(E93="",0,C93*E93)</f>
        <v/>
      </c>
      <c r="G93" s="7">
        <f>IF(B93="I1",20*AVERAGEIF('QA_Images'!$A$2:$A$63,A93,'QA_Images'!$U$2:$U$63)/100,IF(D93="NOT_CHECKED",0,C93))</f>
        <v/>
      </c>
      <c r="H93" s="3" t="inlineStr">
        <is>
          <t>Đã đọc primary và comparator SERP theo US intent; không dùng claim volume.</t>
        </is>
      </c>
      <c r="I93" s="3" t="inlineStr">
        <is>
          <t>["evidence_batch_004_039", "https://jeminise.com/products/custom-american-football-with-paint-splash-background-vintage-comforter-da0e1d5bf1-da0e1d5bf1", "serp_qa_039"]</t>
        </is>
      </c>
      <c r="J93" s="3" t="inlineStr">
        <is>
          <t>["R2-ISS-039-IMG-03", "R2-ISS-039-IMG-05", "R2-ISS-039-DESC", "R2-ISS-039-PERS-OMIT"]</t>
        </is>
      </c>
    </row>
    <row r="94" ht="42" customHeight="1">
      <c r="A94" s="2" t="inlineStr">
        <is>
          <t>jeminise.com+custom-american-football-with-paint-splash-background-vintage-comforter-da0e1d5bf1-da0e1d5bf1</t>
        </is>
      </c>
      <c r="B94" s="2" t="inlineStr">
        <is>
          <t>K3</t>
        </is>
      </c>
      <c r="C94" s="2" t="n">
        <v>5</v>
      </c>
      <c r="D94" s="2" t="inlineStr">
        <is>
          <t>PARTIAL</t>
        </is>
      </c>
      <c r="E94" s="5">
        <f>IF(B94="I1",AVERAGEIF('QA_Images'!$A$2:$A$63,A94,'QA_Images'!$T$2:$T$63)/100,IF(D94="FULL",1,IF(D94="PARTIAL",0.5,IF(D94="FAIL",0,""))))</f>
        <v/>
      </c>
      <c r="F94" s="5">
        <f>IF(E94="",0,C94*E94)</f>
        <v/>
      </c>
      <c r="G94" s="5">
        <f>IF(B94="I1",20*AVERAGEIF('QA_Images'!$A$2:$A$63,A94,'QA_Images'!$U$2:$U$63)/100,IF(D94="NOT_CHECKED",0,C94))</f>
        <v/>
      </c>
      <c r="H94" s="2" t="inlineStr">
        <is>
          <t>Không suy diễn volume; phân biệt SERP_ONLY và HYPOTHESIS_ONLY.</t>
        </is>
      </c>
      <c r="I94" s="2" t="inlineStr">
        <is>
          <t>["evidence_batch_004_039", "https://jeminise.com/products/custom-american-football-with-paint-splash-background-vintage-comforter-da0e1d5bf1-da0e1d5bf1", "serp_qa_039"]</t>
        </is>
      </c>
      <c r="J94" s="2" t="inlineStr">
        <is>
          <t>["R2-ISS-039-IMG-03", "R2-ISS-039-IMG-05", "R2-ISS-039-DESC", "R2-ISS-039-PERS-OMIT"]</t>
        </is>
      </c>
    </row>
    <row r="95" ht="42" customHeight="1">
      <c r="A95" s="3" t="inlineStr">
        <is>
          <t>jeminise.com+custom-american-football-with-paint-splash-background-vintage-comforter-da0e1d5bf1-da0e1d5bf1</t>
        </is>
      </c>
      <c r="B95" s="3" t="inlineStr">
        <is>
          <t>T1</t>
        </is>
      </c>
      <c r="C95" s="3" t="n">
        <v>10</v>
      </c>
      <c r="D95" s="3" t="inlineStr">
        <is>
          <t>PARTIAL</t>
        </is>
      </c>
      <c r="E95" s="7">
        <f>IF(B95="I1",AVERAGEIF('QA_Images'!$A$2:$A$63,A95,'QA_Images'!$T$2:$T$63)/100,IF(D95="FULL",1,IF(D95="PARTIAL",0.5,IF(D95="FAIL",0,""))))</f>
        <v/>
      </c>
      <c r="F95" s="7">
        <f>IF(E95="",0,C95*E95)</f>
        <v/>
      </c>
      <c r="G95" s="7">
        <f>IF(B95="I1",20*AVERAGEIF('QA_Images'!$A$2:$A$63,A95,'QA_Images'!$U$2:$U$63)/100,IF(D95="NOT_CHECKED",0,C95))</f>
        <v/>
      </c>
      <c r="H95" s="3" t="inlineStr">
        <is>
          <t>Đánh giá SEO title English về độ đúng, tự nhiên, keyword và điểm phân biệt.</t>
        </is>
      </c>
      <c r="I95" s="3" t="inlineStr">
        <is>
          <t>["evidence_batch_004_039", "https://jeminise.com/products/custom-american-football-with-paint-splash-background-vintage-comforter-da0e1d5bf1-da0e1d5bf1", "serp_qa_039"]</t>
        </is>
      </c>
      <c r="J95" s="3" t="inlineStr">
        <is>
          <t>["R2-ISS-039-IMG-03", "R2-ISS-039-IMG-05", "R2-ISS-039-DESC", "R2-ISS-039-PERS-OMIT"]</t>
        </is>
      </c>
    </row>
    <row r="96" ht="42" customHeight="1">
      <c r="A96" s="2" t="inlineStr">
        <is>
          <t>jeminise.com+custom-american-football-with-paint-splash-background-vintage-comforter-da0e1d5bf1-da0e1d5bf1</t>
        </is>
      </c>
      <c r="B96" s="2" t="inlineStr">
        <is>
          <t>T2</t>
        </is>
      </c>
      <c r="C96" s="2" t="n">
        <v>5</v>
      </c>
      <c r="D96" s="2" t="inlineStr">
        <is>
          <t>PARTIAL</t>
        </is>
      </c>
      <c r="E96" s="5">
        <f>IF(B96="I1",AVERAGEIF('QA_Images'!$A$2:$A$63,A96,'QA_Images'!$T$2:$T$63)/100,IF(D96="FULL",1,IF(D96="PARTIAL",0.5,IF(D96="FAIL",0,""))))</f>
        <v/>
      </c>
      <c r="F96" s="5">
        <f>IF(E96="",0,C96*E96)</f>
        <v/>
      </c>
      <c r="G96" s="5">
        <f>IF(B96="I1",20*AVERAGEIF('QA_Images'!$A$2:$A$63,A96,'QA_Images'!$U$2:$U$63)/100,IF(D96="NOT_CHECKED",0,C96))</f>
        <v/>
      </c>
      <c r="H96" s="2" t="inlineStr">
        <is>
          <t>Đánh giá H1 đề xuất độc lập với SEO title và đối chiếu lỗi ký tự nguồn.</t>
        </is>
      </c>
      <c r="I96" s="2" t="inlineStr">
        <is>
          <t>["evidence_batch_004_039", "https://jeminise.com/products/custom-american-football-with-paint-splash-background-vintage-comforter-da0e1d5bf1-da0e1d5bf1", "serp_qa_039"]</t>
        </is>
      </c>
      <c r="J96" s="2" t="inlineStr">
        <is>
          <t>["R2-ISS-039-IMG-03", "R2-ISS-039-IMG-05", "R2-ISS-039-DESC", "R2-ISS-039-PERS-OMIT"]</t>
        </is>
      </c>
    </row>
    <row r="97" ht="42" customHeight="1">
      <c r="A97" s="3" t="inlineStr">
        <is>
          <t>jeminise.com+custom-american-football-with-paint-splash-background-vintage-comforter-da0e1d5bf1-da0e1d5bf1</t>
        </is>
      </c>
      <c r="B97" s="3" t="inlineStr">
        <is>
          <t>D1</t>
        </is>
      </c>
      <c r="C97" s="3" t="n">
        <v>5</v>
      </c>
      <c r="D97" s="3" t="inlineStr">
        <is>
          <t>PARTIAL</t>
        </is>
      </c>
      <c r="E97" s="7">
        <f>IF(B97="I1",AVERAGEIF('QA_Images'!$A$2:$A$63,A97,'QA_Images'!$T$2:$T$63)/100,IF(D97="FULL",1,IF(D97="PARTIAL",0.5,IF(D97="FAIL",0,""))))</f>
        <v/>
      </c>
      <c r="F97" s="7">
        <f>IF(E97="",0,C97*E97)</f>
        <v/>
      </c>
      <c r="G97" s="7">
        <f>IF(B97="I1",20*AVERAGEIF('QA_Images'!$A$2:$A$63,A97,'QA_Images'!$U$2:$U$63)/100,IF(D97="NOT_CHECKED",0,C97))</f>
        <v/>
      </c>
      <c r="H97" s="3" t="inlineStr">
        <is>
          <t>Đánh giá meta description về tính cụ thể và căn cứ claim.</t>
        </is>
      </c>
      <c r="I97" s="3" t="inlineStr">
        <is>
          <t>["evidence_batch_004_039", "https://jeminise.com/products/custom-american-football-with-paint-splash-background-vintage-comforter-da0e1d5bf1-da0e1d5bf1", "serp_qa_039"]</t>
        </is>
      </c>
      <c r="J97" s="3" t="inlineStr">
        <is>
          <t>["R2-ISS-039-IMG-03", "R2-ISS-039-IMG-05", "R2-ISS-039-DESC", "R2-ISS-039-PERS-OMIT"]</t>
        </is>
      </c>
    </row>
    <row r="98" ht="42" customHeight="1">
      <c r="A98" s="2" t="inlineStr">
        <is>
          <t>jeminise.com+custom-american-football-with-paint-splash-background-vintage-comforter-da0e1d5bf1-da0e1d5bf1</t>
        </is>
      </c>
      <c r="B98" s="2" t="inlineStr">
        <is>
          <t>D2</t>
        </is>
      </c>
      <c r="C98" s="2" t="n">
        <v>10</v>
      </c>
      <c r="D98" s="2" t="inlineStr">
        <is>
          <t>PARTIAL</t>
        </is>
      </c>
      <c r="E98" s="5">
        <f>IF(B98="I1",AVERAGEIF('QA_Images'!$A$2:$A$63,A98,'QA_Images'!$T$2:$T$63)/100,IF(D98="FULL",1,IF(D98="PARTIAL",0.5,IF(D98="FAIL",0,""))))</f>
        <v/>
      </c>
      <c r="F98" s="5">
        <f>IF(E98="",0,C98*E98)</f>
        <v/>
      </c>
      <c r="G98" s="5">
        <f>IF(B98="I1",20*AVERAGEIF('QA_Images'!$A$2:$A$63,A98,'QA_Images'!$U$2:$U$63)/100,IF(D98="NOT_CHECKED",0,C98))</f>
        <v/>
      </c>
      <c r="H98" s="2" t="inlineStr">
        <is>
          <t>Description SET có HTML đầy đủ nhưng chứa câu nội bộ 'This draft should be reviewed...' và dữ liệu nguồn thô/mâu thuẫn; chưa phải nội dung publish-ready.</t>
        </is>
      </c>
      <c r="I98" s="2" t="inlineStr">
        <is>
          <t>["evidence_batch_004_039", "https://jeminise.com/products/custom-american-football-with-paint-splash-background-vintage-comforter-da0e1d5bf1-da0e1d5bf1", "serp_qa_039"]</t>
        </is>
      </c>
      <c r="J98" s="2" t="inlineStr">
        <is>
          <t>["R2-ISS-039-IMG-03", "R2-ISS-039-IMG-05", "R2-ISS-039-DESC", "R2-ISS-039-PERS-OMIT"]</t>
        </is>
      </c>
    </row>
    <row r="99" ht="42" customHeight="1">
      <c r="A99" s="3" t="inlineStr">
        <is>
          <t>jeminise.com+custom-american-football-with-paint-splash-background-vintage-comforter-da0e1d5bf1-da0e1d5bf1</t>
        </is>
      </c>
      <c r="B99" s="3" t="inlineStr">
        <is>
          <t>I1</t>
        </is>
      </c>
      <c r="C99" s="3" t="n">
        <v>20</v>
      </c>
      <c r="D99" s="3" t="inlineStr">
        <is>
          <t>DERIVED</t>
        </is>
      </c>
      <c r="E99" s="7">
        <f>IF(B99="I1",AVERAGEIF('QA_Images'!$A$2:$A$63,A99,'QA_Images'!$T$2:$T$63)/100,IF(D99="FULL",1,IF(D99="PARTIAL",0.5,IF(D99="FAIL",0,""))))</f>
        <v/>
      </c>
      <c r="F99" s="7">
        <f>IF(E99="",0,C99*E99)</f>
        <v/>
      </c>
      <c r="G99" s="7">
        <f>IF(B99="I1",20*AVERAGEIF('QA_Images'!$A$2:$A$63,A99,'QA_Images'!$U$2:$U$63)/100,IF(D99="NOT_CHECKED",0,C99))</f>
        <v/>
      </c>
      <c r="H99" s="3" t="inlineStr">
        <is>
          <t>Tính từ trung bình 6 ảnh: 91.6667/100.</t>
        </is>
      </c>
      <c r="I99" s="3" t="inlineStr">
        <is>
          <t>["evidence_batch_004_039", "https://jeminise.com/products/custom-american-football-with-paint-splash-background-vintage-comforter-da0e1d5bf1-da0e1d5bf1", "serp_qa_039"]</t>
        </is>
      </c>
      <c r="J99" s="3" t="inlineStr">
        <is>
          <t>["R2-ISS-039-IMG-03", "R2-ISS-039-IMG-05", "R2-ISS-039-DESC", "R2-ISS-039-PERS-OMIT"]</t>
        </is>
      </c>
    </row>
    <row r="100" ht="42" customHeight="1">
      <c r="A100" s="2" t="inlineStr">
        <is>
          <t>jeminise.com+custom-american-football-with-paint-splash-background-vintage-comforter-da0e1d5bf1-da0e1d5bf1</t>
        </is>
      </c>
      <c r="B100" s="2" t="inlineStr">
        <is>
          <t>E1</t>
        </is>
      </c>
      <c r="C100" s="2" t="n">
        <v>5</v>
      </c>
      <c r="D100" s="2" t="inlineStr">
        <is>
          <t>PARTIAL</t>
        </is>
      </c>
      <c r="E100" s="5">
        <f>IF(B100="I1",AVERAGEIF('QA_Images'!$A$2:$A$63,A100,'QA_Images'!$T$2:$T$63)/100,IF(D100="FULL",1,IF(D100="PARTIAL",0.5,IF(D100="FAIL",0,""))))</f>
        <v/>
      </c>
      <c r="F100" s="5">
        <f>IF(E100="",0,C100*E100)</f>
        <v/>
      </c>
      <c r="G100" s="5">
        <f>IF(B100="I1",20*AVERAGEIF('QA_Images'!$A$2:$A$63,A100,'QA_Images'!$U$2:$U$63)/100,IF(D100="NOT_CHECKED",0,C100))</f>
        <v/>
      </c>
      <c r="H100" s="2" t="inlineStr">
        <is>
          <t>Kiểm tra chuỗi evidence và giới hạn do thiếu admin export/browser tương tác.</t>
        </is>
      </c>
      <c r="I100" s="2" t="inlineStr">
        <is>
          <t>["evidence_batch_004_039", "https://jeminise.com/products/custom-american-football-with-paint-splash-background-vintage-comforter-da0e1d5bf1-da0e1d5bf1", "serp_qa_039"]</t>
        </is>
      </c>
      <c r="J100" s="2" t="inlineStr">
        <is>
          <t>["R2-ISS-039-IMG-03", "R2-ISS-039-IMG-05", "R2-ISS-039-DESC", "R2-ISS-039-PERS-OMIT"]</t>
        </is>
      </c>
    </row>
    <row r="101" ht="42" customHeight="1">
      <c r="A101" s="3" t="inlineStr">
        <is>
          <t>jeminise.com+custom-american-football-with-patriotic-flag-comforter-4a3a1ed3c9-4a3a1ed3c9</t>
        </is>
      </c>
      <c r="B101" s="3" t="inlineStr">
        <is>
          <t>P1</t>
        </is>
      </c>
      <c r="C101" s="3" t="n">
        <v>15</v>
      </c>
      <c r="D101" s="3" t="inlineStr">
        <is>
          <t>FULL</t>
        </is>
      </c>
      <c r="E101" s="7">
        <f>IF(B101="I1",AVERAGEIF('QA_Images'!$A$2:$A$63,A101,'QA_Images'!$T$2:$T$63)/100,IF(D101="FULL",1,IF(D101="PARTIAL",0.5,IF(D101="FAIL",0,""))))</f>
        <v/>
      </c>
      <c r="F101" s="7">
        <f>IF(E101="",0,C101*E101)</f>
        <v/>
      </c>
      <c r="G101" s="7">
        <f>IF(B101="I1",20*AVERAGEIF('QA_Images'!$A$2:$A$63,A101,'QA_Images'!$U$2:$U$63)/100,IF(D101="NOT_CHECKED",0,C101))</f>
        <v/>
      </c>
      <c r="H101" s="3" t="inlineStr">
        <is>
          <t>Đối chiếu loại sản phẩm, thiết kế và màu với product JSON, H1 live và toàn bộ gallery.</t>
        </is>
      </c>
      <c r="I101" s="3" t="inlineStr">
        <is>
          <t>["evidence_batch_004_040", "https://jeminise.com/products/custom-american-football-with-patriotic-flag-comforter-4a3a1ed3c9-4a3a1ed3c9", "serp_qa_040"]</t>
        </is>
      </c>
      <c r="J101" s="3" t="inlineStr">
        <is>
          <t>["R2-ISS-040-IMG-03", "R2-ISS-040-IMG-05", "R2-ISS-040-DESC", "R2-ISS-040-PERS-OMIT", "R2-ISS-040-KEYWORD"]</t>
        </is>
      </c>
    </row>
    <row r="102" ht="42" customHeight="1">
      <c r="A102" s="2" t="inlineStr">
        <is>
          <t>jeminise.com+custom-american-football-with-patriotic-flag-comforter-4a3a1ed3c9-4a3a1ed3c9</t>
        </is>
      </c>
      <c r="B102" s="2" t="inlineStr">
        <is>
          <t>P2</t>
        </is>
      </c>
      <c r="C102" s="2" t="n">
        <v>10</v>
      </c>
      <c r="D102" s="2" t="inlineStr">
        <is>
          <t>PARTIAL</t>
        </is>
      </c>
      <c r="E102" s="5">
        <f>IF(B102="I1",AVERAGEIF('QA_Images'!$A$2:$A$63,A102,'QA_Images'!$T$2:$T$63)/100,IF(D102="FULL",1,IF(D102="PARTIAL",0.5,IF(D102="FAIL",0,""))))</f>
        <v/>
      </c>
      <c r="F102" s="5">
        <f>IF(E102="",0,C102*E102)</f>
        <v/>
      </c>
      <c r="G102" s="5">
        <f>IF(B102="I1",20*AVERAGEIF('QA_Images'!$A$2:$A$63,A102,'QA_Images'!$U$2:$U$63)/100,IF(D102="NOT_CHECKED",0,C102))</f>
        <v/>
      </c>
      <c r="H102" s="2" t="inlineStr">
        <is>
          <t>Đối chiếu specifications, variants, components và personalization với product.js live, body HTML và ảnh.</t>
        </is>
      </c>
      <c r="I102" s="2" t="inlineStr">
        <is>
          <t>["evidence_batch_004_040", "https://jeminise.com/products/custom-american-football-with-patriotic-flag-comforter-4a3a1ed3c9-4a3a1ed3c9", "serp_qa_040"]</t>
        </is>
      </c>
      <c r="J102" s="2" t="inlineStr">
        <is>
          <t>["R2-ISS-040-IMG-03", "R2-ISS-040-IMG-05", "R2-ISS-040-DESC", "R2-ISS-040-PERS-OMIT", "R2-ISS-040-KEYWORD"]</t>
        </is>
      </c>
    </row>
    <row r="103" ht="42" customHeight="1">
      <c r="A103" s="3" t="inlineStr">
        <is>
          <t>jeminise.com+custom-american-football-with-patriotic-flag-comforter-4a3a1ed3c9-4a3a1ed3c9</t>
        </is>
      </c>
      <c r="B103" s="3" t="inlineStr">
        <is>
          <t>K1</t>
        </is>
      </c>
      <c r="C103" s="3" t="n">
        <v>10</v>
      </c>
      <c r="D103" s="3" t="inlineStr">
        <is>
          <t>PARTIAL</t>
        </is>
      </c>
      <c r="E103" s="7">
        <f>IF(B103="I1",AVERAGEIF('QA_Images'!$A$2:$A$63,A103,'QA_Images'!$T$2:$T$63)/100,IF(D103="FULL",1,IF(D103="PARTIAL",0.5,IF(D103="FAIL",0,""))))</f>
        <v/>
      </c>
      <c r="F103" s="7">
        <f>IF(E103="",0,C103*E103)</f>
        <v/>
      </c>
      <c r="G103" s="7">
        <f>IF(B103="I1",20*AVERAGEIF('QA_Images'!$A$2:$A$63,A103,'QA_Images'!$U$2:$U$63)/100,IF(D103="NOT_CHECKED",0,C103))</f>
        <v/>
      </c>
      <c r="H103" s="3" t="inlineStr">
        <is>
          <t>Đối chiếu long-tail với thiết kế riêng và nguy cơ trùng intent trong cụm sản phẩm.</t>
        </is>
      </c>
      <c r="I103" s="3" t="inlineStr">
        <is>
          <t>["evidence_batch_004_040", "https://jeminise.com/products/custom-american-football-with-patriotic-flag-comforter-4a3a1ed3c9-4a3a1ed3c9", "serp_qa_040"]</t>
        </is>
      </c>
      <c r="J103" s="3" t="inlineStr">
        <is>
          <t>["R2-ISS-040-IMG-03", "R2-ISS-040-IMG-05", "R2-ISS-040-DESC", "R2-ISS-040-PERS-OMIT", "R2-ISS-040-KEYWORD"]</t>
        </is>
      </c>
    </row>
    <row r="104" ht="42" customHeight="1">
      <c r="A104" s="2" t="inlineStr">
        <is>
          <t>jeminise.com+custom-american-football-with-patriotic-flag-comforter-4a3a1ed3c9-4a3a1ed3c9</t>
        </is>
      </c>
      <c r="B104" s="2" t="inlineStr">
        <is>
          <t>K2</t>
        </is>
      </c>
      <c r="C104" s="2" t="n">
        <v>5</v>
      </c>
      <c r="D104" s="2" t="inlineStr">
        <is>
          <t>FULL</t>
        </is>
      </c>
      <c r="E104" s="5">
        <f>IF(B104="I1",AVERAGEIF('QA_Images'!$A$2:$A$63,A104,'QA_Images'!$T$2:$T$63)/100,IF(D104="FULL",1,IF(D104="PARTIAL",0.5,IF(D104="FAIL",0,""))))</f>
        <v/>
      </c>
      <c r="F104" s="5">
        <f>IF(E104="",0,C104*E104)</f>
        <v/>
      </c>
      <c r="G104" s="5">
        <f>IF(B104="I1",20*AVERAGEIF('QA_Images'!$A$2:$A$63,A104,'QA_Images'!$U$2:$U$63)/100,IF(D104="NOT_CHECKED",0,C104))</f>
        <v/>
      </c>
      <c r="H104" s="2" t="inlineStr">
        <is>
          <t>Đã đọc primary và comparator SERP theo US intent; không dùng claim volume.</t>
        </is>
      </c>
      <c r="I104" s="2" t="inlineStr">
        <is>
          <t>["evidence_batch_004_040", "https://jeminise.com/products/custom-american-football-with-patriotic-flag-comforter-4a3a1ed3c9-4a3a1ed3c9", "serp_qa_040"]</t>
        </is>
      </c>
      <c r="J104" s="2" t="inlineStr">
        <is>
          <t>["R2-ISS-040-IMG-03", "R2-ISS-040-IMG-05", "R2-ISS-040-DESC", "R2-ISS-040-PERS-OMIT", "R2-ISS-040-KEYWORD"]</t>
        </is>
      </c>
    </row>
    <row r="105" ht="42" customHeight="1">
      <c r="A105" s="3" t="inlineStr">
        <is>
          <t>jeminise.com+custom-american-football-with-patriotic-flag-comforter-4a3a1ed3c9-4a3a1ed3c9</t>
        </is>
      </c>
      <c r="B105" s="3" t="inlineStr">
        <is>
          <t>K3</t>
        </is>
      </c>
      <c r="C105" s="3" t="n">
        <v>5</v>
      </c>
      <c r="D105" s="3" t="inlineStr">
        <is>
          <t>FAIL</t>
        </is>
      </c>
      <c r="E105" s="7">
        <f>IF(B105="I1",AVERAGEIF('QA_Images'!$A$2:$A$63,A105,'QA_Images'!$T$2:$T$63)/100,IF(D105="FULL",1,IF(D105="PARTIAL",0.5,IF(D105="FAIL",0,""))))</f>
        <v/>
      </c>
      <c r="F105" s="7">
        <f>IF(E105="",0,C105*E105)</f>
        <v/>
      </c>
      <c r="G105" s="7">
        <f>IF(B105="I1",20*AVERAGEIF('QA_Images'!$A$2:$A$63,A105,'QA_Images'!$U$2:$U$63)/100,IF(D105="NOT_CHECKED",0,C105))</f>
        <v/>
      </c>
      <c r="H105" s="3" t="inlineStr">
        <is>
          <t>Không suy diễn volume; phân biệt SERP_ONLY và HYPOTHESIS_ONLY.</t>
        </is>
      </c>
      <c r="I105" s="3" t="inlineStr">
        <is>
          <t>["evidence_batch_004_040", "https://jeminise.com/products/custom-american-football-with-patriotic-flag-comforter-4a3a1ed3c9-4a3a1ed3c9", "serp_qa_040"]</t>
        </is>
      </c>
      <c r="J105" s="3" t="inlineStr">
        <is>
          <t>["R2-ISS-040-IMG-03", "R2-ISS-040-IMG-05", "R2-ISS-040-DESC", "R2-ISS-040-PERS-OMIT", "R2-ISS-040-KEYWORD"]</t>
        </is>
      </c>
    </row>
    <row r="106" ht="42" customHeight="1">
      <c r="A106" s="2" t="inlineStr">
        <is>
          <t>jeminise.com+custom-american-football-with-patriotic-flag-comforter-4a3a1ed3c9-4a3a1ed3c9</t>
        </is>
      </c>
      <c r="B106" s="2" t="inlineStr">
        <is>
          <t>T1</t>
        </is>
      </c>
      <c r="C106" s="2" t="n">
        <v>10</v>
      </c>
      <c r="D106" s="2" t="inlineStr">
        <is>
          <t>PARTIAL</t>
        </is>
      </c>
      <c r="E106" s="5">
        <f>IF(B106="I1",AVERAGEIF('QA_Images'!$A$2:$A$63,A106,'QA_Images'!$T$2:$T$63)/100,IF(D106="FULL",1,IF(D106="PARTIAL",0.5,IF(D106="FAIL",0,""))))</f>
        <v/>
      </c>
      <c r="F106" s="5">
        <f>IF(E106="",0,C106*E106)</f>
        <v/>
      </c>
      <c r="G106" s="5">
        <f>IF(B106="I1",20*AVERAGEIF('QA_Images'!$A$2:$A$63,A106,'QA_Images'!$U$2:$U$63)/100,IF(D106="NOT_CHECKED",0,C106))</f>
        <v/>
      </c>
      <c r="H106" s="2" t="inlineStr">
        <is>
          <t>Đánh giá SEO title English về độ đúng, tự nhiên, keyword và điểm phân biệt.</t>
        </is>
      </c>
      <c r="I106" s="2" t="inlineStr">
        <is>
          <t>["evidence_batch_004_040", "https://jeminise.com/products/custom-american-football-with-patriotic-flag-comforter-4a3a1ed3c9-4a3a1ed3c9", "serp_qa_040"]</t>
        </is>
      </c>
      <c r="J106" s="2" t="inlineStr">
        <is>
          <t>["R2-ISS-040-IMG-03", "R2-ISS-040-IMG-05", "R2-ISS-040-DESC", "R2-ISS-040-PERS-OMIT", "R2-ISS-040-KEYWORD"]</t>
        </is>
      </c>
    </row>
    <row r="107" ht="42" customHeight="1">
      <c r="A107" s="3" t="inlineStr">
        <is>
          <t>jeminise.com+custom-american-football-with-patriotic-flag-comforter-4a3a1ed3c9-4a3a1ed3c9</t>
        </is>
      </c>
      <c r="B107" s="3" t="inlineStr">
        <is>
          <t>T2</t>
        </is>
      </c>
      <c r="C107" s="3" t="n">
        <v>5</v>
      </c>
      <c r="D107" s="3" t="inlineStr">
        <is>
          <t>PARTIAL</t>
        </is>
      </c>
      <c r="E107" s="7">
        <f>IF(B107="I1",AVERAGEIF('QA_Images'!$A$2:$A$63,A107,'QA_Images'!$T$2:$T$63)/100,IF(D107="FULL",1,IF(D107="PARTIAL",0.5,IF(D107="FAIL",0,""))))</f>
        <v/>
      </c>
      <c r="F107" s="7">
        <f>IF(E107="",0,C107*E107)</f>
        <v/>
      </c>
      <c r="G107" s="7">
        <f>IF(B107="I1",20*AVERAGEIF('QA_Images'!$A$2:$A$63,A107,'QA_Images'!$U$2:$U$63)/100,IF(D107="NOT_CHECKED",0,C107))</f>
        <v/>
      </c>
      <c r="H107" s="3" t="inlineStr">
        <is>
          <t>Đánh giá H1 đề xuất độc lập với SEO title và đối chiếu lỗi ký tự nguồn.</t>
        </is>
      </c>
      <c r="I107" s="3" t="inlineStr">
        <is>
          <t>["evidence_batch_004_040", "https://jeminise.com/products/custom-american-football-with-patriotic-flag-comforter-4a3a1ed3c9-4a3a1ed3c9", "serp_qa_040"]</t>
        </is>
      </c>
      <c r="J107" s="3" t="inlineStr">
        <is>
          <t>["R2-ISS-040-IMG-03", "R2-ISS-040-IMG-05", "R2-ISS-040-DESC", "R2-ISS-040-PERS-OMIT", "R2-ISS-040-KEYWORD"]</t>
        </is>
      </c>
    </row>
    <row r="108" ht="42" customHeight="1">
      <c r="A108" s="2" t="inlineStr">
        <is>
          <t>jeminise.com+custom-american-football-with-patriotic-flag-comforter-4a3a1ed3c9-4a3a1ed3c9</t>
        </is>
      </c>
      <c r="B108" s="2" t="inlineStr">
        <is>
          <t>D1</t>
        </is>
      </c>
      <c r="C108" s="2" t="n">
        <v>5</v>
      </c>
      <c r="D108" s="2" t="inlineStr">
        <is>
          <t>PARTIAL</t>
        </is>
      </c>
      <c r="E108" s="5">
        <f>IF(B108="I1",AVERAGEIF('QA_Images'!$A$2:$A$63,A108,'QA_Images'!$T$2:$T$63)/100,IF(D108="FULL",1,IF(D108="PARTIAL",0.5,IF(D108="FAIL",0,""))))</f>
        <v/>
      </c>
      <c r="F108" s="5">
        <f>IF(E108="",0,C108*E108)</f>
        <v/>
      </c>
      <c r="G108" s="5">
        <f>IF(B108="I1",20*AVERAGEIF('QA_Images'!$A$2:$A$63,A108,'QA_Images'!$U$2:$U$63)/100,IF(D108="NOT_CHECKED",0,C108))</f>
        <v/>
      </c>
      <c r="H108" s="2" t="inlineStr">
        <is>
          <t>Đánh giá meta description về tính cụ thể và căn cứ claim.</t>
        </is>
      </c>
      <c r="I108" s="2" t="inlineStr">
        <is>
          <t>["evidence_batch_004_040", "https://jeminise.com/products/custom-american-football-with-patriotic-flag-comforter-4a3a1ed3c9-4a3a1ed3c9", "serp_qa_040"]</t>
        </is>
      </c>
      <c r="J108" s="2" t="inlineStr">
        <is>
          <t>["R2-ISS-040-IMG-03", "R2-ISS-040-IMG-05", "R2-ISS-040-DESC", "R2-ISS-040-PERS-OMIT", "R2-ISS-040-KEYWORD"]</t>
        </is>
      </c>
    </row>
    <row r="109" ht="42" customHeight="1">
      <c r="A109" s="3" t="inlineStr">
        <is>
          <t>jeminise.com+custom-american-football-with-patriotic-flag-comforter-4a3a1ed3c9-4a3a1ed3c9</t>
        </is>
      </c>
      <c r="B109" s="3" t="inlineStr">
        <is>
          <t>D2</t>
        </is>
      </c>
      <c r="C109" s="3" t="n">
        <v>10</v>
      </c>
      <c r="D109" s="3" t="inlineStr">
        <is>
          <t>PARTIAL</t>
        </is>
      </c>
      <c r="E109" s="7">
        <f>IF(B109="I1",AVERAGEIF('QA_Images'!$A$2:$A$63,A109,'QA_Images'!$T$2:$T$63)/100,IF(D109="FULL",1,IF(D109="PARTIAL",0.5,IF(D109="FAIL",0,""))))</f>
        <v/>
      </c>
      <c r="F109" s="7">
        <f>IF(E109="",0,C109*E109)</f>
        <v/>
      </c>
      <c r="G109" s="7">
        <f>IF(B109="I1",20*AVERAGEIF('QA_Images'!$A$2:$A$63,A109,'QA_Images'!$U$2:$U$63)/100,IF(D109="NOT_CHECKED",0,C109))</f>
        <v/>
      </c>
      <c r="H109" s="3" t="inlineStr">
        <is>
          <t>Description SET có HTML đầy đủ nhưng chứa câu nội bộ 'This draft should be reviewed...' và dữ liệu nguồn thô/mâu thuẫn; chưa phải nội dung publish-ready.</t>
        </is>
      </c>
      <c r="I109" s="3" t="inlineStr">
        <is>
          <t>["evidence_batch_004_040", "https://jeminise.com/products/custom-american-football-with-patriotic-flag-comforter-4a3a1ed3c9-4a3a1ed3c9", "serp_qa_040"]</t>
        </is>
      </c>
      <c r="J109" s="3" t="inlineStr">
        <is>
          <t>["R2-ISS-040-IMG-03", "R2-ISS-040-IMG-05", "R2-ISS-040-DESC", "R2-ISS-040-PERS-OMIT", "R2-ISS-040-KEYWORD"]</t>
        </is>
      </c>
    </row>
    <row r="110" ht="42" customHeight="1">
      <c r="A110" s="2" t="inlineStr">
        <is>
          <t>jeminise.com+custom-american-football-with-patriotic-flag-comforter-4a3a1ed3c9-4a3a1ed3c9</t>
        </is>
      </c>
      <c r="B110" s="2" t="inlineStr">
        <is>
          <t>I1</t>
        </is>
      </c>
      <c r="C110" s="2" t="n">
        <v>20</v>
      </c>
      <c r="D110" s="2" t="inlineStr">
        <is>
          <t>DERIVED</t>
        </is>
      </c>
      <c r="E110" s="5">
        <f>IF(B110="I1",AVERAGEIF('QA_Images'!$A$2:$A$63,A110,'QA_Images'!$T$2:$T$63)/100,IF(D110="FULL",1,IF(D110="PARTIAL",0.5,IF(D110="FAIL",0,""))))</f>
        <v/>
      </c>
      <c r="F110" s="5">
        <f>IF(E110="",0,C110*E110)</f>
        <v/>
      </c>
      <c r="G110" s="5">
        <f>IF(B110="I1",20*AVERAGEIF('QA_Images'!$A$2:$A$63,A110,'QA_Images'!$U$2:$U$63)/100,IF(D110="NOT_CHECKED",0,C110))</f>
        <v/>
      </c>
      <c r="H110" s="2" t="inlineStr">
        <is>
          <t>Tính từ trung bình 6 ảnh: 91.6667/100.</t>
        </is>
      </c>
      <c r="I110" s="2" t="inlineStr">
        <is>
          <t>["evidence_batch_004_040", "https://jeminise.com/products/custom-american-football-with-patriotic-flag-comforter-4a3a1ed3c9-4a3a1ed3c9", "serp_qa_040"]</t>
        </is>
      </c>
      <c r="J110" s="2" t="inlineStr">
        <is>
          <t>["R2-ISS-040-IMG-03", "R2-ISS-040-IMG-05", "R2-ISS-040-DESC", "R2-ISS-040-PERS-OMIT", "R2-ISS-040-KEYWORD"]</t>
        </is>
      </c>
    </row>
    <row r="111" ht="42" customHeight="1">
      <c r="A111" s="3" t="inlineStr">
        <is>
          <t>jeminise.com+custom-american-football-with-patriotic-flag-comforter-4a3a1ed3c9-4a3a1ed3c9</t>
        </is>
      </c>
      <c r="B111" s="3" t="inlineStr">
        <is>
          <t>E1</t>
        </is>
      </c>
      <c r="C111" s="3" t="n">
        <v>5</v>
      </c>
      <c r="D111" s="3" t="inlineStr">
        <is>
          <t>PARTIAL</t>
        </is>
      </c>
      <c r="E111" s="7">
        <f>IF(B111="I1",AVERAGEIF('QA_Images'!$A$2:$A$63,A111,'QA_Images'!$T$2:$T$63)/100,IF(D111="FULL",1,IF(D111="PARTIAL",0.5,IF(D111="FAIL",0,""))))</f>
        <v/>
      </c>
      <c r="F111" s="7">
        <f>IF(E111="",0,C111*E111)</f>
        <v/>
      </c>
      <c r="G111" s="7">
        <f>IF(B111="I1",20*AVERAGEIF('QA_Images'!$A$2:$A$63,A111,'QA_Images'!$U$2:$U$63)/100,IF(D111="NOT_CHECKED",0,C111))</f>
        <v/>
      </c>
      <c r="H111" s="3" t="inlineStr">
        <is>
          <t>Kiểm tra chuỗi evidence và giới hạn do thiếu admin export/browser tương tác.</t>
        </is>
      </c>
      <c r="I111" s="3" t="inlineStr">
        <is>
          <t>["evidence_batch_004_040", "https://jeminise.com/products/custom-american-football-with-patriotic-flag-comforter-4a3a1ed3c9-4a3a1ed3c9", "serp_qa_040"]</t>
        </is>
      </c>
      <c r="J111" s="3" t="inlineStr">
        <is>
          <t>["R2-ISS-040-IMG-03", "R2-ISS-040-IMG-05", "R2-ISS-040-DESC", "R2-ISS-040-PERS-OMIT", "R2-ISS-040-KEYWORD"]</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63"/>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3"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jeminise.com+christmas-cardinals-near-snowy-birdhouse-patchwork-floral-quilt-b90d55a935-b90d55a935</t>
        </is>
      </c>
      <c r="B2" s="2" t="inlineStr">
        <is>
          <t>qaimg_f4dbca08152a7478</t>
        </is>
      </c>
      <c r="C2" s="4" t="inlineStr">
        <is>
          <t>https://cdn.shopify.com/s/files/1/0792/5098/1063/files/cefa39b8e586dae0db27829a045f8d696721e4c0e044144b214323829fbee46b.jpg?v=1785099259</t>
        </is>
      </c>
      <c r="D2" s="4" t="inlineStr">
        <is>
          <t>https://cdn.shopify.com/s/files/1/0792/5098/1063/files/cefa39b8e586dae0db27829a045f8d696721e4c0e044144b214323829fbee46b.jpg?v=1785099259</t>
        </is>
      </c>
      <c r="E2" s="2" t="inlineStr">
        <is>
          <t>38506580508871</t>
        </is>
      </c>
      <c r="F2" s="2" t="inlineStr">
        <is>
          <t>47540019036359</t>
        </is>
      </c>
      <c r="G2" s="2" t="inlineStr"/>
      <c r="H2" s="2" t="inlineStr">
        <is>
          <t>GALLERY</t>
        </is>
      </c>
      <c r="I2" s="2" t="inlineStr">
        <is>
          <t>DIRECT_ORIGINAL_IMAGE</t>
        </is>
      </c>
      <c r="J2" s="2" t="inlineStr">
        <is>
          <t>2026-09-07T15:21:43.658434+07:00</t>
        </is>
      </c>
      <c r="K2" s="2" t="inlineStr">
        <is>
          <t>Front bedroom mockup of a cardinal-and-birdhouse Christmas quilt with poinsettias.</t>
        </is>
      </c>
      <c r="L2" s="2" t="inlineStr">
        <is>
          <t>Main bed mockup showing Christmas cardinal birdhouse quilt with poinsettias.</t>
        </is>
      </c>
      <c r="M2" s="2" t="inlineStr">
        <is>
          <t>Christmas Cardinals Near Snowy Birdhouse Patchwork Floral Quilt</t>
        </is>
      </c>
      <c r="N2" s="2" t="inlineStr">
        <is>
          <t>SET</t>
        </is>
      </c>
      <c r="O2" s="2" t="inlineStr">
        <is>
          <t>Christmas Cardinal Birdhouse Quilt Set displayed on a bed</t>
        </is>
      </c>
      <c r="P2" s="2" t="inlineStr">
        <is>
          <t>FULL</t>
        </is>
      </c>
      <c r="Q2" s="2" t="inlineStr">
        <is>
          <t>FULL</t>
        </is>
      </c>
      <c r="R2" s="2" t="inlineStr">
        <is>
          <t>FULL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t>
        </is>
      </c>
      <c r="Z2" s="2"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"https://cdn.shopify.com/s/files/1/0792/5098/1063/files/cefa39b8e586dae0db27829a045f8d696721e4c0e044144b214323829fbee46b.jpg?v=1785099259"]</t>
        </is>
      </c>
    </row>
    <row r="3" ht="66" customHeight="1">
      <c r="A3" s="3" t="inlineStr">
        <is>
          <t>jeminise.com+christmas-cardinals-near-snowy-birdhouse-patchwork-floral-quilt-b90d55a935-b90d55a935</t>
        </is>
      </c>
      <c r="B3" s="3" t="inlineStr">
        <is>
          <t>qaimg_3d3263312998689b</t>
        </is>
      </c>
      <c r="C3" s="4" t="inlineStr">
        <is>
          <t>https://cdn.shopify.com/s/files/1/0792/5098/1063/files/817cf504495341989c34e5153f75779357b3dd16c9af88d5e8f16bf5cdd1d8a4.jpg?v=1785099259</t>
        </is>
      </c>
      <c r="D3" s="4" t="inlineStr">
        <is>
          <t>https://cdn.shopify.com/s/files/1/0792/5098/1063/files/817cf504495341989c34e5153f75779357b3dd16c9af88d5e8f16bf5cdd1d8a4.jpg?v=1785099259</t>
        </is>
      </c>
      <c r="E3" s="3" t="inlineStr">
        <is>
          <t>38506580541639</t>
        </is>
      </c>
      <c r="F3" s="3" t="inlineStr">
        <is>
          <t>47540019069127</t>
        </is>
      </c>
      <c r="G3" s="3" t="inlineStr"/>
      <c r="H3" s="3" t="inlineStr">
        <is>
          <t>GALLERY</t>
        </is>
      </c>
      <c r="I3" s="3" t="inlineStr">
        <is>
          <t>DIRECT_ORIGINAL_IMAGE</t>
        </is>
      </c>
      <c r="J3" s="3" t="inlineStr">
        <is>
          <t>2026-09-07T15:21:43.658434+07:00</t>
        </is>
      </c>
      <c r="K3" s="3" t="inlineStr">
        <is>
          <t>Angled bedroom view with printed-craft feature callouts.</t>
        </is>
      </c>
      <c r="L3" s="3" t="inlineStr">
        <is>
          <t>Angled bedroom mockup showing Christmas cardinal birdhouse quilt with poinsettias.</t>
        </is>
      </c>
      <c r="M3" s="3" t="inlineStr">
        <is>
          <t>Christmas Cardinals Near Snowy Birdhouse Patchwork Floral Quilt</t>
        </is>
      </c>
      <c r="N3" s="3" t="inlineStr">
        <is>
          <t>SET</t>
        </is>
      </c>
      <c r="O3" s="3" t="inlineStr">
        <is>
          <t>Angled bedroom view of Christmas Cardinal Birdhouse Quilt Set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is>
          <t>[]</t>
        </is>
      </c>
      <c r="Z3" s="3"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"https://cdn.shopify.com/s/files/1/0792/5098/1063/files/817cf504495341989c34e5153f75779357b3dd16c9af88d5e8f16bf5cdd1d8a4.jpg?v=1785099259"]</t>
        </is>
      </c>
    </row>
    <row r="4" ht="66" customHeight="1">
      <c r="A4" s="2" t="inlineStr">
        <is>
          <t>jeminise.com+christmas-cardinals-near-snowy-birdhouse-patchwork-floral-quilt-b90d55a935-b90d55a935</t>
        </is>
      </c>
      <c r="B4" s="2" t="inlineStr">
        <is>
          <t>qaimg_c0b900a11e3c761f</t>
        </is>
      </c>
      <c r="C4" s="4" t="inlineStr">
        <is>
          <t>https://cdn.shopify.com/s/files/1/0792/5098/1063/files/192d8a6eed2602b9a36fbbd7936b0d70ef3680e4dd38270f22af78ba5c23bb4a.jpg?v=1785099259</t>
        </is>
      </c>
      <c r="D4" s="4" t="inlineStr">
        <is>
          <t>https://cdn.shopify.com/s/files/1/0792/5098/1063/files/192d8a6eed2602b9a36fbbd7936b0d70ef3680e4dd38270f22af78ba5c23bb4a.jpg?v=1785099259</t>
        </is>
      </c>
      <c r="E4" s="2" t="inlineStr">
        <is>
          <t>38506580574407</t>
        </is>
      </c>
      <c r="F4" s="2" t="inlineStr">
        <is>
          <t>47540019101895</t>
        </is>
      </c>
      <c r="G4" s="2" t="inlineStr"/>
      <c r="H4" s="2" t="inlineStr">
        <is>
          <t>GALLERY</t>
        </is>
      </c>
      <c r="I4" s="2" t="inlineStr">
        <is>
          <t>DIRECT_ORIGINAL_IMAGE</t>
        </is>
      </c>
      <c r="J4" s="2" t="inlineStr">
        <is>
          <t>2026-09-07T15:21:43.658434+07:00</t>
        </is>
      </c>
      <c r="K4" s="2" t="inlineStr">
        <is>
          <t>Matching pillow shams and lightweight, soft, anti-pill and anti-static callouts.</t>
        </is>
      </c>
      <c r="L4" s="2" t="inlineStr">
        <is>
          <t>Product type comparison or matching pillow sham/detail image for Christmas cardinal birdhouse quilt with poinsettias.</t>
        </is>
      </c>
      <c r="M4" s="2" t="inlineStr">
        <is>
          <t>Christmas Cardinals Near Snowy Birdhouse Patchwork Floral Quilt</t>
        </is>
      </c>
      <c r="N4" s="2" t="inlineStr">
        <is>
          <t>SET</t>
        </is>
      </c>
      <c r="O4" s="2" t="inlineStr">
        <is>
          <t>Matching sham or product info image for Christmas Cardinal Birdhouse Quilt Set</t>
        </is>
      </c>
      <c r="P4" s="2" t="inlineStr">
        <is>
          <t>FULL</t>
        </is>
      </c>
      <c r="Q4" s="2" t="inlineStr">
        <is>
          <t>PARTIAL</t>
        </is>
      </c>
      <c r="R4" s="2" t="inlineStr">
        <is>
          <t>PARTIAL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["R2-ISS-031-IMG-03"]</t>
        </is>
      </c>
      <c r="Z4" s="2"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"https://cdn.shopify.com/s/files/1/0792/5098/1063/files/192d8a6eed2602b9a36fbbd7936b0d70ef3680e4dd38270f22af78ba5c23bb4a.jpg?v=1785099259"]</t>
        </is>
      </c>
    </row>
    <row r="5" ht="66" customHeight="1">
      <c r="A5" s="3" t="inlineStr">
        <is>
          <t>jeminise.com+christmas-cardinals-near-snowy-birdhouse-patchwork-floral-quilt-b90d55a935-b90d55a935</t>
        </is>
      </c>
      <c r="B5" s="3" t="inlineStr">
        <is>
          <t>qaimg_cbb1704cddee2f79</t>
        </is>
      </c>
      <c r="C5" s="4" t="inlineStr">
        <is>
          <t>https://cdn.shopify.com/s/files/1/0792/5098/1063/files/a5f492aee10aae43511cc5e9a46710cc38afe374b23731941e7748005cf44564.jpg?v=1785099259</t>
        </is>
      </c>
      <c r="D5" s="4" t="inlineStr">
        <is>
          <t>https://cdn.shopify.com/s/files/1/0792/5098/1063/files/a5f492aee10aae43511cc5e9a46710cc38afe374b23731941e7748005cf44564.jpg?v=1785099259</t>
        </is>
      </c>
      <c r="E5" s="3" t="inlineStr">
        <is>
          <t>38506580607175</t>
        </is>
      </c>
      <c r="F5" s="3" t="inlineStr">
        <is>
          <t>47540019134663</t>
        </is>
      </c>
      <c r="G5" s="3" t="inlineStr"/>
      <c r="H5" s="3" t="inlineStr">
        <is>
          <t>GALLERY</t>
        </is>
      </c>
      <c r="I5" s="3" t="inlineStr">
        <is>
          <t>DIRECT_ORIGINAL_IMAGE</t>
        </is>
      </c>
      <c r="J5" s="3" t="inlineStr">
        <is>
          <t>2026-09-07T15:21:43.658434+07:00</t>
        </is>
      </c>
      <c r="K5" s="3" t="inlineStr">
        <is>
          <t>Fabric-feature panel describing the printed quilt for all-season use.</t>
        </is>
      </c>
      <c r="L5" s="3" t="inlineStr">
        <is>
          <t>Close room/detail or fabric feature image showing Christmas cardinal birdhouse quilt with poinsettias.</t>
        </is>
      </c>
      <c r="M5" s="3" t="inlineStr">
        <is>
          <t>Christmas Cardinals Near Snowy Birdhouse Patchwork Floral Quilt</t>
        </is>
      </c>
      <c r="N5" s="3" t="inlineStr">
        <is>
          <t>SET</t>
        </is>
      </c>
      <c r="O5" s="3" t="inlineStr">
        <is>
          <t>Close-up detail of Christmas cardinal birdhouse quilt with poinsettias</t>
        </is>
      </c>
      <c r="P5" s="3" t="inlineStr">
        <is>
          <t>FULL</t>
        </is>
      </c>
      <c r="Q5" s="3" t="inlineStr">
        <is>
          <t>PARTIAL</t>
        </is>
      </c>
      <c r="R5" s="3" t="inlineStr">
        <is>
          <t>PARTIAL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["R2-ISS-031-IMG-04"]</t>
        </is>
      </c>
      <c r="Z5" s="3"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"https://cdn.shopify.com/s/files/1/0792/5098/1063/files/a5f492aee10aae43511cc5e9a46710cc38afe374b23731941e7748005cf44564.jpg?v=1785099259"]</t>
        </is>
      </c>
    </row>
    <row r="6" ht="66" customHeight="1">
      <c r="A6" s="2" t="inlineStr">
        <is>
          <t>jeminise.com+christmas-cardinals-near-snowy-birdhouse-patchwork-floral-quilt-b90d55a935-b90d55a935</t>
        </is>
      </c>
      <c r="B6" s="2" t="inlineStr">
        <is>
          <t>qaimg_fda5c81e3b5ba7de</t>
        </is>
      </c>
      <c r="C6" s="4" t="inlineStr">
        <is>
          <t>https://cdn.shopify.com/s/files/1/0792/5098/1063/files/578ac27946027e8e5ec1b6c4efdccc50d46e3d6182eed1ca0e62799fb3b416fd.jpg?v=1785099259</t>
        </is>
      </c>
      <c r="D6" s="4" t="inlineStr">
        <is>
          <t>https://cdn.shopify.com/s/files/1/0792/5098/1063/files/578ac27946027e8e5ec1b6c4efdccc50d46e3d6182eed1ca0e62799fb3b416fd.jpg?v=1785099259</t>
        </is>
      </c>
      <c r="E6" s="2" t="inlineStr">
        <is>
          <t>38506580639943</t>
        </is>
      </c>
      <c r="F6" s="2" t="inlineStr">
        <is>
          <t>47540019167431</t>
        </is>
      </c>
      <c r="G6" s="2" t="inlineStr"/>
      <c r="H6" s="2" t="inlineStr">
        <is>
          <t>GALLERY</t>
        </is>
      </c>
      <c r="I6" s="2" t="inlineStr">
        <is>
          <t>DIRECT_ORIGINAL_IMAGE</t>
        </is>
      </c>
      <c r="J6" s="2" t="inlineStr">
        <is>
          <t>2026-09-07T15:21:43.658434+07:00</t>
        </is>
      </c>
      <c r="K6" s="2" t="inlineStr">
        <is>
          <t>Premium quilt-set size chart for Throw, Twin, Full, Queen and King.</t>
        </is>
      </c>
      <c r="L6" s="2" t="inlineStr">
        <is>
          <t>Easy-care or sizing information image for the bedding set.</t>
        </is>
      </c>
      <c r="M6" s="2" t="inlineStr">
        <is>
          <t>Christmas Cardinals Near Snowy Birdhouse Patchwork Floral Quilt</t>
        </is>
      </c>
      <c r="N6" s="2" t="inlineStr">
        <is>
          <t>SET</t>
        </is>
      </c>
      <c r="O6" s="2" t="inlineStr">
        <is>
          <t>Care or size information for Christmas Cardinal Birdhouse Quilt Set</t>
        </is>
      </c>
      <c r="P6" s="2" t="inlineStr">
        <is>
          <t>FULL</t>
        </is>
      </c>
      <c r="Q6" s="2" t="inlineStr">
        <is>
          <t>PARTIAL</t>
        </is>
      </c>
      <c r="R6" s="2" t="inlineStr">
        <is>
          <t>PARTIAL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["R2-ISS-031-IMG-05"]</t>
        </is>
      </c>
      <c r="Z6" s="2"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"https://cdn.shopify.com/s/files/1/0792/5098/1063/files/578ac27946027e8e5ec1b6c4efdccc50d46e3d6182eed1ca0e62799fb3b416fd.jpg?v=1785099259"]</t>
        </is>
      </c>
    </row>
    <row r="7" ht="66" customHeight="1">
      <c r="A7" s="3" t="inlineStr">
        <is>
          <t>jeminise.com+christmas-cardinals-near-snowy-birdhouse-patchwork-floral-quilt-b90d55a935-b90d55a935</t>
        </is>
      </c>
      <c r="B7" s="3" t="inlineStr">
        <is>
          <t>qaimg_4a4a3594acd52c20</t>
        </is>
      </c>
      <c r="C7" s="4" t="inlineStr">
        <is>
          <t>https://cdn.shopify.com/s/files/1/0792/5098/1063/files/17b3827a8c3b4dbbd608b08c3534148427ac4397354f3f0fe053ed23086269e8.jpg?v=1785099259</t>
        </is>
      </c>
      <c r="D7" s="4" t="inlineStr">
        <is>
          <t>https://cdn.shopify.com/s/files/1/0792/5098/1063/files/17b3827a8c3b4dbbd608b08c3534148427ac4397354f3f0fe053ed23086269e8.jpg?v=1785099259</t>
        </is>
      </c>
      <c r="E7" s="3" t="inlineStr">
        <is>
          <t>38506580672711</t>
        </is>
      </c>
      <c r="F7" s="3" t="inlineStr">
        <is>
          <t>47540019200199</t>
        </is>
      </c>
      <c r="G7" s="3" t="inlineStr"/>
      <c r="H7" s="3" t="inlineStr">
        <is>
          <t>GALLERY</t>
        </is>
      </c>
      <c r="I7" s="3" t="inlineStr">
        <is>
          <t>DIRECT_ORIGINAL_IMAGE</t>
        </is>
      </c>
      <c r="J7" s="3" t="inlineStr">
        <is>
          <t>2026-09-07T15:21:43.658434+07:00</t>
        </is>
      </c>
      <c r="K7" s="3" t="inlineStr">
        <is>
          <t>Material-layer and bedspread-features diagram for top, filling and back layers.</t>
        </is>
      </c>
      <c r="L7" s="3" t="inlineStr">
        <is>
          <t>Size dimension image for twin, full, queen and king bedding options.</t>
        </is>
      </c>
      <c r="M7" s="3" t="inlineStr">
        <is>
          <t>Christmas Cardinals Near Snowy Birdhouse Patchwork Floral Quilt</t>
        </is>
      </c>
      <c r="N7" s="3" t="inlineStr">
        <is>
          <t>SET</t>
        </is>
      </c>
      <c r="O7" s="3" t="inlineStr">
        <is>
          <t>Size dimension guide for Christmas Cardinal Birdhouse Quilt Set</t>
        </is>
      </c>
      <c r="P7" s="3" t="inlineStr">
        <is>
          <t>FULL</t>
        </is>
      </c>
      <c r="Q7" s="3" t="inlineStr">
        <is>
          <t>FAIL</t>
        </is>
      </c>
      <c r="R7" s="3" t="inlineStr">
        <is>
          <t>FAIL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["R2-ISS-031-IMG-06"]</t>
        </is>
      </c>
      <c r="Z7" s="3"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"https://cdn.shopify.com/s/files/1/0792/5098/1063/files/17b3827a8c3b4dbbd608b08c3534148427ac4397354f3f0fe053ed23086269e8.jpg?v=1785099259"]</t>
        </is>
      </c>
    </row>
    <row r="8" ht="66" customHeight="1">
      <c r="A8" s="2" t="inlineStr">
        <is>
          <t>jeminise.com+christmas-cardinals-near-snowy-birdhouse-patchwork-floral-quilt-b90d55a935-b90d55a935</t>
        </is>
      </c>
      <c r="B8" s="2" t="inlineStr">
        <is>
          <t>qaimg_b913d31cc8bddb72</t>
        </is>
      </c>
      <c r="C8" s="4" t="inlineStr">
        <is>
          <t>https://cdn.shopify.com/s/files/1/0792/5098/1063/files/24dc7edea95f70726f65b933a6f8c4826cdc3c896050c2c5109926d64325dd21.jpg?v=1785099258</t>
        </is>
      </c>
      <c r="D8" s="4" t="inlineStr">
        <is>
          <t>https://cdn.shopify.com/s/files/1/0792/5098/1063/files/24dc7edea95f70726f65b933a6f8c4826cdc3c896050c2c5109926d64325dd21.jpg?v=1785099258</t>
        </is>
      </c>
      <c r="E8" s="2" t="inlineStr">
        <is>
          <t>38506580705479</t>
        </is>
      </c>
      <c r="F8" s="2" t="inlineStr">
        <is>
          <t>47540019232967</t>
        </is>
      </c>
      <c r="G8" s="2" t="inlineStr"/>
      <c r="H8" s="2" t="inlineStr">
        <is>
          <t>GALLERY</t>
        </is>
      </c>
      <c r="I8" s="2" t="inlineStr">
        <is>
          <t>DIRECT_ORIGINAL_IMAGE</t>
        </is>
      </c>
      <c r="J8" s="2" t="inlineStr">
        <is>
          <t>2026-09-07T15:21:43.658434+07:00</t>
        </is>
      </c>
      <c r="K8" s="2" t="inlineStr">
        <is>
          <t>Overhead bedroom mockup of the cardinal-and-birdhouse quilt.</t>
        </is>
      </c>
      <c r="L8" s="2" t="inlineStr">
        <is>
          <t>Additional bedroom mockup or product feature image showing Christmas cardinal birdhouse quilt with poinsettias.</t>
        </is>
      </c>
      <c r="M8" s="2" t="inlineStr">
        <is>
          <t>Christmas Cardinals Near Snowy Birdhouse Patchwork Floral Quilt</t>
        </is>
      </c>
      <c r="N8" s="2" t="inlineStr">
        <is>
          <t>SET</t>
        </is>
      </c>
      <c r="O8" s="2" t="inlineStr">
        <is>
          <t>Additional bedroom mockup of Christmas Cardinal Birdhouse Quilt Set</t>
        </is>
      </c>
      <c r="P8" s="2" t="inlineStr">
        <is>
          <t>FULL</t>
        </is>
      </c>
      <c r="Q8" s="2" t="inlineStr">
        <is>
          <t>FULL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t>
        </is>
      </c>
      <c r="Z8" s="2"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"https://cdn.shopify.com/s/files/1/0792/5098/1063/files/24dc7edea95f70726f65b933a6f8c4826cdc3c896050c2c5109926d64325dd21.jpg?v=1785099258"]</t>
        </is>
      </c>
    </row>
    <row r="9" ht="66" customHeight="1">
      <c r="A9" s="3" t="inlineStr">
        <is>
          <t>jeminise.com+christmas-cardinals-on-snowy-branches-patchwork-winter-quilt-8fa1a9e2ed-8fa1a9e2ed</t>
        </is>
      </c>
      <c r="B9" s="3" t="inlineStr">
        <is>
          <t>qaimg_51bd410641e698c4</t>
        </is>
      </c>
      <c r="C9" s="4" t="inlineStr">
        <is>
          <t>https://cdn.shopify.com/s/files/1/0792/5098/1063/files/dac06806abe736aaddf0257ef47ee3581ffb682f1ee70078a493eb9381b34f9f.jpg?v=1785098963</t>
        </is>
      </c>
      <c r="D9" s="4" t="inlineStr">
        <is>
          <t>https://cdn.shopify.com/s/files/1/0792/5098/1063/files/dac06806abe736aaddf0257ef47ee3581ffb682f1ee70078a493eb9381b34f9f.jpg?v=1785098963</t>
        </is>
      </c>
      <c r="E9" s="3" t="inlineStr">
        <is>
          <t>38506549313735</t>
        </is>
      </c>
      <c r="F9" s="3" t="inlineStr">
        <is>
          <t>47539987841223</t>
        </is>
      </c>
      <c r="G9" s="3" t="inlineStr"/>
      <c r="H9" s="3" t="inlineStr">
        <is>
          <t>GALLERY</t>
        </is>
      </c>
      <c r="I9" s="3" t="inlineStr">
        <is>
          <t>DIRECT_ORIGINAL_IMAGE</t>
        </is>
      </c>
      <c r="J9" s="3" t="inlineStr">
        <is>
          <t>2026-09-07T15:21:43.658434+07:00</t>
        </is>
      </c>
      <c r="K9" s="3" t="inlineStr">
        <is>
          <t>Front bedroom mockup with two red cardinals on snowy branches and poinsettias.</t>
        </is>
      </c>
      <c r="L9" s="3" t="inlineStr">
        <is>
          <t>Main bed mockup showing Christmas cardinals snowy branch quilt.</t>
        </is>
      </c>
      <c r="M9" s="3" t="inlineStr">
        <is>
          <t>Christmas Cardinals on Snowy Branches Patchwork Winter Quilt</t>
        </is>
      </c>
      <c r="N9" s="3" t="inlineStr">
        <is>
          <t>SET</t>
        </is>
      </c>
      <c r="O9" s="3" t="inlineStr">
        <is>
          <t>Christmas Cardinals on Snowy Branches Quilt displayed on a bed</t>
        </is>
      </c>
      <c r="P9" s="3" t="inlineStr">
        <is>
          <t>FULL</t>
        </is>
      </c>
      <c r="Q9" s="3" t="inlineStr">
        <is>
          <t>FULL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t>
        </is>
      </c>
      <c r="Z9" s="3"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 "https://jeminise.com/products/christmas-cardinals-on-snowy-branches-patchwork-winter-quilt-8fa1a9e2ed-8fa1a9e2ed", "https://cdn.shopify.com/s/files/1/0792/5098/1063/files/dac06806abe736aaddf0257ef47ee3581ffb682f1ee70078a493eb9381b34f9f.jpg?v=1785098963"]</t>
        </is>
      </c>
    </row>
    <row r="10" ht="66" customHeight="1">
      <c r="A10" s="2" t="inlineStr">
        <is>
          <t>jeminise.com+christmas-cardinals-on-snowy-branches-patchwork-winter-quilt-8fa1a9e2ed-8fa1a9e2ed</t>
        </is>
      </c>
      <c r="B10" s="2" t="inlineStr">
        <is>
          <t>qaimg_48f97a3347959ba9</t>
        </is>
      </c>
      <c r="C10" s="4" t="inlineStr">
        <is>
          <t>https://cdn.shopify.com/s/files/1/0792/5098/1063/files/ab7e4f9484e52e83891e552e58d6a27e151a62e654a01667625d8c86bd6a3295.jpg?v=1785098963</t>
        </is>
      </c>
      <c r="D10" s="4" t="inlineStr">
        <is>
          <t>https://cdn.shopify.com/s/files/1/0792/5098/1063/files/ab7e4f9484e52e83891e552e58d6a27e151a62e654a01667625d8c86bd6a3295.jpg?v=1785098963</t>
        </is>
      </c>
      <c r="E10" s="2" t="inlineStr">
        <is>
          <t>38506549346503</t>
        </is>
      </c>
      <c r="F10" s="2" t="inlineStr">
        <is>
          <t>47539987873991</t>
        </is>
      </c>
      <c r="G10" s="2" t="inlineStr"/>
      <c r="H10" s="2" t="inlineStr">
        <is>
          <t>GALLERY</t>
        </is>
      </c>
      <c r="I10" s="2" t="inlineStr">
        <is>
          <t>DIRECT_ORIGINAL_IMAGE</t>
        </is>
      </c>
      <c r="J10" s="2" t="inlineStr">
        <is>
          <t>2026-09-07T15:21:43.658434+07:00</t>
        </is>
      </c>
      <c r="K10" s="2" t="inlineStr">
        <is>
          <t>Close-up of a red cardinal and the quilted printed surface.</t>
        </is>
      </c>
      <c r="L10" s="2" t="inlineStr">
        <is>
          <t>Angled bedroom mockup showing Christmas cardinals snowy branch quilt.</t>
        </is>
      </c>
      <c r="M10" s="2" t="inlineStr">
        <is>
          <t>Christmas Cardinals on Snowy Branches Patchwork Winter Quilt</t>
        </is>
      </c>
      <c r="N10" s="2" t="inlineStr">
        <is>
          <t>SET</t>
        </is>
      </c>
      <c r="O10" s="2" t="inlineStr">
        <is>
          <t>Angled bedroom view of Christmas Cardinals on Snowy Branches Quilt</t>
        </is>
      </c>
      <c r="P10" s="2" t="inlineStr">
        <is>
          <t>FULL</t>
        </is>
      </c>
      <c r="Q10" s="2" t="inlineStr">
        <is>
          <t>FAIL</t>
        </is>
      </c>
      <c r="R10" s="2" t="inlineStr">
        <is>
          <t>FAIL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["R2-ISS-032-IMG-02"]</t>
        </is>
      </c>
      <c r="Z10" s="2"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 "https://jeminise.com/products/christmas-cardinals-on-snowy-branches-patchwork-winter-quilt-8fa1a9e2ed-8fa1a9e2ed", "https://cdn.shopify.com/s/files/1/0792/5098/1063/files/ab7e4f9484e52e83891e552e58d6a27e151a62e654a01667625d8c86bd6a3295.jpg?v=1785098963"]</t>
        </is>
      </c>
    </row>
    <row r="11" ht="66" customHeight="1">
      <c r="A11" s="3" t="inlineStr">
        <is>
          <t>jeminise.com+christmas-cardinals-on-snowy-branches-patchwork-winter-quilt-8fa1a9e2ed-8fa1a9e2ed</t>
        </is>
      </c>
      <c r="B11" s="3" t="inlineStr">
        <is>
          <t>qaimg_54027ac92d68353f</t>
        </is>
      </c>
      <c r="C11" s="4" t="inlineStr">
        <is>
          <t>https://cdn.shopify.com/s/files/1/0792/5098/1063/files/af11f2e375dabf355f9318fb1eea3b312db7cd0ed95fb4b96e7b537d184a9d42.jpg?v=1785098963</t>
        </is>
      </c>
      <c r="D11" s="4" t="inlineStr">
        <is>
          <t>https://cdn.shopify.com/s/files/1/0792/5098/1063/files/af11f2e375dabf355f9318fb1eea3b312db7cd0ed95fb4b96e7b537d184a9d42.jpg?v=1785098963</t>
        </is>
      </c>
      <c r="E11" s="3" t="inlineStr">
        <is>
          <t>38506549379271</t>
        </is>
      </c>
      <c r="F11" s="3" t="inlineStr">
        <is>
          <t>47539987906759</t>
        </is>
      </c>
      <c r="G11" s="3" t="inlineStr"/>
      <c r="H11" s="3" t="inlineStr">
        <is>
          <t>GALLERY</t>
        </is>
      </c>
      <c r="I11" s="3" t="inlineStr">
        <is>
          <t>DIRECT_ORIGINAL_IMAGE</t>
        </is>
      </c>
      <c r="J11" s="3" t="inlineStr">
        <is>
          <t>2026-09-07T15:21:43.658434+07:00</t>
        </is>
      </c>
      <c r="K11" s="3" t="inlineStr">
        <is>
          <t>Isolated matching pillow sham with cardinal artwork.</t>
        </is>
      </c>
      <c r="L11" s="3" t="inlineStr">
        <is>
          <t>Product type comparison or matching pillow sham/detail image for Christmas cardinals snowy branch quilt.</t>
        </is>
      </c>
      <c r="M11" s="3" t="inlineStr">
        <is>
          <t>Christmas Cardinals on Snowy Branches Patchwork Winter Quilt</t>
        </is>
      </c>
      <c r="N11" s="3" t="inlineStr">
        <is>
          <t>SET</t>
        </is>
      </c>
      <c r="O11" s="3" t="inlineStr">
        <is>
          <t>Matching sham or product info image for Christmas Cardinals on Snowy Branches Quilt</t>
        </is>
      </c>
      <c r="P11" s="3" t="inlineStr">
        <is>
          <t>FULL</t>
        </is>
      </c>
      <c r="Q11" s="3" t="inlineStr">
        <is>
          <t>PARTIAL</t>
        </is>
      </c>
      <c r="R11" s="3" t="inlineStr">
        <is>
          <t>PARTIAL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["R2-ISS-032-IMG-03"]</t>
        </is>
      </c>
      <c r="Z11" s="3"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 "https://jeminise.com/products/christmas-cardinals-on-snowy-branches-patchwork-winter-quilt-8fa1a9e2ed-8fa1a9e2ed", "https://cdn.shopify.com/s/files/1/0792/5098/1063/files/af11f2e375dabf355f9318fb1eea3b312db7cd0ed95fb4b96e7b537d184a9d42.jpg?v=1785098963"]</t>
        </is>
      </c>
    </row>
    <row r="12" ht="66" customHeight="1">
      <c r="A12" s="2" t="inlineStr">
        <is>
          <t>jeminise.com+christmas-cardinals-on-snowy-branches-patchwork-winter-quilt-8fa1a9e2ed-8fa1a9e2ed</t>
        </is>
      </c>
      <c r="B12" s="2" t="inlineStr">
        <is>
          <t>qaimg_819766fd43b5aa2c</t>
        </is>
      </c>
      <c r="C12" s="4" t="inlineStr">
        <is>
          <t>https://cdn.shopify.com/s/files/1/0792/5098/1063/files/f940efaf872da7294b0ec99795596430c32c922db66b35243684820e65417fb3.jpg?v=1785098963</t>
        </is>
      </c>
      <c r="D12" s="4" t="inlineStr">
        <is>
          <t>https://cdn.shopify.com/s/files/1/0792/5098/1063/files/f940efaf872da7294b0ec99795596430c32c922db66b35243684820e65417fb3.jpg?v=1785098963</t>
        </is>
      </c>
      <c r="E12" s="2" t="inlineStr">
        <is>
          <t>38506549412039</t>
        </is>
      </c>
      <c r="F12" s="2" t="inlineStr">
        <is>
          <t>47539987939527</t>
        </is>
      </c>
      <c r="G12" s="2" t="inlineStr"/>
      <c r="H12" s="2" t="inlineStr">
        <is>
          <t>GALLERY</t>
        </is>
      </c>
      <c r="I12" s="2" t="inlineStr">
        <is>
          <t>DIRECT_ORIGINAL_IMAGE</t>
        </is>
      </c>
      <c r="J12" s="2" t="inlineStr">
        <is>
          <t>2026-09-07T15:21:43.658434+07:00</t>
        </is>
      </c>
      <c r="K12" s="2" t="inlineStr">
        <is>
          <t>Angled bedroom mockup of the cardinal quilt.</t>
        </is>
      </c>
      <c r="L12" s="2" t="inlineStr">
        <is>
          <t>Close room/detail or fabric feature image showing Christmas cardinals snowy branch quilt.</t>
        </is>
      </c>
      <c r="M12" s="2" t="inlineStr">
        <is>
          <t>Christmas Cardinals on Snowy Branches Patchwork Winter Quilt</t>
        </is>
      </c>
      <c r="N12" s="2" t="inlineStr">
        <is>
          <t>SET</t>
        </is>
      </c>
      <c r="O12" s="2" t="inlineStr">
        <is>
          <t>Close-up detail of Christmas cardinals snowy branch quilt</t>
        </is>
      </c>
      <c r="P12" s="2" t="inlineStr">
        <is>
          <t>FULL</t>
        </is>
      </c>
      <c r="Q12" s="2" t="inlineStr">
        <is>
          <t>FAIL</t>
        </is>
      </c>
      <c r="R12" s="2" t="inlineStr">
        <is>
          <t>FAIL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["R2-ISS-032-IMG-04"]</t>
        </is>
      </c>
      <c r="Z12" s="2"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 "https://jeminise.com/products/christmas-cardinals-on-snowy-branches-patchwork-winter-quilt-8fa1a9e2ed-8fa1a9e2ed", "https://cdn.shopify.com/s/files/1/0792/5098/1063/files/f940efaf872da7294b0ec99795596430c32c922db66b35243684820e65417fb3.jpg?v=1785098963"]</t>
        </is>
      </c>
    </row>
    <row r="13" ht="66" customHeight="1">
      <c r="A13" s="3" t="inlineStr">
        <is>
          <t>jeminise.com+christmas-cardinals-on-snowy-branches-patchwork-winter-quilt-8fa1a9e2ed-8fa1a9e2ed</t>
        </is>
      </c>
      <c r="B13" s="3" t="inlineStr">
        <is>
          <t>qaimg_862b54dc20308856</t>
        </is>
      </c>
      <c r="C13" s="4" t="inlineStr">
        <is>
          <t>https://cdn.shopify.com/s/files/1/0792/5098/1063/files/e0cc67382e14f285ae5b93b57a9e0bfb1a6da6368549d710aed5a534af0f3e89.jpg?v=1785098963</t>
        </is>
      </c>
      <c r="D13" s="4" t="inlineStr">
        <is>
          <t>https://cdn.shopify.com/s/files/1/0792/5098/1063/files/e0cc67382e14f285ae5b93b57a9e0bfb1a6da6368549d710aed5a534af0f3e89.jpg?v=1785098963</t>
        </is>
      </c>
      <c r="E13" s="3" t="inlineStr">
        <is>
          <t>38506549444807</t>
        </is>
      </c>
      <c r="F13" s="3" t="inlineStr">
        <is>
          <t>47539987972295</t>
        </is>
      </c>
      <c r="G13" s="3" t="inlineStr"/>
      <c r="H13" s="3" t="inlineStr">
        <is>
          <t>GALLERY</t>
        </is>
      </c>
      <c r="I13" s="3" t="inlineStr">
        <is>
          <t>DIRECT_ORIGINAL_IMAGE</t>
        </is>
      </c>
      <c r="J13" s="3" t="inlineStr">
        <is>
          <t>2026-09-07T15:21:43.658434+07:00</t>
        </is>
      </c>
      <c r="K13" s="3" t="inlineStr">
        <is>
          <t>Included-components and size overlay for quilt and optional shams.</t>
        </is>
      </c>
      <c r="L13" s="3" t="inlineStr">
        <is>
          <t>Easy-care or sizing information image for the bedding set.</t>
        </is>
      </c>
      <c r="M13" s="3" t="inlineStr">
        <is>
          <t>Christmas Cardinals on Snowy Branches Patchwork Winter Quilt</t>
        </is>
      </c>
      <c r="N13" s="3" t="inlineStr">
        <is>
          <t>SET</t>
        </is>
      </c>
      <c r="O13" s="3" t="inlineStr">
        <is>
          <t>Care or size information for Christmas Cardinals on Snowy Branches Quilt</t>
        </is>
      </c>
      <c r="P13" s="3" t="inlineStr">
        <is>
          <t>FULL</t>
        </is>
      </c>
      <c r="Q13" s="3" t="inlineStr">
        <is>
          <t>PARTIAL</t>
        </is>
      </c>
      <c r="R13" s="3" t="inlineStr">
        <is>
          <t>PARTIAL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["R2-ISS-032-IMG-05"]</t>
        </is>
      </c>
      <c r="Z13" s="3"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 "https://jeminise.com/products/christmas-cardinals-on-snowy-branches-patchwork-winter-quilt-8fa1a9e2ed-8fa1a9e2ed", "https://cdn.shopify.com/s/files/1/0792/5098/1063/files/e0cc67382e14f285ae5b93b57a9e0bfb1a6da6368549d710aed5a534af0f3e89.jpg?v=1785098963"]</t>
        </is>
      </c>
    </row>
    <row r="14" ht="66" customHeight="1">
      <c r="A14" s="2" t="inlineStr">
        <is>
          <t>jeminise.com+cow-with-landscape-patchwork-quilt-animal-farmhouse-printed-quilt-set</t>
        </is>
      </c>
      <c r="B14" s="2" t="inlineStr">
        <is>
          <t>qaimg_f92e2c13b2543b18</t>
        </is>
      </c>
      <c r="C14" s="4" t="inlineStr">
        <is>
          <t>https://cdn.shopify.com/s/files/1/0792/5098/1063/files/c125a162b81ac7a0917f20a9f0ef6de99ea1d1287c4b81750b47673eae384743.jpg?v=1787233735</t>
        </is>
      </c>
      <c r="D14" s="4" t="inlineStr">
        <is>
          <t>https://cdn.shopify.com/s/files/1/0792/5098/1063/files/c125a162b81ac7a0917f20a9f0ef6de99ea1d1287c4b81750b47673eae384743.jpg?v=1787233735</t>
        </is>
      </c>
      <c r="E14" s="2" t="inlineStr">
        <is>
          <t>38894709899463</t>
        </is>
      </c>
      <c r="F14" s="2" t="inlineStr">
        <is>
          <t>47933468082375</t>
        </is>
      </c>
      <c r="G14" s="2" t="inlineStr"/>
      <c r="H14" s="2" t="inlineStr">
        <is>
          <t>GALLERY</t>
        </is>
      </c>
      <c r="I14" s="2" t="inlineStr">
        <is>
          <t>DIRECT_ORIGINAL_IMAGE</t>
        </is>
      </c>
      <c r="J14" s="2" t="inlineStr">
        <is>
          <t>2026-09-07T15:21:43.658434+07:00</t>
        </is>
      </c>
      <c r="K14" s="2" t="inlineStr">
        <is>
          <t>Front bedroom mockup of a cow-and-sunflower landscape quilt.</t>
        </is>
      </c>
      <c r="L14" s="2" t="inlineStr">
        <is>
          <t>Main bed mockup showing cow and sunflower farmhouse quilt.</t>
        </is>
      </c>
      <c r="M14" s="2" t="inlineStr">
        <is>
          <t>Cow with Landscape Patchwork Quilt, Animal Farmhouse Printed Quilt Set Bedding Set, Premium Patchwork Pattern Quilts Bedspread, Bedding Set with Cow Lover Gift</t>
        </is>
      </c>
      <c r="N14" s="2" t="inlineStr">
        <is>
          <t>SET</t>
        </is>
      </c>
      <c r="O14" s="2" t="inlineStr">
        <is>
          <t>Cow and Sunflower Farmhouse Quilt Set displayed on a bed</t>
        </is>
      </c>
      <c r="P14" s="2" t="inlineStr">
        <is>
          <t>FULL</t>
        </is>
      </c>
      <c r="Q14" s="2" t="inlineStr">
        <is>
          <t>FULL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t>
        </is>
      </c>
      <c r="Z14" s="2" t="inlineStr">
        <is>
          <t>["seo_runs\\jeminise.com\\20260906_234129\\evidence\\images\\33_cow-with-landscape-patchwork-quilt-animal-farmhouse-printed-quilt-set\\image_01_47933468082375.jpg; seo_runs\\jeminise.com\\20260906_234129\\evidence\\contact_sheets\\33_cow-with-landscape-patchwork-quilt-animal-farmhouse-printed-quilt-set.jpg", "https://jeminise.com/products/cow-with-landscape-patchwork-quilt-animal-farmhouse-printed-quilt-set", "https://cdn.shopify.com/s/files/1/0792/5098/1063/files/c125a162b81ac7a0917f20a9f0ef6de99ea1d1287c4b81750b47673eae384743.jpg?v=1787233735"]</t>
        </is>
      </c>
    </row>
    <row r="15" ht="66" customHeight="1">
      <c r="A15" s="3" t="inlineStr">
        <is>
          <t>jeminise.com+cow-with-landscape-patchwork-quilt-animal-farmhouse-printed-quilt-set</t>
        </is>
      </c>
      <c r="B15" s="3" t="inlineStr">
        <is>
          <t>qaimg_8dce0084092da7e6</t>
        </is>
      </c>
      <c r="C15" s="4" t="inlineStr">
        <is>
          <t>https://cdn.shopify.com/s/files/1/0792/5098/1063/files/7a88284bac324abbd9e85d02486e08e699c97d58643e1069e6adbbc0aaa005b3.jpg?v=1787233735</t>
        </is>
      </c>
      <c r="D15" s="4" t="inlineStr">
        <is>
          <t>https://cdn.shopify.com/s/files/1/0792/5098/1063/files/7a88284bac324abbd9e85d02486e08e699c97d58643e1069e6adbbc0aaa005b3.jpg?v=1787233735</t>
        </is>
      </c>
      <c r="E15" s="3" t="inlineStr">
        <is>
          <t>38894709932231</t>
        </is>
      </c>
      <c r="F15" s="3" t="inlineStr">
        <is>
          <t>47933468115143</t>
        </is>
      </c>
      <c r="G15" s="3" t="inlineStr"/>
      <c r="H15" s="3" t="inlineStr">
        <is>
          <t>GALLERY</t>
        </is>
      </c>
      <c r="I15" s="3" t="inlineStr">
        <is>
          <t>DIRECT_ORIGINAL_IMAGE</t>
        </is>
      </c>
      <c r="J15" s="3" t="inlineStr">
        <is>
          <t>2026-09-07T15:21:43.658434+07:00</t>
        </is>
      </c>
      <c r="K15" s="3" t="inlineStr">
        <is>
          <t>Angled bedroom mockup of the cow-and-sunflower quilt.</t>
        </is>
      </c>
      <c r="L15" s="3" t="inlineStr">
        <is>
          <t>Angled bedroom mockup showing cow and sunflower farmhouse quilt.</t>
        </is>
      </c>
      <c r="M15" s="3" t="inlineStr">
        <is>
          <t>Cow with Landscape Patchwork Quilt, Animal Farmhouse Printed Quilt Set Bedding Set, Premium Patchwork Pattern Quilts Bedspread, Bedding Set with Cow Lover Gift</t>
        </is>
      </c>
      <c r="N15" s="3" t="inlineStr">
        <is>
          <t>SET</t>
        </is>
      </c>
      <c r="O15" s="3" t="inlineStr">
        <is>
          <t>Angled bedroom view of Cow and Sunflower Farmhouse Quilt Set</t>
        </is>
      </c>
      <c r="P15" s="3" t="inlineStr">
        <is>
          <t>FULL</t>
        </is>
      </c>
      <c r="Q15" s="3" t="inlineStr">
        <is>
          <t>FULL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t>
        </is>
      </c>
      <c r="Z15" s="3" t="inlineStr">
        <is>
          <t>["seo_runs\\jeminise.com\\20260906_234129\\evidence\\images\\33_cow-with-landscape-patchwork-quilt-animal-farmhouse-printed-quilt-set\\image_02_47933468115143.jpg; seo_runs\\jeminise.com\\20260906_234129\\evidence\\contact_sheets\\33_cow-with-landscape-patchwork-quilt-animal-farmhouse-printed-quilt-set.jpg", "https://jeminise.com/products/cow-with-landscape-patchwork-quilt-animal-farmhouse-printed-quilt-set", "https://cdn.shopify.com/s/files/1/0792/5098/1063/files/7a88284bac324abbd9e85d02486e08e699c97d58643e1069e6adbbc0aaa005b3.jpg?v=1787233735"]</t>
        </is>
      </c>
    </row>
    <row r="16" ht="66" customHeight="1">
      <c r="A16" s="2" t="inlineStr">
        <is>
          <t>jeminise.com+cow-with-landscape-patchwork-quilt-animal-farmhouse-printed-quilt-set</t>
        </is>
      </c>
      <c r="B16" s="2" t="inlineStr">
        <is>
          <t>qaimg_85c7344673d47a19</t>
        </is>
      </c>
      <c r="C16" s="4" t="inlineStr">
        <is>
          <t>https://cdn.shopify.com/s/files/1/0792/5098/1063/files/f32a0ab9ff68ed03ce7eeb22aba59688cf62bd847260ddb6328da301eba420f1.jpg?v=1787233735</t>
        </is>
      </c>
      <c r="D16" s="4" t="inlineStr">
        <is>
          <t>https://cdn.shopify.com/s/files/1/0792/5098/1063/files/f32a0ab9ff68ed03ce7eeb22aba59688cf62bd847260ddb6328da301eba420f1.jpg?v=1787233735</t>
        </is>
      </c>
      <c r="E16" s="2" t="inlineStr">
        <is>
          <t>38894709964999</t>
        </is>
      </c>
      <c r="F16" s="2" t="inlineStr">
        <is>
          <t>47933468147911</t>
        </is>
      </c>
      <c r="G16" s="2" t="inlineStr"/>
      <c r="H16" s="2" t="inlineStr">
        <is>
          <t>GALLERY</t>
        </is>
      </c>
      <c r="I16" s="2" t="inlineStr">
        <is>
          <t>DIRECT_ORIGINAL_IMAGE</t>
        </is>
      </c>
      <c r="J16" s="2" t="inlineStr">
        <is>
          <t>2026-09-07T15:21:43.658434+07:00</t>
        </is>
      </c>
      <c r="K16" s="2" t="inlineStr">
        <is>
          <t>Matching shams and product-feature callouts.</t>
        </is>
      </c>
      <c r="L16" s="2" t="inlineStr">
        <is>
          <t>Product type comparison or matching pillow sham/detail image for cow and sunflower farmhouse quilt.</t>
        </is>
      </c>
      <c r="M16" s="2" t="inlineStr">
        <is>
          <t>Cow with Landscape Patchwork Quilt, Animal Farmhouse Printed Quilt Set Bedding Set, Premium Patchwork Pattern Quilts Bedspread, Bedding Set with Cow Lover Gift</t>
        </is>
      </c>
      <c r="N16" s="2" t="inlineStr">
        <is>
          <t>SET</t>
        </is>
      </c>
      <c r="O16" s="2" t="inlineStr">
        <is>
          <t>Matching sham or product info image for Cow and Sunflower Farmhouse Quilt Set</t>
        </is>
      </c>
      <c r="P16" s="2" t="inlineStr">
        <is>
          <t>FULL</t>
        </is>
      </c>
      <c r="Q16" s="2" t="inlineStr">
        <is>
          <t>PARTIAL</t>
        </is>
      </c>
      <c r="R16" s="2" t="inlineStr">
        <is>
          <t>PARTIAL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["R2-ISS-033-IMG-03"]</t>
        </is>
      </c>
      <c r="Z16" s="2" t="inlineStr">
        <is>
          <t>["seo_runs\\jeminise.com\\20260906_234129\\evidence\\images\\33_cow-with-landscape-patchwork-quilt-animal-farmhouse-printed-quilt-set\\image_03_47933468147911.jpg; seo_runs\\jeminise.com\\20260906_234129\\evidence\\contact_sheets\\33_cow-with-landscape-patchwork-quilt-animal-farmhouse-printed-quilt-set.jpg", "https://jeminise.com/products/cow-with-landscape-patchwork-quilt-animal-farmhouse-printed-quilt-set", "https://cdn.shopify.com/s/files/1/0792/5098/1063/files/f32a0ab9ff68ed03ce7eeb22aba59688cf62bd847260ddb6328da301eba420f1.jpg?v=1787233735"]</t>
        </is>
      </c>
    </row>
    <row r="17" ht="66" customHeight="1">
      <c r="A17" s="3" t="inlineStr">
        <is>
          <t>jeminise.com+cow-with-landscape-patchwork-quilt-animal-farmhouse-printed-quilt-set</t>
        </is>
      </c>
      <c r="B17" s="3" t="inlineStr">
        <is>
          <t>qaimg_9855230629ffd67a</t>
        </is>
      </c>
      <c r="C17" s="4" t="inlineStr">
        <is>
          <t>https://cdn.shopify.com/s/files/1/0792/5098/1063/files/1bbca18f85bad17a4319e22b1226d6662eb2bab7b67726b2423904e5d0e36838.jpg?v=1787233735</t>
        </is>
      </c>
      <c r="D17" s="4" t="inlineStr">
        <is>
          <t>https://cdn.shopify.com/s/files/1/0792/5098/1063/files/1bbca18f85bad17a4319e22b1226d6662eb2bab7b67726b2423904e5d0e36838.jpg?v=1787233735</t>
        </is>
      </c>
      <c r="E17" s="3" t="inlineStr">
        <is>
          <t>38894709997767</t>
        </is>
      </c>
      <c r="F17" s="3" t="inlineStr">
        <is>
          <t>47933468180679</t>
        </is>
      </c>
      <c r="G17" s="3" t="inlineStr"/>
      <c r="H17" s="3" t="inlineStr">
        <is>
          <t>GALLERY</t>
        </is>
      </c>
      <c r="I17" s="3" t="inlineStr">
        <is>
          <t>DIRECT_ORIGINAL_IMAGE</t>
        </is>
      </c>
      <c r="J17" s="3" t="inlineStr">
        <is>
          <t>2026-09-07T15:21:43.658434+07:00</t>
        </is>
      </c>
      <c r="K17" s="3" t="inlineStr">
        <is>
          <t>Fabric-feature panel for the printed quilt.</t>
        </is>
      </c>
      <c r="L17" s="3" t="inlineStr">
        <is>
          <t>Close room/detail or fabric feature image showing cow and sunflower farmhouse quilt.</t>
        </is>
      </c>
      <c r="M17" s="3" t="inlineStr">
        <is>
          <t>Cow with Landscape Patchwork Quilt, Animal Farmhouse Printed Quilt Set Bedding Set, Premium Patchwork Pattern Quilts Bedspread, Bedding Set with Cow Lover Gift</t>
        </is>
      </c>
      <c r="N17" s="3" t="inlineStr">
        <is>
          <t>SET</t>
        </is>
      </c>
      <c r="O17" s="3" t="inlineStr">
        <is>
          <t>Close-up detail of cow and sunflower farmhouse quilt</t>
        </is>
      </c>
      <c r="P17" s="3" t="inlineStr">
        <is>
          <t>FULL</t>
        </is>
      </c>
      <c r="Q17" s="3" t="inlineStr">
        <is>
          <t>PARTIAL</t>
        </is>
      </c>
      <c r="R17" s="3" t="inlineStr">
        <is>
          <t>PARTIAL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["R2-ISS-033-IMG-04"]</t>
        </is>
      </c>
      <c r="Z17" s="3" t="inlineStr">
        <is>
          <t>["seo_runs\\jeminise.com\\20260906_234129\\evidence\\images\\33_cow-with-landscape-patchwork-quilt-animal-farmhouse-printed-quilt-set\\image_04_47933468180679.jpg; seo_runs\\jeminise.com\\20260906_234129\\evidence\\contact_sheets\\33_cow-with-landscape-patchwork-quilt-animal-farmhouse-printed-quilt-set.jpg", "https://jeminise.com/products/cow-with-landscape-patchwork-quilt-animal-farmhouse-printed-quilt-set", "https://cdn.shopify.com/s/files/1/0792/5098/1063/files/1bbca18f85bad17a4319e22b1226d6662eb2bab7b67726b2423904e5d0e36838.jpg?v=1787233735"]</t>
        </is>
      </c>
    </row>
    <row r="18" ht="66" customHeight="1">
      <c r="A18" s="2" t="inlineStr">
        <is>
          <t>jeminise.com+cow-with-landscape-patchwork-quilt-animal-farmhouse-printed-quilt-set</t>
        </is>
      </c>
      <c r="B18" s="2" t="inlineStr">
        <is>
          <t>qaimg_d89aaedc5fe19b95</t>
        </is>
      </c>
      <c r="C18" s="4" t="inlineStr">
        <is>
          <t>https://cdn.shopify.com/s/files/1/0792/5098/1063/files/32dcd15df2916d5b1b8d8d68f2f607c4714e8c2431775c9aca2dfd45240abd6f.jpg?v=1787233735</t>
        </is>
      </c>
      <c r="D18" s="4" t="inlineStr">
        <is>
          <t>https://cdn.shopify.com/s/files/1/0792/5098/1063/files/32dcd15df2916d5b1b8d8d68f2f607c4714e8c2431775c9aca2dfd45240abd6f.jpg?v=1787233735</t>
        </is>
      </c>
      <c r="E18" s="2" t="inlineStr">
        <is>
          <t>38894710030535</t>
        </is>
      </c>
      <c r="F18" s="2" t="inlineStr">
        <is>
          <t>47933468213447</t>
        </is>
      </c>
      <c r="G18" s="2" t="inlineStr"/>
      <c r="H18" s="2" t="inlineStr">
        <is>
          <t>GALLERY</t>
        </is>
      </c>
      <c r="I18" s="2" t="inlineStr">
        <is>
          <t>DIRECT_ORIGINAL_IMAGE</t>
        </is>
      </c>
      <c r="J18" s="2" t="inlineStr">
        <is>
          <t>2026-09-07T15:21:43.658434+07:00</t>
        </is>
      </c>
      <c r="K18" s="2" t="inlineStr">
        <is>
          <t>Premium quilt-set size chart.</t>
        </is>
      </c>
      <c r="L18" s="2" t="inlineStr">
        <is>
          <t>Easy-care or sizing information image for the bedding set.</t>
        </is>
      </c>
      <c r="M18" s="2" t="inlineStr">
        <is>
          <t>Cow with Landscape Patchwork Quilt, Animal Farmhouse Printed Quilt Set Bedding Set, Premium Patchwork Pattern Quilts Bedspread, Bedding Set with Cow Lover Gift</t>
        </is>
      </c>
      <c r="N18" s="2" t="inlineStr">
        <is>
          <t>SET</t>
        </is>
      </c>
      <c r="O18" s="2" t="inlineStr">
        <is>
          <t>Care or size information for Cow and Sunflower Farmhouse Quilt Set</t>
        </is>
      </c>
      <c r="P18" s="2" t="inlineStr">
        <is>
          <t>FULL</t>
        </is>
      </c>
      <c r="Q18" s="2" t="inlineStr">
        <is>
          <t>PARTIAL</t>
        </is>
      </c>
      <c r="R18" s="2" t="inlineStr">
        <is>
          <t>PARTIAL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["R2-ISS-033-IMG-05"]</t>
        </is>
      </c>
      <c r="Z18" s="2" t="inlineStr">
        <is>
          <t>["seo_runs\\jeminise.com\\20260906_234129\\evidence\\images\\33_cow-with-landscape-patchwork-quilt-animal-farmhouse-printed-quilt-set\\image_05_47933468213447.jpg; seo_runs\\jeminise.com\\20260906_234129\\evidence\\contact_sheets\\33_cow-with-landscape-patchwork-quilt-animal-farmhouse-printed-quilt-set.jpg", "https://jeminise.com/products/cow-with-landscape-patchwork-quilt-animal-farmhouse-printed-quilt-set", "https://cdn.shopify.com/s/files/1/0792/5098/1063/files/32dcd15df2916d5b1b8d8d68f2f607c4714e8c2431775c9aca2dfd45240abd6f.jpg?v=1787233735"]</t>
        </is>
      </c>
    </row>
    <row r="19" ht="66" customHeight="1">
      <c r="A19" s="3" t="inlineStr">
        <is>
          <t>jeminise.com+cow-with-landscape-patchwork-quilt-animal-farmhouse-printed-quilt-set</t>
        </is>
      </c>
      <c r="B19" s="3" t="inlineStr">
        <is>
          <t>qaimg_401d386d66bc64b7</t>
        </is>
      </c>
      <c r="C19" s="4" t="inlineStr">
        <is>
          <t>https://cdn.shopify.com/s/files/1/0792/5098/1063/files/dc70b03e88939e50ced310aa559c8361dac40ba03af7d4e5a16ecc0308756e3b.jpg?v=1787233735</t>
        </is>
      </c>
      <c r="D19" s="4" t="inlineStr">
        <is>
          <t>https://cdn.shopify.com/s/files/1/0792/5098/1063/files/dc70b03e88939e50ced310aa559c8361dac40ba03af7d4e5a16ecc0308756e3b.jpg?v=1787233735</t>
        </is>
      </c>
      <c r="E19" s="3" t="inlineStr">
        <is>
          <t>38894710063303</t>
        </is>
      </c>
      <c r="F19" s="3" t="inlineStr">
        <is>
          <t>47933468246215</t>
        </is>
      </c>
      <c r="G19" s="3" t="inlineStr"/>
      <c r="H19" s="3" t="inlineStr">
        <is>
          <t>GALLERY</t>
        </is>
      </c>
      <c r="I19" s="3" t="inlineStr">
        <is>
          <t>DIRECT_ORIGINAL_IMAGE</t>
        </is>
      </c>
      <c r="J19" s="3" t="inlineStr">
        <is>
          <t>2026-09-07T15:21:43.658434+07:00</t>
        </is>
      </c>
      <c r="K19" s="3" t="inlineStr">
        <is>
          <t>Material-layer and bedspread-features diagram.</t>
        </is>
      </c>
      <c r="L19" s="3" t="inlineStr">
        <is>
          <t>Size dimension image for twin, full, queen and king bedding options.</t>
        </is>
      </c>
      <c r="M19" s="3" t="inlineStr">
        <is>
          <t>Cow with Landscape Patchwork Quilt, Animal Farmhouse Printed Quilt Set Bedding Set, Premium Patchwork Pattern Quilts Bedspread, Bedding Set with Cow Lover Gift</t>
        </is>
      </c>
      <c r="N19" s="3" t="inlineStr">
        <is>
          <t>SET</t>
        </is>
      </c>
      <c r="O19" s="3" t="inlineStr">
        <is>
          <t>Size dimension guide for Cow and Sunflower Farmhouse Quilt Set</t>
        </is>
      </c>
      <c r="P19" s="3" t="inlineStr">
        <is>
          <t>FULL</t>
        </is>
      </c>
      <c r="Q19" s="3" t="inlineStr">
        <is>
          <t>FAIL</t>
        </is>
      </c>
      <c r="R19" s="3" t="inlineStr">
        <is>
          <t>FAIL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["R2-ISS-033-IMG-06"]</t>
        </is>
      </c>
      <c r="Z19" s="3" t="inlineStr">
        <is>
          <t>["seo_runs\\jeminise.com\\20260906_234129\\evidence\\images\\33_cow-with-landscape-patchwork-quilt-animal-farmhouse-printed-quilt-set\\image_06_47933468246215.jpg; seo_runs\\jeminise.com\\20260906_234129\\evidence\\contact_sheets\\33_cow-with-landscape-patchwork-quilt-animal-farmhouse-printed-quilt-set.jpg", "https://jeminise.com/products/cow-with-landscape-patchwork-quilt-animal-farmhouse-printed-quilt-set", "https://cdn.shopify.com/s/files/1/0792/5098/1063/files/dc70b03e88939e50ced310aa559c8361dac40ba03af7d4e5a16ecc0308756e3b.jpg?v=1787233735"]</t>
        </is>
      </c>
    </row>
    <row r="20" ht="66" customHeight="1">
      <c r="A20" s="2" t="inlineStr">
        <is>
          <t>jeminise.com+cow-with-landscape-patchwork-quilt-animal-farmhouse-printed-quilt-set</t>
        </is>
      </c>
      <c r="B20" s="2" t="inlineStr">
        <is>
          <t>qaimg_52a1c175796aecee</t>
        </is>
      </c>
      <c r="C20" s="4" t="inlineStr">
        <is>
          <t>https://cdn.shopify.com/s/files/1/0792/5098/1063/files/c37475656bf98ea019e9e9887fa4be4c65af24e59e440b0e459561c573680aa0.jpg?v=1787233735</t>
        </is>
      </c>
      <c r="D20" s="4" t="inlineStr">
        <is>
          <t>https://cdn.shopify.com/s/files/1/0792/5098/1063/files/c37475656bf98ea019e9e9887fa4be4c65af24e59e440b0e459561c573680aa0.jpg?v=1787233735</t>
        </is>
      </c>
      <c r="E20" s="2" t="inlineStr">
        <is>
          <t>38894710096071</t>
        </is>
      </c>
      <c r="F20" s="2" t="inlineStr">
        <is>
          <t>47933468278983</t>
        </is>
      </c>
      <c r="G20" s="2" t="inlineStr"/>
      <c r="H20" s="2" t="inlineStr">
        <is>
          <t>GALLERY</t>
        </is>
      </c>
      <c r="I20" s="2" t="inlineStr">
        <is>
          <t>DIRECT_ORIGINAL_IMAGE</t>
        </is>
      </c>
      <c r="J20" s="2" t="inlineStr">
        <is>
          <t>2026-09-07T15:21:43.658434+07:00</t>
        </is>
      </c>
      <c r="K20" s="2" t="inlineStr">
        <is>
          <t>Overhead bedroom mockup of the cow-and-sunflower quilt.</t>
        </is>
      </c>
      <c r="L20" s="2" t="inlineStr">
        <is>
          <t>Additional bedroom mockup or product feature image showing cow and sunflower farmhouse quilt.</t>
        </is>
      </c>
      <c r="M20" s="2" t="inlineStr">
        <is>
          <t>Cow with Landscape Patchwork Quilt, Animal Farmhouse Printed Quilt Set Bedding Set, Premium Patchwork Pattern Quilts Bedspread, Bedding Set with Cow Lover Gift</t>
        </is>
      </c>
      <c r="N20" s="2" t="inlineStr">
        <is>
          <t>SET</t>
        </is>
      </c>
      <c r="O20" s="2" t="inlineStr">
        <is>
          <t>Additional bedroom mockup of Cow and Sunflower Farmhouse Quilt Set</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t>
        </is>
      </c>
      <c r="Z20" s="2" t="inlineStr">
        <is>
          <t>["seo_runs\\jeminise.com\\20260906_234129\\evidence\\images\\33_cow-with-landscape-patchwork-quilt-animal-farmhouse-printed-quilt-set\\image_07_47933468278983.jpg; seo_runs\\jeminise.com\\20260906_234129\\evidence\\contact_sheets\\33_cow-with-landscape-patchwork-quilt-animal-farmhouse-printed-quilt-set.jpg", "https://jeminise.com/products/cow-with-landscape-patchwork-quilt-animal-farmhouse-printed-quilt-set", "https://cdn.shopify.com/s/files/1/0792/5098/1063/files/c37475656bf98ea019e9e9887fa4be4c65af24e59e440b0e459561c573680aa0.jpg?v=1787233735"]</t>
        </is>
      </c>
    </row>
    <row r="21" ht="66" customHeight="1">
      <c r="A21" s="3" t="inlineStr">
        <is>
          <t>jeminise.com+crocodile-patchwork-printed-quilts-animal-patchwork-bedding</t>
        </is>
      </c>
      <c r="B21" s="3" t="inlineStr">
        <is>
          <t>qaimg_b81e16c8c13a96dc</t>
        </is>
      </c>
      <c r="C21" s="4" t="inlineStr">
        <is>
          <t>https://cdn.shopify.com/s/files/1/0792/5098/1063/files/3c7bf8f759fde9a601188dc9ea3bfb0f79f2706824b7f370fe34e30020f2a202.jpg?v=1787233713</t>
        </is>
      </c>
      <c r="D21" s="4" t="inlineStr">
        <is>
          <t>https://cdn.shopify.com/s/files/1/0792/5098/1063/files/3c7bf8f759fde9a601188dc9ea3bfb0f79f2706824b7f370fe34e30020f2a202.jpg?v=1787233713</t>
        </is>
      </c>
      <c r="E21" s="3" t="inlineStr">
        <is>
          <t>38894707278023</t>
        </is>
      </c>
      <c r="F21" s="3" t="inlineStr">
        <is>
          <t>47933465428167</t>
        </is>
      </c>
      <c r="G21" s="3" t="inlineStr"/>
      <c r="H21" s="3" t="inlineStr">
        <is>
          <t>GALLERY</t>
        </is>
      </c>
      <c r="I21" s="3" t="inlineStr">
        <is>
          <t>DIRECT_ORIGINAL_IMAGE</t>
        </is>
      </c>
      <c r="J21" s="3" t="inlineStr">
        <is>
          <t>2026-09-07T15:21:43.658434+07:00</t>
        </is>
      </c>
      <c r="K21" s="3" t="inlineStr">
        <is>
          <t>Front bedroom mockup of a colorful cartoon crocodile patchwork quilt.</t>
        </is>
      </c>
      <c r="L21" s="3" t="inlineStr">
        <is>
          <t>Main bed mockup showing crocodile patchwork animal quilt.</t>
        </is>
      </c>
      <c r="M21" s="3" t="inlineStr">
        <is>
          <t>Crocodile Patchwork Printed Quilts, Animal Patchwork Bedding - Crocodile Quilt Bedset Style, Premium Quilts Bedspread, Animals Bedding Blanket Gift</t>
        </is>
      </c>
      <c r="N21" s="3" t="inlineStr">
        <is>
          <t>SET</t>
        </is>
      </c>
      <c r="O21" s="3" t="inlineStr">
        <is>
          <t>Crocodile Patchwork Animal Quilt Set displayed on a bed</t>
        </is>
      </c>
      <c r="P21" s="3" t="inlineStr">
        <is>
          <t>FULL</t>
        </is>
      </c>
      <c r="Q21" s="3" t="inlineStr">
        <is>
          <t>FULL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t>
        </is>
      </c>
      <c r="Z21" s="3" t="inlineStr">
        <is>
          <t>["seo_runs\\jeminise.com\\20260906_234129\\evidence\\images\\34_crocodile-patchwork-printed-quilts-animal-patchwork-bedding\\image_01_47933465428167.jpg; seo_runs\\jeminise.com\\20260906_234129\\evidence\\contact_sheets\\34_crocodile-patchwork-printed-quilts-animal-patchwork-bedding.jpg", "https://jeminise.com/products/crocodile-patchwork-printed-quilts-animal-patchwork-bedding", "https://cdn.shopify.com/s/files/1/0792/5098/1063/files/3c7bf8f759fde9a601188dc9ea3bfb0f79f2706824b7f370fe34e30020f2a202.jpg?v=1787233713"]</t>
        </is>
      </c>
    </row>
    <row r="22" ht="66" customHeight="1">
      <c r="A22" s="2" t="inlineStr">
        <is>
          <t>jeminise.com+crocodile-patchwork-printed-quilts-animal-patchwork-bedding</t>
        </is>
      </c>
      <c r="B22" s="2" t="inlineStr">
        <is>
          <t>qaimg_cf9cff51e91374cb</t>
        </is>
      </c>
      <c r="C22" s="4" t="inlineStr">
        <is>
          <t>https://cdn.shopify.com/s/files/1/0792/5098/1063/files/45d1fdc812fc32fda9640edc194f4f3eb069b49c9bad423b59abfe172e4a5c89.jpg?v=1787233712</t>
        </is>
      </c>
      <c r="D22" s="4" t="inlineStr">
        <is>
          <t>https://cdn.shopify.com/s/files/1/0792/5098/1063/files/45d1fdc812fc32fda9640edc194f4f3eb069b49c9bad423b59abfe172e4a5c89.jpg?v=1787233712</t>
        </is>
      </c>
      <c r="E22" s="2" t="inlineStr">
        <is>
          <t>38894707310791</t>
        </is>
      </c>
      <c r="F22" s="2" t="inlineStr">
        <is>
          <t>47933465460935</t>
        </is>
      </c>
      <c r="G22" s="2" t="inlineStr"/>
      <c r="H22" s="2" t="inlineStr">
        <is>
          <t>GALLERY</t>
        </is>
      </c>
      <c r="I22" s="2" t="inlineStr">
        <is>
          <t>DIRECT_ORIGINAL_IMAGE</t>
        </is>
      </c>
      <c r="J22" s="2" t="inlineStr">
        <is>
          <t>2026-09-07T15:21:43.658434+07:00</t>
        </is>
      </c>
      <c r="K22" s="2" t="inlineStr">
        <is>
          <t>Angled bedroom mockup of the crocodile patchwork quilt.</t>
        </is>
      </c>
      <c r="L22" s="2" t="inlineStr">
        <is>
          <t>Angled bedroom mockup showing crocodile patchwork animal quilt.</t>
        </is>
      </c>
      <c r="M22" s="2" t="inlineStr">
        <is>
          <t>Crocodile Patchwork Printed Quilts, Animal Patchwork Bedding - Crocodile Quilt Bedset Style, Premium Quilts Bedspread, Animals Bedding Blanket Gift</t>
        </is>
      </c>
      <c r="N22" s="2" t="inlineStr">
        <is>
          <t>SET</t>
        </is>
      </c>
      <c r="O22" s="2" t="inlineStr">
        <is>
          <t>Angled bedroom view of Crocodile Patchwork Animal Quilt Set</t>
        </is>
      </c>
      <c r="P22" s="2" t="inlineStr">
        <is>
          <t>FULL</t>
        </is>
      </c>
      <c r="Q22" s="2" t="inlineStr">
        <is>
          <t>FULL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t>
        </is>
      </c>
      <c r="Z22" s="2" t="inlineStr">
        <is>
          <t>["seo_runs\\jeminise.com\\20260906_234129\\evidence\\images\\34_crocodile-patchwork-printed-quilts-animal-patchwork-bedding\\image_02_47933465460935.jpg; seo_runs\\jeminise.com\\20260906_234129\\evidence\\contact_sheets\\34_crocodile-patchwork-printed-quilts-animal-patchwork-bedding.jpg", "https://jeminise.com/products/crocodile-patchwork-printed-quilts-animal-patchwork-bedding", "https://cdn.shopify.com/s/files/1/0792/5098/1063/files/45d1fdc812fc32fda9640edc194f4f3eb069b49c9bad423b59abfe172e4a5c89.jpg?v=1787233712"]</t>
        </is>
      </c>
    </row>
    <row r="23" ht="66" customHeight="1">
      <c r="A23" s="3" t="inlineStr">
        <is>
          <t>jeminise.com+crocodile-patchwork-printed-quilts-animal-patchwork-bedding</t>
        </is>
      </c>
      <c r="B23" s="3" t="inlineStr">
        <is>
          <t>qaimg_ceb79bff2b6d2ab5</t>
        </is>
      </c>
      <c r="C23" s="4" t="inlineStr">
        <is>
          <t>https://cdn.shopify.com/s/files/1/0792/5098/1063/files/3a2053c767418069e7798a6396238963761e34d481d46bd9d676cc7a722ce425.jpg?v=1787233713</t>
        </is>
      </c>
      <c r="D23" s="4" t="inlineStr">
        <is>
          <t>https://cdn.shopify.com/s/files/1/0792/5098/1063/files/3a2053c767418069e7798a6396238963761e34d481d46bd9d676cc7a722ce425.jpg?v=1787233713</t>
        </is>
      </c>
      <c r="E23" s="3" t="inlineStr">
        <is>
          <t>38894707343559</t>
        </is>
      </c>
      <c r="F23" s="3" t="inlineStr">
        <is>
          <t>47933465493703</t>
        </is>
      </c>
      <c r="G23" s="3" t="inlineStr"/>
      <c r="H23" s="3" t="inlineStr">
        <is>
          <t>GALLERY</t>
        </is>
      </c>
      <c r="I23" s="3" t="inlineStr">
        <is>
          <t>DIRECT_ORIGINAL_IMAGE</t>
        </is>
      </c>
      <c r="J23" s="3" t="inlineStr">
        <is>
          <t>2026-09-07T15:21:43.658434+07:00</t>
        </is>
      </c>
      <c r="K23" s="3" t="inlineStr">
        <is>
          <t>Matching shams and product-feature callouts.</t>
        </is>
      </c>
      <c r="L23" s="3" t="inlineStr">
        <is>
          <t>Product type comparison or matching pillow sham/detail image for crocodile patchwork animal quilt.</t>
        </is>
      </c>
      <c r="M23" s="3" t="inlineStr">
        <is>
          <t>Crocodile Patchwork Printed Quilts, Animal Patchwork Bedding - Crocodile Quilt Bedset Style, Premium Quilts Bedspread, Animals Bedding Blanket Gift</t>
        </is>
      </c>
      <c r="N23" s="3" t="inlineStr">
        <is>
          <t>SET</t>
        </is>
      </c>
      <c r="O23" s="3" t="inlineStr">
        <is>
          <t>Matching sham or product info image for Crocodile Patchwork Animal Quilt Set</t>
        </is>
      </c>
      <c r="P23" s="3" t="inlineStr">
        <is>
          <t>FULL</t>
        </is>
      </c>
      <c r="Q23" s="3" t="inlineStr">
        <is>
          <t>PARTIAL</t>
        </is>
      </c>
      <c r="R23" s="3" t="inlineStr">
        <is>
          <t>PARTIAL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["R2-ISS-034-IMG-03"]</t>
        </is>
      </c>
      <c r="Z23" s="3" t="inlineStr">
        <is>
          <t>["seo_runs\\jeminise.com\\20260906_234129\\evidence\\images\\34_crocodile-patchwork-printed-quilts-animal-patchwork-bedding\\image_03_47933465493703.jpg; seo_runs\\jeminise.com\\20260906_234129\\evidence\\contact_sheets\\34_crocodile-patchwork-printed-quilts-animal-patchwork-bedding.jpg", "https://jeminise.com/products/crocodile-patchwork-printed-quilts-animal-patchwork-bedding", "https://cdn.shopify.com/s/files/1/0792/5098/1063/files/3a2053c767418069e7798a6396238963761e34d481d46bd9d676cc7a722ce425.jpg?v=1787233713"]</t>
        </is>
      </c>
    </row>
    <row r="24" ht="66" customHeight="1">
      <c r="A24" s="2" t="inlineStr">
        <is>
          <t>jeminise.com+crocodile-patchwork-printed-quilts-animal-patchwork-bedding</t>
        </is>
      </c>
      <c r="B24" s="2" t="inlineStr">
        <is>
          <t>qaimg_8f34bdc13c168cda</t>
        </is>
      </c>
      <c r="C24" s="4" t="inlineStr">
        <is>
          <t>https://cdn.shopify.com/s/files/1/0792/5098/1063/files/ca1530c052c368c7b33901d9e2fd47aa2d3c8729c2b6a8e94b515887302df3a0.jpg?v=1787233712</t>
        </is>
      </c>
      <c r="D24" s="4" t="inlineStr">
        <is>
          <t>https://cdn.shopify.com/s/files/1/0792/5098/1063/files/ca1530c052c368c7b33901d9e2fd47aa2d3c8729c2b6a8e94b515887302df3a0.jpg?v=1787233712</t>
        </is>
      </c>
      <c r="E24" s="2" t="inlineStr">
        <is>
          <t>38894707376327</t>
        </is>
      </c>
      <c r="F24" s="2" t="inlineStr">
        <is>
          <t>47933465526471</t>
        </is>
      </c>
      <c r="G24" s="2" t="inlineStr"/>
      <c r="H24" s="2" t="inlineStr">
        <is>
          <t>GALLERY</t>
        </is>
      </c>
      <c r="I24" s="2" t="inlineStr">
        <is>
          <t>DIRECT_ORIGINAL_IMAGE</t>
        </is>
      </c>
      <c r="J24" s="2" t="inlineStr">
        <is>
          <t>2026-09-07T15:21:43.658434+07:00</t>
        </is>
      </c>
      <c r="K24" s="2" t="inlineStr">
        <is>
          <t>Fabric-feature panel for the printed quilt.</t>
        </is>
      </c>
      <c r="L24" s="2" t="inlineStr">
        <is>
          <t>Close room/detail or fabric feature image showing crocodile patchwork animal quilt.</t>
        </is>
      </c>
      <c r="M24" s="2" t="inlineStr">
        <is>
          <t>Crocodile Patchwork Printed Quilts, Animal Patchwork Bedding - Crocodile Quilt Bedset Style, Premium Quilts Bedspread, Animals Bedding Blanket Gift</t>
        </is>
      </c>
      <c r="N24" s="2" t="inlineStr">
        <is>
          <t>SET</t>
        </is>
      </c>
      <c r="O24" s="2" t="inlineStr">
        <is>
          <t>Close-up detail of crocodile patchwork animal quilt</t>
        </is>
      </c>
      <c r="P24" s="2" t="inlineStr">
        <is>
          <t>FULL</t>
        </is>
      </c>
      <c r="Q24" s="2" t="inlineStr">
        <is>
          <t>PARTIAL</t>
        </is>
      </c>
      <c r="R24" s="2" t="inlineStr">
        <is>
          <t>PARTIAL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["R2-ISS-034-IMG-04"]</t>
        </is>
      </c>
      <c r="Z24" s="2" t="inlineStr">
        <is>
          <t>["seo_runs\\jeminise.com\\20260906_234129\\evidence\\images\\34_crocodile-patchwork-printed-quilts-animal-patchwork-bedding\\image_04_47933465526471.jpg; seo_runs\\jeminise.com\\20260906_234129\\evidence\\contact_sheets\\34_crocodile-patchwork-printed-quilts-animal-patchwork-bedding.jpg", "https://jeminise.com/products/crocodile-patchwork-printed-quilts-animal-patchwork-bedding", "https://cdn.shopify.com/s/files/1/0792/5098/1063/files/ca1530c052c368c7b33901d9e2fd47aa2d3c8729c2b6a8e94b515887302df3a0.jpg?v=1787233712"]</t>
        </is>
      </c>
    </row>
    <row r="25" ht="66" customHeight="1">
      <c r="A25" s="3" t="inlineStr">
        <is>
          <t>jeminise.com+crocodile-patchwork-printed-quilts-animal-patchwork-bedding</t>
        </is>
      </c>
      <c r="B25" s="3" t="inlineStr">
        <is>
          <t>qaimg_9ccb991be2a3859a</t>
        </is>
      </c>
      <c r="C25" s="4" t="inlineStr">
        <is>
          <t>https://cdn.shopify.com/s/files/1/0792/5098/1063/files/1fa8058540449ec4eb68c35fe7ec37e0856cc71fc7a5029d3951ed6945165bfc.jpg?v=1787233713</t>
        </is>
      </c>
      <c r="D25" s="4" t="inlineStr">
        <is>
          <t>https://cdn.shopify.com/s/files/1/0792/5098/1063/files/1fa8058540449ec4eb68c35fe7ec37e0856cc71fc7a5029d3951ed6945165bfc.jpg?v=1787233713</t>
        </is>
      </c>
      <c r="E25" s="3" t="inlineStr">
        <is>
          <t>38894707409095</t>
        </is>
      </c>
      <c r="F25" s="3" t="inlineStr">
        <is>
          <t>47933465559239</t>
        </is>
      </c>
      <c r="G25" s="3" t="inlineStr"/>
      <c r="H25" s="3" t="inlineStr">
        <is>
          <t>GALLERY</t>
        </is>
      </c>
      <c r="I25" s="3" t="inlineStr">
        <is>
          <t>DIRECT_ORIGINAL_IMAGE</t>
        </is>
      </c>
      <c r="J25" s="3" t="inlineStr">
        <is>
          <t>2026-09-07T15:21:43.658434+07:00</t>
        </is>
      </c>
      <c r="K25" s="3" t="inlineStr">
        <is>
          <t>Premium quilt-set size chart.</t>
        </is>
      </c>
      <c r="L25" s="3" t="inlineStr">
        <is>
          <t>Easy-care or sizing information image for the bedding set.</t>
        </is>
      </c>
      <c r="M25" s="3" t="inlineStr">
        <is>
          <t>Crocodile Patchwork Printed Quilts, Animal Patchwork Bedding - Crocodile Quilt Bedset Style, Premium Quilts Bedspread, Animals Bedding Blanket Gift</t>
        </is>
      </c>
      <c r="N25" s="3" t="inlineStr">
        <is>
          <t>SET</t>
        </is>
      </c>
      <c r="O25" s="3" t="inlineStr">
        <is>
          <t>Care or size information for Crocodile Patchwork Animal Quilt Set</t>
        </is>
      </c>
      <c r="P25" s="3" t="inlineStr">
        <is>
          <t>FULL</t>
        </is>
      </c>
      <c r="Q25" s="3" t="inlineStr">
        <is>
          <t>PARTIAL</t>
        </is>
      </c>
      <c r="R25" s="3" t="inlineStr">
        <is>
          <t>PARTIAL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["R2-ISS-034-IMG-05"]</t>
        </is>
      </c>
      <c r="Z25" s="3" t="inlineStr">
        <is>
          <t>["seo_runs\\jeminise.com\\20260906_234129\\evidence\\images\\34_crocodile-patchwork-printed-quilts-animal-patchwork-bedding\\image_05_47933465559239.jpg; seo_runs\\jeminise.com\\20260906_234129\\evidence\\contact_sheets\\34_crocodile-patchwork-printed-quilts-animal-patchwork-bedding.jpg", "https://jeminise.com/products/crocodile-patchwork-printed-quilts-animal-patchwork-bedding", "https://cdn.shopify.com/s/files/1/0792/5098/1063/files/1fa8058540449ec4eb68c35fe7ec37e0856cc71fc7a5029d3951ed6945165bfc.jpg?v=1787233713"]</t>
        </is>
      </c>
    </row>
    <row r="26" ht="66" customHeight="1">
      <c r="A26" s="2" t="inlineStr">
        <is>
          <t>jeminise.com+crocodile-patchwork-printed-quilts-animal-patchwork-bedding</t>
        </is>
      </c>
      <c r="B26" s="2" t="inlineStr">
        <is>
          <t>qaimg_48c3818edf46b065</t>
        </is>
      </c>
      <c r="C26" s="4" t="inlineStr">
        <is>
          <t>https://cdn.shopify.com/s/files/1/0792/5098/1063/files/71e21ed6c41ef40003dcc207eada8ae5687d7cdc52c7c96941fafe821b96cf71.jpg?v=1787233712</t>
        </is>
      </c>
      <c r="D26" s="4" t="inlineStr">
        <is>
          <t>https://cdn.shopify.com/s/files/1/0792/5098/1063/files/71e21ed6c41ef40003dcc207eada8ae5687d7cdc52c7c96941fafe821b96cf71.jpg?v=1787233712</t>
        </is>
      </c>
      <c r="E26" s="2" t="inlineStr">
        <is>
          <t>38894707441863</t>
        </is>
      </c>
      <c r="F26" s="2" t="inlineStr">
        <is>
          <t>47933465592007</t>
        </is>
      </c>
      <c r="G26" s="2" t="inlineStr"/>
      <c r="H26" s="2" t="inlineStr">
        <is>
          <t>GALLERY</t>
        </is>
      </c>
      <c r="I26" s="2" t="inlineStr">
        <is>
          <t>DIRECT_ORIGINAL_IMAGE</t>
        </is>
      </c>
      <c r="J26" s="2" t="inlineStr">
        <is>
          <t>2026-09-07T15:21:43.658434+07:00</t>
        </is>
      </c>
      <c r="K26" s="2" t="inlineStr">
        <is>
          <t>Material-layer and bedspread-features diagram.</t>
        </is>
      </c>
      <c r="L26" s="2" t="inlineStr">
        <is>
          <t>Size dimension image for twin, full, queen and king bedding options.</t>
        </is>
      </c>
      <c r="M26" s="2" t="inlineStr">
        <is>
          <t>Crocodile Patchwork Printed Quilts, Animal Patchwork Bedding - Crocodile Quilt Bedset Style, Premium Quilts Bedspread, Animals Bedding Blanket Gift</t>
        </is>
      </c>
      <c r="N26" s="2" t="inlineStr">
        <is>
          <t>SET</t>
        </is>
      </c>
      <c r="O26" s="2" t="inlineStr">
        <is>
          <t>Size dimension guide for Crocodile Patchwork Animal Quilt Set</t>
        </is>
      </c>
      <c r="P26" s="2" t="inlineStr">
        <is>
          <t>FULL</t>
        </is>
      </c>
      <c r="Q26" s="2" t="inlineStr">
        <is>
          <t>FAIL</t>
        </is>
      </c>
      <c r="R26" s="2" t="inlineStr">
        <is>
          <t>FAIL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["R2-ISS-034-IMG-06"]</t>
        </is>
      </c>
      <c r="Z26" s="2" t="inlineStr">
        <is>
          <t>["seo_runs\\jeminise.com\\20260906_234129\\evidence\\images\\34_crocodile-patchwork-printed-quilts-animal-patchwork-bedding\\image_06_47933465592007.jpg; seo_runs\\jeminise.com\\20260906_234129\\evidence\\contact_sheets\\34_crocodile-patchwork-printed-quilts-animal-patchwork-bedding.jpg", "https://jeminise.com/products/crocodile-patchwork-printed-quilts-animal-patchwork-bedding", "https://cdn.shopify.com/s/files/1/0792/5098/1063/files/71e21ed6c41ef40003dcc207eada8ae5687d7cdc52c7c96941fafe821b96cf71.jpg?v=1787233712"]</t>
        </is>
      </c>
    </row>
    <row r="27" ht="66" customHeight="1">
      <c r="A27" s="3" t="inlineStr">
        <is>
          <t>jeminise.com+crocodile-patchwork-printed-quilts-animal-patchwork-bedding</t>
        </is>
      </c>
      <c r="B27" s="3" t="inlineStr">
        <is>
          <t>qaimg_4e33dafc514aa39a</t>
        </is>
      </c>
      <c r="C27" s="4" t="inlineStr">
        <is>
          <t>https://cdn.shopify.com/s/files/1/0792/5098/1063/files/2e61c65733910ced1b3279c5c08d3d803cc79f9b416df50e273ff128a85b4f69.jpg?v=1787233712</t>
        </is>
      </c>
      <c r="D27" s="4" t="inlineStr">
        <is>
          <t>https://cdn.shopify.com/s/files/1/0792/5098/1063/files/2e61c65733910ced1b3279c5c08d3d803cc79f9b416df50e273ff128a85b4f69.jpg?v=1787233712</t>
        </is>
      </c>
      <c r="E27" s="3" t="inlineStr">
        <is>
          <t>38894707474631</t>
        </is>
      </c>
      <c r="F27" s="3" t="inlineStr">
        <is>
          <t>47933465624775</t>
        </is>
      </c>
      <c r="G27" s="3" t="inlineStr"/>
      <c r="H27" s="3" t="inlineStr">
        <is>
          <t>GALLERY</t>
        </is>
      </c>
      <c r="I27" s="3" t="inlineStr">
        <is>
          <t>DIRECT_ORIGINAL_IMAGE</t>
        </is>
      </c>
      <c r="J27" s="3" t="inlineStr">
        <is>
          <t>2026-09-07T15:21:43.658434+07:00</t>
        </is>
      </c>
      <c r="K27" s="3" t="inlineStr">
        <is>
          <t>Overhead bedroom mockup of the crocodile patchwork quilt.</t>
        </is>
      </c>
      <c r="L27" s="3" t="inlineStr">
        <is>
          <t>Additional bedroom mockup or product feature image showing crocodile patchwork animal quilt.</t>
        </is>
      </c>
      <c r="M27" s="3" t="inlineStr">
        <is>
          <t>Crocodile Patchwork Printed Quilts, Animal Patchwork Bedding - Crocodile Quilt Bedset Style, Premium Quilts Bedspread, Animals Bedding Blanket Gift</t>
        </is>
      </c>
      <c r="N27" s="3" t="inlineStr">
        <is>
          <t>SET</t>
        </is>
      </c>
      <c r="O27" s="3" t="inlineStr">
        <is>
          <t>Additional bedroom mockup of Crocodile Patchwork Animal Quilt Set</t>
        </is>
      </c>
      <c r="P27" s="3" t="inlineStr">
        <is>
          <t>FULL</t>
        </is>
      </c>
      <c r="Q27" s="3" t="inlineStr">
        <is>
          <t>FULL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t>
        </is>
      </c>
      <c r="Z27" s="3" t="inlineStr">
        <is>
          <t>["seo_runs\\jeminise.com\\20260906_234129\\evidence\\images\\34_crocodile-patchwork-printed-quilts-animal-patchwork-bedding\\image_07_47933465624775.jpg; seo_runs\\jeminise.com\\20260906_234129\\evidence\\contact_sheets\\34_crocodile-patchwork-printed-quilts-animal-patchwork-bedding.jpg", "https://jeminise.com/products/crocodile-patchwork-printed-quilts-animal-patchwork-bedding", "https://cdn.shopify.com/s/files/1/0792/5098/1063/files/2e61c65733910ced1b3279c5c08d3d803cc79f9b416df50e273ff128a85b4f69.jpg?v=1787233712"]</t>
        </is>
      </c>
    </row>
    <row r="28" ht="66" customHeight="1">
      <c r="A28" s="2" t="inlineStr">
        <is>
          <t>jeminise.com+custom-retro-football-art-bedding-set-c66211cf75-c66211cf75</t>
        </is>
      </c>
      <c r="B28" s="2" t="inlineStr">
        <is>
          <t>qaimg_e603dbf4cab95661</t>
        </is>
      </c>
      <c r="C28" s="4" t="inlineStr">
        <is>
          <t>https://cdn.shopify.com/s/files/1/0792/5098/1063/files/cd93064cff49abd094a4b54d4c8521f964011ef3177c132c9e7664b7ae385495.jpg?v=1785101924</t>
        </is>
      </c>
      <c r="D28" s="4" t="inlineStr">
        <is>
          <t>https://cdn.shopify.com/s/files/1/0792/5098/1063/files/cd93064cff49abd094a4b54d4c8521f964011ef3177c132c9e7664b7ae385495.jpg?v=1785101924</t>
        </is>
      </c>
      <c r="E28" s="2" t="inlineStr">
        <is>
          <t>38506866671815</t>
        </is>
      </c>
      <c r="F28" s="2" t="inlineStr">
        <is>
          <t>47540306837703</t>
        </is>
      </c>
      <c r="G28" s="2" t="inlineStr"/>
      <c r="H28" s="2" t="inlineStr">
        <is>
          <t>GALLERY</t>
        </is>
      </c>
      <c r="I28" s="2" t="inlineStr">
        <is>
          <t>DIRECT_ORIGINAL_IMAGE</t>
        </is>
      </c>
      <c r="J28" s="2" t="inlineStr">
        <is>
          <t>2026-09-07T15:21:43.658434+07:00</t>
        </is>
      </c>
      <c r="K28" s="2" t="inlineStr">
        <is>
          <t>Main bed view of a football on a vintage US flag with sample name Kevin and number 15.</t>
        </is>
      </c>
      <c r="L28" s="2" t="inlineStr">
        <is>
          <t>Main bed mockup showing personalized football flag comforter with the name Kevin and number 15.</t>
        </is>
      </c>
      <c r="M28" s="2" t="inlineStr">
        <is>
          <t>Custom American Football Close Up on Flag Comforter</t>
        </is>
      </c>
      <c r="N28" s="2" t="inlineStr">
        <is>
          <t>SET</t>
        </is>
      </c>
      <c r="O28" s="2" t="inlineStr">
        <is>
          <t>American Football Comforter Set displayed on a bed</t>
        </is>
      </c>
      <c r="P28" s="2" t="inlineStr">
        <is>
          <t>FULL</t>
        </is>
      </c>
      <c r="Q28" s="2" t="inlineStr">
        <is>
          <t>FULL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t>
        </is>
      </c>
      <c r="Z28" s="2" t="inlineStr">
        <is>
          <t>["seo_runs\\jeminise.com\\20260906_234129\\evidence\\images\\35_custom-retro-football-art-bedding-set-c66211cf75-c66211cf75\\image_01_47540306837703.jpg; seo_runs\\jeminise.com\\20260906_234129\\evidence\\contact_sheets\\35_custom-retro-football-art-bedding-set-c66211cf75-c66211cf75.jpg", "https://jeminise.com/products/custom-retro-football-art-bedding-set-c66211cf75-c66211cf75", "https://cdn.shopify.com/s/files/1/0792/5098/1063/files/cd93064cff49abd094a4b54d4c8521f964011ef3177c132c9e7664b7ae385495.jpg?v=1785101924"]</t>
        </is>
      </c>
    </row>
    <row r="29" ht="66" customHeight="1">
      <c r="A29" s="3" t="inlineStr">
        <is>
          <t>jeminise.com+custom-retro-football-art-bedding-set-c66211cf75-c66211cf75</t>
        </is>
      </c>
      <c r="B29" s="3" t="inlineStr">
        <is>
          <t>qaimg_66c95d2fbc8f9bc7</t>
        </is>
      </c>
      <c r="C29" s="4" t="inlineStr">
        <is>
          <t>https://cdn.shopify.com/s/files/1/0792/5098/1063/files/384ec0bb85a1c394b826a8ce0cc726e412f6f9248512418013abccd1c39244e3.jpg?v=1785101924</t>
        </is>
      </c>
      <c r="D29" s="4" t="inlineStr">
        <is>
          <t>https://cdn.shopify.com/s/files/1/0792/5098/1063/files/384ec0bb85a1c394b826a8ce0cc726e412f6f9248512418013abccd1c39244e3.jpg?v=1785101924</t>
        </is>
      </c>
      <c r="E29" s="3" t="inlineStr">
        <is>
          <t>38506866704583</t>
        </is>
      </c>
      <c r="F29" s="3" t="inlineStr">
        <is>
          <t>47540306870471</t>
        </is>
      </c>
      <c r="G29" s="3" t="inlineStr"/>
      <c r="H29" s="3" t="inlineStr">
        <is>
          <t>GALLERY</t>
        </is>
      </c>
      <c r="I29" s="3" t="inlineStr">
        <is>
          <t>DIRECT_ORIGINAL_IMAGE</t>
        </is>
      </c>
      <c r="J29" s="3" t="inlineStr">
        <is>
          <t>2026-09-07T15:21:43.658434+07:00</t>
        </is>
      </c>
      <c r="K29" s="3" t="inlineStr">
        <is>
          <t>Angled bedroom view of the same Kevin 15 football design.</t>
        </is>
      </c>
      <c r="L29" s="3" t="inlineStr">
        <is>
          <t>Angled bedroom mockup showing personalized football flag comforter with the name Kevin and number 15.</t>
        </is>
      </c>
      <c r="M29" s="3" t="inlineStr">
        <is>
          <t>Custom American Football Close Up on Flag Comforter</t>
        </is>
      </c>
      <c r="N29" s="3" t="inlineStr">
        <is>
          <t>SET</t>
        </is>
      </c>
      <c r="O29" s="3" t="inlineStr">
        <is>
          <t>Angled bedroom view of American Football Comforter Set</t>
        </is>
      </c>
      <c r="P29" s="3" t="inlineStr">
        <is>
          <t>FULL</t>
        </is>
      </c>
      <c r="Q29" s="3" t="inlineStr">
        <is>
          <t>FULL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t>
        </is>
      </c>
      <c r="Z29" s="3" t="inlineStr">
        <is>
          <t>["seo_runs\\jeminise.com\\20260906_234129\\evidence\\images\\35_custom-retro-football-art-bedding-set-c66211cf75-c66211cf75\\image_02_47540306870471.jpg; seo_runs\\jeminise.com\\20260906_234129\\evidence\\contact_sheets\\35_custom-retro-football-art-bedding-set-c66211cf75-c66211cf75.jpg", "https://jeminise.com/products/custom-retro-football-art-bedding-set-c66211cf75-c66211cf75", "https://cdn.shopify.com/s/files/1/0792/5098/1063/files/384ec0bb85a1c394b826a8ce0cc726e412f6f9248512418013abccd1c39244e3.jpg?v=1785101924"]</t>
        </is>
      </c>
    </row>
    <row r="30" ht="66" customHeight="1">
      <c r="A30" s="2" t="inlineStr">
        <is>
          <t>jeminise.com+custom-retro-football-art-bedding-set-c66211cf75-c66211cf75</t>
        </is>
      </c>
      <c r="B30" s="2" t="inlineStr">
        <is>
          <t>qaimg_0a99e05bcda79ee0</t>
        </is>
      </c>
      <c r="C30" s="4" t="inlineStr">
        <is>
          <t>https://cdn.shopify.com/s/files/1/0792/5098/1063/files/16f7293cbefa5743a35b2e6316a5a114e5c052d08151e367dafd26aa5e2e542b_1645c7b1-7dd0-4432-8f0e-842386b9a1b7.jpg?v=1785101924</t>
        </is>
      </c>
      <c r="D30" s="4" t="inlineStr">
        <is>
          <t>https://cdn.shopify.com/s/files/1/0792/5098/1063/files/16f7293cbefa5743a35b2e6316a5a114e5c052d08151e367dafd26aa5e2e542b_1645c7b1-7dd0-4432-8f0e-842386b9a1b7.jpg?v=1785101924</t>
        </is>
      </c>
      <c r="E30" s="2" t="inlineStr">
        <is>
          <t>38506866737351</t>
        </is>
      </c>
      <c r="F30" s="2" t="inlineStr">
        <is>
          <t>47540306903239</t>
        </is>
      </c>
      <c r="G30" s="2" t="inlineStr"/>
      <c r="H30" s="2" t="inlineStr">
        <is>
          <t>GALLERY</t>
        </is>
      </c>
      <c r="I30" s="2" t="inlineStr">
        <is>
          <t>DIRECT_ORIGINAL_IMAGE</t>
        </is>
      </c>
      <c r="J30" s="2" t="inlineStr">
        <is>
          <t>2026-09-07T15:21:43.658434+07:00</t>
        </is>
      </c>
      <c r="K30" s="2" t="inlineStr">
        <is>
          <t>Duvet-cover versus comforter product-type comparison.</t>
        </is>
      </c>
      <c r="L30" s="2" t="inlineStr">
        <is>
          <t>Product type comparison or matching pillow sham/detail image for personalized football flag comforter with the name Kevin and number 15.</t>
        </is>
      </c>
      <c r="M30" s="2" t="inlineStr">
        <is>
          <t>Custom American Football Close Up on Flag Comforter</t>
        </is>
      </c>
      <c r="N30" s="2" t="inlineStr">
        <is>
          <t>SET</t>
        </is>
      </c>
      <c r="O30" s="2" t="inlineStr">
        <is>
          <t>Matching sham or product info image for American Football Comforter Set</t>
        </is>
      </c>
      <c r="P30" s="2" t="inlineStr">
        <is>
          <t>FULL</t>
        </is>
      </c>
      <c r="Q30" s="2" t="inlineStr">
        <is>
          <t>PARTIAL</t>
        </is>
      </c>
      <c r="R30" s="2" t="inlineStr">
        <is>
          <t>PARTIAL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["R2-ISS-035-IMG-03"]</t>
        </is>
      </c>
      <c r="Z30" s="2" t="inlineStr">
        <is>
          <t>["seo_runs\\jeminise.com\\20260906_234129\\evidence\\images\\35_custom-retro-football-art-bedding-set-c66211cf75-c66211cf75\\image_03_47540306903239.jpg; seo_runs\\jeminise.com\\20260906_234129\\evidence\\contact_sheets\\35_custom-retro-football-art-bedding-set-c66211cf75-c66211cf75.jpg", "https://jeminise.com/products/custom-retro-football-art-bedding-set-c66211cf75-c66211cf75", "https://cdn.shopify.com/s/files/1/0792/5098/1063/files/16f7293cbefa5743a35b2e6316a5a114e5c052d08151e367dafd26aa5e2e542b_1645c7b1-7dd0-4432-8f0e-842386b9a1b7.jpg?v=1785101924"]</t>
        </is>
      </c>
    </row>
    <row r="31" ht="66" customHeight="1">
      <c r="A31" s="3" t="inlineStr">
        <is>
          <t>jeminise.com+custom-retro-football-art-bedding-set-c66211cf75-c66211cf75</t>
        </is>
      </c>
      <c r="B31" s="3" t="inlineStr">
        <is>
          <t>qaimg_d02ae0d8ea1a2f0b</t>
        </is>
      </c>
      <c r="C31" s="4" t="inlineStr">
        <is>
          <t>https://cdn.shopify.com/s/files/1/0792/5098/1063/files/3e41b1b3613ae8424f256e83517163fa8317c8d737d739882986d6ecc0324617.jpg?v=1785101924</t>
        </is>
      </c>
      <c r="D31" s="4" t="inlineStr">
        <is>
          <t>https://cdn.shopify.com/s/files/1/0792/5098/1063/files/3e41b1b3613ae8424f256e83517163fa8317c8d737d739882986d6ecc0324617.jpg?v=1785101924</t>
        </is>
      </c>
      <c r="E31" s="3" t="inlineStr">
        <is>
          <t>38506866770119</t>
        </is>
      </c>
      <c r="F31" s="3" t="inlineStr">
        <is>
          <t>47540306936007</t>
        </is>
      </c>
      <c r="G31" s="3" t="inlineStr"/>
      <c r="H31" s="3" t="inlineStr">
        <is>
          <t>GALLERY</t>
        </is>
      </c>
      <c r="I31" s="3" t="inlineStr">
        <is>
          <t>DIRECT_ORIGINAL_IMAGE</t>
        </is>
      </c>
      <c r="J31" s="3" t="inlineStr">
        <is>
          <t>2026-09-07T15:21:43.658434+07:00</t>
        </is>
      </c>
      <c r="K31" s="3" t="inlineStr">
        <is>
          <t>Close-up feature panel marked soft, lightweight, durable and breathable.</t>
        </is>
      </c>
      <c r="L31" s="3" t="inlineStr">
        <is>
          <t>Close room/detail or fabric feature image showing personalized football flag comforter with the name Kevin and number 15.</t>
        </is>
      </c>
      <c r="M31" s="3" t="inlineStr">
        <is>
          <t>Custom American Football Close Up on Flag Comforter</t>
        </is>
      </c>
      <c r="N31" s="3" t="inlineStr">
        <is>
          <t>SET</t>
        </is>
      </c>
      <c r="O31" s="3" t="inlineStr">
        <is>
          <t>Close-up detail of football flag comforter with the name Kevin and number 15</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t>
        </is>
      </c>
      <c r="Z31" s="3" t="inlineStr">
        <is>
          <t>["seo_runs\\jeminise.com\\20260906_234129\\evidence\\images\\35_custom-retro-football-art-bedding-set-c66211cf75-c66211cf75\\image_04_47540306936007.jpg; seo_runs\\jeminise.com\\20260906_234129\\evidence\\contact_sheets\\35_custom-retro-football-art-bedding-set-c66211cf75-c66211cf75.jpg", "https://jeminise.com/products/custom-retro-football-art-bedding-set-c66211cf75-c66211cf75", "https://cdn.shopify.com/s/files/1/0792/5098/1063/files/3e41b1b3613ae8424f256e83517163fa8317c8d737d739882986d6ecc0324617.jpg?v=1785101924"]</t>
        </is>
      </c>
    </row>
    <row r="32" ht="66" customHeight="1">
      <c r="A32" s="2" t="inlineStr">
        <is>
          <t>jeminise.com+custom-retro-football-art-bedding-set-c66211cf75-c66211cf75</t>
        </is>
      </c>
      <c r="B32" s="2" t="inlineStr">
        <is>
          <t>qaimg_7739eb0ba236e5ef</t>
        </is>
      </c>
      <c r="C32" s="4" t="inlineStr">
        <is>
          <t>https://cdn.shopify.com/s/files/1/0792/5098/1063/files/7c006bddc94d4763c71c8376307e195c1bbce73b8c802ec73ac5a8cef1291262_a3fb9a4f-ebe5-48cb-aa4f-5ac39a8a9cdc.jpg?v=1785101924</t>
        </is>
      </c>
      <c r="D32" s="4" t="inlineStr">
        <is>
          <t>https://cdn.shopify.com/s/files/1/0792/5098/1063/files/7c006bddc94d4763c71c8376307e195c1bbce73b8c802ec73ac5a8cef1291262_a3fb9a4f-ebe5-48cb-aa4f-5ac39a8a9cdc.jpg?v=1785101924</t>
        </is>
      </c>
      <c r="E32" s="2" t="inlineStr">
        <is>
          <t>38506866802887</t>
        </is>
      </c>
      <c r="F32" s="2" t="inlineStr">
        <is>
          <t>47540306968775</t>
        </is>
      </c>
      <c r="G32" s="2" t="inlineStr"/>
      <c r="H32" s="2" t="inlineStr">
        <is>
          <t>GALLERY</t>
        </is>
      </c>
      <c r="I32" s="2" t="inlineStr">
        <is>
          <t>DIRECT_ORIGINAL_IMAGE</t>
        </is>
      </c>
      <c r="J32" s="2" t="inlineStr">
        <is>
          <t>2026-09-07T15:21:43.658434+07:00</t>
        </is>
      </c>
      <c r="K32" s="2" t="inlineStr">
        <is>
          <t>Easy-care instruction panel.</t>
        </is>
      </c>
      <c r="L32" s="2" t="inlineStr">
        <is>
          <t>Easy-care or sizing information image for the bedding set.</t>
        </is>
      </c>
      <c r="M32" s="2" t="inlineStr">
        <is>
          <t>Custom American Football Close Up on Flag Comforter</t>
        </is>
      </c>
      <c r="N32" s="2" t="inlineStr">
        <is>
          <t>SET</t>
        </is>
      </c>
      <c r="O32" s="2" t="inlineStr">
        <is>
          <t>Care or size information for American Football Comforter Set</t>
        </is>
      </c>
      <c r="P32" s="2" t="inlineStr">
        <is>
          <t>FULL</t>
        </is>
      </c>
      <c r="Q32" s="2" t="inlineStr">
        <is>
          <t>PARTIAL</t>
        </is>
      </c>
      <c r="R32" s="2" t="inlineStr">
        <is>
          <t>PARTIAL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["R2-ISS-035-IMG-05"]</t>
        </is>
      </c>
      <c r="Z32" s="2" t="inlineStr">
        <is>
          <t>["seo_runs\\jeminise.com\\20260906_234129\\evidence\\images\\35_custom-retro-football-art-bedding-set-c66211cf75-c66211cf75\\image_05_47540306968775.jpg; seo_runs\\jeminise.com\\20260906_234129\\evidence\\contact_sheets\\35_custom-retro-football-art-bedding-set-c66211cf75-c66211cf75.jpg", "https://jeminise.com/products/custom-retro-football-art-bedding-set-c66211cf75-c66211cf75", "https://cdn.shopify.com/s/files/1/0792/5098/1063/files/7c006bddc94d4763c71c8376307e195c1bbce73b8c802ec73ac5a8cef1291262_a3fb9a4f-ebe5-48cb-aa4f-5ac39a8a9cdc.jpg?v=1785101924"]</t>
        </is>
      </c>
    </row>
    <row r="33" ht="66" customHeight="1">
      <c r="A33" s="3" t="inlineStr">
        <is>
          <t>jeminise.com+custom-retro-football-art-bedding-set-c66211cf75-c66211cf75</t>
        </is>
      </c>
      <c r="B33" s="3" t="inlineStr">
        <is>
          <t>qaimg_06b2ae2a966ab0ca</t>
        </is>
      </c>
      <c r="C33" s="4" t="inlineStr">
        <is>
          <t>https://cdn.shopify.com/s/files/1/0792/5098/1063/files/e5cad84edb4d7bf77c48fd7c8e52eb3b73f04eba8bf177671fd8a059c59422e8_0a0a59ee-c0ee-4995-bf6a-e815a670b8e3.jpg?v=1785101924</t>
        </is>
      </c>
      <c r="D33" s="4" t="inlineStr">
        <is>
          <t>https://cdn.shopify.com/s/files/1/0792/5098/1063/files/e5cad84edb4d7bf77c48fd7c8e52eb3b73f04eba8bf177671fd8a059c59422e8_0a0a59ee-c0ee-4995-bf6a-e815a670b8e3.jpg?v=1785101924</t>
        </is>
      </c>
      <c r="E33" s="3" t="inlineStr">
        <is>
          <t>38506866835655</t>
        </is>
      </c>
      <c r="F33" s="3" t="inlineStr">
        <is>
          <t>47540307001543</t>
        </is>
      </c>
      <c r="G33" s="3" t="inlineStr"/>
      <c r="H33" s="3" t="inlineStr">
        <is>
          <t>GALLERY</t>
        </is>
      </c>
      <c r="I33" s="3" t="inlineStr">
        <is>
          <t>DIRECT_ORIGINAL_IMAGE</t>
        </is>
      </c>
      <c r="J33" s="3" t="inlineStr">
        <is>
          <t>2026-09-07T15:21:43.658434+07:00</t>
        </is>
      </c>
      <c r="K33" s="3" t="inlineStr">
        <is>
          <t>Comforter and duvet-cover size-dimension diagram.</t>
        </is>
      </c>
      <c r="L33" s="3" t="inlineStr">
        <is>
          <t>Size dimension image for twin, full, queen and king bedding options.</t>
        </is>
      </c>
      <c r="M33" s="3" t="inlineStr">
        <is>
          <t>Custom American Football Close Up on Flag Comforter</t>
        </is>
      </c>
      <c r="N33" s="3" t="inlineStr">
        <is>
          <t>SET</t>
        </is>
      </c>
      <c r="O33" s="3" t="inlineStr">
        <is>
          <t>Size dimension guide for American Football Comforter Set</t>
        </is>
      </c>
      <c r="P33" s="3" t="inlineStr">
        <is>
          <t>FULL</t>
        </is>
      </c>
      <c r="Q33" s="3" t="inlineStr">
        <is>
          <t>FULL</t>
        </is>
      </c>
      <c r="R33" s="3" t="inlineStr">
        <is>
          <t>FULL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t>
        </is>
      </c>
      <c r="Z33" s="3" t="inlineStr">
        <is>
          <t>["seo_runs\\jeminise.com\\20260906_234129\\evidence\\images\\35_custom-retro-football-art-bedding-set-c66211cf75-c66211cf75\\image_06_47540307001543.jpg; seo_runs\\jeminise.com\\20260906_234129\\evidence\\contact_sheets\\35_custom-retro-football-art-bedding-set-c66211cf75-c66211cf75.jpg", "https://jeminise.com/products/custom-retro-football-art-bedding-set-c66211cf75-c66211cf75", "https://cdn.shopify.com/s/files/1/0792/5098/1063/files/e5cad84edb4d7bf77c48fd7c8e52eb3b73f04eba8bf177671fd8a059c59422e8_0a0a59ee-c0ee-4995-bf6a-e815a670b8e3.jpg?v=1785101924"]</t>
        </is>
      </c>
    </row>
    <row r="34" ht="66" customHeight="1">
      <c r="A34" s="2" t="inlineStr">
        <is>
          <t>jeminise.com+custom-american-football-close-up-on-grunge-vintage-comforter-26540e3264-26540e3264</t>
        </is>
      </c>
      <c r="B34" s="2" t="inlineStr">
        <is>
          <t>qaimg_aec396233188aee2</t>
        </is>
      </c>
      <c r="C34" s="4" t="inlineStr">
        <is>
          <t>https://cdn.shopify.com/s/files/1/0792/5098/1063/files/11f76d2e307e1c50766e2c6b95e8a9272e0546226ca0a5996ceecb7ad1d1e36b.jpg?v=1785100474</t>
        </is>
      </c>
      <c r="D34" s="4" t="inlineStr">
        <is>
          <t>https://cdn.shopify.com/s/files/1/0792/5098/1063/files/11f76d2e307e1c50766e2c6b95e8a9272e0546226ca0a5996ceecb7ad1d1e36b.jpg?v=1785100474</t>
        </is>
      </c>
      <c r="E34" s="2" t="inlineStr">
        <is>
          <t>38506730782919</t>
        </is>
      </c>
      <c r="F34" s="2" t="inlineStr">
        <is>
          <t>47540170358983</t>
        </is>
      </c>
      <c r="G34" s="2" t="inlineStr"/>
      <c r="H34" s="2" t="inlineStr">
        <is>
          <t>GALLERY</t>
        </is>
      </c>
      <c r="I34" s="2" t="inlineStr">
        <is>
          <t>DIRECT_ORIGINAL_IMAGE</t>
        </is>
      </c>
      <c r="J34" s="2" t="inlineStr">
        <is>
          <t>2026-09-07T15:21:43.658434+07:00</t>
        </is>
      </c>
      <c r="K34" s="2" t="inlineStr">
        <is>
          <t>Main bed view of a football on grunge red-and-white stripes with sample name Brian and number 15.</t>
        </is>
      </c>
      <c r="L34" s="2" t="inlineStr">
        <is>
          <t>Main bed mockup showing personalized grunge football comforter with the name Brian and number 15.</t>
        </is>
      </c>
      <c r="M34" s="2" t="inlineStr">
        <is>
          <t>Custom American Football Close Up on Grunge Vintage Comforter</t>
        </is>
      </c>
      <c r="N34" s="2" t="inlineStr">
        <is>
          <t>SET</t>
        </is>
      </c>
      <c r="O34" s="2" t="inlineStr">
        <is>
          <t>Grunge Football Comforter Set displayed on a bed</t>
        </is>
      </c>
      <c r="P34" s="2" t="inlineStr">
        <is>
          <t>FULL</t>
        </is>
      </c>
      <c r="Q34" s="2" t="inlineStr">
        <is>
          <t>FULL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t>
        </is>
      </c>
      <c r="Z34" s="2"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 "https://jeminise.com/products/custom-american-football-close-up-on-grunge-vintage-comforter-26540e3264-26540e3264", "https://cdn.shopify.com/s/files/1/0792/5098/1063/files/11f76d2e307e1c50766e2c6b95e8a9272e0546226ca0a5996ceecb7ad1d1e36b.jpg?v=1785100474"]</t>
        </is>
      </c>
    </row>
    <row r="35" ht="66" customHeight="1">
      <c r="A35" s="3" t="inlineStr">
        <is>
          <t>jeminise.com+custom-american-football-close-up-on-grunge-vintage-comforter-26540e3264-26540e3264</t>
        </is>
      </c>
      <c r="B35" s="3" t="inlineStr">
        <is>
          <t>qaimg_301fc93aecebaccf</t>
        </is>
      </c>
      <c r="C35" s="4" t="inlineStr">
        <is>
          <t>https://cdn.shopify.com/s/files/1/0792/5098/1063/files/a086ef784a942cd52629fe736719d7e523332dd679d2ff85ee39f4db573b7877.jpg?v=1785100474</t>
        </is>
      </c>
      <c r="D35" s="4" t="inlineStr">
        <is>
          <t>https://cdn.shopify.com/s/files/1/0792/5098/1063/files/a086ef784a942cd52629fe736719d7e523332dd679d2ff85ee39f4db573b7877.jpg?v=1785100474</t>
        </is>
      </c>
      <c r="E35" s="3" t="inlineStr">
        <is>
          <t>38506730815687</t>
        </is>
      </c>
      <c r="F35" s="3" t="inlineStr">
        <is>
          <t>47540170391751</t>
        </is>
      </c>
      <c r="G35" s="3" t="inlineStr"/>
      <c r="H35" s="3" t="inlineStr">
        <is>
          <t>GALLERY</t>
        </is>
      </c>
      <c r="I35" s="3" t="inlineStr">
        <is>
          <t>DIRECT_ORIGINAL_IMAGE</t>
        </is>
      </c>
      <c r="J35" s="3" t="inlineStr">
        <is>
          <t>2026-09-07T15:21:43.658434+07:00</t>
        </is>
      </c>
      <c r="K35" s="3" t="inlineStr">
        <is>
          <t>Angled bedroom view of the same Brian 15 design.</t>
        </is>
      </c>
      <c r="L35" s="3" t="inlineStr">
        <is>
          <t>Angled bedroom mockup showing personalized grunge football comforter with the name Brian and number 15.</t>
        </is>
      </c>
      <c r="M35" s="3" t="inlineStr">
        <is>
          <t>Custom American Football Close Up on Grunge Vintage Comforter</t>
        </is>
      </c>
      <c r="N35" s="3" t="inlineStr">
        <is>
          <t>SET</t>
        </is>
      </c>
      <c r="O35" s="3" t="inlineStr">
        <is>
          <t>Angled bedroom view of Grunge Football Comforter Set</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t>
        </is>
      </c>
      <c r="Z35" s="3"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 "https://jeminise.com/products/custom-american-football-close-up-on-grunge-vintage-comforter-26540e3264-26540e3264", "https://cdn.shopify.com/s/files/1/0792/5098/1063/files/a086ef784a942cd52629fe736719d7e523332dd679d2ff85ee39f4db573b7877.jpg?v=1785100474"]</t>
        </is>
      </c>
    </row>
    <row r="36" ht="66" customHeight="1">
      <c r="A36" s="2" t="inlineStr">
        <is>
          <t>jeminise.com+custom-american-football-close-up-on-grunge-vintage-comforter-26540e3264-26540e3264</t>
        </is>
      </c>
      <c r="B36" s="2" t="inlineStr">
        <is>
          <t>qaimg_17dad146fa2db47e</t>
        </is>
      </c>
      <c r="C36" s="4" t="inlineStr">
        <is>
          <t>https://cdn.shopify.com/s/files/1/0792/5098/1063/files/16f7293cbefa5743a35b2e6316a5a114e5c052d08151e367dafd26aa5e2e542b_f61d59c9-1e61-473b-93e0-490c63ed9242.jpg?v=1785100474</t>
        </is>
      </c>
      <c r="D36" s="4" t="inlineStr">
        <is>
          <t>https://cdn.shopify.com/s/files/1/0792/5098/1063/files/16f7293cbefa5743a35b2e6316a5a114e5c052d08151e367dafd26aa5e2e542b_f61d59c9-1e61-473b-93e0-490c63ed9242.jpg?v=1785100474</t>
        </is>
      </c>
      <c r="E36" s="2" t="inlineStr">
        <is>
          <t>38506730848455</t>
        </is>
      </c>
      <c r="F36" s="2" t="inlineStr">
        <is>
          <t>47540170424519</t>
        </is>
      </c>
      <c r="G36" s="2" t="inlineStr"/>
      <c r="H36" s="2" t="inlineStr">
        <is>
          <t>GALLERY</t>
        </is>
      </c>
      <c r="I36" s="2" t="inlineStr">
        <is>
          <t>DIRECT_ORIGINAL_IMAGE</t>
        </is>
      </c>
      <c r="J36" s="2" t="inlineStr">
        <is>
          <t>2026-09-07T15:21:43.658434+07:00</t>
        </is>
      </c>
      <c r="K36" s="2" t="inlineStr">
        <is>
          <t>Duvet-cover versus comforter product-type comparison.</t>
        </is>
      </c>
      <c r="L36" s="2" t="inlineStr">
        <is>
          <t>Product type comparison or matching pillow sham/detail image for personalized grunge football comforter with the name Brian and number 15.</t>
        </is>
      </c>
      <c r="M36" s="2" t="inlineStr">
        <is>
          <t>Custom American Football Close Up on Grunge Vintage Comforter</t>
        </is>
      </c>
      <c r="N36" s="2" t="inlineStr">
        <is>
          <t>SET</t>
        </is>
      </c>
      <c r="O36" s="2" t="inlineStr">
        <is>
          <t>Matching sham or product info image for Grunge Football Comforter Set</t>
        </is>
      </c>
      <c r="P36" s="2" t="inlineStr">
        <is>
          <t>FULL</t>
        </is>
      </c>
      <c r="Q36" s="2" t="inlineStr">
        <is>
          <t>PARTIAL</t>
        </is>
      </c>
      <c r="R36" s="2" t="inlineStr">
        <is>
          <t>PARTIAL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["R2-ISS-036-IMG-03"]</t>
        </is>
      </c>
      <c r="Z36" s="2"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 "https://jeminise.com/products/custom-american-football-close-up-on-grunge-vintage-comforter-26540e3264-26540e3264", "https://cdn.shopify.com/s/files/1/0792/5098/1063/files/16f7293cbefa5743a35b2e6316a5a114e5c052d08151e367dafd26aa5e2e542b_f61d59c9-1e61-473b-93e0-490c63ed9242.jpg?v=1785100474"]</t>
        </is>
      </c>
    </row>
    <row r="37" ht="66" customHeight="1">
      <c r="A37" s="3" t="inlineStr">
        <is>
          <t>jeminise.com+custom-american-football-close-up-on-grunge-vintage-comforter-26540e3264-26540e3264</t>
        </is>
      </c>
      <c r="B37" s="3" t="inlineStr">
        <is>
          <t>qaimg_61b8fd9f7ee60535</t>
        </is>
      </c>
      <c r="C37" s="4" t="inlineStr">
        <is>
          <t>https://cdn.shopify.com/s/files/1/0792/5098/1063/files/1bb27dd96fe081443e8b20966cb77e2c7e536a5f697d54f3941ab027a2445269.jpg?v=1785100474</t>
        </is>
      </c>
      <c r="D37" s="4" t="inlineStr">
        <is>
          <t>https://cdn.shopify.com/s/files/1/0792/5098/1063/files/1bb27dd96fe081443e8b20966cb77e2c7e536a5f697d54f3941ab027a2445269.jpg?v=1785100474</t>
        </is>
      </c>
      <c r="E37" s="3" t="inlineStr">
        <is>
          <t>38506730881223</t>
        </is>
      </c>
      <c r="F37" s="3" t="inlineStr">
        <is>
          <t>47540170457287</t>
        </is>
      </c>
      <c r="G37" s="3" t="inlineStr"/>
      <c r="H37" s="3" t="inlineStr">
        <is>
          <t>GALLERY</t>
        </is>
      </c>
      <c r="I37" s="3" t="inlineStr">
        <is>
          <t>DIRECT_ORIGINAL_IMAGE</t>
        </is>
      </c>
      <c r="J37" s="3" t="inlineStr">
        <is>
          <t>2026-09-07T15:21:43.658434+07:00</t>
        </is>
      </c>
      <c r="K37" s="3" t="inlineStr">
        <is>
          <t>Close-up feature panel marked soft, lightweight, durable and breathable.</t>
        </is>
      </c>
      <c r="L37" s="3" t="inlineStr">
        <is>
          <t>Close room/detail or fabric feature image showing personalized grunge football comforter with the name Brian and number 15.</t>
        </is>
      </c>
      <c r="M37" s="3" t="inlineStr">
        <is>
          <t>Custom American Football Close Up on Grunge Vintage Comforter</t>
        </is>
      </c>
      <c r="N37" s="3" t="inlineStr">
        <is>
          <t>SET</t>
        </is>
      </c>
      <c r="O37" s="3" t="inlineStr">
        <is>
          <t>Close-up detail of grunge football comforter with the name Brian and number 15</t>
        </is>
      </c>
      <c r="P37" s="3" t="inlineStr">
        <is>
          <t>FULL</t>
        </is>
      </c>
      <c r="Q37" s="3" t="inlineStr">
        <is>
          <t>FULL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t>
        </is>
      </c>
      <c r="Z37" s="3"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 "https://jeminise.com/products/custom-american-football-close-up-on-grunge-vintage-comforter-26540e3264-26540e3264", "https://cdn.shopify.com/s/files/1/0792/5098/1063/files/1bb27dd96fe081443e8b20966cb77e2c7e536a5f697d54f3941ab027a2445269.jpg?v=1785100474"]</t>
        </is>
      </c>
    </row>
    <row r="38" ht="66" customHeight="1">
      <c r="A38" s="2" t="inlineStr">
        <is>
          <t>jeminise.com+custom-american-football-close-up-on-grunge-vintage-comforter-26540e3264-26540e3264</t>
        </is>
      </c>
      <c r="B38" s="2" t="inlineStr">
        <is>
          <t>qaimg_09cee40c8bb157a6</t>
        </is>
      </c>
      <c r="C38" s="4" t="inlineStr">
        <is>
          <t>https://cdn.shopify.com/s/files/1/0792/5098/1063/files/7c006bddc94d4763c71c8376307e195c1bbce73b8c802ec73ac5a8cef1291262_f556ba8b-082d-45f0-9344-319cc291850f.jpg?v=1785100474</t>
        </is>
      </c>
      <c r="D38" s="4" t="inlineStr">
        <is>
          <t>https://cdn.shopify.com/s/files/1/0792/5098/1063/files/7c006bddc94d4763c71c8376307e195c1bbce73b8c802ec73ac5a8cef1291262_f556ba8b-082d-45f0-9344-319cc291850f.jpg?v=1785100474</t>
        </is>
      </c>
      <c r="E38" s="2" t="inlineStr">
        <is>
          <t>38506730913991</t>
        </is>
      </c>
      <c r="F38" s="2" t="inlineStr">
        <is>
          <t>47540170490055</t>
        </is>
      </c>
      <c r="G38" s="2" t="inlineStr"/>
      <c r="H38" s="2" t="inlineStr">
        <is>
          <t>GALLERY</t>
        </is>
      </c>
      <c r="I38" s="2" t="inlineStr">
        <is>
          <t>DIRECT_ORIGINAL_IMAGE</t>
        </is>
      </c>
      <c r="J38" s="2" t="inlineStr">
        <is>
          <t>2026-09-07T15:21:43.658434+07:00</t>
        </is>
      </c>
      <c r="K38" s="2" t="inlineStr">
        <is>
          <t>Easy-care instruction panel.</t>
        </is>
      </c>
      <c r="L38" s="2" t="inlineStr">
        <is>
          <t>Easy-care or sizing information image for the bedding set.</t>
        </is>
      </c>
      <c r="M38" s="2" t="inlineStr">
        <is>
          <t>Custom American Football Close Up on Grunge Vintage Comforter</t>
        </is>
      </c>
      <c r="N38" s="2" t="inlineStr">
        <is>
          <t>SET</t>
        </is>
      </c>
      <c r="O38" s="2" t="inlineStr">
        <is>
          <t>Care or size information for Grunge Football Comforter Set</t>
        </is>
      </c>
      <c r="P38" s="2" t="inlineStr">
        <is>
          <t>FULL</t>
        </is>
      </c>
      <c r="Q38" s="2" t="inlineStr">
        <is>
          <t>PARTIAL</t>
        </is>
      </c>
      <c r="R38" s="2" t="inlineStr">
        <is>
          <t>PARTIAL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["R2-ISS-036-IMG-05"]</t>
        </is>
      </c>
      <c r="Z38" s="2"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 "https://jeminise.com/products/custom-american-football-close-up-on-grunge-vintage-comforter-26540e3264-26540e3264", "https://cdn.shopify.com/s/files/1/0792/5098/1063/files/7c006bddc94d4763c71c8376307e195c1bbce73b8c802ec73ac5a8cef1291262_f556ba8b-082d-45f0-9344-319cc291850f.jpg?v=1785100474"]</t>
        </is>
      </c>
    </row>
    <row r="39" ht="66" customHeight="1">
      <c r="A39" s="3" t="inlineStr">
        <is>
          <t>jeminise.com+custom-american-football-close-up-on-grunge-vintage-comforter-26540e3264-26540e3264</t>
        </is>
      </c>
      <c r="B39" s="3" t="inlineStr">
        <is>
          <t>qaimg_bac450467054d043</t>
        </is>
      </c>
      <c r="C39" s="4" t="inlineStr">
        <is>
          <t>https://cdn.shopify.com/s/files/1/0792/5098/1063/files/e5cad84edb4d7bf77c48fd7c8e52eb3b73f04eba8bf177671fd8a059c59422e8_e68e02cc-c567-4e1f-93b4-3efe2b03219d.jpg?v=1785100474</t>
        </is>
      </c>
      <c r="D39" s="4" t="inlineStr">
        <is>
          <t>https://cdn.shopify.com/s/files/1/0792/5098/1063/files/e5cad84edb4d7bf77c48fd7c8e52eb3b73f04eba8bf177671fd8a059c59422e8_e68e02cc-c567-4e1f-93b4-3efe2b03219d.jpg?v=1785100474</t>
        </is>
      </c>
      <c r="E39" s="3" t="inlineStr">
        <is>
          <t>38506730946759</t>
        </is>
      </c>
      <c r="F39" s="3" t="inlineStr">
        <is>
          <t>47540170522823</t>
        </is>
      </c>
      <c r="G39" s="3" t="inlineStr"/>
      <c r="H39" s="3" t="inlineStr">
        <is>
          <t>GALLERY</t>
        </is>
      </c>
      <c r="I39" s="3" t="inlineStr">
        <is>
          <t>DIRECT_ORIGINAL_IMAGE</t>
        </is>
      </c>
      <c r="J39" s="3" t="inlineStr">
        <is>
          <t>2026-09-07T15:21:43.658434+07:00</t>
        </is>
      </c>
      <c r="K39" s="3" t="inlineStr">
        <is>
          <t>Comforter and duvet-cover size-dimension diagram.</t>
        </is>
      </c>
      <c r="L39" s="3" t="inlineStr">
        <is>
          <t>Size dimension image for twin, full, queen and king bedding options.</t>
        </is>
      </c>
      <c r="M39" s="3" t="inlineStr">
        <is>
          <t>Custom American Football Close Up on Grunge Vintage Comforter</t>
        </is>
      </c>
      <c r="N39" s="3" t="inlineStr">
        <is>
          <t>SET</t>
        </is>
      </c>
      <c r="O39" s="3" t="inlineStr">
        <is>
          <t>Size dimension guide for Grunge Football Comforter Set</t>
        </is>
      </c>
      <c r="P39" s="3" t="inlineStr">
        <is>
          <t>FULL</t>
        </is>
      </c>
      <c r="Q39" s="3" t="inlineStr">
        <is>
          <t>FULL</t>
        </is>
      </c>
      <c r="R39" s="3" t="inlineStr">
        <is>
          <t>FULL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t>
        </is>
      </c>
      <c r="Z39" s="3"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 "https://jeminise.com/products/custom-american-football-close-up-on-grunge-vintage-comforter-26540e3264-26540e3264", "https://cdn.shopify.com/s/files/1/0792/5098/1063/files/e5cad84edb4d7bf77c48fd7c8e52eb3b73f04eba8bf177671fd8a059c59422e8_e68e02cc-c567-4e1f-93b4-3efe2b03219d.jpg?v=1785100474"]</t>
        </is>
      </c>
    </row>
    <row r="40" ht="66" customHeight="1">
      <c r="A40" s="2" t="inlineStr">
        <is>
          <t>jeminise.com+custom-american-football-on-cosmic-background-vintage-comforter-62a3849621-62a3849621</t>
        </is>
      </c>
      <c r="B40" s="2" t="inlineStr">
        <is>
          <t>qaimg_6b907110c6e80000</t>
        </is>
      </c>
      <c r="C40" s="4" t="inlineStr">
        <is>
          <t>https://cdn.shopify.com/s/files/1/0792/5098/1063/files/b38409cca05f668cdad57ab52d40b4b00fb8c161ab5af391eaf7a4ce3b8892f2.jpg?v=1785100295</t>
        </is>
      </c>
      <c r="D40" s="4" t="inlineStr">
        <is>
          <t>https://cdn.shopify.com/s/files/1/0792/5098/1063/files/b38409cca05f668cdad57ab52d40b4b00fb8c161ab5af391eaf7a4ce3b8892f2.jpg?v=1785100295</t>
        </is>
      </c>
      <c r="E40" s="2" t="inlineStr">
        <is>
          <t>38506713874631</t>
        </is>
      </c>
      <c r="F40" s="2" t="inlineStr">
        <is>
          <t>47540153385159</t>
        </is>
      </c>
      <c r="G40" s="2" t="inlineStr"/>
      <c r="H40" s="2" t="inlineStr">
        <is>
          <t>GALLERY</t>
        </is>
      </c>
      <c r="I40" s="2" t="inlineStr">
        <is>
          <t>DIRECT_ORIGINAL_IMAGE</t>
        </is>
      </c>
      <c r="J40" s="2" t="inlineStr">
        <is>
          <t>2026-09-07T15:21:43.658434+07:00</t>
        </is>
      </c>
      <c r="K40" s="2" t="inlineStr">
        <is>
          <t>Main bed view of a football on a blue-red cosmic background with sample name Kevin and number 20.</t>
        </is>
      </c>
      <c r="L40" s="2" t="inlineStr">
        <is>
          <t>Main bed mockup showing personalized cosmic football comforter with the name Kevin and number 20.</t>
        </is>
      </c>
      <c r="M40" s="2" t="inlineStr">
        <is>
          <t>Custom American Football on Cosmic Background Vintage Comforter</t>
        </is>
      </c>
      <c r="N40" s="2" t="inlineStr">
        <is>
          <t>SET</t>
        </is>
      </c>
      <c r="O40" s="2" t="inlineStr">
        <is>
          <t>Cosmic Football Comforter Set displayed on a bed</t>
        </is>
      </c>
      <c r="P40" s="2" t="inlineStr">
        <is>
          <t>FULL</t>
        </is>
      </c>
      <c r="Q40" s="2" t="inlineStr">
        <is>
          <t>FULL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t>
        </is>
      </c>
      <c r="Z40" s="2"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 "https://jeminise.com/products/custom-american-football-on-cosmic-background-vintage-comforter-62a3849621-62a3849621", "https://cdn.shopify.com/s/files/1/0792/5098/1063/files/b38409cca05f668cdad57ab52d40b4b00fb8c161ab5af391eaf7a4ce3b8892f2.jpg?v=1785100295"]</t>
        </is>
      </c>
    </row>
    <row r="41" ht="66" customHeight="1">
      <c r="A41" s="3" t="inlineStr">
        <is>
          <t>jeminise.com+custom-american-football-on-cosmic-background-vintage-comforter-62a3849621-62a3849621</t>
        </is>
      </c>
      <c r="B41" s="3" t="inlineStr">
        <is>
          <t>qaimg_5749a43b97f54338</t>
        </is>
      </c>
      <c r="C41" s="4" t="inlineStr">
        <is>
          <t>https://cdn.shopify.com/s/files/1/0792/5098/1063/files/541f7a11cb182f93e5c63ff4db954de7b224c4f859e24518f310d671cca10275.jpg?v=1785100295</t>
        </is>
      </c>
      <c r="D41" s="4" t="inlineStr">
        <is>
          <t>https://cdn.shopify.com/s/files/1/0792/5098/1063/files/541f7a11cb182f93e5c63ff4db954de7b224c4f859e24518f310d671cca10275.jpg?v=1785100295</t>
        </is>
      </c>
      <c r="E41" s="3" t="inlineStr">
        <is>
          <t>38506713907399</t>
        </is>
      </c>
      <c r="F41" s="3" t="inlineStr">
        <is>
          <t>47540153417927</t>
        </is>
      </c>
      <c r="G41" s="3" t="inlineStr"/>
      <c r="H41" s="3" t="inlineStr">
        <is>
          <t>GALLERY</t>
        </is>
      </c>
      <c r="I41" s="3" t="inlineStr">
        <is>
          <t>DIRECT_ORIGINAL_IMAGE</t>
        </is>
      </c>
      <c r="J41" s="3" t="inlineStr">
        <is>
          <t>2026-09-07T15:21:43.658434+07:00</t>
        </is>
      </c>
      <c r="K41" s="3" t="inlineStr">
        <is>
          <t>Angled bedroom view of the same Kevin 20 cosmic design.</t>
        </is>
      </c>
      <c r="L41" s="3" t="inlineStr">
        <is>
          <t>Angled bedroom mockup showing personalized cosmic football comforter with the name Kevin and number 20.</t>
        </is>
      </c>
      <c r="M41" s="3" t="inlineStr">
        <is>
          <t>Custom American Football on Cosmic Background Vintage Comforter</t>
        </is>
      </c>
      <c r="N41" s="3" t="inlineStr">
        <is>
          <t>SET</t>
        </is>
      </c>
      <c r="O41" s="3" t="inlineStr">
        <is>
          <t>Angled bedroom view of Cosmic Football Comforter Set</t>
        </is>
      </c>
      <c r="P41" s="3" t="inlineStr">
        <is>
          <t>FULL</t>
        </is>
      </c>
      <c r="Q41" s="3" t="inlineStr">
        <is>
          <t>FULL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t>
        </is>
      </c>
      <c r="Z41" s="3"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 "https://jeminise.com/products/custom-american-football-on-cosmic-background-vintage-comforter-62a3849621-62a3849621", "https://cdn.shopify.com/s/files/1/0792/5098/1063/files/541f7a11cb182f93e5c63ff4db954de7b224c4f859e24518f310d671cca10275.jpg?v=1785100295"]</t>
        </is>
      </c>
    </row>
    <row r="42" ht="66" customHeight="1">
      <c r="A42" s="2" t="inlineStr">
        <is>
          <t>jeminise.com+custom-american-football-on-cosmic-background-vintage-comforter-62a3849621-62a3849621</t>
        </is>
      </c>
      <c r="B42" s="2" t="inlineStr">
        <is>
          <t>qaimg_4f48ca0e52576484</t>
        </is>
      </c>
      <c r="C42" s="4" t="inlineStr">
        <is>
          <t>https://cdn.shopify.com/s/files/1/0792/5098/1063/files/9aa9c35ad239e2defe80d680bfc9c3ac770143ee38bd0c93c9b9e1b1dc297f8c_36262fc6-efaa-4cca-aed1-b9455ede2ae8.jpg?v=1785100295</t>
        </is>
      </c>
      <c r="D42" s="4" t="inlineStr">
        <is>
          <t>https://cdn.shopify.com/s/files/1/0792/5098/1063/files/9aa9c35ad239e2defe80d680bfc9c3ac770143ee38bd0c93c9b9e1b1dc297f8c_36262fc6-efaa-4cca-aed1-b9455ede2ae8.jpg?v=1785100295</t>
        </is>
      </c>
      <c r="E42" s="2" t="inlineStr">
        <is>
          <t>38506713940167</t>
        </is>
      </c>
      <c r="F42" s="2" t="inlineStr">
        <is>
          <t>47540153450695</t>
        </is>
      </c>
      <c r="G42" s="2" t="inlineStr"/>
      <c r="H42" s="2" t="inlineStr">
        <is>
          <t>GALLERY</t>
        </is>
      </c>
      <c r="I42" s="2" t="inlineStr">
        <is>
          <t>DIRECT_ORIGINAL_IMAGE</t>
        </is>
      </c>
      <c r="J42" s="2" t="inlineStr">
        <is>
          <t>2026-09-07T15:21:43.658434+07:00</t>
        </is>
      </c>
      <c r="K42" s="2" t="inlineStr">
        <is>
          <t>Duvet-cover versus comforter product-type comparison.</t>
        </is>
      </c>
      <c r="L42" s="2" t="inlineStr">
        <is>
          <t>Product type comparison or matching pillow sham/detail image for personalized cosmic football comforter with the name Kevin and number 20.</t>
        </is>
      </c>
      <c r="M42" s="2" t="inlineStr">
        <is>
          <t>Custom American Football on Cosmic Background Vintage Comforter</t>
        </is>
      </c>
      <c r="N42" s="2" t="inlineStr">
        <is>
          <t>SET</t>
        </is>
      </c>
      <c r="O42" s="2" t="inlineStr">
        <is>
          <t>Matching sham or product info image for Cosmic Football Comforter Set</t>
        </is>
      </c>
      <c r="P42" s="2" t="inlineStr">
        <is>
          <t>FULL</t>
        </is>
      </c>
      <c r="Q42" s="2" t="inlineStr">
        <is>
          <t>PARTIAL</t>
        </is>
      </c>
      <c r="R42" s="2" t="inlineStr">
        <is>
          <t>PARTIAL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["R2-ISS-037-IMG-03"]</t>
        </is>
      </c>
      <c r="Z42" s="2"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 "https://jeminise.com/products/custom-american-football-on-cosmic-background-vintage-comforter-62a3849621-62a3849621", "https://cdn.shopify.com/s/files/1/0792/5098/1063/files/9aa9c35ad239e2defe80d680bfc9c3ac770143ee38bd0c93c9b9e1b1dc297f8c_36262fc6-efaa-4cca-aed1-b9455ede2ae8.jpg?v=1785100295"]</t>
        </is>
      </c>
    </row>
    <row r="43" ht="66" customHeight="1">
      <c r="A43" s="3" t="inlineStr">
        <is>
          <t>jeminise.com+custom-american-football-on-cosmic-background-vintage-comforter-62a3849621-62a3849621</t>
        </is>
      </c>
      <c r="B43" s="3" t="inlineStr">
        <is>
          <t>qaimg_5e835bea47e4c1ff</t>
        </is>
      </c>
      <c r="C43" s="4" t="inlineStr">
        <is>
          <t>https://cdn.shopify.com/s/files/1/0792/5098/1063/files/7a84d6352dbc1e78ebe1fc0d5c248b6dada28fcf2bc3ae2d6caf4e1511373e35.jpg?v=1785100295</t>
        </is>
      </c>
      <c r="D43" s="4" t="inlineStr">
        <is>
          <t>https://cdn.shopify.com/s/files/1/0792/5098/1063/files/7a84d6352dbc1e78ebe1fc0d5c248b6dada28fcf2bc3ae2d6caf4e1511373e35.jpg?v=1785100295</t>
        </is>
      </c>
      <c r="E43" s="3" t="inlineStr">
        <is>
          <t>38506713972935</t>
        </is>
      </c>
      <c r="F43" s="3" t="inlineStr">
        <is>
          <t>47540153483463</t>
        </is>
      </c>
      <c r="G43" s="3" t="inlineStr"/>
      <c r="H43" s="3" t="inlineStr">
        <is>
          <t>GALLERY</t>
        </is>
      </c>
      <c r="I43" s="3" t="inlineStr">
        <is>
          <t>DIRECT_ORIGINAL_IMAGE</t>
        </is>
      </c>
      <c r="J43" s="3" t="inlineStr">
        <is>
          <t>2026-09-07T15:21:43.658434+07:00</t>
        </is>
      </c>
      <c r="K43" s="3" t="inlineStr">
        <is>
          <t>Close-up feature panel marked soft, lightweight, durable and breathable.</t>
        </is>
      </c>
      <c r="L43" s="3" t="inlineStr">
        <is>
          <t>Close room/detail or fabric feature image showing personalized cosmic football comforter with the name Kevin and number 20.</t>
        </is>
      </c>
      <c r="M43" s="3" t="inlineStr">
        <is>
          <t>Custom American Football on Cosmic Background Vintage Comforter</t>
        </is>
      </c>
      <c r="N43" s="3" t="inlineStr">
        <is>
          <t>SET</t>
        </is>
      </c>
      <c r="O43" s="3" t="inlineStr">
        <is>
          <t>Close-up detail of cosmic football comforter with the name Kevin and number 20</t>
        </is>
      </c>
      <c r="P43" s="3" t="inlineStr">
        <is>
          <t>FULL</t>
        </is>
      </c>
      <c r="Q43" s="3" t="inlineStr">
        <is>
          <t>FULL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t>
        </is>
      </c>
      <c r="Z43" s="3"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 "https://jeminise.com/products/custom-american-football-on-cosmic-background-vintage-comforter-62a3849621-62a3849621", "https://cdn.shopify.com/s/files/1/0792/5098/1063/files/7a84d6352dbc1e78ebe1fc0d5c248b6dada28fcf2bc3ae2d6caf4e1511373e35.jpg?v=1785100295"]</t>
        </is>
      </c>
    </row>
    <row r="44" ht="66" customHeight="1">
      <c r="A44" s="2" t="inlineStr">
        <is>
          <t>jeminise.com+custom-american-football-on-cosmic-background-vintage-comforter-62a3849621-62a3849621</t>
        </is>
      </c>
      <c r="B44" s="2" t="inlineStr">
        <is>
          <t>qaimg_a0b443fba20448ff</t>
        </is>
      </c>
      <c r="C44" s="4" t="inlineStr">
        <is>
          <t>https://cdn.shopify.com/s/files/1/0792/5098/1063/files/1bbfbfcf6d26cde4c41dc9cd48a48d8537c348d2d8ae8239cde2198dbac1d7d5_2f6333ff-2210-49b8-95cd-4a58a2c3229b.jpg?v=1785100295</t>
        </is>
      </c>
      <c r="D44" s="4" t="inlineStr">
        <is>
          <t>https://cdn.shopify.com/s/files/1/0792/5098/1063/files/1bbfbfcf6d26cde4c41dc9cd48a48d8537c348d2d8ae8239cde2198dbac1d7d5_2f6333ff-2210-49b8-95cd-4a58a2c3229b.jpg?v=1785100295</t>
        </is>
      </c>
      <c r="E44" s="2" t="inlineStr">
        <is>
          <t>38506714005703</t>
        </is>
      </c>
      <c r="F44" s="2" t="inlineStr">
        <is>
          <t>47540153516231</t>
        </is>
      </c>
      <c r="G44" s="2" t="inlineStr"/>
      <c r="H44" s="2" t="inlineStr">
        <is>
          <t>GALLERY</t>
        </is>
      </c>
      <c r="I44" s="2" t="inlineStr">
        <is>
          <t>DIRECT_ORIGINAL_IMAGE</t>
        </is>
      </c>
      <c r="J44" s="2" t="inlineStr">
        <is>
          <t>2026-09-07T15:21:43.658434+07:00</t>
        </is>
      </c>
      <c r="K44" s="2" t="inlineStr">
        <is>
          <t>Easy-care instruction panel.</t>
        </is>
      </c>
      <c r="L44" s="2" t="inlineStr">
        <is>
          <t>Easy-care or sizing information image for the bedding set.</t>
        </is>
      </c>
      <c r="M44" s="2" t="inlineStr">
        <is>
          <t>Custom American Football on Cosmic Background Vintage Comforter</t>
        </is>
      </c>
      <c r="N44" s="2" t="inlineStr">
        <is>
          <t>SET</t>
        </is>
      </c>
      <c r="O44" s="2" t="inlineStr">
        <is>
          <t>Care or size information for Cosmic Football Comforter Set</t>
        </is>
      </c>
      <c r="P44" s="2" t="inlineStr">
        <is>
          <t>FULL</t>
        </is>
      </c>
      <c r="Q44" s="2" t="inlineStr">
        <is>
          <t>PARTIAL</t>
        </is>
      </c>
      <c r="R44" s="2" t="inlineStr">
        <is>
          <t>PARTIAL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["R2-ISS-037-IMG-05"]</t>
        </is>
      </c>
      <c r="Z44" s="2"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 "https://jeminise.com/products/custom-american-football-on-cosmic-background-vintage-comforter-62a3849621-62a3849621", "https://cdn.shopify.com/s/files/1/0792/5098/1063/files/1bbfbfcf6d26cde4c41dc9cd48a48d8537c348d2d8ae8239cde2198dbac1d7d5_2f6333ff-2210-49b8-95cd-4a58a2c3229b.jpg?v=1785100295"]</t>
        </is>
      </c>
    </row>
    <row r="45" ht="66" customHeight="1">
      <c r="A45" s="3" t="inlineStr">
        <is>
          <t>jeminise.com+custom-american-football-on-cosmic-background-vintage-comforter-62a3849621-62a3849621</t>
        </is>
      </c>
      <c r="B45" s="3" t="inlineStr">
        <is>
          <t>qaimg_40fc9ee63e1634d3</t>
        </is>
      </c>
      <c r="C45" s="4" t="inlineStr">
        <is>
          <t>https://cdn.shopify.com/s/files/1/0792/5098/1063/files/b875bfc16d8349abe649f457b947dd0efc388f0aa8df8cf243abee1bb432b085_894668af-b5c7-4cad-b078-ede9e4dae69a.jpg?v=1785100295</t>
        </is>
      </c>
      <c r="D45" s="4" t="inlineStr">
        <is>
          <t>https://cdn.shopify.com/s/files/1/0792/5098/1063/files/b875bfc16d8349abe649f457b947dd0efc388f0aa8df8cf243abee1bb432b085_894668af-b5c7-4cad-b078-ede9e4dae69a.jpg?v=1785100295</t>
        </is>
      </c>
      <c r="E45" s="3" t="inlineStr">
        <is>
          <t>38506714038471</t>
        </is>
      </c>
      <c r="F45" s="3" t="inlineStr">
        <is>
          <t>47540153548999</t>
        </is>
      </c>
      <c r="G45" s="3" t="inlineStr"/>
      <c r="H45" s="3" t="inlineStr">
        <is>
          <t>GALLERY</t>
        </is>
      </c>
      <c r="I45" s="3" t="inlineStr">
        <is>
          <t>DIRECT_ORIGINAL_IMAGE</t>
        </is>
      </c>
      <c r="J45" s="3" t="inlineStr">
        <is>
          <t>2026-09-07T15:21:43.658434+07:00</t>
        </is>
      </c>
      <c r="K45" s="3" t="inlineStr">
        <is>
          <t>Comforter and duvet-cover size-dimension diagram.</t>
        </is>
      </c>
      <c r="L45" s="3" t="inlineStr">
        <is>
          <t>Size dimension image for twin, full, queen and king bedding options.</t>
        </is>
      </c>
      <c r="M45" s="3" t="inlineStr">
        <is>
          <t>Custom American Football on Cosmic Background Vintage Comforter</t>
        </is>
      </c>
      <c r="N45" s="3" t="inlineStr">
        <is>
          <t>SET</t>
        </is>
      </c>
      <c r="O45" s="3" t="inlineStr">
        <is>
          <t>Size dimension guide for Cosmic Football Comforter Set</t>
        </is>
      </c>
      <c r="P45" s="3" t="inlineStr">
        <is>
          <t>FULL</t>
        </is>
      </c>
      <c r="Q45" s="3" t="inlineStr">
        <is>
          <t>FULL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t>
        </is>
      </c>
      <c r="Z45" s="3"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 "https://jeminise.com/products/custom-american-football-on-cosmic-background-vintage-comforter-62a3849621-62a3849621", "https://cdn.shopify.com/s/files/1/0792/5098/1063/files/b875bfc16d8349abe649f457b947dd0efc388f0aa8df8cf243abee1bb432b085_894668af-b5c7-4cad-b078-ede9e4dae69a.jpg?v=1785100295"]</t>
        </is>
      </c>
    </row>
    <row r="46" ht="66" customHeight="1">
      <c r="A46" s="2" t="inlineStr">
        <is>
          <t>jeminise.com+custom-american-football-on-usa-flag-background-comforter-703a7c0d82-703a7c0d82</t>
        </is>
      </c>
      <c r="B46" s="2" t="inlineStr">
        <is>
          <t>qaimg_b8bbf36c7b0d4e98</t>
        </is>
      </c>
      <c r="C46" s="4" t="inlineStr">
        <is>
          <t>https://cdn.shopify.com/s/files/1/0792/5098/1063/files/e5722218140b0bda49ea2f5691bd969b1bc3066cad7c3a0bb0771d1509e66d50.jpg?v=1785101771</t>
        </is>
      </c>
      <c r="D46" s="4" t="inlineStr">
        <is>
          <t>https://cdn.shopify.com/s/files/1/0792/5098/1063/files/e5722218140b0bda49ea2f5691bd969b1bc3066cad7c3a0bb0771d1509e66d50.jpg?v=1785101771</t>
        </is>
      </c>
      <c r="E46" s="2" t="inlineStr">
        <is>
          <t>38506854842567</t>
        </is>
      </c>
      <c r="F46" s="2" t="inlineStr">
        <is>
          <t>47540295008455</t>
        </is>
      </c>
      <c r="G46" s="2" t="inlineStr"/>
      <c r="H46" s="2" t="inlineStr">
        <is>
          <t>GALLERY</t>
        </is>
      </c>
      <c r="I46" s="2" t="inlineStr">
        <is>
          <t>DIRECT_ORIGINAL_IMAGE</t>
        </is>
      </c>
      <c r="J46" s="2" t="inlineStr">
        <is>
          <t>2026-09-07T15:21:43.658434+07:00</t>
        </is>
      </c>
      <c r="K46" s="2" t="inlineStr">
        <is>
          <t>Main bed view of a football on a vintage USA flag background with sample name Michael and number 30.</t>
        </is>
      </c>
      <c r="L46" s="2" t="inlineStr">
        <is>
          <t>Main bed mockup showing personalized USA flag football comforter with the name Michael and number 30.</t>
        </is>
      </c>
      <c r="M46" s="2" t="inlineStr">
        <is>
          <t>Custom American Football on Usa Flag Background Comforter</t>
        </is>
      </c>
      <c r="N46" s="2" t="inlineStr">
        <is>
          <t>SET</t>
        </is>
      </c>
      <c r="O46" s="2" t="inlineStr">
        <is>
          <t>USA Flag Football Comforter Set displayed on a bed</t>
        </is>
      </c>
      <c r="P46" s="2" t="inlineStr">
        <is>
          <t>FULL</t>
        </is>
      </c>
      <c r="Q46" s="2" t="inlineStr">
        <is>
          <t>FULL</t>
        </is>
      </c>
      <c r="R46" s="2" t="inlineStr">
        <is>
          <t>FULL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t>
        </is>
      </c>
      <c r="Z46" s="2"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 "https://jeminise.com/products/custom-american-football-on-usa-flag-background-comforter-703a7c0d82-703a7c0d82", "https://cdn.shopify.com/s/files/1/0792/5098/1063/files/e5722218140b0bda49ea2f5691bd969b1bc3066cad7c3a0bb0771d1509e66d50.jpg?v=1785101771"]</t>
        </is>
      </c>
    </row>
    <row r="47" ht="66" customHeight="1">
      <c r="A47" s="3" t="inlineStr">
        <is>
          <t>jeminise.com+custom-american-football-on-usa-flag-background-comforter-703a7c0d82-703a7c0d82</t>
        </is>
      </c>
      <c r="B47" s="3" t="inlineStr">
        <is>
          <t>qaimg_f115b796bd48c5f0</t>
        </is>
      </c>
      <c r="C47" s="4" t="inlineStr">
        <is>
          <t>https://cdn.shopify.com/s/files/1/0792/5098/1063/files/5583b1802d78e566880d8695a5c0bcdf0bb685b148b271042c5b29db02caaf18.jpg?v=1785101770</t>
        </is>
      </c>
      <c r="D47" s="4" t="inlineStr">
        <is>
          <t>https://cdn.shopify.com/s/files/1/0792/5098/1063/files/5583b1802d78e566880d8695a5c0bcdf0bb685b148b271042c5b29db02caaf18.jpg?v=1785101770</t>
        </is>
      </c>
      <c r="E47" s="3" t="inlineStr">
        <is>
          <t>38506854875335</t>
        </is>
      </c>
      <c r="F47" s="3" t="inlineStr">
        <is>
          <t>47540295041223</t>
        </is>
      </c>
      <c r="G47" s="3" t="inlineStr"/>
      <c r="H47" s="3" t="inlineStr">
        <is>
          <t>GALLERY</t>
        </is>
      </c>
      <c r="I47" s="3" t="inlineStr">
        <is>
          <t>DIRECT_ORIGINAL_IMAGE</t>
        </is>
      </c>
      <c r="J47" s="3" t="inlineStr">
        <is>
          <t>2026-09-07T15:21:43.658434+07:00</t>
        </is>
      </c>
      <c r="K47" s="3" t="inlineStr">
        <is>
          <t>Angled bedroom view of the same Michael 30 design.</t>
        </is>
      </c>
      <c r="L47" s="3" t="inlineStr">
        <is>
          <t>Angled bedroom mockup showing personalized USA flag football comforter with the name Michael and number 30.</t>
        </is>
      </c>
      <c r="M47" s="3" t="inlineStr">
        <is>
          <t>Custom American Football on Usa Flag Background Comforter</t>
        </is>
      </c>
      <c r="N47" s="3" t="inlineStr">
        <is>
          <t>SET</t>
        </is>
      </c>
      <c r="O47" s="3" t="inlineStr">
        <is>
          <t>Angled bedroom view of USA Flag Football Comforter Set</t>
        </is>
      </c>
      <c r="P47" s="3" t="inlineStr">
        <is>
          <t>FULL</t>
        </is>
      </c>
      <c r="Q47" s="3" t="inlineStr">
        <is>
          <t>FULL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t>
        </is>
      </c>
      <c r="Z47" s="3"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 "https://jeminise.com/products/custom-american-football-on-usa-flag-background-comforter-703a7c0d82-703a7c0d82", "https://cdn.shopify.com/s/files/1/0792/5098/1063/files/5583b1802d78e566880d8695a5c0bcdf0bb685b148b271042c5b29db02caaf18.jpg?v=1785101770"]</t>
        </is>
      </c>
    </row>
    <row r="48" ht="66" customHeight="1">
      <c r="A48" s="2" t="inlineStr">
        <is>
          <t>jeminise.com+custom-american-football-on-usa-flag-background-comforter-703a7c0d82-703a7c0d82</t>
        </is>
      </c>
      <c r="B48" s="2" t="inlineStr">
        <is>
          <t>qaimg_d42db3e36f2823e8</t>
        </is>
      </c>
      <c r="C48" s="4" t="inlineStr">
        <is>
          <t>https://cdn.shopify.com/s/files/1/0792/5098/1063/files/16f7293cbefa5743a35b2e6316a5a114e5c052d08151e367dafd26aa5e2e542b_50c40cd4-4737-483e-b146-d01efedc6b1f.jpg?v=1785101770</t>
        </is>
      </c>
      <c r="D48" s="4" t="inlineStr">
        <is>
          <t>https://cdn.shopify.com/s/files/1/0792/5098/1063/files/16f7293cbefa5743a35b2e6316a5a114e5c052d08151e367dafd26aa5e2e542b_50c40cd4-4737-483e-b146-d01efedc6b1f.jpg?v=1785101770</t>
        </is>
      </c>
      <c r="E48" s="2" t="inlineStr">
        <is>
          <t>38506854908103</t>
        </is>
      </c>
      <c r="F48" s="2" t="inlineStr">
        <is>
          <t>47540295073991</t>
        </is>
      </c>
      <c r="G48" s="2" t="inlineStr"/>
      <c r="H48" s="2" t="inlineStr">
        <is>
          <t>GALLERY</t>
        </is>
      </c>
      <c r="I48" s="2" t="inlineStr">
        <is>
          <t>DIRECT_ORIGINAL_IMAGE</t>
        </is>
      </c>
      <c r="J48" s="2" t="inlineStr">
        <is>
          <t>2026-09-07T15:21:43.658434+07:00</t>
        </is>
      </c>
      <c r="K48" s="2" t="inlineStr">
        <is>
          <t>Duvet-cover versus comforter product-type comparison.</t>
        </is>
      </c>
      <c r="L48" s="2" t="inlineStr">
        <is>
          <t>Product type comparison or matching pillow sham/detail image for personalized USA flag football comforter with the name Michael and number 30.</t>
        </is>
      </c>
      <c r="M48" s="2" t="inlineStr">
        <is>
          <t>Custom American Football on Usa Flag Background Comforter</t>
        </is>
      </c>
      <c r="N48" s="2" t="inlineStr">
        <is>
          <t>SET</t>
        </is>
      </c>
      <c r="O48" s="2" t="inlineStr">
        <is>
          <t>Matching sham or product info image for USA Flag Football Comforter Set</t>
        </is>
      </c>
      <c r="P48" s="2" t="inlineStr">
        <is>
          <t>FULL</t>
        </is>
      </c>
      <c r="Q48" s="2" t="inlineStr">
        <is>
          <t>PARTIAL</t>
        </is>
      </c>
      <c r="R48" s="2" t="inlineStr">
        <is>
          <t>PARTIAL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["R2-ISS-038-IMG-03"]</t>
        </is>
      </c>
      <c r="Z48" s="2"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 "https://jeminise.com/products/custom-american-football-on-usa-flag-background-comforter-703a7c0d82-703a7c0d82", "https://cdn.shopify.com/s/files/1/0792/5098/1063/files/16f7293cbefa5743a35b2e6316a5a114e5c052d08151e367dafd26aa5e2e542b_50c40cd4-4737-483e-b146-d01efedc6b1f.jpg?v=1785101770"]</t>
        </is>
      </c>
    </row>
    <row r="49" ht="66" customHeight="1">
      <c r="A49" s="3" t="inlineStr">
        <is>
          <t>jeminise.com+custom-american-football-on-usa-flag-background-comforter-703a7c0d82-703a7c0d82</t>
        </is>
      </c>
      <c r="B49" s="3" t="inlineStr">
        <is>
          <t>qaimg_99346a3485478f71</t>
        </is>
      </c>
      <c r="C49" s="4" t="inlineStr">
        <is>
          <t>https://cdn.shopify.com/s/files/1/0792/5098/1063/files/c05fa3057772437a9c016de35e8829c295fa0f9aa5ab3e4cef2ef36b835bcecb.jpg?v=1785101770</t>
        </is>
      </c>
      <c r="D49" s="4" t="inlineStr">
        <is>
          <t>https://cdn.shopify.com/s/files/1/0792/5098/1063/files/c05fa3057772437a9c016de35e8829c295fa0f9aa5ab3e4cef2ef36b835bcecb.jpg?v=1785101770</t>
        </is>
      </c>
      <c r="E49" s="3" t="inlineStr">
        <is>
          <t>38506854940871</t>
        </is>
      </c>
      <c r="F49" s="3" t="inlineStr">
        <is>
          <t>47540295106759</t>
        </is>
      </c>
      <c r="G49" s="3" t="inlineStr"/>
      <c r="H49" s="3" t="inlineStr">
        <is>
          <t>GALLERY</t>
        </is>
      </c>
      <c r="I49" s="3" t="inlineStr">
        <is>
          <t>DIRECT_ORIGINAL_IMAGE</t>
        </is>
      </c>
      <c r="J49" s="3" t="inlineStr">
        <is>
          <t>2026-09-07T15:21:43.658434+07:00</t>
        </is>
      </c>
      <c r="K49" s="3" t="inlineStr">
        <is>
          <t>Close-up feature panel marked soft, lightweight, durable and breathable.</t>
        </is>
      </c>
      <c r="L49" s="3" t="inlineStr">
        <is>
          <t>Close room/detail or fabric feature image showing personalized USA flag football comforter with the name Michael and number 30.</t>
        </is>
      </c>
      <c r="M49" s="3" t="inlineStr">
        <is>
          <t>Custom American Football on Usa Flag Background Comforter</t>
        </is>
      </c>
      <c r="N49" s="3" t="inlineStr">
        <is>
          <t>SET</t>
        </is>
      </c>
      <c r="O49" s="3" t="inlineStr">
        <is>
          <t>Close-up detail of USA flag football comforter with the name Michael and number 30</t>
        </is>
      </c>
      <c r="P49" s="3" t="inlineStr">
        <is>
          <t>FULL</t>
        </is>
      </c>
      <c r="Q49" s="3" t="inlineStr">
        <is>
          <t>FULL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t>
        </is>
      </c>
      <c r="Z49" s="3"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 "https://jeminise.com/products/custom-american-football-on-usa-flag-background-comforter-703a7c0d82-703a7c0d82", "https://cdn.shopify.com/s/files/1/0792/5098/1063/files/c05fa3057772437a9c016de35e8829c295fa0f9aa5ab3e4cef2ef36b835bcecb.jpg?v=1785101770"]</t>
        </is>
      </c>
    </row>
    <row r="50" ht="66" customHeight="1">
      <c r="A50" s="2" t="inlineStr">
        <is>
          <t>jeminise.com+custom-american-football-on-usa-flag-background-comforter-703a7c0d82-703a7c0d82</t>
        </is>
      </c>
      <c r="B50" s="2" t="inlineStr">
        <is>
          <t>qaimg_1a242778991d1060</t>
        </is>
      </c>
      <c r="C50" s="4" t="inlineStr">
        <is>
          <t>https://cdn.shopify.com/s/files/1/0792/5098/1063/files/7c006bddc94d4763c71c8376307e195c1bbce73b8c802ec73ac5a8cef1291262_e42da11c-22a6-4e3d-bb70-996edab6cf62.jpg?v=1785101771</t>
        </is>
      </c>
      <c r="D50" s="4" t="inlineStr">
        <is>
          <t>https://cdn.shopify.com/s/files/1/0792/5098/1063/files/7c006bddc94d4763c71c8376307e195c1bbce73b8c802ec73ac5a8cef1291262_e42da11c-22a6-4e3d-bb70-996edab6cf62.jpg?v=1785101771</t>
        </is>
      </c>
      <c r="E50" s="2" t="inlineStr">
        <is>
          <t>38506854973639</t>
        </is>
      </c>
      <c r="F50" s="2" t="inlineStr">
        <is>
          <t>47540295139527</t>
        </is>
      </c>
      <c r="G50" s="2" t="inlineStr"/>
      <c r="H50" s="2" t="inlineStr">
        <is>
          <t>GALLERY</t>
        </is>
      </c>
      <c r="I50" s="2" t="inlineStr">
        <is>
          <t>DIRECT_ORIGINAL_IMAGE</t>
        </is>
      </c>
      <c r="J50" s="2" t="inlineStr">
        <is>
          <t>2026-09-07T15:21:43.658434+07:00</t>
        </is>
      </c>
      <c r="K50" s="2" t="inlineStr">
        <is>
          <t>Easy-care instruction panel.</t>
        </is>
      </c>
      <c r="L50" s="2" t="inlineStr">
        <is>
          <t>Easy-care or sizing information image for the bedding set.</t>
        </is>
      </c>
      <c r="M50" s="2" t="inlineStr">
        <is>
          <t>Custom American Football on Usa Flag Background Comforter</t>
        </is>
      </c>
      <c r="N50" s="2" t="inlineStr">
        <is>
          <t>SET</t>
        </is>
      </c>
      <c r="O50" s="2" t="inlineStr">
        <is>
          <t>Care or size information for USA Flag Football Comforter Set</t>
        </is>
      </c>
      <c r="P50" s="2" t="inlineStr">
        <is>
          <t>FULL</t>
        </is>
      </c>
      <c r="Q50" s="2" t="inlineStr">
        <is>
          <t>PARTIAL</t>
        </is>
      </c>
      <c r="R50" s="2" t="inlineStr">
        <is>
          <t>PARTIAL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["R2-ISS-038-IMG-05"]</t>
        </is>
      </c>
      <c r="Z50" s="2"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 "https://jeminise.com/products/custom-american-football-on-usa-flag-background-comforter-703a7c0d82-703a7c0d82", "https://cdn.shopify.com/s/files/1/0792/5098/1063/files/7c006bddc94d4763c71c8376307e195c1bbce73b8c802ec73ac5a8cef1291262_e42da11c-22a6-4e3d-bb70-996edab6cf62.jpg?v=1785101771"]</t>
        </is>
      </c>
    </row>
    <row r="51" ht="66" customHeight="1">
      <c r="A51" s="3" t="inlineStr">
        <is>
          <t>jeminise.com+custom-american-football-on-usa-flag-background-comforter-703a7c0d82-703a7c0d82</t>
        </is>
      </c>
      <c r="B51" s="3" t="inlineStr">
        <is>
          <t>qaimg_dfc771a6b56abd3e</t>
        </is>
      </c>
      <c r="C51" s="4" t="inlineStr">
        <is>
          <t>https://cdn.shopify.com/s/files/1/0792/5098/1063/files/e5cad84edb4d7bf77c48fd7c8e52eb3b73f04eba8bf177671fd8a059c59422e8_83f80854-ef3b-498b-9687-6e0c3210b351.jpg?v=1785101770</t>
        </is>
      </c>
      <c r="D51" s="4" t="inlineStr">
        <is>
          <t>https://cdn.shopify.com/s/files/1/0792/5098/1063/files/e5cad84edb4d7bf77c48fd7c8e52eb3b73f04eba8bf177671fd8a059c59422e8_83f80854-ef3b-498b-9687-6e0c3210b351.jpg?v=1785101770</t>
        </is>
      </c>
      <c r="E51" s="3" t="inlineStr">
        <is>
          <t>38506855006407</t>
        </is>
      </c>
      <c r="F51" s="3" t="inlineStr">
        <is>
          <t>47540295172295</t>
        </is>
      </c>
      <c r="G51" s="3" t="inlineStr"/>
      <c r="H51" s="3" t="inlineStr">
        <is>
          <t>GALLERY</t>
        </is>
      </c>
      <c r="I51" s="3" t="inlineStr">
        <is>
          <t>DIRECT_ORIGINAL_IMAGE</t>
        </is>
      </c>
      <c r="J51" s="3" t="inlineStr">
        <is>
          <t>2026-09-07T15:21:43.658434+07:00</t>
        </is>
      </c>
      <c r="K51" s="3" t="inlineStr">
        <is>
          <t>Comforter and duvet-cover size-dimension diagram.</t>
        </is>
      </c>
      <c r="L51" s="3" t="inlineStr">
        <is>
          <t>Size dimension image for twin, full, queen and king bedding options.</t>
        </is>
      </c>
      <c r="M51" s="3" t="inlineStr">
        <is>
          <t>Custom American Football on Usa Flag Background Comforter</t>
        </is>
      </c>
      <c r="N51" s="3" t="inlineStr">
        <is>
          <t>SET</t>
        </is>
      </c>
      <c r="O51" s="3" t="inlineStr">
        <is>
          <t>Size dimension guide for USA Flag Football Comforter Set</t>
        </is>
      </c>
      <c r="P51" s="3" t="inlineStr">
        <is>
          <t>FULL</t>
        </is>
      </c>
      <c r="Q51" s="3" t="inlineStr">
        <is>
          <t>FULL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t>
        </is>
      </c>
      <c r="Z51" s="3"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 "https://jeminise.com/products/custom-american-football-on-usa-flag-background-comforter-703a7c0d82-703a7c0d82", "https://cdn.shopify.com/s/files/1/0792/5098/1063/files/e5cad84edb4d7bf77c48fd7c8e52eb3b73f04eba8bf177671fd8a059c59422e8_83f80854-ef3b-498b-9687-6e0c3210b351.jpg?v=1785101770"]</t>
        </is>
      </c>
    </row>
    <row r="52" ht="66" customHeight="1">
      <c r="A52" s="2" t="inlineStr">
        <is>
          <t>jeminise.com+custom-american-football-with-paint-splash-background-vintage-comforter-da0e1d5bf1-da0e1d5bf1</t>
        </is>
      </c>
      <c r="B52" s="2" t="inlineStr">
        <is>
          <t>qaimg_f57f1ca7373a267d</t>
        </is>
      </c>
      <c r="C52" s="4" t="inlineStr">
        <is>
          <t>https://cdn.shopify.com/s/files/1/0792/5098/1063/files/f9e8536c20f2dc19107c6fd69a43535c4bb88bac4323fd1ee6ac49a2601099d3.jpg?v=1785102312</t>
        </is>
      </c>
      <c r="D52" s="4" t="inlineStr">
        <is>
          <t>https://cdn.shopify.com/s/files/1/0792/5098/1063/files/f9e8536c20f2dc19107c6fd69a43535c4bb88bac4323fd1ee6ac49a2601099d3.jpg?v=1785102312</t>
        </is>
      </c>
      <c r="E52" s="2" t="inlineStr">
        <is>
          <t>38506886070471</t>
        </is>
      </c>
      <c r="F52" s="2" t="inlineStr">
        <is>
          <t>47540326236359</t>
        </is>
      </c>
      <c r="G52" s="2" t="inlineStr"/>
      <c r="H52" s="2" t="inlineStr">
        <is>
          <t>GALLERY</t>
        </is>
      </c>
      <c r="I52" s="2" t="inlineStr">
        <is>
          <t>DIRECT_ORIGINAL_IMAGE</t>
        </is>
      </c>
      <c r="J52" s="2" t="inlineStr">
        <is>
          <t>2026-09-07T15:21:43.658434+07:00</t>
        </is>
      </c>
      <c r="K52" s="2" t="inlineStr">
        <is>
          <t>Main bed view of a tan paint-splash football design with sample name MARK and number 15.</t>
        </is>
      </c>
      <c r="L52" s="2" t="inlineStr">
        <is>
          <t>Main bed mockup showing personalized vintage football comforter with the name Mark and number 15.</t>
        </is>
      </c>
      <c r="M52" s="2" t="inlineStr">
        <is>
          <t>Custom American Football with Paint Splash Background Vintage Comforter</t>
        </is>
      </c>
      <c r="N52" s="2" t="inlineStr">
        <is>
          <t>SET</t>
        </is>
      </c>
      <c r="O52" s="2" t="inlineStr">
        <is>
          <t>Vintage Football Comforter Set displayed on a bed</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t>
        </is>
      </c>
      <c r="Z52" s="2"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 "https://jeminise.com/products/custom-american-football-with-paint-splash-background-vintage-comforter-da0e1d5bf1-da0e1d5bf1", "https://cdn.shopify.com/s/files/1/0792/5098/1063/files/f9e8536c20f2dc19107c6fd69a43535c4bb88bac4323fd1ee6ac49a2601099d3.jpg?v=1785102312"]</t>
        </is>
      </c>
    </row>
    <row r="53" ht="66" customHeight="1">
      <c r="A53" s="3" t="inlineStr">
        <is>
          <t>jeminise.com+custom-american-football-with-paint-splash-background-vintage-comforter-da0e1d5bf1-da0e1d5bf1</t>
        </is>
      </c>
      <c r="B53" s="3" t="inlineStr">
        <is>
          <t>qaimg_558cacbc16455716</t>
        </is>
      </c>
      <c r="C53" s="4" t="inlineStr">
        <is>
          <t>https://cdn.shopify.com/s/files/1/0792/5098/1063/files/928eb50ae3f1bc7e4d40765cc2350f1fd1aba1a4ed6c886ee957ba75876d92ff.jpg?v=1785102312</t>
        </is>
      </c>
      <c r="D53" s="4" t="inlineStr">
        <is>
          <t>https://cdn.shopify.com/s/files/1/0792/5098/1063/files/928eb50ae3f1bc7e4d40765cc2350f1fd1aba1a4ed6c886ee957ba75876d92ff.jpg?v=1785102312</t>
        </is>
      </c>
      <c r="E53" s="3" t="inlineStr">
        <is>
          <t>38506886103239</t>
        </is>
      </c>
      <c r="F53" s="3" t="inlineStr">
        <is>
          <t>47540326269127</t>
        </is>
      </c>
      <c r="G53" s="3" t="inlineStr"/>
      <c r="H53" s="3" t="inlineStr">
        <is>
          <t>GALLERY</t>
        </is>
      </c>
      <c r="I53" s="3" t="inlineStr">
        <is>
          <t>DIRECT_ORIGINAL_IMAGE</t>
        </is>
      </c>
      <c r="J53" s="3" t="inlineStr">
        <is>
          <t>2026-09-07T15:21:43.658434+07:00</t>
        </is>
      </c>
      <c r="K53" s="3" t="inlineStr">
        <is>
          <t>Angled bedroom view of the same MARK 15 design.</t>
        </is>
      </c>
      <c r="L53" s="3" t="inlineStr">
        <is>
          <t>Angled bedroom mockup showing personalized vintage football comforter with the name Mark and number 15.</t>
        </is>
      </c>
      <c r="M53" s="3" t="inlineStr">
        <is>
          <t>Custom American Football with Paint Splash Background Vintage Comforter</t>
        </is>
      </c>
      <c r="N53" s="3" t="inlineStr">
        <is>
          <t>SET</t>
        </is>
      </c>
      <c r="O53" s="3" t="inlineStr">
        <is>
          <t>Angled bedroom view of Vintage Football Comforter Set</t>
        </is>
      </c>
      <c r="P53" s="3" t="inlineStr">
        <is>
          <t>FULL</t>
        </is>
      </c>
      <c r="Q53" s="3" t="inlineStr">
        <is>
          <t>FULL</t>
        </is>
      </c>
      <c r="R53" s="3" t="inlineStr">
        <is>
          <t>FULL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t>
        </is>
      </c>
      <c r="Z53" s="3"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 "https://jeminise.com/products/custom-american-football-with-paint-splash-background-vintage-comforter-da0e1d5bf1-da0e1d5bf1", "https://cdn.shopify.com/s/files/1/0792/5098/1063/files/928eb50ae3f1bc7e4d40765cc2350f1fd1aba1a4ed6c886ee957ba75876d92ff.jpg?v=1785102312"]</t>
        </is>
      </c>
    </row>
    <row r="54" ht="66" customHeight="1">
      <c r="A54" s="2" t="inlineStr">
        <is>
          <t>jeminise.com+custom-american-football-with-paint-splash-background-vintage-comforter-da0e1d5bf1-da0e1d5bf1</t>
        </is>
      </c>
      <c r="B54" s="2" t="inlineStr">
        <is>
          <t>qaimg_341de507c2adef85</t>
        </is>
      </c>
      <c r="C54" s="4" t="inlineStr">
        <is>
          <t>https://cdn.shopify.com/s/files/1/0792/5098/1063/files/16f7293cbefa5743a35b2e6316a5a114e5c052d08151e367dafd26aa5e2e542b_1acfa0ab-cba8-45fa-a4cf-f1fd84ab628b.jpg?v=1785102312</t>
        </is>
      </c>
      <c r="D54" s="4" t="inlineStr">
        <is>
          <t>https://cdn.shopify.com/s/files/1/0792/5098/1063/files/16f7293cbefa5743a35b2e6316a5a114e5c052d08151e367dafd26aa5e2e542b_1acfa0ab-cba8-45fa-a4cf-f1fd84ab628b.jpg?v=1785102312</t>
        </is>
      </c>
      <c r="E54" s="2" t="inlineStr">
        <is>
          <t>38506886136007</t>
        </is>
      </c>
      <c r="F54" s="2" t="inlineStr">
        <is>
          <t>47540326301895</t>
        </is>
      </c>
      <c r="G54" s="2" t="inlineStr"/>
      <c r="H54" s="2" t="inlineStr">
        <is>
          <t>GALLERY</t>
        </is>
      </c>
      <c r="I54" s="2" t="inlineStr">
        <is>
          <t>DIRECT_ORIGINAL_IMAGE</t>
        </is>
      </c>
      <c r="J54" s="2" t="inlineStr">
        <is>
          <t>2026-09-07T15:21:43.658434+07:00</t>
        </is>
      </c>
      <c r="K54" s="2" t="inlineStr">
        <is>
          <t>Duvet-cover versus comforter product-type comparison.</t>
        </is>
      </c>
      <c r="L54" s="2" t="inlineStr">
        <is>
          <t>Product type comparison or matching pillow sham/detail image for personalized vintage football comforter with the name Mark and number 15.</t>
        </is>
      </c>
      <c r="M54" s="2" t="inlineStr">
        <is>
          <t>Custom American Football with Paint Splash Background Vintage Comforter</t>
        </is>
      </c>
      <c r="N54" s="2" t="inlineStr">
        <is>
          <t>SET</t>
        </is>
      </c>
      <c r="O54" s="2" t="inlineStr">
        <is>
          <t>Matching sham or product info image for Vintage Football Comforter Set</t>
        </is>
      </c>
      <c r="P54" s="2" t="inlineStr">
        <is>
          <t>FULL</t>
        </is>
      </c>
      <c r="Q54" s="2" t="inlineStr">
        <is>
          <t>PARTIAL</t>
        </is>
      </c>
      <c r="R54" s="2" t="inlineStr">
        <is>
          <t>PARTIAL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["R2-ISS-039-IMG-03"]</t>
        </is>
      </c>
      <c r="Z54" s="2"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 "https://jeminise.com/products/custom-american-football-with-paint-splash-background-vintage-comforter-da0e1d5bf1-da0e1d5bf1", "https://cdn.shopify.com/s/files/1/0792/5098/1063/files/16f7293cbefa5743a35b2e6316a5a114e5c052d08151e367dafd26aa5e2e542b_1acfa0ab-cba8-45fa-a4cf-f1fd84ab628b.jpg?v=1785102312"]</t>
        </is>
      </c>
    </row>
    <row r="55" ht="66" customHeight="1">
      <c r="A55" s="3" t="inlineStr">
        <is>
          <t>jeminise.com+custom-american-football-with-paint-splash-background-vintage-comforter-da0e1d5bf1-da0e1d5bf1</t>
        </is>
      </c>
      <c r="B55" s="3" t="inlineStr">
        <is>
          <t>qaimg_13afc64e218a59d2</t>
        </is>
      </c>
      <c r="C55" s="4" t="inlineStr">
        <is>
          <t>https://cdn.shopify.com/s/files/1/0792/5098/1063/files/fcef7f349baccd1d4b9d05508c169228825a3e4845ac14a8f93db8f652db7186.jpg?v=1785102312</t>
        </is>
      </c>
      <c r="D55" s="4" t="inlineStr">
        <is>
          <t>https://cdn.shopify.com/s/files/1/0792/5098/1063/files/fcef7f349baccd1d4b9d05508c169228825a3e4845ac14a8f93db8f652db7186.jpg?v=1785102312</t>
        </is>
      </c>
      <c r="E55" s="3" t="inlineStr">
        <is>
          <t>38506886168775</t>
        </is>
      </c>
      <c r="F55" s="3" t="inlineStr">
        <is>
          <t>47540326334663</t>
        </is>
      </c>
      <c r="G55" s="3" t="inlineStr"/>
      <c r="H55" s="3" t="inlineStr">
        <is>
          <t>GALLERY</t>
        </is>
      </c>
      <c r="I55" s="3" t="inlineStr">
        <is>
          <t>DIRECT_ORIGINAL_IMAGE</t>
        </is>
      </c>
      <c r="J55" s="3" t="inlineStr">
        <is>
          <t>2026-09-07T15:21:43.658434+07:00</t>
        </is>
      </c>
      <c r="K55" s="3" t="inlineStr">
        <is>
          <t>Close-up feature panel marked soft, lightweight, durable and breathable.</t>
        </is>
      </c>
      <c r="L55" s="3" t="inlineStr">
        <is>
          <t>Close room/detail or fabric feature image showing personalized vintage football comforter with the name Mark and number 15.</t>
        </is>
      </c>
      <c r="M55" s="3" t="inlineStr">
        <is>
          <t>Custom American Football with Paint Splash Background Vintage Comforter</t>
        </is>
      </c>
      <c r="N55" s="3" t="inlineStr">
        <is>
          <t>SET</t>
        </is>
      </c>
      <c r="O55" s="3" t="inlineStr">
        <is>
          <t>Close-up detail of vintage football comforter with the name Mark and number 15</t>
        </is>
      </c>
      <c r="P55" s="3" t="inlineStr">
        <is>
          <t>FULL</t>
        </is>
      </c>
      <c r="Q55" s="3" t="inlineStr">
        <is>
          <t>FULL</t>
        </is>
      </c>
      <c r="R55" s="3" t="inlineStr">
        <is>
          <t>FULL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t>
        </is>
      </c>
      <c r="Z55" s="3"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 "https://jeminise.com/products/custom-american-football-with-paint-splash-background-vintage-comforter-da0e1d5bf1-da0e1d5bf1", "https://cdn.shopify.com/s/files/1/0792/5098/1063/files/fcef7f349baccd1d4b9d05508c169228825a3e4845ac14a8f93db8f652db7186.jpg?v=1785102312"]</t>
        </is>
      </c>
    </row>
    <row r="56" ht="66" customHeight="1">
      <c r="A56" s="2" t="inlineStr">
        <is>
          <t>jeminise.com+custom-american-football-with-paint-splash-background-vintage-comforter-da0e1d5bf1-da0e1d5bf1</t>
        </is>
      </c>
      <c r="B56" s="2" t="inlineStr">
        <is>
          <t>qaimg_f17dd103af765a75</t>
        </is>
      </c>
      <c r="C56" s="4" t="inlineStr">
        <is>
          <t>https://cdn.shopify.com/s/files/1/0792/5098/1063/files/7c006bddc94d4763c71c8376307e195c1bbce73b8c802ec73ac5a8cef1291262_e57e2d4f-2a74-4a7f-9a82-b7c808f9b0cc.jpg?v=1785102312</t>
        </is>
      </c>
      <c r="D56" s="4" t="inlineStr">
        <is>
          <t>https://cdn.shopify.com/s/files/1/0792/5098/1063/files/7c006bddc94d4763c71c8376307e195c1bbce73b8c802ec73ac5a8cef1291262_e57e2d4f-2a74-4a7f-9a82-b7c808f9b0cc.jpg?v=1785102312</t>
        </is>
      </c>
      <c r="E56" s="2" t="inlineStr">
        <is>
          <t>38506886201543</t>
        </is>
      </c>
      <c r="F56" s="2" t="inlineStr">
        <is>
          <t>47540326367431</t>
        </is>
      </c>
      <c r="G56" s="2" t="inlineStr"/>
      <c r="H56" s="2" t="inlineStr">
        <is>
          <t>GALLERY</t>
        </is>
      </c>
      <c r="I56" s="2" t="inlineStr">
        <is>
          <t>DIRECT_ORIGINAL_IMAGE</t>
        </is>
      </c>
      <c r="J56" s="2" t="inlineStr">
        <is>
          <t>2026-09-07T15:21:43.658434+07:00</t>
        </is>
      </c>
      <c r="K56" s="2" t="inlineStr">
        <is>
          <t>Easy-care instruction panel.</t>
        </is>
      </c>
      <c r="L56" s="2" t="inlineStr">
        <is>
          <t>Easy-care or sizing information image for the bedding set.</t>
        </is>
      </c>
      <c r="M56" s="2" t="inlineStr">
        <is>
          <t>Custom American Football with Paint Splash Background Vintage Comforter</t>
        </is>
      </c>
      <c r="N56" s="2" t="inlineStr">
        <is>
          <t>SET</t>
        </is>
      </c>
      <c r="O56" s="2" t="inlineStr">
        <is>
          <t>Care or size information for Vintage Football Comforter Set</t>
        </is>
      </c>
      <c r="P56" s="2" t="inlineStr">
        <is>
          <t>FULL</t>
        </is>
      </c>
      <c r="Q56" s="2" t="inlineStr">
        <is>
          <t>PARTIAL</t>
        </is>
      </c>
      <c r="R56" s="2" t="inlineStr">
        <is>
          <t>PARTIAL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["R2-ISS-039-IMG-05"]</t>
        </is>
      </c>
      <c r="Z56" s="2"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 "https://jeminise.com/products/custom-american-football-with-paint-splash-background-vintage-comforter-da0e1d5bf1-da0e1d5bf1", "https://cdn.shopify.com/s/files/1/0792/5098/1063/files/7c006bddc94d4763c71c8376307e195c1bbce73b8c802ec73ac5a8cef1291262_e57e2d4f-2a74-4a7f-9a82-b7c808f9b0cc.jpg?v=1785102312"]</t>
        </is>
      </c>
    </row>
    <row r="57" ht="66" customHeight="1">
      <c r="A57" s="3" t="inlineStr">
        <is>
          <t>jeminise.com+custom-american-football-with-paint-splash-background-vintage-comforter-da0e1d5bf1-da0e1d5bf1</t>
        </is>
      </c>
      <c r="B57" s="3" t="inlineStr">
        <is>
          <t>qaimg_957435caf59cffa3</t>
        </is>
      </c>
      <c r="C57" s="4" t="inlineStr">
        <is>
          <t>https://cdn.shopify.com/s/files/1/0792/5098/1063/files/e5cad84edb4d7bf77c48fd7c8e52eb3b73f04eba8bf177671fd8a059c59422e8_e4232455-7802-4105-bf12-f40717779408.jpg?v=1785102312</t>
        </is>
      </c>
      <c r="D57" s="4" t="inlineStr">
        <is>
          <t>https://cdn.shopify.com/s/files/1/0792/5098/1063/files/e5cad84edb4d7bf77c48fd7c8e52eb3b73f04eba8bf177671fd8a059c59422e8_e4232455-7802-4105-bf12-f40717779408.jpg?v=1785102312</t>
        </is>
      </c>
      <c r="E57" s="3" t="inlineStr">
        <is>
          <t>38506886234311</t>
        </is>
      </c>
      <c r="F57" s="3" t="inlineStr">
        <is>
          <t>47540326400199</t>
        </is>
      </c>
      <c r="G57" s="3" t="inlineStr"/>
      <c r="H57" s="3" t="inlineStr">
        <is>
          <t>GALLERY</t>
        </is>
      </c>
      <c r="I57" s="3" t="inlineStr">
        <is>
          <t>DIRECT_ORIGINAL_IMAGE</t>
        </is>
      </c>
      <c r="J57" s="3" t="inlineStr">
        <is>
          <t>2026-09-07T15:21:43.658434+07:00</t>
        </is>
      </c>
      <c r="K57" s="3" t="inlineStr">
        <is>
          <t>Comforter and duvet-cover size-dimension diagram.</t>
        </is>
      </c>
      <c r="L57" s="3" t="inlineStr">
        <is>
          <t>Size dimension image for twin, full, queen and king bedding options.</t>
        </is>
      </c>
      <c r="M57" s="3" t="inlineStr">
        <is>
          <t>Custom American Football with Paint Splash Background Vintage Comforter</t>
        </is>
      </c>
      <c r="N57" s="3" t="inlineStr">
        <is>
          <t>SET</t>
        </is>
      </c>
      <c r="O57" s="3" t="inlineStr">
        <is>
          <t>Size dimension guide for Vintage Football Comforter Set</t>
        </is>
      </c>
      <c r="P57" s="3" t="inlineStr">
        <is>
          <t>FULL</t>
        </is>
      </c>
      <c r="Q57" s="3" t="inlineStr">
        <is>
          <t>FULL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t>
        </is>
      </c>
      <c r="Z57" s="3"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 "https://jeminise.com/products/custom-american-football-with-paint-splash-background-vintage-comforter-da0e1d5bf1-da0e1d5bf1", "https://cdn.shopify.com/s/files/1/0792/5098/1063/files/e5cad84edb4d7bf77c48fd7c8e52eb3b73f04eba8bf177671fd8a059c59422e8_e4232455-7802-4105-bf12-f40717779408.jpg?v=1785102312"]</t>
        </is>
      </c>
    </row>
    <row r="58" ht="66" customHeight="1">
      <c r="A58" s="2" t="inlineStr">
        <is>
          <t>jeminise.com+custom-american-football-with-patriotic-flag-comforter-4a3a1ed3c9-4a3a1ed3c9</t>
        </is>
      </c>
      <c r="B58" s="2" t="inlineStr">
        <is>
          <t>qaimg_b0aeb9f07dde8b60</t>
        </is>
      </c>
      <c r="C58" s="4" t="inlineStr">
        <is>
          <t>https://cdn.shopify.com/s/files/1/0792/5098/1063/files/a6aedfb7f9b81449b401a91a0409992efbba09d035e85d8e5cc7da9802dc0589.jpg?v=1785101840</t>
        </is>
      </c>
      <c r="D58" s="4" t="inlineStr">
        <is>
          <t>https://cdn.shopify.com/s/files/1/0792/5098/1063/files/a6aedfb7f9b81449b401a91a0409992efbba09d035e85d8e5cc7da9802dc0589.jpg?v=1785101840</t>
        </is>
      </c>
      <c r="E58" s="2" t="inlineStr">
        <is>
          <t>38506860380359</t>
        </is>
      </c>
      <c r="F58" s="2" t="inlineStr">
        <is>
          <t>47540300546247</t>
        </is>
      </c>
      <c r="G58" s="2" t="inlineStr"/>
      <c r="H58" s="2" t="inlineStr">
        <is>
          <t>GALLERY</t>
        </is>
      </c>
      <c r="I58" s="2" t="inlineStr">
        <is>
          <t>DIRECT_ORIGINAL_IMAGE</t>
        </is>
      </c>
      <c r="J58" s="2" t="inlineStr">
        <is>
          <t>2026-09-07T15:21:43.658434+07:00</t>
        </is>
      </c>
      <c r="K58" s="2" t="inlineStr">
        <is>
          <t>Main bed view of a football wrapped in a USA flag with sample name MATTHEW and number 08.</t>
        </is>
      </c>
      <c r="L58" s="2" t="inlineStr">
        <is>
          <t>Main bed mockup showing personalized patriotic football comforter with the name Matthew and number 08.</t>
        </is>
      </c>
      <c r="M58" s="2" t="inlineStr">
        <is>
          <t>Custom American Football with Patriotic Flag Comforter</t>
        </is>
      </c>
      <c r="N58" s="2" t="inlineStr">
        <is>
          <t>SET</t>
        </is>
      </c>
      <c r="O58" s="2" t="inlineStr">
        <is>
          <t>Patriotic Football Comforter Set displayed on a bed</t>
        </is>
      </c>
      <c r="P58" s="2" t="inlineStr">
        <is>
          <t>FULL</t>
        </is>
      </c>
      <c r="Q58" s="2" t="inlineStr">
        <is>
          <t>FULL</t>
        </is>
      </c>
      <c r="R58" s="2" t="inlineStr">
        <is>
          <t>FULL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t>
        </is>
      </c>
      <c r="Z58" s="2"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 "https://jeminise.com/products/custom-american-football-with-patriotic-flag-comforter-4a3a1ed3c9-4a3a1ed3c9", "https://cdn.shopify.com/s/files/1/0792/5098/1063/files/a6aedfb7f9b81449b401a91a0409992efbba09d035e85d8e5cc7da9802dc0589.jpg?v=1785101840"]</t>
        </is>
      </c>
    </row>
    <row r="59" ht="66" customHeight="1">
      <c r="A59" s="3" t="inlineStr">
        <is>
          <t>jeminise.com+custom-american-football-with-patriotic-flag-comforter-4a3a1ed3c9-4a3a1ed3c9</t>
        </is>
      </c>
      <c r="B59" s="3" t="inlineStr">
        <is>
          <t>qaimg_10a56cdad95e628f</t>
        </is>
      </c>
      <c r="C59" s="4" t="inlineStr">
        <is>
          <t>https://cdn.shopify.com/s/files/1/0792/5098/1063/files/c68aa5c462e7e6a06d4fab3fb3a9399d56e5454756be9390c9f0a2573c8bb7ae.jpg?v=1785101840</t>
        </is>
      </c>
      <c r="D59" s="4" t="inlineStr">
        <is>
          <t>https://cdn.shopify.com/s/files/1/0792/5098/1063/files/c68aa5c462e7e6a06d4fab3fb3a9399d56e5454756be9390c9f0a2573c8bb7ae.jpg?v=1785101840</t>
        </is>
      </c>
      <c r="E59" s="3" t="inlineStr">
        <is>
          <t>38506860413127</t>
        </is>
      </c>
      <c r="F59" s="3" t="inlineStr">
        <is>
          <t>47540300579015</t>
        </is>
      </c>
      <c r="G59" s="3" t="inlineStr"/>
      <c r="H59" s="3" t="inlineStr">
        <is>
          <t>GALLERY</t>
        </is>
      </c>
      <c r="I59" s="3" t="inlineStr">
        <is>
          <t>DIRECT_ORIGINAL_IMAGE</t>
        </is>
      </c>
      <c r="J59" s="3" t="inlineStr">
        <is>
          <t>2026-09-07T15:21:43.658434+07:00</t>
        </is>
      </c>
      <c r="K59" s="3" t="inlineStr">
        <is>
          <t>Angled bedroom view of the same MATTHEW 08 design.</t>
        </is>
      </c>
      <c r="L59" s="3" t="inlineStr">
        <is>
          <t>Angled bedroom mockup showing personalized patriotic football comforter with the name Matthew and number 08.</t>
        </is>
      </c>
      <c r="M59" s="3" t="inlineStr">
        <is>
          <t>Custom American Football with Patriotic Flag Comforter</t>
        </is>
      </c>
      <c r="N59" s="3" t="inlineStr">
        <is>
          <t>SET</t>
        </is>
      </c>
      <c r="O59" s="3" t="inlineStr">
        <is>
          <t>Angled bedroom view of Patriotic Football Comforter Set</t>
        </is>
      </c>
      <c r="P59" s="3" t="inlineStr">
        <is>
          <t>FULL</t>
        </is>
      </c>
      <c r="Q59" s="3" t="inlineStr">
        <is>
          <t>FULL</t>
        </is>
      </c>
      <c r="R59" s="3" t="inlineStr">
        <is>
          <t>FULL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t>
        </is>
      </c>
      <c r="Z59" s="3"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 "https://jeminise.com/products/custom-american-football-with-patriotic-flag-comforter-4a3a1ed3c9-4a3a1ed3c9", "https://cdn.shopify.com/s/files/1/0792/5098/1063/files/c68aa5c462e7e6a06d4fab3fb3a9399d56e5454756be9390c9f0a2573c8bb7ae.jpg?v=1785101840"]</t>
        </is>
      </c>
    </row>
    <row r="60" ht="66" customHeight="1">
      <c r="A60" s="2" t="inlineStr">
        <is>
          <t>jeminise.com+custom-american-football-with-patriotic-flag-comforter-4a3a1ed3c9-4a3a1ed3c9</t>
        </is>
      </c>
      <c r="B60" s="2" t="inlineStr">
        <is>
          <t>qaimg_d2d729216975a578</t>
        </is>
      </c>
      <c r="C60" s="4" t="inlineStr">
        <is>
          <t>https://cdn.shopify.com/s/files/1/0792/5098/1063/files/16f7293cbefa5743a35b2e6316a5a114e5c052d08151e367dafd26aa5e2e542b_4cbeb11e-e4ef-4f2d-8aa3-de326b38c11b.jpg?v=1785101840</t>
        </is>
      </c>
      <c r="D60" s="4" t="inlineStr">
        <is>
          <t>https://cdn.shopify.com/s/files/1/0792/5098/1063/files/16f7293cbefa5743a35b2e6316a5a114e5c052d08151e367dafd26aa5e2e542b_4cbeb11e-e4ef-4f2d-8aa3-de326b38c11b.jpg?v=1785101840</t>
        </is>
      </c>
      <c r="E60" s="2" t="inlineStr">
        <is>
          <t>38506860445895</t>
        </is>
      </c>
      <c r="F60" s="2" t="inlineStr">
        <is>
          <t>47540300611783</t>
        </is>
      </c>
      <c r="G60" s="2" t="inlineStr"/>
      <c r="H60" s="2" t="inlineStr">
        <is>
          <t>GALLERY</t>
        </is>
      </c>
      <c r="I60" s="2" t="inlineStr">
        <is>
          <t>DIRECT_ORIGINAL_IMAGE</t>
        </is>
      </c>
      <c r="J60" s="2" t="inlineStr">
        <is>
          <t>2026-09-07T15:21:43.658434+07:00</t>
        </is>
      </c>
      <c r="K60" s="2" t="inlineStr">
        <is>
          <t>Duvet-cover versus comforter product-type comparison.</t>
        </is>
      </c>
      <c r="L60" s="2" t="inlineStr">
        <is>
          <t>Product type comparison or matching pillow sham/detail image for personalized patriotic football comforter with the name Matthew and number 08.</t>
        </is>
      </c>
      <c r="M60" s="2" t="inlineStr">
        <is>
          <t>Custom American Football with Patriotic Flag Comforter</t>
        </is>
      </c>
      <c r="N60" s="2" t="inlineStr">
        <is>
          <t>SET</t>
        </is>
      </c>
      <c r="O60" s="2" t="inlineStr">
        <is>
          <t>Matching sham or product info image for Patriotic Football Comforter Set</t>
        </is>
      </c>
      <c r="P60" s="2" t="inlineStr">
        <is>
          <t>FULL</t>
        </is>
      </c>
      <c r="Q60" s="2" t="inlineStr">
        <is>
          <t>PARTIAL</t>
        </is>
      </c>
      <c r="R60" s="2" t="inlineStr">
        <is>
          <t>PARTIAL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["R2-ISS-040-IMG-03"]</t>
        </is>
      </c>
      <c r="Z60" s="2"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 "https://jeminise.com/products/custom-american-football-with-patriotic-flag-comforter-4a3a1ed3c9-4a3a1ed3c9", "https://cdn.shopify.com/s/files/1/0792/5098/1063/files/16f7293cbefa5743a35b2e6316a5a114e5c052d08151e367dafd26aa5e2e542b_4cbeb11e-e4ef-4f2d-8aa3-de326b38c11b.jpg?v=1785101840"]</t>
        </is>
      </c>
    </row>
    <row r="61" ht="66" customHeight="1">
      <c r="A61" s="3" t="inlineStr">
        <is>
          <t>jeminise.com+custom-american-football-with-patriotic-flag-comforter-4a3a1ed3c9-4a3a1ed3c9</t>
        </is>
      </c>
      <c r="B61" s="3" t="inlineStr">
        <is>
          <t>qaimg_d549accff2c936ca</t>
        </is>
      </c>
      <c r="C61" s="4" t="inlineStr">
        <is>
          <t>https://cdn.shopify.com/s/files/1/0792/5098/1063/files/56be7714426e11e337618ffdd9b78d22e6d77bcea91f35de4b20937187994964.jpg?v=1785101840</t>
        </is>
      </c>
      <c r="D61" s="4" t="inlineStr">
        <is>
          <t>https://cdn.shopify.com/s/files/1/0792/5098/1063/files/56be7714426e11e337618ffdd9b78d22e6d77bcea91f35de4b20937187994964.jpg?v=1785101840</t>
        </is>
      </c>
      <c r="E61" s="3" t="inlineStr">
        <is>
          <t>38506860478663</t>
        </is>
      </c>
      <c r="F61" s="3" t="inlineStr">
        <is>
          <t>47540300644551</t>
        </is>
      </c>
      <c r="G61" s="3" t="inlineStr"/>
      <c r="H61" s="3" t="inlineStr">
        <is>
          <t>GALLERY</t>
        </is>
      </c>
      <c r="I61" s="3" t="inlineStr">
        <is>
          <t>DIRECT_ORIGINAL_IMAGE</t>
        </is>
      </c>
      <c r="J61" s="3" t="inlineStr">
        <is>
          <t>2026-09-07T15:21:43.658434+07:00</t>
        </is>
      </c>
      <c r="K61" s="3" t="inlineStr">
        <is>
          <t>Close-up feature panel marked soft, lightweight, durable and breathable.</t>
        </is>
      </c>
      <c r="L61" s="3" t="inlineStr">
        <is>
          <t>Close room/detail or fabric feature image showing personalized patriotic football comforter with the name Matthew and number 08.</t>
        </is>
      </c>
      <c r="M61" s="3" t="inlineStr">
        <is>
          <t>Custom American Football with Patriotic Flag Comforter</t>
        </is>
      </c>
      <c r="N61" s="3" t="inlineStr">
        <is>
          <t>SET</t>
        </is>
      </c>
      <c r="O61" s="3" t="inlineStr">
        <is>
          <t>Close-up detail of patriotic football comforter with the name Matthew and number 08</t>
        </is>
      </c>
      <c r="P61" s="3" t="inlineStr">
        <is>
          <t>FULL</t>
        </is>
      </c>
      <c r="Q61" s="3" t="inlineStr">
        <is>
          <t>FULL</t>
        </is>
      </c>
      <c r="R61" s="3" t="inlineStr">
        <is>
          <t>FULL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t>
        </is>
      </c>
      <c r="Z61" s="3"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 "https://jeminise.com/products/custom-american-football-with-patriotic-flag-comforter-4a3a1ed3c9-4a3a1ed3c9", "https://cdn.shopify.com/s/files/1/0792/5098/1063/files/56be7714426e11e337618ffdd9b78d22e6d77bcea91f35de4b20937187994964.jpg?v=1785101840"]</t>
        </is>
      </c>
    </row>
    <row r="62" ht="66" customHeight="1">
      <c r="A62" s="2" t="inlineStr">
        <is>
          <t>jeminise.com+custom-american-football-with-patriotic-flag-comforter-4a3a1ed3c9-4a3a1ed3c9</t>
        </is>
      </c>
      <c r="B62" s="2" t="inlineStr">
        <is>
          <t>qaimg_70e791ea57becf57</t>
        </is>
      </c>
      <c r="C62" s="4" t="inlineStr">
        <is>
          <t>https://cdn.shopify.com/s/files/1/0792/5098/1063/files/7c006bddc94d4763c71c8376307e195c1bbce73b8c802ec73ac5a8cef1291262_66044d52-aa86-47c2-84d2-beed979c5ac0.jpg?v=1785101840</t>
        </is>
      </c>
      <c r="D62" s="4" t="inlineStr">
        <is>
          <t>https://cdn.shopify.com/s/files/1/0792/5098/1063/files/7c006bddc94d4763c71c8376307e195c1bbce73b8c802ec73ac5a8cef1291262_66044d52-aa86-47c2-84d2-beed979c5ac0.jpg?v=1785101840</t>
        </is>
      </c>
      <c r="E62" s="2" t="inlineStr">
        <is>
          <t>38506860511431</t>
        </is>
      </c>
      <c r="F62" s="2" t="inlineStr">
        <is>
          <t>47540300677319</t>
        </is>
      </c>
      <c r="G62" s="2" t="inlineStr"/>
      <c r="H62" s="2" t="inlineStr">
        <is>
          <t>GALLERY</t>
        </is>
      </c>
      <c r="I62" s="2" t="inlineStr">
        <is>
          <t>DIRECT_ORIGINAL_IMAGE</t>
        </is>
      </c>
      <c r="J62" s="2" t="inlineStr">
        <is>
          <t>2026-09-07T15:21:43.658434+07:00</t>
        </is>
      </c>
      <c r="K62" s="2" t="inlineStr">
        <is>
          <t>Easy-care instruction panel.</t>
        </is>
      </c>
      <c r="L62" s="2" t="inlineStr">
        <is>
          <t>Easy-care or sizing information image for the bedding set.</t>
        </is>
      </c>
      <c r="M62" s="2" t="inlineStr">
        <is>
          <t>Custom American Football with Patriotic Flag Comforter</t>
        </is>
      </c>
      <c r="N62" s="2" t="inlineStr">
        <is>
          <t>SET</t>
        </is>
      </c>
      <c r="O62" s="2" t="inlineStr">
        <is>
          <t>Care or size information for Patriotic Football Comforter Set</t>
        </is>
      </c>
      <c r="P62" s="2" t="inlineStr">
        <is>
          <t>FULL</t>
        </is>
      </c>
      <c r="Q62" s="2" t="inlineStr">
        <is>
          <t>PARTIAL</t>
        </is>
      </c>
      <c r="R62" s="2" t="inlineStr">
        <is>
          <t>PARTIAL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["R2-ISS-040-IMG-05"]</t>
        </is>
      </c>
      <c r="Z62" s="2"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 "https://jeminise.com/products/custom-american-football-with-patriotic-flag-comforter-4a3a1ed3c9-4a3a1ed3c9", "https://cdn.shopify.com/s/files/1/0792/5098/1063/files/7c006bddc94d4763c71c8376307e195c1bbce73b8c802ec73ac5a8cef1291262_66044d52-aa86-47c2-84d2-beed979c5ac0.jpg?v=1785101840"]</t>
        </is>
      </c>
    </row>
    <row r="63" ht="66" customHeight="1">
      <c r="A63" s="3" t="inlineStr">
        <is>
          <t>jeminise.com+custom-american-football-with-patriotic-flag-comforter-4a3a1ed3c9-4a3a1ed3c9</t>
        </is>
      </c>
      <c r="B63" s="3" t="inlineStr">
        <is>
          <t>qaimg_2ffaaa178e316a11</t>
        </is>
      </c>
      <c r="C63" s="4" t="inlineStr">
        <is>
          <t>https://cdn.shopify.com/s/files/1/0792/5098/1063/files/e5cad84edb4d7bf77c48fd7c8e52eb3b73f04eba8bf177671fd8a059c59422e8_e9a8f6c7-84a8-4f8e-a21c-61b347436f7e.jpg?v=1785101840</t>
        </is>
      </c>
      <c r="D63" s="4" t="inlineStr">
        <is>
          <t>https://cdn.shopify.com/s/files/1/0792/5098/1063/files/e5cad84edb4d7bf77c48fd7c8e52eb3b73f04eba8bf177671fd8a059c59422e8_e9a8f6c7-84a8-4f8e-a21c-61b347436f7e.jpg?v=1785101840</t>
        </is>
      </c>
      <c r="E63" s="3" t="inlineStr">
        <is>
          <t>38506860544199</t>
        </is>
      </c>
      <c r="F63" s="3" t="inlineStr">
        <is>
          <t>47540300710087</t>
        </is>
      </c>
      <c r="G63" s="3" t="inlineStr"/>
      <c r="H63" s="3" t="inlineStr">
        <is>
          <t>GALLERY</t>
        </is>
      </c>
      <c r="I63" s="3" t="inlineStr">
        <is>
          <t>DIRECT_ORIGINAL_IMAGE</t>
        </is>
      </c>
      <c r="J63" s="3" t="inlineStr">
        <is>
          <t>2026-09-07T15:21:43.658434+07:00</t>
        </is>
      </c>
      <c r="K63" s="3" t="inlineStr">
        <is>
          <t>Comforter and duvet-cover size-dimension diagram.</t>
        </is>
      </c>
      <c r="L63" s="3" t="inlineStr">
        <is>
          <t>Size dimension image for twin, full, queen and king bedding options.</t>
        </is>
      </c>
      <c r="M63" s="3" t="inlineStr">
        <is>
          <t>Custom American Football with Patriotic Flag Comforter</t>
        </is>
      </c>
      <c r="N63" s="3" t="inlineStr">
        <is>
          <t>SET</t>
        </is>
      </c>
      <c r="O63" s="3" t="inlineStr">
        <is>
          <t>Size dimension guide for Patriotic Football Comforter Set</t>
        </is>
      </c>
      <c r="P63" s="3" t="inlineStr">
        <is>
          <t>FULL</t>
        </is>
      </c>
      <c r="Q63" s="3" t="inlineStr">
        <is>
          <t>FULL</t>
        </is>
      </c>
      <c r="R63" s="3" t="inlineStr">
        <is>
          <t>FULL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t>
        </is>
      </c>
      <c r="Z63" s="3"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 "https://jeminise.com/products/custom-american-football-with-patriotic-flag-comforter-4a3a1ed3c9-4a3a1ed3c9", "https://cdn.shopify.com/s/files/1/0792/5098/1063/files/e5cad84edb4d7bf77c48fd7c8e52eb3b73f04eba8bf177671fd8a059c59422e8_e9a8f6c7-84a8-4f8e-a21c-61b347436f7e.jpg?v=1785101840"]</t>
        </is>
      </c>
    </row>
  </sheetData>
  <autoFilter ref="A1:Z63"/>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52"/>
  <sheetViews>
    <sheetView showGridLines="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R2-ISS-031-IMG-03</t>
        </is>
      </c>
      <c r="B2" s="2" t="inlineStr">
        <is>
          <t>jeminise.com+christmas-cardinals-near-snowy-birdhouse-patchwork-floral-quilt-b90d55a935-b90d55a935</t>
        </is>
      </c>
      <c r="C2" s="2" t="inlineStr">
        <is>
          <t>qaimg_c0b900a11e3c761f</t>
        </is>
      </c>
      <c r="D2" s="2" t="inlineStr">
        <is>
          <t>MINOR</t>
        </is>
      </c>
      <c r="E2" s="2" t="inlineStr">
        <is>
          <t>image_observation/alt_effective</t>
        </is>
      </c>
      <c r="F2" s="2" t="inlineStr">
        <is>
          <t>Product type comparison or matching pillow sham/detail image for Christmas cardinal birdhouse quilt with poinsettias. | Matching sham or product info image for Christmas Cardinal Birdhouse Quilt Set</t>
        </is>
      </c>
      <c r="G2" s="2" t="inlineStr">
        <is>
          <t>Matching pillow shams and lightweight, soft, anti-pill and anti-static callouts.</t>
        </is>
      </c>
      <c r="H2" s="2" t="inlineStr">
        <is>
          <t>Observation/alt r2 vẫn dùng nhãn mẫu chung thay vì mô tả đúng mục đích ảnh.</t>
        </is>
      </c>
      <c r="I2" s="2" t="inlineStr">
        <is>
          <t>Matching pillow shams and lightweight, soft, anti-pill and anti-static callouts.</t>
        </is>
      </c>
      <c r="J2" s="2"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https://cdn.shopify.com/s/files/1/0792/5098/1063/files/192d8a6eed2602b9a36fbbd7936b0d70ef3680e4dd38270f22af78ba5c23bb4a.jpg?v=1785099259</t>
        </is>
      </c>
      <c r="K2" s="2" t="inlineStr">
        <is>
          <t>Mở ảnh gốc và xác nhận alt mới mô tả đúng ảnh.</t>
        </is>
      </c>
    </row>
    <row r="3" ht="84" customHeight="1">
      <c r="A3" s="3" t="inlineStr">
        <is>
          <t>R2-ISS-031-IMG-04</t>
        </is>
      </c>
      <c r="B3" s="3" t="inlineStr">
        <is>
          <t>jeminise.com+christmas-cardinals-near-snowy-birdhouse-patchwork-floral-quilt-b90d55a935-b90d55a935</t>
        </is>
      </c>
      <c r="C3" s="3" t="inlineStr">
        <is>
          <t>qaimg_cbb1704cddee2f79</t>
        </is>
      </c>
      <c r="D3" s="3" t="inlineStr">
        <is>
          <t>MINOR</t>
        </is>
      </c>
      <c r="E3" s="3" t="inlineStr">
        <is>
          <t>image_observation/alt_effective</t>
        </is>
      </c>
      <c r="F3" s="3" t="inlineStr">
        <is>
          <t>Close room/detail or fabric feature image showing Christmas cardinal birdhouse quilt with poinsettias. | Close-up detail of Christmas cardinal birdhouse quilt with poinsettias</t>
        </is>
      </c>
      <c r="G3" s="3" t="inlineStr">
        <is>
          <t>Fabric-feature panel describing the printed quilt for all-season use.</t>
        </is>
      </c>
      <c r="H3" s="3" t="inlineStr">
        <is>
          <t>Observation/alt r2 vẫn dùng nhãn mẫu chung thay vì mô tả đúng mục đích ảnh.</t>
        </is>
      </c>
      <c r="I3" s="3" t="inlineStr">
        <is>
          <t>Fabric-feature panel describing the printed quilt for all-season use.</t>
        </is>
      </c>
      <c r="J3" s="3"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https://cdn.shopify.com/s/files/1/0792/5098/1063/files/a5f492aee10aae43511cc5e9a46710cc38afe374b23731941e7748005cf44564.jpg?v=1785099259</t>
        </is>
      </c>
      <c r="K3" s="3" t="inlineStr">
        <is>
          <t>Mở ảnh gốc và xác nhận alt mới mô tả đúng ảnh.</t>
        </is>
      </c>
    </row>
    <row r="4" ht="84" customHeight="1">
      <c r="A4" s="2" t="inlineStr">
        <is>
          <t>R2-ISS-031-IMG-05</t>
        </is>
      </c>
      <c r="B4" s="2" t="inlineStr">
        <is>
          <t>jeminise.com+christmas-cardinals-near-snowy-birdhouse-patchwork-floral-quilt-b90d55a935-b90d55a935</t>
        </is>
      </c>
      <c r="C4" s="2" t="inlineStr">
        <is>
          <t>qaimg_fda5c81e3b5ba7de</t>
        </is>
      </c>
      <c r="D4" s="2" t="inlineStr">
        <is>
          <t>MINOR</t>
        </is>
      </c>
      <c r="E4" s="2" t="inlineStr">
        <is>
          <t>image_observation/alt_effective</t>
        </is>
      </c>
      <c r="F4" s="2" t="inlineStr">
        <is>
          <t>Easy-care or sizing information image for the bedding set. | Care or size information for Christmas Cardinal Birdhouse Quilt Set</t>
        </is>
      </c>
      <c r="G4" s="2" t="inlineStr">
        <is>
          <t>Premium quilt-set size chart for Throw, Twin, Full, Queen and King.</t>
        </is>
      </c>
      <c r="H4" s="2" t="inlineStr">
        <is>
          <t>Observation/alt r2 vẫn dùng nhãn mẫu chung thay vì mô tả đúng mục đích ảnh.</t>
        </is>
      </c>
      <c r="I4" s="2" t="inlineStr">
        <is>
          <t>Premium quilt-set size chart for Throw, Twin, Full, Queen and King.</t>
        </is>
      </c>
      <c r="J4" s="2"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https://cdn.shopify.com/s/files/1/0792/5098/1063/files/578ac27946027e8e5ec1b6c4efdccc50d46e3d6182eed1ca0e62799fb3b416fd.jpg?v=1785099259</t>
        </is>
      </c>
      <c r="K4" s="2" t="inlineStr">
        <is>
          <t>Mở ảnh gốc và xác nhận alt mới mô tả đúng ảnh.</t>
        </is>
      </c>
    </row>
    <row r="5" ht="84" customHeight="1">
      <c r="A5" s="3" t="inlineStr">
        <is>
          <t>R2-ISS-031-IMG-06</t>
        </is>
      </c>
      <c r="B5" s="3" t="inlineStr">
        <is>
          <t>jeminise.com+christmas-cardinals-near-snowy-birdhouse-patchwork-floral-quilt-b90d55a935-b90d55a935</t>
        </is>
      </c>
      <c r="C5" s="3" t="inlineStr">
        <is>
          <t>qaimg_4a4a3594acd52c20</t>
        </is>
      </c>
      <c r="D5" s="3" t="inlineStr">
        <is>
          <t>MAJOR</t>
        </is>
      </c>
      <c r="E5" s="3" t="inlineStr">
        <is>
          <t>image_observation/alt_effective</t>
        </is>
      </c>
      <c r="F5" s="3" t="inlineStr">
        <is>
          <t>Size dimension image for twin, full, queen and king bedding options. | Size dimension guide for Christmas Cardinal Birdhouse Quilt Set</t>
        </is>
      </c>
      <c r="G5" s="3" t="inlineStr">
        <is>
          <t>Material-layer and bedspread-features diagram for top, filling and back layers.</t>
        </is>
      </c>
      <c r="H5" s="3" t="inlineStr">
        <is>
          <t>R2 vẫn gán sai loại ảnh so với ảnh gốc đã mở trực tiếp.</t>
        </is>
      </c>
      <c r="I5" s="3" t="inlineStr">
        <is>
          <t>Material-layer and bedspread-features diagram for top, filling and back layers.</t>
        </is>
      </c>
      <c r="J5" s="3"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 https://jeminise.com/products/christmas-cardinals-near-snowy-birdhouse-patchwork-floral-quilt-b90d55a935-b90d55a935; https://cdn.shopify.com/s/files/1/0792/5098/1063/files/17b3827a8c3b4dbbd608b08c3534148427ac4397354f3f0fe053ed23086269e8.jpg?v=1785099259</t>
        </is>
      </c>
      <c r="K5" s="3" t="inlineStr">
        <is>
          <t>Mở ảnh gốc và xác nhận alt mới mô tả đúng ảnh.</t>
        </is>
      </c>
    </row>
    <row r="6" ht="84" customHeight="1">
      <c r="A6" s="2" t="inlineStr">
        <is>
          <t>R2-ISS-032-IMG-02</t>
        </is>
      </c>
      <c r="B6" s="2" t="inlineStr">
        <is>
          <t>jeminise.com+christmas-cardinals-on-snowy-branches-patchwork-winter-quilt-8fa1a9e2ed-8fa1a9e2ed</t>
        </is>
      </c>
      <c r="C6" s="2" t="inlineStr">
        <is>
          <t>qaimg_48f97a3347959ba9</t>
        </is>
      </c>
      <c r="D6" s="2" t="inlineStr">
        <is>
          <t>MAJOR</t>
        </is>
      </c>
      <c r="E6" s="2" t="inlineStr">
        <is>
          <t>image_observation/alt_effective</t>
        </is>
      </c>
      <c r="F6" s="2" t="inlineStr">
        <is>
          <t>Angled bedroom mockup showing Christmas cardinals snowy branch quilt. | Angled bedroom view of Christmas Cardinals on Snowy Branches Quilt</t>
        </is>
      </c>
      <c r="G6" s="2" t="inlineStr">
        <is>
          <t>Close-up of a red cardinal and the quilted printed surface.</t>
        </is>
      </c>
      <c r="H6" s="2" t="inlineStr">
        <is>
          <t>R2 vẫn gán sai loại ảnh so với ảnh gốc đã mở trực tiếp.</t>
        </is>
      </c>
      <c r="I6" s="2" t="inlineStr">
        <is>
          <t>Close-up of a red cardinal and the quilted printed surface.</t>
        </is>
      </c>
      <c r="J6" s="2"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 https://jeminise.com/products/christmas-cardinals-on-snowy-branches-patchwork-winter-quilt-8fa1a9e2ed-8fa1a9e2ed; https://cdn.shopify.com/s/files/1/0792/5098/1063/files/ab7e4f9484e52e83891e552e58d6a27e151a62e654a01667625d8c86bd6a3295.jpg?v=1785098963</t>
        </is>
      </c>
      <c r="K6" s="2" t="inlineStr">
        <is>
          <t>Mở ảnh gốc và xác nhận alt mới mô tả đúng ảnh.</t>
        </is>
      </c>
    </row>
    <row r="7" ht="84" customHeight="1">
      <c r="A7" s="3" t="inlineStr">
        <is>
          <t>R2-ISS-032-IMG-03</t>
        </is>
      </c>
      <c r="B7" s="3" t="inlineStr">
        <is>
          <t>jeminise.com+christmas-cardinals-on-snowy-branches-patchwork-winter-quilt-8fa1a9e2ed-8fa1a9e2ed</t>
        </is>
      </c>
      <c r="C7" s="3" t="inlineStr">
        <is>
          <t>qaimg_54027ac92d68353f</t>
        </is>
      </c>
      <c r="D7" s="3" t="inlineStr">
        <is>
          <t>MINOR</t>
        </is>
      </c>
      <c r="E7" s="3" t="inlineStr">
        <is>
          <t>image_observation/alt_effective</t>
        </is>
      </c>
      <c r="F7" s="3" t="inlineStr">
        <is>
          <t>Product type comparison or matching pillow sham/detail image for Christmas cardinals snowy branch quilt. | Matching sham or product info image for Christmas Cardinals on Snowy Branches Quilt</t>
        </is>
      </c>
      <c r="G7" s="3" t="inlineStr">
        <is>
          <t>Isolated matching pillow sham with cardinal artwork.</t>
        </is>
      </c>
      <c r="H7" s="3" t="inlineStr">
        <is>
          <t>Observation/alt r2 vẫn dùng nhãn mẫu chung thay vì mô tả đúng mục đích ảnh.</t>
        </is>
      </c>
      <c r="I7" s="3" t="inlineStr">
        <is>
          <t>Isolated matching pillow sham with cardinal artwork.</t>
        </is>
      </c>
      <c r="J7" s="3"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 https://jeminise.com/products/christmas-cardinals-on-snowy-branches-patchwork-winter-quilt-8fa1a9e2ed-8fa1a9e2ed; https://cdn.shopify.com/s/files/1/0792/5098/1063/files/af11f2e375dabf355f9318fb1eea3b312db7cd0ed95fb4b96e7b537d184a9d42.jpg?v=1785098963</t>
        </is>
      </c>
      <c r="K7" s="3" t="inlineStr">
        <is>
          <t>Mở ảnh gốc và xác nhận alt mới mô tả đúng ảnh.</t>
        </is>
      </c>
    </row>
    <row r="8" ht="84" customHeight="1">
      <c r="A8" s="2" t="inlineStr">
        <is>
          <t>R2-ISS-032-IMG-04</t>
        </is>
      </c>
      <c r="B8" s="2" t="inlineStr">
        <is>
          <t>jeminise.com+christmas-cardinals-on-snowy-branches-patchwork-winter-quilt-8fa1a9e2ed-8fa1a9e2ed</t>
        </is>
      </c>
      <c r="C8" s="2" t="inlineStr">
        <is>
          <t>qaimg_819766fd43b5aa2c</t>
        </is>
      </c>
      <c r="D8" s="2" t="inlineStr">
        <is>
          <t>MAJOR</t>
        </is>
      </c>
      <c r="E8" s="2" t="inlineStr">
        <is>
          <t>image_observation/alt_effective</t>
        </is>
      </c>
      <c r="F8" s="2" t="inlineStr">
        <is>
          <t>Close room/detail or fabric feature image showing Christmas cardinals snowy branch quilt. | Close-up detail of Christmas cardinals snowy branch quilt</t>
        </is>
      </c>
      <c r="G8" s="2" t="inlineStr">
        <is>
          <t>Angled bedroom mockup of the cardinal quilt.</t>
        </is>
      </c>
      <c r="H8" s="2" t="inlineStr">
        <is>
          <t>R2 vẫn gán sai loại ảnh so với ảnh gốc đã mở trực tiếp.</t>
        </is>
      </c>
      <c r="I8" s="2" t="inlineStr">
        <is>
          <t>Angled bedroom mockup of the cardinal quilt.</t>
        </is>
      </c>
      <c r="J8" s="2"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 https://jeminise.com/products/christmas-cardinals-on-snowy-branches-patchwork-winter-quilt-8fa1a9e2ed-8fa1a9e2ed; https://cdn.shopify.com/s/files/1/0792/5098/1063/files/f940efaf872da7294b0ec99795596430c32c922db66b35243684820e65417fb3.jpg?v=1785098963</t>
        </is>
      </c>
      <c r="K8" s="2" t="inlineStr">
        <is>
          <t>Mở ảnh gốc và xác nhận alt mới mô tả đúng ảnh.</t>
        </is>
      </c>
    </row>
    <row r="9" ht="84" customHeight="1">
      <c r="A9" s="3" t="inlineStr">
        <is>
          <t>R2-ISS-032-IMG-05</t>
        </is>
      </c>
      <c r="B9" s="3" t="inlineStr">
        <is>
          <t>jeminise.com+christmas-cardinals-on-snowy-branches-patchwork-winter-quilt-8fa1a9e2ed-8fa1a9e2ed</t>
        </is>
      </c>
      <c r="C9" s="3" t="inlineStr">
        <is>
          <t>qaimg_862b54dc20308856</t>
        </is>
      </c>
      <c r="D9" s="3" t="inlineStr">
        <is>
          <t>MINOR</t>
        </is>
      </c>
      <c r="E9" s="3" t="inlineStr">
        <is>
          <t>image_observation/alt_effective</t>
        </is>
      </c>
      <c r="F9" s="3" t="inlineStr">
        <is>
          <t>Easy-care or sizing information image for the bedding set. | Care or size information for Christmas Cardinals on Snowy Branches Quilt</t>
        </is>
      </c>
      <c r="G9" s="3" t="inlineStr">
        <is>
          <t>Included-components and size overlay for quilt and optional shams.</t>
        </is>
      </c>
      <c r="H9" s="3" t="inlineStr">
        <is>
          <t>Observation/alt r2 vẫn dùng nhãn mẫu chung thay vì mô tả đúng mục đích ảnh.</t>
        </is>
      </c>
      <c r="I9" s="3" t="inlineStr">
        <is>
          <t>Included-components and size overlay for quilt and optional shams.</t>
        </is>
      </c>
      <c r="J9" s="3"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 https://jeminise.com/products/christmas-cardinals-on-snowy-branches-patchwork-winter-quilt-8fa1a9e2ed-8fa1a9e2ed; https://cdn.shopify.com/s/files/1/0792/5098/1063/files/e0cc67382e14f285ae5b93b57a9e0bfb1a6da6368549d710aed5a534af0f3e89.jpg?v=1785098963</t>
        </is>
      </c>
      <c r="K9" s="3" t="inlineStr">
        <is>
          <t>Mở ảnh gốc và xác nhận alt mới mô tả đúng ảnh.</t>
        </is>
      </c>
    </row>
    <row r="10" ht="84" customHeight="1">
      <c r="A10" s="2" t="inlineStr">
        <is>
          <t>R2-ISS-033-IMG-03</t>
        </is>
      </c>
      <c r="B10" s="2" t="inlineStr">
        <is>
          <t>jeminise.com+cow-with-landscape-patchwork-quilt-animal-farmhouse-printed-quilt-set</t>
        </is>
      </c>
      <c r="C10" s="2" t="inlineStr">
        <is>
          <t>qaimg_85c7344673d47a19</t>
        </is>
      </c>
      <c r="D10" s="2" t="inlineStr">
        <is>
          <t>MINOR</t>
        </is>
      </c>
      <c r="E10" s="2" t="inlineStr">
        <is>
          <t>image_observation/alt_effective</t>
        </is>
      </c>
      <c r="F10" s="2" t="inlineStr">
        <is>
          <t>Product type comparison or matching pillow sham/detail image for cow and sunflower farmhouse quilt. | Matching sham or product info image for Cow and Sunflower Farmhouse Quilt Set</t>
        </is>
      </c>
      <c r="G10" s="2" t="inlineStr">
        <is>
          <t>Matching shams and product-feature callouts.</t>
        </is>
      </c>
      <c r="H10" s="2" t="inlineStr">
        <is>
          <t>Observation/alt r2 vẫn dùng nhãn mẫu chung thay vì mô tả đúng mục đích ảnh.</t>
        </is>
      </c>
      <c r="I10" s="2" t="inlineStr">
        <is>
          <t>Matching shams and product-feature callouts.</t>
        </is>
      </c>
      <c r="J10" s="2" t="inlineStr">
        <is>
          <t>seo_runs\jeminise.com\20260906_234129\evidence\images\33_cow-with-landscape-patchwork-quilt-animal-farmhouse-printed-quilt-set\image_03_47933468147911.jpg; seo_runs\jeminise.com\20260906_234129\evidence\contact_sheets\33_cow-with-landscape-patchwork-quilt-animal-farmhouse-printed-quilt-set.jpg; https://jeminise.com/products/cow-with-landscape-patchwork-quilt-animal-farmhouse-printed-quilt-set; https://cdn.shopify.com/s/files/1/0792/5098/1063/files/f32a0ab9ff68ed03ce7eeb22aba59688cf62bd847260ddb6328da301eba420f1.jpg?v=1787233735</t>
        </is>
      </c>
      <c r="K10" s="2" t="inlineStr">
        <is>
          <t>Mở ảnh gốc và xác nhận alt mới mô tả đúng ảnh.</t>
        </is>
      </c>
    </row>
    <row r="11" ht="84" customHeight="1">
      <c r="A11" s="3" t="inlineStr">
        <is>
          <t>R2-ISS-033-IMG-04</t>
        </is>
      </c>
      <c r="B11" s="3" t="inlineStr">
        <is>
          <t>jeminise.com+cow-with-landscape-patchwork-quilt-animal-farmhouse-printed-quilt-set</t>
        </is>
      </c>
      <c r="C11" s="3" t="inlineStr">
        <is>
          <t>qaimg_9855230629ffd67a</t>
        </is>
      </c>
      <c r="D11" s="3" t="inlineStr">
        <is>
          <t>MINOR</t>
        </is>
      </c>
      <c r="E11" s="3" t="inlineStr">
        <is>
          <t>image_observation/alt_effective</t>
        </is>
      </c>
      <c r="F11" s="3" t="inlineStr">
        <is>
          <t>Close room/detail or fabric feature image showing cow and sunflower farmhouse quilt. | Close-up detail of cow and sunflower farmhouse quilt</t>
        </is>
      </c>
      <c r="G11" s="3" t="inlineStr">
        <is>
          <t>Fabric-feature panel for the printed quilt.</t>
        </is>
      </c>
      <c r="H11" s="3" t="inlineStr">
        <is>
          <t>Observation/alt r2 vẫn dùng nhãn mẫu chung thay vì mô tả đúng mục đích ảnh.</t>
        </is>
      </c>
      <c r="I11" s="3" t="inlineStr">
        <is>
          <t>Fabric-feature panel for the printed quilt.</t>
        </is>
      </c>
      <c r="J11" s="3" t="inlineStr">
        <is>
          <t>seo_runs\jeminise.com\20260906_234129\evidence\images\33_cow-with-landscape-patchwork-quilt-animal-farmhouse-printed-quilt-set\image_04_47933468180679.jpg; seo_runs\jeminise.com\20260906_234129\evidence\contact_sheets\33_cow-with-landscape-patchwork-quilt-animal-farmhouse-printed-quilt-set.jpg; https://jeminise.com/products/cow-with-landscape-patchwork-quilt-animal-farmhouse-printed-quilt-set; https://cdn.shopify.com/s/files/1/0792/5098/1063/files/1bbca18f85bad17a4319e22b1226d6662eb2bab7b67726b2423904e5d0e36838.jpg?v=1787233735</t>
        </is>
      </c>
      <c r="K11" s="3" t="inlineStr">
        <is>
          <t>Mở ảnh gốc và xác nhận alt mới mô tả đúng ảnh.</t>
        </is>
      </c>
    </row>
    <row r="12" ht="84" customHeight="1">
      <c r="A12" s="2" t="inlineStr">
        <is>
          <t>R2-ISS-033-IMG-05</t>
        </is>
      </c>
      <c r="B12" s="2" t="inlineStr">
        <is>
          <t>jeminise.com+cow-with-landscape-patchwork-quilt-animal-farmhouse-printed-quilt-set</t>
        </is>
      </c>
      <c r="C12" s="2" t="inlineStr">
        <is>
          <t>qaimg_d89aaedc5fe19b95</t>
        </is>
      </c>
      <c r="D12" s="2" t="inlineStr">
        <is>
          <t>MINOR</t>
        </is>
      </c>
      <c r="E12" s="2" t="inlineStr">
        <is>
          <t>image_observation/alt_effective</t>
        </is>
      </c>
      <c r="F12" s="2" t="inlineStr">
        <is>
          <t>Easy-care or sizing information image for the bedding set. | Care or size information for Cow and Sunflower Farmhouse Quilt Set</t>
        </is>
      </c>
      <c r="G12" s="2" t="inlineStr">
        <is>
          <t>Premium quilt-set size chart.</t>
        </is>
      </c>
      <c r="H12" s="2" t="inlineStr">
        <is>
          <t>Observation/alt r2 vẫn dùng nhãn mẫu chung thay vì mô tả đúng mục đích ảnh.</t>
        </is>
      </c>
      <c r="I12" s="2" t="inlineStr">
        <is>
          <t>Premium quilt-set size chart.</t>
        </is>
      </c>
      <c r="J12" s="2" t="inlineStr">
        <is>
          <t>seo_runs\jeminise.com\20260906_234129\evidence\images\33_cow-with-landscape-patchwork-quilt-animal-farmhouse-printed-quilt-set\image_05_47933468213447.jpg; seo_runs\jeminise.com\20260906_234129\evidence\contact_sheets\33_cow-with-landscape-patchwork-quilt-animal-farmhouse-printed-quilt-set.jpg; https://jeminise.com/products/cow-with-landscape-patchwork-quilt-animal-farmhouse-printed-quilt-set; https://cdn.shopify.com/s/files/1/0792/5098/1063/files/32dcd15df2916d5b1b8d8d68f2f607c4714e8c2431775c9aca2dfd45240abd6f.jpg?v=1787233735</t>
        </is>
      </c>
      <c r="K12" s="2" t="inlineStr">
        <is>
          <t>Mở ảnh gốc và xác nhận alt mới mô tả đúng ảnh.</t>
        </is>
      </c>
    </row>
    <row r="13" ht="84" customHeight="1">
      <c r="A13" s="3" t="inlineStr">
        <is>
          <t>R2-ISS-033-IMG-06</t>
        </is>
      </c>
      <c r="B13" s="3" t="inlineStr">
        <is>
          <t>jeminise.com+cow-with-landscape-patchwork-quilt-animal-farmhouse-printed-quilt-set</t>
        </is>
      </c>
      <c r="C13" s="3" t="inlineStr">
        <is>
          <t>qaimg_401d386d66bc64b7</t>
        </is>
      </c>
      <c r="D13" s="3" t="inlineStr">
        <is>
          <t>MAJOR</t>
        </is>
      </c>
      <c r="E13" s="3" t="inlineStr">
        <is>
          <t>image_observation/alt_effective</t>
        </is>
      </c>
      <c r="F13" s="3" t="inlineStr">
        <is>
          <t>Size dimension image for twin, full, queen and king bedding options. | Size dimension guide for Cow and Sunflower Farmhouse Quilt Set</t>
        </is>
      </c>
      <c r="G13" s="3" t="inlineStr">
        <is>
          <t>Material-layer and bedspread-features diagram.</t>
        </is>
      </c>
      <c r="H13" s="3" t="inlineStr">
        <is>
          <t>R2 vẫn gán sai loại ảnh so với ảnh gốc đã mở trực tiếp.</t>
        </is>
      </c>
      <c r="I13" s="3" t="inlineStr">
        <is>
          <t>Material-layer and bedspread-features diagram.</t>
        </is>
      </c>
      <c r="J13" s="3" t="inlineStr">
        <is>
          <t>seo_runs\jeminise.com\20260906_234129\evidence\images\33_cow-with-landscape-patchwork-quilt-animal-farmhouse-printed-quilt-set\image_06_47933468246215.jpg; seo_runs\jeminise.com\20260906_234129\evidence\contact_sheets\33_cow-with-landscape-patchwork-quilt-animal-farmhouse-printed-quilt-set.jpg; https://jeminise.com/products/cow-with-landscape-patchwork-quilt-animal-farmhouse-printed-quilt-set; https://cdn.shopify.com/s/files/1/0792/5098/1063/files/dc70b03e88939e50ced310aa559c8361dac40ba03af7d4e5a16ecc0308756e3b.jpg?v=1787233735</t>
        </is>
      </c>
      <c r="K13" s="3" t="inlineStr">
        <is>
          <t>Mở ảnh gốc và xác nhận alt mới mô tả đúng ảnh.</t>
        </is>
      </c>
    </row>
    <row r="14" ht="84" customHeight="1">
      <c r="A14" s="2" t="inlineStr">
        <is>
          <t>R2-ISS-034-IMG-03</t>
        </is>
      </c>
      <c r="B14" s="2" t="inlineStr">
        <is>
          <t>jeminise.com+crocodile-patchwork-printed-quilts-animal-patchwork-bedding</t>
        </is>
      </c>
      <c r="C14" s="2" t="inlineStr">
        <is>
          <t>qaimg_ceb79bff2b6d2ab5</t>
        </is>
      </c>
      <c r="D14" s="2" t="inlineStr">
        <is>
          <t>MINOR</t>
        </is>
      </c>
      <c r="E14" s="2" t="inlineStr">
        <is>
          <t>image_observation/alt_effective</t>
        </is>
      </c>
      <c r="F14" s="2" t="inlineStr">
        <is>
          <t>Product type comparison or matching pillow sham/detail image for crocodile patchwork animal quilt. | Matching sham or product info image for Crocodile Patchwork Animal Quilt Set</t>
        </is>
      </c>
      <c r="G14" s="2" t="inlineStr">
        <is>
          <t>Matching shams and product-feature callouts.</t>
        </is>
      </c>
      <c r="H14" s="2" t="inlineStr">
        <is>
          <t>Observation/alt r2 vẫn dùng nhãn mẫu chung thay vì mô tả đúng mục đích ảnh.</t>
        </is>
      </c>
      <c r="I14" s="2" t="inlineStr">
        <is>
          <t>Matching shams and product-feature callouts.</t>
        </is>
      </c>
      <c r="J14" s="2" t="inlineStr">
        <is>
          <t>seo_runs\jeminise.com\20260906_234129\evidence\images\34_crocodile-patchwork-printed-quilts-animal-patchwork-bedding\image_03_47933465493703.jpg; seo_runs\jeminise.com\20260906_234129\evidence\contact_sheets\34_crocodile-patchwork-printed-quilts-animal-patchwork-bedding.jpg; https://jeminise.com/products/crocodile-patchwork-printed-quilts-animal-patchwork-bedding; https://cdn.shopify.com/s/files/1/0792/5098/1063/files/3a2053c767418069e7798a6396238963761e34d481d46bd9d676cc7a722ce425.jpg?v=1787233713</t>
        </is>
      </c>
      <c r="K14" s="2" t="inlineStr">
        <is>
          <t>Mở ảnh gốc và xác nhận alt mới mô tả đúng ảnh.</t>
        </is>
      </c>
    </row>
    <row r="15" ht="84" customHeight="1">
      <c r="A15" s="3" t="inlineStr">
        <is>
          <t>R2-ISS-034-IMG-04</t>
        </is>
      </c>
      <c r="B15" s="3" t="inlineStr">
        <is>
          <t>jeminise.com+crocodile-patchwork-printed-quilts-animal-patchwork-bedding</t>
        </is>
      </c>
      <c r="C15" s="3" t="inlineStr">
        <is>
          <t>qaimg_8f34bdc13c168cda</t>
        </is>
      </c>
      <c r="D15" s="3" t="inlineStr">
        <is>
          <t>MINOR</t>
        </is>
      </c>
      <c r="E15" s="3" t="inlineStr">
        <is>
          <t>image_observation/alt_effective</t>
        </is>
      </c>
      <c r="F15" s="3" t="inlineStr">
        <is>
          <t>Close room/detail or fabric feature image showing crocodile patchwork animal quilt. | Close-up detail of crocodile patchwork animal quilt</t>
        </is>
      </c>
      <c r="G15" s="3" t="inlineStr">
        <is>
          <t>Fabric-feature panel for the printed quilt.</t>
        </is>
      </c>
      <c r="H15" s="3" t="inlineStr">
        <is>
          <t>Observation/alt r2 vẫn dùng nhãn mẫu chung thay vì mô tả đúng mục đích ảnh.</t>
        </is>
      </c>
      <c r="I15" s="3" t="inlineStr">
        <is>
          <t>Fabric-feature panel for the printed quilt.</t>
        </is>
      </c>
      <c r="J15" s="3" t="inlineStr">
        <is>
          <t>seo_runs\jeminise.com\20260906_234129\evidence\images\34_crocodile-patchwork-printed-quilts-animal-patchwork-bedding\image_04_47933465526471.jpg; seo_runs\jeminise.com\20260906_234129\evidence\contact_sheets\34_crocodile-patchwork-printed-quilts-animal-patchwork-bedding.jpg; https://jeminise.com/products/crocodile-patchwork-printed-quilts-animal-patchwork-bedding; https://cdn.shopify.com/s/files/1/0792/5098/1063/files/ca1530c052c368c7b33901d9e2fd47aa2d3c8729c2b6a8e94b515887302df3a0.jpg?v=1787233712</t>
        </is>
      </c>
      <c r="K15" s="3" t="inlineStr">
        <is>
          <t>Mở ảnh gốc và xác nhận alt mới mô tả đúng ảnh.</t>
        </is>
      </c>
    </row>
    <row r="16" ht="84" customHeight="1">
      <c r="A16" s="2" t="inlineStr">
        <is>
          <t>R2-ISS-034-IMG-05</t>
        </is>
      </c>
      <c r="B16" s="2" t="inlineStr">
        <is>
          <t>jeminise.com+crocodile-patchwork-printed-quilts-animal-patchwork-bedding</t>
        </is>
      </c>
      <c r="C16" s="2" t="inlineStr">
        <is>
          <t>qaimg_9ccb991be2a3859a</t>
        </is>
      </c>
      <c r="D16" s="2" t="inlineStr">
        <is>
          <t>MINOR</t>
        </is>
      </c>
      <c r="E16" s="2" t="inlineStr">
        <is>
          <t>image_observation/alt_effective</t>
        </is>
      </c>
      <c r="F16" s="2" t="inlineStr">
        <is>
          <t>Easy-care or sizing information image for the bedding set. | Care or size information for Crocodile Patchwork Animal Quilt Set</t>
        </is>
      </c>
      <c r="G16" s="2" t="inlineStr">
        <is>
          <t>Premium quilt-set size chart.</t>
        </is>
      </c>
      <c r="H16" s="2" t="inlineStr">
        <is>
          <t>Observation/alt r2 vẫn dùng nhãn mẫu chung thay vì mô tả đúng mục đích ảnh.</t>
        </is>
      </c>
      <c r="I16" s="2" t="inlineStr">
        <is>
          <t>Premium quilt-set size chart.</t>
        </is>
      </c>
      <c r="J16" s="2" t="inlineStr">
        <is>
          <t>seo_runs\jeminise.com\20260906_234129\evidence\images\34_crocodile-patchwork-printed-quilts-animal-patchwork-bedding\image_05_47933465559239.jpg; seo_runs\jeminise.com\20260906_234129\evidence\contact_sheets\34_crocodile-patchwork-printed-quilts-animal-patchwork-bedding.jpg; https://jeminise.com/products/crocodile-patchwork-printed-quilts-animal-patchwork-bedding; https://cdn.shopify.com/s/files/1/0792/5098/1063/files/1fa8058540449ec4eb68c35fe7ec37e0856cc71fc7a5029d3951ed6945165bfc.jpg?v=1787233713</t>
        </is>
      </c>
      <c r="K16" s="2" t="inlineStr">
        <is>
          <t>Mở ảnh gốc và xác nhận alt mới mô tả đúng ảnh.</t>
        </is>
      </c>
    </row>
    <row r="17" ht="84" customHeight="1">
      <c r="A17" s="3" t="inlineStr">
        <is>
          <t>R2-ISS-034-IMG-06</t>
        </is>
      </c>
      <c r="B17" s="3" t="inlineStr">
        <is>
          <t>jeminise.com+crocodile-patchwork-printed-quilts-animal-patchwork-bedding</t>
        </is>
      </c>
      <c r="C17" s="3" t="inlineStr">
        <is>
          <t>qaimg_48c3818edf46b065</t>
        </is>
      </c>
      <c r="D17" s="3" t="inlineStr">
        <is>
          <t>MAJOR</t>
        </is>
      </c>
      <c r="E17" s="3" t="inlineStr">
        <is>
          <t>image_observation/alt_effective</t>
        </is>
      </c>
      <c r="F17" s="3" t="inlineStr">
        <is>
          <t>Size dimension image for twin, full, queen and king bedding options. | Size dimension guide for Crocodile Patchwork Animal Quilt Set</t>
        </is>
      </c>
      <c r="G17" s="3" t="inlineStr">
        <is>
          <t>Material-layer and bedspread-features diagram.</t>
        </is>
      </c>
      <c r="H17" s="3" t="inlineStr">
        <is>
          <t>R2 vẫn gán sai loại ảnh so với ảnh gốc đã mở trực tiếp.</t>
        </is>
      </c>
      <c r="I17" s="3" t="inlineStr">
        <is>
          <t>Material-layer and bedspread-features diagram.</t>
        </is>
      </c>
      <c r="J17" s="3" t="inlineStr">
        <is>
          <t>seo_runs\jeminise.com\20260906_234129\evidence\images\34_crocodile-patchwork-printed-quilts-animal-patchwork-bedding\image_06_47933465592007.jpg; seo_runs\jeminise.com\20260906_234129\evidence\contact_sheets\34_crocodile-patchwork-printed-quilts-animal-patchwork-bedding.jpg; https://jeminise.com/products/crocodile-patchwork-printed-quilts-animal-patchwork-bedding; https://cdn.shopify.com/s/files/1/0792/5098/1063/files/71e21ed6c41ef40003dcc207eada8ae5687d7cdc52c7c96941fafe821b96cf71.jpg?v=1787233712</t>
        </is>
      </c>
      <c r="K17" s="3" t="inlineStr">
        <is>
          <t>Mở ảnh gốc và xác nhận alt mới mô tả đúng ảnh.</t>
        </is>
      </c>
    </row>
    <row r="18" ht="84" customHeight="1">
      <c r="A18" s="2" t="inlineStr">
        <is>
          <t>R2-ISS-035-IMG-03</t>
        </is>
      </c>
      <c r="B18" s="2" t="inlineStr">
        <is>
          <t>jeminise.com+custom-retro-football-art-bedding-set-c66211cf75-c66211cf75</t>
        </is>
      </c>
      <c r="C18" s="2" t="inlineStr">
        <is>
          <t>qaimg_0a99e05bcda79ee0</t>
        </is>
      </c>
      <c r="D18" s="2" t="inlineStr">
        <is>
          <t>MINOR</t>
        </is>
      </c>
      <c r="E18" s="2" t="inlineStr">
        <is>
          <t>image_observation/alt_effective</t>
        </is>
      </c>
      <c r="F18" s="2" t="inlineStr">
        <is>
          <t>Product type comparison or matching pillow sham/detail image for personalized football flag comforter with the name Kevin and number 15. | Matching sham or product info image for American Football Comforter Set</t>
        </is>
      </c>
      <c r="G18" s="2" t="inlineStr">
        <is>
          <t>Duvet-cover versus comforter product-type comparison.</t>
        </is>
      </c>
      <c r="H18" s="2" t="inlineStr">
        <is>
          <t>Observation/alt r2 vẫn dùng nhãn mẫu chung thay vì mô tả đúng mục đích ảnh.</t>
        </is>
      </c>
      <c r="I18" s="2" t="inlineStr">
        <is>
          <t>Duvet-cover versus comforter product-type comparison.</t>
        </is>
      </c>
      <c r="J18" s="2" t="inlineStr">
        <is>
          <t>seo_runs\jeminise.com\20260906_234129\evidence\images\35_custom-retro-football-art-bedding-set-c66211cf75-c66211cf75\image_03_47540306903239.jpg; seo_runs\jeminise.com\20260906_234129\evidence\contact_sheets\35_custom-retro-football-art-bedding-set-c66211cf75-c66211cf75.jpg; https://jeminise.com/products/custom-retro-football-art-bedding-set-c66211cf75-c66211cf75; https://cdn.shopify.com/s/files/1/0792/5098/1063/files/16f7293cbefa5743a35b2e6316a5a114e5c052d08151e367dafd26aa5e2e542b_1645c7b1-7dd0-4432-8f0e-842386b9a1b7.jpg?v=1785101924</t>
        </is>
      </c>
      <c r="K18" s="2" t="inlineStr">
        <is>
          <t>Mở ảnh gốc và xác nhận alt mới mô tả đúng ảnh.</t>
        </is>
      </c>
    </row>
    <row r="19" ht="84" customHeight="1">
      <c r="A19" s="3" t="inlineStr">
        <is>
          <t>R2-ISS-035-IMG-05</t>
        </is>
      </c>
      <c r="B19" s="3" t="inlineStr">
        <is>
          <t>jeminise.com+custom-retro-football-art-bedding-set-c66211cf75-c66211cf75</t>
        </is>
      </c>
      <c r="C19" s="3" t="inlineStr">
        <is>
          <t>qaimg_7739eb0ba236e5ef</t>
        </is>
      </c>
      <c r="D19" s="3" t="inlineStr">
        <is>
          <t>MINOR</t>
        </is>
      </c>
      <c r="E19" s="3" t="inlineStr">
        <is>
          <t>image_observation/alt_effective</t>
        </is>
      </c>
      <c r="F19" s="3" t="inlineStr">
        <is>
          <t>Easy-care or sizing information image for the bedding set. | Care or size information for American Football Comforter Set</t>
        </is>
      </c>
      <c r="G19" s="3" t="inlineStr">
        <is>
          <t>Easy-care instruction panel.</t>
        </is>
      </c>
      <c r="H19" s="3" t="inlineStr">
        <is>
          <t>Observation/alt r2 vẫn dùng nhãn mẫu chung thay vì mô tả đúng mục đích ảnh.</t>
        </is>
      </c>
      <c r="I19" s="3" t="inlineStr">
        <is>
          <t>Easy-care instruction panel.</t>
        </is>
      </c>
      <c r="J19" s="3" t="inlineStr">
        <is>
          <t>seo_runs\jeminise.com\20260906_234129\evidence\images\35_custom-retro-football-art-bedding-set-c66211cf75-c66211cf75\image_05_47540306968775.jpg; seo_runs\jeminise.com\20260906_234129\evidence\contact_sheets\35_custom-retro-football-art-bedding-set-c66211cf75-c66211cf75.jpg; https://jeminise.com/products/custom-retro-football-art-bedding-set-c66211cf75-c66211cf75; https://cdn.shopify.com/s/files/1/0792/5098/1063/files/7c006bddc94d4763c71c8376307e195c1bbce73b8c802ec73ac5a8cef1291262_a3fb9a4f-ebe5-48cb-aa4f-5ac39a8a9cdc.jpg?v=1785101924</t>
        </is>
      </c>
      <c r="K19" s="3" t="inlineStr">
        <is>
          <t>Mở ảnh gốc và xác nhận alt mới mô tả đúng ảnh.</t>
        </is>
      </c>
    </row>
    <row r="20" ht="84" customHeight="1">
      <c r="A20" s="2" t="inlineStr">
        <is>
          <t>R2-ISS-036-IMG-03</t>
        </is>
      </c>
      <c r="B20" s="2" t="inlineStr">
        <is>
          <t>jeminise.com+custom-american-football-close-up-on-grunge-vintage-comforter-26540e3264-26540e3264</t>
        </is>
      </c>
      <c r="C20" s="2" t="inlineStr">
        <is>
          <t>qaimg_17dad146fa2db47e</t>
        </is>
      </c>
      <c r="D20" s="2" t="inlineStr">
        <is>
          <t>MINOR</t>
        </is>
      </c>
      <c r="E20" s="2" t="inlineStr">
        <is>
          <t>image_observation/alt_effective</t>
        </is>
      </c>
      <c r="F20" s="2" t="inlineStr">
        <is>
          <t>Product type comparison or matching pillow sham/detail image for personalized grunge football comforter with the name Brian and number 15. | Matching sham or product info image for Grunge Football Comforter Set</t>
        </is>
      </c>
      <c r="G20" s="2" t="inlineStr">
        <is>
          <t>Duvet-cover versus comforter product-type comparison.</t>
        </is>
      </c>
      <c r="H20" s="2" t="inlineStr">
        <is>
          <t>Observation/alt r2 vẫn dùng nhãn mẫu chung thay vì mô tả đúng mục đích ảnh.</t>
        </is>
      </c>
      <c r="I20" s="2" t="inlineStr">
        <is>
          <t>Duvet-cover versus comforter product-type comparison.</t>
        </is>
      </c>
      <c r="J20" s="2"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 https://jeminise.com/products/custom-american-football-close-up-on-grunge-vintage-comforter-26540e3264-26540e3264; https://cdn.shopify.com/s/files/1/0792/5098/1063/files/16f7293cbefa5743a35b2e6316a5a114e5c052d08151e367dafd26aa5e2e542b_f61d59c9-1e61-473b-93e0-490c63ed9242.jpg?v=1785100474</t>
        </is>
      </c>
      <c r="K20" s="2" t="inlineStr">
        <is>
          <t>Mở ảnh gốc và xác nhận alt mới mô tả đúng ảnh.</t>
        </is>
      </c>
    </row>
    <row r="21" ht="84" customHeight="1">
      <c r="A21" s="3" t="inlineStr">
        <is>
          <t>R2-ISS-036-IMG-05</t>
        </is>
      </c>
      <c r="B21" s="3" t="inlineStr">
        <is>
          <t>jeminise.com+custom-american-football-close-up-on-grunge-vintage-comforter-26540e3264-26540e3264</t>
        </is>
      </c>
      <c r="C21" s="3" t="inlineStr">
        <is>
          <t>qaimg_09cee40c8bb157a6</t>
        </is>
      </c>
      <c r="D21" s="3" t="inlineStr">
        <is>
          <t>MINOR</t>
        </is>
      </c>
      <c r="E21" s="3" t="inlineStr">
        <is>
          <t>image_observation/alt_effective</t>
        </is>
      </c>
      <c r="F21" s="3" t="inlineStr">
        <is>
          <t>Easy-care or sizing information image for the bedding set. | Care or size information for Grunge Football Comforter Set</t>
        </is>
      </c>
      <c r="G21" s="3" t="inlineStr">
        <is>
          <t>Easy-care instruction panel.</t>
        </is>
      </c>
      <c r="H21" s="3" t="inlineStr">
        <is>
          <t>Observation/alt r2 vẫn dùng nhãn mẫu chung thay vì mô tả đúng mục đích ảnh.</t>
        </is>
      </c>
      <c r="I21" s="3" t="inlineStr">
        <is>
          <t>Easy-care instruction panel.</t>
        </is>
      </c>
      <c r="J21" s="3"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 https://jeminise.com/products/custom-american-football-close-up-on-grunge-vintage-comforter-26540e3264-26540e3264; https://cdn.shopify.com/s/files/1/0792/5098/1063/files/7c006bddc94d4763c71c8376307e195c1bbce73b8c802ec73ac5a8cef1291262_f556ba8b-082d-45f0-9344-319cc291850f.jpg?v=1785100474</t>
        </is>
      </c>
      <c r="K21" s="3" t="inlineStr">
        <is>
          <t>Mở ảnh gốc và xác nhận alt mới mô tả đúng ảnh.</t>
        </is>
      </c>
    </row>
    <row r="22" ht="84" customHeight="1">
      <c r="A22" s="2" t="inlineStr">
        <is>
          <t>R2-ISS-037-IMG-03</t>
        </is>
      </c>
      <c r="B22" s="2" t="inlineStr">
        <is>
          <t>jeminise.com+custom-american-football-on-cosmic-background-vintage-comforter-62a3849621-62a3849621</t>
        </is>
      </c>
      <c r="C22" s="2" t="inlineStr">
        <is>
          <t>qaimg_4f48ca0e52576484</t>
        </is>
      </c>
      <c r="D22" s="2" t="inlineStr">
        <is>
          <t>MINOR</t>
        </is>
      </c>
      <c r="E22" s="2" t="inlineStr">
        <is>
          <t>image_observation/alt_effective</t>
        </is>
      </c>
      <c r="F22" s="2" t="inlineStr">
        <is>
          <t>Product type comparison or matching pillow sham/detail image for personalized cosmic football comforter with the name Kevin and number 20. | Matching sham or product info image for Cosmic Football Comforter Set</t>
        </is>
      </c>
      <c r="G22" s="2" t="inlineStr">
        <is>
          <t>Duvet-cover versus comforter product-type comparison.</t>
        </is>
      </c>
      <c r="H22" s="2" t="inlineStr">
        <is>
          <t>Observation/alt r2 vẫn dùng nhãn mẫu chung thay vì mô tả đúng mục đích ảnh.</t>
        </is>
      </c>
      <c r="I22" s="2" t="inlineStr">
        <is>
          <t>Duvet-cover versus comforter product-type comparison.</t>
        </is>
      </c>
      <c r="J22" s="2"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 https://jeminise.com/products/custom-american-football-on-cosmic-background-vintage-comforter-62a3849621-62a3849621; https://cdn.shopify.com/s/files/1/0792/5098/1063/files/9aa9c35ad239e2defe80d680bfc9c3ac770143ee38bd0c93c9b9e1b1dc297f8c_36262fc6-efaa-4cca-aed1-b9455ede2ae8.jpg?v=1785100295</t>
        </is>
      </c>
      <c r="K22" s="2" t="inlineStr">
        <is>
          <t>Mở ảnh gốc và xác nhận alt mới mô tả đúng ảnh.</t>
        </is>
      </c>
    </row>
    <row r="23" ht="84" customHeight="1">
      <c r="A23" s="3" t="inlineStr">
        <is>
          <t>R2-ISS-037-IMG-05</t>
        </is>
      </c>
      <c r="B23" s="3" t="inlineStr">
        <is>
          <t>jeminise.com+custom-american-football-on-cosmic-background-vintage-comforter-62a3849621-62a3849621</t>
        </is>
      </c>
      <c r="C23" s="3" t="inlineStr">
        <is>
          <t>qaimg_a0b443fba20448ff</t>
        </is>
      </c>
      <c r="D23" s="3" t="inlineStr">
        <is>
          <t>MINOR</t>
        </is>
      </c>
      <c r="E23" s="3" t="inlineStr">
        <is>
          <t>image_observation/alt_effective</t>
        </is>
      </c>
      <c r="F23" s="3" t="inlineStr">
        <is>
          <t>Easy-care or sizing information image for the bedding set. | Care or size information for Cosmic Football Comforter Set</t>
        </is>
      </c>
      <c r="G23" s="3" t="inlineStr">
        <is>
          <t>Easy-care instruction panel.</t>
        </is>
      </c>
      <c r="H23" s="3" t="inlineStr">
        <is>
          <t>Observation/alt r2 vẫn dùng nhãn mẫu chung thay vì mô tả đúng mục đích ảnh.</t>
        </is>
      </c>
      <c r="I23" s="3" t="inlineStr">
        <is>
          <t>Easy-care instruction panel.</t>
        </is>
      </c>
      <c r="J23" s="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 https://jeminise.com/products/custom-american-football-on-cosmic-background-vintage-comforter-62a3849621-62a3849621; https://cdn.shopify.com/s/files/1/0792/5098/1063/files/1bbfbfcf6d26cde4c41dc9cd48a48d8537c348d2d8ae8239cde2198dbac1d7d5_2f6333ff-2210-49b8-95cd-4a58a2c3229b.jpg?v=1785100295</t>
        </is>
      </c>
      <c r="K23" s="3" t="inlineStr">
        <is>
          <t>Mở ảnh gốc và xác nhận alt mới mô tả đúng ảnh.</t>
        </is>
      </c>
    </row>
    <row r="24" ht="84" customHeight="1">
      <c r="A24" s="2" t="inlineStr">
        <is>
          <t>R2-ISS-038-IMG-03</t>
        </is>
      </c>
      <c r="B24" s="2" t="inlineStr">
        <is>
          <t>jeminise.com+custom-american-football-on-usa-flag-background-comforter-703a7c0d82-703a7c0d82</t>
        </is>
      </c>
      <c r="C24" s="2" t="inlineStr">
        <is>
          <t>qaimg_d42db3e36f2823e8</t>
        </is>
      </c>
      <c r="D24" s="2" t="inlineStr">
        <is>
          <t>MINOR</t>
        </is>
      </c>
      <c r="E24" s="2" t="inlineStr">
        <is>
          <t>image_observation/alt_effective</t>
        </is>
      </c>
      <c r="F24" s="2" t="inlineStr">
        <is>
          <t>Product type comparison or matching pillow sham/detail image for personalized USA flag football comforter with the name Michael and number 30. | Matching sham or product info image for USA Flag Football Comforter Set</t>
        </is>
      </c>
      <c r="G24" s="2" t="inlineStr">
        <is>
          <t>Duvet-cover versus comforter product-type comparison.</t>
        </is>
      </c>
      <c r="H24" s="2" t="inlineStr">
        <is>
          <t>Observation/alt r2 vẫn dùng nhãn mẫu chung thay vì mô tả đúng mục đích ảnh.</t>
        </is>
      </c>
      <c r="I24" s="2" t="inlineStr">
        <is>
          <t>Duvet-cover versus comforter product-type comparison.</t>
        </is>
      </c>
      <c r="J24" s="2"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 https://jeminise.com/products/custom-american-football-on-usa-flag-background-comforter-703a7c0d82-703a7c0d82; https://cdn.shopify.com/s/files/1/0792/5098/1063/files/16f7293cbefa5743a35b2e6316a5a114e5c052d08151e367dafd26aa5e2e542b_50c40cd4-4737-483e-b146-d01efedc6b1f.jpg?v=1785101770</t>
        </is>
      </c>
      <c r="K24" s="2" t="inlineStr">
        <is>
          <t>Mở ảnh gốc và xác nhận alt mới mô tả đúng ảnh.</t>
        </is>
      </c>
    </row>
    <row r="25" ht="84" customHeight="1">
      <c r="A25" s="3" t="inlineStr">
        <is>
          <t>R2-ISS-038-IMG-05</t>
        </is>
      </c>
      <c r="B25" s="3" t="inlineStr">
        <is>
          <t>jeminise.com+custom-american-football-on-usa-flag-background-comforter-703a7c0d82-703a7c0d82</t>
        </is>
      </c>
      <c r="C25" s="3" t="inlineStr">
        <is>
          <t>qaimg_1a242778991d1060</t>
        </is>
      </c>
      <c r="D25" s="3" t="inlineStr">
        <is>
          <t>MINOR</t>
        </is>
      </c>
      <c r="E25" s="3" t="inlineStr">
        <is>
          <t>image_observation/alt_effective</t>
        </is>
      </c>
      <c r="F25" s="3" t="inlineStr">
        <is>
          <t>Easy-care or sizing information image for the bedding set. | Care or size information for USA Flag Football Comforter Set</t>
        </is>
      </c>
      <c r="G25" s="3" t="inlineStr">
        <is>
          <t>Easy-care instruction panel.</t>
        </is>
      </c>
      <c r="H25" s="3" t="inlineStr">
        <is>
          <t>Observation/alt r2 vẫn dùng nhãn mẫu chung thay vì mô tả đúng mục đích ảnh.</t>
        </is>
      </c>
      <c r="I25" s="3" t="inlineStr">
        <is>
          <t>Easy-care instruction panel.</t>
        </is>
      </c>
      <c r="J25" s="3"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 https://jeminise.com/products/custom-american-football-on-usa-flag-background-comforter-703a7c0d82-703a7c0d82; https://cdn.shopify.com/s/files/1/0792/5098/1063/files/7c006bddc94d4763c71c8376307e195c1bbce73b8c802ec73ac5a8cef1291262_e42da11c-22a6-4e3d-bb70-996edab6cf62.jpg?v=1785101771</t>
        </is>
      </c>
      <c r="K25" s="3" t="inlineStr">
        <is>
          <t>Mở ảnh gốc và xác nhận alt mới mô tả đúng ảnh.</t>
        </is>
      </c>
    </row>
    <row r="26" ht="84" customHeight="1">
      <c r="A26" s="2" t="inlineStr">
        <is>
          <t>R2-ISS-039-IMG-03</t>
        </is>
      </c>
      <c r="B26" s="2" t="inlineStr">
        <is>
          <t>jeminise.com+custom-american-football-with-paint-splash-background-vintage-comforter-da0e1d5bf1-da0e1d5bf1</t>
        </is>
      </c>
      <c r="C26" s="2" t="inlineStr">
        <is>
          <t>qaimg_341de507c2adef85</t>
        </is>
      </c>
      <c r="D26" s="2" t="inlineStr">
        <is>
          <t>MINOR</t>
        </is>
      </c>
      <c r="E26" s="2" t="inlineStr">
        <is>
          <t>image_observation/alt_effective</t>
        </is>
      </c>
      <c r="F26" s="2" t="inlineStr">
        <is>
          <t>Product type comparison or matching pillow sham/detail image for personalized vintage football comforter with the name Mark and number 15. | Matching sham or product info image for Vintage Football Comforter Set</t>
        </is>
      </c>
      <c r="G26" s="2" t="inlineStr">
        <is>
          <t>Duvet-cover versus comforter product-type comparison.</t>
        </is>
      </c>
      <c r="H26" s="2" t="inlineStr">
        <is>
          <t>Observation/alt r2 vẫn dùng nhãn mẫu chung thay vì mô tả đúng mục đích ảnh.</t>
        </is>
      </c>
      <c r="I26" s="2" t="inlineStr">
        <is>
          <t>Duvet-cover versus comforter product-type comparison.</t>
        </is>
      </c>
      <c r="J26" s="2"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 https://jeminise.com/products/custom-american-football-with-paint-splash-background-vintage-comforter-da0e1d5bf1-da0e1d5bf1; https://cdn.shopify.com/s/files/1/0792/5098/1063/files/16f7293cbefa5743a35b2e6316a5a114e5c052d08151e367dafd26aa5e2e542b_1acfa0ab-cba8-45fa-a4cf-f1fd84ab628b.jpg?v=1785102312</t>
        </is>
      </c>
      <c r="K26" s="2" t="inlineStr">
        <is>
          <t>Mở ảnh gốc và xác nhận alt mới mô tả đúng ảnh.</t>
        </is>
      </c>
    </row>
    <row r="27" ht="84" customHeight="1">
      <c r="A27" s="3" t="inlineStr">
        <is>
          <t>R2-ISS-039-IMG-05</t>
        </is>
      </c>
      <c r="B27" s="3" t="inlineStr">
        <is>
          <t>jeminise.com+custom-american-football-with-paint-splash-background-vintage-comforter-da0e1d5bf1-da0e1d5bf1</t>
        </is>
      </c>
      <c r="C27" s="3" t="inlineStr">
        <is>
          <t>qaimg_f17dd103af765a75</t>
        </is>
      </c>
      <c r="D27" s="3" t="inlineStr">
        <is>
          <t>MINOR</t>
        </is>
      </c>
      <c r="E27" s="3" t="inlineStr">
        <is>
          <t>image_observation/alt_effective</t>
        </is>
      </c>
      <c r="F27" s="3" t="inlineStr">
        <is>
          <t>Easy-care or sizing information image for the bedding set. | Care or size information for Vintage Football Comforter Set</t>
        </is>
      </c>
      <c r="G27" s="3" t="inlineStr">
        <is>
          <t>Easy-care instruction panel.</t>
        </is>
      </c>
      <c r="H27" s="3" t="inlineStr">
        <is>
          <t>Observation/alt r2 vẫn dùng nhãn mẫu chung thay vì mô tả đúng mục đích ảnh.</t>
        </is>
      </c>
      <c r="I27" s="3" t="inlineStr">
        <is>
          <t>Easy-care instruction panel.</t>
        </is>
      </c>
      <c r="J27" s="3"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 https://jeminise.com/products/custom-american-football-with-paint-splash-background-vintage-comforter-da0e1d5bf1-da0e1d5bf1; https://cdn.shopify.com/s/files/1/0792/5098/1063/files/7c006bddc94d4763c71c8376307e195c1bbce73b8c802ec73ac5a8cef1291262_e57e2d4f-2a74-4a7f-9a82-b7c808f9b0cc.jpg?v=1785102312</t>
        </is>
      </c>
      <c r="K27" s="3" t="inlineStr">
        <is>
          <t>Mở ảnh gốc và xác nhận alt mới mô tả đúng ảnh.</t>
        </is>
      </c>
    </row>
    <row r="28" ht="84" customHeight="1">
      <c r="A28" s="2" t="inlineStr">
        <is>
          <t>R2-ISS-040-IMG-03</t>
        </is>
      </c>
      <c r="B28" s="2" t="inlineStr">
        <is>
          <t>jeminise.com+custom-american-football-with-patriotic-flag-comforter-4a3a1ed3c9-4a3a1ed3c9</t>
        </is>
      </c>
      <c r="C28" s="2" t="inlineStr">
        <is>
          <t>qaimg_d2d729216975a578</t>
        </is>
      </c>
      <c r="D28" s="2" t="inlineStr">
        <is>
          <t>MINOR</t>
        </is>
      </c>
      <c r="E28" s="2" t="inlineStr">
        <is>
          <t>image_observation/alt_effective</t>
        </is>
      </c>
      <c r="F28" s="2" t="inlineStr">
        <is>
          <t>Product type comparison or matching pillow sham/detail image for personalized patriotic football comforter with the name Matthew and number 08. | Matching sham or product info image for Patriotic Football Comforter Set</t>
        </is>
      </c>
      <c r="G28" s="2" t="inlineStr">
        <is>
          <t>Duvet-cover versus comforter product-type comparison.</t>
        </is>
      </c>
      <c r="H28" s="2" t="inlineStr">
        <is>
          <t>Observation/alt r2 vẫn dùng nhãn mẫu chung thay vì mô tả đúng mục đích ảnh.</t>
        </is>
      </c>
      <c r="I28" s="2" t="inlineStr">
        <is>
          <t>Duvet-cover versus comforter product-type comparison.</t>
        </is>
      </c>
      <c r="J28" s="2"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 https://jeminise.com/products/custom-american-football-with-patriotic-flag-comforter-4a3a1ed3c9-4a3a1ed3c9; https://cdn.shopify.com/s/files/1/0792/5098/1063/files/16f7293cbefa5743a35b2e6316a5a114e5c052d08151e367dafd26aa5e2e542b_4cbeb11e-e4ef-4f2d-8aa3-de326b38c11b.jpg?v=1785101840</t>
        </is>
      </c>
      <c r="K28" s="2" t="inlineStr">
        <is>
          <t>Mở ảnh gốc và xác nhận alt mới mô tả đúng ảnh.</t>
        </is>
      </c>
    </row>
    <row r="29" ht="84" customHeight="1">
      <c r="A29" s="3" t="inlineStr">
        <is>
          <t>R2-ISS-040-IMG-05</t>
        </is>
      </c>
      <c r="B29" s="3" t="inlineStr">
        <is>
          <t>jeminise.com+custom-american-football-with-patriotic-flag-comforter-4a3a1ed3c9-4a3a1ed3c9</t>
        </is>
      </c>
      <c r="C29" s="3" t="inlineStr">
        <is>
          <t>qaimg_70e791ea57becf57</t>
        </is>
      </c>
      <c r="D29" s="3" t="inlineStr">
        <is>
          <t>MINOR</t>
        </is>
      </c>
      <c r="E29" s="3" t="inlineStr">
        <is>
          <t>image_observation/alt_effective</t>
        </is>
      </c>
      <c r="F29" s="3" t="inlineStr">
        <is>
          <t>Easy-care or sizing information image for the bedding set. | Care or size information for Patriotic Football Comforter Set</t>
        </is>
      </c>
      <c r="G29" s="3" t="inlineStr">
        <is>
          <t>Easy-care instruction panel.</t>
        </is>
      </c>
      <c r="H29" s="3" t="inlineStr">
        <is>
          <t>Observation/alt r2 vẫn dùng nhãn mẫu chung thay vì mô tả đúng mục đích ảnh.</t>
        </is>
      </c>
      <c r="I29" s="3" t="inlineStr">
        <is>
          <t>Easy-care instruction panel.</t>
        </is>
      </c>
      <c r="J29" s="3"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 https://jeminise.com/products/custom-american-football-with-patriotic-flag-comforter-4a3a1ed3c9-4a3a1ed3c9; https://cdn.shopify.com/s/files/1/0792/5098/1063/files/7c006bddc94d4763c71c8376307e195c1bbce73b8c802ec73ac5a8cef1291262_66044d52-aa86-47c2-84d2-beed979c5ac0.jpg?v=1785101840</t>
        </is>
      </c>
      <c r="K29" s="3" t="inlineStr">
        <is>
          <t>Mở ảnh gốc và xác nhận alt mới mô tả đúng ảnh.</t>
        </is>
      </c>
    </row>
    <row r="30" ht="84" customHeight="1">
      <c r="A30" s="2" t="inlineStr">
        <is>
          <t>R2-ISS-031-DESC</t>
        </is>
      </c>
      <c r="B30" s="2" t="inlineStr">
        <is>
          <t>jeminise.com+christmas-cardinals-near-snowy-birdhouse-patchwork-floral-quilt-b90d55a935-b90d55a935</t>
        </is>
      </c>
      <c r="C30" s="2" t="inlineStr"/>
      <c r="D30" s="2" t="inlineStr">
        <is>
          <t>MAJOR</t>
        </is>
      </c>
      <c r="E30" s="2" t="inlineStr">
        <is>
          <t>description_proposed_html</t>
        </is>
      </c>
      <c r="F30" s="2" t="inlineStr">
        <is>
          <t>&lt;p&gt;Add themed style to the bedroom with this Jeminise quilt set featuring Visible artwork: red cardinals, snowy birdhouse, poinsettias, white flowers and pine greenery. The artwork is shown across the main bedding mockup and coordinated pillow or sham images where included.&lt;/p&gt;&lt;h3&gt;Design Details&lt;/h3&gt;&lt;ul&gt;&lt;li&gt;Artwork focus: Visible artwork: red cardinals, snowy birdhouse, poinsettias, white flowers and pine greenery.&lt;/li&gt;&lt;li&gt;Gallery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0" s="2" t="inlineStr">
        <is>
          <t>Bản r2 đã bỏ câu nội bộ nhưng nội dung vẫn quá chung, dựa vào cụm 'gallery images show' và chưa đưa đủ thông số, thành phần, chăm sóc hoặc quy tắc cá nhân hóa đã xác minh.</t>
        </is>
      </c>
      <c r="H30" s="2" t="inlineStr">
        <is>
          <t>Mô tả chưa chuyển đầy đủ evidence thành thông tin mua hàng hữu ích.</t>
        </is>
      </c>
      <c r="I30" s="2" t="inlineStr">
        <is>
          <t>Rewrite the description with only verified materials, sizes, included pieces, care guidance, and personalization rules where available.</t>
        </is>
      </c>
      <c r="J30" s="2" t="inlineStr">
        <is>
          <t>evidence_batch_004_031; direct images; live product.js/customizer</t>
        </is>
      </c>
      <c r="K30" s="2" t="inlineStr">
        <is>
          <t>Rendered copy is customer-facing and every material purchase fact is traceable to evidence.</t>
        </is>
      </c>
    </row>
    <row r="31" ht="84" customHeight="1">
      <c r="A31" s="3" t="inlineStr">
        <is>
          <t>R2-ISS-032-DESC</t>
        </is>
      </c>
      <c r="B31" s="3" t="inlineStr">
        <is>
          <t>jeminise.com+christmas-cardinals-on-snowy-branches-patchwork-winter-quilt-8fa1a9e2ed-8fa1a9e2ed</t>
        </is>
      </c>
      <c r="C31" s="3" t="inlineStr"/>
      <c r="D31" s="3" t="inlineStr">
        <is>
          <t>MAJOR</t>
        </is>
      </c>
      <c r="E31" s="3" t="inlineStr">
        <is>
          <t>description_proposed_html</t>
        </is>
      </c>
      <c r="F31" s="3" t="inlineStr">
        <is>
          <t>&lt;p&gt;Add themed style to the bedroom with this Jeminise quilt set featuring Visible artwork: two bright red cardinals on snowy pine branches with berries, poinsettias and warm lights. The artwork is shown across the main bedding mockup and coordinated pillow or sham images where included.&lt;/p&gt;&lt;h3&gt;Design Details&lt;/h3&gt;&lt;ul&gt;&lt;li&gt;Artwork focus: Visible artwork: two bright red cardinals on snowy pine branches with berries, poinsettias and warm lights.&lt;/li&gt;&lt;li&gt;Gallery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1" s="3" t="inlineStr">
        <is>
          <t>Bản r2 đã bỏ câu nội bộ nhưng nội dung vẫn quá chung, dựa vào cụm 'gallery images show' và chưa đưa đủ thông số, thành phần, chăm sóc hoặc quy tắc cá nhân hóa đã xác minh.</t>
        </is>
      </c>
      <c r="H31" s="3" t="inlineStr">
        <is>
          <t>Mô tả chưa chuyển đầy đủ evidence thành thông tin mua hàng hữu ích.</t>
        </is>
      </c>
      <c r="I31" s="3" t="inlineStr">
        <is>
          <t>Rewrite the description with only verified materials, sizes, included pieces, care guidance, and personalization rules where available.</t>
        </is>
      </c>
      <c r="J31" s="3" t="inlineStr">
        <is>
          <t>evidence_batch_004_032; direct images; live product.js/customizer</t>
        </is>
      </c>
      <c r="K31" s="3" t="inlineStr">
        <is>
          <t>Rendered copy is customer-facing and every material purchase fact is traceable to evidence.</t>
        </is>
      </c>
    </row>
    <row r="32" ht="84" customHeight="1">
      <c r="A32" s="2" t="inlineStr">
        <is>
          <t>R2-ISS-033-DESC</t>
        </is>
      </c>
      <c r="B32" s="2" t="inlineStr">
        <is>
          <t>jeminise.com+cow-with-landscape-patchwork-quilt-animal-farmhouse-printed-quilt-set</t>
        </is>
      </c>
      <c r="C32" s="2" t="inlineStr"/>
      <c r="D32" s="2" t="inlineStr">
        <is>
          <t>MAJOR</t>
        </is>
      </c>
      <c r="E32" s="2" t="inlineStr">
        <is>
          <t>description_proposed_html</t>
        </is>
      </c>
      <c r="F32" s="2" t="inlineStr">
        <is>
          <t>&lt;p&gt;Add themed style to the bedroom with this Jeminise quilt set featuring Visible artwork: black and white cow artwork with large yellow sunflowers and patchwork-style farm colors. The artwork is shown across the main bedding mockup and coordinated pillow or sham images where included.&lt;/p&gt;&lt;h3&gt;Design Details&lt;/h3&gt;&lt;ul&gt;&lt;li&gt;Artwork focus: Visible artwork: black and white cow artwork with large yellow sunflowers and patchwork-style farm colors.&lt;/li&gt;&lt;li&gt;Gallery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2" s="2" t="inlineStr">
        <is>
          <t>Bản r2 đã bỏ câu nội bộ nhưng nội dung vẫn quá chung, dựa vào cụm 'gallery images show' và chưa đưa đủ thông số, thành phần, chăm sóc hoặc quy tắc cá nhân hóa đã xác minh.</t>
        </is>
      </c>
      <c r="H32" s="2" t="inlineStr">
        <is>
          <t>Mô tả chưa chuyển đầy đủ evidence thành thông tin mua hàng hữu ích.</t>
        </is>
      </c>
      <c r="I32" s="2" t="inlineStr">
        <is>
          <t>Rewrite the description with only verified materials, sizes, included pieces, care guidance, and personalization rules where available.</t>
        </is>
      </c>
      <c r="J32" s="2" t="inlineStr">
        <is>
          <t>evidence_batch_004_033; direct images; live product.js/customizer</t>
        </is>
      </c>
      <c r="K32" s="2" t="inlineStr">
        <is>
          <t>Rendered copy is customer-facing and every material purchase fact is traceable to evidence.</t>
        </is>
      </c>
    </row>
    <row r="33" ht="84" customHeight="1">
      <c r="A33" s="3" t="inlineStr">
        <is>
          <t>R2-ISS-034-DESC</t>
        </is>
      </c>
      <c r="B33" s="3" t="inlineStr">
        <is>
          <t>jeminise.com+crocodile-patchwork-printed-quilts-animal-patchwork-bedding</t>
        </is>
      </c>
      <c r="C33" s="3" t="inlineStr"/>
      <c r="D33" s="3" t="inlineStr">
        <is>
          <t>MAJOR</t>
        </is>
      </c>
      <c r="E33" s="3" t="inlineStr">
        <is>
          <t>description_proposed_html</t>
        </is>
      </c>
      <c r="F33" s="3" t="inlineStr">
        <is>
          <t>&lt;p&gt;Add themed style to the bedroom with this Jeminise quilt set featuring Visible artwork: cartoon crocodile in green, orange and yellow patchwork with small flowers. The artwork is shown across the main bedding mockup and coordinated pillow or sham images where included.&lt;/p&gt;&lt;h3&gt;Design Details&lt;/h3&gt;&lt;ul&gt;&lt;li&gt;Artwork focus: Visible artwork: cartoon crocodile in green, orange and yellow patchwork with small flowers.&lt;/li&gt;&lt;li&gt;Gallery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3" s="3" t="inlineStr">
        <is>
          <t>Bản r2 đã bỏ câu nội bộ nhưng nội dung vẫn quá chung, dựa vào cụm 'gallery images show' và chưa đưa đủ thông số, thành phần, chăm sóc hoặc quy tắc cá nhân hóa đã xác minh.</t>
        </is>
      </c>
      <c r="H33" s="3" t="inlineStr">
        <is>
          <t>Mô tả chưa chuyển đầy đủ evidence thành thông tin mua hàng hữu ích.</t>
        </is>
      </c>
      <c r="I33" s="3" t="inlineStr">
        <is>
          <t>Rewrite the description with only verified materials, sizes, included pieces, care guidance, and personalization rules where available.</t>
        </is>
      </c>
      <c r="J33" s="3" t="inlineStr">
        <is>
          <t>evidence_batch_004_034; direct images; live product.js/customizer</t>
        </is>
      </c>
      <c r="K33" s="3" t="inlineStr">
        <is>
          <t>Rendered copy is customer-facing and every material purchase fact is traceable to evidence.</t>
        </is>
      </c>
    </row>
    <row r="34" ht="84" customHeight="1">
      <c r="A34" s="2" t="inlineStr">
        <is>
          <t>R2-ISS-035-DESC</t>
        </is>
      </c>
      <c r="B34" s="2" t="inlineStr">
        <is>
          <t>jeminise.com+custom-retro-football-art-bedding-set-c66211cf75-c66211cf75</t>
        </is>
      </c>
      <c r="C34" s="2" t="inlineStr"/>
      <c r="D34" s="2" t="inlineStr">
        <is>
          <t>MAJOR</t>
        </is>
      </c>
      <c r="E34" s="2" t="inlineStr">
        <is>
          <t>description_proposed_html</t>
        </is>
      </c>
      <c r="F34" s="2" t="inlineStr">
        <is>
          <t>&lt;p&gt;Add themed style to the bedroom with this Jeminise comforter set featuring Visible artwork: close-up football artwork over a vintage American flag background with themed artwork Kevin and number 15. The artwork is shown across the main bedding mockup and coordinated pillow or sham images where included.&lt;/p&gt;&lt;h3&gt;Design Details&lt;/h3&gt;&lt;ul&gt;&lt;li&gt;Artwork focus: Visible artwork: close-up football artwork over a vintage American flag background with themed artwork Kevin and number 15.&lt;/li&gt;&lt;li&gt;Gallery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4" s="2" t="inlineStr">
        <is>
          <t>Bản r2 đã bỏ câu nội bộ nhưng nội dung vẫn quá chung, dựa vào cụm 'gallery images show' và chưa đưa đủ thông số, thành phần, chăm sóc hoặc quy tắc cá nhân hóa đã xác minh.</t>
        </is>
      </c>
      <c r="H34" s="2" t="inlineStr">
        <is>
          <t>Mô tả chưa chuyển đầy đủ evidence thành thông tin mua hàng hữu ích.</t>
        </is>
      </c>
      <c r="I34" s="2" t="inlineStr">
        <is>
          <t>Rewrite the description with only verified materials, sizes, included pieces, care guidance, and personalization rules where available.</t>
        </is>
      </c>
      <c r="J34" s="2" t="inlineStr">
        <is>
          <t>evidence_batch_004_035; direct images; live product.js/customizer</t>
        </is>
      </c>
      <c r="K34" s="2" t="inlineStr">
        <is>
          <t>Rendered copy is customer-facing and every material purchase fact is traceable to evidence.</t>
        </is>
      </c>
    </row>
    <row r="35" ht="84" customHeight="1">
      <c r="A35" s="3" t="inlineStr">
        <is>
          <t>R2-ISS-036-DESC</t>
        </is>
      </c>
      <c r="B35" s="3" t="inlineStr">
        <is>
          <t>jeminise.com+custom-american-football-close-up-on-grunge-vintage-comforter-26540e3264-26540e3264</t>
        </is>
      </c>
      <c r="C35" s="3" t="inlineStr"/>
      <c r="D35" s="3" t="inlineStr">
        <is>
          <t>MAJOR</t>
        </is>
      </c>
      <c r="E35" s="3" t="inlineStr">
        <is>
          <t>description_proposed_html</t>
        </is>
      </c>
      <c r="F35" s="3" t="inlineStr">
        <is>
          <t>&lt;p&gt;Add themed style to the bedroom with this Jeminise comforter set featuring Visible artwork: large football on a red-white grunge stripe background with themed artwork Brian and number 15. The artwork is shown across the main bedding mockup and coordinated pillow or sham images where included.&lt;/p&gt;&lt;h3&gt;Design Details&lt;/h3&gt;&lt;ul&gt;&lt;li&gt;Artwork focus: Visible artwork: large football on a red-white grunge stripe background with themed artwork Brian and number 15.&lt;/li&gt;&lt;li&gt;Gallery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5" s="3" t="inlineStr">
        <is>
          <t>Bản r2 đã bỏ câu nội bộ nhưng nội dung vẫn quá chung, dựa vào cụm 'gallery images show' và chưa đưa đủ thông số, thành phần, chăm sóc hoặc quy tắc cá nhân hóa đã xác minh.</t>
        </is>
      </c>
      <c r="H35" s="3" t="inlineStr">
        <is>
          <t>Mô tả chưa chuyển đầy đủ evidence thành thông tin mua hàng hữu ích.</t>
        </is>
      </c>
      <c r="I35" s="3" t="inlineStr">
        <is>
          <t>Rewrite the description with only verified materials, sizes, included pieces, care guidance, and personalization rules where available.</t>
        </is>
      </c>
      <c r="J35" s="3" t="inlineStr">
        <is>
          <t>evidence_batch_004_036; direct images; live product.js/customizer</t>
        </is>
      </c>
      <c r="K35" s="3" t="inlineStr">
        <is>
          <t>Rendered copy is customer-facing and every material purchase fact is traceable to evidence.</t>
        </is>
      </c>
    </row>
    <row r="36" ht="84" customHeight="1">
      <c r="A36" s="2" t="inlineStr">
        <is>
          <t>R2-ISS-037-DESC</t>
        </is>
      </c>
      <c r="B36" s="2" t="inlineStr">
        <is>
          <t>jeminise.com+custom-american-football-on-cosmic-background-vintage-comforter-62a3849621-62a3849621</t>
        </is>
      </c>
      <c r="C36" s="2" t="inlineStr"/>
      <c r="D36" s="2" t="inlineStr">
        <is>
          <t>MAJOR</t>
        </is>
      </c>
      <c r="E36" s="2" t="inlineStr">
        <is>
          <t>description_proposed_html</t>
        </is>
      </c>
      <c r="F36" s="2" t="inlineStr">
        <is>
          <t>&lt;p&gt;Add themed style to the bedroom with this Jeminise comforter set featuring Visible artwork: football floating over a blue and red cosmic background with themed artwork Kevin and number 20. The artwork is shown across the main bedding mockup and coordinated pillow or sham images where included.&lt;/p&gt;&lt;h3&gt;Design Details&lt;/h3&gt;&lt;ul&gt;&lt;li&gt;Artwork focus: Visible artwork: football floating over a blue and red cosmic background with themed artwork Kevin and number 20.&lt;/li&gt;&lt;li&gt;Gallery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6" s="2" t="inlineStr">
        <is>
          <t>Bản r2 đã bỏ câu nội bộ nhưng nội dung vẫn quá chung, dựa vào cụm 'gallery images show' và chưa đưa đủ thông số, thành phần, chăm sóc hoặc quy tắc cá nhân hóa đã xác minh.</t>
        </is>
      </c>
      <c r="H36" s="2" t="inlineStr">
        <is>
          <t>Mô tả chưa chuyển đầy đủ evidence thành thông tin mua hàng hữu ích.</t>
        </is>
      </c>
      <c r="I36" s="2" t="inlineStr">
        <is>
          <t>Rewrite the description with only verified materials, sizes, included pieces, care guidance, and personalization rules where available.</t>
        </is>
      </c>
      <c r="J36" s="2" t="inlineStr">
        <is>
          <t>evidence_batch_004_037; direct images; live product.js/customizer</t>
        </is>
      </c>
      <c r="K36" s="2" t="inlineStr">
        <is>
          <t>Rendered copy is customer-facing and every material purchase fact is traceable to evidence.</t>
        </is>
      </c>
    </row>
    <row r="37" ht="84" customHeight="1">
      <c r="A37" s="3" t="inlineStr">
        <is>
          <t>R2-ISS-038-DESC</t>
        </is>
      </c>
      <c r="B37" s="3" t="inlineStr">
        <is>
          <t>jeminise.com+custom-american-football-on-usa-flag-background-comforter-703a7c0d82-703a7c0d82</t>
        </is>
      </c>
      <c r="C37" s="3" t="inlineStr"/>
      <c r="D37" s="3" t="inlineStr">
        <is>
          <t>MAJOR</t>
        </is>
      </c>
      <c r="E37" s="3" t="inlineStr">
        <is>
          <t>description_proposed_html</t>
        </is>
      </c>
      <c r="F37" s="3" t="inlineStr">
        <is>
          <t>&lt;p&gt;Add themed style to the bedroom with this Jeminise comforter set featuring Visible artwork: large football on a worn USA flag background with themed artwork Michael and number 30. The artwork is shown across the main bedding mockup and coordinated pillow or sham images where included.&lt;/p&gt;&lt;h3&gt;Design Details&lt;/h3&gt;&lt;ul&gt;&lt;li&gt;Artwork focus: Visible artwork: large football on a worn USA flag background with themed artwork Michael and number 30.&lt;/li&gt;&lt;li&gt;Gallery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7" s="3" t="inlineStr">
        <is>
          <t>Bản r2 đã bỏ câu nội bộ nhưng nội dung vẫn quá chung, dựa vào cụm 'gallery images show' và chưa đưa đủ thông số, thành phần, chăm sóc hoặc quy tắc cá nhân hóa đã xác minh.</t>
        </is>
      </c>
      <c r="H37" s="3" t="inlineStr">
        <is>
          <t>Mô tả chưa chuyển đầy đủ evidence thành thông tin mua hàng hữu ích.</t>
        </is>
      </c>
      <c r="I37" s="3" t="inlineStr">
        <is>
          <t>Rewrite the description with only verified materials, sizes, included pieces, care guidance, and personalization rules where available.</t>
        </is>
      </c>
      <c r="J37" s="3" t="inlineStr">
        <is>
          <t>evidence_batch_004_038; direct images; live product.js/customizer</t>
        </is>
      </c>
      <c r="K37" s="3" t="inlineStr">
        <is>
          <t>Rendered copy is customer-facing and every material purchase fact is traceable to evidence.</t>
        </is>
      </c>
    </row>
    <row r="38" ht="84" customHeight="1">
      <c r="A38" s="2" t="inlineStr">
        <is>
          <t>R2-ISS-039-DESC</t>
        </is>
      </c>
      <c r="B38" s="2" t="inlineStr">
        <is>
          <t>jeminise.com+custom-american-football-with-paint-splash-background-vintage-comforter-da0e1d5bf1-da0e1d5bf1</t>
        </is>
      </c>
      <c r="C38" s="2" t="inlineStr"/>
      <c r="D38" s="2" t="inlineStr">
        <is>
          <t>MAJOR</t>
        </is>
      </c>
      <c r="E38" s="2" t="inlineStr">
        <is>
          <t>description_proposed_html</t>
        </is>
      </c>
      <c r="F38" s="2" t="inlineStr">
        <is>
          <t>&lt;p&gt;Add themed style to the bedroom with this Jeminise comforter set featuring Visible artwork: large close-up football, tan paint-splash background, vertical name Mark and number 15. The artwork is shown across the main bedding mockup and coordinated pillow or sham images where included.&lt;/p&gt;&lt;h3&gt;Design Details&lt;/h3&gt;&lt;ul&gt;&lt;li&gt;Artwork focus: Visible artwork: large close-up football, tan paint-splash background, vertical name Mark and number 15.&lt;/li&gt;&lt;li&gt;Gallery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8" s="2" t="inlineStr">
        <is>
          <t>Bản r2 đã bỏ câu nội bộ nhưng nội dung vẫn quá chung, dựa vào cụm 'gallery images show' và chưa đưa đủ thông số, thành phần, chăm sóc hoặc quy tắc cá nhân hóa đã xác minh.</t>
        </is>
      </c>
      <c r="H38" s="2" t="inlineStr">
        <is>
          <t>Mô tả chưa chuyển đầy đủ evidence thành thông tin mua hàng hữu ích.</t>
        </is>
      </c>
      <c r="I38" s="2" t="inlineStr">
        <is>
          <t>Rewrite the description with only verified materials, sizes, included pieces, care guidance, and personalization rules where available.</t>
        </is>
      </c>
      <c r="J38" s="2" t="inlineStr">
        <is>
          <t>evidence_batch_004_039; direct images; live product.js/customizer</t>
        </is>
      </c>
      <c r="K38" s="2" t="inlineStr">
        <is>
          <t>Rendered copy is customer-facing and every material purchase fact is traceable to evidence.</t>
        </is>
      </c>
    </row>
    <row r="39" ht="84" customHeight="1">
      <c r="A39" s="3" t="inlineStr">
        <is>
          <t>R2-ISS-040-DESC</t>
        </is>
      </c>
      <c r="B39" s="3" t="inlineStr">
        <is>
          <t>jeminise.com+custom-american-football-with-patriotic-flag-comforter-4a3a1ed3c9-4a3a1ed3c9</t>
        </is>
      </c>
      <c r="C39" s="3" t="inlineStr"/>
      <c r="D39" s="3" t="inlineStr">
        <is>
          <t>MAJOR</t>
        </is>
      </c>
      <c r="E39" s="3" t="inlineStr">
        <is>
          <t>description_proposed_html</t>
        </is>
      </c>
      <c r="F39" s="3" t="inlineStr">
        <is>
          <t>&lt;p&gt;Add themed style to the bedroom with this Jeminise comforter set featuring Visible artwork: American flag football graphic with teal sky, name Matthew and number 08. The artwork is shown across the main bedding mockup and coordinated pillow or sham images where included.&lt;/p&gt;&lt;h3&gt;Design Details&lt;/h3&gt;&lt;ul&gt;&lt;li&gt;Artwork focus: Visible artwork: American flag football graphic with teal sky, name Matthew and number 08.&lt;/li&gt;&lt;li&gt;Gallery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9" s="3" t="inlineStr">
        <is>
          <t>Bản r2 đã bỏ câu nội bộ nhưng nội dung vẫn quá chung, dựa vào cụm 'gallery images show' và chưa đưa đủ thông số, thành phần, chăm sóc hoặc quy tắc cá nhân hóa đã xác minh.</t>
        </is>
      </c>
      <c r="H39" s="3" t="inlineStr">
        <is>
          <t>Mô tả chưa chuyển đầy đủ evidence thành thông tin mua hàng hữu ích.</t>
        </is>
      </c>
      <c r="I39" s="3" t="inlineStr">
        <is>
          <t>Rewrite the description with only verified materials, sizes, included pieces, care guidance, and personalization rules where available.</t>
        </is>
      </c>
      <c r="J39" s="3" t="inlineStr">
        <is>
          <t>evidence_batch_004_040; direct images; live product.js/customizer</t>
        </is>
      </c>
      <c r="K39" s="3" t="inlineStr">
        <is>
          <t>Rendered copy is customer-facing and every material purchase fact is traceable to evidence.</t>
        </is>
      </c>
    </row>
    <row r="40" ht="84" customHeight="1">
      <c r="A40" s="2" t="inlineStr">
        <is>
          <t>ISS-031-SERP</t>
        </is>
      </c>
      <c r="B40" s="2" t="inlineStr">
        <is>
          <t>jeminise.com+christmas-cardinals-near-snowy-birdhouse-patchwork-floral-quilt-b90d55a935-b90d55a935</t>
        </is>
      </c>
      <c r="C40" s="2" t="inlineStr"/>
      <c r="D40" s="2" t="inlineStr">
        <is>
          <t>MAJOR</t>
        </is>
      </c>
      <c r="E40" s="2" t="inlineStr">
        <is>
          <t>keyword/SERP evidence</t>
        </is>
      </c>
      <c r="F40" s="2" t="inlineStr">
        <is>
          <t>Christmas cardinal birdhouse quilt</t>
        </is>
      </c>
      <c r="G40" s="2" t="inlineStr">
        <is>
          <t>Exact birdhouse results skew toward fabric panels and quilt kits; finished-bedding evidence is broader cardinal/poinsettia intent.</t>
        </is>
      </c>
      <c r="H40" s="2" t="inlineStr">
        <is>
          <t>The chosen exact phrase is not cleanly validated as finished-product intent.</t>
        </is>
      </c>
      <c r="I40" s="2" t="inlineStr">
        <is>
          <t>Retain SERP_ONLY and rerun with US finished-bedding product results before approval.</t>
        </is>
      </c>
      <c r="J40" s="2" t="inlineStr">
        <is>
          <t>[["Christmas cardinal birdhouse quilt set", ["https://www.etsy.com/listing/4348580665/bird-feeders-and-cardinals-quilt-kit"]], ["cardinal poinsettia quilt set", ["https://www.lakeside.com/products/nordic-cardinal-quilt-set-full-queen-or-king-with-shams", "https://alphaquilt.com/products/tai041124235"]]]</t>
        </is>
      </c>
      <c r="K40" s="2" t="inlineStr">
        <is>
          <t>Two current finished-bedding product SERPs support the exact motif and product type.</t>
        </is>
      </c>
    </row>
    <row r="41" ht="84" customHeight="1">
      <c r="A41" s="3" t="inlineStr">
        <is>
          <t>R2-ISS-035-PERS-OMIT</t>
        </is>
      </c>
      <c r="B41" s="3" t="inlineStr">
        <is>
          <t>jeminise.com+custom-retro-football-art-bedding-set-c66211cf75-c66211cf75</t>
        </is>
      </c>
      <c r="C41" s="3" t="inlineStr"/>
      <c r="D41" s="3" t="inlineStr">
        <is>
          <t>MAJOR</t>
        </is>
      </c>
      <c r="E41" s="3" t="inlineStr">
        <is>
          <t>keyword/title/meta/description personalization</t>
        </is>
      </c>
      <c r="F41" s="3" t="inlineStr">
        <is>
          <t>football comforter | American Football Comforter Set</t>
        </is>
      </c>
      <c r="G41" s="3" t="inlineStr">
        <is>
          <t>Customizer live có Enter Name bắt buộc (1–25 ký tự) và Enter Number tùy chọn (1–5 ký tự), nhưng r2 bỏ điểm khác biệt cá nhân hóa khỏi copy và diễn giải tên/số mẫu như artwork cố định.</t>
        </is>
      </c>
      <c r="H41" s="3" t="inlineStr">
        <is>
          <t>R2 đã sửa quá tay sau lỗi cũ và làm mất thông tin mua hàng được chứng minh trực tiếp.</t>
        </is>
      </c>
      <c r="I41" s="3" t="inlineStr">
        <is>
          <t>State that the comforter is personalized with a required name and an optional number; keep examples as samples, not fixed artwork.</t>
        </is>
      </c>
      <c r="J41" s="3" t="inlineStr">
        <is>
          <t>https://jeminise.com/products/custom-retro-football-art-bedding-set-c66211cf75-c66211cf75; live customizer audit</t>
        </is>
      </c>
      <c r="K41" s="3" t="inlineStr">
        <is>
          <t>Purchase flow and English copy agree on required name, optional number, limits, and sample-versus-input behavior.</t>
        </is>
      </c>
    </row>
    <row r="42" ht="84" customHeight="1">
      <c r="A42" s="2" t="inlineStr">
        <is>
          <t>R2-ISS-036-PERS-OMIT</t>
        </is>
      </c>
      <c r="B42" s="2" t="inlineStr">
        <is>
          <t>jeminise.com+custom-american-football-close-up-on-grunge-vintage-comforter-26540e3264-26540e3264</t>
        </is>
      </c>
      <c r="C42" s="2" t="inlineStr"/>
      <c r="D42" s="2" t="inlineStr">
        <is>
          <t>MAJOR</t>
        </is>
      </c>
      <c r="E42" s="2" t="inlineStr">
        <is>
          <t>keyword/title/meta/description personalization</t>
        </is>
      </c>
      <c r="F42" s="2" t="inlineStr">
        <is>
          <t>football comforter with themed artwork | Grunge Football Comforter Set</t>
        </is>
      </c>
      <c r="G42" s="2" t="inlineStr">
        <is>
          <t>Customizer live có Enter Name bắt buộc (1–25 ký tự) và Enter Number tùy chọn (1–5 ký tự), nhưng r2 bỏ điểm khác biệt cá nhân hóa khỏi copy và diễn giải tên/số mẫu như artwork cố định.</t>
        </is>
      </c>
      <c r="H42" s="2" t="inlineStr">
        <is>
          <t>R2 đã sửa quá tay sau lỗi cũ và làm mất thông tin mua hàng được chứng minh trực tiếp.</t>
        </is>
      </c>
      <c r="I42" s="2" t="inlineStr">
        <is>
          <t>State that the comforter is personalized with a required name and an optional number; keep examples as samples, not fixed artwork.</t>
        </is>
      </c>
      <c r="J42" s="2" t="inlineStr">
        <is>
          <t>https://jeminise.com/products/custom-american-football-close-up-on-grunge-vintage-comforter-26540e3264-26540e3264; live customizer audit</t>
        </is>
      </c>
      <c r="K42" s="2" t="inlineStr">
        <is>
          <t>Purchase flow and English copy agree on required name, optional number, limits, and sample-versus-input behavior.</t>
        </is>
      </c>
    </row>
    <row r="43" ht="84" customHeight="1">
      <c r="A43" s="3" t="inlineStr">
        <is>
          <t>R2-ISS-037-PERS-OMIT</t>
        </is>
      </c>
      <c r="B43" s="3" t="inlineStr">
        <is>
          <t>jeminise.com+custom-american-football-on-cosmic-background-vintage-comforter-62a3849621-62a3849621</t>
        </is>
      </c>
      <c r="C43" s="3" t="inlineStr"/>
      <c r="D43" s="3" t="inlineStr">
        <is>
          <t>MAJOR</t>
        </is>
      </c>
      <c r="E43" s="3" t="inlineStr">
        <is>
          <t>keyword/title/meta/description personalization</t>
        </is>
      </c>
      <c r="F43" s="3" t="inlineStr">
        <is>
          <t>cosmic football comforter | Cosmic Football Comforter Set</t>
        </is>
      </c>
      <c r="G43" s="3" t="inlineStr">
        <is>
          <t>Customizer live có Enter Name bắt buộc (1–25 ký tự) và Enter Number tùy chọn (1–5 ký tự), nhưng r2 bỏ điểm khác biệt cá nhân hóa khỏi copy và diễn giải tên/số mẫu như artwork cố định.</t>
        </is>
      </c>
      <c r="H43" s="3" t="inlineStr">
        <is>
          <t>R2 đã sửa quá tay sau lỗi cũ và làm mất thông tin mua hàng được chứng minh trực tiếp.</t>
        </is>
      </c>
      <c r="I43" s="3" t="inlineStr">
        <is>
          <t>State that the comforter is personalized with a required name and an optional number; keep examples as samples, not fixed artwork.</t>
        </is>
      </c>
      <c r="J43" s="3" t="inlineStr">
        <is>
          <t>https://jeminise.com/products/custom-american-football-on-cosmic-background-vintage-comforter-62a3849621-62a3849621; live customizer audit</t>
        </is>
      </c>
      <c r="K43" s="3" t="inlineStr">
        <is>
          <t>Purchase flow and English copy agree on required name, optional number, limits, and sample-versus-input behavior.</t>
        </is>
      </c>
    </row>
    <row r="44" ht="84" customHeight="1">
      <c r="A44" s="2" t="inlineStr">
        <is>
          <t>R2-ISS-038-PERS-OMIT</t>
        </is>
      </c>
      <c r="B44" s="2" t="inlineStr">
        <is>
          <t>jeminise.com+custom-american-football-on-usa-flag-background-comforter-703a7c0d82-703a7c0d82</t>
        </is>
      </c>
      <c r="C44" s="2" t="inlineStr"/>
      <c r="D44" s="2" t="inlineStr">
        <is>
          <t>MAJOR</t>
        </is>
      </c>
      <c r="E44" s="2" t="inlineStr">
        <is>
          <t>keyword/title/meta/description personalization</t>
        </is>
      </c>
      <c r="F44" s="2" t="inlineStr">
        <is>
          <t>patriotic football comforter | USA Flag Football Comforter Set</t>
        </is>
      </c>
      <c r="G44" s="2" t="inlineStr">
        <is>
          <t>Customizer live có Enter Name bắt buộc (1–25 ký tự) và Enter Number tùy chọn (1–5 ký tự), nhưng r2 bỏ điểm khác biệt cá nhân hóa khỏi copy và diễn giải tên/số mẫu như artwork cố định.</t>
        </is>
      </c>
      <c r="H44" s="2" t="inlineStr">
        <is>
          <t>R2 đã sửa quá tay sau lỗi cũ và làm mất thông tin mua hàng được chứng minh trực tiếp.</t>
        </is>
      </c>
      <c r="I44" s="2" t="inlineStr">
        <is>
          <t>State that the comforter is personalized with a required name and an optional number; keep examples as samples, not fixed artwork.</t>
        </is>
      </c>
      <c r="J44" s="2" t="inlineStr">
        <is>
          <t>https://jeminise.com/products/custom-american-football-on-usa-flag-background-comforter-703a7c0d82-703a7c0d82; live customizer audit</t>
        </is>
      </c>
      <c r="K44" s="2" t="inlineStr">
        <is>
          <t>Purchase flow and English copy agree on required name, optional number, limits, and sample-versus-input behavior.</t>
        </is>
      </c>
    </row>
    <row r="45" ht="84" customHeight="1">
      <c r="A45" s="3" t="inlineStr">
        <is>
          <t>R2-ISS-039-PERS-OMIT</t>
        </is>
      </c>
      <c r="B45" s="3" t="inlineStr">
        <is>
          <t>jeminise.com+custom-american-football-with-paint-splash-background-vintage-comforter-da0e1d5bf1-da0e1d5bf1</t>
        </is>
      </c>
      <c r="C45" s="3" t="inlineStr"/>
      <c r="D45" s="3" t="inlineStr">
        <is>
          <t>MAJOR</t>
        </is>
      </c>
      <c r="E45" s="3" t="inlineStr">
        <is>
          <t>keyword/title/meta/description personalization</t>
        </is>
      </c>
      <c r="F45" s="3" t="inlineStr">
        <is>
          <t>vintage football comforter | Vintage Football Comforter Set</t>
        </is>
      </c>
      <c r="G45" s="3" t="inlineStr">
        <is>
          <t>Customizer live có Enter Name bắt buộc (1–25 ký tự) và Enter Number tùy chọn (1–5 ký tự), nhưng r2 bỏ điểm khác biệt cá nhân hóa khỏi copy và diễn giải tên/số mẫu như artwork cố định.</t>
        </is>
      </c>
      <c r="H45" s="3" t="inlineStr">
        <is>
          <t>R2 đã sửa quá tay sau lỗi cũ và làm mất thông tin mua hàng được chứng minh trực tiếp.</t>
        </is>
      </c>
      <c r="I45" s="3" t="inlineStr">
        <is>
          <t>State that the comforter is personalized with a required name and an optional number; keep examples as samples, not fixed artwork.</t>
        </is>
      </c>
      <c r="J45" s="3" t="inlineStr">
        <is>
          <t>https://jeminise.com/products/custom-american-football-with-paint-splash-background-vintage-comforter-da0e1d5bf1-da0e1d5bf1; live customizer audit</t>
        </is>
      </c>
      <c r="K45" s="3" t="inlineStr">
        <is>
          <t>Purchase flow and English copy agree on required name, optional number, limits, and sample-versus-input behavior.</t>
        </is>
      </c>
    </row>
    <row r="46" ht="84" customHeight="1">
      <c r="A46" s="2" t="inlineStr">
        <is>
          <t>R2-ISS-040-PERS-OMIT</t>
        </is>
      </c>
      <c r="B46" s="2" t="inlineStr">
        <is>
          <t>jeminise.com+custom-american-football-with-patriotic-flag-comforter-4a3a1ed3c9-4a3a1ed3c9</t>
        </is>
      </c>
      <c r="C46" s="2" t="inlineStr"/>
      <c r="D46" s="2" t="inlineStr">
        <is>
          <t>MAJOR</t>
        </is>
      </c>
      <c r="E46" s="2" t="inlineStr">
        <is>
          <t>keyword/title/meta/description personalization</t>
        </is>
      </c>
      <c r="F46" s="2" t="inlineStr">
        <is>
          <t>patriotic football comforter | Patriotic Football Comforter Set</t>
        </is>
      </c>
      <c r="G46" s="2" t="inlineStr">
        <is>
          <t>Customizer live có Enter Name bắt buộc (1–25 ký tự) và Enter Number tùy chọn (1–5 ký tự), nhưng r2 bỏ điểm khác biệt cá nhân hóa khỏi copy và diễn giải tên/số mẫu như artwork cố định.</t>
        </is>
      </c>
      <c r="H46" s="2" t="inlineStr">
        <is>
          <t>R2 đã sửa quá tay sau lỗi cũ và làm mất thông tin mua hàng được chứng minh trực tiếp.</t>
        </is>
      </c>
      <c r="I46" s="2" t="inlineStr">
        <is>
          <t>State that the comforter is personalized with a required name and an optional number; keep examples as samples, not fixed artwork.</t>
        </is>
      </c>
      <c r="J46" s="2" t="inlineStr">
        <is>
          <t>https://jeminise.com/products/custom-american-football-with-patriotic-flag-comforter-4a3a1ed3c9-4a3a1ed3c9; live customizer audit</t>
        </is>
      </c>
      <c r="K46" s="2" t="inlineStr">
        <is>
          <t>Purchase flow and English copy agree on required name, optional number, limits, and sample-versus-input behavior.</t>
        </is>
      </c>
    </row>
    <row r="47" ht="84" customHeight="1">
      <c r="A47" s="3" t="inlineStr">
        <is>
          <t>R2-ISS-034-KEYWORD</t>
        </is>
      </c>
      <c r="B47" s="3" t="inlineStr">
        <is>
          <t>jeminise.com+crocodile-patchwork-printed-quilts-animal-patchwork-bedding</t>
        </is>
      </c>
      <c r="C47" s="3" t="inlineStr"/>
      <c r="D47" s="3" t="inlineStr">
        <is>
          <t>MAJOR</t>
        </is>
      </c>
      <c r="E47" s="3" t="inlineStr">
        <is>
          <t>primary keyword/SERP decision</t>
        </is>
      </c>
      <c r="F47" s="3" t="inlineStr">
        <is>
          <t>crocodile patchwork quilt set</t>
        </is>
      </c>
      <c r="G47" s="3" t="inlineStr">
        <is>
          <t>QA SERP đối chiếu không xác nhận sạch lựa chọn hiện tại.</t>
        </is>
      </c>
      <c r="H47" s="3" t="inlineStr">
        <is>
          <t>Kết quả exact còn thưa và comparator lệch loài hoặc lệch loại bedding.</t>
        </is>
      </c>
      <c r="I47" s="3" t="inlineStr">
        <is>
          <t>Retain a cautious SERP_ONLY label or choose a broader crocodile bedding phrase supported by finished-product results.</t>
        </is>
      </c>
      <c r="J47" s="3" t="inlineStr">
        <is>
          <t>[["crocodile patchwork quilt set", ["https://vantique.net/products/everglades-alligator-charm-3-piece-quilted-bedding-set-ncu0dv5368"]], ["crocodile bedding", ["https://abracadabrakids.com/products/abracadabra-6-piece-cot-bedding-set-crocodile"]]]</t>
        </is>
      </c>
      <c r="K47" s="3" t="inlineStr">
        <is>
          <t>Two relevant US-intent finished-product results support the revised phrase and it does not collide with another page in this batch.</t>
        </is>
      </c>
    </row>
    <row r="48" ht="84" customHeight="1">
      <c r="A48" s="2" t="inlineStr">
        <is>
          <t>R2-ISS-036-KEYWORD</t>
        </is>
      </c>
      <c r="B48" s="2" t="inlineStr">
        <is>
          <t>jeminise.com+custom-american-football-close-up-on-grunge-vintage-comforter-26540e3264-26540e3264</t>
        </is>
      </c>
      <c r="C48" s="2" t="inlineStr"/>
      <c r="D48" s="2" t="inlineStr">
        <is>
          <t>MAJOR</t>
        </is>
      </c>
      <c r="E48" s="2" t="inlineStr">
        <is>
          <t>primary keyword/SERP decision</t>
        </is>
      </c>
      <c r="F48" s="2" t="inlineStr">
        <is>
          <t>football comforter with themed artwork</t>
        </is>
      </c>
      <c r="G48" s="2" t="inlineStr">
        <is>
          <t>QA SERP đối chiếu không xác nhận sạch lựa chọn hiện tại.</t>
        </is>
      </c>
      <c r="H48" s="2" t="inlineStr">
        <is>
          <t>Cụm primary không tự nhiên và không phản ánh intent personalization đã xác minh.</t>
        </is>
      </c>
      <c r="I48" s="2" t="inlineStr">
        <is>
          <t>Use a natural personalized grunge football comforter query and document two relevant finished-product results.</t>
        </is>
      </c>
      <c r="J48" s="2" t="inlineStr">
        <is>
          <t>[["grunge football comforter", ["https://www.etsy.com/listing/4324538505/custom-comforter-sports-team-mascot"]], ["personalized football quilt bedding", ["https://wearanddecor.com/products/personalized-football-quilt-bedding-set-football-ball-black-quilt-custom-name-and-number-duvet-cover-set"]]]</t>
        </is>
      </c>
      <c r="K48" s="2" t="inlineStr">
        <is>
          <t>Two relevant US-intent finished-product results support the revised phrase and it does not collide with another page in this batch.</t>
        </is>
      </c>
    </row>
    <row r="49" ht="84" customHeight="1">
      <c r="A49" s="3" t="inlineStr">
        <is>
          <t>R2-ISS-037-KEYWORD</t>
        </is>
      </c>
      <c r="B49" s="3" t="inlineStr">
        <is>
          <t>jeminise.com+custom-american-football-on-cosmic-background-vintage-comforter-62a3849621-62a3849621</t>
        </is>
      </c>
      <c r="C49" s="3" t="inlineStr"/>
      <c r="D49" s="3" t="inlineStr">
        <is>
          <t>MAJOR</t>
        </is>
      </c>
      <c r="E49" s="3" t="inlineStr">
        <is>
          <t>primary keyword/SERP decision</t>
        </is>
      </c>
      <c r="F49" s="3" t="inlineStr">
        <is>
          <t>cosmic football comforter</t>
        </is>
      </c>
      <c r="G49" s="3" t="inlineStr">
        <is>
          <t>QA SERP đối chiếu không xác nhận sạch lựa chọn hiện tại.</t>
        </is>
      </c>
      <c r="H49" s="3" t="inlineStr">
        <is>
          <t>SERP exact bị nhiễu bởi nghĩa ngoài bedding và chưa xác nhận commercial intent sạch.</t>
        </is>
      </c>
      <c r="I49" s="3" t="inlineStr">
        <is>
          <t>Test a personalized cosmic football bedding phrase and require relevant finished-product results before selection.</t>
        </is>
      </c>
      <c r="J49" s="3" t="inlineStr">
        <is>
          <t>[["cosmic football comforter", []], ["personalized football comforter", ["https://www.youcustomizeit.com/p/Football-Comforters-Personalized/142169"]]]</t>
        </is>
      </c>
      <c r="K49" s="3" t="inlineStr">
        <is>
          <t>Two relevant US-intent finished-product results support the revised phrase and it does not collide with another page in this batch.</t>
        </is>
      </c>
    </row>
    <row r="50" ht="84" customHeight="1">
      <c r="A50" s="2" t="inlineStr">
        <is>
          <t>R2-ISS-038-KEYWORD</t>
        </is>
      </c>
      <c r="B50" s="2" t="inlineStr">
        <is>
          <t>jeminise.com+custom-american-football-on-usa-flag-background-comforter-703a7c0d82-703a7c0d82</t>
        </is>
      </c>
      <c r="C50" s="2" t="inlineStr"/>
      <c r="D50" s="2" t="inlineStr">
        <is>
          <t>MAJOR</t>
        </is>
      </c>
      <c r="E50" s="2" t="inlineStr">
        <is>
          <t>primary keyword/SERP decision</t>
        </is>
      </c>
      <c r="F50" s="2" t="inlineStr">
        <is>
          <t>patriotic football comforter</t>
        </is>
      </c>
      <c r="G50" s="2" t="inlineStr">
        <is>
          <t>QA SERP đối chiếu không xác nhận sạch lựa chọn hiện tại.</t>
        </is>
      </c>
      <c r="H50" s="2" t="inlineStr">
        <is>
          <t>Primary trùng intent với product 40, trong khi artwork và personalization có thể phân tách.</t>
        </is>
      </c>
      <c r="I50" s="2" t="inlineStr">
        <is>
          <t>Differentiate around personalized USA flag football comforter and document the intended page boundary.</t>
        </is>
      </c>
      <c r="J50" s="2" t="inlineStr">
        <is>
          <t>[["personalized patriotic football comforter", ["https://custombeddingset.com/america-football-custom-bedding-set-personalized-us-flag-duvet-cover-bed-sheets-pillow-shams/"]], ["American flag custom football bedding", ["https://wearanddecor.com/products/personalized-football-quilt-bedding-set-football-player-usus-flag-quilt-custom-name-and-number-duvet-cover-set"]]]</t>
        </is>
      </c>
      <c r="K50" s="2" t="inlineStr">
        <is>
          <t>Two relevant US-intent finished-product results support the revised phrase and it does not collide with another page in this batch.</t>
        </is>
      </c>
    </row>
    <row r="51" ht="84" customHeight="1">
      <c r="A51" s="3" t="inlineStr">
        <is>
          <t>R2-ISS-040-KEYWORD</t>
        </is>
      </c>
      <c r="B51" s="3" t="inlineStr">
        <is>
          <t>jeminise.com+custom-american-football-with-patriotic-flag-comforter-4a3a1ed3c9-4a3a1ed3c9</t>
        </is>
      </c>
      <c r="C51" s="3" t="inlineStr"/>
      <c r="D51" s="3" t="inlineStr">
        <is>
          <t>MAJOR</t>
        </is>
      </c>
      <c r="E51" s="3" t="inlineStr">
        <is>
          <t>primary keyword/SERP decision</t>
        </is>
      </c>
      <c r="F51" s="3" t="inlineStr">
        <is>
          <t>patriotic football comforter</t>
        </is>
      </c>
      <c r="G51" s="3" t="inlineStr">
        <is>
          <t>QA SERP đối chiếu không xác nhận sạch lựa chọn hiện tại.</t>
        </is>
      </c>
      <c r="H51" s="3" t="inlineStr">
        <is>
          <t>Primary trùng intent với product 38, tạo nguy cơ cannibalization.</t>
        </is>
      </c>
      <c r="I51" s="3" t="inlineStr">
        <is>
          <t>Assign a distinct personalized patriotic football angle and record a non-overlapping keyword boundary.</t>
        </is>
      </c>
      <c r="J51" s="3" t="inlineStr">
        <is>
          <t>[["custom patriotic football comforter", ["https://www.cubebik.com/shop/football-bedding-set-personalized-football-american-flag-custom-bedding-set-pillow-and-duvet-cover-custom-football-lover-gifts/"]], ["personalized football comforter", ["https://www.youcustomizeit.com/p/Football-Comforters-Personalized/142169"]]]</t>
        </is>
      </c>
      <c r="K51" s="3" t="inlineStr">
        <is>
          <t>Two relevant US-intent finished-product results support the revised phrase and it does not collide with another page in this batch.</t>
        </is>
      </c>
    </row>
    <row r="52" ht="84" customHeight="1">
      <c r="A52" s="2" t="inlineStr">
        <is>
          <t>R2-ISS-GLOBAL-ADMIN</t>
        </is>
      </c>
      <c r="B52" s="2" t="inlineStr"/>
      <c r="C52" s="2" t="inlineStr"/>
      <c r="D52" s="2" t="inlineStr">
        <is>
          <t>LIMITATION</t>
        </is>
      </c>
      <c r="E52" s="2" t="inlineStr">
        <is>
          <t>current admin SEO fields/current admin alt</t>
        </is>
      </c>
      <c r="F52" s="2" t="inlineStr">
        <is>
          <t>Not supplied</t>
        </is>
      </c>
      <c r="G52" s="2" t="inlineStr">
        <is>
          <t>Storefront metadata and product.js media alt were readable, but no Shopify admin export was provided.</t>
        </is>
      </c>
      <c r="H52" s="2" t="inlineStr">
        <is>
          <t>Storefront values cannot prove admin fields or future import mapping.</t>
        </is>
      </c>
      <c r="I52" s="2" t="inlineStr">
        <is>
          <t>Provide a frozen Shopify admin/export snapshot before deployment approval.</t>
        </is>
      </c>
      <c r="J52" s="2" t="inlineStr">
        <is>
          <t>D:\Shopify_Workspace\jeminise_seo\resutls\jeminise.com\20260906_234129\revisions\qa_batch_004_r2\SEO_Product_Optimization_qa_batch_004_r2.xlsx</t>
        </is>
      </c>
      <c r="K52" s="2" t="inlineStr">
        <is>
          <t>Admin export revision and hash are frozen and compared.</t>
        </is>
      </c>
    </row>
  </sheetData>
  <autoFilter ref="A1:K52"/>
  <conditionalFormatting sqref="D2:D52">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2026-09-07T08:22:34Z</dcterms:created>
  <dcterms:modified xmlns:dcterms="http://purl.org/dc/terms/" xmlns:xsi="http://www.w3.org/2001/XMLSchema-instance" xsi:type="dcterms:W3CDTF">2026-09-07T08:22:35Z</dcterms:modified>
</cp:coreProperties>
</file>