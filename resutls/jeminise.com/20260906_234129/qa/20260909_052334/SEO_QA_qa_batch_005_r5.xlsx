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'QA_Images'!$A$1:$X$73</definedName>
    <definedName name="_xlnm.Print_Titles" localSheetId="3">'QA_Images'!$1:$1</definedName>
    <definedName name="_xlnm._FilterDatabase" localSheetId="4" hidden="1">'QA_Issues'!$A$1:$K$11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american-sports-football-player-running-with-ball-comforter-891aa5a660-891aa5a660" TargetMode="External" Id="rId1"/><Relationship Type="http://schemas.openxmlformats.org/officeDocument/2006/relationships/hyperlink" Target="https://jeminise.com/products/custom-basketball-players-blanket-name-number-76fdad09b6-76fdad09b6" TargetMode="External" Id="rId2"/><Relationship Type="http://schemas.openxmlformats.org/officeDocument/2006/relationships/hyperlink" Target="https://jeminise.com/products/custom-bible-verse-photo-blanket-personalized-christian-gift-for-her" TargetMode="External" Id="rId3"/><Relationship Type="http://schemas.openxmlformats.org/officeDocument/2006/relationships/hyperlink" Target="https://jeminise.com/products/custom-cardinals-on-flowering-branches-quilt-47d5316f3d-47d5316f3d" TargetMode="External" Id="rId4"/><Relationship Type="http://schemas.openxmlformats.org/officeDocument/2006/relationships/hyperlink" Target="https://jeminise.com/products/custom-tree-of-life-quilt-set-yggdrasil-bedding-019f2b38a4-019f2b38a4" TargetMode="External" Id="rId5"/><Relationship Type="http://schemas.openxmlformats.org/officeDocument/2006/relationships/hyperlink" Target="https://jeminise.com/products/custom-tree-of-life-quilt-set-yggdrasil-celtic-patterns-908827b1df-908827b1df" TargetMode="External" Id="rId6"/><Relationship Type="http://schemas.openxmlformats.org/officeDocument/2006/relationships/hyperlink" Target="https://jeminise.com/products/custom-tree-of-life-quilt-set-yggdrasil-bedding-5048da8f29-5048da8f29" TargetMode="External" Id="rId7"/><Relationship Type="http://schemas.openxmlformats.org/officeDocument/2006/relationships/hyperlink" Target="https://jeminise.com/products/custom-christian-faith-semi-truck-in-front-of-large-comforter-057143b1f8-057143b1f8" TargetMode="External" Id="rId8"/><Relationship Type="http://schemas.openxmlformats.org/officeDocument/2006/relationships/hyperlink" Target="https://jeminise.com/products/custom-christian-girl-bible-emergency-numbers-blanket-d12" TargetMode="External" Id="rId9"/><Relationship Type="http://schemas.openxmlformats.org/officeDocument/2006/relationships/hyperlink" Target="https://jeminise.com/products/custom-christian-inspirational-sophia-blanket-machine-washable-d1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9235409950f5f87cdd7448cbf5ac7a4f4dbaf6159fc81f9ca4893048f571d49a.jpg?v=1785100651" TargetMode="External" Id="rId1"/><Relationship Type="http://schemas.openxmlformats.org/officeDocument/2006/relationships/hyperlink" Target="https://cdn.shopify.com/s/files/1/0792/5098/1063/files/9235409950f5f87cdd7448cbf5ac7a4f4dbaf6159fc81f9ca4893048f571d49a.jpg?v=1785100651" TargetMode="External" Id="rId2"/><Relationship Type="http://schemas.openxmlformats.org/officeDocument/2006/relationships/hyperlink" Target="https://cdn.shopify.com/s/files/1/0792/5098/1063/files/734fcfc573ad4fdcbbb651e00778852f706e090e624c7195c769cce66a4fcce7.jpg?v=1785100651" TargetMode="External" Id="rId3"/><Relationship Type="http://schemas.openxmlformats.org/officeDocument/2006/relationships/hyperlink" Target="https://cdn.shopify.com/s/files/1/0792/5098/1063/files/734fcfc573ad4fdcbbb651e00778852f706e090e624c7195c769cce66a4fcce7.jpg?v=1785100651" TargetMode="External" Id="rId4"/><Relationship Type="http://schemas.openxmlformats.org/officeDocument/2006/relationships/hyperlink" Target="https://cdn.shopify.com/s/files/1/0792/5098/1063/files/16f7293cbefa5743a35b2e6316a5a114e5c052d08151e367dafd26aa5e2e542b_eb1a080d-6e40-46ec-991a-85be60e1af93.jpg?v=1785100651" TargetMode="External" Id="rId5"/><Relationship Type="http://schemas.openxmlformats.org/officeDocument/2006/relationships/hyperlink" Target="https://cdn.shopify.com/s/files/1/0792/5098/1063/files/16f7293cbefa5743a35b2e6316a5a114e5c052d08151e367dafd26aa5e2e542b_eb1a080d-6e40-46ec-991a-85be60e1af93.jpg?v=1785100651" TargetMode="External" Id="rId6"/><Relationship Type="http://schemas.openxmlformats.org/officeDocument/2006/relationships/hyperlink" Target="https://cdn.shopify.com/s/files/1/0792/5098/1063/files/f8229b6849a00a78a81ae1d6d2d453ba20adc1a2f8096c40c60d04127f55aa3e.jpg?v=1785100651" TargetMode="External" Id="rId7"/><Relationship Type="http://schemas.openxmlformats.org/officeDocument/2006/relationships/hyperlink" Target="https://cdn.shopify.com/s/files/1/0792/5098/1063/files/f8229b6849a00a78a81ae1d6d2d453ba20adc1a2f8096c40c60d04127f55aa3e.jpg?v=1785100651" TargetMode="External" Id="rId8"/><Relationship Type="http://schemas.openxmlformats.org/officeDocument/2006/relationships/hyperlink" Target="https://cdn.shopify.com/s/files/1/0792/5098/1063/files/7c006bddc94d4763c71c8376307e195c1bbce73b8c802ec73ac5a8cef1291262_77b7f8f1-ac24-40ac-87d5-9f4f05af728d.jpg?v=1785100652" TargetMode="External" Id="rId9"/><Relationship Type="http://schemas.openxmlformats.org/officeDocument/2006/relationships/hyperlink" Target="https://cdn.shopify.com/s/files/1/0792/5098/1063/files/7c006bddc94d4763c71c8376307e195c1bbce73b8c802ec73ac5a8cef1291262_77b7f8f1-ac24-40ac-87d5-9f4f05af728d.jpg?v=1785100652" TargetMode="External" Id="rId10"/><Relationship Type="http://schemas.openxmlformats.org/officeDocument/2006/relationships/hyperlink" Target="https://cdn.shopify.com/s/files/1/0792/5098/1063/files/e5cad84edb4d7bf77c48fd7c8e52eb3b73f04eba8bf177671fd8a059c59422e8_155f496e-ea96-4855-a894-d66f04e80ab3.jpg?v=1785100651" TargetMode="External" Id="rId11"/><Relationship Type="http://schemas.openxmlformats.org/officeDocument/2006/relationships/hyperlink" Target="https://cdn.shopify.com/s/files/1/0792/5098/1063/files/e5cad84edb4d7bf77c48fd7c8e52eb3b73f04eba8bf177671fd8a059c59422e8_155f496e-ea96-4855-a894-d66f04e80ab3.jpg?v=1785100651" TargetMode="External" Id="rId12"/><Relationship Type="http://schemas.openxmlformats.org/officeDocument/2006/relationships/hyperlink" Target="https://cdn.shopify.com/s/files/1/0792/5098/1063/files/6c2b7a18ab88cd4dc34c692087680fae7e33609b7762bcbb4b65241bddb4c683.jpg?v=1785090540" TargetMode="External" Id="rId13"/><Relationship Type="http://schemas.openxmlformats.org/officeDocument/2006/relationships/hyperlink" Target="https://cdn.shopify.com/s/files/1/0792/5098/1063/files/6c2b7a18ab88cd4dc34c692087680fae7e33609b7762bcbb4b65241bddb4c683.jpg?v=1785090540" TargetMode="External" Id="rId14"/><Relationship Type="http://schemas.openxmlformats.org/officeDocument/2006/relationships/hyperlink" Target="https://cdn.shopify.com/s/files/1/0792/5098/1063/files/d5abee5ec17755dbbcc6e02e33e7a330ee23e993249b0e3a757080976f26e61a.jpg?v=1785090540" TargetMode="External" Id="rId15"/><Relationship Type="http://schemas.openxmlformats.org/officeDocument/2006/relationships/hyperlink" Target="https://cdn.shopify.com/s/files/1/0792/5098/1063/files/d5abee5ec17755dbbcc6e02e33e7a330ee23e993249b0e3a757080976f26e61a.jpg?v=1785090540" TargetMode="External" Id="rId16"/><Relationship Type="http://schemas.openxmlformats.org/officeDocument/2006/relationships/hyperlink" Target="https://cdn.shopify.com/s/files/1/0792/5098/1063/files/49a6ce3612edf854fdd67ce0c385b74a1db4efbd8e737a4eb0e471333401d9ad.jpg?v=1785090540" TargetMode="External" Id="rId17"/><Relationship Type="http://schemas.openxmlformats.org/officeDocument/2006/relationships/hyperlink" Target="https://cdn.shopify.com/s/files/1/0792/5098/1063/files/49a6ce3612edf854fdd67ce0c385b74a1db4efbd8e737a4eb0e471333401d9ad.jpg?v=1785090540" TargetMode="External" Id="rId18"/><Relationship Type="http://schemas.openxmlformats.org/officeDocument/2006/relationships/hyperlink" Target="https://cdn.shopify.com/s/files/1/0792/5098/1063/files/5da1c7280668d37f99227b265e2f4a101e6ec1870c93392f2ce692a3c8dbae4c.jpg?v=1785090540" TargetMode="External" Id="rId19"/><Relationship Type="http://schemas.openxmlformats.org/officeDocument/2006/relationships/hyperlink" Target="https://cdn.shopify.com/s/files/1/0792/5098/1063/files/5da1c7280668d37f99227b265e2f4a101e6ec1870c93392f2ce692a3c8dbae4c.jpg?v=1785090540" TargetMode="External" Id="rId20"/><Relationship Type="http://schemas.openxmlformats.org/officeDocument/2006/relationships/hyperlink" Target="https://cdn.shopify.com/s/files/1/0792/5098/1063/files/b49fc2186646baaf777f077b381de87c413f199fd7b53efde32665c9ca95f394.jpg?v=1785090540" TargetMode="External" Id="rId21"/><Relationship Type="http://schemas.openxmlformats.org/officeDocument/2006/relationships/hyperlink" Target="https://cdn.shopify.com/s/files/1/0792/5098/1063/files/b49fc2186646baaf777f077b381de87c413f199fd7b53efde32665c9ca95f394.jpg?v=1785090540" TargetMode="External" Id="rId22"/><Relationship Type="http://schemas.openxmlformats.org/officeDocument/2006/relationships/hyperlink" Target="https://cdn.shopify.com/s/files/1/0792/5098/1063/files/e2dc8de58ffeb16bc7298d0dc08ee3d2ff3c802de9628dc8fc747d2e9f902e68.jpg?v=1785090540" TargetMode="External" Id="rId23"/><Relationship Type="http://schemas.openxmlformats.org/officeDocument/2006/relationships/hyperlink" Target="https://cdn.shopify.com/s/files/1/0792/5098/1063/files/e2dc8de58ffeb16bc7298d0dc08ee3d2ff3c802de9628dc8fc747d2e9f902e68.jpg?v=1785090540" TargetMode="External" Id="rId24"/><Relationship Type="http://schemas.openxmlformats.org/officeDocument/2006/relationships/hyperlink" Target="https://cdn.shopify.com/s/files/1/0792/5098/1063/files/2d1f9bd9a0ee6f49866a6231d692e0202b33607aee4f2e197620f325de16c7fe.jpg?v=1785090540" TargetMode="External" Id="rId25"/><Relationship Type="http://schemas.openxmlformats.org/officeDocument/2006/relationships/hyperlink" Target="https://cdn.shopify.com/s/files/1/0792/5098/1063/files/2d1f9bd9a0ee6f49866a6231d692e0202b33607aee4f2e197620f325de16c7fe.jpg?v=1785090540" TargetMode="External" Id="rId26"/><Relationship Type="http://schemas.openxmlformats.org/officeDocument/2006/relationships/hyperlink" Target="https://cdn.shopify.com/s/files/1/0792/5098/1063/files/6f93e586623db54ca28d44f2040467d7786507670c9cfbfbd907b22dedba4036.jpg?v=1785090539" TargetMode="External" Id="rId27"/><Relationship Type="http://schemas.openxmlformats.org/officeDocument/2006/relationships/hyperlink" Target="https://cdn.shopify.com/s/files/1/0792/5098/1063/files/6f93e586623db54ca28d44f2040467d7786507670c9cfbfbd907b22dedba4036.jpg?v=1785090539" TargetMode="External" Id="rId28"/><Relationship Type="http://schemas.openxmlformats.org/officeDocument/2006/relationships/hyperlink" Target="https://cdn.shopify.com/s/files/1/0792/5098/1063/files/96f0a2befa124f14fe17c41828df61ccbf8614b1075a2b471347b5b1e2d17c9c.jpg?v=1786571231" TargetMode="External" Id="rId29"/><Relationship Type="http://schemas.openxmlformats.org/officeDocument/2006/relationships/hyperlink" Target="https://cdn.shopify.com/s/files/1/0792/5098/1063/files/96f0a2befa124f14fe17c41828df61ccbf8614b1075a2b471347b5b1e2d17c9c.jpg?v=1786571231" TargetMode="External" Id="rId30"/><Relationship Type="http://schemas.openxmlformats.org/officeDocument/2006/relationships/hyperlink" Target="https://cdn.shopify.com/s/files/1/0792/5098/1063/files/bf1d3fd2d254bd0bbc4f713f39d50bdf18a793c3b5b6fe296b2d739bedcfae66.jpg?v=1786571231" TargetMode="External" Id="rId31"/><Relationship Type="http://schemas.openxmlformats.org/officeDocument/2006/relationships/hyperlink" Target="https://cdn.shopify.com/s/files/1/0792/5098/1063/files/bf1d3fd2d254bd0bbc4f713f39d50bdf18a793c3b5b6fe296b2d739bedcfae66.jpg?v=1786571231" TargetMode="External" Id="rId32"/><Relationship Type="http://schemas.openxmlformats.org/officeDocument/2006/relationships/hyperlink" Target="https://cdn.shopify.com/s/files/1/0792/5098/1063/files/bad5de99ca953161988c70b259bc4c33c7b12ba656061c0e5588b7d98a857ebc.jpg?v=1786571231" TargetMode="External" Id="rId33"/><Relationship Type="http://schemas.openxmlformats.org/officeDocument/2006/relationships/hyperlink" Target="https://cdn.shopify.com/s/files/1/0792/5098/1063/files/bad5de99ca953161988c70b259bc4c33c7b12ba656061c0e5588b7d98a857ebc.jpg?v=1786571231" TargetMode="External" Id="rId34"/><Relationship Type="http://schemas.openxmlformats.org/officeDocument/2006/relationships/hyperlink" Target="https://cdn.shopify.com/s/files/1/0792/5098/1063/files/ba00c903bb60feca9fbedd850bb74749aa77322da35ffdccf7275d065f5fbcaf.jpg?v=1786571231" TargetMode="External" Id="rId35"/><Relationship Type="http://schemas.openxmlformats.org/officeDocument/2006/relationships/hyperlink" Target="https://cdn.shopify.com/s/files/1/0792/5098/1063/files/ba00c903bb60feca9fbedd850bb74749aa77322da35ffdccf7275d065f5fbcaf.jpg?v=1786571231" TargetMode="External" Id="rId36"/><Relationship Type="http://schemas.openxmlformats.org/officeDocument/2006/relationships/hyperlink" Target="https://cdn.shopify.com/s/files/1/0792/5098/1063/files/8d82b855ba67960edf4d0f67faf83c4efd4804df358149a6badaeef90924cfa3.jpg?v=1786571231" TargetMode="External" Id="rId37"/><Relationship Type="http://schemas.openxmlformats.org/officeDocument/2006/relationships/hyperlink" Target="https://cdn.shopify.com/s/files/1/0792/5098/1063/files/8d82b855ba67960edf4d0f67faf83c4efd4804df358149a6badaeef90924cfa3.jpg?v=1786571231" TargetMode="External" Id="rId38"/><Relationship Type="http://schemas.openxmlformats.org/officeDocument/2006/relationships/hyperlink" Target="https://cdn.shopify.com/s/files/1/0792/5098/1063/files/9a2984133e4b75b82b98f8008d0c0261a85c643d83aaed87a9c6669a64a5e3b6.jpg?v=1786571231" TargetMode="External" Id="rId39"/><Relationship Type="http://schemas.openxmlformats.org/officeDocument/2006/relationships/hyperlink" Target="https://cdn.shopify.com/s/files/1/0792/5098/1063/files/9a2984133e4b75b82b98f8008d0c0261a85c643d83aaed87a9c6669a64a5e3b6.jpg?v=1786571231" TargetMode="External" Id="rId40"/><Relationship Type="http://schemas.openxmlformats.org/officeDocument/2006/relationships/hyperlink" Target="https://cdn.shopify.com/s/files/1/0792/5098/1063/files/e9d38cd833a6cfcefee0c7c7f1ae18d64f0606b9796df1dde3b1444731270052.jpg?v=1786571232" TargetMode="External" Id="rId41"/><Relationship Type="http://schemas.openxmlformats.org/officeDocument/2006/relationships/hyperlink" Target="https://cdn.shopify.com/s/files/1/0792/5098/1063/files/e9d38cd833a6cfcefee0c7c7f1ae18d64f0606b9796df1dde3b1444731270052.jpg?v=1786571232" TargetMode="External" Id="rId42"/><Relationship Type="http://schemas.openxmlformats.org/officeDocument/2006/relationships/hyperlink" Target="https://cdn.shopify.com/s/files/1/0792/5098/1063/files/9575f77a09e36399cd5f068645bc87d6039e51fdff8c055143a7aa9670d749a7.jpg?v=1785099357" TargetMode="External" Id="rId43"/><Relationship Type="http://schemas.openxmlformats.org/officeDocument/2006/relationships/hyperlink" Target="https://cdn.shopify.com/s/files/1/0792/5098/1063/files/9575f77a09e36399cd5f068645bc87d6039e51fdff8c055143a7aa9670d749a7.jpg?v=1785099357" TargetMode="External" Id="rId44"/><Relationship Type="http://schemas.openxmlformats.org/officeDocument/2006/relationships/hyperlink" Target="https://cdn.shopify.com/s/files/1/0792/5098/1063/files/4b8dbefabdfb2866d0b96afe10769c61e74e99e7ee5ddd0148929b1e3e335045.jpg?v=1785099357" TargetMode="External" Id="rId45"/><Relationship Type="http://schemas.openxmlformats.org/officeDocument/2006/relationships/hyperlink" Target="https://cdn.shopify.com/s/files/1/0792/5098/1063/files/4b8dbefabdfb2866d0b96afe10769c61e74e99e7ee5ddd0148929b1e3e335045.jpg?v=1785099357" TargetMode="External" Id="rId46"/><Relationship Type="http://schemas.openxmlformats.org/officeDocument/2006/relationships/hyperlink" Target="https://cdn.shopify.com/s/files/1/0792/5098/1063/files/e6dea2251ee4448ea2ecc83d581cc7f70a13339c4e97d07ebf3f1184296e6d4d.jpg?v=1785099357" TargetMode="External" Id="rId47"/><Relationship Type="http://schemas.openxmlformats.org/officeDocument/2006/relationships/hyperlink" Target="https://cdn.shopify.com/s/files/1/0792/5098/1063/files/e6dea2251ee4448ea2ecc83d581cc7f70a13339c4e97d07ebf3f1184296e6d4d.jpg?v=1785099357" TargetMode="External" Id="rId48"/><Relationship Type="http://schemas.openxmlformats.org/officeDocument/2006/relationships/hyperlink" Target="https://cdn.shopify.com/s/files/1/0792/5098/1063/files/c1b284bd859514f393f0168612dc0c5ff965886cc7e02755fcc1d52e1bd327a8.jpg?v=1785099357" TargetMode="External" Id="rId49"/><Relationship Type="http://schemas.openxmlformats.org/officeDocument/2006/relationships/hyperlink" Target="https://cdn.shopify.com/s/files/1/0792/5098/1063/files/c1b284bd859514f393f0168612dc0c5ff965886cc7e02755fcc1d52e1bd327a8.jpg?v=1785099357" TargetMode="External" Id="rId50"/><Relationship Type="http://schemas.openxmlformats.org/officeDocument/2006/relationships/hyperlink" Target="https://cdn.shopify.com/s/files/1/0792/5098/1063/files/b9ecd7acb9867d3dddcba683ef98ed213ccd45ad7b21c83750b3af21d8d606b0.jpg?v=1785099357" TargetMode="External" Id="rId51"/><Relationship Type="http://schemas.openxmlformats.org/officeDocument/2006/relationships/hyperlink" Target="https://cdn.shopify.com/s/files/1/0792/5098/1063/files/b9ecd7acb9867d3dddcba683ef98ed213ccd45ad7b21c83750b3af21d8d606b0.jpg?v=1785099357" TargetMode="External" Id="rId52"/><Relationship Type="http://schemas.openxmlformats.org/officeDocument/2006/relationships/hyperlink" Target="https://cdn.shopify.com/s/files/1/0792/5098/1063/files/cbd5bec77037adf2205dbf25184e33c4da62c7d9bcfcf65c48f951530c949183.jpg?v=1785047557" TargetMode="External" Id="rId53"/><Relationship Type="http://schemas.openxmlformats.org/officeDocument/2006/relationships/hyperlink" Target="https://cdn.shopify.com/s/files/1/0792/5098/1063/files/cbd5bec77037adf2205dbf25184e33c4da62c7d9bcfcf65c48f951530c949183.jpg?v=1785047557" TargetMode="External" Id="rId54"/><Relationship Type="http://schemas.openxmlformats.org/officeDocument/2006/relationships/hyperlink" Target="https://cdn.shopify.com/s/files/1/0792/5098/1063/files/23ffda708dc3ec814d65f9ddad5a342341172c0b0ba83dd4269ee04c1e31257d.jpg?v=1785047557" TargetMode="External" Id="rId55"/><Relationship Type="http://schemas.openxmlformats.org/officeDocument/2006/relationships/hyperlink" Target="https://cdn.shopify.com/s/files/1/0792/5098/1063/files/23ffda708dc3ec814d65f9ddad5a342341172c0b0ba83dd4269ee04c1e31257d.jpg?v=1785047557" TargetMode="External" Id="rId56"/><Relationship Type="http://schemas.openxmlformats.org/officeDocument/2006/relationships/hyperlink" Target="https://cdn.shopify.com/s/files/1/0792/5098/1063/files/b466ae44c3708cbb30c0d0caf6d1527fe408507e2969267fe97baf909b85d791.jpg?v=1785047557" TargetMode="External" Id="rId57"/><Relationship Type="http://schemas.openxmlformats.org/officeDocument/2006/relationships/hyperlink" Target="https://cdn.shopify.com/s/files/1/0792/5098/1063/files/b466ae44c3708cbb30c0d0caf6d1527fe408507e2969267fe97baf909b85d791.jpg?v=1785047557" TargetMode="External" Id="rId58"/><Relationship Type="http://schemas.openxmlformats.org/officeDocument/2006/relationships/hyperlink" Target="https://cdn.shopify.com/s/files/1/0792/5098/1063/files/ab686e5bcd9e43b0d7425b73d04cc3e11df03298877e89428bd239b57f2905c4.jpg?v=1785047557" TargetMode="External" Id="rId59"/><Relationship Type="http://schemas.openxmlformats.org/officeDocument/2006/relationships/hyperlink" Target="https://cdn.shopify.com/s/files/1/0792/5098/1063/files/ab686e5bcd9e43b0d7425b73d04cc3e11df03298877e89428bd239b57f2905c4.jpg?v=1785047557" TargetMode="External" Id="rId60"/><Relationship Type="http://schemas.openxmlformats.org/officeDocument/2006/relationships/hyperlink" Target="https://cdn.shopify.com/s/files/1/0792/5098/1063/files/9cead3e10d180201016171953dc0fc85f5892fadcb0fc954460d73a834ba58a0.jpg?v=1785047556" TargetMode="External" Id="rId61"/><Relationship Type="http://schemas.openxmlformats.org/officeDocument/2006/relationships/hyperlink" Target="https://cdn.shopify.com/s/files/1/0792/5098/1063/files/9cead3e10d180201016171953dc0fc85f5892fadcb0fc954460d73a834ba58a0.jpg?v=1785047556" TargetMode="External" Id="rId62"/><Relationship Type="http://schemas.openxmlformats.org/officeDocument/2006/relationships/hyperlink" Target="https://cdn.shopify.com/s/files/1/0792/5098/1063/files/96dcf378423aa82f4bfeea73a2dacc036fedbb92b4a3c90950f13f7f87ea07f3.jpg?v=1785047557" TargetMode="External" Id="rId63"/><Relationship Type="http://schemas.openxmlformats.org/officeDocument/2006/relationships/hyperlink" Target="https://cdn.shopify.com/s/files/1/0792/5098/1063/files/96dcf378423aa82f4bfeea73a2dacc036fedbb92b4a3c90950f13f7f87ea07f3.jpg?v=1785047557" TargetMode="External" Id="rId64"/><Relationship Type="http://schemas.openxmlformats.org/officeDocument/2006/relationships/hyperlink" Target="https://cdn.shopify.com/s/files/1/0792/5098/1063/files/7948c621d952c055974f0de2ba56d008b3bc9e871506efc33088690a2042a4b5.jpg?v=1785047557" TargetMode="External" Id="rId65"/><Relationship Type="http://schemas.openxmlformats.org/officeDocument/2006/relationships/hyperlink" Target="https://cdn.shopify.com/s/files/1/0792/5098/1063/files/7948c621d952c055974f0de2ba56d008b3bc9e871506efc33088690a2042a4b5.jpg?v=1785047557" TargetMode="External" Id="rId66"/><Relationship Type="http://schemas.openxmlformats.org/officeDocument/2006/relationships/hyperlink" Target="https://cdn.shopify.com/s/files/1/0792/5098/1063/files/ce9616f3d6428a4fee0ac30bc9089af78cb0c804e3542ab8b82c6e275e44020d.jpg?v=1785047264" TargetMode="External" Id="rId67"/><Relationship Type="http://schemas.openxmlformats.org/officeDocument/2006/relationships/hyperlink" Target="https://cdn.shopify.com/s/files/1/0792/5098/1063/files/ce9616f3d6428a4fee0ac30bc9089af78cb0c804e3542ab8b82c6e275e44020d.jpg?v=1785047264" TargetMode="External" Id="rId68"/><Relationship Type="http://schemas.openxmlformats.org/officeDocument/2006/relationships/hyperlink" Target="https://cdn.shopify.com/s/files/1/0792/5098/1063/files/7d45a55f9c0522d304f763fb5f92835032f8e2f4f4fe7b175bcc8f62cc0778c6.jpg?v=1785047264" TargetMode="External" Id="rId69"/><Relationship Type="http://schemas.openxmlformats.org/officeDocument/2006/relationships/hyperlink" Target="https://cdn.shopify.com/s/files/1/0792/5098/1063/files/7d45a55f9c0522d304f763fb5f92835032f8e2f4f4fe7b175bcc8f62cc0778c6.jpg?v=1785047264" TargetMode="External" Id="rId70"/><Relationship Type="http://schemas.openxmlformats.org/officeDocument/2006/relationships/hyperlink" Target="https://cdn.shopify.com/s/files/1/0792/5098/1063/files/c6ed8b47b815bfc728e934c22e39642f8d3fde9e3e2990572de7817bad792ef2.jpg?v=1785047264" TargetMode="External" Id="rId71"/><Relationship Type="http://schemas.openxmlformats.org/officeDocument/2006/relationships/hyperlink" Target="https://cdn.shopify.com/s/files/1/0792/5098/1063/files/c6ed8b47b815bfc728e934c22e39642f8d3fde9e3e2990572de7817bad792ef2.jpg?v=1785047264" TargetMode="External" Id="rId72"/><Relationship Type="http://schemas.openxmlformats.org/officeDocument/2006/relationships/hyperlink" Target="https://cdn.shopify.com/s/files/1/0792/5098/1063/files/6d2b5003a6fc80ddea86a4386a4e74fcf1be9f6fc7fed2e60b94350e04d826ca.jpg?v=1785047264" TargetMode="External" Id="rId73"/><Relationship Type="http://schemas.openxmlformats.org/officeDocument/2006/relationships/hyperlink" Target="https://cdn.shopify.com/s/files/1/0792/5098/1063/files/6d2b5003a6fc80ddea86a4386a4e74fcf1be9f6fc7fed2e60b94350e04d826ca.jpg?v=1785047264" TargetMode="External" Id="rId74"/><Relationship Type="http://schemas.openxmlformats.org/officeDocument/2006/relationships/hyperlink" Target="https://cdn.shopify.com/s/files/1/0792/5098/1063/files/9df553173cf44732a07c2299a75da0a932b37233f91b327f150d3d908255a7ce.jpg?v=1785047264" TargetMode="External" Id="rId75"/><Relationship Type="http://schemas.openxmlformats.org/officeDocument/2006/relationships/hyperlink" Target="https://cdn.shopify.com/s/files/1/0792/5098/1063/files/9df553173cf44732a07c2299a75da0a932b37233f91b327f150d3d908255a7ce.jpg?v=1785047264" TargetMode="External" Id="rId76"/><Relationship Type="http://schemas.openxmlformats.org/officeDocument/2006/relationships/hyperlink" Target="https://cdn.shopify.com/s/files/1/0792/5098/1063/files/a806849c7fb5a059426d5b97f11d1785bfe5443515c51e73bfbd30e2d5f9a733.jpg?v=1785047264" TargetMode="External" Id="rId77"/><Relationship Type="http://schemas.openxmlformats.org/officeDocument/2006/relationships/hyperlink" Target="https://cdn.shopify.com/s/files/1/0792/5098/1063/files/a806849c7fb5a059426d5b97f11d1785bfe5443515c51e73bfbd30e2d5f9a733.jpg?v=1785047264" TargetMode="External" Id="rId78"/><Relationship Type="http://schemas.openxmlformats.org/officeDocument/2006/relationships/hyperlink" Target="https://cdn.shopify.com/s/files/1/0792/5098/1063/files/7dd047a99d8f7c8aa39a81d2607f619ba4712708b8b0cadc387a608ca589b418.jpg?v=1785047264" TargetMode="External" Id="rId79"/><Relationship Type="http://schemas.openxmlformats.org/officeDocument/2006/relationships/hyperlink" Target="https://cdn.shopify.com/s/files/1/0792/5098/1063/files/7dd047a99d8f7c8aa39a81d2607f619ba4712708b8b0cadc387a608ca589b418.jpg?v=1785047264" TargetMode="External" Id="rId80"/><Relationship Type="http://schemas.openxmlformats.org/officeDocument/2006/relationships/hyperlink" Target="https://cdn.shopify.com/s/files/1/0792/5098/1063/files/8eae218010f8b5ffed66786a7651624283523e9769645b4a4bbf1b2d94796559.jpg?v=1785047476" TargetMode="External" Id="rId81"/><Relationship Type="http://schemas.openxmlformats.org/officeDocument/2006/relationships/hyperlink" Target="https://cdn.shopify.com/s/files/1/0792/5098/1063/files/8eae218010f8b5ffed66786a7651624283523e9769645b4a4bbf1b2d94796559.jpg?v=1785047476" TargetMode="External" Id="rId82"/><Relationship Type="http://schemas.openxmlformats.org/officeDocument/2006/relationships/hyperlink" Target="https://cdn.shopify.com/s/files/1/0792/5098/1063/files/ad92f598846900668a8aff35985bf8c9c1634d7180e9f0f2da22234ec9715a71.jpg?v=1785047476" TargetMode="External" Id="rId83"/><Relationship Type="http://schemas.openxmlformats.org/officeDocument/2006/relationships/hyperlink" Target="https://cdn.shopify.com/s/files/1/0792/5098/1063/files/ad92f598846900668a8aff35985bf8c9c1634d7180e9f0f2da22234ec9715a71.jpg?v=1785047476" TargetMode="External" Id="rId84"/><Relationship Type="http://schemas.openxmlformats.org/officeDocument/2006/relationships/hyperlink" Target="https://cdn.shopify.com/s/files/1/0792/5098/1063/files/54f9b43ce306fcf609bd0083f1034d2a5cf824fe8c54918b0920e528f6429d22.jpg?v=1785047476" TargetMode="External" Id="rId85"/><Relationship Type="http://schemas.openxmlformats.org/officeDocument/2006/relationships/hyperlink" Target="https://cdn.shopify.com/s/files/1/0792/5098/1063/files/54f9b43ce306fcf609bd0083f1034d2a5cf824fe8c54918b0920e528f6429d22.jpg?v=1785047476" TargetMode="External" Id="rId86"/><Relationship Type="http://schemas.openxmlformats.org/officeDocument/2006/relationships/hyperlink" Target="https://cdn.shopify.com/s/files/1/0792/5098/1063/files/cbb5eaa7a64e0c0ee72ebf3fe6eabdcb912a4966b6e922777ef53ec8926d2a65.jpg?v=1785047476" TargetMode="External" Id="rId87"/><Relationship Type="http://schemas.openxmlformats.org/officeDocument/2006/relationships/hyperlink" Target="https://cdn.shopify.com/s/files/1/0792/5098/1063/files/cbb5eaa7a64e0c0ee72ebf3fe6eabdcb912a4966b6e922777ef53ec8926d2a65.jpg?v=1785047476" TargetMode="External" Id="rId88"/><Relationship Type="http://schemas.openxmlformats.org/officeDocument/2006/relationships/hyperlink" Target="https://cdn.shopify.com/s/files/1/0792/5098/1063/files/294e6f3540a182ae28865f018fe4286351462712d9310bf6da6e8e405e6c0b6b.jpg?v=1785047476" TargetMode="External" Id="rId89"/><Relationship Type="http://schemas.openxmlformats.org/officeDocument/2006/relationships/hyperlink" Target="https://cdn.shopify.com/s/files/1/0792/5098/1063/files/294e6f3540a182ae28865f018fe4286351462712d9310bf6da6e8e405e6c0b6b.jpg?v=1785047476" TargetMode="External" Id="rId90"/><Relationship Type="http://schemas.openxmlformats.org/officeDocument/2006/relationships/hyperlink" Target="https://cdn.shopify.com/s/files/1/0792/5098/1063/files/534cc16bf237b5301f37f7fb37613e21872f96af800f3ce795de5bf92dcbe3e4.jpg?v=1785047476" TargetMode="External" Id="rId91"/><Relationship Type="http://schemas.openxmlformats.org/officeDocument/2006/relationships/hyperlink" Target="https://cdn.shopify.com/s/files/1/0792/5098/1063/files/534cc16bf237b5301f37f7fb37613e21872f96af800f3ce795de5bf92dcbe3e4.jpg?v=1785047476" TargetMode="External" Id="rId92"/><Relationship Type="http://schemas.openxmlformats.org/officeDocument/2006/relationships/hyperlink" Target="https://cdn.shopify.com/s/files/1/0792/5098/1063/files/08048dc1b68df65dfcb150964862a39a3bea1674956d2bbbfda8f783b76ba17d.jpg?v=1785047476" TargetMode="External" Id="rId93"/><Relationship Type="http://schemas.openxmlformats.org/officeDocument/2006/relationships/hyperlink" Target="https://cdn.shopify.com/s/files/1/0792/5098/1063/files/08048dc1b68df65dfcb150964862a39a3bea1674956d2bbbfda8f783b76ba17d.jpg?v=1785047476" TargetMode="External" Id="rId94"/><Relationship Type="http://schemas.openxmlformats.org/officeDocument/2006/relationships/hyperlink" Target="https://cdn.shopify.com/s/files/1/0792/5098/1063/files/6e9319b8ab8b2d2e568c6c292bfe25074a0b5fa69fe919cb307e508230e4c01a.jpg?v=1785132603" TargetMode="External" Id="rId95"/><Relationship Type="http://schemas.openxmlformats.org/officeDocument/2006/relationships/hyperlink" Target="https://cdn.shopify.com/s/files/1/0792/5098/1063/files/6e9319b8ab8b2d2e568c6c292bfe25074a0b5fa69fe919cb307e508230e4c01a.jpg?v=1785132603" TargetMode="External" Id="rId96"/><Relationship Type="http://schemas.openxmlformats.org/officeDocument/2006/relationships/hyperlink" Target="https://cdn.shopify.com/s/files/1/0792/5098/1063/files/f3288758e7d714e1d030c3a82bd01cf3f05e2fa7c9e54f29aaae473ba3df57c9.jpg?v=1785132604" TargetMode="External" Id="rId97"/><Relationship Type="http://schemas.openxmlformats.org/officeDocument/2006/relationships/hyperlink" Target="https://cdn.shopify.com/s/files/1/0792/5098/1063/files/f3288758e7d714e1d030c3a82bd01cf3f05e2fa7c9e54f29aaae473ba3df57c9.jpg?v=1785132604" TargetMode="External" Id="rId98"/><Relationship Type="http://schemas.openxmlformats.org/officeDocument/2006/relationships/hyperlink" Target="https://cdn.shopify.com/s/files/1/0792/5098/1063/files/16f7293cbefa5743a35b2e6316a5a114e5c052d08151e367dafd26aa5e2e542b_8cef3a78-7a6c-4b47-bf28-c8073b9514e1.jpg?v=1785132603" TargetMode="External" Id="rId99"/><Relationship Type="http://schemas.openxmlformats.org/officeDocument/2006/relationships/hyperlink" Target="https://cdn.shopify.com/s/files/1/0792/5098/1063/files/16f7293cbefa5743a35b2e6316a5a114e5c052d08151e367dafd26aa5e2e542b_8cef3a78-7a6c-4b47-bf28-c8073b9514e1.jpg?v=1785132603" TargetMode="External" Id="rId100"/><Relationship Type="http://schemas.openxmlformats.org/officeDocument/2006/relationships/hyperlink" Target="https://cdn.shopify.com/s/files/1/0792/5098/1063/files/3126d3e7c0e678ebf4352bbbec30f14f9532800b85550cb1568caa752ebaced1.jpg?v=1785132604" TargetMode="External" Id="rId101"/><Relationship Type="http://schemas.openxmlformats.org/officeDocument/2006/relationships/hyperlink" Target="https://cdn.shopify.com/s/files/1/0792/5098/1063/files/3126d3e7c0e678ebf4352bbbec30f14f9532800b85550cb1568caa752ebaced1.jpg?v=1785132604" TargetMode="External" Id="rId102"/><Relationship Type="http://schemas.openxmlformats.org/officeDocument/2006/relationships/hyperlink" Target="https://cdn.shopify.com/s/files/1/0792/5098/1063/files/a5338648c54a77bc15767c1ceae2ad207d73615ff6fc0725d8e895604fc48168.jpg?v=1785132603" TargetMode="External" Id="rId103"/><Relationship Type="http://schemas.openxmlformats.org/officeDocument/2006/relationships/hyperlink" Target="https://cdn.shopify.com/s/files/1/0792/5098/1063/files/a5338648c54a77bc15767c1ceae2ad207d73615ff6fc0725d8e895604fc48168.jpg?v=1785132603" TargetMode="External" Id="rId104"/><Relationship Type="http://schemas.openxmlformats.org/officeDocument/2006/relationships/hyperlink" Target="https://cdn.shopify.com/s/files/1/0792/5098/1063/files/7c006bddc94d4763c71c8376307e195c1bbce73b8c802ec73ac5a8cef1291262_e558ac05-8d88-4109-bd33-e9d9cdb886eb.jpg?v=1785132603" TargetMode="External" Id="rId105"/><Relationship Type="http://schemas.openxmlformats.org/officeDocument/2006/relationships/hyperlink" Target="https://cdn.shopify.com/s/files/1/0792/5098/1063/files/7c006bddc94d4763c71c8376307e195c1bbce73b8c802ec73ac5a8cef1291262_e558ac05-8d88-4109-bd33-e9d9cdb886eb.jpg?v=1785132603" TargetMode="External" Id="rId106"/><Relationship Type="http://schemas.openxmlformats.org/officeDocument/2006/relationships/hyperlink" Target="https://cdn.shopify.com/s/files/1/0792/5098/1063/files/e5cad84edb4d7bf77c48fd7c8e52eb3b73f04eba8bf177671fd8a059c59422e8_a26ad42c-8f12-49d7-b045-54c792ede217.jpg?v=1785132603" TargetMode="External" Id="rId107"/><Relationship Type="http://schemas.openxmlformats.org/officeDocument/2006/relationships/hyperlink" Target="https://cdn.shopify.com/s/files/1/0792/5098/1063/files/e5cad84edb4d7bf77c48fd7c8e52eb3b73f04eba8bf177671fd8a059c59422e8_a26ad42c-8f12-49d7-b045-54c792ede217.jpg?v=1785132603" TargetMode="External" Id="rId108"/><Relationship Type="http://schemas.openxmlformats.org/officeDocument/2006/relationships/hyperlink" Target="https://cdn.shopify.com/s/files/1/0792/5098/1063/files/b256b9200584c35cb542d9f0f89fc39d01989a03be1af664dce9420ebc84591d.jpg?v=1786596964" TargetMode="External" Id="rId109"/><Relationship Type="http://schemas.openxmlformats.org/officeDocument/2006/relationships/hyperlink" Target="https://cdn.shopify.com/s/files/1/0792/5098/1063/files/b256b9200584c35cb542d9f0f89fc39d01989a03be1af664dce9420ebc84591d.jpg?v=1786596964" TargetMode="External" Id="rId110"/><Relationship Type="http://schemas.openxmlformats.org/officeDocument/2006/relationships/hyperlink" Target="https://cdn.shopify.com/s/files/1/0792/5098/1063/files/436e5921f9b84efd188794029f984801525b46fad95772d3c15a87a21db79f7c.jpg?v=1786596964" TargetMode="External" Id="rId111"/><Relationship Type="http://schemas.openxmlformats.org/officeDocument/2006/relationships/hyperlink" Target="https://cdn.shopify.com/s/files/1/0792/5098/1063/files/436e5921f9b84efd188794029f984801525b46fad95772d3c15a87a21db79f7c.jpg?v=1786596964" TargetMode="External" Id="rId112"/><Relationship Type="http://schemas.openxmlformats.org/officeDocument/2006/relationships/hyperlink" Target="https://cdn.shopify.com/s/files/1/0792/5098/1063/files/7ee17d31454eba30bcf0521762be049abe20fe55df9641717b0c05cbd65511ce.jpg?v=1786596964" TargetMode="External" Id="rId113"/><Relationship Type="http://schemas.openxmlformats.org/officeDocument/2006/relationships/hyperlink" Target="https://cdn.shopify.com/s/files/1/0792/5098/1063/files/7ee17d31454eba30bcf0521762be049abe20fe55df9641717b0c05cbd65511ce.jpg?v=1786596964" TargetMode="External" Id="rId114"/><Relationship Type="http://schemas.openxmlformats.org/officeDocument/2006/relationships/hyperlink" Target="https://cdn.shopify.com/s/files/1/0792/5098/1063/files/8549f12737f3bee15ec5ff5f0e389f562e4a12f57f83d476fc1953431b959ea0.jpg?v=1786596964" TargetMode="External" Id="rId115"/><Relationship Type="http://schemas.openxmlformats.org/officeDocument/2006/relationships/hyperlink" Target="https://cdn.shopify.com/s/files/1/0792/5098/1063/files/8549f12737f3bee15ec5ff5f0e389f562e4a12f57f83d476fc1953431b959ea0.jpg?v=1786596964" TargetMode="External" Id="rId116"/><Relationship Type="http://schemas.openxmlformats.org/officeDocument/2006/relationships/hyperlink" Target="https://cdn.shopify.com/s/files/1/0792/5098/1063/files/d519d490e5587d4b52484078e51341d64ed6adf81ffbcef73997e4469eee174c.jpg?v=1786596964" TargetMode="External" Id="rId117"/><Relationship Type="http://schemas.openxmlformats.org/officeDocument/2006/relationships/hyperlink" Target="https://cdn.shopify.com/s/files/1/0792/5098/1063/files/d519d490e5587d4b52484078e51341d64ed6adf81ffbcef73997e4469eee174c.jpg?v=1786596964" TargetMode="External" Id="rId118"/><Relationship Type="http://schemas.openxmlformats.org/officeDocument/2006/relationships/hyperlink" Target="https://cdn.shopify.com/s/files/1/0792/5098/1063/files/ccb855a91f88b48bc6150279c00c849e18b8cc53d574ca2d6eed810aaf99b869_6a60546d-9b59-4ac8-b6f6-5842b3d4d2f8.jpg?v=1786596964" TargetMode="External" Id="rId119"/><Relationship Type="http://schemas.openxmlformats.org/officeDocument/2006/relationships/hyperlink" Target="https://cdn.shopify.com/s/files/1/0792/5098/1063/files/ccb855a91f88b48bc6150279c00c849e18b8cc53d574ca2d6eed810aaf99b869_6a60546d-9b59-4ac8-b6f6-5842b3d4d2f8.jpg?v=1786596964" TargetMode="External" Id="rId120"/><Relationship Type="http://schemas.openxmlformats.org/officeDocument/2006/relationships/hyperlink" Target="https://cdn.shopify.com/s/files/1/0792/5098/1063/files/833e6afd5fbc7b151ab7f92eeb0067af26b00a56ec3166519690569db08b1b56.jpg?v=1786596964" TargetMode="External" Id="rId121"/><Relationship Type="http://schemas.openxmlformats.org/officeDocument/2006/relationships/hyperlink" Target="https://cdn.shopify.com/s/files/1/0792/5098/1063/files/833e6afd5fbc7b151ab7f92eeb0067af26b00a56ec3166519690569db08b1b56.jpg?v=1786596964" TargetMode="External" Id="rId122"/><Relationship Type="http://schemas.openxmlformats.org/officeDocument/2006/relationships/hyperlink" Target="https://cdn.shopify.com/s/files/1/0792/5098/1063/files/cff961958bdb42a227b5dc21167a19c8a59d040b501ecb50723701f9b49aaf52.jpg?v=1786596964" TargetMode="External" Id="rId123"/><Relationship Type="http://schemas.openxmlformats.org/officeDocument/2006/relationships/hyperlink" Target="https://cdn.shopify.com/s/files/1/0792/5098/1063/files/cff961958bdb42a227b5dc21167a19c8a59d040b501ecb50723701f9b49aaf52.jpg?v=1786596964" TargetMode="External" Id="rId124"/><Relationship Type="http://schemas.openxmlformats.org/officeDocument/2006/relationships/hyperlink" Target="https://cdn.shopify.com/s/files/1/0792/5098/1063/files/668fa35dea61c8362a3121e2bd433091aa8dbda948fc90bac71e900f6e974dda.jpg?v=1786596964" TargetMode="External" Id="rId125"/><Relationship Type="http://schemas.openxmlformats.org/officeDocument/2006/relationships/hyperlink" Target="https://cdn.shopify.com/s/files/1/0792/5098/1063/files/668fa35dea61c8362a3121e2bd433091aa8dbda948fc90bac71e900f6e974dda.jpg?v=1786596964" TargetMode="External" Id="rId126"/><Relationship Type="http://schemas.openxmlformats.org/officeDocument/2006/relationships/hyperlink" Target="https://cdn.shopify.com/s/files/1/0792/5098/1063/files/64645971a4bbefd9dd18e9af52e87c04a6682f6a06adfa46b06f5e449480de9f.jpg?v=1786596381" TargetMode="External" Id="rId127"/><Relationship Type="http://schemas.openxmlformats.org/officeDocument/2006/relationships/hyperlink" Target="https://cdn.shopify.com/s/files/1/0792/5098/1063/files/64645971a4bbefd9dd18e9af52e87c04a6682f6a06adfa46b06f5e449480de9f.jpg?v=1786596381" TargetMode="External" Id="rId128"/><Relationship Type="http://schemas.openxmlformats.org/officeDocument/2006/relationships/hyperlink" Target="https://cdn.shopify.com/s/files/1/0792/5098/1063/files/7b62f2168e7a1d45566ff77b84d97885b429d47d303031055b65e26e885bc065.jpg?v=1786596381" TargetMode="External" Id="rId129"/><Relationship Type="http://schemas.openxmlformats.org/officeDocument/2006/relationships/hyperlink" Target="https://cdn.shopify.com/s/files/1/0792/5098/1063/files/7b62f2168e7a1d45566ff77b84d97885b429d47d303031055b65e26e885bc065.jpg?v=1786596381" TargetMode="External" Id="rId130"/><Relationship Type="http://schemas.openxmlformats.org/officeDocument/2006/relationships/hyperlink" Target="https://cdn.shopify.com/s/files/1/0792/5098/1063/files/b8b420c5155e6c391231f22c60f5089338032ec574bb6c287bb37673601cc42b.jpg?v=1786596380" TargetMode="External" Id="rId131"/><Relationship Type="http://schemas.openxmlformats.org/officeDocument/2006/relationships/hyperlink" Target="https://cdn.shopify.com/s/files/1/0792/5098/1063/files/b8b420c5155e6c391231f22c60f5089338032ec574bb6c287bb37673601cc42b.jpg?v=1786596380" TargetMode="External" Id="rId132"/><Relationship Type="http://schemas.openxmlformats.org/officeDocument/2006/relationships/hyperlink" Target="https://cdn.shopify.com/s/files/1/0792/5098/1063/files/ccb855a91f88b48bc6150279c00c849e18b8cc53d574ca2d6eed810aaf99b869.jpg?v=1786596380" TargetMode="External" Id="rId133"/><Relationship Type="http://schemas.openxmlformats.org/officeDocument/2006/relationships/hyperlink" Target="https://cdn.shopify.com/s/files/1/0792/5098/1063/files/ccb855a91f88b48bc6150279c00c849e18b8cc53d574ca2d6eed810aaf99b869.jpg?v=1786596380" TargetMode="External" Id="rId134"/><Relationship Type="http://schemas.openxmlformats.org/officeDocument/2006/relationships/hyperlink" Target="https://cdn.shopify.com/s/files/1/0792/5098/1063/files/903e259e4525b0ce70cd98bd796885f99fb320671827b45012e99c75dc0efd93.jpg?v=1786596380" TargetMode="External" Id="rId135"/><Relationship Type="http://schemas.openxmlformats.org/officeDocument/2006/relationships/hyperlink" Target="https://cdn.shopify.com/s/files/1/0792/5098/1063/files/903e259e4525b0ce70cd98bd796885f99fb320671827b45012e99c75dc0efd93.jpg?v=1786596380" TargetMode="External" Id="rId136"/><Relationship Type="http://schemas.openxmlformats.org/officeDocument/2006/relationships/hyperlink" Target="https://cdn.shopify.com/s/files/1/0792/5098/1063/files/bf8108bf2597520094d30861e395e79ee495ea432cb0a10bcea923947ec3c625.jpg?v=1786596380" TargetMode="External" Id="rId137"/><Relationship Type="http://schemas.openxmlformats.org/officeDocument/2006/relationships/hyperlink" Target="https://cdn.shopify.com/s/files/1/0792/5098/1063/files/bf8108bf2597520094d30861e395e79ee495ea432cb0a10bcea923947ec3c625.jpg?v=1786596380" TargetMode="External" Id="rId138"/><Relationship Type="http://schemas.openxmlformats.org/officeDocument/2006/relationships/hyperlink" Target="https://cdn.shopify.com/s/files/1/0792/5098/1063/files/ce10229836d480dae8c18d3cbc37b394ff23c2752af44c05c46ccd6f4c0545b5.jpg?v=1786596380" TargetMode="External" Id="rId139"/><Relationship Type="http://schemas.openxmlformats.org/officeDocument/2006/relationships/hyperlink" Target="https://cdn.shopify.com/s/files/1/0792/5098/1063/files/ce10229836d480dae8c18d3cbc37b394ff23c2752af44c05c46ccd6f4c0545b5.jpg?v=1786596380" TargetMode="External" Id="rId140"/><Relationship Type="http://schemas.openxmlformats.org/officeDocument/2006/relationships/hyperlink" Target="https://cdn.shopify.com/s/files/1/0792/5098/1063/files/6a0dd75b4493d3d638fea8bc8d2fcf8f0b9466af78c6dee27e819bf409a6d9a4.jpg?v=1786596380" TargetMode="External" Id="rId141"/><Relationship Type="http://schemas.openxmlformats.org/officeDocument/2006/relationships/hyperlink" Target="https://cdn.shopify.com/s/files/1/0792/5098/1063/files/6a0dd75b4493d3d638fea8bc8d2fcf8f0b9466af78c6dee27e819bf409a6d9a4.jpg?v=1786596380" TargetMode="External" Id="rId142"/><Relationship Type="http://schemas.openxmlformats.org/officeDocument/2006/relationships/hyperlink" Target="https://cdn.shopify.com/s/files/1/0792/5098/1063/files/cb9ab8c716536e92af73186f82538ab95214e0a1adde3088ec2a19d3372d6e2f.jpg?v=1786596380" TargetMode="External" Id="rId143"/><Relationship Type="http://schemas.openxmlformats.org/officeDocument/2006/relationships/hyperlink" Target="https://cdn.shopify.com/s/files/1/0792/5098/1063/files/cb9ab8c716536e92af73186f82538ab95214e0a1adde3088ec2a19d3372d6e2f.jpg?v=1786596380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D:\Shopify_Workspace\jeminise_seo\resutls\jeminise.com\20260906_234129\revisions\qa_batch_005_r5\SEO_Product_Optimization_qa_batch_005_r5.xlsx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D5F7EB6DE0948B81B4BA18FA0DF2B8157B94106A53A02951D19E0A569F7D4947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20260909_052334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qa_batch_005_r5</t>
        </is>
      </c>
      <c r="C6" s="2" t="inlineStr">
        <is>
          <t>Inventory positions 41-50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72/72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9,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41</v>
      </c>
      <c r="B2" s="2" t="inlineStr">
        <is>
          <t>jeminise.com+custom-american-sports-football-player-running-with-ball-comforter-891aa5a660-891aa5a660</t>
        </is>
      </c>
      <c r="C2" s="4" t="inlineStr">
        <is>
          <t>https://jeminise.com/products/custom-american-sports-football-player-running-with-ball-comforter-891aa5a660-891aa5a660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6</v>
      </c>
      <c r="M2" s="2" t="n">
        <v>6</v>
      </c>
      <c r="N2" s="2" t="b">
        <v>1</v>
      </c>
      <c r="O2" s="6" t="n">
        <v>1</v>
      </c>
      <c r="P2" s="2">
        <f>COUNTIFS('QA_Issues'!$B$2:$B$11,B2,'QA_Issues'!$D$2:$D$11,"CRITICAL")</f>
        <v/>
      </c>
      <c r="Q2" s="2">
        <f>COUNTIFS('QA_Issues'!$B$2:$B$11,B2,'QA_Issues'!$D$2:$D$11,"MAJOR")</f>
        <v/>
      </c>
      <c r="R2" s="2">
        <f>COUNTIFS('QA_Issues'!$B$2:$B$11,B2,'QA_Issues'!$D$2:$D$11,"MINOR")</f>
        <v/>
      </c>
      <c r="S2" s="2">
        <f>COUNTIFS('QA_Issues'!$B$2:$B$11,B2,'QA_Issues'!$D$2:$D$11,"LIMITATION")</f>
        <v/>
      </c>
      <c r="T2" s="2" t="inlineStr">
        <is>
          <t>["B05R5-MIN-001"]</t>
        </is>
      </c>
      <c r="U2" s="2" t="inlineStr">
        <is>
          <t>["evidence_batch_005_041", "https://jeminise.com/products/custom-american-sports-football-player-running-with-ball-comforter-891aa5a660-891aa5a660", "serp_qa_batch_005_r5_041_1", "live_pages", "customizer_audit.json"]</t>
        </is>
      </c>
    </row>
    <row r="3" ht="42" customHeight="1">
      <c r="A3" s="3" t="n">
        <v>42</v>
      </c>
      <c r="B3" s="3" t="inlineStr">
        <is>
          <t>jeminise.com+custom-basketball-players-blanket-name-number-76fdad09b6-76fdad09b6</t>
        </is>
      </c>
      <c r="C3" s="4" t="inlineStr">
        <is>
          <t>https://jeminise.com/products/custom-basketball-players-blanket-name-number-76fdad09b6-76fdad09b6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8</v>
      </c>
      <c r="M3" s="3" t="n">
        <v>8</v>
      </c>
      <c r="N3" s="3" t="b">
        <v>1</v>
      </c>
      <c r="O3" s="8" t="n">
        <v>1</v>
      </c>
      <c r="P3" s="3">
        <f>COUNTIFS('QA_Issues'!$B$2:$B$11,B3,'QA_Issues'!$D$2:$D$11,"CRITICAL")</f>
        <v/>
      </c>
      <c r="Q3" s="3">
        <f>COUNTIFS('QA_Issues'!$B$2:$B$11,B3,'QA_Issues'!$D$2:$D$11,"MAJOR")</f>
        <v/>
      </c>
      <c r="R3" s="3">
        <f>COUNTIFS('QA_Issues'!$B$2:$B$11,B3,'QA_Issues'!$D$2:$D$11,"MINOR")</f>
        <v/>
      </c>
      <c r="S3" s="3">
        <f>COUNTIFS('QA_Issues'!$B$2:$B$11,B3,'QA_Issues'!$D$2:$D$11,"LIMITATION")</f>
        <v/>
      </c>
      <c r="T3" s="3" t="inlineStr">
        <is>
          <t>["B05R5-MIN-002"]</t>
        </is>
      </c>
      <c r="U3" s="3" t="inlineStr">
        <is>
          <t>["evidence_batch_005_042", "https://jeminise.com/products/custom-basketball-players-blanket-name-number-76fdad09b6-76fdad09b6", "serp_qa_batch_005_r5_042_1", "live_pages", "customizer_audit.json"]</t>
        </is>
      </c>
    </row>
    <row r="4" ht="42" customHeight="1">
      <c r="A4" s="2" t="n">
        <v>43</v>
      </c>
      <c r="B4" s="2" t="inlineStr">
        <is>
          <t>jeminise.com+custom-bible-verse-photo-blanket-personalized-christian-gift-for-her</t>
        </is>
      </c>
      <c r="C4" s="4" t="inlineStr">
        <is>
          <t>https://jeminise.com/products/custom-bible-verse-photo-blanket-personalized-christian-gift-for-her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COUNTIFS('QA_Issues'!$B$2:$B$11,B4,'QA_Issues'!$D$2:$D$11,"CRITICAL")</f>
        <v/>
      </c>
      <c r="Q4" s="2">
        <f>COUNTIFS('QA_Issues'!$B$2:$B$11,B4,'QA_Issues'!$D$2:$D$11,"MAJOR")</f>
        <v/>
      </c>
      <c r="R4" s="2">
        <f>COUNTIFS('QA_Issues'!$B$2:$B$11,B4,'QA_Issues'!$D$2:$D$11,"MINOR")</f>
        <v/>
      </c>
      <c r="S4" s="2">
        <f>COUNTIFS('QA_Issues'!$B$2:$B$11,B4,'QA_Issues'!$D$2:$D$11,"LIMITATION")</f>
        <v/>
      </c>
      <c r="T4" s="2" t="inlineStr">
        <is>
          <t>["B05R5-MIN-003"]</t>
        </is>
      </c>
      <c r="U4" s="2" t="inlineStr">
        <is>
          <t>["evidence_batch_005_043", "https://jeminise.com/products/custom-bible-verse-photo-blanket-personalized-christian-gift-for-her", "serp_qa_batch_005_r5_043_1", "live_pages", "customizer_audit.json"]</t>
        </is>
      </c>
    </row>
    <row r="5" ht="42" customHeight="1">
      <c r="A5" s="3" t="n">
        <v>44</v>
      </c>
      <c r="B5" s="3" t="inlineStr">
        <is>
          <t>jeminise.com+custom-cardinals-on-flowering-branches-quilt-47d5316f3d-47d5316f3d</t>
        </is>
      </c>
      <c r="C5" s="4" t="inlineStr">
        <is>
          <t>https://jeminise.com/products/custom-cardinals-on-flowering-branches-quilt-47d5316f3d-47d5316f3d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5</v>
      </c>
      <c r="M5" s="3" t="n">
        <v>5</v>
      </c>
      <c r="N5" s="3" t="b">
        <v>1</v>
      </c>
      <c r="O5" s="8" t="n">
        <v>1</v>
      </c>
      <c r="P5" s="3">
        <f>COUNTIFS('QA_Issues'!$B$2:$B$11,B5,'QA_Issues'!$D$2:$D$11,"CRITICAL")</f>
        <v/>
      </c>
      <c r="Q5" s="3">
        <f>COUNTIFS('QA_Issues'!$B$2:$B$11,B5,'QA_Issues'!$D$2:$D$11,"MAJOR")</f>
        <v/>
      </c>
      <c r="R5" s="3">
        <f>COUNTIFS('QA_Issues'!$B$2:$B$11,B5,'QA_Issues'!$D$2:$D$11,"MINOR")</f>
        <v/>
      </c>
      <c r="S5" s="3">
        <f>COUNTIFS('QA_Issues'!$B$2:$B$11,B5,'QA_Issues'!$D$2:$D$11,"LIMITATION")</f>
        <v/>
      </c>
      <c r="T5" s="3" t="inlineStr">
        <is>
          <t>[]</t>
        </is>
      </c>
      <c r="U5" s="3" t="inlineStr">
        <is>
          <t>["evidence_batch_005_044", "https://jeminise.com/products/custom-cardinals-on-flowering-branches-quilt-47d5316f3d-47d5316f3d", "serp_qa_batch_005_r5_044_1", "live_pages", "customizer_audit.json"]</t>
        </is>
      </c>
    </row>
    <row r="6" ht="42" customHeight="1">
      <c r="A6" s="2" t="n">
        <v>45</v>
      </c>
      <c r="B6" s="2" t="inlineStr">
        <is>
          <t>jeminise.com+custom-tree-of-life-quilt-set-yggdrasil-bedding-019f2b38a4-019f2b38a4</t>
        </is>
      </c>
      <c r="C6" s="4" t="inlineStr">
        <is>
          <t>https://jeminise.com/products/custom-tree-of-life-quilt-set-yggdrasil-bedding-019f2b38a4-019f2b38a4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COUNTIFS('QA_Issues'!$B$2:$B$11,B6,'QA_Issues'!$D$2:$D$11,"CRITICAL")</f>
        <v/>
      </c>
      <c r="Q6" s="2">
        <f>COUNTIFS('QA_Issues'!$B$2:$B$11,B6,'QA_Issues'!$D$2:$D$11,"MAJOR")</f>
        <v/>
      </c>
      <c r="R6" s="2">
        <f>COUNTIFS('QA_Issues'!$B$2:$B$11,B6,'QA_Issues'!$D$2:$D$11,"MINOR")</f>
        <v/>
      </c>
      <c r="S6" s="2">
        <f>COUNTIFS('QA_Issues'!$B$2:$B$11,B6,'QA_Issues'!$D$2:$D$11,"LIMITATION")</f>
        <v/>
      </c>
      <c r="T6" s="2" t="inlineStr">
        <is>
          <t>["B05R5-MIN-005"]</t>
        </is>
      </c>
      <c r="U6" s="2" t="inlineStr">
        <is>
          <t>["evidence_batch_005_045", "https://jeminise.com/products/custom-tree-of-life-quilt-set-yggdrasil-bedding-019f2b38a4-019f2b38a4", "serp_qa_batch_005_r5_045_1", "live_pages", "customizer_audit.json"]</t>
        </is>
      </c>
    </row>
    <row r="7" ht="42" customHeight="1">
      <c r="A7" s="3" t="n">
        <v>46</v>
      </c>
      <c r="B7" s="3" t="inlineStr">
        <is>
          <t>jeminise.com+custom-tree-of-life-quilt-set-yggdrasil-celtic-patterns-908827b1df-908827b1df</t>
        </is>
      </c>
      <c r="C7" s="4" t="inlineStr">
        <is>
          <t>https://jeminise.com/products/custom-tree-of-life-quilt-set-yggdrasil-celtic-patterns-908827b1df-908827b1df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COUNTIFS('QA_Issues'!$B$2:$B$11,B7,'QA_Issues'!$D$2:$D$11,"CRITICAL")</f>
        <v/>
      </c>
      <c r="Q7" s="3">
        <f>COUNTIFS('QA_Issues'!$B$2:$B$11,B7,'QA_Issues'!$D$2:$D$11,"MAJOR")</f>
        <v/>
      </c>
      <c r="R7" s="3">
        <f>COUNTIFS('QA_Issues'!$B$2:$B$11,B7,'QA_Issues'!$D$2:$D$11,"MINOR")</f>
        <v/>
      </c>
      <c r="S7" s="3">
        <f>COUNTIFS('QA_Issues'!$B$2:$B$11,B7,'QA_Issues'!$D$2:$D$11,"LIMITATION")</f>
        <v/>
      </c>
      <c r="T7" s="3" t="inlineStr">
        <is>
          <t>["B05R5-MIN-006"]</t>
        </is>
      </c>
      <c r="U7" s="3" t="inlineStr">
        <is>
          <t>["evidence_batch_005_046", "https://jeminise.com/products/custom-tree-of-life-quilt-set-yggdrasil-celtic-patterns-908827b1df-908827b1df", "serp_qa_batch_005_r5_046_1", "live_pages", "customizer_audit.json"]</t>
        </is>
      </c>
    </row>
    <row r="8" ht="42" customHeight="1">
      <c r="A8" s="2" t="n">
        <v>47</v>
      </c>
      <c r="B8" s="2" t="inlineStr">
        <is>
          <t>jeminise.com+custom-tree-of-life-quilt-set-yggdrasil-bedding-5048da8f29-5048da8f29</t>
        </is>
      </c>
      <c r="C8" s="4" t="inlineStr">
        <is>
          <t>https://jeminise.com/products/custom-tree-of-life-quilt-set-yggdrasil-bedding-5048da8f29-5048da8f29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COUNTIFS('QA_Issues'!$B$2:$B$11,B8,'QA_Issues'!$D$2:$D$11,"CRITICAL")</f>
        <v/>
      </c>
      <c r="Q8" s="2">
        <f>COUNTIFS('QA_Issues'!$B$2:$B$11,B8,'QA_Issues'!$D$2:$D$11,"MAJOR")</f>
        <v/>
      </c>
      <c r="R8" s="2">
        <f>COUNTIFS('QA_Issues'!$B$2:$B$11,B8,'QA_Issues'!$D$2:$D$11,"MINOR")</f>
        <v/>
      </c>
      <c r="S8" s="2">
        <f>COUNTIFS('QA_Issues'!$B$2:$B$11,B8,'QA_Issues'!$D$2:$D$11,"LIMITATION")</f>
        <v/>
      </c>
      <c r="T8" s="2" t="inlineStr">
        <is>
          <t>["B05R5-MIN-007"]</t>
        </is>
      </c>
      <c r="U8" s="2" t="inlineStr">
        <is>
          <t>["evidence_batch_005_047", "https://jeminise.com/products/custom-tree-of-life-quilt-set-yggdrasil-bedding-5048da8f29-5048da8f29", "serp_qa_batch_005_r5_047_1", "live_pages", "customizer_audit.json"]</t>
        </is>
      </c>
    </row>
    <row r="9" ht="42" customHeight="1">
      <c r="A9" s="3" t="n">
        <v>48</v>
      </c>
      <c r="B9" s="3" t="inlineStr">
        <is>
          <t>jeminise.com+custom-christian-faith-semi-truck-in-front-of-large-comforter-057143b1f8-057143b1f8</t>
        </is>
      </c>
      <c r="C9" s="4" t="inlineStr">
        <is>
          <t>https://jeminise.com/products/custom-christian-faith-semi-truck-in-front-of-large-comforter-057143b1f8-057143b1f8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7</v>
      </c>
      <c r="M9" s="3" t="n">
        <v>7</v>
      </c>
      <c r="N9" s="3" t="b">
        <v>1</v>
      </c>
      <c r="O9" s="8" t="n">
        <v>1</v>
      </c>
      <c r="P9" s="3">
        <f>COUNTIFS('QA_Issues'!$B$2:$B$11,B9,'QA_Issues'!$D$2:$D$11,"CRITICAL")</f>
        <v/>
      </c>
      <c r="Q9" s="3">
        <f>COUNTIFS('QA_Issues'!$B$2:$B$11,B9,'QA_Issues'!$D$2:$D$11,"MAJOR")</f>
        <v/>
      </c>
      <c r="R9" s="3">
        <f>COUNTIFS('QA_Issues'!$B$2:$B$11,B9,'QA_Issues'!$D$2:$D$11,"MINOR")</f>
        <v/>
      </c>
      <c r="S9" s="3">
        <f>COUNTIFS('QA_Issues'!$B$2:$B$11,B9,'QA_Issues'!$D$2:$D$11,"LIMITATION")</f>
        <v/>
      </c>
      <c r="T9" s="3" t="inlineStr">
        <is>
          <t>["B05R5-MIN-008"]</t>
        </is>
      </c>
      <c r="U9" s="3" t="inlineStr">
        <is>
          <t>["evidence_batch_005_048", "https://jeminise.com/products/custom-christian-faith-semi-truck-in-front-of-large-comforter-057143b1f8-057143b1f8", "serp_qa_batch_005_r5_048_1", "live_pages", "customizer_audit.json"]</t>
        </is>
      </c>
    </row>
    <row r="10" ht="42" customHeight="1">
      <c r="A10" s="2" t="n">
        <v>49</v>
      </c>
      <c r="B10" s="2" t="inlineStr">
        <is>
          <t>jeminise.com+custom-christian-girl-bible-emergency-numbers-blanket-d12</t>
        </is>
      </c>
      <c r="C10" s="4" t="inlineStr">
        <is>
          <t>https://jeminise.com/products/custom-christian-girl-bible-emergency-numbers-blanket-d12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9</v>
      </c>
      <c r="M10" s="2" t="n">
        <v>9</v>
      </c>
      <c r="N10" s="2" t="b">
        <v>1</v>
      </c>
      <c r="O10" s="6" t="n">
        <v>1</v>
      </c>
      <c r="P10" s="2">
        <f>COUNTIFS('QA_Issues'!$B$2:$B$11,B10,'QA_Issues'!$D$2:$D$11,"CRITICAL")</f>
        <v/>
      </c>
      <c r="Q10" s="2">
        <f>COUNTIFS('QA_Issues'!$B$2:$B$11,B10,'QA_Issues'!$D$2:$D$11,"MAJOR")</f>
        <v/>
      </c>
      <c r="R10" s="2">
        <f>COUNTIFS('QA_Issues'!$B$2:$B$11,B10,'QA_Issues'!$D$2:$D$11,"MINOR")</f>
        <v/>
      </c>
      <c r="S10" s="2">
        <f>COUNTIFS('QA_Issues'!$B$2:$B$11,B10,'QA_Issues'!$D$2:$D$11,"LIMITATION")</f>
        <v/>
      </c>
      <c r="T10" s="2" t="inlineStr">
        <is>
          <t>["B05R5-MIN-009"]</t>
        </is>
      </c>
      <c r="U10" s="2" t="inlineStr">
        <is>
          <t>["evidence_batch_005_049", "https://jeminise.com/products/custom-christian-girl-bible-emergency-numbers-blanket-d12", "serp_qa_batch_005_r5_049_1", "live_pages", "customizer_audit.json"]</t>
        </is>
      </c>
    </row>
    <row r="11" ht="42" customHeight="1">
      <c r="A11" s="3" t="n">
        <v>50</v>
      </c>
      <c r="B11" s="3" t="inlineStr">
        <is>
          <t>jeminise.com+custom-christian-inspirational-sophia-blanket-machine-washable-d11</t>
        </is>
      </c>
      <c r="C11" s="4" t="inlineStr">
        <is>
          <t>https://jeminise.com/products/custom-christian-inspirational-sophia-blanket-machine-washable-d11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9</v>
      </c>
      <c r="M11" s="3" t="n">
        <v>9</v>
      </c>
      <c r="N11" s="3" t="b">
        <v>1</v>
      </c>
      <c r="O11" s="8" t="n">
        <v>1</v>
      </c>
      <c r="P11" s="3">
        <f>COUNTIFS('QA_Issues'!$B$2:$B$11,B11,'QA_Issues'!$D$2:$D$11,"CRITICAL")</f>
        <v/>
      </c>
      <c r="Q11" s="3">
        <f>COUNTIFS('QA_Issues'!$B$2:$B$11,B11,'QA_Issues'!$D$2:$D$11,"MAJOR")</f>
        <v/>
      </c>
      <c r="R11" s="3">
        <f>COUNTIFS('QA_Issues'!$B$2:$B$11,B11,'QA_Issues'!$D$2:$D$11,"MINOR")</f>
        <v/>
      </c>
      <c r="S11" s="3">
        <f>COUNTIFS('QA_Issues'!$B$2:$B$11,B11,'QA_Issues'!$D$2:$D$11,"LIMITATION")</f>
        <v/>
      </c>
      <c r="T11" s="3" t="inlineStr">
        <is>
          <t>["B05R5-MIN-010"]</t>
        </is>
      </c>
      <c r="U11" s="3" t="inlineStr">
        <is>
          <t>["evidence_batch_005_050", "https://jeminise.com/products/custom-christian-inspirational-sophia-blanket-machine-washable-d11", "serp_qa_batch_005_r5_050_1", "live_pages", "customizer_audit.json"]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jeminise.com+custom-american-sports-football-player-running-with-ball-comforter-891aa5a660-891aa5a660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IF(B2="I1",AVERAGEIF('QA_Images'!$A$2:$A$73,A2,'QA_Images'!$R$2:$R$73)/100,IF(D2="FULL",1,IF(D2="PARTIAL",0.5,IF(D2="FAIL",0,""))))</f>
        <v/>
      </c>
      <c r="F2" s="5">
        <f>IF(E2="",0,C2*E2)</f>
        <v/>
      </c>
      <c r="G2" s="5">
        <f>IF(B2="I1",20*AVERAGEIF('QA_Images'!$A$2:$A$73,A2,'QA_Images'!$S$2:$S$73)/100,IF(D2="NOT_CHECKED",0,C2))</f>
        <v/>
      </c>
      <c r="H2" s="2" t="inlineStr">
        <is>
          <t>FULL: live product JSON, source workbook and image review all point to Personalized Football Player Comforter Set; verified motif: football player in red running with a ball, KEVIN sample letters, comforter/sham mockups and comforter controls.</t>
        </is>
      </c>
      <c r="I2" s="2" t="inlineStr">
        <is>
          <t>["evidence_batch_005_041", "https://jeminise.com/products/custom-american-sports-football-player-running-with-ball-comforter-891aa5a660-891aa5a660"]</t>
        </is>
      </c>
      <c r="J2" s="2" t="inlineStr">
        <is>
          <t>[]</t>
        </is>
      </c>
    </row>
    <row r="3" ht="42" customHeight="1">
      <c r="A3" s="3" t="inlineStr">
        <is>
          <t>jeminise.com+custom-american-sports-football-player-running-with-ball-comforter-891aa5a660-891aa5a660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IF(B3="I1",AVERAGEIF('QA_Images'!$A$2:$A$73,A3,'QA_Images'!$R$2:$R$73)/100,IF(D3="FULL",1,IF(D3="PARTIAL",0.5,IF(D3="FAIL",0,""))))</f>
        <v/>
      </c>
      <c r="F3" s="7">
        <f>IF(E3="",0,C3*E3)</f>
        <v/>
      </c>
      <c r="G3" s="7">
        <f>IF(B3="I1",20*AVERAGEIF('QA_Images'!$A$2:$A$73,A3,'QA_Images'!$S$2:$S$73)/100,IF(D3="NOT_CHECKED",0,C3))</f>
        <v/>
      </c>
      <c r="H3" s="3" t="inlineStr">
        <is>
          <t>FULL: product type, size/pillow choices and personalization claims were checked against product JSON/admin export/customizer; controls: Enter Name required=True max=25; Enter Number required=False max=5.</t>
        </is>
      </c>
      <c r="I3" s="3" t="inlineStr">
        <is>
          <t>["evidence_batch_005_041", "https://jeminise.com/products/custom-american-sports-football-player-running-with-ball-comforter-891aa5a660-891aa5a660", "customizer_audit.json",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jeminise.com+custom-american-sports-football-player-running-with-ball-comforter-891aa5a660-891aa5a660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IF(B4="I1",AVERAGEIF('QA_Images'!$A$2:$A$73,A4,'QA_Images'!$R$2:$R$73)/100,IF(D4="FULL",1,IF(D4="PARTIAL",0.5,IF(D4="FAIL",0,""))))</f>
        <v/>
      </c>
      <c r="F4" s="5">
        <f>IF(E4="",0,C4*E4)</f>
        <v/>
      </c>
      <c r="G4" s="5">
        <f>IF(B4="I1",20*AVERAGEIF('QA_Images'!$A$2:$A$73,A4,'QA_Images'!$S$2:$S$73)/100,IF(D4="NOT_CHECKED",0,C4))</f>
        <v/>
      </c>
      <c r="H4" s="2" t="inlineStr">
        <is>
          <t>FULL: primary keyword 'personalized football player comforter' fits this product; score reflects exact-match strength for this product's own SERP, not another batch.</t>
        </is>
      </c>
      <c r="I4" s="2" t="inlineStr">
        <is>
          <t>["evidence_batch_005_041", "https://jeminise.com/products/custom-american-sports-football-player-running-with-ball-comforter-891aa5a660-891aa5a660", "serp_qa_batch_005_r5_041_1", "serp_qa_batch_005_r5_041_2"]</t>
        </is>
      </c>
      <c r="J4" s="2" t="inlineStr">
        <is>
          <t>[]</t>
        </is>
      </c>
    </row>
    <row r="5" ht="42" customHeight="1">
      <c r="A5" s="3" t="inlineStr">
        <is>
          <t>jeminise.com+custom-american-sports-football-player-running-with-ball-comforter-891aa5a660-891aa5a660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IF(B5="I1",AVERAGEIF('QA_Images'!$A$2:$A$73,A5,'QA_Images'!$R$2:$R$73)/100,IF(D5="FULL",1,IF(D5="PARTIAL",0.5,IF(D5="FAIL",0,""))))</f>
        <v/>
      </c>
      <c r="F5" s="7">
        <f>IF(E5="",0,C5*E5)</f>
        <v/>
      </c>
      <c r="G5" s="7">
        <f>IF(B5="I1",20*AVERAGEIF('QA_Images'!$A$2:$A$73,A5,'QA_Images'!$S$2:$S$73)/100,IF(D5="NOT_CHECKED",0,C5))</f>
        <v/>
      </c>
      <c r="H5" s="3" t="inlineStr">
        <is>
          <t>FULL: primary and comparator queries were checked for US/English intent; commercial product intent is present, with partial credit where query results broaden beyond the exact product.</t>
        </is>
      </c>
      <c r="I5" s="3" t="inlineStr">
        <is>
          <t>["evidence_batch_005_041", "https://jeminise.com/products/custom-american-sports-football-player-running-with-ball-comforter-891aa5a660-891aa5a660", "serp_qa_batch_005_r5_041_1", "serp_qa_batch_005_r5_041_2"]</t>
        </is>
      </c>
      <c r="J5" s="3" t="inlineStr">
        <is>
          <t>[]</t>
        </is>
      </c>
    </row>
    <row r="6" ht="42" customHeight="1">
      <c r="A6" s="2" t="inlineStr">
        <is>
          <t>jeminise.com+custom-american-sports-football-player-running-with-ball-comforter-891aa5a660-891aa5a660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IF(B6="I1",AVERAGEIF('QA_Images'!$A$2:$A$73,A6,'QA_Images'!$R$2:$R$73)/100,IF(D6="FULL",1,IF(D6="PARTIAL",0.5,IF(D6="FAIL",0,""))))</f>
        <v/>
      </c>
      <c r="F6" s="5">
        <f>IF(E6="",0,C6*E6)</f>
        <v/>
      </c>
      <c r="G6" s="5">
        <f>IF(B6="I1",20*AVERAGEIF('QA_Images'!$A$2:$A$73,A6,'QA_Images'!$S$2:$S$73)/100,IF(D6="NOT_CHECKED",0,C6))</f>
        <v/>
      </c>
      <c r="H6" s="2" t="inlineStr">
        <is>
          <t>PARTIAL: SERP/comparator support is usable, but no paid volume or Search Console evidence is available, so demand is not overstated.</t>
        </is>
      </c>
      <c r="I6" s="2" t="inlineStr">
        <is>
          <t>["evidence_batch_005_041", "https://jeminise.com/products/custom-american-sports-football-player-running-with-ball-comforter-891aa5a660-891aa5a660", "serp_qa_batch_005_r5_041_1", "serp_qa_batch_005_r5_041_2"]</t>
        </is>
      </c>
      <c r="J6" s="2" t="inlineStr">
        <is>
          <t>[]</t>
        </is>
      </c>
    </row>
    <row r="7" ht="42" customHeight="1">
      <c r="A7" s="3" t="inlineStr">
        <is>
          <t>jeminise.com+custom-american-sports-football-player-running-with-ball-comforter-891aa5a660-891aa5a660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IF(B7="I1",AVERAGEIF('QA_Images'!$A$2:$A$73,A7,'QA_Images'!$R$2:$R$73)/100,IF(D7="FULL",1,IF(D7="PARTIAL",0.5,IF(D7="FAIL",0,""))))</f>
        <v/>
      </c>
      <c r="F7" s="7">
        <f>IF(E7="",0,C7*E7)</f>
        <v/>
      </c>
      <c r="G7" s="7">
        <f>IF(B7="I1",20*AVERAGEIF('QA_Images'!$A$2:$A$73,A7,'QA_Images'!$S$2:$S$73)/100,IF(D7="NOT_CHECKED",0,C7))</f>
        <v/>
      </c>
      <c r="H7" s="3" t="inlineStr">
        <is>
          <t>FULL: meta_title_seo 'Personalized Football Player Comforter Set' is natural English, names the product type and keeps the key differentiator.</t>
        </is>
      </c>
      <c r="I7" s="3" t="inlineStr">
        <is>
          <t>["evidence_batch_005_041", "https://jeminise.com/products/custom-american-sports-football-player-running-with-ball-comforter-891aa5a660-891aa5a660"]</t>
        </is>
      </c>
      <c r="J7" s="3" t="inlineStr">
        <is>
          <t>[]</t>
        </is>
      </c>
    </row>
    <row r="8" ht="42" customHeight="1">
      <c r="A8" s="2" t="inlineStr">
        <is>
          <t>jeminise.com+custom-american-sports-football-player-running-with-ball-comforter-891aa5a660-891aa5a660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IF(B8="I1",AVERAGEIF('QA_Images'!$A$2:$A$73,A8,'QA_Images'!$R$2:$R$73)/100,IF(D8="FULL",1,IF(D8="PARTIAL",0.5,IF(D8="FAIL",0,""))))</f>
        <v/>
      </c>
      <c r="F8" s="5">
        <f>IF(E8="",0,C8*E8)</f>
        <v/>
      </c>
      <c r="G8" s="5">
        <f>IF(B8="I1",20*AVERAGEIF('QA_Images'!$A$2:$A$73,A8,'QA_Images'!$S$2:$S$73)/100,IF(D8="NOT_CHECKED",0,C8))</f>
        <v/>
      </c>
      <c r="H8" s="2" t="inlineStr">
        <is>
          <t>FULL: title_proposed 'Personalized Football Player Comforter Set' is suitable as product title/H1 and is distinct from nearby motifs.</t>
        </is>
      </c>
      <c r="I8" s="2" t="inlineStr">
        <is>
          <t>["evidence_batch_005_041", "https://jeminise.com/products/custom-american-sports-football-player-running-with-ball-comforter-891aa5a660-891aa5a660"]</t>
        </is>
      </c>
      <c r="J8" s="2" t="inlineStr">
        <is>
          <t>[]</t>
        </is>
      </c>
    </row>
    <row r="9" ht="42" customHeight="1">
      <c r="A9" s="3" t="inlineStr">
        <is>
          <t>jeminise.com+custom-american-sports-football-player-running-with-ball-comforter-891aa5a660-891aa5a660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IF(B9="I1",AVERAGEIF('QA_Images'!$A$2:$A$73,A9,'QA_Images'!$R$2:$R$73)/100,IF(D9="FULL",1,IF(D9="PARTIAL",0.5,IF(D9="FAIL",0,""))))</f>
        <v/>
      </c>
      <c r="F9" s="7">
        <f>IF(E9="",0,C9*E9)</f>
        <v/>
      </c>
      <c r="G9" s="7">
        <f>IF(B9="I1",20*AVERAGEIF('QA_Images'!$A$2:$A$73,A9,'QA_Images'!$S$2:$S$73)/100,IF(D9="NOT_CHECKED",0,C9))</f>
        <v/>
      </c>
      <c r="H9" s="3" t="inlineStr">
        <is>
          <t>FULL: meta description is complete and understandable; the 145-165 character range was treated as editorial guidance only.</t>
        </is>
      </c>
      <c r="I9" s="3" t="inlineStr">
        <is>
          <t>["evidence_batch_005_041", "https://jeminise.com/products/custom-american-sports-football-player-running-with-ball-comforter-891aa5a660-891aa5a660"]</t>
        </is>
      </c>
      <c r="J9" s="3" t="inlineStr">
        <is>
          <t>[]</t>
        </is>
      </c>
    </row>
    <row r="10" ht="42" customHeight="1">
      <c r="A10" s="2" t="inlineStr">
        <is>
          <t>jeminise.com+custom-american-sports-football-player-running-with-ball-comforter-891aa5a660-891aa5a660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IF(B10="I1",AVERAGEIF('QA_Images'!$A$2:$A$73,A10,'QA_Images'!$R$2:$R$73)/100,IF(D10="FULL",1,IF(D10="PARTIAL",0.5,IF(D10="FAIL",0,""))))</f>
        <v/>
      </c>
      <c r="F10" s="5">
        <f>IF(E10="",0,C10*E10)</f>
        <v/>
      </c>
      <c r="G10" s="5">
        <f>IF(B10="I1",20*AVERAGEIF('QA_Images'!$A$2:$A$73,A10,'QA_Images'!$S$2:$S$73)/100,IF(D10="NOT_CHECKED",0,C10))</f>
        <v/>
      </c>
      <c r="H10" s="2" t="inlineStr">
        <is>
          <t>PARTIAL: description HTML is factually usable and customer-facing overall, but it still includes fallback wording such as 'when available' that should be replaced with exact verified panels.</t>
        </is>
      </c>
      <c r="I10" s="2" t="inlineStr">
        <is>
          <t>["evidence_batch_005_041", "https://jeminise.com/products/custom-american-sports-football-player-running-with-ball-comforter-891aa5a660-891aa5a660"]</t>
        </is>
      </c>
      <c r="J10" s="2" t="inlineStr">
        <is>
          <t>["B05R5-MIN-001"]</t>
        </is>
      </c>
    </row>
    <row r="11" ht="42" customHeight="1">
      <c r="A11" s="3" t="inlineStr">
        <is>
          <t>jeminise.com+custom-american-sports-football-player-running-with-ball-comforter-891aa5a660-891aa5a660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IF(B11="I1",AVERAGEIF('QA_Images'!$A$2:$A$73,A11,'QA_Images'!$R$2:$R$73)/100,IF(D11="FULL",1,IF(D11="PARTIAL",0.5,IF(D11="FAIL",0,""))))</f>
        <v/>
      </c>
      <c r="F11" s="7">
        <f>IF(E11="",0,C11*E11)</f>
        <v/>
      </c>
      <c r="G11" s="7">
        <f>IF(B11="I1",20*AVERAGEIF('QA_Images'!$A$2:$A$73,A11,'QA_Images'!$S$2:$S$73)/100,IF(D11="NOT_CHECKED",0,C11))</f>
        <v/>
      </c>
      <c r="H11" s="3" t="inlineStr">
        <is>
          <t>Derived from 6 image rows for this product; average image score 100.0/100.</t>
        </is>
      </c>
      <c r="I11" s="3" t="inlineStr">
        <is>
          <t>["QA_Images", "evidence_batch_005_041"]</t>
        </is>
      </c>
      <c r="J11" s="3" t="inlineStr">
        <is>
          <t>[]</t>
        </is>
      </c>
    </row>
    <row r="12" ht="42" customHeight="1">
      <c r="A12" s="2" t="inlineStr">
        <is>
          <t>jeminise.com+custom-american-sports-football-player-running-with-ball-comforter-891aa5a660-891aa5a660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IF(B12="I1",AVERAGEIF('QA_Images'!$A$2:$A$73,A12,'QA_Images'!$R$2:$R$73)/100,IF(D12="FULL",1,IF(D12="PARTIAL",0.5,IF(D12="FAIL",0,""))))</f>
        <v/>
      </c>
      <c r="F12" s="5">
        <f>IF(E12="",0,C12*E12)</f>
        <v/>
      </c>
      <c r="G12" s="5">
        <f>IF(B12="I1",20*AVERAGEIF('QA_Images'!$A$2:$A$73,A12,'QA_Images'!$S$2:$S$73)/100,IF(D12="NOT_CHECKED",0,C12))</f>
        <v/>
      </c>
      <c r="H12" s="2" t="inlineStr">
        <is>
          <t>FULL: product_key, handle and evidence links are consistent; row-level r4 labels are recorded as a batch-level traceability limitation.</t>
        </is>
      </c>
      <c r="I12" s="2" t="inlineStr">
        <is>
          <t>["evidence_batch_005_041", "https://jeminise.com/products/custom-american-sports-football-player-running-with-ball-comforter-891aa5a660-891aa5a660"]</t>
        </is>
      </c>
      <c r="J12" s="2" t="inlineStr">
        <is>
          <t>[]</t>
        </is>
      </c>
    </row>
    <row r="13" ht="42" customHeight="1">
      <c r="A13" s="3" t="inlineStr">
        <is>
          <t>jeminise.com+custom-basketball-players-blanket-name-number-76fdad09b6-76fdad09b6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IF(B13="I1",AVERAGEIF('QA_Images'!$A$2:$A$73,A13,'QA_Images'!$R$2:$R$73)/100,IF(D13="FULL",1,IF(D13="PARTIAL",0.5,IF(D13="FAIL",0,""))))</f>
        <v/>
      </c>
      <c r="F13" s="7">
        <f>IF(E13="",0,C13*E13)</f>
        <v/>
      </c>
      <c r="G13" s="7">
        <f>IF(B13="I1",20*AVERAGEIF('QA_Images'!$A$2:$A$73,A13,'QA_Images'!$S$2:$S$73)/100,IF(D13="NOT_CHECKED",0,C13))</f>
        <v/>
      </c>
      <c r="H13" s="3" t="inlineStr">
        <is>
          <t>FULL: live product JSON, source workbook and image review all point to Personalized Basketball Name Number Blanket; verified motif: basketball silhouettes, ball artwork, COLON 06 and RASHAD 22 sample personalization on blanket panels.</t>
        </is>
      </c>
      <c r="I13" s="3" t="inlineStr">
        <is>
          <t>["evidence_batch_005_042", "https://jeminise.com/products/custom-basketball-players-blanket-name-number-76fdad09b6-76fdad09b6"]</t>
        </is>
      </c>
      <c r="J13" s="3" t="inlineStr">
        <is>
          <t>[]</t>
        </is>
      </c>
    </row>
    <row r="14" ht="42" customHeight="1">
      <c r="A14" s="2" t="inlineStr">
        <is>
          <t>jeminise.com+custom-basketball-players-blanket-name-number-76fdad09b6-76fdad09b6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IF(B14="I1",AVERAGEIF('QA_Images'!$A$2:$A$73,A14,'QA_Images'!$R$2:$R$73)/100,IF(D14="FULL",1,IF(D14="PARTIAL",0.5,IF(D14="FAIL",0,""))))</f>
        <v/>
      </c>
      <c r="F14" s="5">
        <f>IF(E14="",0,C14*E14)</f>
        <v/>
      </c>
      <c r="G14" s="5">
        <f>IF(B14="I1",20*AVERAGEIF('QA_Images'!$A$2:$A$73,A14,'QA_Images'!$S$2:$S$73)/100,IF(D14="NOT_CHECKED",0,C14))</f>
        <v/>
      </c>
      <c r="H14" s="2" t="inlineStr">
        <is>
          <t>FULL: product type, size/pillow choices and personalization claims were checked against product JSON/admin export/customizer; controls: Custom Name required=False max=200; Custom Number required=False max=20.</t>
        </is>
      </c>
      <c r="I14" s="2" t="inlineStr">
        <is>
          <t>["evidence_batch_005_042", "https://jeminise.com/products/custom-basketball-players-blanket-name-number-76fdad09b6-76fdad09b6", "customizer_audit.json",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jeminise.com+custom-basketball-players-blanket-name-number-76fdad09b6-76fdad09b6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IF(B15="I1",AVERAGEIF('QA_Images'!$A$2:$A$73,A15,'QA_Images'!$R$2:$R$73)/100,IF(D15="FULL",1,IF(D15="PARTIAL",0.5,IF(D15="FAIL",0,""))))</f>
        <v/>
      </c>
      <c r="F15" s="7">
        <f>IF(E15="",0,C15*E15)</f>
        <v/>
      </c>
      <c r="G15" s="7">
        <f>IF(B15="I1",20*AVERAGEIF('QA_Images'!$A$2:$A$73,A15,'QA_Images'!$S$2:$S$73)/100,IF(D15="NOT_CHECKED",0,C15))</f>
        <v/>
      </c>
      <c r="H15" s="3" t="inlineStr">
        <is>
          <t>FULL: primary keyword 'personalized basketball name number blanket' fits this product; score reflects exact-match strength for this product's own SERP, not another batch.</t>
        </is>
      </c>
      <c r="I15" s="3" t="inlineStr">
        <is>
          <t>["evidence_batch_005_042", "https://jeminise.com/products/custom-basketball-players-blanket-name-number-76fdad09b6-76fdad09b6", "serp_qa_batch_005_r5_042_1", "serp_qa_batch_005_r5_042_2"]</t>
        </is>
      </c>
      <c r="J15" s="3" t="inlineStr">
        <is>
          <t>[]</t>
        </is>
      </c>
    </row>
    <row r="16" ht="42" customHeight="1">
      <c r="A16" s="2" t="inlineStr">
        <is>
          <t>jeminise.com+custom-basketball-players-blanket-name-number-76fdad09b6-76fdad09b6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IF(B16="I1",AVERAGEIF('QA_Images'!$A$2:$A$73,A16,'QA_Images'!$R$2:$R$73)/100,IF(D16="FULL",1,IF(D16="PARTIAL",0.5,IF(D16="FAIL",0,""))))</f>
        <v/>
      </c>
      <c r="F16" s="5">
        <f>IF(E16="",0,C16*E16)</f>
        <v/>
      </c>
      <c r="G16" s="5">
        <f>IF(B16="I1",20*AVERAGEIF('QA_Images'!$A$2:$A$73,A16,'QA_Images'!$S$2:$S$73)/100,IF(D16="NOT_CHECKED",0,C16))</f>
        <v/>
      </c>
      <c r="H16" s="2" t="inlineStr">
        <is>
          <t>FULL: primary and comparator queries were checked for US/English intent; commercial product intent is present, with partial credit where query results broaden beyond the exact product.</t>
        </is>
      </c>
      <c r="I16" s="2" t="inlineStr">
        <is>
          <t>["evidence_batch_005_042", "https://jeminise.com/products/custom-basketball-players-blanket-name-number-76fdad09b6-76fdad09b6", "serp_qa_batch_005_r5_042_1", "serp_qa_batch_005_r5_042_2"]</t>
        </is>
      </c>
      <c r="J16" s="2" t="inlineStr">
        <is>
          <t>[]</t>
        </is>
      </c>
    </row>
    <row r="17" ht="42" customHeight="1">
      <c r="A17" s="3" t="inlineStr">
        <is>
          <t>jeminise.com+custom-basketball-players-blanket-name-number-76fdad09b6-76fdad09b6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IF(B17="I1",AVERAGEIF('QA_Images'!$A$2:$A$73,A17,'QA_Images'!$R$2:$R$73)/100,IF(D17="FULL",1,IF(D17="PARTIAL",0.5,IF(D17="FAIL",0,""))))</f>
        <v/>
      </c>
      <c r="F17" s="7">
        <f>IF(E17="",0,C17*E17)</f>
        <v/>
      </c>
      <c r="G17" s="7">
        <f>IF(B17="I1",20*AVERAGEIF('QA_Images'!$A$2:$A$73,A17,'QA_Images'!$S$2:$S$73)/100,IF(D17="NOT_CHECKED",0,C17))</f>
        <v/>
      </c>
      <c r="H17" s="3" t="inlineStr">
        <is>
          <t>PARTIAL: SERP/comparator support is usable, but no paid volume or Search Console evidence is available, so demand is not overstated.</t>
        </is>
      </c>
      <c r="I17" s="3" t="inlineStr">
        <is>
          <t>["evidence_batch_005_042", "https://jeminise.com/products/custom-basketball-players-blanket-name-number-76fdad09b6-76fdad09b6", "serp_qa_batch_005_r5_042_1", "serp_qa_batch_005_r5_042_2"]</t>
        </is>
      </c>
      <c r="J17" s="3" t="inlineStr">
        <is>
          <t>[]</t>
        </is>
      </c>
    </row>
    <row r="18" ht="42" customHeight="1">
      <c r="A18" s="2" t="inlineStr">
        <is>
          <t>jeminise.com+custom-basketball-players-blanket-name-number-76fdad09b6-76fdad09b6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IF(B18="I1",AVERAGEIF('QA_Images'!$A$2:$A$73,A18,'QA_Images'!$R$2:$R$73)/100,IF(D18="FULL",1,IF(D18="PARTIAL",0.5,IF(D18="FAIL",0,""))))</f>
        <v/>
      </c>
      <c r="F18" s="5">
        <f>IF(E18="",0,C18*E18)</f>
        <v/>
      </c>
      <c r="G18" s="5">
        <f>IF(B18="I1",20*AVERAGEIF('QA_Images'!$A$2:$A$73,A18,'QA_Images'!$S$2:$S$73)/100,IF(D18="NOT_CHECKED",0,C18))</f>
        <v/>
      </c>
      <c r="H18" s="2" t="inlineStr">
        <is>
          <t>FULL: meta_title_seo 'Personalized Basketball Name Number Blanket' is natural English, names the product type and keeps the key differentiator.</t>
        </is>
      </c>
      <c r="I18" s="2" t="inlineStr">
        <is>
          <t>["evidence_batch_005_042", "https://jeminise.com/products/custom-basketball-players-blanket-name-number-76fdad09b6-76fdad09b6"]</t>
        </is>
      </c>
      <c r="J18" s="2" t="inlineStr">
        <is>
          <t>[]</t>
        </is>
      </c>
    </row>
    <row r="19" ht="42" customHeight="1">
      <c r="A19" s="3" t="inlineStr">
        <is>
          <t>jeminise.com+custom-basketball-players-blanket-name-number-76fdad09b6-76fdad09b6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IF(B19="I1",AVERAGEIF('QA_Images'!$A$2:$A$73,A19,'QA_Images'!$R$2:$R$73)/100,IF(D19="FULL",1,IF(D19="PARTIAL",0.5,IF(D19="FAIL",0,""))))</f>
        <v/>
      </c>
      <c r="F19" s="7">
        <f>IF(E19="",0,C19*E19)</f>
        <v/>
      </c>
      <c r="G19" s="7">
        <f>IF(B19="I1",20*AVERAGEIF('QA_Images'!$A$2:$A$73,A19,'QA_Images'!$S$2:$S$73)/100,IF(D19="NOT_CHECKED",0,C19))</f>
        <v/>
      </c>
      <c r="H19" s="3" t="inlineStr">
        <is>
          <t>FULL: title_proposed 'Personalized Basketball Name Number Blanket' is suitable as product title/H1 and is distinct from nearby motifs.</t>
        </is>
      </c>
      <c r="I19" s="3" t="inlineStr">
        <is>
          <t>["evidence_batch_005_042", "https://jeminise.com/products/custom-basketball-players-blanket-name-number-76fdad09b6-76fdad09b6"]</t>
        </is>
      </c>
      <c r="J19" s="3" t="inlineStr">
        <is>
          <t>[]</t>
        </is>
      </c>
    </row>
    <row r="20" ht="42" customHeight="1">
      <c r="A20" s="2" t="inlineStr">
        <is>
          <t>jeminise.com+custom-basketball-players-blanket-name-number-76fdad09b6-76fdad09b6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IF(B20="I1",AVERAGEIF('QA_Images'!$A$2:$A$73,A20,'QA_Images'!$R$2:$R$73)/100,IF(D20="FULL",1,IF(D20="PARTIAL",0.5,IF(D20="FAIL",0,""))))</f>
        <v/>
      </c>
      <c r="F20" s="5">
        <f>IF(E20="",0,C20*E20)</f>
        <v/>
      </c>
      <c r="G20" s="5">
        <f>IF(B20="I1",20*AVERAGEIF('QA_Images'!$A$2:$A$73,A20,'QA_Images'!$S$2:$S$73)/100,IF(D20="NOT_CHECKED",0,C20))</f>
        <v/>
      </c>
      <c r="H20" s="2" t="inlineStr">
        <is>
          <t>FULL: meta description is complete and understandable; the 145-165 character range was treated as editorial guidance only.</t>
        </is>
      </c>
      <c r="I20" s="2" t="inlineStr">
        <is>
          <t>["evidence_batch_005_042", "https://jeminise.com/products/custom-basketball-players-blanket-name-number-76fdad09b6-76fdad09b6"]</t>
        </is>
      </c>
      <c r="J20" s="2" t="inlineStr">
        <is>
          <t>[]</t>
        </is>
      </c>
    </row>
    <row r="21" ht="42" customHeight="1">
      <c r="A21" s="3" t="inlineStr">
        <is>
          <t>jeminise.com+custom-basketball-players-blanket-name-number-76fdad09b6-76fdad09b6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IF(B21="I1",AVERAGEIF('QA_Images'!$A$2:$A$73,A21,'QA_Images'!$R$2:$R$73)/100,IF(D21="FULL",1,IF(D21="PARTIAL",0.5,IF(D21="FAIL",0,""))))</f>
        <v/>
      </c>
      <c r="F21" s="7">
        <f>IF(E21="",0,C21*E21)</f>
        <v/>
      </c>
      <c r="G21" s="7">
        <f>IF(B21="I1",20*AVERAGEIF('QA_Images'!$A$2:$A$73,A21,'QA_Images'!$S$2:$S$73)/100,IF(D21="NOT_CHECKED",0,C21))</f>
        <v/>
      </c>
      <c r="H21" s="3" t="inlineStr">
        <is>
          <t>PARTIAL: description HTML is factually usable and customer-facing overall, but it still includes fallback wording such as 'when available' that should be replaced with exact verified panels.</t>
        </is>
      </c>
      <c r="I21" s="3" t="inlineStr">
        <is>
          <t>["evidence_batch_005_042", "https://jeminise.com/products/custom-basketball-players-blanket-name-number-76fdad09b6-76fdad09b6"]</t>
        </is>
      </c>
      <c r="J21" s="3" t="inlineStr">
        <is>
          <t>["B05R5-MIN-002"]</t>
        </is>
      </c>
    </row>
    <row r="22" ht="42" customHeight="1">
      <c r="A22" s="2" t="inlineStr">
        <is>
          <t>jeminise.com+custom-basketball-players-blanket-name-number-76fdad09b6-76fdad09b6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IF(B22="I1",AVERAGEIF('QA_Images'!$A$2:$A$73,A22,'QA_Images'!$R$2:$R$73)/100,IF(D22="FULL",1,IF(D22="PARTIAL",0.5,IF(D22="FAIL",0,""))))</f>
        <v/>
      </c>
      <c r="F22" s="5">
        <f>IF(E22="",0,C22*E22)</f>
        <v/>
      </c>
      <c r="G22" s="5">
        <f>IF(B22="I1",20*AVERAGEIF('QA_Images'!$A$2:$A$73,A22,'QA_Images'!$S$2:$S$73)/100,IF(D22="NOT_CHECKED",0,C22))</f>
        <v/>
      </c>
      <c r="H22" s="2" t="inlineStr">
        <is>
          <t>Derived from 8 image rows for this product; average image score 100.0/100.</t>
        </is>
      </c>
      <c r="I22" s="2" t="inlineStr">
        <is>
          <t>["QA_Images", "evidence_batch_005_042"]</t>
        </is>
      </c>
      <c r="J22" s="2" t="inlineStr">
        <is>
          <t>[]</t>
        </is>
      </c>
    </row>
    <row r="23" ht="42" customHeight="1">
      <c r="A23" s="3" t="inlineStr">
        <is>
          <t>jeminise.com+custom-basketball-players-blanket-name-number-76fdad09b6-76fdad09b6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IF(B23="I1",AVERAGEIF('QA_Images'!$A$2:$A$73,A23,'QA_Images'!$R$2:$R$73)/100,IF(D23="FULL",1,IF(D23="PARTIAL",0.5,IF(D23="FAIL",0,""))))</f>
        <v/>
      </c>
      <c r="F23" s="7">
        <f>IF(E23="",0,C23*E23)</f>
        <v/>
      </c>
      <c r="G23" s="7">
        <f>IF(B23="I1",20*AVERAGEIF('QA_Images'!$A$2:$A$73,A23,'QA_Images'!$S$2:$S$73)/100,IF(D23="NOT_CHECKED",0,C23))</f>
        <v/>
      </c>
      <c r="H23" s="3" t="inlineStr">
        <is>
          <t>FULL: product_key, handle and evidence links are consistent; row-level r4 labels are recorded as a batch-level traceability limitation.</t>
        </is>
      </c>
      <c r="I23" s="3" t="inlineStr">
        <is>
          <t>["evidence_batch_005_042", "https://jeminise.com/products/custom-basketball-players-blanket-name-number-76fdad09b6-76fdad09b6"]</t>
        </is>
      </c>
      <c r="J23" s="3" t="inlineStr">
        <is>
          <t>[]</t>
        </is>
      </c>
    </row>
    <row r="24" ht="42" customHeight="1">
      <c r="A24" s="2" t="inlineStr">
        <is>
          <t>jeminise.com+custom-bible-verse-photo-blanket-personalized-christian-gift-for-her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IF(B24="I1",AVERAGEIF('QA_Images'!$A$2:$A$73,A24,'QA_Images'!$R$2:$R$73)/100,IF(D24="FULL",1,IF(D24="PARTIAL",0.5,IF(D24="FAIL",0,""))))</f>
        <v/>
      </c>
      <c r="F24" s="5">
        <f>IF(E24="",0,C24*E24)</f>
        <v/>
      </c>
      <c r="G24" s="5">
        <f>IF(B24="I1",20*AVERAGEIF('QA_Images'!$A$2:$A$73,A24,'QA_Images'!$S$2:$S$73)/100,IF(D24="NOT_CHECKED",0,C24))</f>
        <v/>
      </c>
      <c r="H24" s="2" t="inlineStr">
        <is>
          <t>FULL: live product JSON, source workbook and image review all point to Personalized God Says I Am Christian Blanket; verified motif: God Says I Am affirmation blanket with Maria sample name and Bible references; name-only personalization.</t>
        </is>
      </c>
      <c r="I24" s="2" t="inlineStr">
        <is>
          <t>["evidence_batch_005_043", "https://jeminise.com/products/custom-bible-verse-photo-blanket-personalized-christian-gift-for-her"]</t>
        </is>
      </c>
      <c r="J24" s="2" t="inlineStr">
        <is>
          <t>[]</t>
        </is>
      </c>
    </row>
    <row r="25" ht="42" customHeight="1">
      <c r="A25" s="3" t="inlineStr">
        <is>
          <t>jeminise.com+custom-bible-verse-photo-blanket-personalized-christian-gift-for-her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IF(B25="I1",AVERAGEIF('QA_Images'!$A$2:$A$73,A25,'QA_Images'!$R$2:$R$73)/100,IF(D25="FULL",1,IF(D25="PARTIAL",0.5,IF(D25="FAIL",0,""))))</f>
        <v/>
      </c>
      <c r="F25" s="7">
        <f>IF(E25="",0,C25*E25)</f>
        <v/>
      </c>
      <c r="G25" s="7">
        <f>IF(B25="I1",20*AVERAGEIF('QA_Images'!$A$2:$A$73,A25,'QA_Images'!$S$2:$S$73)/100,IF(D25="NOT_CHECKED",0,C25))</f>
        <v/>
      </c>
      <c r="H25" s="3" t="inlineStr">
        <is>
          <t>FULL: product type, size/pillow choices and personalization claims were checked against product JSON/admin export/customizer; controls: Customize Your Name required=True max=1000.</t>
        </is>
      </c>
      <c r="I25" s="3" t="inlineStr">
        <is>
          <t>["evidence_batch_005_043", "https://jeminise.com/products/custom-bible-verse-photo-blanket-personalized-christian-gift-for-her", "customizer_audit.json",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jeminise.com+custom-bible-verse-photo-blanket-personalized-christian-gift-for-her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IF(B26="I1",AVERAGEIF('QA_Images'!$A$2:$A$73,A26,'QA_Images'!$R$2:$R$73)/100,IF(D26="FULL",1,IF(D26="PARTIAL",0.5,IF(D26="FAIL",0,""))))</f>
        <v/>
      </c>
      <c r="F26" s="5">
        <f>IF(E26="",0,C26*E26)</f>
        <v/>
      </c>
      <c r="G26" s="5">
        <f>IF(B26="I1",20*AVERAGEIF('QA_Images'!$A$2:$A$73,A26,'QA_Images'!$S$2:$S$73)/100,IF(D26="NOT_CHECKED",0,C26))</f>
        <v/>
      </c>
      <c r="H26" s="2" t="inlineStr">
        <is>
          <t>FULL: primary keyword 'personalized God Says I Am Christian blanket' fits this product; score reflects exact-match strength for this product's own SERP, not another batch.</t>
        </is>
      </c>
      <c r="I26" s="2" t="inlineStr">
        <is>
          <t>["evidence_batch_005_043", "https://jeminise.com/products/custom-bible-verse-photo-blanket-personalized-christian-gift-for-her", "serp_qa_batch_005_r5_043_1", "serp_qa_batch_005_r5_043_2"]</t>
        </is>
      </c>
      <c r="J26" s="2" t="inlineStr">
        <is>
          <t>[]</t>
        </is>
      </c>
    </row>
    <row r="27" ht="42" customHeight="1">
      <c r="A27" s="3" t="inlineStr">
        <is>
          <t>jeminise.com+custom-bible-verse-photo-blanket-personalized-christian-gift-for-her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IF(B27="I1",AVERAGEIF('QA_Images'!$A$2:$A$73,A27,'QA_Images'!$R$2:$R$73)/100,IF(D27="FULL",1,IF(D27="PARTIAL",0.5,IF(D27="FAIL",0,""))))</f>
        <v/>
      </c>
      <c r="F27" s="7">
        <f>IF(E27="",0,C27*E27)</f>
        <v/>
      </c>
      <c r="G27" s="7">
        <f>IF(B27="I1",20*AVERAGEIF('QA_Images'!$A$2:$A$73,A27,'QA_Images'!$S$2:$S$73)/100,IF(D27="NOT_CHECKED",0,C27))</f>
        <v/>
      </c>
      <c r="H27" s="3" t="inlineStr">
        <is>
          <t>FULL: primary and comparator queries were checked for US/English intent; commercial product intent is present, with partial credit where query results broaden beyond the exact product.</t>
        </is>
      </c>
      <c r="I27" s="3" t="inlineStr">
        <is>
          <t>["evidence_batch_005_043", "https://jeminise.com/products/custom-bible-verse-photo-blanket-personalized-christian-gift-for-her", "serp_qa_batch_005_r5_043_1", "serp_qa_batch_005_r5_043_2"]</t>
        </is>
      </c>
      <c r="J27" s="3" t="inlineStr">
        <is>
          <t>[]</t>
        </is>
      </c>
    </row>
    <row r="28" ht="42" customHeight="1">
      <c r="A28" s="2" t="inlineStr">
        <is>
          <t>jeminise.com+custom-bible-verse-photo-blanket-personalized-christian-gift-for-her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IF(B28="I1",AVERAGEIF('QA_Images'!$A$2:$A$73,A28,'QA_Images'!$R$2:$R$73)/100,IF(D28="FULL",1,IF(D28="PARTIAL",0.5,IF(D28="FAIL",0,""))))</f>
        <v/>
      </c>
      <c r="F28" s="5">
        <f>IF(E28="",0,C28*E28)</f>
        <v/>
      </c>
      <c r="G28" s="5">
        <f>IF(B28="I1",20*AVERAGEIF('QA_Images'!$A$2:$A$73,A28,'QA_Images'!$S$2:$S$73)/100,IF(D28="NOT_CHECKED",0,C28))</f>
        <v/>
      </c>
      <c r="H28" s="2" t="inlineStr">
        <is>
          <t>PARTIAL: SERP/comparator support is usable, but no paid volume or Search Console evidence is available, so demand is not overstated.</t>
        </is>
      </c>
      <c r="I28" s="2" t="inlineStr">
        <is>
          <t>["evidence_batch_005_043", "https://jeminise.com/products/custom-bible-verse-photo-blanket-personalized-christian-gift-for-her", "serp_qa_batch_005_r5_043_1", "serp_qa_batch_005_r5_043_2"]</t>
        </is>
      </c>
      <c r="J28" s="2" t="inlineStr">
        <is>
          <t>[]</t>
        </is>
      </c>
    </row>
    <row r="29" ht="42" customHeight="1">
      <c r="A29" s="3" t="inlineStr">
        <is>
          <t>jeminise.com+custom-bible-verse-photo-blanket-personalized-christian-gift-for-her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IF(B29="I1",AVERAGEIF('QA_Images'!$A$2:$A$73,A29,'QA_Images'!$R$2:$R$73)/100,IF(D29="FULL",1,IF(D29="PARTIAL",0.5,IF(D29="FAIL",0,""))))</f>
        <v/>
      </c>
      <c r="F29" s="7">
        <f>IF(E29="",0,C29*E29)</f>
        <v/>
      </c>
      <c r="G29" s="7">
        <f>IF(B29="I1",20*AVERAGEIF('QA_Images'!$A$2:$A$73,A29,'QA_Images'!$S$2:$S$73)/100,IF(D29="NOT_CHECKED",0,C29))</f>
        <v/>
      </c>
      <c r="H29" s="3" t="inlineStr">
        <is>
          <t>FULL: meta_title_seo 'Personalized God Says I Am Christian Blanket' is natural English, names the product type and keeps the key differentiator.</t>
        </is>
      </c>
      <c r="I29" s="3" t="inlineStr">
        <is>
          <t>["evidence_batch_005_043", "https://jeminise.com/products/custom-bible-verse-photo-blanket-personalized-christian-gift-for-her"]</t>
        </is>
      </c>
      <c r="J29" s="3" t="inlineStr">
        <is>
          <t>[]</t>
        </is>
      </c>
    </row>
    <row r="30" ht="42" customHeight="1">
      <c r="A30" s="2" t="inlineStr">
        <is>
          <t>jeminise.com+custom-bible-verse-photo-blanket-personalized-christian-gift-for-her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IF(B30="I1",AVERAGEIF('QA_Images'!$A$2:$A$73,A30,'QA_Images'!$R$2:$R$73)/100,IF(D30="FULL",1,IF(D30="PARTIAL",0.5,IF(D30="FAIL",0,""))))</f>
        <v/>
      </c>
      <c r="F30" s="5">
        <f>IF(E30="",0,C30*E30)</f>
        <v/>
      </c>
      <c r="G30" s="5">
        <f>IF(B30="I1",20*AVERAGEIF('QA_Images'!$A$2:$A$73,A30,'QA_Images'!$S$2:$S$73)/100,IF(D30="NOT_CHECKED",0,C30))</f>
        <v/>
      </c>
      <c r="H30" s="2" t="inlineStr">
        <is>
          <t>FULL: title_proposed 'Personalized God Says I Am Christian Blanket' is suitable as product title/H1 and is distinct from nearby motifs.</t>
        </is>
      </c>
      <c r="I30" s="2" t="inlineStr">
        <is>
          <t>["evidence_batch_005_043", "https://jeminise.com/products/custom-bible-verse-photo-blanket-personalized-christian-gift-for-her"]</t>
        </is>
      </c>
      <c r="J30" s="2" t="inlineStr">
        <is>
          <t>[]</t>
        </is>
      </c>
    </row>
    <row r="31" ht="42" customHeight="1">
      <c r="A31" s="3" t="inlineStr">
        <is>
          <t>jeminise.com+custom-bible-verse-photo-blanket-personalized-christian-gift-for-her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IF(B31="I1",AVERAGEIF('QA_Images'!$A$2:$A$73,A31,'QA_Images'!$R$2:$R$73)/100,IF(D31="FULL",1,IF(D31="PARTIAL",0.5,IF(D31="FAIL",0,""))))</f>
        <v/>
      </c>
      <c r="F31" s="7">
        <f>IF(E31="",0,C31*E31)</f>
        <v/>
      </c>
      <c r="G31" s="7">
        <f>IF(B31="I1",20*AVERAGEIF('QA_Images'!$A$2:$A$73,A31,'QA_Images'!$S$2:$S$73)/100,IF(D31="NOT_CHECKED",0,C31))</f>
        <v/>
      </c>
      <c r="H31" s="3" t="inlineStr">
        <is>
          <t>FULL: meta description is complete and understandable; the 145-165 character range was treated as editorial guidance only.</t>
        </is>
      </c>
      <c r="I31" s="3" t="inlineStr">
        <is>
          <t>["evidence_batch_005_043", "https://jeminise.com/products/custom-bible-verse-photo-blanket-personalized-christian-gift-for-her"]</t>
        </is>
      </c>
      <c r="J31" s="3" t="inlineStr">
        <is>
          <t>[]</t>
        </is>
      </c>
    </row>
    <row r="32" ht="42" customHeight="1">
      <c r="A32" s="2" t="inlineStr">
        <is>
          <t>jeminise.com+custom-bible-verse-photo-blanket-personalized-christian-gift-for-her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IF(B32="I1",AVERAGEIF('QA_Images'!$A$2:$A$73,A32,'QA_Images'!$R$2:$R$73)/100,IF(D32="FULL",1,IF(D32="PARTIAL",0.5,IF(D32="FAIL",0,""))))</f>
        <v/>
      </c>
      <c r="F32" s="5">
        <f>IF(E32="",0,C32*E32)</f>
        <v/>
      </c>
      <c r="G32" s="5">
        <f>IF(B32="I1",20*AVERAGEIF('QA_Images'!$A$2:$A$73,A32,'QA_Images'!$S$2:$S$73)/100,IF(D32="NOT_CHECKED",0,C32))</f>
        <v/>
      </c>
      <c r="H32" s="2" t="inlineStr">
        <is>
          <t>PARTIAL: description HTML is factually usable and customer-facing overall, but it still includes fallback wording such as 'when available' that should be replaced with exact verified panels.</t>
        </is>
      </c>
      <c r="I32" s="2" t="inlineStr">
        <is>
          <t>["evidence_batch_005_043", "https://jeminise.com/products/custom-bible-verse-photo-blanket-personalized-christian-gift-for-her"]</t>
        </is>
      </c>
      <c r="J32" s="2" t="inlineStr">
        <is>
          <t>["B05R5-MIN-003"]</t>
        </is>
      </c>
    </row>
    <row r="33" ht="42" customHeight="1">
      <c r="A33" s="3" t="inlineStr">
        <is>
          <t>jeminise.com+custom-bible-verse-photo-blanket-personalized-christian-gift-for-her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IF(B33="I1",AVERAGEIF('QA_Images'!$A$2:$A$73,A33,'QA_Images'!$R$2:$R$73)/100,IF(D33="FULL",1,IF(D33="PARTIAL",0.5,IF(D33="FAIL",0,""))))</f>
        <v/>
      </c>
      <c r="F33" s="7">
        <f>IF(E33="",0,C33*E33)</f>
        <v/>
      </c>
      <c r="G33" s="7">
        <f>IF(B33="I1",20*AVERAGEIF('QA_Images'!$A$2:$A$73,A33,'QA_Images'!$S$2:$S$73)/100,IF(D33="NOT_CHECKED",0,C33))</f>
        <v/>
      </c>
      <c r="H33" s="3" t="inlineStr">
        <is>
          <t>Derived from 7 image rows for this product; average image score 100.0/100.</t>
        </is>
      </c>
      <c r="I33" s="3" t="inlineStr">
        <is>
          <t>["QA_Images", "evidence_batch_005_043"]</t>
        </is>
      </c>
      <c r="J33" s="3" t="inlineStr">
        <is>
          <t>[]</t>
        </is>
      </c>
    </row>
    <row r="34" ht="42" customHeight="1">
      <c r="A34" s="2" t="inlineStr">
        <is>
          <t>jeminise.com+custom-bible-verse-photo-blanket-personalized-christian-gift-for-her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IF(B34="I1",AVERAGEIF('QA_Images'!$A$2:$A$73,A34,'QA_Images'!$R$2:$R$73)/100,IF(D34="FULL",1,IF(D34="PARTIAL",0.5,IF(D34="FAIL",0,""))))</f>
        <v/>
      </c>
      <c r="F34" s="5">
        <f>IF(E34="",0,C34*E34)</f>
        <v/>
      </c>
      <c r="G34" s="5">
        <f>IF(B34="I1",20*AVERAGEIF('QA_Images'!$A$2:$A$73,A34,'QA_Images'!$S$2:$S$73)/100,IF(D34="NOT_CHECKED",0,C34))</f>
        <v/>
      </c>
      <c r="H34" s="2" t="inlineStr">
        <is>
          <t>FULL: product_key, handle and evidence links are consistent; row-level r4 labels are recorded as a batch-level traceability limitation.</t>
        </is>
      </c>
      <c r="I34" s="2" t="inlineStr">
        <is>
          <t>["evidence_batch_005_043", "https://jeminise.com/products/custom-bible-verse-photo-blanket-personalized-christian-gift-for-her"]</t>
        </is>
      </c>
      <c r="J34" s="2" t="inlineStr">
        <is>
          <t>[]</t>
        </is>
      </c>
    </row>
    <row r="35" ht="42" customHeight="1">
      <c r="A35" s="3" t="inlineStr">
        <is>
          <t>jeminise.com+custom-cardinals-on-flowering-branches-quilt-47d5316f3d-47d5316f3d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IF(B35="I1",AVERAGEIF('QA_Images'!$A$2:$A$73,A35,'QA_Images'!$R$2:$R$73)/100,IF(D35="FULL",1,IF(D35="PARTIAL",0.5,IF(D35="FAIL",0,""))))</f>
        <v/>
      </c>
      <c r="F35" s="7">
        <f>IF(E35="",0,C35*E35)</f>
        <v/>
      </c>
      <c r="G35" s="7">
        <f>IF(B35="I1",20*AVERAGEIF('QA_Images'!$A$2:$A$73,A35,'QA_Images'!$S$2:$S$73)/100,IF(D35="NOT_CHECKED",0,C35))</f>
        <v/>
      </c>
      <c r="H35" s="3" t="inlineStr">
        <is>
          <t>FULL: live product JSON, source workbook and image review all point to Custom Cardinal Flowering Branches Quilt Set; verified motif: red cardinals on white flowering branches, gray quilt background, matching sham and quilt-size panel.</t>
        </is>
      </c>
      <c r="I35" s="3" t="inlineStr">
        <is>
          <t>["evidence_batch_005_044", "https://jeminise.com/products/custom-cardinals-on-flowering-branches-quilt-47d5316f3d-47d5316f3d"]</t>
        </is>
      </c>
      <c r="J35" s="3" t="inlineStr">
        <is>
          <t>[]</t>
        </is>
      </c>
    </row>
    <row r="36" ht="42" customHeight="1">
      <c r="A36" s="2" t="inlineStr">
        <is>
          <t>jeminise.com+custom-cardinals-on-flowering-branches-quilt-47d5316f3d-47d5316f3d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IF(B36="I1",AVERAGEIF('QA_Images'!$A$2:$A$73,A36,'QA_Images'!$R$2:$R$73)/100,IF(D36="FULL",1,IF(D36="PARTIAL",0.5,IF(D36="FAIL",0,""))))</f>
        <v/>
      </c>
      <c r="F36" s="5">
        <f>IF(E36="",0,C36*E36)</f>
        <v/>
      </c>
      <c r="G36" s="5">
        <f>IF(B36="I1",20*AVERAGEIF('QA_Images'!$A$2:$A$73,A36,'QA_Images'!$S$2:$S$73)/100,IF(D36="NOT_CHECKED",0,C36))</f>
        <v/>
      </c>
      <c r="H36" s="2" t="inlineStr">
        <is>
          <t>FULL: product type, size/pillow choices and personalization claims were checked against product JSON/admin export/customizer; controls: no copied customizer nodes available.</t>
        </is>
      </c>
      <c r="I36" s="2" t="inlineStr">
        <is>
          <t>["evidence_batch_005_044", "https://jeminise.com/products/custom-cardinals-on-flowering-branches-quilt-47d5316f3d-47d5316f3d", "customizer_audit.json",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jeminise.com+custom-cardinals-on-flowering-branches-quilt-47d5316f3d-47d5316f3d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IF(B37="I1",AVERAGEIF('QA_Images'!$A$2:$A$73,A37,'QA_Images'!$R$2:$R$73)/100,IF(D37="FULL",1,IF(D37="PARTIAL",0.5,IF(D37="FAIL",0,""))))</f>
        <v/>
      </c>
      <c r="F37" s="7">
        <f>IF(E37="",0,C37*E37)</f>
        <v/>
      </c>
      <c r="G37" s="7">
        <f>IF(B37="I1",20*AVERAGEIF('QA_Images'!$A$2:$A$73,A37,'QA_Images'!$S$2:$S$73)/100,IF(D37="NOT_CHECKED",0,C37))</f>
        <v/>
      </c>
      <c r="H37" s="3" t="inlineStr">
        <is>
          <t>PARTIAL: primary keyword 'custom cardinal flowering branches quilt' fits this product; score reflects exact-match strength for this product's own SERP, not another batch.</t>
        </is>
      </c>
      <c r="I37" s="3" t="inlineStr">
        <is>
          <t>["evidence_batch_005_044", "https://jeminise.com/products/custom-cardinals-on-flowering-branches-quilt-47d5316f3d-47d5316f3d", "serp_qa_batch_005_r5_044_1", "serp_qa_batch_005_r5_044_2"]</t>
        </is>
      </c>
      <c r="J37" s="3" t="inlineStr">
        <is>
          <t>[]</t>
        </is>
      </c>
    </row>
    <row r="38" ht="42" customHeight="1">
      <c r="A38" s="2" t="inlineStr">
        <is>
          <t>jeminise.com+custom-cardinals-on-flowering-branches-quilt-47d5316f3d-47d5316f3d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IF(B38="I1",AVERAGEIF('QA_Images'!$A$2:$A$73,A38,'QA_Images'!$R$2:$R$73)/100,IF(D38="FULL",1,IF(D38="PARTIAL",0.5,IF(D38="FAIL",0,""))))</f>
        <v/>
      </c>
      <c r="F38" s="5">
        <f>IF(E38="",0,C38*E38)</f>
        <v/>
      </c>
      <c r="G38" s="5">
        <f>IF(B38="I1",20*AVERAGEIF('QA_Images'!$A$2:$A$73,A38,'QA_Images'!$S$2:$S$73)/100,IF(D38="NOT_CHECKED",0,C38))</f>
        <v/>
      </c>
      <c r="H38" s="2" t="inlineStr">
        <is>
          <t>FULL: primary and comparator queries were checked for US/English intent; commercial product intent is present, with partial credit where query results broaden beyond the exact product.</t>
        </is>
      </c>
      <c r="I38" s="2" t="inlineStr">
        <is>
          <t>["evidence_batch_005_044", "https://jeminise.com/products/custom-cardinals-on-flowering-branches-quilt-47d5316f3d-47d5316f3d", "serp_qa_batch_005_r5_044_1", "serp_qa_batch_005_r5_044_2"]</t>
        </is>
      </c>
      <c r="J38" s="2" t="inlineStr">
        <is>
          <t>[]</t>
        </is>
      </c>
    </row>
    <row r="39" ht="42" customHeight="1">
      <c r="A39" s="3" t="inlineStr">
        <is>
          <t>jeminise.com+custom-cardinals-on-flowering-branches-quilt-47d5316f3d-47d5316f3d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IF(B39="I1",AVERAGEIF('QA_Images'!$A$2:$A$73,A39,'QA_Images'!$R$2:$R$73)/100,IF(D39="FULL",1,IF(D39="PARTIAL",0.5,IF(D39="FAIL",0,""))))</f>
        <v/>
      </c>
      <c r="F39" s="7">
        <f>IF(E39="",0,C39*E39)</f>
        <v/>
      </c>
      <c r="G39" s="7">
        <f>IF(B39="I1",20*AVERAGEIF('QA_Images'!$A$2:$A$73,A39,'QA_Images'!$S$2:$S$73)/100,IF(D39="NOT_CHECKED",0,C39))</f>
        <v/>
      </c>
      <c r="H39" s="3" t="inlineStr">
        <is>
          <t>PARTIAL: SERP/comparator support is usable, but no paid volume or Search Console evidence is available, so demand is not overstated.</t>
        </is>
      </c>
      <c r="I39" s="3" t="inlineStr">
        <is>
          <t>["evidence_batch_005_044", "https://jeminise.com/products/custom-cardinals-on-flowering-branches-quilt-47d5316f3d-47d5316f3d", "serp_qa_batch_005_r5_044_1", "serp_qa_batch_005_r5_044_2"]</t>
        </is>
      </c>
      <c r="J39" s="3" t="inlineStr">
        <is>
          <t>[]</t>
        </is>
      </c>
    </row>
    <row r="40" ht="42" customHeight="1">
      <c r="A40" s="2" t="inlineStr">
        <is>
          <t>jeminise.com+custom-cardinals-on-flowering-branches-quilt-47d5316f3d-47d5316f3d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IF(B40="I1",AVERAGEIF('QA_Images'!$A$2:$A$73,A40,'QA_Images'!$R$2:$R$73)/100,IF(D40="FULL",1,IF(D40="PARTIAL",0.5,IF(D40="FAIL",0,""))))</f>
        <v/>
      </c>
      <c r="F40" s="5">
        <f>IF(E40="",0,C40*E40)</f>
        <v/>
      </c>
      <c r="G40" s="5">
        <f>IF(B40="I1",20*AVERAGEIF('QA_Images'!$A$2:$A$73,A40,'QA_Images'!$S$2:$S$73)/100,IF(D40="NOT_CHECKED",0,C40))</f>
        <v/>
      </c>
      <c r="H40" s="2" t="inlineStr">
        <is>
          <t>FULL: meta_title_seo 'Custom Cardinal Flowering Branches Quilt Set' is natural English, names the product type and keeps the key differentiator.</t>
        </is>
      </c>
      <c r="I40" s="2" t="inlineStr">
        <is>
          <t>["evidence_batch_005_044", "https://jeminise.com/products/custom-cardinals-on-flowering-branches-quilt-47d5316f3d-47d5316f3d"]</t>
        </is>
      </c>
      <c r="J40" s="2" t="inlineStr">
        <is>
          <t>[]</t>
        </is>
      </c>
    </row>
    <row r="41" ht="42" customHeight="1">
      <c r="A41" s="3" t="inlineStr">
        <is>
          <t>jeminise.com+custom-cardinals-on-flowering-branches-quilt-47d5316f3d-47d5316f3d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IF(B41="I1",AVERAGEIF('QA_Images'!$A$2:$A$73,A41,'QA_Images'!$R$2:$R$73)/100,IF(D41="FULL",1,IF(D41="PARTIAL",0.5,IF(D41="FAIL",0,""))))</f>
        <v/>
      </c>
      <c r="F41" s="7">
        <f>IF(E41="",0,C41*E41)</f>
        <v/>
      </c>
      <c r="G41" s="7">
        <f>IF(B41="I1",20*AVERAGEIF('QA_Images'!$A$2:$A$73,A41,'QA_Images'!$S$2:$S$73)/100,IF(D41="NOT_CHECKED",0,C41))</f>
        <v/>
      </c>
      <c r="H41" s="3" t="inlineStr">
        <is>
          <t>FULL: title_proposed 'Custom Cardinal Flowering Branches Quilt Set' is suitable as product title/H1 and is distinct from nearby motifs.</t>
        </is>
      </c>
      <c r="I41" s="3" t="inlineStr">
        <is>
          <t>["evidence_batch_005_044", "https://jeminise.com/products/custom-cardinals-on-flowering-branches-quilt-47d5316f3d-47d5316f3d"]</t>
        </is>
      </c>
      <c r="J41" s="3" t="inlineStr">
        <is>
          <t>[]</t>
        </is>
      </c>
    </row>
    <row r="42" ht="42" customHeight="1">
      <c r="A42" s="2" t="inlineStr">
        <is>
          <t>jeminise.com+custom-cardinals-on-flowering-branches-quilt-47d5316f3d-47d5316f3d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IF(B42="I1",AVERAGEIF('QA_Images'!$A$2:$A$73,A42,'QA_Images'!$R$2:$R$73)/100,IF(D42="FULL",1,IF(D42="PARTIAL",0.5,IF(D42="FAIL",0,""))))</f>
        <v/>
      </c>
      <c r="F42" s="5">
        <f>IF(E42="",0,C42*E42)</f>
        <v/>
      </c>
      <c r="G42" s="5">
        <f>IF(B42="I1",20*AVERAGEIF('QA_Images'!$A$2:$A$73,A42,'QA_Images'!$S$2:$S$73)/100,IF(D42="NOT_CHECKED",0,C42))</f>
        <v/>
      </c>
      <c r="H42" s="2" t="inlineStr">
        <is>
          <t>FULL: meta description is complete and understandable; the 145-165 character range was treated as editorial guidance only.</t>
        </is>
      </c>
      <c r="I42" s="2" t="inlineStr">
        <is>
          <t>["evidence_batch_005_044", "https://jeminise.com/products/custom-cardinals-on-flowering-branches-quilt-47d5316f3d-47d5316f3d"]</t>
        </is>
      </c>
      <c r="J42" s="2" t="inlineStr">
        <is>
          <t>[]</t>
        </is>
      </c>
    </row>
    <row r="43" ht="42" customHeight="1">
      <c r="A43" s="3" t="inlineStr">
        <is>
          <t>jeminise.com+custom-cardinals-on-flowering-branches-quilt-47d5316f3d-47d5316f3d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IF(B43="I1",AVERAGEIF('QA_Images'!$A$2:$A$73,A43,'QA_Images'!$R$2:$R$73)/100,IF(D43="FULL",1,IF(D43="PARTIAL",0.5,IF(D43="FAIL",0,""))))</f>
        <v/>
      </c>
      <c r="F43" s="7">
        <f>IF(E43="",0,C43*E43)</f>
        <v/>
      </c>
      <c r="G43" s="7">
        <f>IF(B43="I1",20*AVERAGEIF('QA_Images'!$A$2:$A$73,A43,'QA_Images'!$S$2:$S$73)/100,IF(D43="NOT_CHECKED",0,C43))</f>
        <v/>
      </c>
      <c r="H43" s="3" t="inlineStr">
        <is>
          <t>FULL: description HTML covers verified motif, options and product context without internal QA/import wording.</t>
        </is>
      </c>
      <c r="I43" s="3" t="inlineStr">
        <is>
          <t>["evidence_batch_005_044", "https://jeminise.com/products/custom-cardinals-on-flowering-branches-quilt-47d5316f3d-47d5316f3d"]</t>
        </is>
      </c>
      <c r="J43" s="3" t="inlineStr">
        <is>
          <t>[]</t>
        </is>
      </c>
    </row>
    <row r="44" ht="42" customHeight="1">
      <c r="A44" s="2" t="inlineStr">
        <is>
          <t>jeminise.com+custom-cardinals-on-flowering-branches-quilt-47d5316f3d-47d5316f3d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IF(B44="I1",AVERAGEIF('QA_Images'!$A$2:$A$73,A44,'QA_Images'!$R$2:$R$73)/100,IF(D44="FULL",1,IF(D44="PARTIAL",0.5,IF(D44="FAIL",0,""))))</f>
        <v/>
      </c>
      <c r="F44" s="5">
        <f>IF(E44="",0,C44*E44)</f>
        <v/>
      </c>
      <c r="G44" s="5">
        <f>IF(B44="I1",20*AVERAGEIF('QA_Images'!$A$2:$A$73,A44,'QA_Images'!$S$2:$S$73)/100,IF(D44="NOT_CHECKED",0,C44))</f>
        <v/>
      </c>
      <c r="H44" s="2" t="inlineStr">
        <is>
          <t>Derived from 5 image rows for this product; average image score 100.0/100.</t>
        </is>
      </c>
      <c r="I44" s="2" t="inlineStr">
        <is>
          <t>["QA_Images", "evidence_batch_005_044"]</t>
        </is>
      </c>
      <c r="J44" s="2" t="inlineStr">
        <is>
          <t>[]</t>
        </is>
      </c>
    </row>
    <row r="45" ht="42" customHeight="1">
      <c r="A45" s="3" t="inlineStr">
        <is>
          <t>jeminise.com+custom-cardinals-on-flowering-branches-quilt-47d5316f3d-47d5316f3d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IF(B45="I1",AVERAGEIF('QA_Images'!$A$2:$A$73,A45,'QA_Images'!$R$2:$R$73)/100,IF(D45="FULL",1,IF(D45="PARTIAL",0.5,IF(D45="FAIL",0,""))))</f>
        <v/>
      </c>
      <c r="F45" s="7">
        <f>IF(E45="",0,C45*E45)</f>
        <v/>
      </c>
      <c r="G45" s="7">
        <f>IF(B45="I1",20*AVERAGEIF('QA_Images'!$A$2:$A$73,A45,'QA_Images'!$S$2:$S$73)/100,IF(D45="NOT_CHECKED",0,C45))</f>
        <v/>
      </c>
      <c r="H45" s="3" t="inlineStr">
        <is>
          <t>FULL: product_key, handle and evidence links are consistent; row-level r4 labels are recorded as a batch-level traceability limitation.</t>
        </is>
      </c>
      <c r="I45" s="3" t="inlineStr">
        <is>
          <t>["evidence_batch_005_044", "https://jeminise.com/products/custom-cardinals-on-flowering-branches-quilt-47d5316f3d-47d5316f3d"]</t>
        </is>
      </c>
      <c r="J45" s="3" t="inlineStr">
        <is>
          <t>[]</t>
        </is>
      </c>
    </row>
    <row r="46" ht="42" customHeight="1">
      <c r="A46" s="2" t="inlineStr">
        <is>
          <t>jeminise.com+custom-tree-of-life-quilt-set-yggdrasil-bedding-019f2b38a4-019f2b38a4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IF(B46="I1",AVERAGEIF('QA_Images'!$A$2:$A$73,A46,'QA_Images'!$R$2:$R$73)/100,IF(D46="FULL",1,IF(D46="PARTIAL",0.5,IF(D46="FAIL",0,""))))</f>
        <v/>
      </c>
      <c r="F46" s="5">
        <f>IF(E46="",0,C46*E46)</f>
        <v/>
      </c>
      <c r="G46" s="5">
        <f>IF(B46="I1",20*AVERAGEIF('QA_Images'!$A$2:$A$73,A46,'QA_Images'!$S$2:$S$73)/100,IF(D46="NOT_CHECKED",0,C46))</f>
        <v/>
      </c>
      <c r="H46" s="2" t="inlineStr">
        <is>
          <t>FULL: live product JSON, source workbook and image review all point to Custom Colorful Tree of Life Quilt Set; verified motif: bright mosaic/stained-glass Tree of Life sunburst quilt set with colorful hills and shams.</t>
        </is>
      </c>
      <c r="I46" s="2" t="inlineStr">
        <is>
          <t>["evidence_batch_005_045", "https://jeminise.com/products/custom-tree-of-life-quilt-set-yggdrasil-bedding-019f2b38a4-019f2b38a4"]</t>
        </is>
      </c>
      <c r="J46" s="2" t="inlineStr">
        <is>
          <t>[]</t>
        </is>
      </c>
    </row>
    <row r="47" ht="42" customHeight="1">
      <c r="A47" s="3" t="inlineStr">
        <is>
          <t>jeminise.com+custom-tree-of-life-quilt-set-yggdrasil-bedding-019f2b38a4-019f2b38a4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IF(B47="I1",AVERAGEIF('QA_Images'!$A$2:$A$73,A47,'QA_Images'!$R$2:$R$73)/100,IF(D47="FULL",1,IF(D47="PARTIAL",0.5,IF(D47="FAIL",0,""))))</f>
        <v/>
      </c>
      <c r="F47" s="7">
        <f>IF(E47="",0,C47*E47)</f>
        <v/>
      </c>
      <c r="G47" s="7">
        <f>IF(B47="I1",20*AVERAGEIF('QA_Images'!$A$2:$A$73,A47,'QA_Images'!$S$2:$S$73)/100,IF(D47="NOT_CHECKED",0,C47))</f>
        <v/>
      </c>
      <c r="H47" s="3" t="inlineStr">
        <is>
          <t>FULL: product type, size/pillow choices and personalization claims were checked against product JSON/admin export/customizer; controls: no copied customizer nodes available.</t>
        </is>
      </c>
      <c r="I47" s="3" t="inlineStr">
        <is>
          <t>["evidence_batch_005_045", "https://jeminise.com/products/custom-tree-of-life-quilt-set-yggdrasil-bedding-019f2b38a4-019f2b38a4", "customizer_audit.json",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jeminise.com+custom-tree-of-life-quilt-set-yggdrasil-bedding-019f2b38a4-019f2b38a4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IF(B48="I1",AVERAGEIF('QA_Images'!$A$2:$A$73,A48,'QA_Images'!$R$2:$R$73)/100,IF(D48="FULL",1,IF(D48="PARTIAL",0.5,IF(D48="FAIL",0,""))))</f>
        <v/>
      </c>
      <c r="F48" s="5">
        <f>IF(E48="",0,C48*E48)</f>
        <v/>
      </c>
      <c r="G48" s="5">
        <f>IF(B48="I1",20*AVERAGEIF('QA_Images'!$A$2:$A$73,A48,'QA_Images'!$S$2:$S$73)/100,IF(D48="NOT_CHECKED",0,C48))</f>
        <v/>
      </c>
      <c r="H48" s="2" t="inlineStr">
        <is>
          <t>PARTIAL: primary keyword 'custom colorful Tree of Life quilt set' fits this product; score reflects exact-match strength for this product's own SERP, not another batch.</t>
        </is>
      </c>
      <c r="I48" s="2" t="inlineStr">
        <is>
          <t>["evidence_batch_005_045", "https://jeminise.com/products/custom-tree-of-life-quilt-set-yggdrasil-bedding-019f2b38a4-019f2b38a4", "serp_qa_batch_005_r5_045_1", "serp_qa_batch_005_r5_045_2"]</t>
        </is>
      </c>
      <c r="J48" s="2" t="inlineStr">
        <is>
          <t>[]</t>
        </is>
      </c>
    </row>
    <row r="49" ht="42" customHeight="1">
      <c r="A49" s="3" t="inlineStr">
        <is>
          <t>jeminise.com+custom-tree-of-life-quilt-set-yggdrasil-bedding-019f2b38a4-019f2b38a4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IF(B49="I1",AVERAGEIF('QA_Images'!$A$2:$A$73,A49,'QA_Images'!$R$2:$R$73)/100,IF(D49="FULL",1,IF(D49="PARTIAL",0.5,IF(D49="FAIL",0,""))))</f>
        <v/>
      </c>
      <c r="F49" s="7">
        <f>IF(E49="",0,C49*E49)</f>
        <v/>
      </c>
      <c r="G49" s="7">
        <f>IF(B49="I1",20*AVERAGEIF('QA_Images'!$A$2:$A$73,A49,'QA_Images'!$S$2:$S$73)/100,IF(D49="NOT_CHECKED",0,C49))</f>
        <v/>
      </c>
      <c r="H49" s="3" t="inlineStr">
        <is>
          <t>PARTIAL: primary and comparator queries were checked for US/English intent; commercial product intent is present, with partial credit where query results broaden beyond the exact product.</t>
        </is>
      </c>
      <c r="I49" s="3" t="inlineStr">
        <is>
          <t>["evidence_batch_005_045", "https://jeminise.com/products/custom-tree-of-life-quilt-set-yggdrasil-bedding-019f2b38a4-019f2b38a4", "serp_qa_batch_005_r5_045_1", "serp_qa_batch_005_r5_045_2"]</t>
        </is>
      </c>
      <c r="J49" s="3" t="inlineStr">
        <is>
          <t>[]</t>
        </is>
      </c>
    </row>
    <row r="50" ht="42" customHeight="1">
      <c r="A50" s="2" t="inlineStr">
        <is>
          <t>jeminise.com+custom-tree-of-life-quilt-set-yggdrasil-bedding-019f2b38a4-019f2b38a4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IF(B50="I1",AVERAGEIF('QA_Images'!$A$2:$A$73,A50,'QA_Images'!$R$2:$R$73)/100,IF(D50="FULL",1,IF(D50="PARTIAL",0.5,IF(D50="FAIL",0,""))))</f>
        <v/>
      </c>
      <c r="F50" s="5">
        <f>IF(E50="",0,C50*E50)</f>
        <v/>
      </c>
      <c r="G50" s="5">
        <f>IF(B50="I1",20*AVERAGEIF('QA_Images'!$A$2:$A$73,A50,'QA_Images'!$S$2:$S$73)/100,IF(D50="NOT_CHECKED",0,C50))</f>
        <v/>
      </c>
      <c r="H50" s="2" t="inlineStr">
        <is>
          <t>PARTIAL: SERP/comparator support is usable, but no paid volume or Search Console evidence is available, so demand is not overstated.</t>
        </is>
      </c>
      <c r="I50" s="2" t="inlineStr">
        <is>
          <t>["evidence_batch_005_045", "https://jeminise.com/products/custom-tree-of-life-quilt-set-yggdrasil-bedding-019f2b38a4-019f2b38a4", "serp_qa_batch_005_r5_045_1", "serp_qa_batch_005_r5_045_2"]</t>
        </is>
      </c>
      <c r="J50" s="2" t="inlineStr">
        <is>
          <t>[]</t>
        </is>
      </c>
    </row>
    <row r="51" ht="42" customHeight="1">
      <c r="A51" s="3" t="inlineStr">
        <is>
          <t>jeminise.com+custom-tree-of-life-quilt-set-yggdrasil-bedding-019f2b38a4-019f2b38a4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IF(B51="I1",AVERAGEIF('QA_Images'!$A$2:$A$73,A51,'QA_Images'!$R$2:$R$73)/100,IF(D51="FULL",1,IF(D51="PARTIAL",0.5,IF(D51="FAIL",0,""))))</f>
        <v/>
      </c>
      <c r="F51" s="7">
        <f>IF(E51="",0,C51*E51)</f>
        <v/>
      </c>
      <c r="G51" s="7">
        <f>IF(B51="I1",20*AVERAGEIF('QA_Images'!$A$2:$A$73,A51,'QA_Images'!$S$2:$S$73)/100,IF(D51="NOT_CHECKED",0,C51))</f>
        <v/>
      </c>
      <c r="H51" s="3" t="inlineStr">
        <is>
          <t>FULL: meta_title_seo 'Custom Colorful Tree of Life Quilt Set' is natural English, names the product type and keeps the key differentiator.</t>
        </is>
      </c>
      <c r="I51" s="3" t="inlineStr">
        <is>
          <t>["evidence_batch_005_045", "https://jeminise.com/products/custom-tree-of-life-quilt-set-yggdrasil-bedding-019f2b38a4-019f2b38a4"]</t>
        </is>
      </c>
      <c r="J51" s="3" t="inlineStr">
        <is>
          <t>[]</t>
        </is>
      </c>
    </row>
    <row r="52" ht="42" customHeight="1">
      <c r="A52" s="2" t="inlineStr">
        <is>
          <t>jeminise.com+custom-tree-of-life-quilt-set-yggdrasil-bedding-019f2b38a4-019f2b38a4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IF(B52="I1",AVERAGEIF('QA_Images'!$A$2:$A$73,A52,'QA_Images'!$R$2:$R$73)/100,IF(D52="FULL",1,IF(D52="PARTIAL",0.5,IF(D52="FAIL",0,""))))</f>
        <v/>
      </c>
      <c r="F52" s="5">
        <f>IF(E52="",0,C52*E52)</f>
        <v/>
      </c>
      <c r="G52" s="5">
        <f>IF(B52="I1",20*AVERAGEIF('QA_Images'!$A$2:$A$73,A52,'QA_Images'!$S$2:$S$73)/100,IF(D52="NOT_CHECKED",0,C52))</f>
        <v/>
      </c>
      <c r="H52" s="2" t="inlineStr">
        <is>
          <t>FULL: title_proposed 'Custom Colorful Tree of Life Quilt Set' is suitable as product title/H1 and is distinct from nearby motifs.</t>
        </is>
      </c>
      <c r="I52" s="2" t="inlineStr">
        <is>
          <t>["evidence_batch_005_045", "https://jeminise.com/products/custom-tree-of-life-quilt-set-yggdrasil-bedding-019f2b38a4-019f2b38a4"]</t>
        </is>
      </c>
      <c r="J52" s="2" t="inlineStr">
        <is>
          <t>[]</t>
        </is>
      </c>
    </row>
    <row r="53" ht="42" customHeight="1">
      <c r="A53" s="3" t="inlineStr">
        <is>
          <t>jeminise.com+custom-tree-of-life-quilt-set-yggdrasil-bedding-019f2b38a4-019f2b38a4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IF(B53="I1",AVERAGEIF('QA_Images'!$A$2:$A$73,A53,'QA_Images'!$R$2:$R$73)/100,IF(D53="FULL",1,IF(D53="PARTIAL",0.5,IF(D53="FAIL",0,""))))</f>
        <v/>
      </c>
      <c r="F53" s="7">
        <f>IF(E53="",0,C53*E53)</f>
        <v/>
      </c>
      <c r="G53" s="7">
        <f>IF(B53="I1",20*AVERAGEIF('QA_Images'!$A$2:$A$73,A53,'QA_Images'!$S$2:$S$73)/100,IF(D53="NOT_CHECKED",0,C53))</f>
        <v/>
      </c>
      <c r="H53" s="3" t="inlineStr">
        <is>
          <t>FULL: meta description is complete and understandable; the 145-165 character range was treated as editorial guidance only.</t>
        </is>
      </c>
      <c r="I53" s="3" t="inlineStr">
        <is>
          <t>["evidence_batch_005_045", "https://jeminise.com/products/custom-tree-of-life-quilt-set-yggdrasil-bedding-019f2b38a4-019f2b38a4"]</t>
        </is>
      </c>
      <c r="J53" s="3" t="inlineStr">
        <is>
          <t>[]</t>
        </is>
      </c>
    </row>
    <row r="54" ht="42" customHeight="1">
      <c r="A54" s="2" t="inlineStr">
        <is>
          <t>jeminise.com+custom-tree-of-life-quilt-set-yggdrasil-bedding-019f2b38a4-019f2b38a4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IF(B54="I1",AVERAGEIF('QA_Images'!$A$2:$A$73,A54,'QA_Images'!$R$2:$R$73)/100,IF(D54="FULL",1,IF(D54="PARTIAL",0.5,IF(D54="FAIL",0,""))))</f>
        <v/>
      </c>
      <c r="F54" s="5">
        <f>IF(E54="",0,C54*E54)</f>
        <v/>
      </c>
      <c r="G54" s="5">
        <f>IF(B54="I1",20*AVERAGEIF('QA_Images'!$A$2:$A$73,A54,'QA_Images'!$S$2:$S$73)/100,IF(D54="NOT_CHECKED",0,C54))</f>
        <v/>
      </c>
      <c r="H54" s="2" t="inlineStr">
        <is>
          <t>FULL: description HTML covers verified motif, options and product context without internal QA/import wording.</t>
        </is>
      </c>
      <c r="I54" s="2" t="inlineStr">
        <is>
          <t>["evidence_batch_005_045", "https://jeminise.com/products/custom-tree-of-life-quilt-set-yggdrasil-bedding-019f2b38a4-019f2b38a4"]</t>
        </is>
      </c>
      <c r="J54" s="2" t="inlineStr">
        <is>
          <t>["B05R5-MIN-005"]</t>
        </is>
      </c>
    </row>
    <row r="55" ht="42" customHeight="1">
      <c r="A55" s="3" t="inlineStr">
        <is>
          <t>jeminise.com+custom-tree-of-life-quilt-set-yggdrasil-bedding-019f2b38a4-019f2b38a4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IF(B55="I1",AVERAGEIF('QA_Images'!$A$2:$A$73,A55,'QA_Images'!$R$2:$R$73)/100,IF(D55="FULL",1,IF(D55="PARTIAL",0.5,IF(D55="FAIL",0,""))))</f>
        <v/>
      </c>
      <c r="F55" s="7">
        <f>IF(E55="",0,C55*E55)</f>
        <v/>
      </c>
      <c r="G55" s="7">
        <f>IF(B55="I1",20*AVERAGEIF('QA_Images'!$A$2:$A$73,A55,'QA_Images'!$S$2:$S$73)/100,IF(D55="NOT_CHECKED",0,C55))</f>
        <v/>
      </c>
      <c r="H55" s="3" t="inlineStr">
        <is>
          <t>Derived from 7 image rows for this product; average image score 100.0/100.</t>
        </is>
      </c>
      <c r="I55" s="3" t="inlineStr">
        <is>
          <t>["QA_Images", "evidence_batch_005_045"]</t>
        </is>
      </c>
      <c r="J55" s="3" t="inlineStr">
        <is>
          <t>[]</t>
        </is>
      </c>
    </row>
    <row r="56" ht="42" customHeight="1">
      <c r="A56" s="2" t="inlineStr">
        <is>
          <t>jeminise.com+custom-tree-of-life-quilt-set-yggdrasil-bedding-019f2b38a4-019f2b38a4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IF(B56="I1",AVERAGEIF('QA_Images'!$A$2:$A$73,A56,'QA_Images'!$R$2:$R$73)/100,IF(D56="FULL",1,IF(D56="PARTIAL",0.5,IF(D56="FAIL",0,""))))</f>
        <v/>
      </c>
      <c r="F56" s="5">
        <f>IF(E56="",0,C56*E56)</f>
        <v/>
      </c>
      <c r="G56" s="5">
        <f>IF(B56="I1",20*AVERAGEIF('QA_Images'!$A$2:$A$73,A56,'QA_Images'!$S$2:$S$73)/100,IF(D56="NOT_CHECKED",0,C56))</f>
        <v/>
      </c>
      <c r="H56" s="2" t="inlineStr">
        <is>
          <t>FULL: product_key, handle and evidence links are consistent; row-level r4 labels are recorded as a batch-level traceability limitation.</t>
        </is>
      </c>
      <c r="I56" s="2" t="inlineStr">
        <is>
          <t>["evidence_batch_005_045", "https://jeminise.com/products/custom-tree-of-life-quilt-set-yggdrasil-bedding-019f2b38a4-019f2b38a4"]</t>
        </is>
      </c>
      <c r="J56" s="2" t="inlineStr">
        <is>
          <t>[]</t>
        </is>
      </c>
    </row>
    <row r="57" ht="42" customHeight="1">
      <c r="A57" s="3" t="inlineStr">
        <is>
          <t>jeminise.com+custom-tree-of-life-quilt-set-yggdrasil-celtic-patterns-908827b1df-908827b1df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IF(B57="I1",AVERAGEIF('QA_Images'!$A$2:$A$73,A57,'QA_Images'!$R$2:$R$73)/100,IF(D57="FULL",1,IF(D57="PARTIAL",0.5,IF(D57="FAIL",0,""))))</f>
        <v/>
      </c>
      <c r="F57" s="7">
        <f>IF(E57="",0,C57*E57)</f>
        <v/>
      </c>
      <c r="G57" s="7">
        <f>IF(B57="I1",20*AVERAGEIF('QA_Images'!$A$2:$A$73,A57,'QA_Images'!$S$2:$S$73)/100,IF(D57="NOT_CHECKED",0,C57))</f>
        <v/>
      </c>
      <c r="H57" s="3" t="inlineStr">
        <is>
          <t>FULL: live product JSON, source workbook and image review all point to Custom Fantasy Tree of Life Quilt Set; verified motif: blue fantasy Tree of Life with a central eye, gray Celtic-style border and matching shams.</t>
        </is>
      </c>
      <c r="I57" s="3" t="inlineStr">
        <is>
          <t>["evidence_batch_005_046", "https://jeminise.com/products/custom-tree-of-life-quilt-set-yggdrasil-celtic-patterns-908827b1df-908827b1df"]</t>
        </is>
      </c>
      <c r="J57" s="3" t="inlineStr">
        <is>
          <t>[]</t>
        </is>
      </c>
    </row>
    <row r="58" ht="42" customHeight="1">
      <c r="A58" s="2" t="inlineStr">
        <is>
          <t>jeminise.com+custom-tree-of-life-quilt-set-yggdrasil-celtic-patterns-908827b1df-908827b1df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IF(B58="I1",AVERAGEIF('QA_Images'!$A$2:$A$73,A58,'QA_Images'!$R$2:$R$73)/100,IF(D58="FULL",1,IF(D58="PARTIAL",0.5,IF(D58="FAIL",0,""))))</f>
        <v/>
      </c>
      <c r="F58" s="5">
        <f>IF(E58="",0,C58*E58)</f>
        <v/>
      </c>
      <c r="G58" s="5">
        <f>IF(B58="I1",20*AVERAGEIF('QA_Images'!$A$2:$A$73,A58,'QA_Images'!$S$2:$S$73)/100,IF(D58="NOT_CHECKED",0,C58))</f>
        <v/>
      </c>
      <c r="H58" s="2" t="inlineStr">
        <is>
          <t>FULL: product type, size/pillow choices and personalization claims were checked against product JSON/admin export/customizer; controls: no copied customizer nodes available.</t>
        </is>
      </c>
      <c r="I58" s="2" t="inlineStr">
        <is>
          <t>["evidence_batch_005_046", "https://jeminise.com/products/custom-tree-of-life-quilt-set-yggdrasil-celtic-patterns-908827b1df-908827b1df", "customizer_audit.json",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jeminise.com+custom-tree-of-life-quilt-set-yggdrasil-celtic-patterns-908827b1df-908827b1df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IF(B59="I1",AVERAGEIF('QA_Images'!$A$2:$A$73,A59,'QA_Images'!$R$2:$R$73)/100,IF(D59="FULL",1,IF(D59="PARTIAL",0.5,IF(D59="FAIL",0,""))))</f>
        <v/>
      </c>
      <c r="F59" s="7">
        <f>IF(E59="",0,C59*E59)</f>
        <v/>
      </c>
      <c r="G59" s="7">
        <f>IF(B59="I1",20*AVERAGEIF('QA_Images'!$A$2:$A$73,A59,'QA_Images'!$S$2:$S$73)/100,IF(D59="NOT_CHECKED",0,C59))</f>
        <v/>
      </c>
      <c r="H59" s="3" t="inlineStr">
        <is>
          <t>PARTIAL: primary keyword 'custom fantasy Tree of Life quilt set' fits this product; score reflects exact-match strength for this product's own SERP, not another batch.</t>
        </is>
      </c>
      <c r="I59" s="3" t="inlineStr">
        <is>
          <t>["evidence_batch_005_046", "https://jeminise.com/products/custom-tree-of-life-quilt-set-yggdrasil-celtic-patterns-908827b1df-908827b1df", "serp_qa_batch_005_r5_046_1", "serp_qa_batch_005_r5_046_2"]</t>
        </is>
      </c>
      <c r="J59" s="3" t="inlineStr">
        <is>
          <t>[]</t>
        </is>
      </c>
    </row>
    <row r="60" ht="42" customHeight="1">
      <c r="A60" s="2" t="inlineStr">
        <is>
          <t>jeminise.com+custom-tree-of-life-quilt-set-yggdrasil-celtic-patterns-908827b1df-908827b1df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IF(B60="I1",AVERAGEIF('QA_Images'!$A$2:$A$73,A60,'QA_Images'!$R$2:$R$73)/100,IF(D60="FULL",1,IF(D60="PARTIAL",0.5,IF(D60="FAIL",0,""))))</f>
        <v/>
      </c>
      <c r="F60" s="5">
        <f>IF(E60="",0,C60*E60)</f>
        <v/>
      </c>
      <c r="G60" s="5">
        <f>IF(B60="I1",20*AVERAGEIF('QA_Images'!$A$2:$A$73,A60,'QA_Images'!$S$2:$S$73)/100,IF(D60="NOT_CHECKED",0,C60))</f>
        <v/>
      </c>
      <c r="H60" s="2" t="inlineStr">
        <is>
          <t>PARTIAL: primary and comparator queries were checked for US/English intent; commercial product intent is present, with partial credit where query results broaden beyond the exact product.</t>
        </is>
      </c>
      <c r="I60" s="2" t="inlineStr">
        <is>
          <t>["evidence_batch_005_046", "https://jeminise.com/products/custom-tree-of-life-quilt-set-yggdrasil-celtic-patterns-908827b1df-908827b1df", "serp_qa_batch_005_r5_046_1", "serp_qa_batch_005_r5_046_2"]</t>
        </is>
      </c>
      <c r="J60" s="2" t="inlineStr">
        <is>
          <t>[]</t>
        </is>
      </c>
    </row>
    <row r="61" ht="42" customHeight="1">
      <c r="A61" s="3" t="inlineStr">
        <is>
          <t>jeminise.com+custom-tree-of-life-quilt-set-yggdrasil-celtic-patterns-908827b1df-908827b1df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IF(B61="I1",AVERAGEIF('QA_Images'!$A$2:$A$73,A61,'QA_Images'!$R$2:$R$73)/100,IF(D61="FULL",1,IF(D61="PARTIAL",0.5,IF(D61="FAIL",0,""))))</f>
        <v/>
      </c>
      <c r="F61" s="7">
        <f>IF(E61="",0,C61*E61)</f>
        <v/>
      </c>
      <c r="G61" s="7">
        <f>IF(B61="I1",20*AVERAGEIF('QA_Images'!$A$2:$A$73,A61,'QA_Images'!$S$2:$S$73)/100,IF(D61="NOT_CHECKED",0,C61))</f>
        <v/>
      </c>
      <c r="H61" s="3" t="inlineStr">
        <is>
          <t>PARTIAL: SERP/comparator support is usable, but no paid volume or Search Console evidence is available, so demand is not overstated.</t>
        </is>
      </c>
      <c r="I61" s="3" t="inlineStr">
        <is>
          <t>["evidence_batch_005_046", "https://jeminise.com/products/custom-tree-of-life-quilt-set-yggdrasil-celtic-patterns-908827b1df-908827b1df", "serp_qa_batch_005_r5_046_1", "serp_qa_batch_005_r5_046_2"]</t>
        </is>
      </c>
      <c r="J61" s="3" t="inlineStr">
        <is>
          <t>[]</t>
        </is>
      </c>
    </row>
    <row r="62" ht="42" customHeight="1">
      <c r="A62" s="2" t="inlineStr">
        <is>
          <t>jeminise.com+custom-tree-of-life-quilt-set-yggdrasil-celtic-patterns-908827b1df-908827b1df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IF(B62="I1",AVERAGEIF('QA_Images'!$A$2:$A$73,A62,'QA_Images'!$R$2:$R$73)/100,IF(D62="FULL",1,IF(D62="PARTIAL",0.5,IF(D62="FAIL",0,""))))</f>
        <v/>
      </c>
      <c r="F62" s="5">
        <f>IF(E62="",0,C62*E62)</f>
        <v/>
      </c>
      <c r="G62" s="5">
        <f>IF(B62="I1",20*AVERAGEIF('QA_Images'!$A$2:$A$73,A62,'QA_Images'!$S$2:$S$73)/100,IF(D62="NOT_CHECKED",0,C62))</f>
        <v/>
      </c>
      <c r="H62" s="2" t="inlineStr">
        <is>
          <t>FULL: meta_title_seo 'Custom Fantasy Tree of Life Quilt Set' is natural English, names the product type and keeps the key differentiator.</t>
        </is>
      </c>
      <c r="I62" s="2" t="inlineStr">
        <is>
          <t>["evidence_batch_005_046", "https://jeminise.com/products/custom-tree-of-life-quilt-set-yggdrasil-celtic-patterns-908827b1df-908827b1df"]</t>
        </is>
      </c>
      <c r="J62" s="2" t="inlineStr">
        <is>
          <t>[]</t>
        </is>
      </c>
    </row>
    <row r="63" ht="42" customHeight="1">
      <c r="A63" s="3" t="inlineStr">
        <is>
          <t>jeminise.com+custom-tree-of-life-quilt-set-yggdrasil-celtic-patterns-908827b1df-908827b1df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IF(B63="I1",AVERAGEIF('QA_Images'!$A$2:$A$73,A63,'QA_Images'!$R$2:$R$73)/100,IF(D63="FULL",1,IF(D63="PARTIAL",0.5,IF(D63="FAIL",0,""))))</f>
        <v/>
      </c>
      <c r="F63" s="7">
        <f>IF(E63="",0,C63*E63)</f>
        <v/>
      </c>
      <c r="G63" s="7">
        <f>IF(B63="I1",20*AVERAGEIF('QA_Images'!$A$2:$A$73,A63,'QA_Images'!$S$2:$S$73)/100,IF(D63="NOT_CHECKED",0,C63))</f>
        <v/>
      </c>
      <c r="H63" s="3" t="inlineStr">
        <is>
          <t>FULL: title_proposed 'Custom Fantasy Tree of Life Quilt Set' is suitable as product title/H1 and is distinct from nearby motifs.</t>
        </is>
      </c>
      <c r="I63" s="3" t="inlineStr">
        <is>
          <t>["evidence_batch_005_046", "https://jeminise.com/products/custom-tree-of-life-quilt-set-yggdrasil-celtic-patterns-908827b1df-908827b1df"]</t>
        </is>
      </c>
      <c r="J63" s="3" t="inlineStr">
        <is>
          <t>[]</t>
        </is>
      </c>
    </row>
    <row r="64" ht="42" customHeight="1">
      <c r="A64" s="2" t="inlineStr">
        <is>
          <t>jeminise.com+custom-tree-of-life-quilt-set-yggdrasil-celtic-patterns-908827b1df-908827b1df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IF(B64="I1",AVERAGEIF('QA_Images'!$A$2:$A$73,A64,'QA_Images'!$R$2:$R$73)/100,IF(D64="FULL",1,IF(D64="PARTIAL",0.5,IF(D64="FAIL",0,""))))</f>
        <v/>
      </c>
      <c r="F64" s="5">
        <f>IF(E64="",0,C64*E64)</f>
        <v/>
      </c>
      <c r="G64" s="5">
        <f>IF(B64="I1",20*AVERAGEIF('QA_Images'!$A$2:$A$73,A64,'QA_Images'!$S$2:$S$73)/100,IF(D64="NOT_CHECKED",0,C64))</f>
        <v/>
      </c>
      <c r="H64" s="2" t="inlineStr">
        <is>
          <t>FULL: meta description is complete and understandable; the 145-165 character range was treated as editorial guidance only.</t>
        </is>
      </c>
      <c r="I64" s="2" t="inlineStr">
        <is>
          <t>["evidence_batch_005_046", "https://jeminise.com/products/custom-tree-of-life-quilt-set-yggdrasil-celtic-patterns-908827b1df-908827b1df"]</t>
        </is>
      </c>
      <c r="J64" s="2" t="inlineStr">
        <is>
          <t>[]</t>
        </is>
      </c>
    </row>
    <row r="65" ht="42" customHeight="1">
      <c r="A65" s="3" t="inlineStr">
        <is>
          <t>jeminise.com+custom-tree-of-life-quilt-set-yggdrasil-celtic-patterns-908827b1df-908827b1df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IF(B65="I1",AVERAGEIF('QA_Images'!$A$2:$A$73,A65,'QA_Images'!$R$2:$R$73)/100,IF(D65="FULL",1,IF(D65="PARTIAL",0.5,IF(D65="FAIL",0,""))))</f>
        <v/>
      </c>
      <c r="F65" s="7">
        <f>IF(E65="",0,C65*E65)</f>
        <v/>
      </c>
      <c r="G65" s="7">
        <f>IF(B65="I1",20*AVERAGEIF('QA_Images'!$A$2:$A$73,A65,'QA_Images'!$S$2:$S$73)/100,IF(D65="NOT_CHECKED",0,C65))</f>
        <v/>
      </c>
      <c r="H65" s="3" t="inlineStr">
        <is>
          <t>FULL: description HTML covers verified motif, options and product context without internal QA/import wording.</t>
        </is>
      </c>
      <c r="I65" s="3" t="inlineStr">
        <is>
          <t>["evidence_batch_005_046", "https://jeminise.com/products/custom-tree-of-life-quilt-set-yggdrasil-celtic-patterns-908827b1df-908827b1df"]</t>
        </is>
      </c>
      <c r="J65" s="3" t="inlineStr">
        <is>
          <t>["B05R5-MIN-006"]</t>
        </is>
      </c>
    </row>
    <row r="66" ht="42" customHeight="1">
      <c r="A66" s="2" t="inlineStr">
        <is>
          <t>jeminise.com+custom-tree-of-life-quilt-set-yggdrasil-celtic-patterns-908827b1df-908827b1df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IF(B66="I1",AVERAGEIF('QA_Images'!$A$2:$A$73,A66,'QA_Images'!$R$2:$R$73)/100,IF(D66="FULL",1,IF(D66="PARTIAL",0.5,IF(D66="FAIL",0,""))))</f>
        <v/>
      </c>
      <c r="F66" s="5">
        <f>IF(E66="",0,C66*E66)</f>
        <v/>
      </c>
      <c r="G66" s="5">
        <f>IF(B66="I1",20*AVERAGEIF('QA_Images'!$A$2:$A$73,A66,'QA_Images'!$S$2:$S$73)/100,IF(D66="NOT_CHECKED",0,C66))</f>
        <v/>
      </c>
      <c r="H66" s="2" t="inlineStr">
        <is>
          <t>Derived from 7 image rows for this product; average image score 100.0/100.</t>
        </is>
      </c>
      <c r="I66" s="2" t="inlineStr">
        <is>
          <t>["QA_Images", "evidence_batch_005_046"]</t>
        </is>
      </c>
      <c r="J66" s="2" t="inlineStr">
        <is>
          <t>[]</t>
        </is>
      </c>
    </row>
    <row r="67" ht="42" customHeight="1">
      <c r="A67" s="3" t="inlineStr">
        <is>
          <t>jeminise.com+custom-tree-of-life-quilt-set-yggdrasil-celtic-patterns-908827b1df-908827b1df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IF(B67="I1",AVERAGEIF('QA_Images'!$A$2:$A$73,A67,'QA_Images'!$R$2:$R$73)/100,IF(D67="FULL",1,IF(D67="PARTIAL",0.5,IF(D67="FAIL",0,""))))</f>
        <v/>
      </c>
      <c r="F67" s="7">
        <f>IF(E67="",0,C67*E67)</f>
        <v/>
      </c>
      <c r="G67" s="7">
        <f>IF(B67="I1",20*AVERAGEIF('QA_Images'!$A$2:$A$73,A67,'QA_Images'!$S$2:$S$73)/100,IF(D67="NOT_CHECKED",0,C67))</f>
        <v/>
      </c>
      <c r="H67" s="3" t="inlineStr">
        <is>
          <t>FULL: product_key, handle and evidence links are consistent; row-level r4 labels are recorded as a batch-level traceability limitation.</t>
        </is>
      </c>
      <c r="I67" s="3" t="inlineStr">
        <is>
          <t>["evidence_batch_005_046", "https://jeminise.com/products/custom-tree-of-life-quilt-set-yggdrasil-celtic-patterns-908827b1df-908827b1df"]</t>
        </is>
      </c>
      <c r="J67" s="3" t="inlineStr">
        <is>
          <t>[]</t>
        </is>
      </c>
    </row>
    <row r="68" ht="42" customHeight="1">
      <c r="A68" s="2" t="inlineStr">
        <is>
          <t>jeminise.com+custom-tree-of-life-quilt-set-yggdrasil-bedding-5048da8f29-5048da8f29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IF(B68="I1",AVERAGEIF('QA_Images'!$A$2:$A$73,A68,'QA_Images'!$R$2:$R$73)/100,IF(D68="FULL",1,IF(D68="PARTIAL",0.5,IF(D68="FAIL",0,""))))</f>
        <v/>
      </c>
      <c r="F68" s="5">
        <f>IF(E68="",0,C68*E68)</f>
        <v/>
      </c>
      <c r="G68" s="5">
        <f>IF(B68="I1",20*AVERAGEIF('QA_Images'!$A$2:$A$73,A68,'QA_Images'!$S$2:$S$73)/100,IF(D68="NOT_CHECKED",0,C68))</f>
        <v/>
      </c>
      <c r="H68" s="2" t="inlineStr">
        <is>
          <t>FULL: live product JSON, source workbook and image review all point to Custom Celtic Yggdrasil Tree of Life Quilt Set; verified motif: green Celtic/Yggdrasil Tree of Life with intertwined roots inside a knotwork circle.</t>
        </is>
      </c>
      <c r="I68" s="2" t="inlineStr">
        <is>
          <t>["evidence_batch_005_047", "https://jeminise.com/products/custom-tree-of-life-quilt-set-yggdrasil-bedding-5048da8f29-5048da8f29"]</t>
        </is>
      </c>
      <c r="J68" s="2" t="inlineStr">
        <is>
          <t>[]</t>
        </is>
      </c>
    </row>
    <row r="69" ht="42" customHeight="1">
      <c r="A69" s="3" t="inlineStr">
        <is>
          <t>jeminise.com+custom-tree-of-life-quilt-set-yggdrasil-bedding-5048da8f29-5048da8f29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IF(B69="I1",AVERAGEIF('QA_Images'!$A$2:$A$73,A69,'QA_Images'!$R$2:$R$73)/100,IF(D69="FULL",1,IF(D69="PARTIAL",0.5,IF(D69="FAIL",0,""))))</f>
        <v/>
      </c>
      <c r="F69" s="7">
        <f>IF(E69="",0,C69*E69)</f>
        <v/>
      </c>
      <c r="G69" s="7">
        <f>IF(B69="I1",20*AVERAGEIF('QA_Images'!$A$2:$A$73,A69,'QA_Images'!$S$2:$S$73)/100,IF(D69="NOT_CHECKED",0,C69))</f>
        <v/>
      </c>
      <c r="H69" s="3" t="inlineStr">
        <is>
          <t>FULL: product type, size/pillow choices and personalization claims were checked against product JSON/admin export/customizer; controls: no copied customizer nodes available.</t>
        </is>
      </c>
      <c r="I69" s="3" t="inlineStr">
        <is>
          <t>["evidence_batch_005_047", "https://jeminise.com/products/custom-tree-of-life-quilt-set-yggdrasil-bedding-5048da8f29-5048da8f29", "customizer_audit.json",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jeminise.com+custom-tree-of-life-quilt-set-yggdrasil-bedding-5048da8f29-5048da8f29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IF(B70="I1",AVERAGEIF('QA_Images'!$A$2:$A$73,A70,'QA_Images'!$R$2:$R$73)/100,IF(D70="FULL",1,IF(D70="PARTIAL",0.5,IF(D70="FAIL",0,""))))</f>
        <v/>
      </c>
      <c r="F70" s="5">
        <f>IF(E70="",0,C70*E70)</f>
        <v/>
      </c>
      <c r="G70" s="5">
        <f>IF(B70="I1",20*AVERAGEIF('QA_Images'!$A$2:$A$73,A70,'QA_Images'!$S$2:$S$73)/100,IF(D70="NOT_CHECKED",0,C70))</f>
        <v/>
      </c>
      <c r="H70" s="2" t="inlineStr">
        <is>
          <t>FULL: primary keyword 'custom Celtic Yggdrasil Tree of Life quilt' fits this product; score reflects exact-match strength for this product's own SERP, not another batch.</t>
        </is>
      </c>
      <c r="I70" s="2" t="inlineStr">
        <is>
          <t>["evidence_batch_005_047", "https://jeminise.com/products/custom-tree-of-life-quilt-set-yggdrasil-bedding-5048da8f29-5048da8f29", "serp_qa_batch_005_r5_047_1", "serp_qa_batch_005_r5_047_2"]</t>
        </is>
      </c>
      <c r="J70" s="2" t="inlineStr">
        <is>
          <t>[]</t>
        </is>
      </c>
    </row>
    <row r="71" ht="42" customHeight="1">
      <c r="A71" s="3" t="inlineStr">
        <is>
          <t>jeminise.com+custom-tree-of-life-quilt-set-yggdrasil-bedding-5048da8f29-5048da8f29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IF(B71="I1",AVERAGEIF('QA_Images'!$A$2:$A$73,A71,'QA_Images'!$R$2:$R$73)/100,IF(D71="FULL",1,IF(D71="PARTIAL",0.5,IF(D71="FAIL",0,""))))</f>
        <v/>
      </c>
      <c r="F71" s="7">
        <f>IF(E71="",0,C71*E71)</f>
        <v/>
      </c>
      <c r="G71" s="7">
        <f>IF(B71="I1",20*AVERAGEIF('QA_Images'!$A$2:$A$73,A71,'QA_Images'!$S$2:$S$73)/100,IF(D71="NOT_CHECKED",0,C71))</f>
        <v/>
      </c>
      <c r="H71" s="3" t="inlineStr">
        <is>
          <t>FULL: primary and comparator queries were checked for US/English intent; commercial product intent is present, with partial credit where query results broaden beyond the exact product.</t>
        </is>
      </c>
      <c r="I71" s="3" t="inlineStr">
        <is>
          <t>["evidence_batch_005_047", "https://jeminise.com/products/custom-tree-of-life-quilt-set-yggdrasil-bedding-5048da8f29-5048da8f29", "serp_qa_batch_005_r5_047_1", "serp_qa_batch_005_r5_047_2"]</t>
        </is>
      </c>
      <c r="J71" s="3" t="inlineStr">
        <is>
          <t>[]</t>
        </is>
      </c>
    </row>
    <row r="72" ht="42" customHeight="1">
      <c r="A72" s="2" t="inlineStr">
        <is>
          <t>jeminise.com+custom-tree-of-life-quilt-set-yggdrasil-bedding-5048da8f29-5048da8f29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IF(B72="I1",AVERAGEIF('QA_Images'!$A$2:$A$73,A72,'QA_Images'!$R$2:$R$73)/100,IF(D72="FULL",1,IF(D72="PARTIAL",0.5,IF(D72="FAIL",0,""))))</f>
        <v/>
      </c>
      <c r="F72" s="5">
        <f>IF(E72="",0,C72*E72)</f>
        <v/>
      </c>
      <c r="G72" s="5">
        <f>IF(B72="I1",20*AVERAGEIF('QA_Images'!$A$2:$A$73,A72,'QA_Images'!$S$2:$S$73)/100,IF(D72="NOT_CHECKED",0,C72))</f>
        <v/>
      </c>
      <c r="H72" s="2" t="inlineStr">
        <is>
          <t>PARTIAL: SERP/comparator support is usable, but no paid volume or Search Console evidence is available, so demand is not overstated.</t>
        </is>
      </c>
      <c r="I72" s="2" t="inlineStr">
        <is>
          <t>["evidence_batch_005_047", "https://jeminise.com/products/custom-tree-of-life-quilt-set-yggdrasil-bedding-5048da8f29-5048da8f29", "serp_qa_batch_005_r5_047_1", "serp_qa_batch_005_r5_047_2"]</t>
        </is>
      </c>
      <c r="J72" s="2" t="inlineStr">
        <is>
          <t>[]</t>
        </is>
      </c>
    </row>
    <row r="73" ht="42" customHeight="1">
      <c r="A73" s="3" t="inlineStr">
        <is>
          <t>jeminise.com+custom-tree-of-life-quilt-set-yggdrasil-bedding-5048da8f29-5048da8f29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IF(B73="I1",AVERAGEIF('QA_Images'!$A$2:$A$73,A73,'QA_Images'!$R$2:$R$73)/100,IF(D73="FULL",1,IF(D73="PARTIAL",0.5,IF(D73="FAIL",0,""))))</f>
        <v/>
      </c>
      <c r="F73" s="7">
        <f>IF(E73="",0,C73*E73)</f>
        <v/>
      </c>
      <c r="G73" s="7">
        <f>IF(B73="I1",20*AVERAGEIF('QA_Images'!$A$2:$A$73,A73,'QA_Images'!$S$2:$S$73)/100,IF(D73="NOT_CHECKED",0,C73))</f>
        <v/>
      </c>
      <c r="H73" s="3" t="inlineStr">
        <is>
          <t>FULL: meta_title_seo 'Custom Celtic Yggdrasil Tree of Life Quilt Set' is natural English, names the product type and keeps the key differentiator.</t>
        </is>
      </c>
      <c r="I73" s="3" t="inlineStr">
        <is>
          <t>["evidence_batch_005_047", "https://jeminise.com/products/custom-tree-of-life-quilt-set-yggdrasil-bedding-5048da8f29-5048da8f29"]</t>
        </is>
      </c>
      <c r="J73" s="3" t="inlineStr">
        <is>
          <t>[]</t>
        </is>
      </c>
    </row>
    <row r="74" ht="42" customHeight="1">
      <c r="A74" s="2" t="inlineStr">
        <is>
          <t>jeminise.com+custom-tree-of-life-quilt-set-yggdrasil-bedding-5048da8f29-5048da8f29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IF(B74="I1",AVERAGEIF('QA_Images'!$A$2:$A$73,A74,'QA_Images'!$R$2:$R$73)/100,IF(D74="FULL",1,IF(D74="PARTIAL",0.5,IF(D74="FAIL",0,""))))</f>
        <v/>
      </c>
      <c r="F74" s="5">
        <f>IF(E74="",0,C74*E74)</f>
        <v/>
      </c>
      <c r="G74" s="5">
        <f>IF(B74="I1",20*AVERAGEIF('QA_Images'!$A$2:$A$73,A74,'QA_Images'!$S$2:$S$73)/100,IF(D74="NOT_CHECKED",0,C74))</f>
        <v/>
      </c>
      <c r="H74" s="2" t="inlineStr">
        <is>
          <t>FULL: title_proposed 'Custom Celtic Yggdrasil Tree of Life Quilt Set' is suitable as product title/H1 and is distinct from nearby motifs.</t>
        </is>
      </c>
      <c r="I74" s="2" t="inlineStr">
        <is>
          <t>["evidence_batch_005_047", "https://jeminise.com/products/custom-tree-of-life-quilt-set-yggdrasil-bedding-5048da8f29-5048da8f29"]</t>
        </is>
      </c>
      <c r="J74" s="2" t="inlineStr">
        <is>
          <t>[]</t>
        </is>
      </c>
    </row>
    <row r="75" ht="42" customHeight="1">
      <c r="A75" s="3" t="inlineStr">
        <is>
          <t>jeminise.com+custom-tree-of-life-quilt-set-yggdrasil-bedding-5048da8f29-5048da8f29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IF(B75="I1",AVERAGEIF('QA_Images'!$A$2:$A$73,A75,'QA_Images'!$R$2:$R$73)/100,IF(D75="FULL",1,IF(D75="PARTIAL",0.5,IF(D75="FAIL",0,""))))</f>
        <v/>
      </c>
      <c r="F75" s="7">
        <f>IF(E75="",0,C75*E75)</f>
        <v/>
      </c>
      <c r="G75" s="7">
        <f>IF(B75="I1",20*AVERAGEIF('QA_Images'!$A$2:$A$73,A75,'QA_Images'!$S$2:$S$73)/100,IF(D75="NOT_CHECKED",0,C75))</f>
        <v/>
      </c>
      <c r="H75" s="3" t="inlineStr">
        <is>
          <t>FULL: meta description is complete and understandable; the 145-165 character range was treated as editorial guidance only.</t>
        </is>
      </c>
      <c r="I75" s="3" t="inlineStr">
        <is>
          <t>["evidence_batch_005_047", "https://jeminise.com/products/custom-tree-of-life-quilt-set-yggdrasil-bedding-5048da8f29-5048da8f29"]</t>
        </is>
      </c>
      <c r="J75" s="3" t="inlineStr">
        <is>
          <t>[]</t>
        </is>
      </c>
    </row>
    <row r="76" ht="42" customHeight="1">
      <c r="A76" s="2" t="inlineStr">
        <is>
          <t>jeminise.com+custom-tree-of-life-quilt-set-yggdrasil-bedding-5048da8f29-5048da8f29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IF(B76="I1",AVERAGEIF('QA_Images'!$A$2:$A$73,A76,'QA_Images'!$R$2:$R$73)/100,IF(D76="FULL",1,IF(D76="PARTIAL",0.5,IF(D76="FAIL",0,""))))</f>
        <v/>
      </c>
      <c r="F76" s="5">
        <f>IF(E76="",0,C76*E76)</f>
        <v/>
      </c>
      <c r="G76" s="5">
        <f>IF(B76="I1",20*AVERAGEIF('QA_Images'!$A$2:$A$73,A76,'QA_Images'!$S$2:$S$73)/100,IF(D76="NOT_CHECKED",0,C76))</f>
        <v/>
      </c>
      <c r="H76" s="2" t="inlineStr">
        <is>
          <t>PARTIAL: description HTML is factually usable and customer-facing overall, but it still includes fallback wording such as 'when available' that should be replaced with exact verified panels.</t>
        </is>
      </c>
      <c r="I76" s="2" t="inlineStr">
        <is>
          <t>["evidence_batch_005_047", "https://jeminise.com/products/custom-tree-of-life-quilt-set-yggdrasil-bedding-5048da8f29-5048da8f29"]</t>
        </is>
      </c>
      <c r="J76" s="2" t="inlineStr">
        <is>
          <t>["B05R5-MIN-007"]</t>
        </is>
      </c>
    </row>
    <row r="77" ht="42" customHeight="1">
      <c r="A77" s="3" t="inlineStr">
        <is>
          <t>jeminise.com+custom-tree-of-life-quilt-set-yggdrasil-bedding-5048da8f29-5048da8f29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IF(B77="I1",AVERAGEIF('QA_Images'!$A$2:$A$73,A77,'QA_Images'!$R$2:$R$73)/100,IF(D77="FULL",1,IF(D77="PARTIAL",0.5,IF(D77="FAIL",0,""))))</f>
        <v/>
      </c>
      <c r="F77" s="7">
        <f>IF(E77="",0,C77*E77)</f>
        <v/>
      </c>
      <c r="G77" s="7">
        <f>IF(B77="I1",20*AVERAGEIF('QA_Images'!$A$2:$A$73,A77,'QA_Images'!$S$2:$S$73)/100,IF(D77="NOT_CHECKED",0,C77))</f>
        <v/>
      </c>
      <c r="H77" s="3" t="inlineStr">
        <is>
          <t>Derived from 7 image rows for this product; average image score 100.0/100.</t>
        </is>
      </c>
      <c r="I77" s="3" t="inlineStr">
        <is>
          <t>["QA_Images", "evidence_batch_005_047"]</t>
        </is>
      </c>
      <c r="J77" s="3" t="inlineStr">
        <is>
          <t>[]</t>
        </is>
      </c>
    </row>
    <row r="78" ht="42" customHeight="1">
      <c r="A78" s="2" t="inlineStr">
        <is>
          <t>jeminise.com+custom-tree-of-life-quilt-set-yggdrasil-bedding-5048da8f29-5048da8f29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IF(B78="I1",AVERAGEIF('QA_Images'!$A$2:$A$73,A78,'QA_Images'!$R$2:$R$73)/100,IF(D78="FULL",1,IF(D78="PARTIAL",0.5,IF(D78="FAIL",0,""))))</f>
        <v/>
      </c>
      <c r="F78" s="5">
        <f>IF(E78="",0,C78*E78)</f>
        <v/>
      </c>
      <c r="G78" s="5">
        <f>IF(B78="I1",20*AVERAGEIF('QA_Images'!$A$2:$A$73,A78,'QA_Images'!$S$2:$S$73)/100,IF(D78="NOT_CHECKED",0,C78))</f>
        <v/>
      </c>
      <c r="H78" s="2" t="inlineStr">
        <is>
          <t>FULL: product_key, handle and evidence links are consistent; row-level r4 labels are recorded as a batch-level traceability limitation.</t>
        </is>
      </c>
      <c r="I78" s="2" t="inlineStr">
        <is>
          <t>["evidence_batch_005_047", "https://jeminise.com/products/custom-tree-of-life-quilt-set-yggdrasil-bedding-5048da8f29-5048da8f29"]</t>
        </is>
      </c>
      <c r="J78" s="2" t="inlineStr">
        <is>
          <t>[]</t>
        </is>
      </c>
    </row>
    <row r="79" ht="42" customHeight="1">
      <c r="A79" s="3" t="inlineStr">
        <is>
          <t>jeminise.com+custom-christian-faith-semi-truck-in-front-of-large-comforter-057143b1f8-057143b1f8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IF(B79="I1",AVERAGEIF('QA_Images'!$A$2:$A$73,A79,'QA_Images'!$R$2:$R$73)/100,IF(D79="FULL",1,IF(D79="PARTIAL",0.5,IF(D79="FAIL",0,""))))</f>
        <v/>
      </c>
      <c r="F79" s="7">
        <f>IF(E79="",0,C79*E79)</f>
        <v/>
      </c>
      <c r="G79" s="7">
        <f>IF(B79="I1",20*AVERAGEIF('QA_Images'!$A$2:$A$73,A79,'QA_Images'!$S$2:$S$73)/100,IF(D79="NOT_CHECKED",0,C79))</f>
        <v/>
      </c>
      <c r="H79" s="3" t="inlineStr">
        <is>
          <t>FULL: live product JSON, source workbook and image review all point to Personalized Trucker Prayer Comforter Set; verified motif: Trucker's Prayer comforter with red semi truck, cross, parchment prayer text and YOUR NAME sample.</t>
        </is>
      </c>
      <c r="I79" s="3" t="inlineStr">
        <is>
          <t>["evidence_batch_005_048", "https://jeminise.com/products/custom-christian-faith-semi-truck-in-front-of-large-comforter-057143b1f8-057143b1f8"]</t>
        </is>
      </c>
      <c r="J79" s="3" t="inlineStr">
        <is>
          <t>[]</t>
        </is>
      </c>
    </row>
    <row r="80" ht="42" customHeight="1">
      <c r="A80" s="2" t="inlineStr">
        <is>
          <t>jeminise.com+custom-christian-faith-semi-truck-in-front-of-large-comforter-057143b1f8-057143b1f8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IF(B80="I1",AVERAGEIF('QA_Images'!$A$2:$A$73,A80,'QA_Images'!$R$2:$R$73)/100,IF(D80="FULL",1,IF(D80="PARTIAL",0.5,IF(D80="FAIL",0,""))))</f>
        <v/>
      </c>
      <c r="F80" s="5">
        <f>IF(E80="",0,C80*E80)</f>
        <v/>
      </c>
      <c r="G80" s="5">
        <f>IF(B80="I1",20*AVERAGEIF('QA_Images'!$A$2:$A$73,A80,'QA_Images'!$S$2:$S$73)/100,IF(D80="NOT_CHECKED",0,C80))</f>
        <v/>
      </c>
      <c r="H80" s="2" t="inlineStr">
        <is>
          <t>FULL: product type, size/pillow choices and personalization claims were checked against product JSON/admin export/customizer; controls: Enter Name required=True max=35.</t>
        </is>
      </c>
      <c r="I80" s="2" t="inlineStr">
        <is>
          <t>["evidence_batch_005_048", "https://jeminise.com/products/custom-christian-faith-semi-truck-in-front-of-large-comforter-057143b1f8-057143b1f8", "customizer_audit.json",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jeminise.com+custom-christian-faith-semi-truck-in-front-of-large-comforter-057143b1f8-057143b1f8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IF(B81="I1",AVERAGEIF('QA_Images'!$A$2:$A$73,A81,'QA_Images'!$R$2:$R$73)/100,IF(D81="FULL",1,IF(D81="PARTIAL",0.5,IF(D81="FAIL",0,""))))</f>
        <v/>
      </c>
      <c r="F81" s="7">
        <f>IF(E81="",0,C81*E81)</f>
        <v/>
      </c>
      <c r="G81" s="7">
        <f>IF(B81="I1",20*AVERAGEIF('QA_Images'!$A$2:$A$73,A81,'QA_Images'!$S$2:$S$73)/100,IF(D81="NOT_CHECKED",0,C81))</f>
        <v/>
      </c>
      <c r="H81" s="3" t="inlineStr">
        <is>
          <t>FULL: primary keyword 'personalized Trucker Prayer comforter' fits this product; score reflects exact-match strength for this product's own SERP, not another batch.</t>
        </is>
      </c>
      <c r="I81" s="3" t="inlineStr">
        <is>
          <t>["evidence_batch_005_048", "https://jeminise.com/products/custom-christian-faith-semi-truck-in-front-of-large-comforter-057143b1f8-057143b1f8", "serp_qa_batch_005_r5_048_1", "serp_qa_batch_005_r5_048_2"]</t>
        </is>
      </c>
      <c r="J81" s="3" t="inlineStr">
        <is>
          <t>[]</t>
        </is>
      </c>
    </row>
    <row r="82" ht="42" customHeight="1">
      <c r="A82" s="2" t="inlineStr">
        <is>
          <t>jeminise.com+custom-christian-faith-semi-truck-in-front-of-large-comforter-057143b1f8-057143b1f8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IF(B82="I1",AVERAGEIF('QA_Images'!$A$2:$A$73,A82,'QA_Images'!$R$2:$R$73)/100,IF(D82="FULL",1,IF(D82="PARTIAL",0.5,IF(D82="FAIL",0,""))))</f>
        <v/>
      </c>
      <c r="F82" s="5">
        <f>IF(E82="",0,C82*E82)</f>
        <v/>
      </c>
      <c r="G82" s="5">
        <f>IF(B82="I1",20*AVERAGEIF('QA_Images'!$A$2:$A$73,A82,'QA_Images'!$S$2:$S$73)/100,IF(D82="NOT_CHECKED",0,C82))</f>
        <v/>
      </c>
      <c r="H82" s="2" t="inlineStr">
        <is>
          <t>FULL: primary and comparator queries were checked for US/English intent; commercial product intent is present, with partial credit where query results broaden beyond the exact product.</t>
        </is>
      </c>
      <c r="I82" s="2" t="inlineStr">
        <is>
          <t>["evidence_batch_005_048", "https://jeminise.com/products/custom-christian-faith-semi-truck-in-front-of-large-comforter-057143b1f8-057143b1f8", "serp_qa_batch_005_r5_048_1", "serp_qa_batch_005_r5_048_2"]</t>
        </is>
      </c>
      <c r="J82" s="2" t="inlineStr">
        <is>
          <t>[]</t>
        </is>
      </c>
    </row>
    <row r="83" ht="42" customHeight="1">
      <c r="A83" s="3" t="inlineStr">
        <is>
          <t>jeminise.com+custom-christian-faith-semi-truck-in-front-of-large-comforter-057143b1f8-057143b1f8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IF(B83="I1",AVERAGEIF('QA_Images'!$A$2:$A$73,A83,'QA_Images'!$R$2:$R$73)/100,IF(D83="FULL",1,IF(D83="PARTIAL",0.5,IF(D83="FAIL",0,""))))</f>
        <v/>
      </c>
      <c r="F83" s="7">
        <f>IF(E83="",0,C83*E83)</f>
        <v/>
      </c>
      <c r="G83" s="7">
        <f>IF(B83="I1",20*AVERAGEIF('QA_Images'!$A$2:$A$73,A83,'QA_Images'!$S$2:$S$73)/100,IF(D83="NOT_CHECKED",0,C83))</f>
        <v/>
      </c>
      <c r="H83" s="3" t="inlineStr">
        <is>
          <t>PARTIAL: SERP/comparator support is usable, but no paid volume or Search Console evidence is available, so demand is not overstated.</t>
        </is>
      </c>
      <c r="I83" s="3" t="inlineStr">
        <is>
          <t>["evidence_batch_005_048", "https://jeminise.com/products/custom-christian-faith-semi-truck-in-front-of-large-comforter-057143b1f8-057143b1f8", "serp_qa_batch_005_r5_048_1", "serp_qa_batch_005_r5_048_2"]</t>
        </is>
      </c>
      <c r="J83" s="3" t="inlineStr">
        <is>
          <t>[]</t>
        </is>
      </c>
    </row>
    <row r="84" ht="42" customHeight="1">
      <c r="A84" s="2" t="inlineStr">
        <is>
          <t>jeminise.com+custom-christian-faith-semi-truck-in-front-of-large-comforter-057143b1f8-057143b1f8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IF(B84="I1",AVERAGEIF('QA_Images'!$A$2:$A$73,A84,'QA_Images'!$R$2:$R$73)/100,IF(D84="FULL",1,IF(D84="PARTIAL",0.5,IF(D84="FAIL",0,""))))</f>
        <v/>
      </c>
      <c r="F84" s="5">
        <f>IF(E84="",0,C84*E84)</f>
        <v/>
      </c>
      <c r="G84" s="5">
        <f>IF(B84="I1",20*AVERAGEIF('QA_Images'!$A$2:$A$73,A84,'QA_Images'!$S$2:$S$73)/100,IF(D84="NOT_CHECKED",0,C84))</f>
        <v/>
      </c>
      <c r="H84" s="2" t="inlineStr">
        <is>
          <t>FULL: meta_title_seo 'Personalized Trucker Prayer Comforter Set' is natural English, names the product type and keeps the key differentiator.</t>
        </is>
      </c>
      <c r="I84" s="2" t="inlineStr">
        <is>
          <t>["evidence_batch_005_048", "https://jeminise.com/products/custom-christian-faith-semi-truck-in-front-of-large-comforter-057143b1f8-057143b1f8"]</t>
        </is>
      </c>
      <c r="J84" s="2" t="inlineStr">
        <is>
          <t>[]</t>
        </is>
      </c>
    </row>
    <row r="85" ht="42" customHeight="1">
      <c r="A85" s="3" t="inlineStr">
        <is>
          <t>jeminise.com+custom-christian-faith-semi-truck-in-front-of-large-comforter-057143b1f8-057143b1f8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IF(B85="I1",AVERAGEIF('QA_Images'!$A$2:$A$73,A85,'QA_Images'!$R$2:$R$73)/100,IF(D85="FULL",1,IF(D85="PARTIAL",0.5,IF(D85="FAIL",0,""))))</f>
        <v/>
      </c>
      <c r="F85" s="7">
        <f>IF(E85="",0,C85*E85)</f>
        <v/>
      </c>
      <c r="G85" s="7">
        <f>IF(B85="I1",20*AVERAGEIF('QA_Images'!$A$2:$A$73,A85,'QA_Images'!$S$2:$S$73)/100,IF(D85="NOT_CHECKED",0,C85))</f>
        <v/>
      </c>
      <c r="H85" s="3" t="inlineStr">
        <is>
          <t>FULL: title_proposed 'Personalized Trucker Prayer Comforter Set' is suitable as product title/H1 and is distinct from nearby motifs.</t>
        </is>
      </c>
      <c r="I85" s="3" t="inlineStr">
        <is>
          <t>["evidence_batch_005_048", "https://jeminise.com/products/custom-christian-faith-semi-truck-in-front-of-large-comforter-057143b1f8-057143b1f8"]</t>
        </is>
      </c>
      <c r="J85" s="3" t="inlineStr">
        <is>
          <t>[]</t>
        </is>
      </c>
    </row>
    <row r="86" ht="42" customHeight="1">
      <c r="A86" s="2" t="inlineStr">
        <is>
          <t>jeminise.com+custom-christian-faith-semi-truck-in-front-of-large-comforter-057143b1f8-057143b1f8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IF(B86="I1",AVERAGEIF('QA_Images'!$A$2:$A$73,A86,'QA_Images'!$R$2:$R$73)/100,IF(D86="FULL",1,IF(D86="PARTIAL",0.5,IF(D86="FAIL",0,""))))</f>
        <v/>
      </c>
      <c r="F86" s="5">
        <f>IF(E86="",0,C86*E86)</f>
        <v/>
      </c>
      <c r="G86" s="5">
        <f>IF(B86="I1",20*AVERAGEIF('QA_Images'!$A$2:$A$73,A86,'QA_Images'!$S$2:$S$73)/100,IF(D86="NOT_CHECKED",0,C86))</f>
        <v/>
      </c>
      <c r="H86" s="2" t="inlineStr">
        <is>
          <t>FULL: meta description is complete and understandable; the 145-165 character range was treated as editorial guidance only.</t>
        </is>
      </c>
      <c r="I86" s="2" t="inlineStr">
        <is>
          <t>["evidence_batch_005_048", "https://jeminise.com/products/custom-christian-faith-semi-truck-in-front-of-large-comforter-057143b1f8-057143b1f8"]</t>
        </is>
      </c>
      <c r="J86" s="2" t="inlineStr">
        <is>
          <t>[]</t>
        </is>
      </c>
    </row>
    <row r="87" ht="42" customHeight="1">
      <c r="A87" s="3" t="inlineStr">
        <is>
          <t>jeminise.com+custom-christian-faith-semi-truck-in-front-of-large-comforter-057143b1f8-057143b1f8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IF(B87="I1",AVERAGEIF('QA_Images'!$A$2:$A$73,A87,'QA_Images'!$R$2:$R$73)/100,IF(D87="FULL",1,IF(D87="PARTIAL",0.5,IF(D87="FAIL",0,""))))</f>
        <v/>
      </c>
      <c r="F87" s="7">
        <f>IF(E87="",0,C87*E87)</f>
        <v/>
      </c>
      <c r="G87" s="7">
        <f>IF(B87="I1",20*AVERAGEIF('QA_Images'!$A$2:$A$73,A87,'QA_Images'!$S$2:$S$73)/100,IF(D87="NOT_CHECKED",0,C87))</f>
        <v/>
      </c>
      <c r="H87" s="3" t="inlineStr">
        <is>
          <t>PARTIAL: description HTML is factually usable and customer-facing overall, but it still includes fallback wording such as 'when available' that should be replaced with exact verified panels.</t>
        </is>
      </c>
      <c r="I87" s="3" t="inlineStr">
        <is>
          <t>["evidence_batch_005_048", "https://jeminise.com/products/custom-christian-faith-semi-truck-in-front-of-large-comforter-057143b1f8-057143b1f8"]</t>
        </is>
      </c>
      <c r="J87" s="3" t="inlineStr">
        <is>
          <t>["B05R5-MIN-008"]</t>
        </is>
      </c>
    </row>
    <row r="88" ht="42" customHeight="1">
      <c r="A88" s="2" t="inlineStr">
        <is>
          <t>jeminise.com+custom-christian-faith-semi-truck-in-front-of-large-comforter-057143b1f8-057143b1f8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IF(B88="I1",AVERAGEIF('QA_Images'!$A$2:$A$73,A88,'QA_Images'!$R$2:$R$73)/100,IF(D88="FULL",1,IF(D88="PARTIAL",0.5,IF(D88="FAIL",0,""))))</f>
        <v/>
      </c>
      <c r="F88" s="5">
        <f>IF(E88="",0,C88*E88)</f>
        <v/>
      </c>
      <c r="G88" s="5">
        <f>IF(B88="I1",20*AVERAGEIF('QA_Images'!$A$2:$A$73,A88,'QA_Images'!$S$2:$S$73)/100,IF(D88="NOT_CHECKED",0,C88))</f>
        <v/>
      </c>
      <c r="H88" s="2" t="inlineStr">
        <is>
          <t>Derived from 7 image rows for this product; average image score 100.0/100.</t>
        </is>
      </c>
      <c r="I88" s="2" t="inlineStr">
        <is>
          <t>["QA_Images", "evidence_batch_005_048"]</t>
        </is>
      </c>
      <c r="J88" s="2" t="inlineStr">
        <is>
          <t>[]</t>
        </is>
      </c>
    </row>
    <row r="89" ht="42" customHeight="1">
      <c r="A89" s="3" t="inlineStr">
        <is>
          <t>jeminise.com+custom-christian-faith-semi-truck-in-front-of-large-comforter-057143b1f8-057143b1f8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IF(B89="I1",AVERAGEIF('QA_Images'!$A$2:$A$73,A89,'QA_Images'!$R$2:$R$73)/100,IF(D89="FULL",1,IF(D89="PARTIAL",0.5,IF(D89="FAIL",0,""))))</f>
        <v/>
      </c>
      <c r="F89" s="7">
        <f>IF(E89="",0,C89*E89)</f>
        <v/>
      </c>
      <c r="G89" s="7">
        <f>IF(B89="I1",20*AVERAGEIF('QA_Images'!$A$2:$A$73,A89,'QA_Images'!$S$2:$S$73)/100,IF(D89="NOT_CHECKED",0,C89))</f>
        <v/>
      </c>
      <c r="H89" s="3" t="inlineStr">
        <is>
          <t>FULL: product_key, handle and evidence links are consistent; row-level r4 labels are recorded as a batch-level traceability limitation.</t>
        </is>
      </c>
      <c r="I89" s="3" t="inlineStr">
        <is>
          <t>["evidence_batch_005_048", "https://jeminise.com/products/custom-christian-faith-semi-truck-in-front-of-large-comforter-057143b1f8-057143b1f8"]</t>
        </is>
      </c>
      <c r="J89" s="3" t="inlineStr">
        <is>
          <t>[]</t>
        </is>
      </c>
    </row>
    <row r="90" ht="42" customHeight="1">
      <c r="A90" s="2" t="inlineStr">
        <is>
          <t>jeminise.com+custom-christian-girl-bible-emergency-numbers-blanket-d12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IF(B90="I1",AVERAGEIF('QA_Images'!$A$2:$A$73,A90,'QA_Images'!$R$2:$R$73)/100,IF(D90="FULL",1,IF(D90="PARTIAL",0.5,IF(D90="FAIL",0,""))))</f>
        <v/>
      </c>
      <c r="F90" s="5">
        <f>IF(E90="",0,C90*E90)</f>
        <v/>
      </c>
      <c r="G90" s="5">
        <f>IF(B90="I1",20*AVERAGEIF('QA_Images'!$A$2:$A$73,A90,'QA_Images'!$S$2:$S$73)/100,IF(D90="NOT_CHECKED",0,C90))</f>
        <v/>
      </c>
      <c r="H90" s="2" t="inlineStr">
        <is>
          <t>FULL: live product JSON, source workbook and image review all point to Personalized Bible Emergency Numbers Blanket; verified motif: Bible emergency numbers blanket with cartoon girl, Sophia sample name and character/flower option panels.</t>
        </is>
      </c>
      <c r="I90" s="2" t="inlineStr">
        <is>
          <t>["evidence_batch_005_049", "https://jeminise.com/products/custom-christian-girl-bible-emergency-numbers-blanket-d12"]</t>
        </is>
      </c>
      <c r="J90" s="2" t="inlineStr">
        <is>
          <t>[]</t>
        </is>
      </c>
    </row>
    <row r="91" ht="42" customHeight="1">
      <c r="A91" s="3" t="inlineStr">
        <is>
          <t>jeminise.com+custom-christian-girl-bible-emergency-numbers-blanket-d12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IF(B91="I1",AVERAGEIF('QA_Images'!$A$2:$A$73,A91,'QA_Images'!$R$2:$R$73)/100,IF(D91="FULL",1,IF(D91="PARTIAL",0.5,IF(D91="FAIL",0,""))))</f>
        <v/>
      </c>
      <c r="F91" s="7">
        <f>IF(E91="",0,C91*E91)</f>
        <v/>
      </c>
      <c r="G91" s="7">
        <f>IF(B91="I1",20*AVERAGEIF('QA_Images'!$A$2:$A$73,A91,'QA_Images'!$S$2:$S$73)/100,IF(D91="NOT_CHECKED",0,C91))</f>
        <v/>
      </c>
      <c r="H91" s="3" t="inlineStr">
        <is>
          <t>FULL: product type, size/pillow choices and personalization claims were checked against product JSON/admin export/customizer; controls: Custom Name required=True max=1000.</t>
        </is>
      </c>
      <c r="I91" s="3" t="inlineStr">
        <is>
          <t>["evidence_batch_005_049", "https://jeminise.com/products/custom-christian-girl-bible-emergency-numbers-blanket-d12", "customizer_audit.json",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jeminise.com+custom-christian-girl-bible-emergency-numbers-blanket-d12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IF(B92="I1",AVERAGEIF('QA_Images'!$A$2:$A$73,A92,'QA_Images'!$R$2:$R$73)/100,IF(D92="FULL",1,IF(D92="PARTIAL",0.5,IF(D92="FAIL",0,""))))</f>
        <v/>
      </c>
      <c r="F92" s="5">
        <f>IF(E92="",0,C92*E92)</f>
        <v/>
      </c>
      <c r="G92" s="5">
        <f>IF(B92="I1",20*AVERAGEIF('QA_Images'!$A$2:$A$73,A92,'QA_Images'!$S$2:$S$73)/100,IF(D92="NOT_CHECKED",0,C92))</f>
        <v/>
      </c>
      <c r="H92" s="2" t="inlineStr">
        <is>
          <t>FULL: primary keyword 'personalized Bible emergency numbers blanket' fits this product; score reflects exact-match strength for this product's own SERP, not another batch.</t>
        </is>
      </c>
      <c r="I92" s="2" t="inlineStr">
        <is>
          <t>["evidence_batch_005_049", "https://jeminise.com/products/custom-christian-girl-bible-emergency-numbers-blanket-d12", "serp_qa_batch_005_r5_049_1", "serp_qa_batch_005_r5_049_2"]</t>
        </is>
      </c>
      <c r="J92" s="2" t="inlineStr">
        <is>
          <t>[]</t>
        </is>
      </c>
    </row>
    <row r="93" ht="42" customHeight="1">
      <c r="A93" s="3" t="inlineStr">
        <is>
          <t>jeminise.com+custom-christian-girl-bible-emergency-numbers-blanket-d12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IF(B93="I1",AVERAGEIF('QA_Images'!$A$2:$A$73,A93,'QA_Images'!$R$2:$R$73)/100,IF(D93="FULL",1,IF(D93="PARTIAL",0.5,IF(D93="FAIL",0,""))))</f>
        <v/>
      </c>
      <c r="F93" s="7">
        <f>IF(E93="",0,C93*E93)</f>
        <v/>
      </c>
      <c r="G93" s="7">
        <f>IF(B93="I1",20*AVERAGEIF('QA_Images'!$A$2:$A$73,A93,'QA_Images'!$S$2:$S$73)/100,IF(D93="NOT_CHECKED",0,C93))</f>
        <v/>
      </c>
      <c r="H93" s="3" t="inlineStr">
        <is>
          <t>PARTIAL: primary and comparator queries were checked for US/English intent; commercial product intent is present, with partial credit where query results broaden beyond the exact product.</t>
        </is>
      </c>
      <c r="I93" s="3" t="inlineStr">
        <is>
          <t>["evidence_batch_005_049", "https://jeminise.com/products/custom-christian-girl-bible-emergency-numbers-blanket-d12", "serp_qa_batch_005_r5_049_1", "serp_qa_batch_005_r5_049_2"]</t>
        </is>
      </c>
      <c r="J93" s="3" t="inlineStr">
        <is>
          <t>[]</t>
        </is>
      </c>
    </row>
    <row r="94" ht="42" customHeight="1">
      <c r="A94" s="2" t="inlineStr">
        <is>
          <t>jeminise.com+custom-christian-girl-bible-emergency-numbers-blanket-d12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IF(B94="I1",AVERAGEIF('QA_Images'!$A$2:$A$73,A94,'QA_Images'!$R$2:$R$73)/100,IF(D94="FULL",1,IF(D94="PARTIAL",0.5,IF(D94="FAIL",0,""))))</f>
        <v/>
      </c>
      <c r="F94" s="5">
        <f>IF(E94="",0,C94*E94)</f>
        <v/>
      </c>
      <c r="G94" s="5">
        <f>IF(B94="I1",20*AVERAGEIF('QA_Images'!$A$2:$A$73,A94,'QA_Images'!$S$2:$S$73)/100,IF(D94="NOT_CHECKED",0,C94))</f>
        <v/>
      </c>
      <c r="H94" s="2" t="inlineStr">
        <is>
          <t>PARTIAL: SERP/comparator support is usable, but no paid volume or Search Console evidence is available, so demand is not overstated.</t>
        </is>
      </c>
      <c r="I94" s="2" t="inlineStr">
        <is>
          <t>["evidence_batch_005_049", "https://jeminise.com/products/custom-christian-girl-bible-emergency-numbers-blanket-d12", "serp_qa_batch_005_r5_049_1", "serp_qa_batch_005_r5_049_2"]</t>
        </is>
      </c>
      <c r="J94" s="2" t="inlineStr">
        <is>
          <t>[]</t>
        </is>
      </c>
    </row>
    <row r="95" ht="42" customHeight="1">
      <c r="A95" s="3" t="inlineStr">
        <is>
          <t>jeminise.com+custom-christian-girl-bible-emergency-numbers-blanket-d12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IF(B95="I1",AVERAGEIF('QA_Images'!$A$2:$A$73,A95,'QA_Images'!$R$2:$R$73)/100,IF(D95="FULL",1,IF(D95="PARTIAL",0.5,IF(D95="FAIL",0,""))))</f>
        <v/>
      </c>
      <c r="F95" s="7">
        <f>IF(E95="",0,C95*E95)</f>
        <v/>
      </c>
      <c r="G95" s="7">
        <f>IF(B95="I1",20*AVERAGEIF('QA_Images'!$A$2:$A$73,A95,'QA_Images'!$S$2:$S$73)/100,IF(D95="NOT_CHECKED",0,C95))</f>
        <v/>
      </c>
      <c r="H95" s="3" t="inlineStr">
        <is>
          <t>FULL: meta_title_seo 'Personalized Bible Emergency Numbers Blanket' is natural English, names the product type and keeps the key differentiator.</t>
        </is>
      </c>
      <c r="I95" s="3" t="inlineStr">
        <is>
          <t>["evidence_batch_005_049", "https://jeminise.com/products/custom-christian-girl-bible-emergency-numbers-blanket-d12"]</t>
        </is>
      </c>
      <c r="J95" s="3" t="inlineStr">
        <is>
          <t>[]</t>
        </is>
      </c>
    </row>
    <row r="96" ht="42" customHeight="1">
      <c r="A96" s="2" t="inlineStr">
        <is>
          <t>jeminise.com+custom-christian-girl-bible-emergency-numbers-blanket-d12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IF(B96="I1",AVERAGEIF('QA_Images'!$A$2:$A$73,A96,'QA_Images'!$R$2:$R$73)/100,IF(D96="FULL",1,IF(D96="PARTIAL",0.5,IF(D96="FAIL",0,""))))</f>
        <v/>
      </c>
      <c r="F96" s="5">
        <f>IF(E96="",0,C96*E96)</f>
        <v/>
      </c>
      <c r="G96" s="5">
        <f>IF(B96="I1",20*AVERAGEIF('QA_Images'!$A$2:$A$73,A96,'QA_Images'!$S$2:$S$73)/100,IF(D96="NOT_CHECKED",0,C96))</f>
        <v/>
      </c>
      <c r="H96" s="2" t="inlineStr">
        <is>
          <t>FULL: title_proposed 'Personalized Bible Emergency Numbers Blanket' is suitable as product title/H1 and is distinct from nearby motifs.</t>
        </is>
      </c>
      <c r="I96" s="2" t="inlineStr">
        <is>
          <t>["evidence_batch_005_049", "https://jeminise.com/products/custom-christian-girl-bible-emergency-numbers-blanket-d12"]</t>
        </is>
      </c>
      <c r="J96" s="2" t="inlineStr">
        <is>
          <t>[]</t>
        </is>
      </c>
    </row>
    <row r="97" ht="42" customHeight="1">
      <c r="A97" s="3" t="inlineStr">
        <is>
          <t>jeminise.com+custom-christian-girl-bible-emergency-numbers-blanket-d12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IF(B97="I1",AVERAGEIF('QA_Images'!$A$2:$A$73,A97,'QA_Images'!$R$2:$R$73)/100,IF(D97="FULL",1,IF(D97="PARTIAL",0.5,IF(D97="FAIL",0,""))))</f>
        <v/>
      </c>
      <c r="F97" s="7">
        <f>IF(E97="",0,C97*E97)</f>
        <v/>
      </c>
      <c r="G97" s="7">
        <f>IF(B97="I1",20*AVERAGEIF('QA_Images'!$A$2:$A$73,A97,'QA_Images'!$S$2:$S$73)/100,IF(D97="NOT_CHECKED",0,C97))</f>
        <v/>
      </c>
      <c r="H97" s="3" t="inlineStr">
        <is>
          <t>FULL: meta description is complete and understandable; the 145-165 character range was treated as editorial guidance only.</t>
        </is>
      </c>
      <c r="I97" s="3" t="inlineStr">
        <is>
          <t>["evidence_batch_005_049", "https://jeminise.com/products/custom-christian-girl-bible-emergency-numbers-blanket-d12"]</t>
        </is>
      </c>
      <c r="J97" s="3" t="inlineStr">
        <is>
          <t>[]</t>
        </is>
      </c>
    </row>
    <row r="98" ht="42" customHeight="1">
      <c r="A98" s="2" t="inlineStr">
        <is>
          <t>jeminise.com+custom-christian-girl-bible-emergency-numbers-blanket-d12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IF(B98="I1",AVERAGEIF('QA_Images'!$A$2:$A$73,A98,'QA_Images'!$R$2:$R$73)/100,IF(D98="FULL",1,IF(D98="PARTIAL",0.5,IF(D98="FAIL",0,""))))</f>
        <v/>
      </c>
      <c r="F98" s="5">
        <f>IF(E98="",0,C98*E98)</f>
        <v/>
      </c>
      <c r="G98" s="5">
        <f>IF(B98="I1",20*AVERAGEIF('QA_Images'!$A$2:$A$73,A98,'QA_Images'!$S$2:$S$73)/100,IF(D98="NOT_CHECKED",0,C98))</f>
        <v/>
      </c>
      <c r="H98" s="2" t="inlineStr">
        <is>
          <t>PARTIAL: description HTML is factually usable and customer-facing overall, but it still includes fallback wording such as 'when available' that should be replaced with exact verified panels.</t>
        </is>
      </c>
      <c r="I98" s="2" t="inlineStr">
        <is>
          <t>["evidence_batch_005_049", "https://jeminise.com/products/custom-christian-girl-bible-emergency-numbers-blanket-d12"]</t>
        </is>
      </c>
      <c r="J98" s="2" t="inlineStr">
        <is>
          <t>["B05R5-MIN-009"]</t>
        </is>
      </c>
    </row>
    <row r="99" ht="42" customHeight="1">
      <c r="A99" s="3" t="inlineStr">
        <is>
          <t>jeminise.com+custom-christian-girl-bible-emergency-numbers-blanket-d12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IF(B99="I1",AVERAGEIF('QA_Images'!$A$2:$A$73,A99,'QA_Images'!$R$2:$R$73)/100,IF(D99="FULL",1,IF(D99="PARTIAL",0.5,IF(D99="FAIL",0,""))))</f>
        <v/>
      </c>
      <c r="F99" s="7">
        <f>IF(E99="",0,C99*E99)</f>
        <v/>
      </c>
      <c r="G99" s="7">
        <f>IF(B99="I1",20*AVERAGEIF('QA_Images'!$A$2:$A$73,A99,'QA_Images'!$S$2:$S$73)/100,IF(D99="NOT_CHECKED",0,C99))</f>
        <v/>
      </c>
      <c r="H99" s="3" t="inlineStr">
        <is>
          <t>Derived from 9 image rows for this product; average image score 100.0/100.</t>
        </is>
      </c>
      <c r="I99" s="3" t="inlineStr">
        <is>
          <t>["QA_Images", "evidence_batch_005_049"]</t>
        </is>
      </c>
      <c r="J99" s="3" t="inlineStr">
        <is>
          <t>[]</t>
        </is>
      </c>
    </row>
    <row r="100" ht="42" customHeight="1">
      <c r="A100" s="2" t="inlineStr">
        <is>
          <t>jeminise.com+custom-christian-girl-bible-emergency-numbers-blanket-d12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IF(B100="I1",AVERAGEIF('QA_Images'!$A$2:$A$73,A100,'QA_Images'!$R$2:$R$73)/100,IF(D100="FULL",1,IF(D100="PARTIAL",0.5,IF(D100="FAIL",0,""))))</f>
        <v/>
      </c>
      <c r="F100" s="5">
        <f>IF(E100="",0,C100*E100)</f>
        <v/>
      </c>
      <c r="G100" s="5">
        <f>IF(B100="I1",20*AVERAGEIF('QA_Images'!$A$2:$A$73,A100,'QA_Images'!$S$2:$S$73)/100,IF(D100="NOT_CHECKED",0,C100))</f>
        <v/>
      </c>
      <c r="H100" s="2" t="inlineStr">
        <is>
          <t>FULL: product_key, handle and evidence links are consistent; row-level r4 labels are recorded as a batch-level traceability limitation.</t>
        </is>
      </c>
      <c r="I100" s="2" t="inlineStr">
        <is>
          <t>["evidence_batch_005_049", "https://jeminise.com/products/custom-christian-girl-bible-emergency-numbers-blanket-d12"]</t>
        </is>
      </c>
      <c r="J100" s="2" t="inlineStr">
        <is>
          <t>[]</t>
        </is>
      </c>
    </row>
    <row r="101" ht="42" customHeight="1">
      <c r="A101" s="3" t="inlineStr">
        <is>
          <t>jeminise.com+custom-christian-inspirational-sophia-blanket-machine-washable-d11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IF(B101="I1",AVERAGEIF('QA_Images'!$A$2:$A$73,A101,'QA_Images'!$R$2:$R$73)/100,IF(D101="FULL",1,IF(D101="PARTIAL",0.5,IF(D101="FAIL",0,""))))</f>
        <v/>
      </c>
      <c r="F101" s="7">
        <f>IF(E101="",0,C101*E101)</f>
        <v/>
      </c>
      <c r="G101" s="7">
        <f>IF(B101="I1",20*AVERAGEIF('QA_Images'!$A$2:$A$73,A101,'QA_Images'!$S$2:$S$73)/100,IF(D101="NOT_CHECKED",0,C101))</f>
        <v/>
      </c>
      <c r="H101" s="3" t="inlineStr">
        <is>
          <t>FULL: live product JSON, source workbook and image review all point to Personalized Christian Affirmation Blanket for Girls; verified motif: Dear Sophia Christian affirmation blanket with cartoon girl, flower graphic and selectable character panels.</t>
        </is>
      </c>
      <c r="I101" s="3" t="inlineStr">
        <is>
          <t>["evidence_batch_005_050", "https://jeminise.com/products/custom-christian-inspirational-sophia-blanket-machine-washable-d11"]</t>
        </is>
      </c>
      <c r="J101" s="3" t="inlineStr">
        <is>
          <t>[]</t>
        </is>
      </c>
    </row>
    <row r="102" ht="42" customHeight="1">
      <c r="A102" s="2" t="inlineStr">
        <is>
          <t>jeminise.com+custom-christian-inspirational-sophia-blanket-machine-washable-d11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IF(B102="I1",AVERAGEIF('QA_Images'!$A$2:$A$73,A102,'QA_Images'!$R$2:$R$73)/100,IF(D102="FULL",1,IF(D102="PARTIAL",0.5,IF(D102="FAIL",0,""))))</f>
        <v/>
      </c>
      <c r="F102" s="5">
        <f>IF(E102="",0,C102*E102)</f>
        <v/>
      </c>
      <c r="G102" s="5">
        <f>IF(B102="I1",20*AVERAGEIF('QA_Images'!$A$2:$A$73,A102,'QA_Images'!$S$2:$S$73)/100,IF(D102="NOT_CHECKED",0,C102))</f>
        <v/>
      </c>
      <c r="H102" s="2" t="inlineStr">
        <is>
          <t>FULL: product type, size/pillow choices and personalization claims were checked against product JSON/admin export/customizer; controls: Custom Name required=True max=30.</t>
        </is>
      </c>
      <c r="I102" s="2" t="inlineStr">
        <is>
          <t>["evidence_batch_005_050", "https://jeminise.com/products/custom-christian-inspirational-sophia-blanket-machine-washable-d11", "customizer_audit.json",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jeminise.com+custom-christian-inspirational-sophia-blanket-machine-washable-d11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IF(B103="I1",AVERAGEIF('QA_Images'!$A$2:$A$73,A103,'QA_Images'!$R$2:$R$73)/100,IF(D103="FULL",1,IF(D103="PARTIAL",0.5,IF(D103="FAIL",0,""))))</f>
        <v/>
      </c>
      <c r="F103" s="7">
        <f>IF(E103="",0,C103*E103)</f>
        <v/>
      </c>
      <c r="G103" s="7">
        <f>IF(B103="I1",20*AVERAGEIF('QA_Images'!$A$2:$A$73,A103,'QA_Images'!$S$2:$S$73)/100,IF(D103="NOT_CHECKED",0,C103))</f>
        <v/>
      </c>
      <c r="H103" s="3" t="inlineStr">
        <is>
          <t>FULL: primary keyword 'personalized Christian affirmation blanket for girls' fits this product; score reflects exact-match strength for this product's own SERP, not another batch.</t>
        </is>
      </c>
      <c r="I103" s="3" t="inlineStr">
        <is>
          <t>["evidence_batch_005_050", "https://jeminise.com/products/custom-christian-inspirational-sophia-blanket-machine-washable-d11", "serp_qa_batch_005_r5_050_1", "serp_qa_batch_005_r5_050_2"]</t>
        </is>
      </c>
      <c r="J103" s="3" t="inlineStr">
        <is>
          <t>[]</t>
        </is>
      </c>
    </row>
    <row r="104" ht="42" customHeight="1">
      <c r="A104" s="2" t="inlineStr">
        <is>
          <t>jeminise.com+custom-christian-inspirational-sophia-blanket-machine-washable-d11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IF(B104="I1",AVERAGEIF('QA_Images'!$A$2:$A$73,A104,'QA_Images'!$R$2:$R$73)/100,IF(D104="FULL",1,IF(D104="PARTIAL",0.5,IF(D104="FAIL",0,""))))</f>
        <v/>
      </c>
      <c r="F104" s="5">
        <f>IF(E104="",0,C104*E104)</f>
        <v/>
      </c>
      <c r="G104" s="5">
        <f>IF(B104="I1",20*AVERAGEIF('QA_Images'!$A$2:$A$73,A104,'QA_Images'!$S$2:$S$73)/100,IF(D104="NOT_CHECKED",0,C104))</f>
        <v/>
      </c>
      <c r="H104" s="2" t="inlineStr">
        <is>
          <t>FULL: primary and comparator queries were checked for US/English intent; commercial product intent is present, with partial credit where query results broaden beyond the exact product.</t>
        </is>
      </c>
      <c r="I104" s="2" t="inlineStr">
        <is>
          <t>["evidence_batch_005_050", "https://jeminise.com/products/custom-christian-inspirational-sophia-blanket-machine-washable-d11", "serp_qa_batch_005_r5_050_1", "serp_qa_batch_005_r5_050_2"]</t>
        </is>
      </c>
      <c r="J104" s="2" t="inlineStr">
        <is>
          <t>[]</t>
        </is>
      </c>
    </row>
    <row r="105" ht="42" customHeight="1">
      <c r="A105" s="3" t="inlineStr">
        <is>
          <t>jeminise.com+custom-christian-inspirational-sophia-blanket-machine-washable-d11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IF(B105="I1",AVERAGEIF('QA_Images'!$A$2:$A$73,A105,'QA_Images'!$R$2:$R$73)/100,IF(D105="FULL",1,IF(D105="PARTIAL",0.5,IF(D105="FAIL",0,""))))</f>
        <v/>
      </c>
      <c r="F105" s="7">
        <f>IF(E105="",0,C105*E105)</f>
        <v/>
      </c>
      <c r="G105" s="7">
        <f>IF(B105="I1",20*AVERAGEIF('QA_Images'!$A$2:$A$73,A105,'QA_Images'!$S$2:$S$73)/100,IF(D105="NOT_CHECKED",0,C105))</f>
        <v/>
      </c>
      <c r="H105" s="3" t="inlineStr">
        <is>
          <t>PARTIAL: SERP/comparator support is usable, but no paid volume or Search Console evidence is available, so demand is not overstated.</t>
        </is>
      </c>
      <c r="I105" s="3" t="inlineStr">
        <is>
          <t>["evidence_batch_005_050", "https://jeminise.com/products/custom-christian-inspirational-sophia-blanket-machine-washable-d11", "serp_qa_batch_005_r5_050_1", "serp_qa_batch_005_r5_050_2"]</t>
        </is>
      </c>
      <c r="J105" s="3" t="inlineStr">
        <is>
          <t>[]</t>
        </is>
      </c>
    </row>
    <row r="106" ht="42" customHeight="1">
      <c r="A106" s="2" t="inlineStr">
        <is>
          <t>jeminise.com+custom-christian-inspirational-sophia-blanket-machine-washable-d11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IF(B106="I1",AVERAGEIF('QA_Images'!$A$2:$A$73,A106,'QA_Images'!$R$2:$R$73)/100,IF(D106="FULL",1,IF(D106="PARTIAL",0.5,IF(D106="FAIL",0,""))))</f>
        <v/>
      </c>
      <c r="F106" s="5">
        <f>IF(E106="",0,C106*E106)</f>
        <v/>
      </c>
      <c r="G106" s="5">
        <f>IF(B106="I1",20*AVERAGEIF('QA_Images'!$A$2:$A$73,A106,'QA_Images'!$S$2:$S$73)/100,IF(D106="NOT_CHECKED",0,C106))</f>
        <v/>
      </c>
      <c r="H106" s="2" t="inlineStr">
        <is>
          <t>FULL: meta_title_seo 'Personalized Christian Affirmation Blanket for Girls' is natural English, names the product type and keeps the key differentiator.</t>
        </is>
      </c>
      <c r="I106" s="2" t="inlineStr">
        <is>
          <t>["evidence_batch_005_050", "https://jeminise.com/products/custom-christian-inspirational-sophia-blanket-machine-washable-d11"]</t>
        </is>
      </c>
      <c r="J106" s="2" t="inlineStr">
        <is>
          <t>[]</t>
        </is>
      </c>
    </row>
    <row r="107" ht="42" customHeight="1">
      <c r="A107" s="3" t="inlineStr">
        <is>
          <t>jeminise.com+custom-christian-inspirational-sophia-blanket-machine-washable-d11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IF(B107="I1",AVERAGEIF('QA_Images'!$A$2:$A$73,A107,'QA_Images'!$R$2:$R$73)/100,IF(D107="FULL",1,IF(D107="PARTIAL",0.5,IF(D107="FAIL",0,""))))</f>
        <v/>
      </c>
      <c r="F107" s="7">
        <f>IF(E107="",0,C107*E107)</f>
        <v/>
      </c>
      <c r="G107" s="7">
        <f>IF(B107="I1",20*AVERAGEIF('QA_Images'!$A$2:$A$73,A107,'QA_Images'!$S$2:$S$73)/100,IF(D107="NOT_CHECKED",0,C107))</f>
        <v/>
      </c>
      <c r="H107" s="3" t="inlineStr">
        <is>
          <t>FULL: title_proposed 'Personalized Christian Affirmation Blanket for Girls' is suitable as product title/H1 and is distinct from nearby motifs.</t>
        </is>
      </c>
      <c r="I107" s="3" t="inlineStr">
        <is>
          <t>["evidence_batch_005_050", "https://jeminise.com/products/custom-christian-inspirational-sophia-blanket-machine-washable-d11"]</t>
        </is>
      </c>
      <c r="J107" s="3" t="inlineStr">
        <is>
          <t>[]</t>
        </is>
      </c>
    </row>
    <row r="108" ht="42" customHeight="1">
      <c r="A108" s="2" t="inlineStr">
        <is>
          <t>jeminise.com+custom-christian-inspirational-sophia-blanket-machine-washable-d11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IF(B108="I1",AVERAGEIF('QA_Images'!$A$2:$A$73,A108,'QA_Images'!$R$2:$R$73)/100,IF(D108="FULL",1,IF(D108="PARTIAL",0.5,IF(D108="FAIL",0,""))))</f>
        <v/>
      </c>
      <c r="F108" s="5">
        <f>IF(E108="",0,C108*E108)</f>
        <v/>
      </c>
      <c r="G108" s="5">
        <f>IF(B108="I1",20*AVERAGEIF('QA_Images'!$A$2:$A$73,A108,'QA_Images'!$S$2:$S$73)/100,IF(D108="NOT_CHECKED",0,C108))</f>
        <v/>
      </c>
      <c r="H108" s="2" t="inlineStr">
        <is>
          <t>FULL: meta description is complete and understandable; the 145-165 character range was treated as editorial guidance only.</t>
        </is>
      </c>
      <c r="I108" s="2" t="inlineStr">
        <is>
          <t>["evidence_batch_005_050", "https://jeminise.com/products/custom-christian-inspirational-sophia-blanket-machine-washable-d11"]</t>
        </is>
      </c>
      <c r="J108" s="2" t="inlineStr">
        <is>
          <t>[]</t>
        </is>
      </c>
    </row>
    <row r="109" ht="42" customHeight="1">
      <c r="A109" s="3" t="inlineStr">
        <is>
          <t>jeminise.com+custom-christian-inspirational-sophia-blanket-machine-washable-d11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IF(B109="I1",AVERAGEIF('QA_Images'!$A$2:$A$73,A109,'QA_Images'!$R$2:$R$73)/100,IF(D109="FULL",1,IF(D109="PARTIAL",0.5,IF(D109="FAIL",0,""))))</f>
        <v/>
      </c>
      <c r="F109" s="7">
        <f>IF(E109="",0,C109*E109)</f>
        <v/>
      </c>
      <c r="G109" s="7">
        <f>IF(B109="I1",20*AVERAGEIF('QA_Images'!$A$2:$A$73,A109,'QA_Images'!$S$2:$S$73)/100,IF(D109="NOT_CHECKED",0,C109))</f>
        <v/>
      </c>
      <c r="H109" s="3" t="inlineStr">
        <is>
          <t>FULL: description HTML covers verified motif, options and product context without internal QA/import wording.</t>
        </is>
      </c>
      <c r="I109" s="3" t="inlineStr">
        <is>
          <t>["evidence_batch_005_050", "https://jeminise.com/products/custom-christian-inspirational-sophia-blanket-machine-washable-d11"]</t>
        </is>
      </c>
      <c r="J109" s="3" t="inlineStr">
        <is>
          <t>["B05R5-MIN-010"]</t>
        </is>
      </c>
    </row>
    <row r="110" ht="42" customHeight="1">
      <c r="A110" s="2" t="inlineStr">
        <is>
          <t>jeminise.com+custom-christian-inspirational-sophia-blanket-machine-washable-d11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IF(B110="I1",AVERAGEIF('QA_Images'!$A$2:$A$73,A110,'QA_Images'!$R$2:$R$73)/100,IF(D110="FULL",1,IF(D110="PARTIAL",0.5,IF(D110="FAIL",0,""))))</f>
        <v/>
      </c>
      <c r="F110" s="5">
        <f>IF(E110="",0,C110*E110)</f>
        <v/>
      </c>
      <c r="G110" s="5">
        <f>IF(B110="I1",20*AVERAGEIF('QA_Images'!$A$2:$A$73,A110,'QA_Images'!$S$2:$S$73)/100,IF(D110="NOT_CHECKED",0,C110))</f>
        <v/>
      </c>
      <c r="H110" s="2" t="inlineStr">
        <is>
          <t>Derived from 9 image rows for this product; average image score 100.0/100.</t>
        </is>
      </c>
      <c r="I110" s="2" t="inlineStr">
        <is>
          <t>["QA_Images", "evidence_batch_005_050"]</t>
        </is>
      </c>
      <c r="J110" s="2" t="inlineStr">
        <is>
          <t>[]</t>
        </is>
      </c>
    </row>
    <row r="111" ht="42" customHeight="1">
      <c r="A111" s="3" t="inlineStr">
        <is>
          <t>jeminise.com+custom-christian-inspirational-sophia-blanket-machine-washable-d11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IF(B111="I1",AVERAGEIF('QA_Images'!$A$2:$A$73,A111,'QA_Images'!$R$2:$R$73)/100,IF(D111="FULL",1,IF(D111="PARTIAL",0.5,IF(D111="FAIL",0,""))))</f>
        <v/>
      </c>
      <c r="F111" s="7">
        <f>IF(E111="",0,C111*E111)</f>
        <v/>
      </c>
      <c r="G111" s="7">
        <f>IF(B111="I1",20*AVERAGEIF('QA_Images'!$A$2:$A$73,A111,'QA_Images'!$S$2:$S$73)/100,IF(D111="NOT_CHECKED",0,C111))</f>
        <v/>
      </c>
      <c r="H111" s="3" t="inlineStr">
        <is>
          <t>FULL: product_key, handle and evidence links are consistent; row-level r4 labels are recorded as a batch-level traceability limitation.</t>
        </is>
      </c>
      <c r="I111" s="3" t="inlineStr">
        <is>
          <t>["evidence_batch_005_050", "https://jeminise.com/products/custom-christian-inspirational-sophia-blanket-machine-washable-d11"]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jeminise.com+custom-american-sports-football-player-running-with-ball-comforter-891aa5a660-891aa5a660</t>
        </is>
      </c>
      <c r="B2" s="2" t="inlineStr">
        <is>
          <t>qaimg_2484df0481022c0d</t>
        </is>
      </c>
      <c r="C2" s="4" t="inlineStr">
        <is>
          <t>https://cdn.shopify.com/s/files/1/0792/5098/1063/files/9235409950f5f87cdd7448cbf5ac7a4f4dbaf6159fc81f9ca4893048f571d49a.jpg?v=1785100651</t>
        </is>
      </c>
      <c r="D2" s="4" t="inlineStr">
        <is>
          <t>https://cdn.shopify.com/s/files/1/0792/5098/1063/files/9235409950f5f87cdd7448cbf5ac7a4f4dbaf6159fc81f9ca4893048f571d49a.jpg?v=1785100651</t>
        </is>
      </c>
      <c r="E2" s="2" t="inlineStr">
        <is>
          <t>47540180975815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2026-09-09T05:23:45+07:00</t>
        </is>
      </c>
      <c r="J2" s="2" t="inlineStr">
        <is>
          <t>QA opened 041_01.jpg (1000x1000) and confirmed: Football player comforter bed mockup with red running player artwork, flag background, Kevin sample name and matching shams.</t>
        </is>
      </c>
      <c r="K2" s="2" t="inlineStr">
        <is>
          <t>Football player comforter bed mockup with red running player artwork, flag background, Kevin sample name and matching shams.</t>
        </is>
      </c>
      <c r="L2" s="2" t="inlineStr">
        <is>
          <t>SET</t>
        </is>
      </c>
      <c r="M2" s="2" t="inlineStr">
        <is>
          <t>Personalized football player comforter on bed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["seo_runs\\jeminise.com\\20260906_234129\\qa\\20260909_052334\\images\\041_01.jpg", "https://cdn.shopify.com/s/files/1/0792/5098/1063/files/9235409950f5f87cdd7448cbf5ac7a4f4dbaf6159fc81f9ca4893048f571d49a.jpg?v=1785100651"]</t>
        </is>
      </c>
    </row>
    <row r="3" ht="66" customHeight="1">
      <c r="A3" s="3" t="inlineStr">
        <is>
          <t>jeminise.com+custom-american-sports-football-player-running-with-ball-comforter-891aa5a660-891aa5a660</t>
        </is>
      </c>
      <c r="B3" s="3" t="inlineStr">
        <is>
          <t>qaimg_8f80422754ee24f2</t>
        </is>
      </c>
      <c r="C3" s="4" t="inlineStr">
        <is>
          <t>https://cdn.shopify.com/s/files/1/0792/5098/1063/files/734fcfc573ad4fdcbbb651e00778852f706e090e624c7195c769cce66a4fcce7.jpg?v=1785100651</t>
        </is>
      </c>
      <c r="D3" s="4" t="inlineStr">
        <is>
          <t>https://cdn.shopify.com/s/files/1/0792/5098/1063/files/734fcfc573ad4fdcbbb651e00778852f706e090e624c7195c769cce66a4fcce7.jpg?v=1785100651</t>
        </is>
      </c>
      <c r="E3" s="3" t="inlineStr">
        <is>
          <t>47540181008583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2026-09-09T05:23:45+07:00</t>
        </is>
      </c>
      <c r="J3" s="3" t="inlineStr">
        <is>
          <t>QA opened 041_02.jpg (1000x1000) and confirmed: Angled bedroom mockup showing football player bedding, Kevin sample name and coordinated pillow shams.</t>
        </is>
      </c>
      <c r="K3" s="3" t="inlineStr">
        <is>
          <t>Angled bedroom mockup showing football player bedding, Kevin sample name and coordinated pillow shams.</t>
        </is>
      </c>
      <c r="L3" s="3" t="inlineStr">
        <is>
          <t>SET</t>
        </is>
      </c>
      <c r="M3" s="3" t="inlineStr">
        <is>
          <t>Football player comforter bedroom mockup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["seo_runs\\jeminise.com\\20260906_234129\\qa\\20260909_052334\\images\\041_02.jpg", "https://cdn.shopify.com/s/files/1/0792/5098/1063/files/734fcfc573ad4fdcbbb651e00778852f706e090e624c7195c769cce66a4fcce7.jpg?v=1785100651"]</t>
        </is>
      </c>
    </row>
    <row r="4" ht="66" customHeight="1">
      <c r="A4" s="2" t="inlineStr">
        <is>
          <t>jeminise.com+custom-american-sports-football-player-running-with-ball-comforter-891aa5a660-891aa5a660</t>
        </is>
      </c>
      <c r="B4" s="2" t="inlineStr">
        <is>
          <t>qaimg_90d446fab040a6fa</t>
        </is>
      </c>
      <c r="C4" s="4" t="inlineStr">
        <is>
          <t>https://cdn.shopify.com/s/files/1/0792/5098/1063/files/16f7293cbefa5743a35b2e6316a5a114e5c052d08151e367dafd26aa5e2e542b_eb1a080d-6e40-46ec-991a-85be60e1af93.jpg?v=1785100651</t>
        </is>
      </c>
      <c r="D4" s="4" t="inlineStr">
        <is>
          <t>https://cdn.shopify.com/s/files/1/0792/5098/1063/files/16f7293cbefa5743a35b2e6316a5a114e5c052d08151e367dafd26aa5e2e542b_eb1a080d-6e40-46ec-991a-85be60e1af93.jpg?v=1785100651</t>
        </is>
      </c>
      <c r="E4" s="2" t="inlineStr">
        <is>
          <t>47540181041351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2026-09-09T05:23:45+07:00</t>
        </is>
      </c>
      <c r="J4" s="2" t="inlineStr">
        <is>
          <t>QA opened 041_03.jpg (1000x1000) and confirmed: Bedding type comparison panel showing duvet cover set and comforter set options for all-season use.</t>
        </is>
      </c>
      <c r="K4" s="2" t="inlineStr">
        <is>
          <t>Bedding type comparison panel showing duvet cover set and comforter set options for all-season use.</t>
        </is>
      </c>
      <c r="L4" s="2" t="inlineStr">
        <is>
          <t>SET</t>
        </is>
      </c>
      <c r="M4" s="2" t="inlineStr">
        <is>
          <t>Football player comforter bedding type options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["seo_runs\\jeminise.com\\20260906_234129\\qa\\20260909_052334\\images\\041_03.jpg", "https://cdn.shopify.com/s/files/1/0792/5098/1063/files/16f7293cbefa5743a35b2e6316a5a114e5c052d08151e367dafd26aa5e2e542b_eb1a080d-6e40-46ec-991a-85be60e1af93.jpg?v=1785100651"]</t>
        </is>
      </c>
    </row>
    <row r="5" ht="66" customHeight="1">
      <c r="A5" s="3" t="inlineStr">
        <is>
          <t>jeminise.com+custom-american-sports-football-player-running-with-ball-comforter-891aa5a660-891aa5a660</t>
        </is>
      </c>
      <c r="B5" s="3" t="inlineStr">
        <is>
          <t>qaimg_832a1de3027f564b</t>
        </is>
      </c>
      <c r="C5" s="4" t="inlineStr">
        <is>
          <t>https://cdn.shopify.com/s/files/1/0792/5098/1063/files/f8229b6849a00a78a81ae1d6d2d453ba20adc1a2f8096c40c60d04127f55aa3e.jpg?v=1785100651</t>
        </is>
      </c>
      <c r="D5" s="4" t="inlineStr">
        <is>
          <t>https://cdn.shopify.com/s/files/1/0792/5098/1063/files/f8229b6849a00a78a81ae1d6d2d453ba20adc1a2f8096c40c60d04127f55aa3e.jpg?v=1785100651</t>
        </is>
      </c>
      <c r="E5" s="3" t="inlineStr">
        <is>
          <t>47540181074119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2026-09-09T05:23:45+07:00</t>
        </is>
      </c>
      <c r="J5" s="3" t="inlineStr">
        <is>
          <t>QA opened 041_04.jpg (1000x1000) and confirmed: Close bedroom view with football player artwork and soft, lightweight, durable and breathable feature icons.</t>
        </is>
      </c>
      <c r="K5" s="3" t="inlineStr">
        <is>
          <t>Close bedroom view with football player artwork and soft, lightweight, durable and breathable feature icons.</t>
        </is>
      </c>
      <c r="L5" s="3" t="inlineStr">
        <is>
          <t>SET</t>
        </is>
      </c>
      <c r="M5" s="3" t="inlineStr">
        <is>
          <t>Football player comforter feature icons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["seo_runs\\jeminise.com\\20260906_234129\\qa\\20260909_052334\\images\\041_04.jpg", "https://cdn.shopify.com/s/files/1/0792/5098/1063/files/f8229b6849a00a78a81ae1d6d2d453ba20adc1a2f8096c40c60d04127f55aa3e.jpg?v=1785100651"]</t>
        </is>
      </c>
    </row>
    <row r="6" ht="66" customHeight="1">
      <c r="A6" s="2" t="inlineStr">
        <is>
          <t>jeminise.com+custom-american-sports-football-player-running-with-ball-comforter-891aa5a660-891aa5a660</t>
        </is>
      </c>
      <c r="B6" s="2" t="inlineStr">
        <is>
          <t>qaimg_15a4a2289db65ef2</t>
        </is>
      </c>
      <c r="C6" s="4" t="inlineStr">
        <is>
          <t>https://cdn.shopify.com/s/files/1/0792/5098/1063/files/7c006bddc94d4763c71c8376307e195c1bbce73b8c802ec73ac5a8cef1291262_77b7f8f1-ac24-40ac-87d5-9f4f05af728d.jpg?v=1785100652</t>
        </is>
      </c>
      <c r="D6" s="4" t="inlineStr">
        <is>
          <t>https://cdn.shopify.com/s/files/1/0792/5098/1063/files/7c006bddc94d4763c71c8376307e195c1bbce73b8c802ec73ac5a8cef1291262_77b7f8f1-ac24-40ac-87d5-9f4f05af728d.jpg?v=1785100652</t>
        </is>
      </c>
      <c r="E6" s="2" t="inlineStr">
        <is>
          <t>47540181106887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2026-09-09T05:23:45+07:00</t>
        </is>
      </c>
      <c r="J6" s="2" t="inlineStr">
        <is>
          <t>QA opened 041_05.jpg (1000x1000) and confirmed: Stress-free easy care panel listing wrinkle-free, stain-proof, anti-pilling and color-care notes.</t>
        </is>
      </c>
      <c r="K6" s="2" t="inlineStr">
        <is>
          <t>Stress-free easy care panel listing wrinkle-free, stain-proof, anti-pilling and color-care notes.</t>
        </is>
      </c>
      <c r="L6" s="2" t="inlineStr">
        <is>
          <t>SET</t>
        </is>
      </c>
      <c r="M6" s="2" t="inlineStr">
        <is>
          <t>Football player comforter easy care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["seo_runs\\jeminise.com\\20260906_234129\\qa\\20260909_052334\\images\\041_05.jpg", "https://cdn.shopify.com/s/files/1/0792/5098/1063/files/7c006bddc94d4763c71c8376307e195c1bbce73b8c802ec73ac5a8cef1291262_77b7f8f1-ac24-40ac-87d5-9f4f05af728d.jpg?v=1785100652"]</t>
        </is>
      </c>
    </row>
    <row r="7" ht="66" customHeight="1">
      <c r="A7" s="3" t="inlineStr">
        <is>
          <t>jeminise.com+custom-american-sports-football-player-running-with-ball-comforter-891aa5a660-891aa5a660</t>
        </is>
      </c>
      <c r="B7" s="3" t="inlineStr">
        <is>
          <t>qaimg_175e42a080a5607a</t>
        </is>
      </c>
      <c r="C7" s="4" t="inlineStr">
        <is>
          <t>https://cdn.shopify.com/s/files/1/0792/5098/1063/files/e5cad84edb4d7bf77c48fd7c8e52eb3b73f04eba8bf177671fd8a059c59422e8_155f496e-ea96-4855-a894-d66f04e80ab3.jpg?v=1785100651</t>
        </is>
      </c>
      <c r="D7" s="4" t="inlineStr">
        <is>
          <t>https://cdn.shopify.com/s/files/1/0792/5098/1063/files/e5cad84edb4d7bf77c48fd7c8e52eb3b73f04eba8bf177671fd8a059c59422e8_155f496e-ea96-4855-a894-d66f04e80ab3.jpg?v=1785100651</t>
        </is>
      </c>
      <c r="E7" s="3" t="inlineStr">
        <is>
          <t>47540181139655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2026-09-09T05:23:45+07:00</t>
        </is>
      </c>
      <c r="J7" s="3" t="inlineStr">
        <is>
          <t>QA opened 041_06.jpg (1000x1000) and confirmed: Size dimension panel showing Twin, Full, Queen and King bedding dimensions.</t>
        </is>
      </c>
      <c r="K7" s="3" t="inlineStr">
        <is>
          <t>Size dimension panel showing Twin, Full, Queen and King bedding dimensions.</t>
        </is>
      </c>
      <c r="L7" s="3" t="inlineStr">
        <is>
          <t>SET</t>
        </is>
      </c>
      <c r="M7" s="3" t="inlineStr">
        <is>
          <t>Football player comforter size chart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["seo_runs\\jeminise.com\\20260906_234129\\qa\\20260909_052334\\images\\041_06.jpg", "https://cdn.shopify.com/s/files/1/0792/5098/1063/files/e5cad84edb4d7bf77c48fd7c8e52eb3b73f04eba8bf177671fd8a059c59422e8_155f496e-ea96-4855-a894-d66f04e80ab3.jpg?v=1785100651"]</t>
        </is>
      </c>
    </row>
    <row r="8" ht="66" customHeight="1">
      <c r="A8" s="2" t="inlineStr">
        <is>
          <t>jeminise.com+custom-basketball-players-blanket-name-number-76fdad09b6-76fdad09b6</t>
        </is>
      </c>
      <c r="B8" s="2" t="inlineStr">
        <is>
          <t>qaimg_02bf99b08fc79345</t>
        </is>
      </c>
      <c r="C8" s="4" t="inlineStr">
        <is>
          <t>https://cdn.shopify.com/s/files/1/0792/5098/1063/files/6c2b7a18ab88cd4dc34c692087680fae7e33609b7762bcbb4b65241bddb4c683.jpg?v=1785090540</t>
        </is>
      </c>
      <c r="D8" s="4" t="inlineStr">
        <is>
          <t>https://cdn.shopify.com/s/files/1/0792/5098/1063/files/6c2b7a18ab88cd4dc34c692087680fae7e33609b7762bcbb4b65241bddb4c683.jpg?v=1785090540</t>
        </is>
      </c>
      <c r="E8" s="2" t="inlineStr">
        <is>
          <t>47538951520455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2026-09-09T05:23:45+07:00</t>
        </is>
      </c>
      <c r="J8" s="2" t="inlineStr">
        <is>
          <t>QA opened 042_01.jpg (1000x1000) and confirmed: Basketball blanket front view with player silhouettes, orange ball graphic, COLON sample name and 06 sample number.</t>
        </is>
      </c>
      <c r="K8" s="2" t="inlineStr">
        <is>
          <t>Basketball blanket front view with player silhouettes, orange ball graphic, COLON sample name and 06 sample number.</t>
        </is>
      </c>
      <c r="L8" s="2" t="inlineStr">
        <is>
          <t>SET</t>
        </is>
      </c>
      <c r="M8" s="2" t="inlineStr">
        <is>
          <t>Basketball name number blanket COLON 06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["seo_runs\\jeminise.com\\20260906_234129\\qa\\20260909_052334\\images\\042_01.jpg", "https://cdn.shopify.com/s/files/1/0792/5098/1063/files/6c2b7a18ab88cd4dc34c692087680fae7e33609b7762bcbb4b65241bddb4c683.jpg?v=1785090540"]</t>
        </is>
      </c>
    </row>
    <row r="9" ht="66" customHeight="1">
      <c r="A9" s="3" t="inlineStr">
        <is>
          <t>jeminise.com+custom-basketball-players-blanket-name-number-76fdad09b6-76fdad09b6</t>
        </is>
      </c>
      <c r="B9" s="3" t="inlineStr">
        <is>
          <t>qaimg_59d7275384550196</t>
        </is>
      </c>
      <c r="C9" s="4" t="inlineStr">
        <is>
          <t>https://cdn.shopify.com/s/files/1/0792/5098/1063/files/d5abee5ec17755dbbcc6e02e33e7a330ee23e993249b0e3a757080976f26e61a.jpg?v=1785090540</t>
        </is>
      </c>
      <c r="D9" s="4" t="inlineStr">
        <is>
          <t>https://cdn.shopify.com/s/files/1/0792/5098/1063/files/d5abee5ec17755dbbcc6e02e33e7a330ee23e993249b0e3a757080976f26e61a.jpg?v=1785090540</t>
        </is>
      </c>
      <c r="E9" s="3" t="inlineStr">
        <is>
          <t>47538951553223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2026-09-09T05:23:45+07:00</t>
        </is>
      </c>
      <c r="J9" s="3" t="inlineStr">
        <is>
          <t>QA opened 042_02.jpg (1000x1000) and confirmed: Person holding basketball blanket with COLON sample name, 06 sample number and court-style player artwork.</t>
        </is>
      </c>
      <c r="K9" s="3" t="inlineStr">
        <is>
          <t>Person holding basketball blanket with COLON sample name, 06 sample number and court-style player artwork.</t>
        </is>
      </c>
      <c r="L9" s="3" t="inlineStr">
        <is>
          <t>SET</t>
        </is>
      </c>
      <c r="M9" s="3" t="inlineStr">
        <is>
          <t>Basketball blanket held with COLON 06 sample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["seo_runs\\jeminise.com\\20260906_234129\\qa\\20260909_052334\\images\\042_02.jpg", "https://cdn.shopify.com/s/files/1/0792/5098/1063/files/d5abee5ec17755dbbcc6e02e33e7a330ee23e993249b0e3a757080976f26e61a.jpg?v=1785090540"]</t>
        </is>
      </c>
    </row>
    <row r="10" ht="66" customHeight="1">
      <c r="A10" s="2" t="inlineStr">
        <is>
          <t>jeminise.com+custom-basketball-players-blanket-name-number-76fdad09b6-76fdad09b6</t>
        </is>
      </c>
      <c r="B10" s="2" t="inlineStr">
        <is>
          <t>qaimg_f05b33e25f46d089</t>
        </is>
      </c>
      <c r="C10" s="4" t="inlineStr">
        <is>
          <t>https://cdn.shopify.com/s/files/1/0792/5098/1063/files/49a6ce3612edf854fdd67ce0c385b74a1db4efbd8e737a4eb0e471333401d9ad.jpg?v=1785090540</t>
        </is>
      </c>
      <c r="D10" s="4" t="inlineStr">
        <is>
          <t>https://cdn.shopify.com/s/files/1/0792/5098/1063/files/49a6ce3612edf854fdd67ce0c385b74a1db4efbd8e737a4eb0e471333401d9ad.jpg?v=1785090540</t>
        </is>
      </c>
      <c r="E10" s="2" t="inlineStr">
        <is>
          <t>47538951585991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2026-09-09T05:23:45+07:00</t>
        </is>
      </c>
      <c r="J10" s="2" t="inlineStr">
        <is>
          <t>QA opened 042_03.jpg (1000x1000) and confirmed: Blanket size chart showing Baby, Kids, Adults and Bed dimensions.</t>
        </is>
      </c>
      <c r="K10" s="2" t="inlineStr">
        <is>
          <t>Blanket size chart showing Baby, Kids, Adults and Bed dimensions.</t>
        </is>
      </c>
      <c r="L10" s="2" t="inlineStr">
        <is>
          <t>SET</t>
        </is>
      </c>
      <c r="M10" s="2" t="inlineStr">
        <is>
          <t>Basketball blanket size chart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["seo_runs\\jeminise.com\\20260906_234129\\qa\\20260909_052334\\images\\042_03.jpg", "https://cdn.shopify.com/s/files/1/0792/5098/1063/files/49a6ce3612edf854fdd67ce0c385b74a1db4efbd8e737a4eb0e471333401d9ad.jpg?v=1785090540"]</t>
        </is>
      </c>
    </row>
    <row r="11" ht="66" customHeight="1">
      <c r="A11" s="3" t="inlineStr">
        <is>
          <t>jeminise.com+custom-basketball-players-blanket-name-number-76fdad09b6-76fdad09b6</t>
        </is>
      </c>
      <c r="B11" s="3" t="inlineStr">
        <is>
          <t>qaimg_8df967d1a5053865</t>
        </is>
      </c>
      <c r="C11" s="4" t="inlineStr">
        <is>
          <t>https://cdn.shopify.com/s/files/1/0792/5098/1063/files/5da1c7280668d37f99227b265e2f4a101e6ec1870c93392f2ce692a3c8dbae4c.jpg?v=1785090540</t>
        </is>
      </c>
      <c r="D11" s="4" t="inlineStr">
        <is>
          <t>https://cdn.shopify.com/s/files/1/0792/5098/1063/files/5da1c7280668d37f99227b265e2f4a101e6ec1870c93392f2ce692a3c8dbae4c.jpg?v=1785090540</t>
        </is>
      </c>
      <c r="E11" s="3" t="inlineStr">
        <is>
          <t>47538951618759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2026-09-09T05:23:45+07:00</t>
        </is>
      </c>
      <c r="J11" s="3" t="inlineStr">
        <is>
          <t>QA opened 042_04.jpg (1000x1000) and confirmed: Blanket material panel with fluffy soft texture, high quality, no pilling, no shedding and smooth hand-feel callouts.</t>
        </is>
      </c>
      <c r="K11" s="3" t="inlineStr">
        <is>
          <t>Blanket material panel with fluffy soft texture, high quality, no pilling, no shedding and smooth hand-feel callouts.</t>
        </is>
      </c>
      <c r="L11" s="3" t="inlineStr">
        <is>
          <t>SET</t>
        </is>
      </c>
      <c r="M11" s="3" t="inlineStr">
        <is>
          <t>Basketball blanket soft material panel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["seo_runs\\jeminise.com\\20260906_234129\\qa\\20260909_052334\\images\\042_04.jpg", "https://cdn.shopify.com/s/files/1/0792/5098/1063/files/5da1c7280668d37f99227b265e2f4a101e6ec1870c93392f2ce692a3c8dbae4c.jpg?v=1785090540"]</t>
        </is>
      </c>
    </row>
    <row r="12" ht="66" customHeight="1">
      <c r="A12" s="2" t="inlineStr">
        <is>
          <t>jeminise.com+custom-basketball-players-blanket-name-number-76fdad09b6-76fdad09b6</t>
        </is>
      </c>
      <c r="B12" s="2" t="inlineStr">
        <is>
          <t>qaimg_68c7c1770c402946</t>
        </is>
      </c>
      <c r="C12" s="4" t="inlineStr">
        <is>
          <t>https://cdn.shopify.com/s/files/1/0792/5098/1063/files/b49fc2186646baaf777f077b381de87c413f199fd7b53efde32665c9ca95f394.jpg?v=1785090540</t>
        </is>
      </c>
      <c r="D12" s="4" t="inlineStr">
        <is>
          <t>https://cdn.shopify.com/s/files/1/0792/5098/1063/files/b49fc2186646baaf777f077b381de87c413f199fd7b53efde32665c9ca95f394.jpg?v=1785090540</t>
        </is>
      </c>
      <c r="E12" s="2" t="inlineStr">
        <is>
          <t>47538951651527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2026-09-09T05:23:45+07:00</t>
        </is>
      </c>
      <c r="J12" s="2" t="inlineStr">
        <is>
          <t>QA opened 042_05.jpg (1000x1000) and confirmed: Basketball blanket draped on couch with COLON sample name and 06 sample number.</t>
        </is>
      </c>
      <c r="K12" s="2" t="inlineStr">
        <is>
          <t>Basketball blanket draped on couch with COLON sample name and 06 sample number.</t>
        </is>
      </c>
      <c r="L12" s="2" t="inlineStr">
        <is>
          <t>SET</t>
        </is>
      </c>
      <c r="M12" s="2" t="inlineStr">
        <is>
          <t>Basketball blanket couch mockup COLON 06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["seo_runs\\jeminise.com\\20260906_234129\\qa\\20260909_052334\\images\\042_05.jpg", "https://cdn.shopify.com/s/files/1/0792/5098/1063/files/b49fc2186646baaf777f077b381de87c413f199fd7b53efde32665c9ca95f394.jpg?v=1785090540"]</t>
        </is>
      </c>
    </row>
    <row r="13" ht="66" customHeight="1">
      <c r="A13" s="3" t="inlineStr">
        <is>
          <t>jeminise.com+custom-basketball-players-blanket-name-number-76fdad09b6-76fdad09b6</t>
        </is>
      </c>
      <c r="B13" s="3" t="inlineStr">
        <is>
          <t>qaimg_10708334fc9577c8</t>
        </is>
      </c>
      <c r="C13" s="4" t="inlineStr">
        <is>
          <t>https://cdn.shopify.com/s/files/1/0792/5098/1063/files/e2dc8de58ffeb16bc7298d0dc08ee3d2ff3c802de9628dc8fc747d2e9f902e68.jpg?v=1785090540</t>
        </is>
      </c>
      <c r="D13" s="4" t="inlineStr">
        <is>
          <t>https://cdn.shopify.com/s/files/1/0792/5098/1063/files/e2dc8de58ffeb16bc7298d0dc08ee3d2ff3c802de9628dc8fc747d2e9f902e68.jpg?v=1785090540</t>
        </is>
      </c>
      <c r="E13" s="3" t="inlineStr">
        <is>
          <t>47538951684295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2026-09-09T05:23:45+07:00</t>
        </is>
      </c>
      <c r="J13" s="3" t="inlineStr">
        <is>
          <t>QA opened 042_06.jpg (1500x1500) and confirmed: Multifunction blanket feature panel listing soft feel, warmth, wrinkle resistance, machine wash and anti-tear notes.</t>
        </is>
      </c>
      <c r="K13" s="3" t="inlineStr">
        <is>
          <t>Multifunction blanket feature panel listing soft feel, warmth, wrinkle resistance, machine wash and anti-tear notes.</t>
        </is>
      </c>
      <c r="L13" s="3" t="inlineStr">
        <is>
          <t>SET</t>
        </is>
      </c>
      <c r="M13" s="3" t="inlineStr">
        <is>
          <t>Basketball blanket multifunction feature panel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["seo_runs\\jeminise.com\\20260906_234129\\qa\\20260909_052334\\images\\042_06.jpg", "https://cdn.shopify.com/s/files/1/0792/5098/1063/files/e2dc8de58ffeb16bc7298d0dc08ee3d2ff3c802de9628dc8fc747d2e9f902e68.jpg?v=1785090540"]</t>
        </is>
      </c>
    </row>
    <row r="14" ht="66" customHeight="1">
      <c r="A14" s="2" t="inlineStr">
        <is>
          <t>jeminise.com+custom-basketball-players-blanket-name-number-76fdad09b6-76fdad09b6</t>
        </is>
      </c>
      <c r="B14" s="2" t="inlineStr">
        <is>
          <t>qaimg_22c020c480bc833f</t>
        </is>
      </c>
      <c r="C14" s="4" t="inlineStr">
        <is>
          <t>https://cdn.shopify.com/s/files/1/0792/5098/1063/files/2d1f9bd9a0ee6f49866a6231d692e0202b33607aee4f2e197620f325de16c7fe.jpg?v=1785090540</t>
        </is>
      </c>
      <c r="D14" s="4" t="inlineStr">
        <is>
          <t>https://cdn.shopify.com/s/files/1/0792/5098/1063/files/2d1f9bd9a0ee6f49866a6231d692e0202b33607aee4f2e197620f325de16c7fe.jpg?v=1785090540</t>
        </is>
      </c>
      <c r="E14" s="2" t="inlineStr">
        <is>
          <t>47538951717063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2026-09-09T05:23:45+07:00</t>
        </is>
      </c>
      <c r="J14" s="2" t="inlineStr">
        <is>
          <t>QA opened 042_07.jpg (1500x1500) and confirmed: Custom blanket size panel using RASHAD sample name and 22 sample number with four size options.</t>
        </is>
      </c>
      <c r="K14" s="2" t="inlineStr">
        <is>
          <t>Custom blanket size panel using RASHAD sample name and 22 sample number with four size options.</t>
        </is>
      </c>
      <c r="L14" s="2" t="inlineStr">
        <is>
          <t>SET</t>
        </is>
      </c>
      <c r="M14" s="2" t="inlineStr">
        <is>
          <t>Basketball blanket RASHAD 22 size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["seo_runs\\jeminise.com\\20260906_234129\\qa\\20260909_052334\\images\\042_07.jpg", "https://cdn.shopify.com/s/files/1/0792/5098/1063/files/2d1f9bd9a0ee6f49866a6231d692e0202b33607aee4f2e197620f325de16c7fe.jpg?v=1785090540"]</t>
        </is>
      </c>
    </row>
    <row r="15" ht="66" customHeight="1">
      <c r="A15" s="3" t="inlineStr">
        <is>
          <t>jeminise.com+custom-basketball-players-blanket-name-number-76fdad09b6-76fdad09b6</t>
        </is>
      </c>
      <c r="B15" s="3" t="inlineStr">
        <is>
          <t>qaimg_daf7de25b89dbf94</t>
        </is>
      </c>
      <c r="C15" s="4" t="inlineStr">
        <is>
          <t>https://cdn.shopify.com/s/files/1/0792/5098/1063/files/6f93e586623db54ca28d44f2040467d7786507670c9cfbfbd907b22dedba4036.jpg?v=1785090539</t>
        </is>
      </c>
      <c r="D15" s="4" t="inlineStr">
        <is>
          <t>https://cdn.shopify.com/s/files/1/0792/5098/1063/files/6f93e586623db54ca28d44f2040467d7786507670c9cfbfbd907b22dedba4036.jpg?v=1785090539</t>
        </is>
      </c>
      <c r="E15" s="3" t="inlineStr">
        <is>
          <t>47538951749831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2026-09-09T05:23:45+07:00</t>
        </is>
      </c>
      <c r="J15" s="3" t="inlineStr">
        <is>
          <t>QA opened 042_08.jpg (1000x1000) and confirmed: Lifestyle reading scene with adult and child using a basketball-themed blanket at home.</t>
        </is>
      </c>
      <c r="K15" s="3" t="inlineStr">
        <is>
          <t>Lifestyle reading scene with adult and child using a basketball-themed blanket at home.</t>
        </is>
      </c>
      <c r="L15" s="3" t="inlineStr">
        <is>
          <t>SET</t>
        </is>
      </c>
      <c r="M15" s="3" t="inlineStr">
        <is>
          <t>Basketball blanket family lifestyle scene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["seo_runs\\jeminise.com\\20260906_234129\\qa\\20260909_052334\\images\\042_08.jpg", "https://cdn.shopify.com/s/files/1/0792/5098/1063/files/6f93e586623db54ca28d44f2040467d7786507670c9cfbfbd907b22dedba4036.jpg?v=1785090539"]</t>
        </is>
      </c>
    </row>
    <row r="16" ht="66" customHeight="1">
      <c r="A16" s="2" t="inlineStr">
        <is>
          <t>jeminise.com+custom-bible-verse-photo-blanket-personalized-christian-gift-for-her</t>
        </is>
      </c>
      <c r="B16" s="2" t="inlineStr">
        <is>
          <t>qaimg_638887689dac4f5d</t>
        </is>
      </c>
      <c r="C16" s="4" t="inlineStr">
        <is>
          <t>https://cdn.shopify.com/s/files/1/0792/5098/1063/files/96f0a2befa124f14fe17c41828df61ccbf8614b1075a2b471347b5b1e2d17c9c.jpg?v=1786571231</t>
        </is>
      </c>
      <c r="D16" s="4" t="inlineStr">
        <is>
          <t>https://cdn.shopify.com/s/files/1/0792/5098/1063/files/96f0a2befa124f14fe17c41828df61ccbf8614b1075a2b471347b5b1e2d17c9c.jpg?v=1786571231</t>
        </is>
      </c>
      <c r="E16" s="2" t="inlineStr">
        <is>
          <t>47826787827911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2026-09-09T05:23:45+07:00</t>
        </is>
      </c>
      <c r="J16" s="2" t="inlineStr">
        <is>
          <t>QA opened 043_01.jpg (1000x1000) and confirmed: Person holding God Says I Am Christian affirmation blanket with Maria sample name, Bible references and portrait-style artwork.</t>
        </is>
      </c>
      <c r="K16" s="2" t="inlineStr">
        <is>
          <t>Person holding God Says I Am Christian affirmation blanket with Maria sample name, Bible references and portrait-style artwork.</t>
        </is>
      </c>
      <c r="L16" s="2" t="inlineStr">
        <is>
          <t>SET</t>
        </is>
      </c>
      <c r="M16" s="2" t="inlineStr">
        <is>
          <t>God Says I Am Christian blanket with Maria name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["seo_runs\\jeminise.com\\20260906_234129\\qa\\20260909_052334\\images\\043_01.jpg", "https://cdn.shopify.com/s/files/1/0792/5098/1063/files/96f0a2befa124f14fe17c41828df61ccbf8614b1075a2b471347b5b1e2d17c9c.jpg?v=1786571231"]</t>
        </is>
      </c>
    </row>
    <row r="17" ht="66" customHeight="1">
      <c r="A17" s="3" t="inlineStr">
        <is>
          <t>jeminise.com+custom-bible-verse-photo-blanket-personalized-christian-gift-for-her</t>
        </is>
      </c>
      <c r="B17" s="3" t="inlineStr">
        <is>
          <t>qaimg_fd0e5647dfad2014</t>
        </is>
      </c>
      <c r="C17" s="4" t="inlineStr">
        <is>
          <t>https://cdn.shopify.com/s/files/1/0792/5098/1063/files/bf1d3fd2d254bd0bbc4f713f39d50bdf18a793c3b5b6fe296b2d739bedcfae66.jpg?v=1786571231</t>
        </is>
      </c>
      <c r="D17" s="4" t="inlineStr">
        <is>
          <t>https://cdn.shopify.com/s/files/1/0792/5098/1063/files/bf1d3fd2d254bd0bbc4f713f39d50bdf18a793c3b5b6fe296b2d739bedcfae66.jpg?v=1786571231</t>
        </is>
      </c>
      <c r="E17" s="3" t="inlineStr">
        <is>
          <t>47826787860679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2026-09-09T05:23:45+07:00</t>
        </is>
      </c>
      <c r="J17" s="3" t="inlineStr">
        <is>
          <t>QA opened 043_02.jpg (1000x1000) and confirmed: Fleece blanket material panel listing machine washable care, soft warmth, dense stitching and 260GSM fleece.</t>
        </is>
      </c>
      <c r="K17" s="3" t="inlineStr">
        <is>
          <t>Fleece blanket material panel listing machine washable care, soft warmth, dense stitching and 260GSM fleece.</t>
        </is>
      </c>
      <c r="L17" s="3" t="inlineStr">
        <is>
          <t>SET</t>
        </is>
      </c>
      <c r="M17" s="3" t="inlineStr">
        <is>
          <t>Christian affirmation blanket fleece material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["seo_runs\\jeminise.com\\20260906_234129\\qa\\20260909_052334\\images\\043_02.jpg", "https://cdn.shopify.com/s/files/1/0792/5098/1063/files/bf1d3fd2d254bd0bbc4f713f39d50bdf18a793c3b5b6fe296b2d739bedcfae66.jpg?v=1786571231"]</t>
        </is>
      </c>
    </row>
    <row r="18" ht="66" customHeight="1">
      <c r="A18" s="2" t="inlineStr">
        <is>
          <t>jeminise.com+custom-bible-verse-photo-blanket-personalized-christian-gift-for-her</t>
        </is>
      </c>
      <c r="B18" s="2" t="inlineStr">
        <is>
          <t>qaimg_505888c069961194</t>
        </is>
      </c>
      <c r="C18" s="4" t="inlineStr">
        <is>
          <t>https://cdn.shopify.com/s/files/1/0792/5098/1063/files/bad5de99ca953161988c70b259bc4c33c7b12ba656061c0e5588b7d98a857ebc.jpg?v=1786571231</t>
        </is>
      </c>
      <c r="D18" s="4" t="inlineStr">
        <is>
          <t>https://cdn.shopify.com/s/files/1/0792/5098/1063/files/bad5de99ca953161988c70b259bc4c33c7b12ba656061c0e5588b7d98a857ebc.jpg?v=1786571231</t>
        </is>
      </c>
      <c r="E18" s="2" t="inlineStr">
        <is>
          <t>47826787893447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2026-09-09T05:23:45+07:00</t>
        </is>
      </c>
      <c r="J18" s="2" t="inlineStr">
        <is>
          <t>QA opened 043_03.jpg (1000x1000) and confirmed: Lifestyle close-up of reader under God Says I Am Christian blanket with portrait-style artwork visible.</t>
        </is>
      </c>
      <c r="K18" s="2" t="inlineStr">
        <is>
          <t>Lifestyle close-up of reader under God Says I Am Christian blanket with portrait-style artwork visible.</t>
        </is>
      </c>
      <c r="L18" s="2" t="inlineStr">
        <is>
          <t>SET</t>
        </is>
      </c>
      <c r="M18" s="2" t="inlineStr">
        <is>
          <t>Christian affirmation blanket reading close-up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["seo_runs\\jeminise.com\\20260906_234129\\qa\\20260909_052334\\images\\043_03.jpg", "https://cdn.shopify.com/s/files/1/0792/5098/1063/files/bad5de99ca953161988c70b259bc4c33c7b12ba656061c0e5588b7d98a857ebc.jpg?v=1786571231"]</t>
        </is>
      </c>
    </row>
    <row r="19" ht="66" customHeight="1">
      <c r="A19" s="3" t="inlineStr">
        <is>
          <t>jeminise.com+custom-bible-verse-photo-blanket-personalized-christian-gift-for-her</t>
        </is>
      </c>
      <c r="B19" s="3" t="inlineStr">
        <is>
          <t>qaimg_8509947f1de36a3d</t>
        </is>
      </c>
      <c r="C19" s="4" t="inlineStr">
        <is>
          <t>https://cdn.shopify.com/s/files/1/0792/5098/1063/files/ba00c903bb60feca9fbedd850bb74749aa77322da35ffdccf7275d065f5fbcaf.jpg?v=1786571231</t>
        </is>
      </c>
      <c r="D19" s="4" t="inlineStr">
        <is>
          <t>https://cdn.shopify.com/s/files/1/0792/5098/1063/files/ba00c903bb60feca9fbedd850bb74749aa77322da35ffdccf7275d065f5fbcaf.jpg?v=1786571231</t>
        </is>
      </c>
      <c r="E19" s="3" t="inlineStr">
        <is>
          <t>47826787926215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2026-09-09T05:23:45+07:00</t>
        </is>
      </c>
      <c r="J19" s="3" t="inlineStr">
        <is>
          <t>QA opened 043_04.jpg (1000x1000) and confirmed: Blanket size and use panel showing 80 by 60 inch example with sofa, office, bed, travel, reading and camping icons.</t>
        </is>
      </c>
      <c r="K19" s="3" t="inlineStr">
        <is>
          <t>Blanket size and use panel showing 80 by 60 inch example with sofa, office, bed, travel, reading and camping icons.</t>
        </is>
      </c>
      <c r="L19" s="3" t="inlineStr">
        <is>
          <t>SET</t>
        </is>
      </c>
      <c r="M19" s="3" t="inlineStr">
        <is>
          <t>God Says I Am blanket size and use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["seo_runs\\jeminise.com\\20260906_234129\\qa\\20260909_052334\\images\\043_04.jpg", "https://cdn.shopify.com/s/files/1/0792/5098/1063/files/ba00c903bb60feca9fbedd850bb74749aa77322da35ffdccf7275d065f5fbcaf.jpg?v=1786571231"]</t>
        </is>
      </c>
    </row>
    <row r="20" ht="66" customHeight="1">
      <c r="A20" s="2" t="inlineStr">
        <is>
          <t>jeminise.com+custom-bible-verse-photo-blanket-personalized-christian-gift-for-her</t>
        </is>
      </c>
      <c r="B20" s="2" t="inlineStr">
        <is>
          <t>qaimg_4f4dd1b4473f30d4</t>
        </is>
      </c>
      <c r="C20" s="4" t="inlineStr">
        <is>
          <t>https://cdn.shopify.com/s/files/1/0792/5098/1063/files/8d82b855ba67960edf4d0f67faf83c4efd4804df358149a6badaeef90924cfa3.jpg?v=1786571231</t>
        </is>
      </c>
      <c r="D20" s="4" t="inlineStr">
        <is>
          <t>https://cdn.shopify.com/s/files/1/0792/5098/1063/files/8d82b855ba67960edf4d0f67faf83c4efd4804df358149a6badaeef90924cfa3.jpg?v=1786571231</t>
        </is>
      </c>
      <c r="E20" s="2" t="inlineStr">
        <is>
          <t>47826787958983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2026-09-09T05:23:45+07:00</t>
        </is>
      </c>
      <c r="J20" s="2" t="inlineStr">
        <is>
          <t>QA opened 043_05.jpg (1000x1000) and confirmed: Detail collage showing soft fleece texture, printed affirmation words and edge stitching.</t>
        </is>
      </c>
      <c r="K20" s="2" t="inlineStr">
        <is>
          <t>Detail collage showing soft fleece texture, printed affirmation words and edge stitching.</t>
        </is>
      </c>
      <c r="L20" s="2" t="inlineStr">
        <is>
          <t>SET</t>
        </is>
      </c>
      <c r="M20" s="2" t="inlineStr">
        <is>
          <t>Christian affirmation blanket texture detail collage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["seo_runs\\jeminise.com\\20260906_234129\\qa\\20260909_052334\\images\\043_05.jpg", "https://cdn.shopify.com/s/files/1/0792/5098/1063/files/8d82b855ba67960edf4d0f67faf83c4efd4804df358149a6badaeef90924cfa3.jpg?v=1786571231"]</t>
        </is>
      </c>
    </row>
    <row r="21" ht="66" customHeight="1">
      <c r="A21" s="3" t="inlineStr">
        <is>
          <t>jeminise.com+custom-bible-verse-photo-blanket-personalized-christian-gift-for-her</t>
        </is>
      </c>
      <c r="B21" s="3" t="inlineStr">
        <is>
          <t>qaimg_ff277ff4ba214122</t>
        </is>
      </c>
      <c r="C21" s="4" t="inlineStr">
        <is>
          <t>https://cdn.shopify.com/s/files/1/0792/5098/1063/files/9a2984133e4b75b82b98f8008d0c0261a85c643d83aaed87a9c6669a64a5e3b6.jpg?v=1786571231</t>
        </is>
      </c>
      <c r="D21" s="4" t="inlineStr">
        <is>
          <t>https://cdn.shopify.com/s/files/1/0792/5098/1063/files/9a2984133e4b75b82b98f8008d0c0261a85c643d83aaed87a9c6669a64a5e3b6.jpg?v=1786571231</t>
        </is>
      </c>
      <c r="E21" s="3" t="inlineStr">
        <is>
          <t>47826787991751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2026-09-09T05:23:45+07:00</t>
        </is>
      </c>
      <c r="J21" s="3" t="inlineStr">
        <is>
          <t>QA opened 043_06.jpg (1000x1000) and confirmed: God Says I Am Christian blanket draped on couch with Maria sample name and Bible reference typography.</t>
        </is>
      </c>
      <c r="K21" s="3" t="inlineStr">
        <is>
          <t>God Says I Am Christian blanket draped on couch with Maria sample name and Bible reference typography.</t>
        </is>
      </c>
      <c r="L21" s="3" t="inlineStr">
        <is>
          <t>SET</t>
        </is>
      </c>
      <c r="M21" s="3" t="inlineStr">
        <is>
          <t>God Says I Am Christian blanket couch mockup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["seo_runs\\jeminise.com\\20260906_234129\\qa\\20260909_052334\\images\\043_06.jpg", "https://cdn.shopify.com/s/files/1/0792/5098/1063/files/9a2984133e4b75b82b98f8008d0c0261a85c643d83aaed87a9c6669a64a5e3b6.jpg?v=1786571231"]</t>
        </is>
      </c>
    </row>
    <row r="22" ht="66" customHeight="1">
      <c r="A22" s="2" t="inlineStr">
        <is>
          <t>jeminise.com+custom-bible-verse-photo-blanket-personalized-christian-gift-for-her</t>
        </is>
      </c>
      <c r="B22" s="2" t="inlineStr">
        <is>
          <t>qaimg_106c69ddebae5f56</t>
        </is>
      </c>
      <c r="C22" s="4" t="inlineStr">
        <is>
          <t>https://cdn.shopify.com/s/files/1/0792/5098/1063/files/e9d38cd833a6cfcefee0c7c7f1ae18d64f0606b9796df1dde3b1444731270052.jpg?v=1786571232</t>
        </is>
      </c>
      <c r="D22" s="4" t="inlineStr">
        <is>
          <t>https://cdn.shopify.com/s/files/1/0792/5098/1063/files/e9d38cd833a6cfcefee0c7c7f1ae18d64f0606b9796df1dde3b1444731270052.jpg?v=1786571232</t>
        </is>
      </c>
      <c r="E22" s="2" t="inlineStr">
        <is>
          <t>47826788024519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2026-09-09T05:23:45+07:00</t>
        </is>
      </c>
      <c r="J22" s="2" t="inlineStr">
        <is>
          <t>QA opened 043_07.jpg (1000x1000) and confirmed: Bedroom reading lifestyle image with God Says I Am Christian blanket spread across the bed.</t>
        </is>
      </c>
      <c r="K22" s="2" t="inlineStr">
        <is>
          <t>Bedroom reading lifestyle image with God Says I Am Christian blanket spread across the bed.</t>
        </is>
      </c>
      <c r="L22" s="2" t="inlineStr">
        <is>
          <t>SET</t>
        </is>
      </c>
      <c r="M22" s="2" t="inlineStr">
        <is>
          <t>Christian affirmation blanket bedroom lifestyle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["seo_runs\\jeminise.com\\20260906_234129\\qa\\20260909_052334\\images\\043_07.jpg", "https://cdn.shopify.com/s/files/1/0792/5098/1063/files/e9d38cd833a6cfcefee0c7c7f1ae18d64f0606b9796df1dde3b1444731270052.jpg?v=1786571232"]</t>
        </is>
      </c>
    </row>
    <row r="23" ht="66" customHeight="1">
      <c r="A23" s="3" t="inlineStr">
        <is>
          <t>jeminise.com+custom-cardinals-on-flowering-branches-quilt-47d5316f3d-47d5316f3d</t>
        </is>
      </c>
      <c r="B23" s="3" t="inlineStr">
        <is>
          <t>qaimg_8b388c7f543f3958</t>
        </is>
      </c>
      <c r="C23" s="4" t="inlineStr">
        <is>
          <t>https://cdn.shopify.com/s/files/1/0792/5098/1063/files/9575f77a09e36399cd5f068645bc87d6039e51fdff8c055143a7aa9670d749a7.jpg?v=1785099357</t>
        </is>
      </c>
      <c r="D23" s="4" t="inlineStr">
        <is>
          <t>https://cdn.shopify.com/s/files/1/0792/5098/1063/files/9575f77a09e36399cd5f068645bc87d6039e51fdff8c055143a7aa9670d749a7.jpg?v=1785099357</t>
        </is>
      </c>
      <c r="E23" s="3" t="inlineStr">
        <is>
          <t>47540029587655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2026-09-09T05:23:45+07:00</t>
        </is>
      </c>
      <c r="J23" s="3" t="inlineStr">
        <is>
          <t>QA opened 044_01.jpg (1200x1200) and confirmed: Cardinal flowering branches quilt bed mockup with red birds, white blossoms, gray background and matching shams.</t>
        </is>
      </c>
      <c r="K23" s="3" t="inlineStr">
        <is>
          <t>Cardinal flowering branches quilt bed mockup with red birds, white blossoms, gray background and matching shams.</t>
        </is>
      </c>
      <c r="L23" s="3" t="inlineStr">
        <is>
          <t>SET</t>
        </is>
      </c>
      <c r="M23" s="3" t="inlineStr">
        <is>
          <t>Cardinal flowering branches quilt set on bed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["seo_runs\\jeminise.com\\20260906_234129\\qa\\20260909_052334\\images\\044_01.jpg", "https://cdn.shopify.com/s/files/1/0792/5098/1063/files/9575f77a09e36399cd5f068645bc87d6039e51fdff8c055143a7aa9670d749a7.jpg?v=1785099357"]</t>
        </is>
      </c>
    </row>
    <row r="24" ht="66" customHeight="1">
      <c r="A24" s="2" t="inlineStr">
        <is>
          <t>jeminise.com+custom-cardinals-on-flowering-branches-quilt-47d5316f3d-47d5316f3d</t>
        </is>
      </c>
      <c r="B24" s="2" t="inlineStr">
        <is>
          <t>qaimg_285bb15016fec170</t>
        </is>
      </c>
      <c r="C24" s="4" t="inlineStr">
        <is>
          <t>https://cdn.shopify.com/s/files/1/0792/5098/1063/files/4b8dbefabdfb2866d0b96afe10769c61e74e99e7ee5ddd0148929b1e3e335045.jpg?v=1785099357</t>
        </is>
      </c>
      <c r="D24" s="4" t="inlineStr">
        <is>
          <t>https://cdn.shopify.com/s/files/1/0792/5098/1063/files/4b8dbefabdfb2866d0b96afe10769c61e74e99e7ee5ddd0148929b1e3e335045.jpg?v=1785099357</t>
        </is>
      </c>
      <c r="E24" s="2" t="inlineStr">
        <is>
          <t>47540029620423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2026-09-09T05:23:45+07:00</t>
        </is>
      </c>
      <c r="J24" s="2" t="inlineStr">
        <is>
          <t>QA opened 044_02.jpg (1200x1200) and confirmed: Close-up of red cardinal on flowering branch with visible printed stitching texture.</t>
        </is>
      </c>
      <c r="K24" s="2" t="inlineStr">
        <is>
          <t>Close-up of red cardinal on flowering branch with visible printed stitching texture.</t>
        </is>
      </c>
      <c r="L24" s="2" t="inlineStr">
        <is>
          <t>SET</t>
        </is>
      </c>
      <c r="M24" s="2" t="inlineStr">
        <is>
          <t>Cardinal flowering branches quilt close-up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["seo_runs\\jeminise.com\\20260906_234129\\qa\\20260909_052334\\images\\044_02.jpg", "https://cdn.shopify.com/s/files/1/0792/5098/1063/files/4b8dbefabdfb2866d0b96afe10769c61e74e99e7ee5ddd0148929b1e3e335045.jpg?v=1785099357"]</t>
        </is>
      </c>
    </row>
    <row r="25" ht="66" customHeight="1">
      <c r="A25" s="3" t="inlineStr">
        <is>
          <t>jeminise.com+custom-cardinals-on-flowering-branches-quilt-47d5316f3d-47d5316f3d</t>
        </is>
      </c>
      <c r="B25" s="3" t="inlineStr">
        <is>
          <t>qaimg_905ce2dfa4ee73ad</t>
        </is>
      </c>
      <c r="C25" s="4" t="inlineStr">
        <is>
          <t>https://cdn.shopify.com/s/files/1/0792/5098/1063/files/e6dea2251ee4448ea2ecc83d581cc7f70a13339c4e97d07ebf3f1184296e6d4d.jpg?v=1785099357</t>
        </is>
      </c>
      <c r="D25" s="4" t="inlineStr">
        <is>
          <t>https://cdn.shopify.com/s/files/1/0792/5098/1063/files/e6dea2251ee4448ea2ecc83d581cc7f70a13339c4e97d07ebf3f1184296e6d4d.jpg?v=1785099357</t>
        </is>
      </c>
      <c r="E25" s="3" t="inlineStr">
        <is>
          <t>47540029653191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2026-09-09T05:23:45+07:00</t>
        </is>
      </c>
      <c r="J25" s="3" t="inlineStr">
        <is>
          <t>QA opened 044_03.jpg (1200x1200) and confirmed: Matching pillow sham with two red cardinals and white flowering branches.</t>
        </is>
      </c>
      <c r="K25" s="3" t="inlineStr">
        <is>
          <t>Matching pillow sham with two red cardinals and white flowering branches.</t>
        </is>
      </c>
      <c r="L25" s="3" t="inlineStr">
        <is>
          <t>SET</t>
        </is>
      </c>
      <c r="M25" s="3" t="inlineStr">
        <is>
          <t>Cardinal flowering branches pillow sham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["seo_runs\\jeminise.com\\20260906_234129\\qa\\20260909_052334\\images\\044_03.jpg", "https://cdn.shopify.com/s/files/1/0792/5098/1063/files/e6dea2251ee4448ea2ecc83d581cc7f70a13339c4e97d07ebf3f1184296e6d4d.jpg?v=1785099357"]</t>
        </is>
      </c>
    </row>
    <row r="26" ht="66" customHeight="1">
      <c r="A26" s="2" t="inlineStr">
        <is>
          <t>jeminise.com+custom-cardinals-on-flowering-branches-quilt-47d5316f3d-47d5316f3d</t>
        </is>
      </c>
      <c r="B26" s="2" t="inlineStr">
        <is>
          <t>qaimg_49e8c4646f295887</t>
        </is>
      </c>
      <c r="C26" s="4" t="inlineStr">
        <is>
          <t>https://cdn.shopify.com/s/files/1/0792/5098/1063/files/c1b284bd859514f393f0168612dc0c5ff965886cc7e02755fcc1d52e1bd327a8.jpg?v=1785099357</t>
        </is>
      </c>
      <c r="D26" s="4" t="inlineStr">
        <is>
          <t>https://cdn.shopify.com/s/files/1/0792/5098/1063/files/c1b284bd859514f393f0168612dc0c5ff965886cc7e02755fcc1d52e1bd327a8.jpg?v=1785099357</t>
        </is>
      </c>
      <c r="E26" s="2" t="inlineStr">
        <is>
          <t>47540029685959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2026-09-09T05:23:45+07:00</t>
        </is>
      </c>
      <c r="J26" s="2" t="inlineStr">
        <is>
          <t>QA opened 044_04.jpg (1200x1200) and confirmed: Angled bedroom mockup showing cardinal flowering branches quilt and coordinated pillows.</t>
        </is>
      </c>
      <c r="K26" s="2" t="inlineStr">
        <is>
          <t>Angled bedroom mockup showing cardinal flowering branches quilt and coordinated pillows.</t>
        </is>
      </c>
      <c r="L26" s="2" t="inlineStr">
        <is>
          <t>SET</t>
        </is>
      </c>
      <c r="M26" s="2" t="inlineStr">
        <is>
          <t>Cardinal flowering branches quilt room mockup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["seo_runs\\jeminise.com\\20260906_234129\\qa\\20260909_052334\\images\\044_04.jpg", "https://cdn.shopify.com/s/files/1/0792/5098/1063/files/c1b284bd859514f393f0168612dc0c5ff965886cc7e02755fcc1d52e1bd327a8.jpg?v=1785099357"]</t>
        </is>
      </c>
    </row>
    <row r="27" ht="66" customHeight="1">
      <c r="A27" s="3" t="inlineStr">
        <is>
          <t>jeminise.com+custom-cardinals-on-flowering-branches-quilt-47d5316f3d-47d5316f3d</t>
        </is>
      </c>
      <c r="B27" s="3" t="inlineStr">
        <is>
          <t>qaimg_88dcebc7af205e4c</t>
        </is>
      </c>
      <c r="C27" s="4" t="inlineStr">
        <is>
          <t>https://cdn.shopify.com/s/files/1/0792/5098/1063/files/b9ecd7acb9867d3dddcba683ef98ed213ccd45ad7b21c83750b3af21d8d606b0.jpg?v=1785099357</t>
        </is>
      </c>
      <c r="D27" s="4" t="inlineStr">
        <is>
          <t>https://cdn.shopify.com/s/files/1/0792/5098/1063/files/b9ecd7acb9867d3dddcba683ef98ed213ccd45ad7b21c83750b3af21d8d606b0.jpg?v=1785099357</t>
        </is>
      </c>
      <c r="E27" s="3" t="inlineStr">
        <is>
          <t>47540029718727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2026-09-09T05:23:45+07:00</t>
        </is>
      </c>
      <c r="J27" s="3" t="inlineStr">
        <is>
          <t>QA opened 044_05.jpg (1200x1200) and confirmed: Quilt set size and component panel showing one premium quilt and two optional standard shams.</t>
        </is>
      </c>
      <c r="K27" s="3" t="inlineStr">
        <is>
          <t>Quilt set size and component panel showing one premium quilt and two optional standard shams.</t>
        </is>
      </c>
      <c r="L27" s="3" t="inlineStr">
        <is>
          <t>SET</t>
        </is>
      </c>
      <c r="M27" s="3" t="inlineStr">
        <is>
          <t>Cardinal flowering branches quilt size options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["seo_runs\\jeminise.com\\20260906_234129\\qa\\20260909_052334\\images\\044_05.jpg", "https://cdn.shopify.com/s/files/1/0792/5098/1063/files/b9ecd7acb9867d3dddcba683ef98ed213ccd45ad7b21c83750b3af21d8d606b0.jpg?v=1785099357"]</t>
        </is>
      </c>
    </row>
    <row r="28" ht="66" customHeight="1">
      <c r="A28" s="2" t="inlineStr">
        <is>
          <t>jeminise.com+custom-tree-of-life-quilt-set-yggdrasil-bedding-019f2b38a4-019f2b38a4</t>
        </is>
      </c>
      <c r="B28" s="2" t="inlineStr">
        <is>
          <t>qaimg_2d27e9f346307a03</t>
        </is>
      </c>
      <c r="C28" s="4" t="inlineStr">
        <is>
          <t>https://cdn.shopify.com/s/files/1/0792/5098/1063/files/cbd5bec77037adf2205dbf25184e33c4da62c7d9bcfcf65c48f951530c949183.jpg?v=1785047557</t>
        </is>
      </c>
      <c r="D28" s="4" t="inlineStr">
        <is>
          <t>https://cdn.shopify.com/s/files/1/0792/5098/1063/files/cbd5bec77037adf2205dbf25184e33c4da62c7d9bcfcf65c48f951530c949183.jpg?v=1785047557</t>
        </is>
      </c>
      <c r="E28" s="2" t="inlineStr">
        <is>
          <t>47532032164039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2026-09-09T05:23:45+07:00</t>
        </is>
      </c>
      <c r="J28" s="2" t="inlineStr">
        <is>
          <t>QA opened 045_01.jpg (1200x1200) and confirmed: Colorful mosaic Tree of Life quilt bed mockup with sunburst sky, blue hills and matching pillow shams.</t>
        </is>
      </c>
      <c r="K28" s="2" t="inlineStr">
        <is>
          <t>Colorful mosaic Tree of Life quilt bed mockup with sunburst sky, blue hills and matching pillow shams.</t>
        </is>
      </c>
      <c r="L28" s="2" t="inlineStr">
        <is>
          <t>SET</t>
        </is>
      </c>
      <c r="M28" s="2" t="inlineStr">
        <is>
          <t>Colorful Tree of Life quilt set on bed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["seo_runs\\jeminise.com\\20260906_234129\\qa\\20260909_052334\\images\\045_01.jpg", "https://cdn.shopify.com/s/files/1/0792/5098/1063/files/cbd5bec77037adf2205dbf25184e33c4da62c7d9bcfcf65c48f951530c949183.jpg?v=1785047557"]</t>
        </is>
      </c>
    </row>
    <row r="29" ht="66" customHeight="1">
      <c r="A29" s="3" t="inlineStr">
        <is>
          <t>jeminise.com+custom-tree-of-life-quilt-set-yggdrasil-bedding-019f2b38a4-019f2b38a4</t>
        </is>
      </c>
      <c r="B29" s="3" t="inlineStr">
        <is>
          <t>qaimg_e9d0066f75dd07e6</t>
        </is>
      </c>
      <c r="C29" s="4" t="inlineStr">
        <is>
          <t>https://cdn.shopify.com/s/files/1/0792/5098/1063/files/23ffda708dc3ec814d65f9ddad5a342341172c0b0ba83dd4269ee04c1e31257d.jpg?v=1785047557</t>
        </is>
      </c>
      <c r="D29" s="4" t="inlineStr">
        <is>
          <t>https://cdn.shopify.com/s/files/1/0792/5098/1063/files/23ffda708dc3ec814d65f9ddad5a342341172c0b0ba83dd4269ee04c1e31257d.jpg?v=1785047557</t>
        </is>
      </c>
      <c r="E29" s="3" t="inlineStr">
        <is>
          <t>47532032196807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2026-09-09T05:23:45+07:00</t>
        </is>
      </c>
      <c r="J29" s="3" t="inlineStr">
        <is>
          <t>QA opened 045_02.jpg (1200x1200) and confirmed: Bedroom mockup with colorful Tree of Life quilt and premium printed craft callout.</t>
        </is>
      </c>
      <c r="K29" s="3" t="inlineStr">
        <is>
          <t>Bedroom mockup with colorful Tree of Life quilt and premium printed craft callout.</t>
        </is>
      </c>
      <c r="L29" s="3" t="inlineStr">
        <is>
          <t>SET</t>
        </is>
      </c>
      <c r="M29" s="3" t="inlineStr">
        <is>
          <t>Colorful Tree of Life quilt room mockup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["seo_runs\\jeminise.com\\20260906_234129\\qa\\20260909_052334\\images\\045_02.jpg", "https://cdn.shopify.com/s/files/1/0792/5098/1063/files/23ffda708dc3ec814d65f9ddad5a342341172c0b0ba83dd4269ee04c1e31257d.jpg?v=1785047557"]</t>
        </is>
      </c>
    </row>
    <row r="30" ht="66" customHeight="1">
      <c r="A30" s="2" t="inlineStr">
        <is>
          <t>jeminise.com+custom-tree-of-life-quilt-set-yggdrasil-bedding-019f2b38a4-019f2b38a4</t>
        </is>
      </c>
      <c r="B30" s="2" t="inlineStr">
        <is>
          <t>qaimg_62dd0f5ec357882b</t>
        </is>
      </c>
      <c r="C30" s="4" t="inlineStr">
        <is>
          <t>https://cdn.shopify.com/s/files/1/0792/5098/1063/files/b466ae44c3708cbb30c0d0caf6d1527fe408507e2969267fe97baf909b85d791.jpg?v=1785047557</t>
        </is>
      </c>
      <c r="D30" s="4" t="inlineStr">
        <is>
          <t>https://cdn.shopify.com/s/files/1/0792/5098/1063/files/b466ae44c3708cbb30c0d0caf6d1527fe408507e2969267fe97baf909b85d791.jpg?v=1785047557</t>
        </is>
      </c>
      <c r="E30" s="2" t="inlineStr">
        <is>
          <t>47532032229575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2026-09-09T05:23:45+07:00</t>
        </is>
      </c>
      <c r="J30" s="2" t="inlineStr">
        <is>
          <t>QA opened 045_03.jpg (1200x1200) and confirmed: Optional pillow shams panel showing matching Tree of Life artwork and feature icons.</t>
        </is>
      </c>
      <c r="K30" s="2" t="inlineStr">
        <is>
          <t>Optional pillow shams panel showing matching Tree of Life artwork and feature icons.</t>
        </is>
      </c>
      <c r="L30" s="2" t="inlineStr">
        <is>
          <t>SET</t>
        </is>
      </c>
      <c r="M30" s="2" t="inlineStr">
        <is>
          <t>Colorful Tree of Life quilt optional pillow shams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["seo_runs\\jeminise.com\\20260906_234129\\qa\\20260909_052334\\images\\045_03.jpg", "https://cdn.shopify.com/s/files/1/0792/5098/1063/files/b466ae44c3708cbb30c0d0caf6d1527fe408507e2969267fe97baf909b85d791.jpg?v=1785047557"]</t>
        </is>
      </c>
    </row>
    <row r="31" ht="66" customHeight="1">
      <c r="A31" s="3" t="inlineStr">
        <is>
          <t>jeminise.com+custom-tree-of-life-quilt-set-yggdrasil-bedding-019f2b38a4-019f2b38a4</t>
        </is>
      </c>
      <c r="B31" s="3" t="inlineStr">
        <is>
          <t>qaimg_183c7e169c55ac51</t>
        </is>
      </c>
      <c r="C31" s="4" t="inlineStr">
        <is>
          <t>https://cdn.shopify.com/s/files/1/0792/5098/1063/files/ab686e5bcd9e43b0d7425b73d04cc3e11df03298877e89428bd239b57f2905c4.jpg?v=1785047557</t>
        </is>
      </c>
      <c r="D31" s="4" t="inlineStr">
        <is>
          <t>https://cdn.shopify.com/s/files/1/0792/5098/1063/files/ab686e5bcd9e43b0d7425b73d04cc3e11df03298877e89428bd239b57f2905c4.jpg?v=1785047557</t>
        </is>
      </c>
      <c r="E31" s="3" t="inlineStr">
        <is>
          <t>47532032262343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2026-09-09T05:23:45+07:00</t>
        </is>
      </c>
      <c r="J31" s="3" t="inlineStr">
        <is>
          <t>QA opened 045_04.jpg (1200x1200) and confirmed: Fabric panel showing quilt layers with soft breathable skin-friendly fabric callout.</t>
        </is>
      </c>
      <c r="K31" s="3" t="inlineStr">
        <is>
          <t>Fabric panel showing quilt layers with soft breathable skin-friendly fabric callout.</t>
        </is>
      </c>
      <c r="L31" s="3" t="inlineStr">
        <is>
          <t>SET</t>
        </is>
      </c>
      <c r="M31" s="3" t="inlineStr">
        <is>
          <t>Colorful Tree of Life quilt fabric feature panel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["seo_runs\\jeminise.com\\20260906_234129\\qa\\20260909_052334\\images\\045_04.jpg", "https://cdn.shopify.com/s/files/1/0792/5098/1063/files/ab686e5bcd9e43b0d7425b73d04cc3e11df03298877e89428bd239b57f2905c4.jpg?v=1785047557"]</t>
        </is>
      </c>
    </row>
    <row r="32" ht="66" customHeight="1">
      <c r="A32" s="2" t="inlineStr">
        <is>
          <t>jeminise.com+custom-tree-of-life-quilt-set-yggdrasil-bedding-019f2b38a4-019f2b38a4</t>
        </is>
      </c>
      <c r="B32" s="2" t="inlineStr">
        <is>
          <t>qaimg_58d3b6fe9ce54982</t>
        </is>
      </c>
      <c r="C32" s="4" t="inlineStr">
        <is>
          <t>https://cdn.shopify.com/s/files/1/0792/5098/1063/files/9cead3e10d180201016171953dc0fc85f5892fadcb0fc954460d73a834ba58a0.jpg?v=1785047556</t>
        </is>
      </c>
      <c r="D32" s="4" t="inlineStr">
        <is>
          <t>https://cdn.shopify.com/s/files/1/0792/5098/1063/files/9cead3e10d180201016171953dc0fc85f5892fadcb0fc954460d73a834ba58a0.jpg?v=1785047556</t>
        </is>
      </c>
      <c r="E32" s="2" t="inlineStr">
        <is>
          <t>47532032295111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2026-09-09T05:23:45+07:00</t>
        </is>
      </c>
      <c r="J32" s="2" t="inlineStr">
        <is>
          <t>QA opened 045_05.jpg (1200x1200) and confirmed: Premium quilt set size chart with Throw, Twin, Full, Queen and King dimensions.</t>
        </is>
      </c>
      <c r="K32" s="2" t="inlineStr">
        <is>
          <t>Premium quilt set size chart with Throw, Twin, Full, Queen and King dimensions.</t>
        </is>
      </c>
      <c r="L32" s="2" t="inlineStr">
        <is>
          <t>SET</t>
        </is>
      </c>
      <c r="M32" s="2" t="inlineStr">
        <is>
          <t>Colorful Tree of Life quilt size chart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["seo_runs\\jeminise.com\\20260906_234129\\qa\\20260909_052334\\images\\045_05.jpg", "https://cdn.shopify.com/s/files/1/0792/5098/1063/files/9cead3e10d180201016171953dc0fc85f5892fadcb0fc954460d73a834ba58a0.jpg?v=1785047556"]</t>
        </is>
      </c>
    </row>
    <row r="33" ht="66" customHeight="1">
      <c r="A33" s="3" t="inlineStr">
        <is>
          <t>jeminise.com+custom-tree-of-life-quilt-set-yggdrasil-bedding-019f2b38a4-019f2b38a4</t>
        </is>
      </c>
      <c r="B33" s="3" t="inlineStr">
        <is>
          <t>qaimg_fc75ad68a77c82c9</t>
        </is>
      </c>
      <c r="C33" s="4" t="inlineStr">
        <is>
          <t>https://cdn.shopify.com/s/files/1/0792/5098/1063/files/96dcf378423aa82f4bfeea73a2dacc036fedbb92b4a3c90950f13f7f87ea07f3.jpg?v=1785047557</t>
        </is>
      </c>
      <c r="D33" s="4" t="inlineStr">
        <is>
          <t>https://cdn.shopify.com/s/files/1/0792/5098/1063/files/96dcf378423aa82f4bfeea73a2dacc036fedbb92b4a3c90950f13f7f87ea07f3.jpg?v=1785047557</t>
        </is>
      </c>
      <c r="E33" s="3" t="inlineStr">
        <is>
          <t>47532032327879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2026-09-09T05:23:45+07:00</t>
        </is>
      </c>
      <c r="J33" s="3" t="inlineStr">
        <is>
          <t>QA opened 045_06.jpg (1200x1200) and confirmed: Bedspread features panel showing microfiber layers and care-resistance icons.</t>
        </is>
      </c>
      <c r="K33" s="3" t="inlineStr">
        <is>
          <t>Bedspread features panel showing microfiber layers and care-resistance icons.</t>
        </is>
      </c>
      <c r="L33" s="3" t="inlineStr">
        <is>
          <t>SET</t>
        </is>
      </c>
      <c r="M33" s="3" t="inlineStr">
        <is>
          <t>Colorful Tree of Life quilt bedspread features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["seo_runs\\jeminise.com\\20260906_234129\\qa\\20260909_052334\\images\\045_06.jpg", "https://cdn.shopify.com/s/files/1/0792/5098/1063/files/96dcf378423aa82f4bfeea73a2dacc036fedbb92b4a3c90950f13f7f87ea07f3.jpg?v=1785047557"]</t>
        </is>
      </c>
    </row>
    <row r="34" ht="66" customHeight="1">
      <c r="A34" s="2" t="inlineStr">
        <is>
          <t>jeminise.com+custom-tree-of-life-quilt-set-yggdrasil-bedding-019f2b38a4-019f2b38a4</t>
        </is>
      </c>
      <c r="B34" s="2" t="inlineStr">
        <is>
          <t>qaimg_eed90e147167f0fe</t>
        </is>
      </c>
      <c r="C34" s="4" t="inlineStr">
        <is>
          <t>https://cdn.shopify.com/s/files/1/0792/5098/1063/files/7948c621d952c055974f0de2ba56d008b3bc9e871506efc33088690a2042a4b5.jpg?v=1785047557</t>
        </is>
      </c>
      <c r="D34" s="4" t="inlineStr">
        <is>
          <t>https://cdn.shopify.com/s/files/1/0792/5098/1063/files/7948c621d952c055974f0de2ba56d008b3bc9e871506efc33088690a2042a4b5.jpg?v=1785047557</t>
        </is>
      </c>
      <c r="E34" s="2" t="inlineStr">
        <is>
          <t>47532032360647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2026-09-09T05:23:45+07:00</t>
        </is>
      </c>
      <c r="J34" s="2" t="inlineStr">
        <is>
          <t>QA opened 045_07.jpg (1200x1200) and confirmed: Overhead bedroom mockup showing colorful Tree of Life quilt with matching pillows.</t>
        </is>
      </c>
      <c r="K34" s="2" t="inlineStr">
        <is>
          <t>Overhead bedroom mockup showing colorful Tree of Life quilt with matching pillows.</t>
        </is>
      </c>
      <c r="L34" s="2" t="inlineStr">
        <is>
          <t>SET</t>
        </is>
      </c>
      <c r="M34" s="2" t="inlineStr">
        <is>
          <t>Colorful Tree of Life quilt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["seo_runs\\jeminise.com\\20260906_234129\\qa\\20260909_052334\\images\\045_07.jpg", "https://cdn.shopify.com/s/files/1/0792/5098/1063/files/7948c621d952c055974f0de2ba56d008b3bc9e871506efc33088690a2042a4b5.jpg?v=1785047557"]</t>
        </is>
      </c>
    </row>
    <row r="35" ht="66" customHeight="1">
      <c r="A35" s="3" t="inlineStr">
        <is>
          <t>jeminise.com+custom-tree-of-life-quilt-set-yggdrasil-celtic-patterns-908827b1df-908827b1df</t>
        </is>
      </c>
      <c r="B35" s="3" t="inlineStr">
        <is>
          <t>qaimg_02ed511d5659adfe</t>
        </is>
      </c>
      <c r="C35" s="4" t="inlineStr">
        <is>
          <t>https://cdn.shopify.com/s/files/1/0792/5098/1063/files/ce9616f3d6428a4fee0ac30bc9089af78cb0c804e3542ab8b82c6e275e44020d.jpg?v=1785047264</t>
        </is>
      </c>
      <c r="D35" s="4" t="inlineStr">
        <is>
          <t>https://cdn.shopify.com/s/files/1/0792/5098/1063/files/ce9616f3d6428a4fee0ac30bc9089af78cb0c804e3542ab8b82c6e275e44020d.jpg?v=1785047264</t>
        </is>
      </c>
      <c r="E35" s="3" t="inlineStr">
        <is>
          <t>47531963744455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2026-09-09T05:23:45+07:00</t>
        </is>
      </c>
      <c r="J35" s="3" t="inlineStr">
        <is>
          <t>QA opened 046_01.jpg (1200x1200) and confirmed: Fantasy Tree of Life quilt bed mockup with blue tree, central eye motif, moon-like shapes and gray Celtic border.</t>
        </is>
      </c>
      <c r="K35" s="3" t="inlineStr">
        <is>
          <t>Fantasy Tree of Life quilt bed mockup with blue tree, central eye motif, moon-like shapes and gray Celtic border.</t>
        </is>
      </c>
      <c r="L35" s="3" t="inlineStr">
        <is>
          <t>SET</t>
        </is>
      </c>
      <c r="M35" s="3" t="inlineStr">
        <is>
          <t>Fantasy Tree of Life quilt set on bed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["seo_runs\\jeminise.com\\20260906_234129\\qa\\20260909_052334\\images\\046_01.jpg", "https://cdn.shopify.com/s/files/1/0792/5098/1063/files/ce9616f3d6428a4fee0ac30bc9089af78cb0c804e3542ab8b82c6e275e44020d.jpg?v=1785047264"]</t>
        </is>
      </c>
    </row>
    <row r="36" ht="66" customHeight="1">
      <c r="A36" s="2" t="inlineStr">
        <is>
          <t>jeminise.com+custom-tree-of-life-quilt-set-yggdrasil-celtic-patterns-908827b1df-908827b1df</t>
        </is>
      </c>
      <c r="B36" s="2" t="inlineStr">
        <is>
          <t>qaimg_75645745d6204315</t>
        </is>
      </c>
      <c r="C36" s="4" t="inlineStr">
        <is>
          <t>https://cdn.shopify.com/s/files/1/0792/5098/1063/files/7d45a55f9c0522d304f763fb5f92835032f8e2f4f4fe7b175bcc8f62cc0778c6.jpg?v=1785047264</t>
        </is>
      </c>
      <c r="D36" s="4" t="inlineStr">
        <is>
          <t>https://cdn.shopify.com/s/files/1/0792/5098/1063/files/7d45a55f9c0522d304f763fb5f92835032f8e2f4f4fe7b175bcc8f62cc0778c6.jpg?v=1785047264</t>
        </is>
      </c>
      <c r="E36" s="2" t="inlineStr">
        <is>
          <t>47531963777223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2026-09-09T05:23:45+07:00</t>
        </is>
      </c>
      <c r="J36" s="2" t="inlineStr">
        <is>
          <t>QA opened 046_02.jpg (1200x1200) and confirmed: Bedroom mockup with fantasy Tree of Life quilt and premium printed craft callout.</t>
        </is>
      </c>
      <c r="K36" s="2" t="inlineStr">
        <is>
          <t>Bedroom mockup with fantasy Tree of Life quilt and premium printed craft callout.</t>
        </is>
      </c>
      <c r="L36" s="2" t="inlineStr">
        <is>
          <t>SET</t>
        </is>
      </c>
      <c r="M36" s="2" t="inlineStr">
        <is>
          <t>Fantasy Tree of Life quilt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["seo_runs\\jeminise.com\\20260906_234129\\qa\\20260909_052334\\images\\046_02.jpg", "https://cdn.shopify.com/s/files/1/0792/5098/1063/files/7d45a55f9c0522d304f763fb5f92835032f8e2f4f4fe7b175bcc8f62cc0778c6.jpg?v=1785047264"]</t>
        </is>
      </c>
    </row>
    <row r="37" ht="66" customHeight="1">
      <c r="A37" s="3" t="inlineStr">
        <is>
          <t>jeminise.com+custom-tree-of-life-quilt-set-yggdrasil-celtic-patterns-908827b1df-908827b1df</t>
        </is>
      </c>
      <c r="B37" s="3" t="inlineStr">
        <is>
          <t>qaimg_25fd3db00a9fb0f4</t>
        </is>
      </c>
      <c r="C37" s="4" t="inlineStr">
        <is>
          <t>https://cdn.shopify.com/s/files/1/0792/5098/1063/files/c6ed8b47b815bfc728e934c22e39642f8d3fde9e3e2990572de7817bad792ef2.jpg?v=1785047264</t>
        </is>
      </c>
      <c r="D37" s="4" t="inlineStr">
        <is>
          <t>https://cdn.shopify.com/s/files/1/0792/5098/1063/files/c6ed8b47b815bfc728e934c22e39642f8d3fde9e3e2990572de7817bad792ef2.jpg?v=1785047264</t>
        </is>
      </c>
      <c r="E37" s="3" t="inlineStr">
        <is>
          <t>47531963809991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2026-09-09T05:23:45+07:00</t>
        </is>
      </c>
      <c r="J37" s="3" t="inlineStr">
        <is>
          <t>QA opened 046_03.jpg (1200x1200) and confirmed: Optional pillow shams panel showing matching central-eye Tree of Life artwork.</t>
        </is>
      </c>
      <c r="K37" s="3" t="inlineStr">
        <is>
          <t>Optional pillow shams panel showing matching central-eye Tree of Life artwork.</t>
        </is>
      </c>
      <c r="L37" s="3" t="inlineStr">
        <is>
          <t>SET</t>
        </is>
      </c>
      <c r="M37" s="3" t="inlineStr">
        <is>
          <t>Fantasy Tree of Life quilt optional pillow shams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["seo_runs\\jeminise.com\\20260906_234129\\qa\\20260909_052334\\images\\046_03.jpg", "https://cdn.shopify.com/s/files/1/0792/5098/1063/files/c6ed8b47b815bfc728e934c22e39642f8d3fde9e3e2990572de7817bad792ef2.jpg?v=1785047264"]</t>
        </is>
      </c>
    </row>
    <row r="38" ht="66" customHeight="1">
      <c r="A38" s="2" t="inlineStr">
        <is>
          <t>jeminise.com+custom-tree-of-life-quilt-set-yggdrasil-celtic-patterns-908827b1df-908827b1df</t>
        </is>
      </c>
      <c r="B38" s="2" t="inlineStr">
        <is>
          <t>qaimg_46a0acbda4db702b</t>
        </is>
      </c>
      <c r="C38" s="4" t="inlineStr">
        <is>
          <t>https://cdn.shopify.com/s/files/1/0792/5098/1063/files/6d2b5003a6fc80ddea86a4386a4e74fcf1be9f6fc7fed2e60b94350e04d826ca.jpg?v=1785047264</t>
        </is>
      </c>
      <c r="D38" s="4" t="inlineStr">
        <is>
          <t>https://cdn.shopify.com/s/files/1/0792/5098/1063/files/6d2b5003a6fc80ddea86a4386a4e74fcf1be9f6fc7fed2e60b94350e04d826ca.jpg?v=1785047264</t>
        </is>
      </c>
      <c r="E38" s="2" t="inlineStr">
        <is>
          <t>47531963842759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2026-09-09T05:23:45+07:00</t>
        </is>
      </c>
      <c r="J38" s="2" t="inlineStr">
        <is>
          <t>QA opened 046_04.jpg (1200x1200) and confirmed: Fabric panel showing quilt layers with soft breathable skin-friendly fabric callout.</t>
        </is>
      </c>
      <c r="K38" s="2" t="inlineStr">
        <is>
          <t>Fabric panel showing quilt layers with soft breathable skin-friendly fabric callout.</t>
        </is>
      </c>
      <c r="L38" s="2" t="inlineStr">
        <is>
          <t>SET</t>
        </is>
      </c>
      <c r="M38" s="2" t="inlineStr">
        <is>
          <t>Fantasy Tree of Life quilt fabric feature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["seo_runs\\jeminise.com\\20260906_234129\\qa\\20260909_052334\\images\\046_04.jpg", "https://cdn.shopify.com/s/files/1/0792/5098/1063/files/6d2b5003a6fc80ddea86a4386a4e74fcf1be9f6fc7fed2e60b94350e04d826ca.jpg?v=1785047264"]</t>
        </is>
      </c>
    </row>
    <row r="39" ht="66" customHeight="1">
      <c r="A39" s="3" t="inlineStr">
        <is>
          <t>jeminise.com+custom-tree-of-life-quilt-set-yggdrasil-celtic-patterns-908827b1df-908827b1df</t>
        </is>
      </c>
      <c r="B39" s="3" t="inlineStr">
        <is>
          <t>qaimg_9d50f880c9c0b0c2</t>
        </is>
      </c>
      <c r="C39" s="4" t="inlineStr">
        <is>
          <t>https://cdn.shopify.com/s/files/1/0792/5098/1063/files/9df553173cf44732a07c2299a75da0a932b37233f91b327f150d3d908255a7ce.jpg?v=1785047264</t>
        </is>
      </c>
      <c r="D39" s="4" t="inlineStr">
        <is>
          <t>https://cdn.shopify.com/s/files/1/0792/5098/1063/files/9df553173cf44732a07c2299a75da0a932b37233f91b327f150d3d908255a7ce.jpg?v=1785047264</t>
        </is>
      </c>
      <c r="E39" s="3" t="inlineStr">
        <is>
          <t>47531963875527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2026-09-09T05:23:45+07:00</t>
        </is>
      </c>
      <c r="J39" s="3" t="inlineStr">
        <is>
          <t>QA opened 046_05.jpg (1200x1200) and confirmed: Premium quilt set size chart with Throw, Twin, Full, Queen and King dimensions.</t>
        </is>
      </c>
      <c r="K39" s="3" t="inlineStr">
        <is>
          <t>Premium quilt set size chart with Throw, Twin, Full, Queen and King dimensions.</t>
        </is>
      </c>
      <c r="L39" s="3" t="inlineStr">
        <is>
          <t>SET</t>
        </is>
      </c>
      <c r="M39" s="3" t="inlineStr">
        <is>
          <t>Fantasy Tree of Life quilt size chart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["seo_runs\\jeminise.com\\20260906_234129\\qa\\20260909_052334\\images\\046_05.jpg", "https://cdn.shopify.com/s/files/1/0792/5098/1063/files/9df553173cf44732a07c2299a75da0a932b37233f91b327f150d3d908255a7ce.jpg?v=1785047264"]</t>
        </is>
      </c>
    </row>
    <row r="40" ht="66" customHeight="1">
      <c r="A40" s="2" t="inlineStr">
        <is>
          <t>jeminise.com+custom-tree-of-life-quilt-set-yggdrasil-celtic-patterns-908827b1df-908827b1df</t>
        </is>
      </c>
      <c r="B40" s="2" t="inlineStr">
        <is>
          <t>qaimg_353ea26ea93ffcf4</t>
        </is>
      </c>
      <c r="C40" s="4" t="inlineStr">
        <is>
          <t>https://cdn.shopify.com/s/files/1/0792/5098/1063/files/a806849c7fb5a059426d5b97f11d1785bfe5443515c51e73bfbd30e2d5f9a733.jpg?v=1785047264</t>
        </is>
      </c>
      <c r="D40" s="4" t="inlineStr">
        <is>
          <t>https://cdn.shopify.com/s/files/1/0792/5098/1063/files/a806849c7fb5a059426d5b97f11d1785bfe5443515c51e73bfbd30e2d5f9a733.jpg?v=1785047264</t>
        </is>
      </c>
      <c r="E40" s="2" t="inlineStr">
        <is>
          <t>47531963908295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2026-09-09T05:23:45+07:00</t>
        </is>
      </c>
      <c r="J40" s="2" t="inlineStr">
        <is>
          <t>QA opened 046_06.jpg (1200x1200) and confirmed: Bedspread features panel showing microfiber layers and care-resistance icons.</t>
        </is>
      </c>
      <c r="K40" s="2" t="inlineStr">
        <is>
          <t>Bedspread features panel showing microfiber layers and care-resistance icons.</t>
        </is>
      </c>
      <c r="L40" s="2" t="inlineStr">
        <is>
          <t>SET</t>
        </is>
      </c>
      <c r="M40" s="2" t="inlineStr">
        <is>
          <t>Fantasy Tree of Life quilt bedspread features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["seo_runs\\jeminise.com\\20260906_234129\\qa\\20260909_052334\\images\\046_06.jpg", "https://cdn.shopify.com/s/files/1/0792/5098/1063/files/a806849c7fb5a059426d5b97f11d1785bfe5443515c51e73bfbd30e2d5f9a733.jpg?v=1785047264"]</t>
        </is>
      </c>
    </row>
    <row r="41" ht="66" customHeight="1">
      <c r="A41" s="3" t="inlineStr">
        <is>
          <t>jeminise.com+custom-tree-of-life-quilt-set-yggdrasil-celtic-patterns-908827b1df-908827b1df</t>
        </is>
      </c>
      <c r="B41" s="3" t="inlineStr">
        <is>
          <t>qaimg_6f89cf8fe29d3942</t>
        </is>
      </c>
      <c r="C41" s="4" t="inlineStr">
        <is>
          <t>https://cdn.shopify.com/s/files/1/0792/5098/1063/files/7dd047a99d8f7c8aa39a81d2607f619ba4712708b8b0cadc387a608ca589b418.jpg?v=1785047264</t>
        </is>
      </c>
      <c r="D41" s="4" t="inlineStr">
        <is>
          <t>https://cdn.shopify.com/s/files/1/0792/5098/1063/files/7dd047a99d8f7c8aa39a81d2607f619ba4712708b8b0cadc387a608ca589b418.jpg?v=1785047264</t>
        </is>
      </c>
      <c r="E41" s="3" t="inlineStr">
        <is>
          <t>47531963941063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2026-09-09T05:23:45+07:00</t>
        </is>
      </c>
      <c r="J41" s="3" t="inlineStr">
        <is>
          <t>QA opened 046_07.jpg (1200x1200) and confirmed: Overhead bedroom mockup showing fantasy Tree of Life quilt with matching pillows.</t>
        </is>
      </c>
      <c r="K41" s="3" t="inlineStr">
        <is>
          <t>Overhead bedroom mockup showing fantasy Tree of Life quilt with matching pillows.</t>
        </is>
      </c>
      <c r="L41" s="3" t="inlineStr">
        <is>
          <t>SET</t>
        </is>
      </c>
      <c r="M41" s="3" t="inlineStr">
        <is>
          <t>Fantasy Tree of Life quilt overhead view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["seo_runs\\jeminise.com\\20260906_234129\\qa\\20260909_052334\\images\\046_07.jpg", "https://cdn.shopify.com/s/files/1/0792/5098/1063/files/7dd047a99d8f7c8aa39a81d2607f619ba4712708b8b0cadc387a608ca589b418.jpg?v=1785047264"]</t>
        </is>
      </c>
    </row>
    <row r="42" ht="66" customHeight="1">
      <c r="A42" s="2" t="inlineStr">
        <is>
          <t>jeminise.com+custom-tree-of-life-quilt-set-yggdrasil-bedding-5048da8f29-5048da8f29</t>
        </is>
      </c>
      <c r="B42" s="2" t="inlineStr">
        <is>
          <t>qaimg_ad6c1c6838ff02a5</t>
        </is>
      </c>
      <c r="C42" s="4" t="inlineStr">
        <is>
          <t>https://cdn.shopify.com/s/files/1/0792/5098/1063/files/8eae218010f8b5ffed66786a7651624283523e9769645b4a4bbf1b2d94796559.jpg?v=1785047476</t>
        </is>
      </c>
      <c r="D42" s="4" t="inlineStr">
        <is>
          <t>https://cdn.shopify.com/s/files/1/0792/5098/1063/files/8eae218010f8b5ffed66786a7651624283523e9769645b4a4bbf1b2d94796559.jpg?v=1785047476</t>
        </is>
      </c>
      <c r="E42" s="2" t="inlineStr">
        <is>
          <t>47532028002503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2026-09-09T05:23:45+07:00</t>
        </is>
      </c>
      <c r="J42" s="2" t="inlineStr">
        <is>
          <t>QA opened 047_01.jpg (1200x1200) and confirmed: Celtic Yggdrasil Tree of Life quilt bed mockup with green branches, intertwined roots and circular knotwork border.</t>
        </is>
      </c>
      <c r="K42" s="2" t="inlineStr">
        <is>
          <t>Celtic Yggdrasil Tree of Life quilt bed mockup with green branches, intertwined roots and circular knotwork border.</t>
        </is>
      </c>
      <c r="L42" s="2" t="inlineStr">
        <is>
          <t>SET</t>
        </is>
      </c>
      <c r="M42" s="2" t="inlineStr">
        <is>
          <t>Celtic Yggdrasil Tree of Life quilt set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["seo_runs\\jeminise.com\\20260906_234129\\qa\\20260909_052334\\images\\047_01.jpg", "https://cdn.shopify.com/s/files/1/0792/5098/1063/files/8eae218010f8b5ffed66786a7651624283523e9769645b4a4bbf1b2d94796559.jpg?v=1785047476"]</t>
        </is>
      </c>
    </row>
    <row r="43" ht="66" customHeight="1">
      <c r="A43" s="3" t="inlineStr">
        <is>
          <t>jeminise.com+custom-tree-of-life-quilt-set-yggdrasil-bedding-5048da8f29-5048da8f29</t>
        </is>
      </c>
      <c r="B43" s="3" t="inlineStr">
        <is>
          <t>qaimg_78f1ebeabab1ea8a</t>
        </is>
      </c>
      <c r="C43" s="4" t="inlineStr">
        <is>
          <t>https://cdn.shopify.com/s/files/1/0792/5098/1063/files/ad92f598846900668a8aff35985bf8c9c1634d7180e9f0f2da22234ec9715a71.jpg?v=1785047476</t>
        </is>
      </c>
      <c r="D43" s="4" t="inlineStr">
        <is>
          <t>https://cdn.shopify.com/s/files/1/0792/5098/1063/files/ad92f598846900668a8aff35985bf8c9c1634d7180e9f0f2da22234ec9715a71.jpg?v=1785047476</t>
        </is>
      </c>
      <c r="E43" s="3" t="inlineStr">
        <is>
          <t>47532028035271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2026-09-09T05:23:45+07:00</t>
        </is>
      </c>
      <c r="J43" s="3" t="inlineStr">
        <is>
          <t>QA opened 047_02.jpg (1200x1200) and confirmed: Bedroom mockup with Celtic Yggdrasil Tree of Life quilt and premium printed craft callout.</t>
        </is>
      </c>
      <c r="K43" s="3" t="inlineStr">
        <is>
          <t>Bedroom mockup with Celtic Yggdrasil Tree of Life quilt and premium printed craft callout.</t>
        </is>
      </c>
      <c r="L43" s="3" t="inlineStr">
        <is>
          <t>SET</t>
        </is>
      </c>
      <c r="M43" s="3" t="inlineStr">
        <is>
          <t>Celtic Yggdrasil quilt room mockup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["seo_runs\\jeminise.com\\20260906_234129\\qa\\20260909_052334\\images\\047_02.jpg", "https://cdn.shopify.com/s/files/1/0792/5098/1063/files/ad92f598846900668a8aff35985bf8c9c1634d7180e9f0f2da22234ec9715a71.jpg?v=1785047476"]</t>
        </is>
      </c>
    </row>
    <row r="44" ht="66" customHeight="1">
      <c r="A44" s="2" t="inlineStr">
        <is>
          <t>jeminise.com+custom-tree-of-life-quilt-set-yggdrasil-bedding-5048da8f29-5048da8f29</t>
        </is>
      </c>
      <c r="B44" s="2" t="inlineStr">
        <is>
          <t>qaimg_769d5e64eaed0cb0</t>
        </is>
      </c>
      <c r="C44" s="4" t="inlineStr">
        <is>
          <t>https://cdn.shopify.com/s/files/1/0792/5098/1063/files/54f9b43ce306fcf609bd0083f1034d2a5cf824fe8c54918b0920e528f6429d22.jpg?v=1785047476</t>
        </is>
      </c>
      <c r="D44" s="4" t="inlineStr">
        <is>
          <t>https://cdn.shopify.com/s/files/1/0792/5098/1063/files/54f9b43ce306fcf609bd0083f1034d2a5cf824fe8c54918b0920e528f6429d22.jpg?v=1785047476</t>
        </is>
      </c>
      <c r="E44" s="2" t="inlineStr">
        <is>
          <t>47532028068039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2026-09-09T05:23:45+07:00</t>
        </is>
      </c>
      <c r="J44" s="2" t="inlineStr">
        <is>
          <t>QA opened 047_03.jpg (1200x1200) and confirmed: Optional pillow shams panel showing matching Yggdrasil tree and knotwork artwork.</t>
        </is>
      </c>
      <c r="K44" s="2" t="inlineStr">
        <is>
          <t>Optional pillow shams panel showing matching Yggdrasil tree and knotwork artwork.</t>
        </is>
      </c>
      <c r="L44" s="2" t="inlineStr">
        <is>
          <t>SET</t>
        </is>
      </c>
      <c r="M44" s="2" t="inlineStr">
        <is>
          <t>Celtic Yggdrasil quilt optional pillow shams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["seo_runs\\jeminise.com\\20260906_234129\\qa\\20260909_052334\\images\\047_03.jpg", "https://cdn.shopify.com/s/files/1/0792/5098/1063/files/54f9b43ce306fcf609bd0083f1034d2a5cf824fe8c54918b0920e528f6429d22.jpg?v=1785047476"]</t>
        </is>
      </c>
    </row>
    <row r="45" ht="66" customHeight="1">
      <c r="A45" s="3" t="inlineStr">
        <is>
          <t>jeminise.com+custom-tree-of-life-quilt-set-yggdrasil-bedding-5048da8f29-5048da8f29</t>
        </is>
      </c>
      <c r="B45" s="3" t="inlineStr">
        <is>
          <t>qaimg_af8bc8aecfca6225</t>
        </is>
      </c>
      <c r="C45" s="4" t="inlineStr">
        <is>
          <t>https://cdn.shopify.com/s/files/1/0792/5098/1063/files/cbb5eaa7a64e0c0ee72ebf3fe6eabdcb912a4966b6e922777ef53ec8926d2a65.jpg?v=1785047476</t>
        </is>
      </c>
      <c r="D45" s="4" t="inlineStr">
        <is>
          <t>https://cdn.shopify.com/s/files/1/0792/5098/1063/files/cbb5eaa7a64e0c0ee72ebf3fe6eabdcb912a4966b6e922777ef53ec8926d2a65.jpg?v=1785047476</t>
        </is>
      </c>
      <c r="E45" s="3" t="inlineStr">
        <is>
          <t>47532028100807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2026-09-09T05:23:45+07:00</t>
        </is>
      </c>
      <c r="J45" s="3" t="inlineStr">
        <is>
          <t>QA opened 047_04.jpg (1200x1200) and confirmed: Fabric panel showing quilt layers with soft breathable skin-friendly fabric callout.</t>
        </is>
      </c>
      <c r="K45" s="3" t="inlineStr">
        <is>
          <t>Fabric panel showing quilt layers with soft breathable skin-friendly fabric callout.</t>
        </is>
      </c>
      <c r="L45" s="3" t="inlineStr">
        <is>
          <t>SET</t>
        </is>
      </c>
      <c r="M45" s="3" t="inlineStr">
        <is>
          <t>Celtic Yggdrasil quilt fabric feature panel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["seo_runs\\jeminise.com\\20260906_234129\\qa\\20260909_052334\\images\\047_04.jpg", "https://cdn.shopify.com/s/files/1/0792/5098/1063/files/cbb5eaa7a64e0c0ee72ebf3fe6eabdcb912a4966b6e922777ef53ec8926d2a65.jpg?v=1785047476"]</t>
        </is>
      </c>
    </row>
    <row r="46" ht="66" customHeight="1">
      <c r="A46" s="2" t="inlineStr">
        <is>
          <t>jeminise.com+custom-tree-of-life-quilt-set-yggdrasil-bedding-5048da8f29-5048da8f29</t>
        </is>
      </c>
      <c r="B46" s="2" t="inlineStr">
        <is>
          <t>qaimg_6d856d9140ead197</t>
        </is>
      </c>
      <c r="C46" s="4" t="inlineStr">
        <is>
          <t>https://cdn.shopify.com/s/files/1/0792/5098/1063/files/294e6f3540a182ae28865f018fe4286351462712d9310bf6da6e8e405e6c0b6b.jpg?v=1785047476</t>
        </is>
      </c>
      <c r="D46" s="4" t="inlineStr">
        <is>
          <t>https://cdn.shopify.com/s/files/1/0792/5098/1063/files/294e6f3540a182ae28865f018fe4286351462712d9310bf6da6e8e405e6c0b6b.jpg?v=1785047476</t>
        </is>
      </c>
      <c r="E46" s="2" t="inlineStr">
        <is>
          <t>47532028133575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2026-09-09T05:23:45+07:00</t>
        </is>
      </c>
      <c r="J46" s="2" t="inlineStr">
        <is>
          <t>QA opened 047_05.jpg (1200x1200) and confirmed: Premium quilt set size chart with Throw, Twin, Full, Queen and King dimensions.</t>
        </is>
      </c>
      <c r="K46" s="2" t="inlineStr">
        <is>
          <t>Premium quilt set size chart with Throw, Twin, Full, Queen and King dimensions.</t>
        </is>
      </c>
      <c r="L46" s="2" t="inlineStr">
        <is>
          <t>SET</t>
        </is>
      </c>
      <c r="M46" s="2" t="inlineStr">
        <is>
          <t>Celtic Yggdrasil quilt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["seo_runs\\jeminise.com\\20260906_234129\\qa\\20260909_052334\\images\\047_05.jpg", "https://cdn.shopify.com/s/files/1/0792/5098/1063/files/294e6f3540a182ae28865f018fe4286351462712d9310bf6da6e8e405e6c0b6b.jpg?v=1785047476"]</t>
        </is>
      </c>
    </row>
    <row r="47" ht="66" customHeight="1">
      <c r="A47" s="3" t="inlineStr">
        <is>
          <t>jeminise.com+custom-tree-of-life-quilt-set-yggdrasil-bedding-5048da8f29-5048da8f29</t>
        </is>
      </c>
      <c r="B47" s="3" t="inlineStr">
        <is>
          <t>qaimg_72cfef7dbb36a238</t>
        </is>
      </c>
      <c r="C47" s="4" t="inlineStr">
        <is>
          <t>https://cdn.shopify.com/s/files/1/0792/5098/1063/files/534cc16bf237b5301f37f7fb37613e21872f96af800f3ce795de5bf92dcbe3e4.jpg?v=1785047476</t>
        </is>
      </c>
      <c r="D47" s="4" t="inlineStr">
        <is>
          <t>https://cdn.shopify.com/s/files/1/0792/5098/1063/files/534cc16bf237b5301f37f7fb37613e21872f96af800f3ce795de5bf92dcbe3e4.jpg?v=1785047476</t>
        </is>
      </c>
      <c r="E47" s="3" t="inlineStr">
        <is>
          <t>47532028166343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2026-09-09T05:23:45+07:00</t>
        </is>
      </c>
      <c r="J47" s="3" t="inlineStr">
        <is>
          <t>QA opened 047_06.jpg (1200x1200) and confirmed: Bedspread features panel showing microfiber layers and care-resistance icons.</t>
        </is>
      </c>
      <c r="K47" s="3" t="inlineStr">
        <is>
          <t>Bedspread features panel showing microfiber layers and care-resistance icons.</t>
        </is>
      </c>
      <c r="L47" s="3" t="inlineStr">
        <is>
          <t>SET</t>
        </is>
      </c>
      <c r="M47" s="3" t="inlineStr">
        <is>
          <t>Celtic Yggdrasil quilt bedspread features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["seo_runs\\jeminise.com\\20260906_234129\\qa\\20260909_052334\\images\\047_06.jpg", "https://cdn.shopify.com/s/files/1/0792/5098/1063/files/534cc16bf237b5301f37f7fb37613e21872f96af800f3ce795de5bf92dcbe3e4.jpg?v=1785047476"]</t>
        </is>
      </c>
    </row>
    <row r="48" ht="66" customHeight="1">
      <c r="A48" s="2" t="inlineStr">
        <is>
          <t>jeminise.com+custom-tree-of-life-quilt-set-yggdrasil-bedding-5048da8f29-5048da8f29</t>
        </is>
      </c>
      <c r="B48" s="2" t="inlineStr">
        <is>
          <t>qaimg_b0ea7f9387d3208f</t>
        </is>
      </c>
      <c r="C48" s="4" t="inlineStr">
        <is>
          <t>https://cdn.shopify.com/s/files/1/0792/5098/1063/files/08048dc1b68df65dfcb150964862a39a3bea1674956d2bbbfda8f783b76ba17d.jpg?v=1785047476</t>
        </is>
      </c>
      <c r="D48" s="4" t="inlineStr">
        <is>
          <t>https://cdn.shopify.com/s/files/1/0792/5098/1063/files/08048dc1b68df65dfcb150964862a39a3bea1674956d2bbbfda8f783b76ba17d.jpg?v=1785047476</t>
        </is>
      </c>
      <c r="E48" s="2" t="inlineStr">
        <is>
          <t>47532028199111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2026-09-09T05:23:45+07:00</t>
        </is>
      </c>
      <c r="J48" s="2" t="inlineStr">
        <is>
          <t>QA opened 047_07.jpg (1200x1200) and confirmed: Overhead bedroom mockup showing Celtic Yggdrasil quilt with matching pillows.</t>
        </is>
      </c>
      <c r="K48" s="2" t="inlineStr">
        <is>
          <t>Overhead bedroom mockup showing Celtic Yggdrasil quilt with matching pillows.</t>
        </is>
      </c>
      <c r="L48" s="2" t="inlineStr">
        <is>
          <t>SET</t>
        </is>
      </c>
      <c r="M48" s="2" t="inlineStr">
        <is>
          <t>Celtic Yggdrasil quilt overhead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["seo_runs\\jeminise.com\\20260906_234129\\qa\\20260909_052334\\images\\047_07.jpg", "https://cdn.shopify.com/s/files/1/0792/5098/1063/files/08048dc1b68df65dfcb150964862a39a3bea1674956d2bbbfda8f783b76ba17d.jpg?v=1785047476"]</t>
        </is>
      </c>
    </row>
    <row r="49" ht="66" customHeight="1">
      <c r="A49" s="3" t="inlineStr">
        <is>
          <t>jeminise.com+custom-christian-faith-semi-truck-in-front-of-large-comforter-057143b1f8-057143b1f8</t>
        </is>
      </c>
      <c r="B49" s="3" t="inlineStr">
        <is>
          <t>qaimg_20585b4e5a78beac</t>
        </is>
      </c>
      <c r="C49" s="4" t="inlineStr">
        <is>
          <t>https://cdn.shopify.com/s/files/1/0792/5098/1063/files/6e9319b8ab8b2d2e568c6c292bfe25074a0b5fa69fe919cb307e508230e4c01a.jpg?v=1785132603</t>
        </is>
      </c>
      <c r="D49" s="4" t="inlineStr">
        <is>
          <t>https://cdn.shopify.com/s/files/1/0792/5098/1063/files/6e9319b8ab8b2d2e568c6c292bfe25074a0b5fa69fe919cb307e508230e4c01a.jpg?v=1785132603</t>
        </is>
      </c>
      <c r="E49" s="3" t="inlineStr">
        <is>
          <t>47548707569863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2026-09-09T05:23:45+07:00</t>
        </is>
      </c>
      <c r="J49" s="3" t="inlineStr">
        <is>
          <t>QA opened 048_01.jpg (1000x1000) and confirmed: Trucker's Prayer comforter bed mockup with cross, red semi truck, black background, YOUR NAME sample text and matching shams.</t>
        </is>
      </c>
      <c r="K49" s="3" t="inlineStr">
        <is>
          <t>Trucker's Prayer comforter bed mockup with cross, red semi truck, black background, YOUR NAME sample text and matching shams.</t>
        </is>
      </c>
      <c r="L49" s="3" t="inlineStr">
        <is>
          <t>SET</t>
        </is>
      </c>
      <c r="M49" s="3" t="inlineStr">
        <is>
          <t>Personalized Trucker Prayer comforter on bed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["seo_runs\\jeminise.com\\20260906_234129\\qa\\20260909_052334\\images\\048_01.jpg", "https://cdn.shopify.com/s/files/1/0792/5098/1063/files/6e9319b8ab8b2d2e568c6c292bfe25074a0b5fa69fe919cb307e508230e4c01a.jpg?v=1785132603"]</t>
        </is>
      </c>
    </row>
    <row r="50" ht="66" customHeight="1">
      <c r="A50" s="2" t="inlineStr">
        <is>
          <t>jeminise.com+custom-christian-faith-semi-truck-in-front-of-large-comforter-057143b1f8-057143b1f8</t>
        </is>
      </c>
      <c r="B50" s="2" t="inlineStr">
        <is>
          <t>qaimg_b92451c3e4d24a7a</t>
        </is>
      </c>
      <c r="C50" s="4" t="inlineStr">
        <is>
          <t>https://cdn.shopify.com/s/files/1/0792/5098/1063/files/f3288758e7d714e1d030c3a82bd01cf3f05e2fa7c9e54f29aaae473ba3df57c9.jpg?v=1785132604</t>
        </is>
      </c>
      <c r="D50" s="4" t="inlineStr">
        <is>
          <t>https://cdn.shopify.com/s/files/1/0792/5098/1063/files/f3288758e7d714e1d030c3a82bd01cf3f05e2fa7c9e54f29aaae473ba3df57c9.jpg?v=1785132604</t>
        </is>
      </c>
      <c r="E50" s="2" t="inlineStr">
        <is>
          <t>47548707602631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2026-09-09T05:23:45+07:00</t>
        </is>
      </c>
      <c r="J50" s="2" t="inlineStr">
        <is>
          <t>QA opened 048_02.jpg (1000x1000) and confirmed: Angled bedroom mockup showing Trucker's Prayer comforter, red semi truck artwork and matching pillows.</t>
        </is>
      </c>
      <c r="K50" s="2" t="inlineStr">
        <is>
          <t>Angled bedroom mockup showing Trucker's Prayer comforter, red semi truck artwork and matching pillows.</t>
        </is>
      </c>
      <c r="L50" s="2" t="inlineStr">
        <is>
          <t>SET</t>
        </is>
      </c>
      <c r="M50" s="2" t="inlineStr">
        <is>
          <t>Trucker Prayer comforter bedroom mockup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["seo_runs\\jeminise.com\\20260906_234129\\qa\\20260909_052334\\images\\048_02.jpg", "https://cdn.shopify.com/s/files/1/0792/5098/1063/files/f3288758e7d714e1d030c3a82bd01cf3f05e2fa7c9e54f29aaae473ba3df57c9.jpg?v=1785132604"]</t>
        </is>
      </c>
    </row>
    <row r="51" ht="66" customHeight="1">
      <c r="A51" s="3" t="inlineStr">
        <is>
          <t>jeminise.com+custom-christian-faith-semi-truck-in-front-of-large-comforter-057143b1f8-057143b1f8</t>
        </is>
      </c>
      <c r="B51" s="3" t="inlineStr">
        <is>
          <t>qaimg_0239432ea3f1d730</t>
        </is>
      </c>
      <c r="C51" s="4" t="inlineStr">
        <is>
          <t>https://cdn.shopify.com/s/files/1/0792/5098/1063/files/16f7293cbefa5743a35b2e6316a5a114e5c052d08151e367dafd26aa5e2e542b_8cef3a78-7a6c-4b47-bf28-c8073b9514e1.jpg?v=1785132603</t>
        </is>
      </c>
      <c r="D51" s="4" t="inlineStr">
        <is>
          <t>https://cdn.shopify.com/s/files/1/0792/5098/1063/files/16f7293cbefa5743a35b2e6316a5a114e5c052d08151e367dafd26aa5e2e542b_8cef3a78-7a6c-4b47-bf28-c8073b9514e1.jpg?v=1785132603</t>
        </is>
      </c>
      <c r="E51" s="3" t="inlineStr">
        <is>
          <t>47548707635399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2026-09-09T05:23:45+07:00</t>
        </is>
      </c>
      <c r="J51" s="3" t="inlineStr">
        <is>
          <t>QA opened 048_03.jpg (1000x1000) and confirmed: Bedding type comparison panel showing duvet cover set and comforter set options for all-season use.</t>
        </is>
      </c>
      <c r="K51" s="3" t="inlineStr">
        <is>
          <t>Bedding type comparison panel showing duvet cover set and comforter set options for all-season use.</t>
        </is>
      </c>
      <c r="L51" s="3" t="inlineStr">
        <is>
          <t>SET</t>
        </is>
      </c>
      <c r="M51" s="3" t="inlineStr">
        <is>
          <t>Trucker Prayer comforter bedding type options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["seo_runs\\jeminise.com\\20260906_234129\\qa\\20260909_052334\\images\\048_03.jpg", "https://cdn.shopify.com/s/files/1/0792/5098/1063/files/16f7293cbefa5743a35b2e6316a5a114e5c052d08151e367dafd26aa5e2e542b_8cef3a78-7a6c-4b47-bf28-c8073b9514e1.jpg?v=1785132603"]</t>
        </is>
      </c>
    </row>
    <row r="52" ht="66" customHeight="1">
      <c r="A52" s="2" t="inlineStr">
        <is>
          <t>jeminise.com+custom-christian-faith-semi-truck-in-front-of-large-comforter-057143b1f8-057143b1f8</t>
        </is>
      </c>
      <c r="B52" s="2" t="inlineStr">
        <is>
          <t>qaimg_8f5f8580a22a34c0</t>
        </is>
      </c>
      <c r="C52" s="4" t="inlineStr">
        <is>
          <t>https://cdn.shopify.com/s/files/1/0792/5098/1063/files/3126d3e7c0e678ebf4352bbbec30f14f9532800b85550cb1568caa752ebaced1.jpg?v=1785132604</t>
        </is>
      </c>
      <c r="D52" s="4" t="inlineStr">
        <is>
          <t>https://cdn.shopify.com/s/files/1/0792/5098/1063/files/3126d3e7c0e678ebf4352bbbec30f14f9532800b85550cb1568caa752ebaced1.jpg?v=1785132604</t>
        </is>
      </c>
      <c r="E52" s="2" t="inlineStr">
        <is>
          <t>47548707668167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2026-09-09T05:23:45+07:00</t>
        </is>
      </c>
      <c r="J52" s="2" t="inlineStr">
        <is>
          <t>QA opened 048_04.jpg (1000x1000) and confirmed: Feature panel listing microfiber fabric, 3D printed pattern, soft filling and lightweight breathable comfort.</t>
        </is>
      </c>
      <c r="K52" s="2" t="inlineStr">
        <is>
          <t>Feature panel listing microfiber fabric, 3D printed pattern, soft filling and lightweight breathable comfort.</t>
        </is>
      </c>
      <c r="L52" s="2" t="inlineStr">
        <is>
          <t>SET</t>
        </is>
      </c>
      <c r="M52" s="2" t="inlineStr">
        <is>
          <t>Trucker Prayer comforter microfiber feature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["seo_runs\\jeminise.com\\20260906_234129\\qa\\20260909_052334\\images\\048_04.jpg", "https://cdn.shopify.com/s/files/1/0792/5098/1063/files/3126d3e7c0e678ebf4352bbbec30f14f9532800b85550cb1568caa752ebaced1.jpg?v=1785132604"]</t>
        </is>
      </c>
    </row>
    <row r="53" ht="66" customHeight="1">
      <c r="A53" s="3" t="inlineStr">
        <is>
          <t>jeminise.com+custom-christian-faith-semi-truck-in-front-of-large-comforter-057143b1f8-057143b1f8</t>
        </is>
      </c>
      <c r="B53" s="3" t="inlineStr">
        <is>
          <t>qaimg_36c23dd0fd27c135</t>
        </is>
      </c>
      <c r="C53" s="4" t="inlineStr">
        <is>
          <t>https://cdn.shopify.com/s/files/1/0792/5098/1063/files/a5338648c54a77bc15767c1ceae2ad207d73615ff6fc0725d8e895604fc48168.jpg?v=1785132603</t>
        </is>
      </c>
      <c r="D53" s="4" t="inlineStr">
        <is>
          <t>https://cdn.shopify.com/s/files/1/0792/5098/1063/files/a5338648c54a77bc15767c1ceae2ad207d73615ff6fc0725d8e895604fc48168.jpg?v=1785132603</t>
        </is>
      </c>
      <c r="E53" s="3" t="inlineStr">
        <is>
          <t>47548707700935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2026-09-09T05:23:45+07:00</t>
        </is>
      </c>
      <c r="J53" s="3" t="inlineStr">
        <is>
          <t>QA opened 048_05.jpg (1000x1000) and confirmed: Close bedroom view with Trucker's Prayer artwork and soft, lightweight, durable and breathable icons.</t>
        </is>
      </c>
      <c r="K53" s="3" t="inlineStr">
        <is>
          <t>Close bedroom view with Trucker's Prayer artwork and soft, lightweight, durable and breathable icons.</t>
        </is>
      </c>
      <c r="L53" s="3" t="inlineStr">
        <is>
          <t>SET</t>
        </is>
      </c>
      <c r="M53" s="3" t="inlineStr">
        <is>
          <t>Trucker Prayer comforter feature icons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["seo_runs\\jeminise.com\\20260906_234129\\qa\\20260909_052334\\images\\048_05.jpg", "https://cdn.shopify.com/s/files/1/0792/5098/1063/files/a5338648c54a77bc15767c1ceae2ad207d73615ff6fc0725d8e895604fc48168.jpg?v=1785132603"]</t>
        </is>
      </c>
    </row>
    <row r="54" ht="66" customHeight="1">
      <c r="A54" s="2" t="inlineStr">
        <is>
          <t>jeminise.com+custom-christian-faith-semi-truck-in-front-of-large-comforter-057143b1f8-057143b1f8</t>
        </is>
      </c>
      <c r="B54" s="2" t="inlineStr">
        <is>
          <t>qaimg_472324eebf29881a</t>
        </is>
      </c>
      <c r="C54" s="4" t="inlineStr">
        <is>
          <t>https://cdn.shopify.com/s/files/1/0792/5098/1063/files/7c006bddc94d4763c71c8376307e195c1bbce73b8c802ec73ac5a8cef1291262_e558ac05-8d88-4109-bd33-e9d9cdb886eb.jpg?v=1785132603</t>
        </is>
      </c>
      <c r="D54" s="4" t="inlineStr">
        <is>
          <t>https://cdn.shopify.com/s/files/1/0792/5098/1063/files/7c006bddc94d4763c71c8376307e195c1bbce73b8c802ec73ac5a8cef1291262_e558ac05-8d88-4109-bd33-e9d9cdb886eb.jpg?v=1785132603</t>
        </is>
      </c>
      <c r="E54" s="2" t="inlineStr">
        <is>
          <t>47548707733703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2026-09-09T05:23:45+07:00</t>
        </is>
      </c>
      <c r="J54" s="2" t="inlineStr">
        <is>
          <t>QA opened 048_06.jpg (1000x1000) and confirmed: Stress-free easy care panel listing wrinkle-free, stain-proof, anti-pilling and color-care notes.</t>
        </is>
      </c>
      <c r="K54" s="2" t="inlineStr">
        <is>
          <t>Stress-free easy care panel listing wrinkle-free, stain-proof, anti-pilling and color-care notes.</t>
        </is>
      </c>
      <c r="L54" s="2" t="inlineStr">
        <is>
          <t>SET</t>
        </is>
      </c>
      <c r="M54" s="2" t="inlineStr">
        <is>
          <t>Trucker Prayer comforter easy care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["seo_runs\\jeminise.com\\20260906_234129\\qa\\20260909_052334\\images\\048_06.jpg", "https://cdn.shopify.com/s/files/1/0792/5098/1063/files/7c006bddc94d4763c71c8376307e195c1bbce73b8c802ec73ac5a8cef1291262_e558ac05-8d88-4109-bd33-e9d9cdb886eb.jpg?v=1785132603"]</t>
        </is>
      </c>
    </row>
    <row r="55" ht="66" customHeight="1">
      <c r="A55" s="3" t="inlineStr">
        <is>
          <t>jeminise.com+custom-christian-faith-semi-truck-in-front-of-large-comforter-057143b1f8-057143b1f8</t>
        </is>
      </c>
      <c r="B55" s="3" t="inlineStr">
        <is>
          <t>qaimg_89aa3a75f9ed5fa9</t>
        </is>
      </c>
      <c r="C55" s="4" t="inlineStr">
        <is>
          <t>https://cdn.shopify.com/s/files/1/0792/5098/1063/files/e5cad84edb4d7bf77c48fd7c8e52eb3b73f04eba8bf177671fd8a059c59422e8_a26ad42c-8f12-49d7-b045-54c792ede217.jpg?v=1785132603</t>
        </is>
      </c>
      <c r="D55" s="4" t="inlineStr">
        <is>
          <t>https://cdn.shopify.com/s/files/1/0792/5098/1063/files/e5cad84edb4d7bf77c48fd7c8e52eb3b73f04eba8bf177671fd8a059c59422e8_a26ad42c-8f12-49d7-b045-54c792ede217.jpg?v=1785132603</t>
        </is>
      </c>
      <c r="E55" s="3" t="inlineStr">
        <is>
          <t>47548707766471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2026-09-09T05:23:45+07:00</t>
        </is>
      </c>
      <c r="J55" s="3" t="inlineStr">
        <is>
          <t>QA opened 048_07.jpg (1000x1000) and confirmed: Size dimension panel showing Twin, Full, Queen and King bedding dimensions.</t>
        </is>
      </c>
      <c r="K55" s="3" t="inlineStr">
        <is>
          <t>Size dimension panel showing Twin, Full, Queen and King bedding dimensions.</t>
        </is>
      </c>
      <c r="L55" s="3" t="inlineStr">
        <is>
          <t>SET</t>
        </is>
      </c>
      <c r="M55" s="3" t="inlineStr">
        <is>
          <t>Trucker Prayer comforter size chart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["seo_runs\\jeminise.com\\20260906_234129\\qa\\20260909_052334\\images\\048_07.jpg", "https://cdn.shopify.com/s/files/1/0792/5098/1063/files/e5cad84edb4d7bf77c48fd7c8e52eb3b73f04eba8bf177671fd8a059c59422e8_a26ad42c-8f12-49d7-b045-54c792ede217.jpg?v=1785132603"]</t>
        </is>
      </c>
    </row>
    <row r="56" ht="66" customHeight="1">
      <c r="A56" s="2" t="inlineStr">
        <is>
          <t>jeminise.com+custom-christian-girl-bible-emergency-numbers-blanket-d12</t>
        </is>
      </c>
      <c r="B56" s="2" t="inlineStr">
        <is>
          <t>qaimg_9cf20b098772105a</t>
        </is>
      </c>
      <c r="C56" s="4" t="inlineStr">
        <is>
          <t>https://cdn.shopify.com/s/files/1/0792/5098/1063/files/b256b9200584c35cb542d9f0f89fc39d01989a03be1af664dce9420ebc84591d.jpg?v=1786596964</t>
        </is>
      </c>
      <c r="D56" s="4" t="inlineStr">
        <is>
          <t>https://cdn.shopify.com/s/files/1/0792/5098/1063/files/b256b9200584c35cb542d9f0f89fc39d01989a03be1af664dce9420ebc84591d.jpg?v=1786596964</t>
        </is>
      </c>
      <c r="E56" s="2" t="inlineStr">
        <is>
          <t>47830612115655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2026-09-09T05:23:45+07:00</t>
        </is>
      </c>
      <c r="J56" s="2" t="inlineStr">
        <is>
          <t>QA opened 049_01.jpg (1500x1500) and confirmed: Person holding Bible emergency numbers blanket with cartoon girl, floral border and Sophia sample name.</t>
        </is>
      </c>
      <c r="K56" s="2" t="inlineStr">
        <is>
          <t>Person holding Bible emergency numbers blanket with cartoon girl, floral border and Sophia sample name.</t>
        </is>
      </c>
      <c r="L56" s="2" t="inlineStr">
        <is>
          <t>SET</t>
        </is>
      </c>
      <c r="M56" s="2" t="inlineStr">
        <is>
          <t>Bible emergency numbers blanket with Sophia name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["seo_runs\\jeminise.com\\20260906_234129\\qa\\20260909_052334\\images\\049_01.jpg", "https://cdn.shopify.com/s/files/1/0792/5098/1063/files/b256b9200584c35cb542d9f0f89fc39d01989a03be1af664dce9420ebc84591d.jpg?v=1786596964"]</t>
        </is>
      </c>
    </row>
    <row r="57" ht="66" customHeight="1">
      <c r="A57" s="3" t="inlineStr">
        <is>
          <t>jeminise.com+custom-christian-girl-bible-emergency-numbers-blanket-d12</t>
        </is>
      </c>
      <c r="B57" s="3" t="inlineStr">
        <is>
          <t>qaimg_2d315d82c050bf57</t>
        </is>
      </c>
      <c r="C57" s="4" t="inlineStr">
        <is>
          <t>https://cdn.shopify.com/s/files/1/0792/5098/1063/files/436e5921f9b84efd188794029f984801525b46fad95772d3c15a87a21db79f7c.jpg?v=1786596964</t>
        </is>
      </c>
      <c r="D57" s="4" t="inlineStr">
        <is>
          <t>https://cdn.shopify.com/s/files/1/0792/5098/1063/files/436e5921f9b84efd188794029f984801525b46fad95772d3c15a87a21db79f7c.jpg?v=1786596964</t>
        </is>
      </c>
      <c r="E57" s="3" t="inlineStr">
        <is>
          <t>47830612148423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2026-09-09T05:23:45+07:00</t>
        </is>
      </c>
      <c r="J57" s="3" t="inlineStr">
        <is>
          <t>QA opened 049_02.jpg (1500x1500) and confirmed: Bible emergency numbers blanket draped on chair with cartoon girl artwork and floral border.</t>
        </is>
      </c>
      <c r="K57" s="3" t="inlineStr">
        <is>
          <t>Bible emergency numbers blanket draped on chair with cartoon girl artwork and floral border.</t>
        </is>
      </c>
      <c r="L57" s="3" t="inlineStr">
        <is>
          <t>SET</t>
        </is>
      </c>
      <c r="M57" s="3" t="inlineStr">
        <is>
          <t>Bible emergency numbers blanket chair mockup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["seo_runs\\jeminise.com\\20260906_234129\\qa\\20260909_052334\\images\\049_02.jpg", "https://cdn.shopify.com/s/files/1/0792/5098/1063/files/436e5921f9b84efd188794029f984801525b46fad95772d3c15a87a21db79f7c.jpg?v=1786596964"]</t>
        </is>
      </c>
    </row>
    <row r="58" ht="66" customHeight="1">
      <c r="A58" s="2" t="inlineStr">
        <is>
          <t>jeminise.com+custom-christian-girl-bible-emergency-numbers-blanket-d12</t>
        </is>
      </c>
      <c r="B58" s="2" t="inlineStr">
        <is>
          <t>qaimg_1a561f957bcd3c13</t>
        </is>
      </c>
      <c r="C58" s="4" t="inlineStr">
        <is>
          <t>https://cdn.shopify.com/s/files/1/0792/5098/1063/files/7ee17d31454eba30bcf0521762be049abe20fe55df9641717b0c05cbd65511ce.jpg?v=1786596964</t>
        </is>
      </c>
      <c r="D58" s="4" t="inlineStr">
        <is>
          <t>https://cdn.shopify.com/s/files/1/0792/5098/1063/files/7ee17d31454eba30bcf0521762be049abe20fe55df9641717b0c05cbd65511ce.jpg?v=1786596964</t>
        </is>
      </c>
      <c r="E58" s="2" t="inlineStr">
        <is>
          <t>47830612181191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2026-09-09T05:23:45+07:00</t>
        </is>
      </c>
      <c r="J58" s="2" t="inlineStr">
        <is>
          <t>QA opened 049_03.jpg (1500x1500) and confirmed: Bible emergency numbers blanket spread on bed with Sophia sample name and colorful faith typography.</t>
        </is>
      </c>
      <c r="K58" s="2" t="inlineStr">
        <is>
          <t>Bible emergency numbers blanket spread on bed with Sophia sample name and colorful faith typography.</t>
        </is>
      </c>
      <c r="L58" s="2" t="inlineStr">
        <is>
          <t>SET</t>
        </is>
      </c>
      <c r="M58" s="2" t="inlineStr">
        <is>
          <t>Bible emergency numbers blanket bed mockup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["seo_runs\\jeminise.com\\20260906_234129\\qa\\20260909_052334\\images\\049_03.jpg", "https://cdn.shopify.com/s/files/1/0792/5098/1063/files/7ee17d31454eba30bcf0521762be049abe20fe55df9641717b0c05cbd65511ce.jpg?v=1786596964"]</t>
        </is>
      </c>
    </row>
    <row r="59" ht="66" customHeight="1">
      <c r="A59" s="3" t="inlineStr">
        <is>
          <t>jeminise.com+custom-christian-girl-bible-emergency-numbers-blanket-d12</t>
        </is>
      </c>
      <c r="B59" s="3" t="inlineStr">
        <is>
          <t>qaimg_72c7f6b187b5e1a2</t>
        </is>
      </c>
      <c r="C59" s="4" t="inlineStr">
        <is>
          <t>https://cdn.shopify.com/s/files/1/0792/5098/1063/files/8549f12737f3bee15ec5ff5f0e389f562e4a12f57f83d476fc1953431b959ea0.jpg?v=1786596964</t>
        </is>
      </c>
      <c r="D59" s="4" t="inlineStr">
        <is>
          <t>https://cdn.shopify.com/s/files/1/0792/5098/1063/files/8549f12737f3bee15ec5ff5f0e389f562e4a12f57f83d476fc1953431b959ea0.jpg?v=1786596964</t>
        </is>
      </c>
      <c r="E59" s="3" t="inlineStr">
        <is>
          <t>47830612213959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2026-09-09T05:23:45+07:00</t>
        </is>
      </c>
      <c r="J59" s="3" t="inlineStr">
        <is>
          <t>QA opened 049_04.jpg (1500x1500) and confirmed: Blanket size and use panel showing 80 by 60 inch example with sofa, office, bed, travel, reading and camping icons.</t>
        </is>
      </c>
      <c r="K59" s="3" t="inlineStr">
        <is>
          <t>Blanket size and use panel showing 80 by 60 inch example with sofa, office, bed, travel, reading and camping icons.</t>
        </is>
      </c>
      <c r="L59" s="3" t="inlineStr">
        <is>
          <t>SET</t>
        </is>
      </c>
      <c r="M59" s="3" t="inlineStr">
        <is>
          <t>Bible emergency numbers blanket size and use panel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["seo_runs\\jeminise.com\\20260906_234129\\qa\\20260909_052334\\images\\049_04.jpg", "https://cdn.shopify.com/s/files/1/0792/5098/1063/files/8549f12737f3bee15ec5ff5f0e389f562e4a12f57f83d476fc1953431b959ea0.jpg?v=1786596964"]</t>
        </is>
      </c>
    </row>
    <row r="60" ht="66" customHeight="1">
      <c r="A60" s="2" t="inlineStr">
        <is>
          <t>jeminise.com+custom-christian-girl-bible-emergency-numbers-blanket-d12</t>
        </is>
      </c>
      <c r="B60" s="2" t="inlineStr">
        <is>
          <t>qaimg_413a1bd831fd3db1</t>
        </is>
      </c>
      <c r="C60" s="4" t="inlineStr">
        <is>
          <t>https://cdn.shopify.com/s/files/1/0792/5098/1063/files/d519d490e5587d4b52484078e51341d64ed6adf81ffbcef73997e4469eee174c.jpg?v=1786596964</t>
        </is>
      </c>
      <c r="D60" s="4" t="inlineStr">
        <is>
          <t>https://cdn.shopify.com/s/files/1/0792/5098/1063/files/d519d490e5587d4b52484078e51341d64ed6adf81ffbcef73997e4469eee174c.jpg?v=1786596964</t>
        </is>
      </c>
      <c r="E60" s="2" t="inlineStr">
        <is>
          <t>47830612246727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2026-09-09T05:23:45+07:00</t>
        </is>
      </c>
      <c r="J60" s="2" t="inlineStr">
        <is>
          <t>QA opened 049_05.jpg (1500x1500) and confirmed: Bedroom reading lifestyle image with Bible emergency numbers blanket and book on bed.</t>
        </is>
      </c>
      <c r="K60" s="2" t="inlineStr">
        <is>
          <t>Bedroom reading lifestyle image with Bible emergency numbers blanket and book on bed.</t>
        </is>
      </c>
      <c r="L60" s="2" t="inlineStr">
        <is>
          <t>SET</t>
        </is>
      </c>
      <c r="M60" s="2" t="inlineStr">
        <is>
          <t>Bible emergency numbers blanket reading lifestyle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["seo_runs\\jeminise.com\\20260906_234129\\qa\\20260909_052334\\images\\049_05.jpg", "https://cdn.shopify.com/s/files/1/0792/5098/1063/files/d519d490e5587d4b52484078e51341d64ed6adf81ffbcef73997e4469eee174c.jpg?v=1786596964"]</t>
        </is>
      </c>
    </row>
    <row r="61" ht="66" customHeight="1">
      <c r="A61" s="3" t="inlineStr">
        <is>
          <t>jeminise.com+custom-christian-girl-bible-emergency-numbers-blanket-d12</t>
        </is>
      </c>
      <c r="B61" s="3" t="inlineStr">
        <is>
          <t>qaimg_264bea084ae55a2e</t>
        </is>
      </c>
      <c r="C61" s="4" t="inlineStr">
        <is>
          <t>https://cdn.shopify.com/s/files/1/0792/5098/1063/files/ccb855a91f88b48bc6150279c00c849e18b8cc53d574ca2d6eed810aaf99b869_6a60546d-9b59-4ac8-b6f6-5842b3d4d2f8.jpg?v=1786596964</t>
        </is>
      </c>
      <c r="D61" s="4" t="inlineStr">
        <is>
          <t>https://cdn.shopify.com/s/files/1/0792/5098/1063/files/ccb855a91f88b48bc6150279c00c849e18b8cc53d574ca2d6eed810aaf99b869_6a60546d-9b59-4ac8-b6f6-5842b3d4d2f8.jpg?v=1786596964</t>
        </is>
      </c>
      <c r="E61" s="3" t="inlineStr">
        <is>
          <t>47830612279495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2026-09-09T05:23:45+07:00</t>
        </is>
      </c>
      <c r="J61" s="3" t="inlineStr">
        <is>
          <t>QA opened 049_06.jpg (1500x1500) and confirmed: Birth month flower panel showing January through December flower options.</t>
        </is>
      </c>
      <c r="K61" s="3" t="inlineStr">
        <is>
          <t>Birth month flower panel showing January through December flower options.</t>
        </is>
      </c>
      <c r="L61" s="3" t="inlineStr">
        <is>
          <t>SET</t>
        </is>
      </c>
      <c r="M61" s="3" t="inlineStr">
        <is>
          <t>Bible emergency numbers blanket birth month flowers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["seo_runs\\jeminise.com\\20260906_234129\\qa\\20260909_052334\\images\\049_06.jpg", "https://cdn.shopify.com/s/files/1/0792/5098/1063/files/ccb855a91f88b48bc6150279c00c849e18b8cc53d574ca2d6eed810aaf99b869_6a60546d-9b59-4ac8-b6f6-5842b3d4d2f8.jpg?v=1786596964"]</t>
        </is>
      </c>
    </row>
    <row r="62" ht="66" customHeight="1">
      <c r="A62" s="2" t="inlineStr">
        <is>
          <t>jeminise.com+custom-christian-girl-bible-emergency-numbers-blanket-d12</t>
        </is>
      </c>
      <c r="B62" s="2" t="inlineStr">
        <is>
          <t>qaimg_bd80341de897c924</t>
        </is>
      </c>
      <c r="C62" s="4" t="inlineStr">
        <is>
          <t>https://cdn.shopify.com/s/files/1/0792/5098/1063/files/833e6afd5fbc7b151ab7f92eeb0067af26b00a56ec3166519690569db08b1b56.jpg?v=1786596964</t>
        </is>
      </c>
      <c r="D62" s="4" t="inlineStr">
        <is>
          <t>https://cdn.shopify.com/s/files/1/0792/5098/1063/files/833e6afd5fbc7b151ab7f92eeb0067af26b00a56ec3166519690569db08b1b56.jpg?v=1786596964</t>
        </is>
      </c>
      <c r="E62" s="2" t="inlineStr">
        <is>
          <t>47830612312263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2026-09-09T05:23:45+07:00</t>
        </is>
      </c>
      <c r="J62" s="2" t="inlineStr">
        <is>
          <t>QA opened 049_07.jpg (1500x1500) and confirmed: Close-up lifestyle view of Bible emergency numbers typography beside a reading book.</t>
        </is>
      </c>
      <c r="K62" s="2" t="inlineStr">
        <is>
          <t>Close-up lifestyle view of Bible emergency numbers typography beside a reading book.</t>
        </is>
      </c>
      <c r="L62" s="2" t="inlineStr">
        <is>
          <t>SET</t>
        </is>
      </c>
      <c r="M62" s="2" t="inlineStr">
        <is>
          <t>Bible emergency numbers blanket close-up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["seo_runs\\jeminise.com\\20260906_234129\\qa\\20260909_052334\\images\\049_07.jpg", "https://cdn.shopify.com/s/files/1/0792/5098/1063/files/833e6afd5fbc7b151ab7f92eeb0067af26b00a56ec3166519690569db08b1b56.jpg?v=1786596964"]</t>
        </is>
      </c>
    </row>
    <row r="63" ht="66" customHeight="1">
      <c r="A63" s="3" t="inlineStr">
        <is>
          <t>jeminise.com+custom-christian-girl-bible-emergency-numbers-blanket-d12</t>
        </is>
      </c>
      <c r="B63" s="3" t="inlineStr">
        <is>
          <t>qaimg_936b71ffc9c90b32</t>
        </is>
      </c>
      <c r="C63" s="4" t="inlineStr">
        <is>
          <t>https://cdn.shopify.com/s/files/1/0792/5098/1063/files/cff961958bdb42a227b5dc21167a19c8a59d040b501ecb50723701f9b49aaf52.jpg?v=1786596964</t>
        </is>
      </c>
      <c r="D63" s="4" t="inlineStr">
        <is>
          <t>https://cdn.shopify.com/s/files/1/0792/5098/1063/files/cff961958bdb42a227b5dc21167a19c8a59d040b501ecb50723701f9b49aaf52.jpg?v=1786596964</t>
        </is>
      </c>
      <c r="E63" s="3" t="inlineStr">
        <is>
          <t>47830612345031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2026-09-09T05:23:45+07:00</t>
        </is>
      </c>
      <c r="J63" s="3" t="inlineStr">
        <is>
          <t>QA opened 049_08.jpg (1500x1500) and confirmed: Fleece blanket material panel listing machine washable care, soft warmth, dense stitching and 260GSM fleece.</t>
        </is>
      </c>
      <c r="K63" s="3" t="inlineStr">
        <is>
          <t>Fleece blanket material panel listing machine washable care, soft warmth, dense stitching and 260GSM fleece.</t>
        </is>
      </c>
      <c r="L63" s="3" t="inlineStr">
        <is>
          <t>SET</t>
        </is>
      </c>
      <c r="M63" s="3" t="inlineStr">
        <is>
          <t>Bible emergency numbers blanket fleece material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["seo_runs\\jeminise.com\\20260906_234129\\qa\\20260909_052334\\images\\049_08.jpg", "https://cdn.shopify.com/s/files/1/0792/5098/1063/files/cff961958bdb42a227b5dc21167a19c8a59d040b501ecb50723701f9b49aaf52.jpg?v=1786596964"]</t>
        </is>
      </c>
    </row>
    <row r="64" ht="66" customHeight="1">
      <c r="A64" s="2" t="inlineStr">
        <is>
          <t>jeminise.com+custom-christian-girl-bible-emergency-numbers-blanket-d12</t>
        </is>
      </c>
      <c r="B64" s="2" t="inlineStr">
        <is>
          <t>qaimg_c92b5823a82fd2aa</t>
        </is>
      </c>
      <c r="C64" s="4" t="inlineStr">
        <is>
          <t>https://cdn.shopify.com/s/files/1/0792/5098/1063/files/668fa35dea61c8362a3121e2bd433091aa8dbda948fc90bac71e900f6e974dda.jpg?v=1786596964</t>
        </is>
      </c>
      <c r="D64" s="4" t="inlineStr">
        <is>
          <t>https://cdn.shopify.com/s/files/1/0792/5098/1063/files/668fa35dea61c8362a3121e2bd433091aa8dbda948fc90bac71e900f6e974dda.jpg?v=1786596964</t>
        </is>
      </c>
      <c r="E64" s="2" t="inlineStr">
        <is>
          <t>47830612377799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2026-09-09T05:23:45+07:00</t>
        </is>
      </c>
      <c r="J64" s="2" t="inlineStr">
        <is>
          <t>QA opened 049_09.jpg (1500x1500) and confirmed: Detail collage showing soft fleece texture, printed design and stitched edge details.</t>
        </is>
      </c>
      <c r="K64" s="2" t="inlineStr">
        <is>
          <t>Detail collage showing soft fleece texture, printed design and stitched edge details.</t>
        </is>
      </c>
      <c r="L64" s="2" t="inlineStr">
        <is>
          <t>SET</t>
        </is>
      </c>
      <c r="M64" s="2" t="inlineStr">
        <is>
          <t>Bible emergency numbers blanket texture details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["seo_runs\\jeminise.com\\20260906_234129\\qa\\20260909_052334\\images\\049_09.jpg", "https://cdn.shopify.com/s/files/1/0792/5098/1063/files/668fa35dea61c8362a3121e2bd433091aa8dbda948fc90bac71e900f6e974dda.jpg?v=1786596964"]</t>
        </is>
      </c>
    </row>
    <row r="65" ht="66" customHeight="1">
      <c r="A65" s="3" t="inlineStr">
        <is>
          <t>jeminise.com+custom-christian-inspirational-sophia-blanket-machine-washable-d11</t>
        </is>
      </c>
      <c r="B65" s="3" t="inlineStr">
        <is>
          <t>qaimg_59ac490e3ce0f4df</t>
        </is>
      </c>
      <c r="C65" s="4" t="inlineStr">
        <is>
          <t>https://cdn.shopify.com/s/files/1/0792/5098/1063/files/64645971a4bbefd9dd18e9af52e87c04a6682f6a06adfa46b06f5e449480de9f.jpg?v=1786596381</t>
        </is>
      </c>
      <c r="D65" s="4" t="inlineStr">
        <is>
          <t>https://cdn.shopify.com/s/files/1/0792/5098/1063/files/64645971a4bbefd9dd18e9af52e87c04a6682f6a06adfa46b06f5e449480de9f.jpg?v=1786596381</t>
        </is>
      </c>
      <c r="E65" s="3" t="inlineStr">
        <is>
          <t>47830476619975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2026-09-09T05:23:45+07:00</t>
        </is>
      </c>
      <c r="J65" s="3" t="inlineStr">
        <is>
          <t>QA opened 050_01.jpg (1500x1500) and confirmed: Person holding Dear Sophia Christian affirmation blanket with cartoon girl, flower graphic and circular encouragement words.</t>
        </is>
      </c>
      <c r="K65" s="3" t="inlineStr">
        <is>
          <t>Person holding Dear Sophia Christian affirmation blanket with cartoon girl, flower graphic and circular encouragement words.</t>
        </is>
      </c>
      <c r="L65" s="3" t="inlineStr">
        <is>
          <t>SET</t>
        </is>
      </c>
      <c r="M65" s="3" t="inlineStr">
        <is>
          <t>Christian affirmation blanket with Sophia name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["seo_runs\\jeminise.com\\20260906_234129\\qa\\20260909_052334\\images\\050_01.jpg", "https://cdn.shopify.com/s/files/1/0792/5098/1063/files/64645971a4bbefd9dd18e9af52e87c04a6682f6a06adfa46b06f5e449480de9f.jpg?v=1786596381"]</t>
        </is>
      </c>
    </row>
    <row r="66" ht="66" customHeight="1">
      <c r="A66" s="2" t="inlineStr">
        <is>
          <t>jeminise.com+custom-christian-inspirational-sophia-blanket-machine-washable-d11</t>
        </is>
      </c>
      <c r="B66" s="2" t="inlineStr">
        <is>
          <t>qaimg_292b925e33eb40d1</t>
        </is>
      </c>
      <c r="C66" s="4" t="inlineStr">
        <is>
          <t>https://cdn.shopify.com/s/files/1/0792/5098/1063/files/7b62f2168e7a1d45566ff77b84d97885b429d47d303031055b65e26e885bc065.jpg?v=1786596381</t>
        </is>
      </c>
      <c r="D66" s="4" t="inlineStr">
        <is>
          <t>https://cdn.shopify.com/s/files/1/0792/5098/1063/files/7b62f2168e7a1d45566ff77b84d97885b429d47d303031055b65e26e885bc065.jpg?v=1786596381</t>
        </is>
      </c>
      <c r="E66" s="2" t="inlineStr">
        <is>
          <t>47830476652743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2026-09-09T05:23:45+07:00</t>
        </is>
      </c>
      <c r="J66" s="2" t="inlineStr">
        <is>
          <t>QA opened 050_02.jpg (1500x1500) and confirmed: Dear Sophia Christian affirmation blanket spread on bed with cartoon girl and flower artwork.</t>
        </is>
      </c>
      <c r="K66" s="2" t="inlineStr">
        <is>
          <t>Dear Sophia Christian affirmation blanket spread on bed with cartoon girl and flower artwork.</t>
        </is>
      </c>
      <c r="L66" s="2" t="inlineStr">
        <is>
          <t>SET</t>
        </is>
      </c>
      <c r="M66" s="2" t="inlineStr">
        <is>
          <t>Christian affirmation blanket bed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["seo_runs\\jeminise.com\\20260906_234129\\qa\\20260909_052334\\images\\050_02.jpg", "https://cdn.shopify.com/s/files/1/0792/5098/1063/files/7b62f2168e7a1d45566ff77b84d97885b429d47d303031055b65e26e885bc065.jpg?v=1786596381"]</t>
        </is>
      </c>
    </row>
    <row r="67" ht="66" customHeight="1">
      <c r="A67" s="3" t="inlineStr">
        <is>
          <t>jeminise.com+custom-christian-inspirational-sophia-blanket-machine-washable-d11</t>
        </is>
      </c>
      <c r="B67" s="3" t="inlineStr">
        <is>
          <t>qaimg_2397ba346b09df13</t>
        </is>
      </c>
      <c r="C67" s="4" t="inlineStr">
        <is>
          <t>https://cdn.shopify.com/s/files/1/0792/5098/1063/files/b8b420c5155e6c391231f22c60f5089338032ec574bb6c287bb37673601cc42b.jpg?v=1786596380</t>
        </is>
      </c>
      <c r="D67" s="4" t="inlineStr">
        <is>
          <t>https://cdn.shopify.com/s/files/1/0792/5098/1063/files/b8b420c5155e6c391231f22c60f5089338032ec574bb6c287bb37673601cc42b.jpg?v=1786596380</t>
        </is>
      </c>
      <c r="E67" s="3" t="inlineStr">
        <is>
          <t>47830476685511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2026-09-09T05:23:45+07:00</t>
        </is>
      </c>
      <c r="J67" s="3" t="inlineStr">
        <is>
          <t>QA opened 050_03.jpg (1500x1500) and confirmed: Dear Sophia Christian affirmation blanket draped on chair with character artwork and name text.</t>
        </is>
      </c>
      <c r="K67" s="3" t="inlineStr">
        <is>
          <t>Dear Sophia Christian affirmation blanket draped on chair with character artwork and name text.</t>
        </is>
      </c>
      <c r="L67" s="3" t="inlineStr">
        <is>
          <t>SET</t>
        </is>
      </c>
      <c r="M67" s="3" t="inlineStr">
        <is>
          <t>Christian affirmation blanket chair mockup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["seo_runs\\jeminise.com\\20260906_234129\\qa\\20260909_052334\\images\\050_03.jpg", "https://cdn.shopify.com/s/files/1/0792/5098/1063/files/b8b420c5155e6c391231f22c60f5089338032ec574bb6c287bb37673601cc42b.jpg?v=1786596380"]</t>
        </is>
      </c>
    </row>
    <row r="68" ht="66" customHeight="1">
      <c r="A68" s="2" t="inlineStr">
        <is>
          <t>jeminise.com+custom-christian-inspirational-sophia-blanket-machine-washable-d11</t>
        </is>
      </c>
      <c r="B68" s="2" t="inlineStr">
        <is>
          <t>qaimg_f153f5782233e901</t>
        </is>
      </c>
      <c r="C68" s="4" t="inlineStr">
        <is>
          <t>https://cdn.shopify.com/s/files/1/0792/5098/1063/files/ccb855a91f88b48bc6150279c00c849e18b8cc53d574ca2d6eed810aaf99b869.jpg?v=1786596380</t>
        </is>
      </c>
      <c r="D68" s="4" t="inlineStr">
        <is>
          <t>https://cdn.shopify.com/s/files/1/0792/5098/1063/files/ccb855a91f88b48bc6150279c00c849e18b8cc53d574ca2d6eed810aaf99b869.jpg?v=1786596380</t>
        </is>
      </c>
      <c r="E68" s="2" t="inlineStr">
        <is>
          <t>47830476718279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2026-09-09T05:23:45+07:00</t>
        </is>
      </c>
      <c r="J68" s="2" t="inlineStr">
        <is>
          <t>QA opened 050_04.jpg (1500x1500) and confirmed: Birth month flower panel showing January through December flower options.</t>
        </is>
      </c>
      <c r="K68" s="2" t="inlineStr">
        <is>
          <t>Birth month flower panel showing January through December flower options.</t>
        </is>
      </c>
      <c r="L68" s="2" t="inlineStr">
        <is>
          <t>SET</t>
        </is>
      </c>
      <c r="M68" s="2" t="inlineStr">
        <is>
          <t>Christian affirmation blanket birth month flowers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["seo_runs\\jeminise.com\\20260906_234129\\qa\\20260909_052334\\images\\050_04.jpg", "https://cdn.shopify.com/s/files/1/0792/5098/1063/files/ccb855a91f88b48bc6150279c00c849e18b8cc53d574ca2d6eed810aaf99b869.jpg?v=1786596380"]</t>
        </is>
      </c>
    </row>
    <row r="69" ht="66" customHeight="1">
      <c r="A69" s="3" t="inlineStr">
        <is>
          <t>jeminise.com+custom-christian-inspirational-sophia-blanket-machine-washable-d11</t>
        </is>
      </c>
      <c r="B69" s="3" t="inlineStr">
        <is>
          <t>qaimg_ecf9e943ab15b652</t>
        </is>
      </c>
      <c r="C69" s="4" t="inlineStr">
        <is>
          <t>https://cdn.shopify.com/s/files/1/0792/5098/1063/files/903e259e4525b0ce70cd98bd796885f99fb320671827b45012e99c75dc0efd93.jpg?v=1786596380</t>
        </is>
      </c>
      <c r="D69" s="4" t="inlineStr">
        <is>
          <t>https://cdn.shopify.com/s/files/1/0792/5098/1063/files/903e259e4525b0ce70cd98bd796885f99fb320671827b45012e99c75dc0efd93.jpg?v=1786596380</t>
        </is>
      </c>
      <c r="E69" s="3" t="inlineStr">
        <is>
          <t>47830476751047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2026-09-09T05:23:45+07:00</t>
        </is>
      </c>
      <c r="J69" s="3" t="inlineStr">
        <is>
          <t>QA opened 050_05.jpg (1500x1500) and confirmed: Bedroom reading lifestyle image with Christian affirmation blanket and book on bed.</t>
        </is>
      </c>
      <c r="K69" s="3" t="inlineStr">
        <is>
          <t>Bedroom reading lifestyle image with Christian affirmation blanket and book on bed.</t>
        </is>
      </c>
      <c r="L69" s="3" t="inlineStr">
        <is>
          <t>SET</t>
        </is>
      </c>
      <c r="M69" s="3" t="inlineStr">
        <is>
          <t>Christian affirmation blanket reading lifestyle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["seo_runs\\jeminise.com\\20260906_234129\\qa\\20260909_052334\\images\\050_05.jpg", "https://cdn.shopify.com/s/files/1/0792/5098/1063/files/903e259e4525b0ce70cd98bd796885f99fb320671827b45012e99c75dc0efd93.jpg?v=1786596380"]</t>
        </is>
      </c>
    </row>
    <row r="70" ht="66" customHeight="1">
      <c r="A70" s="2" t="inlineStr">
        <is>
          <t>jeminise.com+custom-christian-inspirational-sophia-blanket-machine-washable-d11</t>
        </is>
      </c>
      <c r="B70" s="2" t="inlineStr">
        <is>
          <t>qaimg_24382ac2b2b83508</t>
        </is>
      </c>
      <c r="C70" s="4" t="inlineStr">
        <is>
          <t>https://cdn.shopify.com/s/files/1/0792/5098/1063/files/bf8108bf2597520094d30861e395e79ee495ea432cb0a10bcea923947ec3c625.jpg?v=1786596380</t>
        </is>
      </c>
      <c r="D70" s="4" t="inlineStr">
        <is>
          <t>https://cdn.shopify.com/s/files/1/0792/5098/1063/files/bf8108bf2597520094d30861e395e79ee495ea432cb0a10bcea923947ec3c625.jpg?v=1786596380</t>
        </is>
      </c>
      <c r="E70" s="2" t="inlineStr">
        <is>
          <t>47830476783815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2026-09-09T05:23:45+07:00</t>
        </is>
      </c>
      <c r="J70" s="2" t="inlineStr">
        <is>
          <t>QA opened 050_06.jpg (1500x1500) and confirmed: Detail collage showing soft fleece texture, printed affirmation design and stitched edge details.</t>
        </is>
      </c>
      <c r="K70" s="2" t="inlineStr">
        <is>
          <t>Detail collage showing soft fleece texture, printed affirmation design and stitched edge details.</t>
        </is>
      </c>
      <c r="L70" s="2" t="inlineStr">
        <is>
          <t>SET</t>
        </is>
      </c>
      <c r="M70" s="2" t="inlineStr">
        <is>
          <t>Christian affirmation blanket texture details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["seo_runs\\jeminise.com\\20260906_234129\\qa\\20260909_052334\\images\\050_06.jpg", "https://cdn.shopify.com/s/files/1/0792/5098/1063/files/bf8108bf2597520094d30861e395e79ee495ea432cb0a10bcea923947ec3c625.jpg?v=1786596380"]</t>
        </is>
      </c>
    </row>
    <row r="71" ht="66" customHeight="1">
      <c r="A71" s="3" t="inlineStr">
        <is>
          <t>jeminise.com+custom-christian-inspirational-sophia-blanket-machine-washable-d11</t>
        </is>
      </c>
      <c r="B71" s="3" t="inlineStr">
        <is>
          <t>qaimg_c48456d495007a70</t>
        </is>
      </c>
      <c r="C71" s="4" t="inlineStr">
        <is>
          <t>https://cdn.shopify.com/s/files/1/0792/5098/1063/files/ce10229836d480dae8c18d3cbc37b394ff23c2752af44c05c46ccd6f4c0545b5.jpg?v=1786596380</t>
        </is>
      </c>
      <c r="D71" s="4" t="inlineStr">
        <is>
          <t>https://cdn.shopify.com/s/files/1/0792/5098/1063/files/ce10229836d480dae8c18d3cbc37b394ff23c2752af44c05c46ccd6f4c0545b5.jpg?v=1786596380</t>
        </is>
      </c>
      <c r="E71" s="3" t="inlineStr">
        <is>
          <t>47830476816583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2026-09-09T05:23:45+07:00</t>
        </is>
      </c>
      <c r="J71" s="3" t="inlineStr">
        <is>
          <t>QA opened 050_07.jpg (1500x1500) and confirmed: Fleece blanket material panel listing machine washable care, soft warmth, dense stitching and 260GSM fleece.</t>
        </is>
      </c>
      <c r="K71" s="3" t="inlineStr">
        <is>
          <t>Fleece blanket material panel listing machine washable care, soft warmth, dense stitching and 260GSM fleece.</t>
        </is>
      </c>
      <c r="L71" s="3" t="inlineStr">
        <is>
          <t>SET</t>
        </is>
      </c>
      <c r="M71" s="3" t="inlineStr">
        <is>
          <t>Christian affirmation blanket fleece material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["seo_runs\\jeminise.com\\20260906_234129\\qa\\20260909_052334\\images\\050_07.jpg", "https://cdn.shopify.com/s/files/1/0792/5098/1063/files/ce10229836d480dae8c18d3cbc37b394ff23c2752af44c05c46ccd6f4c0545b5.jpg?v=1786596380"]</t>
        </is>
      </c>
    </row>
    <row r="72" ht="66" customHeight="1">
      <c r="A72" s="2" t="inlineStr">
        <is>
          <t>jeminise.com+custom-christian-inspirational-sophia-blanket-machine-washable-d11</t>
        </is>
      </c>
      <c r="B72" s="2" t="inlineStr">
        <is>
          <t>qaimg_84e15b14cbe92beb</t>
        </is>
      </c>
      <c r="C72" s="4" t="inlineStr">
        <is>
          <t>https://cdn.shopify.com/s/files/1/0792/5098/1063/files/6a0dd75b4493d3d638fea8bc8d2fcf8f0b9466af78c6dee27e819bf409a6d9a4.jpg?v=1786596380</t>
        </is>
      </c>
      <c r="D72" s="4" t="inlineStr">
        <is>
          <t>https://cdn.shopify.com/s/files/1/0792/5098/1063/files/6a0dd75b4493d3d638fea8bc8d2fcf8f0b9466af78c6dee27e819bf409a6d9a4.jpg?v=1786596380</t>
        </is>
      </c>
      <c r="E72" s="2" t="inlineStr">
        <is>
          <t>47830476849351</t>
        </is>
      </c>
      <c r="F72" s="2" t="inlineStr"/>
      <c r="G72" s="2" t="inlineStr">
        <is>
          <t>GALLERY</t>
        </is>
      </c>
      <c r="H72" s="2" t="inlineStr">
        <is>
          <t>DIRECT_IMAGE_FILE_OPENED_AND_VISUALLY_REVIEWED</t>
        </is>
      </c>
      <c r="I72" s="2" t="inlineStr">
        <is>
          <t>2026-09-09T05:23:45+07:00</t>
        </is>
      </c>
      <c r="J72" s="2" t="inlineStr">
        <is>
          <t>QA opened 050_08.jpg (1500x1500) and confirmed: Blanket size and use panel showing 80 by 60 inch example with sofa, office, bed, travel, reading and camping icons.</t>
        </is>
      </c>
      <c r="K72" s="2" t="inlineStr">
        <is>
          <t>Blanket size and use panel showing 80 by 60 inch example with sofa, office, bed, travel, reading and camping icons.</t>
        </is>
      </c>
      <c r="L72" s="2" t="inlineStr">
        <is>
          <t>SET</t>
        </is>
      </c>
      <c r="M72" s="2" t="inlineStr">
        <is>
          <t>Christian affirmation blanket size and use panel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>
        <is>
          <t>[]</t>
        </is>
      </c>
      <c r="X72" s="2" t="inlineStr">
        <is>
          <t>["seo_runs\\jeminise.com\\20260906_234129\\qa\\20260909_052334\\images\\050_08.jpg", "https://cdn.shopify.com/s/files/1/0792/5098/1063/files/6a0dd75b4493d3d638fea8bc8d2fcf8f0b9466af78c6dee27e819bf409a6d9a4.jpg?v=1786596380"]</t>
        </is>
      </c>
    </row>
    <row r="73" ht="66" customHeight="1">
      <c r="A73" s="3" t="inlineStr">
        <is>
          <t>jeminise.com+custom-christian-inspirational-sophia-blanket-machine-washable-d11</t>
        </is>
      </c>
      <c r="B73" s="3" t="inlineStr">
        <is>
          <t>qaimg_5aa2dd36f14a14cc</t>
        </is>
      </c>
      <c r="C73" s="4" t="inlineStr">
        <is>
          <t>https://cdn.shopify.com/s/files/1/0792/5098/1063/files/cb9ab8c716536e92af73186f82538ab95214e0a1adde3088ec2a19d3372d6e2f.jpg?v=1786596380</t>
        </is>
      </c>
      <c r="D73" s="4" t="inlineStr">
        <is>
          <t>https://cdn.shopify.com/s/files/1/0792/5098/1063/files/cb9ab8c716536e92af73186f82538ab95214e0a1adde3088ec2a19d3372d6e2f.jpg?v=1786596380</t>
        </is>
      </c>
      <c r="E73" s="3" t="inlineStr">
        <is>
          <t>47830476882119</t>
        </is>
      </c>
      <c r="F73" s="3" t="inlineStr"/>
      <c r="G73" s="3" t="inlineStr">
        <is>
          <t>GALLERY</t>
        </is>
      </c>
      <c r="H73" s="3" t="inlineStr">
        <is>
          <t>DIRECT_IMAGE_FILE_OPENED_AND_VISUALLY_REVIEWED</t>
        </is>
      </c>
      <c r="I73" s="3" t="inlineStr">
        <is>
          <t>2026-09-09T05:23:45+07:00</t>
        </is>
      </c>
      <c r="J73" s="3" t="inlineStr">
        <is>
          <t>QA opened 050_09.jpg (1500x1500) and confirmed: Close-up lifestyle view of Dear Sophia affirmation blanket beside a reading book.</t>
        </is>
      </c>
      <c r="K73" s="3" t="inlineStr">
        <is>
          <t>Close-up lifestyle view of Dear Sophia affirmation blanket beside a reading book.</t>
        </is>
      </c>
      <c r="L73" s="3" t="inlineStr">
        <is>
          <t>SET</t>
        </is>
      </c>
      <c r="M73" s="3" t="inlineStr">
        <is>
          <t>Christian affirmation blanket close-up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>
        <is>
          <t>[]</t>
        </is>
      </c>
      <c r="X73" s="3" t="inlineStr">
        <is>
          <t>["seo_runs\\jeminise.com\\20260906_234129\\qa\\20260909_052334\\images\\050_09.jpg", "https://cdn.shopify.com/s/files/1/0792/5098/1063/files/cb9ab8c716536e92af73186f82538ab95214e0a1adde3088ec2a19d3372d6e2f.jpg?v=1786596380"]</t>
        </is>
      </c>
    </row>
  </sheetData>
  <autoFilter ref="A1:X7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B05R5-MIN-001</t>
        </is>
      </c>
      <c r="B2" s="2" t="inlineStr">
        <is>
          <t>jeminise.com+custom-american-sports-football-player-running-with-ball-comforter-891aa5a660-891aa5a660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Inventory position 41 has complete customer-facing copy, but one fallback phrase is still generic.</t>
        </is>
      </c>
      <c r="H2" s="2" t="inlineStr">
        <is>
          <t>The wording is understandable and not misleading, but it is less precise than naming the verified panels directly.</t>
        </is>
      </c>
      <c r="I2" s="2" t="inlineStr">
        <is>
          <t>Rewrite this sentence in English with only the verified panels for Personalized Football Player Comforter Set.</t>
        </is>
      </c>
      <c r="J2" s="2" t="inlineStr">
        <is>
          <t>D:\Shopify_Workspace\jeminise_seo\resutls\jeminise.com\20260906_234129\revisions\qa_batch_005_r5\SEO_Product_Optimization_qa_batch_005_r5.xlsx | pos 41 | description_proposed_html</t>
        </is>
      </c>
      <c r="K2" s="2" t="inlineStr">
        <is>
          <t>Description lists exact verified gallery panels and no fallback phrase.</t>
        </is>
      </c>
    </row>
    <row r="3" ht="84" customHeight="1">
      <c r="A3" s="3" t="inlineStr">
        <is>
          <t>B05R5-MIN-002</t>
        </is>
      </c>
      <c r="B3" s="3" t="inlineStr">
        <is>
          <t>jeminise.com+custom-basketball-players-blanket-name-number-76fdad09b6-76fdad09b6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Inventory position 42 has complete customer-facing copy, but one fallback phrase is still generic.</t>
        </is>
      </c>
      <c r="H3" s="3" t="inlineStr">
        <is>
          <t>The wording is understandable and not misleading, but it is less precise than naming the verified panels directly.</t>
        </is>
      </c>
      <c r="I3" s="3" t="inlineStr">
        <is>
          <t>Rewrite this sentence in English with only the verified panels for Personalized Basketball Name Number Blanket.</t>
        </is>
      </c>
      <c r="J3" s="3" t="inlineStr">
        <is>
          <t>D:\Shopify_Workspace\jeminise_seo\resutls\jeminise.com\20260906_234129\revisions\qa_batch_005_r5\SEO_Product_Optimization_qa_batch_005_r5.xlsx | pos 42 | description_proposed_html</t>
        </is>
      </c>
      <c r="K3" s="3" t="inlineStr">
        <is>
          <t>Description lists exact verified gallery panels and no fallback phrase.</t>
        </is>
      </c>
    </row>
    <row r="4" ht="84" customHeight="1">
      <c r="A4" s="2" t="inlineStr">
        <is>
          <t>B05R5-MIN-003</t>
        </is>
      </c>
      <c r="B4" s="2" t="inlineStr">
        <is>
          <t>jeminise.com+custom-bible-verse-photo-blanket-personalized-christian-gift-for-her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Inventory position 43 has complete customer-facing copy, but one fallback phrase is still generic.</t>
        </is>
      </c>
      <c r="H4" s="2" t="inlineStr">
        <is>
          <t>The wording is understandable and not misleading, but it is less precise than naming the verified panels directly.</t>
        </is>
      </c>
      <c r="I4" s="2" t="inlineStr">
        <is>
          <t>Rewrite this sentence in English with only the verified panels for Personalized God Says I Am Christian Blanket.</t>
        </is>
      </c>
      <c r="J4" s="2" t="inlineStr">
        <is>
          <t>D:\Shopify_Workspace\jeminise_seo\resutls\jeminise.com\20260906_234129\revisions\qa_batch_005_r5\SEO_Product_Optimization_qa_batch_005_r5.xlsx | pos 43 | description_proposed_html</t>
        </is>
      </c>
      <c r="K4" s="2" t="inlineStr">
        <is>
          <t>Description lists exact verified gallery panels and no fallback phrase.</t>
        </is>
      </c>
    </row>
    <row r="5" ht="84" customHeight="1">
      <c r="A5" s="3" t="inlineStr">
        <is>
          <t>B05R5-MIN-005</t>
        </is>
      </c>
      <c r="B5" s="3" t="inlineStr">
        <is>
          <t>jeminise.com+custom-tree-of-life-quilt-set-yggdrasil-bedding-019f2b38a4-019f2b38a4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Inventory position 45 has complete customer-facing copy, but one fallback phrase is still generic.</t>
        </is>
      </c>
      <c r="H5" s="3" t="inlineStr">
        <is>
          <t>The wording is understandable and not misleading, but it is less precise than naming the verified panels directly.</t>
        </is>
      </c>
      <c r="I5" s="3" t="inlineStr">
        <is>
          <t>Rewrite this sentence in English with only the verified panels for Custom Colorful Tree of Life Quilt Set.</t>
        </is>
      </c>
      <c r="J5" s="3" t="inlineStr">
        <is>
          <t>D:\Shopify_Workspace\jeminise_seo\resutls\jeminise.com\20260906_234129\revisions\qa_batch_005_r5\SEO_Product_Optimization_qa_batch_005_r5.xlsx | pos 45 | description_proposed_html</t>
        </is>
      </c>
      <c r="K5" s="3" t="inlineStr">
        <is>
          <t>Description lists exact verified gallery panels and no fallback phrase.</t>
        </is>
      </c>
    </row>
    <row r="6" ht="84" customHeight="1">
      <c r="A6" s="2" t="inlineStr">
        <is>
          <t>B05R5-MIN-006</t>
        </is>
      </c>
      <c r="B6" s="2" t="inlineStr">
        <is>
          <t>jeminise.com+custom-tree-of-life-quilt-set-yggdrasil-celtic-patterns-908827b1df-908827b1df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Inventory position 46 has complete customer-facing copy, but one fallback phrase is still generic.</t>
        </is>
      </c>
      <c r="H6" s="2" t="inlineStr">
        <is>
          <t>The wording is understandable and not misleading, but it is less precise than naming the verified panels directly.</t>
        </is>
      </c>
      <c r="I6" s="2" t="inlineStr">
        <is>
          <t>Rewrite this sentence in English with only the verified panels for Custom Fantasy Tree of Life Quilt Set.</t>
        </is>
      </c>
      <c r="J6" s="2" t="inlineStr">
        <is>
          <t>D:\Shopify_Workspace\jeminise_seo\resutls\jeminise.com\20260906_234129\revisions\qa_batch_005_r5\SEO_Product_Optimization_qa_batch_005_r5.xlsx | pos 46 | description_proposed_html</t>
        </is>
      </c>
      <c r="K6" s="2" t="inlineStr">
        <is>
          <t>Description lists exact verified gallery panels and no fallback phrase.</t>
        </is>
      </c>
    </row>
    <row r="7" ht="84" customHeight="1">
      <c r="A7" s="3" t="inlineStr">
        <is>
          <t>B05R5-MIN-007</t>
        </is>
      </c>
      <c r="B7" s="3" t="inlineStr">
        <is>
          <t>jeminise.com+custom-tree-of-life-quilt-set-yggdrasil-bedding-5048da8f29-5048da8f29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Inventory position 47 has complete customer-facing copy, but one fallback phrase is still generic.</t>
        </is>
      </c>
      <c r="H7" s="3" t="inlineStr">
        <is>
          <t>The wording is understandable and not misleading, but it is less precise than naming the verified panels directly.</t>
        </is>
      </c>
      <c r="I7" s="3" t="inlineStr">
        <is>
          <t>Rewrite this sentence in English with only the verified panels for Custom Celtic Yggdrasil Tree of Life Quilt Set.</t>
        </is>
      </c>
      <c r="J7" s="3" t="inlineStr">
        <is>
          <t>D:\Shopify_Workspace\jeminise_seo\resutls\jeminise.com\20260906_234129\revisions\qa_batch_005_r5\SEO_Product_Optimization_qa_batch_005_r5.xlsx | pos 47 | description_proposed_html</t>
        </is>
      </c>
      <c r="K7" s="3" t="inlineStr">
        <is>
          <t>Description lists exact verified gallery panels and no fallback phrase.</t>
        </is>
      </c>
    </row>
    <row r="8" ht="84" customHeight="1">
      <c r="A8" s="2" t="inlineStr">
        <is>
          <t>B05R5-MIN-008</t>
        </is>
      </c>
      <c r="B8" s="2" t="inlineStr">
        <is>
          <t>jeminise.com+custom-christian-faith-semi-truck-in-front-of-large-comforter-057143b1f8-057143b1f8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Inventory position 48 has complete customer-facing copy, but one fallback phrase is still generic.</t>
        </is>
      </c>
      <c r="H8" s="2" t="inlineStr">
        <is>
          <t>The wording is understandable and not misleading, but it is less precise than naming the verified panels directly.</t>
        </is>
      </c>
      <c r="I8" s="2" t="inlineStr">
        <is>
          <t>Rewrite this sentence in English with only the verified panels for Personalized Trucker Prayer Comforter Set.</t>
        </is>
      </c>
      <c r="J8" s="2" t="inlineStr">
        <is>
          <t>D:\Shopify_Workspace\jeminise_seo\resutls\jeminise.com\20260906_234129\revisions\qa_batch_005_r5\SEO_Product_Optimization_qa_batch_005_r5.xlsx | pos 48 | description_proposed_html</t>
        </is>
      </c>
      <c r="K8" s="2" t="inlineStr">
        <is>
          <t>Description lists exact verified gallery panels and no fallback phrase.</t>
        </is>
      </c>
    </row>
    <row r="9" ht="84" customHeight="1">
      <c r="A9" s="3" t="inlineStr">
        <is>
          <t>B05R5-MIN-009</t>
        </is>
      </c>
      <c r="B9" s="3" t="inlineStr">
        <is>
          <t>jeminise.com+custom-christian-girl-bible-emergency-numbers-blanket-d12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Inventory position 49 has complete customer-facing copy, but one fallback phrase is still generic.</t>
        </is>
      </c>
      <c r="H9" s="3" t="inlineStr">
        <is>
          <t>The wording is understandable and not misleading, but it is less precise than naming the verified panels directly.</t>
        </is>
      </c>
      <c r="I9" s="3" t="inlineStr">
        <is>
          <t>Rewrite this sentence in English with only the verified panels for Personalized Bible Emergency Numbers Blanket.</t>
        </is>
      </c>
      <c r="J9" s="3" t="inlineStr">
        <is>
          <t>D:\Shopify_Workspace\jeminise_seo\resutls\jeminise.com\20260906_234129\revisions\qa_batch_005_r5\SEO_Product_Optimization_qa_batch_005_r5.xlsx | pos 49 | description_proposed_html</t>
        </is>
      </c>
      <c r="K9" s="3" t="inlineStr">
        <is>
          <t>Description lists exact verified gallery panels and no fallback phrase.</t>
        </is>
      </c>
    </row>
    <row r="10" ht="84" customHeight="1">
      <c r="A10" s="2" t="inlineStr">
        <is>
          <t>B05R5-MIN-010</t>
        </is>
      </c>
      <c r="B10" s="2" t="inlineStr">
        <is>
          <t>jeminise.com+custom-christian-inspirational-sophia-blanket-machine-washable-d11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Inventory position 50 has complete customer-facing copy, but one fallback phrase is still generic.</t>
        </is>
      </c>
      <c r="H10" s="2" t="inlineStr">
        <is>
          <t>The wording is understandable and not misleading, but it is less precise than naming the verified panels directly.</t>
        </is>
      </c>
      <c r="I10" s="2" t="inlineStr">
        <is>
          <t>Rewrite this sentence in English with only the verified panels for Personalized Christian Affirmation Blanket for Girls.</t>
        </is>
      </c>
      <c r="J10" s="2" t="inlineStr">
        <is>
          <t>D:\Shopify_Workspace\jeminise_seo\resutls\jeminise.com\20260906_234129\revisions\qa_batch_005_r5\SEO_Product_Optimization_qa_batch_005_r5.xlsx | pos 50 | description_proposed_html</t>
        </is>
      </c>
      <c r="K10" s="2" t="inlineStr">
        <is>
          <t>Description lists exact verified gallery panels and no fallback phrase.</t>
        </is>
      </c>
    </row>
    <row r="11" ht="84" customHeight="1">
      <c r="A11" s="3" t="inlineStr">
        <is>
          <t>B05R5-LIM-TRACE-001</t>
        </is>
      </c>
      <c r="B11" s="3" t="inlineStr"/>
      <c r="C11" s="3" t="inlineStr"/>
      <c r="D11" s="3" t="inlineStr">
        <is>
          <t>LIMITATION</t>
        </is>
      </c>
      <c r="E11" s="3" t="inlineStr">
        <is>
          <t>revision traceability</t>
        </is>
      </c>
      <c r="F11" s="3" t="inlineStr">
        <is>
          <t>SEO_Products.revision and Image_Audit.revision still show r4; revision_summary.json carries an r4 path.</t>
        </is>
      </c>
      <c r="G11" s="3" t="inlineStr">
        <is>
          <t>Workbook path/hash identify qa_batch_005_r5; row-level labels were not updated after the r5 description-only change.</t>
        </is>
      </c>
      <c r="H11" s="3" t="inlineStr">
        <is>
          <t>Traceability limitation only; it does not make the product copy or image alt wrong.</t>
        </is>
      </c>
      <c r="I11" s="3" t="inlineStr">
        <is>
          <t>Update row-level revision labels and revision_summary paths in the next package.</t>
        </is>
      </c>
      <c r="J11" s="3" t="inlineStr">
        <is>
          <t>D:\Shopify_Workspace\jeminise_seo\resutls\jeminise.com\20260906_234129\revisions\qa_batch_005_r5\SEO_Product_Optimization_qa_batch_005_r5.xlsx</t>
        </is>
      </c>
      <c r="K11" s="3" t="inlineStr">
        <is>
          <t>Workbook rows and revision summary consistently identify r5.</t>
        </is>
      </c>
    </row>
  </sheetData>
  <autoFilter ref="A1:K11"/>
  <conditionalFormatting sqref="D2:D11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2026-09-08T22:23:45Z</dcterms:created>
  <dcterms:modified xmlns:dcterms="http://purl.org/dc/terms/" xmlns:xsi="http://www.w3.org/2001/XMLSchema-instance" xsi:type="dcterms:W3CDTF">2026-09-08T22:23:46Z</dcterms:modified>
</cp:coreProperties>
</file>